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atisfactory\"/>
    </mc:Choice>
  </mc:AlternateContent>
  <xr:revisionPtr revIDLastSave="0" documentId="13_ncr:1_{C1158CB4-8079-46BE-82F7-2451D76FA9BD}" xr6:coauthVersionLast="47" xr6:coauthVersionMax="47" xr10:uidLastSave="{00000000-0000-0000-0000-000000000000}"/>
  <bookViews>
    <workbookView xWindow="-28898" yWindow="-98" windowWidth="28996" windowHeight="15675" activeTab="5" xr2:uid="{36494C54-F3E0-421F-9989-0B6652EAFEC3}"/>
  </bookViews>
  <sheets>
    <sheet name="合計必要素材" sheetId="1" r:id="rId1"/>
    <sheet name="製造アイテム数" sheetId="8" r:id="rId2"/>
    <sheet name="テンプレート" sheetId="5" r:id="rId3"/>
    <sheet name="使用レシピ" sheetId="7" r:id="rId4"/>
    <sheet name="使用レシピ(ID)" sheetId="9" r:id="rId5"/>
    <sheet name="レシピ一覧" sheetId="6" r:id="rId6"/>
    <sheet name="Debug" sheetId="10" r:id="rId7"/>
  </sheets>
  <functionGroups builtInGroupCount="19"/>
  <definedNames>
    <definedName name="_xlnm._FilterDatabase" localSheetId="5" hidden="1">レシピ一覧!$A$1:$P$400</definedName>
    <definedName name="_xlnm._FilterDatabase" localSheetId="1" hidden="1">製造アイテム数!$A$1:$P$200</definedName>
    <definedName name="_xleta.FIND" hidden="1" xlm="1">#NAME?</definedName>
    <definedName name="_xleta.VALUE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44" i="6" l="1"/>
  <c r="B344" i="6" s="1"/>
  <c r="A345" i="6"/>
  <c r="B345" i="6" s="1"/>
  <c r="A346" i="6"/>
  <c r="C346" i="6" s="1"/>
  <c r="A347" i="6"/>
  <c r="B347" i="6" s="1"/>
  <c r="C347" i="6"/>
  <c r="A348" i="6"/>
  <c r="B348" i="6" s="1"/>
  <c r="C348" i="6"/>
  <c r="A349" i="6"/>
  <c r="B349" i="6" s="1"/>
  <c r="A350" i="6"/>
  <c r="C350" i="6" s="1"/>
  <c r="A351" i="6"/>
  <c r="B351" i="6" s="1"/>
  <c r="A352" i="6"/>
  <c r="B352" i="6" s="1"/>
  <c r="C352" i="6"/>
  <c r="A353" i="6"/>
  <c r="A354" i="6"/>
  <c r="C354" i="6" s="1"/>
  <c r="A355" i="6"/>
  <c r="A356" i="6"/>
  <c r="B356" i="6" s="1"/>
  <c r="A357" i="6"/>
  <c r="B357" i="6" s="1"/>
  <c r="A358" i="6"/>
  <c r="A359" i="6"/>
  <c r="C359" i="6" s="1"/>
  <c r="A360" i="6"/>
  <c r="A361" i="6"/>
  <c r="A362" i="6"/>
  <c r="A363" i="6"/>
  <c r="B363" i="6" s="1"/>
  <c r="A364" i="6"/>
  <c r="C364" i="6" s="1"/>
  <c r="A365" i="6"/>
  <c r="B365" i="6" s="1"/>
  <c r="A366" i="6"/>
  <c r="C366" i="6" s="1"/>
  <c r="A367" i="6"/>
  <c r="A368" i="6"/>
  <c r="C368" i="6" s="1"/>
  <c r="A369" i="6"/>
  <c r="C369" i="6" s="1"/>
  <c r="B369" i="6"/>
  <c r="A370" i="6"/>
  <c r="B370" i="6" s="1"/>
  <c r="A371" i="6"/>
  <c r="B371" i="6" s="1"/>
  <c r="A372" i="6"/>
  <c r="A373" i="6"/>
  <c r="B373" i="6" s="1"/>
  <c r="A374" i="6"/>
  <c r="B374" i="6" s="1"/>
  <c r="C374" i="6"/>
  <c r="A375" i="6"/>
  <c r="A376" i="6"/>
  <c r="A377" i="6"/>
  <c r="A378" i="6"/>
  <c r="B378" i="6" s="1"/>
  <c r="A379" i="6"/>
  <c r="B379" i="6" s="1"/>
  <c r="A380" i="6"/>
  <c r="A381" i="6"/>
  <c r="A382" i="6"/>
  <c r="A383" i="6"/>
  <c r="C383" i="6" s="1"/>
  <c r="B383" i="6"/>
  <c r="A384" i="6"/>
  <c r="B384" i="6"/>
  <c r="C384" i="6"/>
  <c r="A385" i="6"/>
  <c r="B385" i="6" s="1"/>
  <c r="A386" i="6"/>
  <c r="C386" i="6" s="1"/>
  <c r="A387" i="6"/>
  <c r="C387" i="6" s="1"/>
  <c r="B387" i="6"/>
  <c r="A388" i="6"/>
  <c r="A389" i="6"/>
  <c r="B389" i="6" s="1"/>
  <c r="A390" i="6"/>
  <c r="B390" i="6" s="1"/>
  <c r="C390" i="6"/>
  <c r="A391" i="6"/>
  <c r="C391" i="6" s="1"/>
  <c r="B391" i="6"/>
  <c r="A392" i="6"/>
  <c r="A393" i="6"/>
  <c r="C393" i="6" s="1"/>
  <c r="A394" i="6"/>
  <c r="C394" i="6" s="1"/>
  <c r="A395" i="6"/>
  <c r="A396" i="6"/>
  <c r="B396" i="6" s="1"/>
  <c r="A397" i="6"/>
  <c r="B397" i="6" s="1"/>
  <c r="A398" i="6"/>
  <c r="A399" i="6"/>
  <c r="B399" i="6" s="1"/>
  <c r="C399" i="6"/>
  <c r="A400" i="6"/>
  <c r="B400" i="6" s="1"/>
  <c r="C400" i="6"/>
  <c r="C2" i="6"/>
  <c r="B2" i="6"/>
  <c r="A338" i="6"/>
  <c r="C338" i="6" s="1"/>
  <c r="A339" i="6"/>
  <c r="B339" i="6" s="1"/>
  <c r="A340" i="6"/>
  <c r="B340" i="6" s="1"/>
  <c r="A341" i="6"/>
  <c r="C341" i="6" s="1"/>
  <c r="A342" i="6"/>
  <c r="B342" i="6" s="1"/>
  <c r="A343" i="6"/>
  <c r="C343" i="6" s="1"/>
  <c r="A3" i="6"/>
  <c r="B3" i="6" s="1"/>
  <c r="B359" i="6" l="1"/>
  <c r="B392" i="6"/>
  <c r="C392" i="6"/>
  <c r="C353" i="6"/>
  <c r="B353" i="6"/>
  <c r="C371" i="6"/>
  <c r="B350" i="6"/>
  <c r="C373" i="6"/>
  <c r="C351" i="6"/>
  <c r="C389" i="6"/>
  <c r="C349" i="6"/>
  <c r="B368" i="6"/>
  <c r="C3" i="6"/>
  <c r="B343" i="6"/>
  <c r="C379" i="6"/>
  <c r="C342" i="6"/>
  <c r="C396" i="6"/>
  <c r="C356" i="6"/>
  <c r="C340" i="6"/>
  <c r="B338" i="6"/>
  <c r="B366" i="6"/>
  <c r="B364" i="6"/>
  <c r="C363" i="6"/>
  <c r="B393" i="6"/>
  <c r="C375" i="6"/>
  <c r="B375" i="6"/>
  <c r="C358" i="6"/>
  <c r="B358" i="6"/>
  <c r="B355" i="6"/>
  <c r="C355" i="6"/>
  <c r="B381" i="6"/>
  <c r="C381" i="6"/>
  <c r="B380" i="6"/>
  <c r="C380" i="6"/>
  <c r="B361" i="6"/>
  <c r="C361" i="6"/>
  <c r="B341" i="6"/>
  <c r="B360" i="6"/>
  <c r="C360" i="6"/>
  <c r="C388" i="6"/>
  <c r="B388" i="6"/>
  <c r="B377" i="6"/>
  <c r="C377" i="6"/>
  <c r="C339" i="6"/>
  <c r="B376" i="6"/>
  <c r="C376" i="6"/>
  <c r="B382" i="6"/>
  <c r="C382" i="6"/>
  <c r="C378" i="6"/>
  <c r="B346" i="6"/>
  <c r="B395" i="6"/>
  <c r="C395" i="6"/>
  <c r="C362" i="6"/>
  <c r="B362" i="6"/>
  <c r="C345" i="6"/>
  <c r="B372" i="6"/>
  <c r="C372" i="6"/>
  <c r="B367" i="6"/>
  <c r="C367" i="6"/>
  <c r="C398" i="6"/>
  <c r="B398" i="6"/>
  <c r="B394" i="6"/>
  <c r="C357" i="6"/>
  <c r="B386" i="6"/>
  <c r="B354" i="6"/>
  <c r="C385" i="6"/>
  <c r="C370" i="6"/>
  <c r="C344" i="6"/>
  <c r="C397" i="6"/>
  <c r="C365" i="6"/>
  <c r="A4" i="6"/>
  <c r="C4" i="6" l="1"/>
  <c r="B4" i="6"/>
  <c r="A5" i="6"/>
  <c r="B5" i="6" l="1"/>
  <c r="C5" i="6"/>
  <c r="A6" i="6"/>
  <c r="B6" i="6" l="1"/>
  <c r="C6" i="6"/>
  <c r="A7" i="6"/>
  <c r="B7" i="6" l="1"/>
  <c r="C7" i="6"/>
  <c r="A8" i="6"/>
  <c r="A9" i="6" s="1"/>
  <c r="B9" i="6" l="1"/>
  <c r="C9" i="6"/>
  <c r="C8" i="6"/>
  <c r="B8" i="6"/>
  <c r="A10" i="6"/>
  <c r="C10" i="6" l="1"/>
  <c r="B10" i="6"/>
  <c r="A11" i="6"/>
  <c r="C11" i="6" l="1"/>
  <c r="B11" i="6"/>
  <c r="A12" i="6"/>
  <c r="B12" i="6" l="1"/>
  <c r="C12" i="6"/>
  <c r="A13" i="6"/>
  <c r="C13" i="6" l="1"/>
  <c r="B13" i="6"/>
  <c r="A14" i="6"/>
  <c r="B14" i="6" l="1"/>
  <c r="C14" i="6"/>
  <c r="A15" i="6"/>
  <c r="B15" i="6" l="1"/>
  <c r="C15" i="6"/>
  <c r="A16" i="6"/>
  <c r="B16" i="6" l="1"/>
  <c r="C16" i="6"/>
  <c r="A17" i="6"/>
  <c r="C17" i="6" l="1"/>
  <c r="B17" i="6"/>
  <c r="A18" i="6"/>
  <c r="C18" i="6" l="1"/>
  <c r="B18" i="6"/>
  <c r="A19" i="6"/>
  <c r="B19" i="6" l="1"/>
  <c r="C19" i="6"/>
  <c r="A20" i="6"/>
  <c r="C20" i="6" l="1"/>
  <c r="B20" i="6"/>
  <c r="A21" i="6"/>
  <c r="B21" i="6" l="1"/>
  <c r="C21" i="6"/>
  <c r="A22" i="6"/>
  <c r="B22" i="6" l="1"/>
  <c r="C22" i="6"/>
  <c r="A23" i="6"/>
  <c r="B23" i="6" l="1"/>
  <c r="C23" i="6"/>
  <c r="A24" i="6"/>
  <c r="B24" i="6" l="1"/>
  <c r="C24" i="6"/>
  <c r="A25" i="6"/>
  <c r="C25" i="6" l="1"/>
  <c r="B25" i="6"/>
  <c r="A26" i="6"/>
  <c r="B26" i="6" l="1"/>
  <c r="C26" i="6"/>
  <c r="A27" i="6"/>
  <c r="B27" i="6" l="1"/>
  <c r="C27" i="6"/>
  <c r="A28" i="6"/>
  <c r="C28" i="6" l="1"/>
  <c r="B28" i="6"/>
  <c r="A29" i="6"/>
  <c r="B29" i="6" l="1"/>
  <c r="C29" i="6"/>
  <c r="A30" i="6"/>
  <c r="B30" i="6" l="1"/>
  <c r="C30" i="6"/>
  <c r="A31" i="6"/>
  <c r="B31" i="6" l="1"/>
  <c r="C31" i="6"/>
  <c r="A32" i="6"/>
  <c r="B32" i="6" l="1"/>
  <c r="C32" i="6"/>
  <c r="A33" i="6"/>
  <c r="C33" i="6" l="1"/>
  <c r="B33" i="6"/>
  <c r="A34" i="6"/>
  <c r="C34" i="6" l="1"/>
  <c r="B34" i="6"/>
  <c r="A35" i="6"/>
  <c r="B35" i="6" l="1"/>
  <c r="C35" i="6"/>
  <c r="A36" i="6"/>
  <c r="C36" i="6" l="1"/>
  <c r="B36" i="6"/>
  <c r="A37" i="6"/>
  <c r="B37" i="6" l="1"/>
  <c r="C37" i="6"/>
  <c r="A38" i="6"/>
  <c r="C38" i="6" l="1"/>
  <c r="B38" i="6"/>
  <c r="A39" i="6"/>
  <c r="C39" i="6" l="1"/>
  <c r="B39" i="6"/>
  <c r="A40" i="6"/>
  <c r="C40" i="6" l="1"/>
  <c r="B40" i="6"/>
  <c r="A41" i="6"/>
  <c r="B41" i="6" l="1"/>
  <c r="C41" i="6"/>
  <c r="A42" i="6"/>
  <c r="B42" i="6" l="1"/>
  <c r="C42" i="6"/>
  <c r="A43" i="6"/>
  <c r="C43" i="6" l="1"/>
  <c r="B43" i="6"/>
  <c r="A44" i="6"/>
  <c r="B44" i="6" l="1"/>
  <c r="C44" i="6"/>
  <c r="A45" i="6"/>
  <c r="C45" i="6" l="1"/>
  <c r="B45" i="6"/>
  <c r="A46" i="6"/>
  <c r="B46" i="6" l="1"/>
  <c r="C46" i="6"/>
  <c r="A47" i="6"/>
  <c r="B47" i="6" l="1"/>
  <c r="C47" i="6"/>
  <c r="A48" i="6"/>
  <c r="B48" i="6" l="1"/>
  <c r="C48" i="6"/>
  <c r="A49" i="6"/>
  <c r="C49" i="6" l="1"/>
  <c r="B49" i="6"/>
  <c r="A50" i="6"/>
  <c r="C50" i="6" l="1"/>
  <c r="B50" i="6"/>
  <c r="A51" i="6"/>
  <c r="B51" i="6" l="1"/>
  <c r="C51" i="6"/>
  <c r="A52" i="6"/>
  <c r="C52" i="6" l="1"/>
  <c r="B52" i="6"/>
  <c r="A53" i="6"/>
  <c r="B53" i="6" l="1"/>
  <c r="C53" i="6"/>
  <c r="A54" i="6"/>
  <c r="B54" i="6" l="1"/>
  <c r="C54" i="6"/>
  <c r="A55" i="6"/>
  <c r="B55" i="6" l="1"/>
  <c r="C55" i="6"/>
  <c r="A56" i="6"/>
  <c r="B56" i="6" l="1"/>
  <c r="C56" i="6"/>
  <c r="A57" i="6"/>
  <c r="C57" i="6" l="1"/>
  <c r="B57" i="6"/>
  <c r="A58" i="6"/>
  <c r="B58" i="6" l="1"/>
  <c r="C58" i="6"/>
  <c r="A59" i="6"/>
  <c r="C59" i="6" l="1"/>
  <c r="B59" i="6"/>
  <c r="A60" i="6"/>
  <c r="C60" i="6" l="1"/>
  <c r="B60" i="6"/>
  <c r="A61" i="6"/>
  <c r="B61" i="6" l="1"/>
  <c r="C61" i="6"/>
  <c r="A62" i="6"/>
  <c r="B62" i="6" l="1"/>
  <c r="C62" i="6"/>
  <c r="A63" i="6"/>
  <c r="B63" i="6" l="1"/>
  <c r="C63" i="6"/>
  <c r="A64" i="6"/>
  <c r="B64" i="6" l="1"/>
  <c r="C64" i="6"/>
  <c r="A65" i="6"/>
  <c r="C65" i="6" l="1"/>
  <c r="B65" i="6"/>
  <c r="A66" i="6"/>
  <c r="C66" i="6" l="1"/>
  <c r="B66" i="6"/>
  <c r="A67" i="6"/>
  <c r="B67" i="6" l="1"/>
  <c r="C67" i="6"/>
  <c r="A68" i="6"/>
  <c r="C68" i="6" l="1"/>
  <c r="B68" i="6"/>
  <c r="A69" i="6"/>
  <c r="B69" i="6" l="1"/>
  <c r="C69" i="6"/>
  <c r="A70" i="6"/>
  <c r="C70" i="6" l="1"/>
  <c r="B70" i="6"/>
  <c r="A71" i="6"/>
  <c r="B71" i="6" l="1"/>
  <c r="C71" i="6"/>
  <c r="A72" i="6"/>
  <c r="B72" i="6" l="1"/>
  <c r="C72" i="6"/>
  <c r="A73" i="6"/>
  <c r="B73" i="6" l="1"/>
  <c r="C73" i="6"/>
  <c r="A74" i="6"/>
  <c r="B74" i="6" l="1"/>
  <c r="C74" i="6"/>
  <c r="A75" i="6"/>
  <c r="C75" i="6" l="1"/>
  <c r="B75" i="6"/>
  <c r="A76" i="6"/>
  <c r="B76" i="6" l="1"/>
  <c r="C76" i="6"/>
  <c r="A77" i="6"/>
  <c r="B77" i="6" l="1"/>
  <c r="C77" i="6"/>
  <c r="A78" i="6"/>
  <c r="B78" i="6" l="1"/>
  <c r="C78" i="6"/>
  <c r="A79" i="6"/>
  <c r="B79" i="6" l="1"/>
  <c r="C79" i="6"/>
  <c r="A80" i="6"/>
  <c r="B80" i="6" l="1"/>
  <c r="C80" i="6"/>
  <c r="A81" i="6"/>
  <c r="C81" i="6" l="1"/>
  <c r="B81" i="6"/>
  <c r="A82" i="6"/>
  <c r="C82" i="6" l="1"/>
  <c r="B82" i="6"/>
  <c r="A83" i="6"/>
  <c r="B83" i="6" l="1"/>
  <c r="C83" i="6"/>
  <c r="A84" i="6"/>
  <c r="C84" i="6" l="1"/>
  <c r="B84" i="6"/>
  <c r="A85" i="6"/>
  <c r="B85" i="6" l="1"/>
  <c r="C85" i="6"/>
  <c r="A86" i="6"/>
  <c r="C86" i="6" l="1"/>
  <c r="B86" i="6"/>
  <c r="A87" i="6"/>
  <c r="B87" i="6" l="1"/>
  <c r="C87" i="6"/>
  <c r="A88" i="6"/>
  <c r="C88" i="6" l="1"/>
  <c r="B88" i="6"/>
  <c r="A89" i="6"/>
  <c r="B89" i="6" l="1"/>
  <c r="C89" i="6"/>
  <c r="A90" i="6"/>
  <c r="B90" i="6" l="1"/>
  <c r="C90" i="6"/>
  <c r="A91" i="6"/>
  <c r="B91" i="6" l="1"/>
  <c r="C91" i="6"/>
  <c r="A92" i="6"/>
  <c r="C92" i="6" l="1"/>
  <c r="B92" i="6"/>
  <c r="A93" i="6"/>
  <c r="C93" i="6" l="1"/>
  <c r="B93" i="6"/>
  <c r="A94" i="6"/>
  <c r="B94" i="6" l="1"/>
  <c r="C94" i="6"/>
  <c r="A95" i="6"/>
  <c r="B95" i="6" l="1"/>
  <c r="C95" i="6"/>
  <c r="A96" i="6"/>
  <c r="B96" i="6" l="1"/>
  <c r="C96" i="6"/>
  <c r="A97" i="6"/>
  <c r="C97" i="6" l="1"/>
  <c r="B97" i="6"/>
  <c r="A98" i="6"/>
  <c r="C98" i="6" l="1"/>
  <c r="B98" i="6"/>
  <c r="A99" i="6"/>
  <c r="B99" i="6" l="1"/>
  <c r="C99" i="6"/>
  <c r="A100" i="6"/>
  <c r="C100" i="6" l="1"/>
  <c r="B100" i="6"/>
  <c r="A101" i="6"/>
  <c r="B101" i="6" l="1"/>
  <c r="C101" i="6"/>
  <c r="A102" i="6"/>
  <c r="B102" i="6" l="1"/>
  <c r="C102" i="6"/>
  <c r="A103" i="6"/>
  <c r="B103" i="6" l="1"/>
  <c r="C103" i="6"/>
  <c r="A104" i="6"/>
  <c r="C104" i="6" l="1"/>
  <c r="B104" i="6"/>
  <c r="A105" i="6"/>
  <c r="C105" i="6" l="1"/>
  <c r="B105" i="6"/>
  <c r="A106" i="6"/>
  <c r="B106" i="6" l="1"/>
  <c r="C106" i="6"/>
  <c r="A107" i="6"/>
  <c r="C107" i="6" l="1"/>
  <c r="B107" i="6"/>
  <c r="A108" i="6"/>
  <c r="C108" i="6" l="1"/>
  <c r="B108" i="6"/>
  <c r="A109" i="6"/>
  <c r="C109" i="6" l="1"/>
  <c r="B109" i="6"/>
  <c r="A110" i="6"/>
  <c r="B110" i="6" l="1"/>
  <c r="C110" i="6"/>
  <c r="A111" i="6"/>
  <c r="B111" i="6" l="1"/>
  <c r="C111" i="6"/>
  <c r="A112" i="6"/>
  <c r="B112" i="6" l="1"/>
  <c r="C112" i="6"/>
  <c r="A113" i="6"/>
  <c r="B113" i="6" l="1"/>
  <c r="C113" i="6"/>
  <c r="A114" i="6"/>
  <c r="C114" i="6" l="1"/>
  <c r="B114" i="6"/>
  <c r="A115" i="6"/>
  <c r="B115" i="6" l="1"/>
  <c r="C115" i="6"/>
  <c r="A116" i="6"/>
  <c r="B116" i="6" l="1"/>
  <c r="C116" i="6"/>
  <c r="A117" i="6"/>
  <c r="B117" i="6" l="1"/>
  <c r="C117" i="6"/>
  <c r="A118" i="6"/>
  <c r="B118" i="6" l="1"/>
  <c r="C118" i="6"/>
  <c r="A119" i="6"/>
  <c r="B119" i="6" l="1"/>
  <c r="C119" i="6"/>
  <c r="A120" i="6"/>
  <c r="B120" i="6" l="1"/>
  <c r="C120" i="6"/>
  <c r="A121" i="6"/>
  <c r="C121" i="6" l="1"/>
  <c r="B121" i="6"/>
  <c r="A122" i="6"/>
  <c r="B122" i="6" l="1"/>
  <c r="C122" i="6"/>
  <c r="A123" i="6"/>
  <c r="B123" i="6" l="1"/>
  <c r="C123" i="6"/>
  <c r="A124" i="6"/>
  <c r="B124" i="6" l="1"/>
  <c r="C124" i="6"/>
  <c r="A125" i="6"/>
  <c r="B125" i="6" l="1"/>
  <c r="C125" i="6"/>
  <c r="A126" i="6"/>
  <c r="B126" i="6" l="1"/>
  <c r="C126" i="6"/>
  <c r="A127" i="6"/>
  <c r="C127" i="6" l="1"/>
  <c r="B127" i="6"/>
  <c r="A128" i="6"/>
  <c r="B128" i="6" l="1"/>
  <c r="C128" i="6"/>
  <c r="A129" i="6"/>
  <c r="C129" i="6" l="1"/>
  <c r="B129" i="6"/>
  <c r="A130" i="6"/>
  <c r="B130" i="6" l="1"/>
  <c r="C130" i="6"/>
  <c r="A131" i="6"/>
  <c r="B131" i="6" l="1"/>
  <c r="C131" i="6"/>
  <c r="A132" i="6"/>
  <c r="B132" i="6" l="1"/>
  <c r="C132" i="6"/>
  <c r="A133" i="6"/>
  <c r="C133" i="6" l="1"/>
  <c r="B133" i="6"/>
  <c r="A134" i="6"/>
  <c r="B134" i="6" l="1"/>
  <c r="C134" i="6"/>
  <c r="A135" i="6"/>
  <c r="C135" i="6" l="1"/>
  <c r="B135" i="6"/>
  <c r="A136" i="6"/>
  <c r="B136" i="6" l="1"/>
  <c r="C136" i="6"/>
  <c r="A137" i="6"/>
  <c r="B137" i="6" l="1"/>
  <c r="C137" i="6"/>
  <c r="A138" i="6"/>
  <c r="B138" i="6" l="1"/>
  <c r="C138" i="6"/>
  <c r="A139" i="6"/>
  <c r="B139" i="6" l="1"/>
  <c r="C139" i="6"/>
  <c r="A140" i="6"/>
  <c r="B140" i="6" l="1"/>
  <c r="C140" i="6"/>
  <c r="A141" i="6"/>
  <c r="B141" i="6" l="1"/>
  <c r="C141" i="6"/>
  <c r="A142" i="6"/>
  <c r="C142" i="6" l="1"/>
  <c r="B142" i="6"/>
  <c r="A143" i="6"/>
  <c r="B143" i="6" l="1"/>
  <c r="C143" i="6"/>
  <c r="A144" i="6"/>
  <c r="C144" i="6" l="1"/>
  <c r="B144" i="6"/>
  <c r="A145" i="6"/>
  <c r="B145" i="6" l="1"/>
  <c r="C145" i="6"/>
  <c r="A146" i="6"/>
  <c r="B146" i="6" l="1"/>
  <c r="C146" i="6"/>
  <c r="A147" i="6"/>
  <c r="B147" i="6" l="1"/>
  <c r="C147" i="6"/>
  <c r="A148" i="6"/>
  <c r="C148" i="6" l="1"/>
  <c r="B148" i="6"/>
  <c r="A149" i="6"/>
  <c r="B149" i="6" l="1"/>
  <c r="C149" i="6"/>
  <c r="A150" i="6"/>
  <c r="B150" i="6" l="1"/>
  <c r="C150" i="6"/>
  <c r="A151" i="6"/>
  <c r="C151" i="6" l="1"/>
  <c r="B151" i="6"/>
  <c r="A152" i="6"/>
  <c r="B152" i="6" l="1"/>
  <c r="C152" i="6"/>
  <c r="A153" i="6"/>
  <c r="C153" i="6" l="1"/>
  <c r="B153" i="6"/>
  <c r="A154" i="6"/>
  <c r="B154" i="6" l="1"/>
  <c r="C154" i="6"/>
  <c r="A155" i="6"/>
  <c r="C155" i="6" l="1"/>
  <c r="B155" i="6"/>
  <c r="A156" i="6"/>
  <c r="B156" i="6" l="1"/>
  <c r="C156" i="6"/>
  <c r="A157" i="6"/>
  <c r="B157" i="6" l="1"/>
  <c r="C157" i="6"/>
  <c r="A158" i="6"/>
  <c r="B158" i="6" l="1"/>
  <c r="C158" i="6"/>
  <c r="A159" i="6"/>
  <c r="B159" i="6" l="1"/>
  <c r="C159" i="6"/>
  <c r="A160" i="6"/>
  <c r="C160" i="6" l="1"/>
  <c r="B160" i="6"/>
  <c r="A161" i="6"/>
  <c r="C161" i="6" l="1"/>
  <c r="B161" i="6"/>
  <c r="A162" i="6"/>
  <c r="B162" i="6" l="1"/>
  <c r="C162" i="6"/>
  <c r="A163" i="6"/>
  <c r="B163" i="6" l="1"/>
  <c r="C163" i="6"/>
  <c r="A164" i="6"/>
  <c r="C164" i="6" l="1"/>
  <c r="B164" i="6"/>
  <c r="A165" i="6"/>
  <c r="B165" i="6" l="1"/>
  <c r="C165" i="6"/>
  <c r="A166" i="6"/>
  <c r="B166" i="6" l="1"/>
  <c r="C166" i="6"/>
  <c r="A167" i="6"/>
  <c r="B167" i="6" l="1"/>
  <c r="C167" i="6"/>
  <c r="A168" i="6"/>
  <c r="B168" i="6" l="1"/>
  <c r="C168" i="6"/>
  <c r="A169" i="6"/>
  <c r="B169" i="6" l="1"/>
  <c r="C169" i="6"/>
  <c r="A170" i="6"/>
  <c r="B170" i="6" l="1"/>
  <c r="C170" i="6"/>
  <c r="A171" i="6"/>
  <c r="C171" i="6" l="1"/>
  <c r="B171" i="6"/>
  <c r="A172" i="6"/>
  <c r="B172" i="6" l="1"/>
  <c r="C172" i="6"/>
  <c r="A173" i="6"/>
  <c r="C173" i="6" l="1"/>
  <c r="B173" i="6"/>
  <c r="A174" i="6"/>
  <c r="B174" i="6" l="1"/>
  <c r="C174" i="6"/>
  <c r="A175" i="6"/>
  <c r="B175" i="6" l="1"/>
  <c r="C175" i="6"/>
  <c r="A176" i="6"/>
  <c r="B176" i="6" l="1"/>
  <c r="C176" i="6"/>
  <c r="A177" i="6"/>
  <c r="B177" i="6" l="1"/>
  <c r="C177" i="6"/>
  <c r="A178" i="6"/>
  <c r="C178" i="6" l="1"/>
  <c r="B178" i="6"/>
  <c r="A179" i="6"/>
  <c r="B179" i="6" l="1"/>
  <c r="C179" i="6"/>
  <c r="A180" i="6"/>
  <c r="B180" i="6" l="1"/>
  <c r="C180" i="6"/>
  <c r="A181" i="6"/>
  <c r="C181" i="6" l="1"/>
  <c r="B181" i="6"/>
  <c r="A182" i="6"/>
  <c r="C182" i="6" l="1"/>
  <c r="B182" i="6"/>
  <c r="A183" i="6"/>
  <c r="B183" i="6" l="1"/>
  <c r="C183" i="6"/>
  <c r="A184" i="6"/>
  <c r="B184" i="6" l="1"/>
  <c r="C184" i="6"/>
  <c r="A185" i="6"/>
  <c r="B185" i="6" l="1"/>
  <c r="C185" i="6"/>
  <c r="A186" i="6"/>
  <c r="B186" i="6" l="1"/>
  <c r="C186" i="6"/>
  <c r="A187" i="6"/>
  <c r="B187" i="6" l="1"/>
  <c r="C187" i="6"/>
  <c r="A188" i="6"/>
  <c r="B188" i="6" l="1"/>
  <c r="C188" i="6"/>
  <c r="A189" i="6"/>
  <c r="C189" i="6" l="1"/>
  <c r="B189" i="6"/>
  <c r="A190" i="6"/>
  <c r="C190" i="6" l="1"/>
  <c r="B190" i="6"/>
  <c r="A191" i="6"/>
  <c r="B191" i="6" l="1"/>
  <c r="C191" i="6"/>
  <c r="A192" i="6"/>
  <c r="C192" i="6" l="1"/>
  <c r="B192" i="6"/>
  <c r="A193" i="6"/>
  <c r="B193" i="6" l="1"/>
  <c r="C193" i="6"/>
  <c r="A194" i="6"/>
  <c r="B194" i="6" l="1"/>
  <c r="C194" i="6"/>
  <c r="A195" i="6"/>
  <c r="B195" i="6" l="1"/>
  <c r="C195" i="6"/>
  <c r="A196" i="6"/>
  <c r="B196" i="6" l="1"/>
  <c r="C196" i="6"/>
  <c r="A197" i="6"/>
  <c r="B197" i="6" l="1"/>
  <c r="C197" i="6"/>
  <c r="A198" i="6"/>
  <c r="C198" i="6" l="1"/>
  <c r="B198" i="6"/>
  <c r="A199" i="6"/>
  <c r="B199" i="6" l="1"/>
  <c r="C199" i="6"/>
  <c r="A200" i="6"/>
  <c r="B200" i="6" l="1"/>
  <c r="C200" i="6"/>
  <c r="A201" i="6"/>
  <c r="B201" i="6" l="1"/>
  <c r="C201" i="6"/>
  <c r="A202" i="6"/>
  <c r="C202" i="6" l="1"/>
  <c r="B202" i="6"/>
  <c r="A203" i="6"/>
  <c r="B203" i="6" l="1"/>
  <c r="C203" i="6"/>
  <c r="A204" i="6"/>
  <c r="C204" i="6" l="1"/>
  <c r="B204" i="6"/>
  <c r="A205" i="6"/>
  <c r="B205" i="6" l="1"/>
  <c r="C205" i="6"/>
  <c r="A206" i="6"/>
  <c r="B206" i="6" l="1"/>
  <c r="C206" i="6"/>
  <c r="A207" i="6"/>
  <c r="B207" i="6" l="1"/>
  <c r="C207" i="6"/>
  <c r="A208" i="6"/>
  <c r="B208" i="6" l="1"/>
  <c r="C208" i="6"/>
  <c r="A209" i="6"/>
  <c r="C209" i="6" l="1"/>
  <c r="B209" i="6"/>
  <c r="A210" i="6"/>
  <c r="C210" i="6" l="1"/>
  <c r="B210" i="6"/>
  <c r="A211" i="6"/>
  <c r="B211" i="6" l="1"/>
  <c r="C211" i="6"/>
  <c r="A212" i="6"/>
  <c r="B212" i="6" l="1"/>
  <c r="C212" i="6"/>
  <c r="A213" i="6"/>
  <c r="B213" i="6" l="1"/>
  <c r="C213" i="6"/>
  <c r="A214" i="6"/>
  <c r="B214" i="6" l="1"/>
  <c r="C214" i="6"/>
  <c r="A215" i="6"/>
  <c r="B215" i="6" l="1"/>
  <c r="C215" i="6"/>
  <c r="A216" i="6"/>
  <c r="B216" i="6" l="1"/>
  <c r="C216" i="6"/>
  <c r="A217" i="6"/>
  <c r="B217" i="6" l="1"/>
  <c r="C217" i="6"/>
  <c r="A218" i="6"/>
  <c r="B218" i="6" l="1"/>
  <c r="C218" i="6"/>
  <c r="A219" i="6"/>
  <c r="B219" i="6" l="1"/>
  <c r="C219" i="6"/>
  <c r="A220" i="6"/>
  <c r="C220" i="6" l="1"/>
  <c r="B220" i="6"/>
  <c r="A221" i="6"/>
  <c r="B221" i="6" l="1"/>
  <c r="C221" i="6"/>
  <c r="A222" i="6"/>
  <c r="C222" i="6" l="1"/>
  <c r="B222" i="6"/>
  <c r="A223" i="6"/>
  <c r="B223" i="6" l="1"/>
  <c r="C223" i="6"/>
  <c r="A224" i="6"/>
  <c r="B224" i="6" l="1"/>
  <c r="C224" i="6"/>
  <c r="A225" i="6"/>
  <c r="B225" i="6" l="1"/>
  <c r="C225" i="6"/>
  <c r="A226" i="6"/>
  <c r="B226" i="6" l="1"/>
  <c r="C226" i="6"/>
  <c r="A227" i="6"/>
  <c r="B227" i="6" l="1"/>
  <c r="C227" i="6"/>
  <c r="A228" i="6"/>
  <c r="B228" i="6" l="1"/>
  <c r="C228" i="6"/>
  <c r="A229" i="6"/>
  <c r="C229" i="6" l="1"/>
  <c r="B229" i="6"/>
  <c r="A230" i="6"/>
  <c r="B230" i="6" l="1"/>
  <c r="C230" i="6"/>
  <c r="A231" i="6"/>
  <c r="B231" i="6" l="1"/>
  <c r="C231" i="6"/>
  <c r="A232" i="6"/>
  <c r="B232" i="6" l="1"/>
  <c r="C232" i="6"/>
  <c r="A233" i="6"/>
  <c r="C233" i="6" l="1"/>
  <c r="B233" i="6"/>
  <c r="A234" i="6"/>
  <c r="C234" i="6" l="1"/>
  <c r="B234" i="6"/>
  <c r="A235" i="6"/>
  <c r="B235" i="6" l="1"/>
  <c r="C235" i="6"/>
  <c r="A236" i="6"/>
  <c r="B236" i="6" l="1"/>
  <c r="C236" i="6"/>
  <c r="A237" i="6"/>
  <c r="B237" i="6" l="1"/>
  <c r="C237" i="6"/>
  <c r="A238" i="6"/>
  <c r="C238" i="6" l="1"/>
  <c r="B238" i="6"/>
  <c r="A239" i="6"/>
  <c r="B239" i="6" l="1"/>
  <c r="C239" i="6"/>
  <c r="A240" i="6"/>
  <c r="B240" i="6" l="1"/>
  <c r="C240" i="6"/>
  <c r="A241" i="6"/>
  <c r="C241" i="6" l="1"/>
  <c r="B241" i="6"/>
  <c r="A242" i="6"/>
  <c r="B242" i="6" l="1"/>
  <c r="C242" i="6"/>
  <c r="A243" i="6"/>
  <c r="B243" i="6" l="1"/>
  <c r="C243" i="6"/>
  <c r="A244" i="6"/>
  <c r="B244" i="6" l="1"/>
  <c r="C244" i="6"/>
  <c r="A245" i="6"/>
  <c r="B245" i="6" l="1"/>
  <c r="C245" i="6"/>
  <c r="A246" i="6"/>
  <c r="B246" i="6" l="1"/>
  <c r="C246" i="6"/>
  <c r="A247" i="6"/>
  <c r="B247" i="6" l="1"/>
  <c r="C247" i="6"/>
  <c r="A248" i="6"/>
  <c r="B248" i="6" l="1"/>
  <c r="C248" i="6"/>
  <c r="A249" i="6"/>
  <c r="B249" i="6" l="1"/>
  <c r="C249" i="6"/>
  <c r="A250" i="6"/>
  <c r="B250" i="6" l="1"/>
  <c r="C250" i="6"/>
  <c r="A251" i="6"/>
  <c r="B251" i="6" l="1"/>
  <c r="C251" i="6"/>
  <c r="A252" i="6"/>
  <c r="B252" i="6" l="1"/>
  <c r="C252" i="6"/>
  <c r="A253" i="6"/>
  <c r="B253" i="6" l="1"/>
  <c r="C253" i="6"/>
  <c r="A254" i="6"/>
  <c r="B254" i="6" l="1"/>
  <c r="C254" i="6"/>
  <c r="A255" i="6"/>
  <c r="C255" i="6" l="1"/>
  <c r="B255" i="6"/>
  <c r="A256" i="6"/>
  <c r="B256" i="6" l="1"/>
  <c r="C256" i="6"/>
  <c r="A257" i="6"/>
  <c r="B257" i="6" l="1"/>
  <c r="C257" i="6"/>
  <c r="A258" i="6"/>
  <c r="B258" i="6" l="1"/>
  <c r="C258" i="6"/>
  <c r="A259" i="6"/>
  <c r="B259" i="6" l="1"/>
  <c r="C259" i="6"/>
  <c r="A260" i="6"/>
  <c r="C260" i="6" l="1"/>
  <c r="B260" i="6"/>
  <c r="A261" i="6"/>
  <c r="B261" i="6" l="1"/>
  <c r="C261" i="6"/>
  <c r="A262" i="6"/>
  <c r="C262" i="6" l="1"/>
  <c r="B262" i="6"/>
  <c r="A263" i="6"/>
  <c r="B263" i="6" l="1"/>
  <c r="C263" i="6"/>
  <c r="A264" i="6"/>
  <c r="B264" i="6" l="1"/>
  <c r="C264" i="6"/>
  <c r="A265" i="6"/>
  <c r="C265" i="6" l="1"/>
  <c r="B265" i="6"/>
  <c r="A266" i="6"/>
  <c r="C266" i="6" l="1"/>
  <c r="B266" i="6"/>
  <c r="A267" i="6"/>
  <c r="B267" i="6" l="1"/>
  <c r="C267" i="6"/>
  <c r="A268" i="6"/>
  <c r="B268" i="6" l="1"/>
  <c r="C268" i="6"/>
  <c r="A269" i="6"/>
  <c r="C269" i="6" l="1"/>
  <c r="B269" i="6"/>
  <c r="A270" i="6"/>
  <c r="C270" i="6" l="1"/>
  <c r="B270" i="6"/>
  <c r="A271" i="6"/>
  <c r="B271" i="6" l="1"/>
  <c r="C271" i="6"/>
  <c r="A272" i="6"/>
  <c r="B272" i="6" l="1"/>
  <c r="C272" i="6"/>
  <c r="A273" i="6"/>
  <c r="C273" i="6" l="1"/>
  <c r="B273" i="6"/>
  <c r="A274" i="6"/>
  <c r="C274" i="6" l="1"/>
  <c r="B274" i="6"/>
  <c r="A275" i="6"/>
  <c r="B275" i="6" l="1"/>
  <c r="C275" i="6"/>
  <c r="A276" i="6"/>
  <c r="B276" i="6" l="1"/>
  <c r="C276" i="6"/>
  <c r="A277" i="6"/>
  <c r="B277" i="6" l="1"/>
  <c r="C277" i="6"/>
  <c r="A278" i="6"/>
  <c r="B278" i="6" l="1"/>
  <c r="C278" i="6"/>
  <c r="A279" i="6"/>
  <c r="C279" i="6" l="1"/>
  <c r="B279" i="6"/>
  <c r="A280" i="6"/>
  <c r="B280" i="6" l="1"/>
  <c r="C280" i="6"/>
  <c r="A281" i="6"/>
  <c r="C281" i="6" l="1"/>
  <c r="B281" i="6"/>
  <c r="A282" i="6"/>
  <c r="C282" i="6" l="1"/>
  <c r="B282" i="6"/>
  <c r="A283" i="6"/>
  <c r="B283" i="6" l="1"/>
  <c r="C283" i="6"/>
  <c r="A284" i="6"/>
  <c r="B284" i="6" l="1"/>
  <c r="C284" i="6"/>
  <c r="A285" i="6"/>
  <c r="B285" i="6" l="1"/>
  <c r="C285" i="6"/>
  <c r="A286" i="6"/>
  <c r="B286" i="6" l="1"/>
  <c r="C286" i="6"/>
  <c r="A287" i="6"/>
  <c r="B287" i="6" l="1"/>
  <c r="C287" i="6"/>
  <c r="A288" i="6"/>
  <c r="C288" i="6" l="1"/>
  <c r="B288" i="6"/>
  <c r="A289" i="6"/>
  <c r="B289" i="6" l="1"/>
  <c r="C289" i="6"/>
  <c r="A290" i="6"/>
  <c r="B290" i="6" l="1"/>
  <c r="C290" i="6"/>
  <c r="A291" i="6"/>
  <c r="B291" i="6" l="1"/>
  <c r="C291" i="6"/>
  <c r="A292" i="6"/>
  <c r="B292" i="6" l="1"/>
  <c r="C292" i="6"/>
  <c r="A293" i="6"/>
  <c r="B293" i="6" l="1"/>
  <c r="C293" i="6"/>
  <c r="A294" i="6"/>
  <c r="B294" i="6" l="1"/>
  <c r="C294" i="6"/>
  <c r="A295" i="6"/>
  <c r="B295" i="6" l="1"/>
  <c r="C295" i="6"/>
  <c r="A296" i="6"/>
  <c r="B296" i="6" l="1"/>
  <c r="C296" i="6"/>
  <c r="A297" i="6"/>
  <c r="B297" i="6" l="1"/>
  <c r="C297" i="6"/>
  <c r="A298" i="6"/>
  <c r="B298" i="6" l="1"/>
  <c r="C298" i="6"/>
  <c r="A299" i="6"/>
  <c r="B299" i="6" l="1"/>
  <c r="C299" i="6"/>
  <c r="A300" i="6"/>
  <c r="B300" i="6" l="1"/>
  <c r="C300" i="6"/>
  <c r="A301" i="6"/>
  <c r="C301" i="6" l="1"/>
  <c r="B301" i="6"/>
  <c r="A302" i="6"/>
  <c r="C302" i="6" l="1"/>
  <c r="B302" i="6"/>
  <c r="A303" i="6"/>
  <c r="B303" i="6" l="1"/>
  <c r="C303" i="6"/>
  <c r="A304" i="6"/>
  <c r="C304" i="6" l="1"/>
  <c r="B304" i="6"/>
  <c r="A305" i="6"/>
  <c r="C305" i="6" l="1"/>
  <c r="B305" i="6"/>
  <c r="A306" i="6"/>
  <c r="C306" i="6" l="1"/>
  <c r="B306" i="6"/>
  <c r="A307" i="6"/>
  <c r="C307" i="6" l="1"/>
  <c r="B307" i="6"/>
  <c r="A308" i="6"/>
  <c r="B308" i="6" l="1"/>
  <c r="C308" i="6"/>
  <c r="A309" i="6"/>
  <c r="B309" i="6" l="1"/>
  <c r="C309" i="6"/>
  <c r="A310" i="6"/>
  <c r="B310" i="6" l="1"/>
  <c r="C310" i="6"/>
  <c r="A311" i="6"/>
  <c r="B311" i="6" l="1"/>
  <c r="C311" i="6"/>
  <c r="A312" i="6"/>
  <c r="B312" i="6" l="1"/>
  <c r="C312" i="6"/>
  <c r="A313" i="6"/>
  <c r="C313" i="6" l="1"/>
  <c r="B313" i="6"/>
  <c r="A314" i="6"/>
  <c r="B314" i="6" l="1"/>
  <c r="C314" i="6"/>
  <c r="A315" i="6"/>
  <c r="B315" i="6" l="1"/>
  <c r="C315" i="6"/>
  <c r="A316" i="6"/>
  <c r="B316" i="6" l="1"/>
  <c r="C316" i="6"/>
  <c r="A317" i="6"/>
  <c r="B317" i="6" l="1"/>
  <c r="C317" i="6"/>
  <c r="A318" i="6"/>
  <c r="B318" i="6" l="1"/>
  <c r="C318" i="6"/>
  <c r="A319" i="6"/>
  <c r="C319" i="6" l="1"/>
  <c r="B319" i="6"/>
  <c r="A320" i="6"/>
  <c r="B320" i="6" l="1"/>
  <c r="C320" i="6"/>
  <c r="A321" i="6"/>
  <c r="B321" i="6" l="1"/>
  <c r="C321" i="6"/>
  <c r="A322" i="6"/>
  <c r="B322" i="6" l="1"/>
  <c r="C322" i="6"/>
  <c r="A323" i="6"/>
  <c r="B323" i="6" l="1"/>
  <c r="C323" i="6"/>
  <c r="A324" i="6"/>
  <c r="B324" i="6" l="1"/>
  <c r="C324" i="6"/>
  <c r="A325" i="6"/>
  <c r="B325" i="6" l="1"/>
  <c r="C325" i="6"/>
  <c r="A326" i="6"/>
  <c r="B326" i="6" l="1"/>
  <c r="C326" i="6"/>
  <c r="A327" i="6"/>
  <c r="C327" i="6" l="1"/>
  <c r="B327" i="6"/>
  <c r="A328" i="6"/>
  <c r="B328" i="6" l="1"/>
  <c r="C328" i="6"/>
  <c r="A329" i="6"/>
  <c r="B329" i="6" l="1"/>
  <c r="C329" i="6"/>
  <c r="A330" i="6"/>
  <c r="B330" i="6" l="1"/>
  <c r="C330" i="6"/>
  <c r="A331" i="6"/>
  <c r="B331" i="6" l="1"/>
  <c r="C331" i="6"/>
  <c r="A332" i="6"/>
  <c r="C332" i="6" l="1"/>
  <c r="B332" i="6"/>
  <c r="A333" i="6"/>
  <c r="C333" i="6" l="1"/>
  <c r="B333" i="6"/>
  <c r="A334" i="6"/>
  <c r="C334" i="6" l="1"/>
  <c r="B334" i="6"/>
  <c r="A335" i="6"/>
  <c r="B335" i="6" l="1"/>
  <c r="C335" i="6"/>
  <c r="A336" i="6"/>
  <c r="C336" i="6" l="1"/>
  <c r="B336" i="6"/>
  <c r="A337" i="6"/>
  <c r="B337" i="6" l="1"/>
  <c r="C337" i="6"/>
  <c r="D48" i="7"/>
  <c r="D2" i="7"/>
  <c r="D40" i="7"/>
  <c r="D22" i="7"/>
  <c r="D185" i="7"/>
  <c r="D11" i="7"/>
  <c r="D17" i="7"/>
  <c r="D122" i="7"/>
  <c r="D107" i="7"/>
  <c r="D85" i="7"/>
  <c r="D166" i="7"/>
  <c r="D171" i="7"/>
  <c r="D124" i="7"/>
  <c r="D10" i="7"/>
  <c r="D186" i="7"/>
  <c r="D96" i="7"/>
  <c r="D82" i="7"/>
  <c r="D66" i="7"/>
  <c r="D76" i="7"/>
  <c r="D59" i="7"/>
  <c r="D74" i="7"/>
  <c r="D92" i="7"/>
  <c r="D75" i="7"/>
  <c r="D51" i="7"/>
  <c r="D146" i="7"/>
  <c r="D181" i="7"/>
  <c r="D100" i="7"/>
  <c r="D158" i="7"/>
  <c r="D149" i="7"/>
  <c r="D144" i="7"/>
  <c r="D87" i="7"/>
  <c r="D70" i="7"/>
  <c r="D125" i="7"/>
  <c r="D121" i="7"/>
  <c r="D73" i="7"/>
  <c r="D154" i="7"/>
  <c r="D15" i="7"/>
  <c r="D137" i="7"/>
  <c r="D24" i="7"/>
  <c r="D61" i="7"/>
  <c r="D169" i="7"/>
  <c r="D67" i="7"/>
  <c r="D57" i="7"/>
  <c r="D128" i="7"/>
  <c r="D164" i="7"/>
  <c r="D120" i="7"/>
  <c r="D112" i="7"/>
  <c r="D139" i="7"/>
  <c r="D173" i="7"/>
  <c r="D77" i="7"/>
  <c r="D136" i="7"/>
  <c r="D54" i="7"/>
  <c r="D117" i="7"/>
  <c r="D159" i="7"/>
  <c r="D43" i="7"/>
  <c r="D133" i="7"/>
  <c r="D174" i="7"/>
  <c r="D195" i="7"/>
  <c r="D37" i="7"/>
  <c r="D88" i="7"/>
  <c r="D69" i="7"/>
  <c r="D55" i="7"/>
  <c r="D179" i="7"/>
  <c r="D200" i="7"/>
  <c r="D45" i="7"/>
  <c r="D172" i="7"/>
  <c r="D170" i="7"/>
  <c r="D162" i="7"/>
  <c r="D35" i="7"/>
  <c r="D65" i="7"/>
  <c r="D199" i="7"/>
  <c r="D135" i="7"/>
  <c r="D194" i="7"/>
  <c r="D64" i="7"/>
  <c r="D187" i="7"/>
  <c r="D68" i="7"/>
  <c r="D188" i="7"/>
  <c r="D148" i="7"/>
  <c r="D34" i="7"/>
  <c r="D110" i="7"/>
  <c r="D102" i="7"/>
  <c r="D109" i="7"/>
  <c r="D130" i="7"/>
  <c r="D196" i="7"/>
  <c r="D27" i="7"/>
  <c r="D140" i="7"/>
  <c r="D189" i="7"/>
  <c r="D53" i="7"/>
  <c r="D198" i="7"/>
  <c r="D163" i="7"/>
  <c r="D145" i="7"/>
  <c r="D131" i="7"/>
  <c r="D103" i="7"/>
  <c r="D116" i="7"/>
  <c r="D28" i="7"/>
  <c r="D71" i="7"/>
  <c r="D16" i="7"/>
  <c r="D32" i="7"/>
  <c r="D153" i="7"/>
  <c r="D42" i="7"/>
  <c r="D29" i="7"/>
  <c r="D93" i="7"/>
  <c r="D50" i="7"/>
  <c r="D79" i="7"/>
  <c r="D6" i="7"/>
  <c r="D31" i="7"/>
  <c r="D97" i="7"/>
  <c r="D119" i="7"/>
  <c r="D38" i="7"/>
  <c r="D118" i="7"/>
  <c r="D81" i="7"/>
  <c r="D18" i="7"/>
  <c r="D197" i="7"/>
  <c r="D138" i="7"/>
  <c r="D44" i="7"/>
  <c r="D14" i="7"/>
  <c r="D115" i="7"/>
  <c r="D99" i="7"/>
  <c r="D108" i="7"/>
  <c r="D126" i="7"/>
  <c r="D132" i="7"/>
  <c r="D78" i="7"/>
  <c r="D160" i="7"/>
  <c r="D46" i="7"/>
  <c r="D177" i="7"/>
  <c r="D151" i="7"/>
  <c r="D63" i="7"/>
  <c r="D56" i="7"/>
  <c r="D113" i="7"/>
  <c r="D98" i="7"/>
  <c r="D9" i="7"/>
  <c r="D80" i="7"/>
  <c r="D72" i="7"/>
  <c r="D8" i="7"/>
  <c r="D182" i="7"/>
  <c r="D105" i="7"/>
  <c r="D39" i="7"/>
  <c r="D114" i="7"/>
  <c r="D176" i="7"/>
  <c r="D152" i="7"/>
  <c r="D52" i="7"/>
  <c r="D89" i="7"/>
  <c r="D3" i="7"/>
  <c r="D91" i="7"/>
  <c r="D36" i="7"/>
  <c r="D123" i="7"/>
  <c r="D106" i="7"/>
  <c r="D156" i="7"/>
  <c r="D161" i="7"/>
  <c r="D62" i="7"/>
  <c r="E62" i="7" s="1"/>
  <c r="D150" i="7"/>
  <c r="D180" i="7"/>
  <c r="D41" i="7"/>
  <c r="D86" i="7"/>
  <c r="D141" i="7"/>
  <c r="D191" i="7"/>
  <c r="D84" i="7"/>
  <c r="D178" i="7"/>
  <c r="D165" i="7"/>
  <c r="D95" i="7"/>
  <c r="D49" i="7"/>
  <c r="D13" i="7"/>
  <c r="D142" i="7"/>
  <c r="D192" i="7"/>
  <c r="D90" i="7"/>
  <c r="D184" i="7"/>
  <c r="D94" i="7"/>
  <c r="D168" i="7"/>
  <c r="D129" i="7"/>
  <c r="D7" i="7"/>
  <c r="D23" i="7"/>
  <c r="D47" i="7"/>
  <c r="D143" i="7"/>
  <c r="D111" i="7"/>
  <c r="D21" i="7"/>
  <c r="D147" i="7"/>
  <c r="D190" i="7"/>
  <c r="D33" i="7"/>
  <c r="D193" i="7"/>
  <c r="D5" i="7"/>
  <c r="D20" i="7"/>
  <c r="D26" i="7"/>
  <c r="D19" i="7"/>
  <c r="D175" i="7"/>
  <c r="D58" i="7"/>
  <c r="D134" i="7"/>
  <c r="D30" i="7"/>
  <c r="D101" i="7"/>
  <c r="D60" i="7"/>
  <c r="D157" i="7"/>
  <c r="D104" i="7"/>
  <c r="D155" i="7"/>
  <c r="D83" i="7"/>
  <c r="D183" i="7"/>
  <c r="D4" i="7"/>
  <c r="D167" i="7"/>
  <c r="D12" i="7"/>
  <c r="D25" i="7"/>
  <c r="D127" i="7"/>
  <c r="A101" i="9" l="1"/>
  <c r="E101" i="7"/>
  <c r="D101" i="8" s="1"/>
  <c r="E41" i="7"/>
  <c r="A41" i="9"/>
  <c r="E132" i="7"/>
  <c r="D132" i="8" s="1"/>
  <c r="A132" i="9"/>
  <c r="E198" i="7"/>
  <c r="D198" i="8" s="1"/>
  <c r="A198" i="9"/>
  <c r="A174" i="9"/>
  <c r="E174" i="7"/>
  <c r="A146" i="9"/>
  <c r="E146" i="7"/>
  <c r="E178" i="7"/>
  <c r="A178" i="9"/>
  <c r="E78" i="7"/>
  <c r="A78" i="9"/>
  <c r="A99" i="9"/>
  <c r="E99" i="7"/>
  <c r="A140" i="9"/>
  <c r="E140" i="7"/>
  <c r="D140" i="8" s="1"/>
  <c r="A159" i="9"/>
  <c r="E159" i="7"/>
  <c r="A92" i="9"/>
  <c r="E92" i="7"/>
  <c r="E37" i="7"/>
  <c r="A37" i="9"/>
  <c r="E115" i="7"/>
  <c r="A115" i="9"/>
  <c r="A117" i="9"/>
  <c r="E117" i="7"/>
  <c r="A74" i="9"/>
  <c r="E74" i="7"/>
  <c r="E69" i="7"/>
  <c r="A69" i="9"/>
  <c r="E141" i="7"/>
  <c r="D141" i="8" s="1"/>
  <c r="A141" i="9"/>
  <c r="E51" i="7"/>
  <c r="A51" i="9"/>
  <c r="E26" i="7"/>
  <c r="A26" i="9"/>
  <c r="A193" i="9"/>
  <c r="E193" i="7"/>
  <c r="D193" i="8" s="1"/>
  <c r="E106" i="7"/>
  <c r="D106" i="8" s="1"/>
  <c r="A106" i="9"/>
  <c r="A44" i="9"/>
  <c r="E44" i="7"/>
  <c r="E130" i="7"/>
  <c r="A130" i="9"/>
  <c r="A136" i="9"/>
  <c r="E136" i="7"/>
  <c r="D136" i="8" s="1"/>
  <c r="A76" i="9"/>
  <c r="E76" i="7"/>
  <c r="E33" i="7"/>
  <c r="A33" i="9"/>
  <c r="E123" i="7"/>
  <c r="A123" i="9"/>
  <c r="A138" i="9"/>
  <c r="E138" i="7"/>
  <c r="E109" i="7"/>
  <c r="A109" i="9"/>
  <c r="A77" i="9"/>
  <c r="E77" i="7"/>
  <c r="E66" i="7"/>
  <c r="A66" i="9"/>
  <c r="A60" i="9"/>
  <c r="E60" i="7"/>
  <c r="A158" i="9"/>
  <c r="E158" i="7"/>
  <c r="D158" i="8" s="1"/>
  <c r="E181" i="7"/>
  <c r="D181" i="8" s="1"/>
  <c r="A181" i="9"/>
  <c r="A43" i="9"/>
  <c r="E43" i="7"/>
  <c r="E36" i="7"/>
  <c r="A36" i="9"/>
  <c r="E110" i="7"/>
  <c r="A110" i="9"/>
  <c r="E148" i="7"/>
  <c r="A148" i="9"/>
  <c r="E47" i="7"/>
  <c r="A47" i="9"/>
  <c r="A152" i="9"/>
  <c r="E152" i="7"/>
  <c r="E119" i="7"/>
  <c r="A119" i="9"/>
  <c r="A68" i="9"/>
  <c r="E68" i="7"/>
  <c r="A128" i="9"/>
  <c r="E128" i="7"/>
  <c r="A171" i="9"/>
  <c r="E171" i="7"/>
  <c r="A100" i="9"/>
  <c r="E100" i="7"/>
  <c r="A59" i="9"/>
  <c r="E59" i="7"/>
  <c r="A21" i="9"/>
  <c r="E21" i="7"/>
  <c r="A97" i="9"/>
  <c r="E97" i="7"/>
  <c r="D97" i="8" s="1"/>
  <c r="E57" i="7"/>
  <c r="A57" i="9"/>
  <c r="E166" i="7"/>
  <c r="D166" i="8" s="1"/>
  <c r="A166" i="9"/>
  <c r="E116" i="7"/>
  <c r="D116" i="8" s="1"/>
  <c r="A116" i="9"/>
  <c r="E58" i="7"/>
  <c r="A58" i="9"/>
  <c r="A156" i="9"/>
  <c r="E156" i="7"/>
  <c r="E112" i="7"/>
  <c r="D112" i="8" s="1"/>
  <c r="A112" i="9"/>
  <c r="A23" i="9"/>
  <c r="E23" i="7"/>
  <c r="A31" i="9"/>
  <c r="E31" i="7"/>
  <c r="A64" i="9"/>
  <c r="E64" i="7"/>
  <c r="A67" i="9"/>
  <c r="E67" i="7"/>
  <c r="E85" i="7"/>
  <c r="A85" i="9"/>
  <c r="E177" i="7"/>
  <c r="A177" i="9"/>
  <c r="A53" i="9"/>
  <c r="E53" i="7"/>
  <c r="E14" i="7"/>
  <c r="A14" i="9"/>
  <c r="A89" i="9"/>
  <c r="E89" i="7"/>
  <c r="A39" i="9"/>
  <c r="E39" i="7"/>
  <c r="A6" i="9"/>
  <c r="E6" i="7"/>
  <c r="A194" i="9"/>
  <c r="E194" i="7"/>
  <c r="D194" i="8" s="1"/>
  <c r="E169" i="7"/>
  <c r="A169" i="9"/>
  <c r="A107" i="9"/>
  <c r="E107" i="7"/>
  <c r="A145" i="9"/>
  <c r="E145" i="7"/>
  <c r="A62" i="9"/>
  <c r="A139" i="9"/>
  <c r="E139" i="7"/>
  <c r="E143" i="7"/>
  <c r="D143" i="8" s="1"/>
  <c r="A143" i="9"/>
  <c r="A7" i="9"/>
  <c r="E7" i="7"/>
  <c r="E79" i="7"/>
  <c r="A79" i="9"/>
  <c r="A135" i="9"/>
  <c r="E135" i="7"/>
  <c r="A61" i="9"/>
  <c r="E61" i="7"/>
  <c r="A122" i="9"/>
  <c r="E122" i="7"/>
  <c r="A55" i="9"/>
  <c r="E55" i="7"/>
  <c r="E163" i="7"/>
  <c r="A163" i="9"/>
  <c r="E54" i="7"/>
  <c r="A54" i="9"/>
  <c r="A120" i="9"/>
  <c r="E120" i="7"/>
  <c r="D120" i="8" s="1"/>
  <c r="A94" i="9"/>
  <c r="E94" i="7"/>
  <c r="D94" i="8" s="1"/>
  <c r="A50" i="9"/>
  <c r="E50" i="7"/>
  <c r="A199" i="9"/>
  <c r="E199" i="7"/>
  <c r="E24" i="7"/>
  <c r="A24" i="9"/>
  <c r="A17" i="9"/>
  <c r="E17" i="7"/>
  <c r="E191" i="7"/>
  <c r="A191" i="9"/>
  <c r="E133" i="7"/>
  <c r="A133" i="9"/>
  <c r="A173" i="9"/>
  <c r="E173" i="7"/>
  <c r="E10" i="7"/>
  <c r="A10" i="9"/>
  <c r="E127" i="7"/>
  <c r="A127" i="9"/>
  <c r="A8" i="9"/>
  <c r="E8" i="7"/>
  <c r="E65" i="7"/>
  <c r="A65" i="9"/>
  <c r="A137" i="9"/>
  <c r="E137" i="7"/>
  <c r="A11" i="9"/>
  <c r="E11" i="7"/>
  <c r="E151" i="7"/>
  <c r="D151" i="8" s="1"/>
  <c r="A151" i="9"/>
  <c r="E88" i="7"/>
  <c r="D88" i="8" s="1"/>
  <c r="A88" i="9"/>
  <c r="E134" i="7"/>
  <c r="A134" i="9"/>
  <c r="E150" i="7"/>
  <c r="D150" i="8" s="1"/>
  <c r="A150" i="9"/>
  <c r="E20" i="7"/>
  <c r="A20" i="9"/>
  <c r="A197" i="9"/>
  <c r="E197" i="7"/>
  <c r="A96" i="9"/>
  <c r="E96" i="7"/>
  <c r="D96" i="8" s="1"/>
  <c r="E3" i="7"/>
  <c r="A3" i="9"/>
  <c r="E38" i="7"/>
  <c r="A38" i="9"/>
  <c r="E176" i="7"/>
  <c r="A176" i="9"/>
  <c r="E25" i="7"/>
  <c r="A25" i="9"/>
  <c r="A184" i="9"/>
  <c r="E184" i="7"/>
  <c r="A93" i="9"/>
  <c r="E93" i="7"/>
  <c r="A12" i="9"/>
  <c r="E12" i="7"/>
  <c r="A90" i="9"/>
  <c r="E90" i="7"/>
  <c r="A72" i="9"/>
  <c r="E72" i="7"/>
  <c r="A29" i="9"/>
  <c r="E29" i="7"/>
  <c r="E35" i="7"/>
  <c r="A35" i="9"/>
  <c r="E15" i="7"/>
  <c r="A15" i="9"/>
  <c r="A185" i="9"/>
  <c r="E185" i="7"/>
  <c r="D185" i="8" s="1"/>
  <c r="A46" i="9"/>
  <c r="E46" i="7"/>
  <c r="E19" i="7"/>
  <c r="A19" i="9"/>
  <c r="A5" i="9"/>
  <c r="E5" i="7"/>
  <c r="E81" i="7"/>
  <c r="A81" i="9"/>
  <c r="E187" i="7"/>
  <c r="A187" i="9"/>
  <c r="E42" i="7"/>
  <c r="A42" i="9"/>
  <c r="E162" i="7"/>
  <c r="A162" i="9"/>
  <c r="A154" i="9"/>
  <c r="E154" i="7"/>
  <c r="A22" i="9"/>
  <c r="E22" i="7"/>
  <c r="E84" i="7"/>
  <c r="A84" i="9"/>
  <c r="E126" i="7"/>
  <c r="A126" i="9"/>
  <c r="E190" i="7"/>
  <c r="A190" i="9"/>
  <c r="A186" i="9"/>
  <c r="E186" i="7"/>
  <c r="D186" i="8" s="1"/>
  <c r="E105" i="7"/>
  <c r="D105" i="8" s="1"/>
  <c r="A105" i="9"/>
  <c r="E9" i="7"/>
  <c r="A9" i="9"/>
  <c r="E170" i="7"/>
  <c r="A170" i="9"/>
  <c r="A73" i="9"/>
  <c r="E73" i="7"/>
  <c r="A40" i="9"/>
  <c r="E40" i="7"/>
  <c r="A157" i="9"/>
  <c r="E157" i="7"/>
  <c r="E86" i="7"/>
  <c r="A86" i="9"/>
  <c r="A161" i="9"/>
  <c r="E161" i="7"/>
  <c r="E147" i="7"/>
  <c r="A147" i="9"/>
  <c r="E52" i="7"/>
  <c r="A52" i="9"/>
  <c r="A182" i="9"/>
  <c r="E182" i="7"/>
  <c r="A98" i="9"/>
  <c r="E98" i="7"/>
  <c r="A172" i="9"/>
  <c r="E172" i="7"/>
  <c r="A121" i="9"/>
  <c r="E121" i="7"/>
  <c r="C2" i="7"/>
  <c r="J2" i="7" s="1"/>
  <c r="E2" i="7"/>
  <c r="A2" i="9"/>
  <c r="A149" i="9"/>
  <c r="E149" i="7"/>
  <c r="D149" i="8" s="1"/>
  <c r="A160" i="9"/>
  <c r="E160" i="7"/>
  <c r="E180" i="7"/>
  <c r="A180" i="9"/>
  <c r="E189" i="7"/>
  <c r="D189" i="8" s="1"/>
  <c r="A189" i="9"/>
  <c r="A196" i="9"/>
  <c r="E196" i="7"/>
  <c r="A91" i="9"/>
  <c r="E91" i="7"/>
  <c r="E111" i="7"/>
  <c r="A111" i="9"/>
  <c r="A188" i="9"/>
  <c r="E188" i="7"/>
  <c r="A114" i="9"/>
  <c r="E114" i="7"/>
  <c r="E80" i="7"/>
  <c r="A80" i="9"/>
  <c r="E153" i="7"/>
  <c r="A153" i="9"/>
  <c r="E32" i="7"/>
  <c r="A32" i="9"/>
  <c r="A49" i="9"/>
  <c r="E49" i="7"/>
  <c r="E113" i="7"/>
  <c r="A113" i="9"/>
  <c r="E16" i="7"/>
  <c r="A16" i="9"/>
  <c r="A45" i="9"/>
  <c r="E45" i="7"/>
  <c r="A125" i="9"/>
  <c r="E125" i="7"/>
  <c r="D125" i="8" s="1"/>
  <c r="E48" i="7"/>
  <c r="A48" i="9"/>
  <c r="A103" i="9"/>
  <c r="E103" i="7"/>
  <c r="A30" i="9"/>
  <c r="E30" i="7"/>
  <c r="E175" i="7"/>
  <c r="A175" i="9"/>
  <c r="A75" i="9"/>
  <c r="E75" i="7"/>
  <c r="A102" i="9"/>
  <c r="E102" i="7"/>
  <c r="E18" i="7"/>
  <c r="A18" i="9"/>
  <c r="A118" i="9"/>
  <c r="E118" i="7"/>
  <c r="E124" i="7"/>
  <c r="A124" i="9"/>
  <c r="A168" i="9"/>
  <c r="E168" i="7"/>
  <c r="A192" i="9"/>
  <c r="E192" i="7"/>
  <c r="A142" i="9"/>
  <c r="E142" i="7"/>
  <c r="A13" i="9"/>
  <c r="E13" i="7"/>
  <c r="E155" i="7"/>
  <c r="A155" i="9"/>
  <c r="A95" i="9"/>
  <c r="E95" i="7"/>
  <c r="D95" i="8" s="1"/>
  <c r="A56" i="9"/>
  <c r="E56" i="7"/>
  <c r="A71" i="9"/>
  <c r="E71" i="7"/>
  <c r="A200" i="9"/>
  <c r="E200" i="7"/>
  <c r="A70" i="9"/>
  <c r="E70" i="7"/>
  <c r="E144" i="7"/>
  <c r="A144" i="9"/>
  <c r="E131" i="7"/>
  <c r="A131" i="9"/>
  <c r="A195" i="9"/>
  <c r="E195" i="7"/>
  <c r="A108" i="9"/>
  <c r="E108" i="7"/>
  <c r="A27" i="9"/>
  <c r="E27" i="7"/>
  <c r="E82" i="7"/>
  <c r="A82" i="9"/>
  <c r="E34" i="7"/>
  <c r="A34" i="9"/>
  <c r="A164" i="9"/>
  <c r="E164" i="7"/>
  <c r="E129" i="7"/>
  <c r="A129" i="9"/>
  <c r="A167" i="9"/>
  <c r="E167" i="7"/>
  <c r="E4" i="7"/>
  <c r="A4" i="9"/>
  <c r="A183" i="9"/>
  <c r="E183" i="7"/>
  <c r="D183" i="8" s="1"/>
  <c r="E83" i="7"/>
  <c r="A83" i="9"/>
  <c r="A104" i="9"/>
  <c r="E104" i="7"/>
  <c r="D104" i="8" s="1"/>
  <c r="A165" i="9"/>
  <c r="E165" i="7"/>
  <c r="A63" i="9"/>
  <c r="E63" i="7"/>
  <c r="A28" i="9"/>
  <c r="E28" i="7"/>
  <c r="E179" i="7"/>
  <c r="A179" i="9"/>
  <c r="E87" i="7"/>
  <c r="A87" i="9"/>
  <c r="C104" i="7"/>
  <c r="A104" i="8" s="1"/>
  <c r="B104" i="7"/>
  <c r="C147" i="7"/>
  <c r="A147" i="8" s="1"/>
  <c r="C90" i="7"/>
  <c r="A90" i="8" s="1"/>
  <c r="C41" i="7"/>
  <c r="C108" i="7"/>
  <c r="A108" i="8" s="1"/>
  <c r="C18" i="7"/>
  <c r="C189" i="7"/>
  <c r="A189" i="8" s="1"/>
  <c r="B189" i="8" s="1"/>
  <c r="B189" i="7"/>
  <c r="C135" i="7"/>
  <c r="A135" i="8" s="1"/>
  <c r="C87" i="7"/>
  <c r="C140" i="7"/>
  <c r="A140" i="8" s="1"/>
  <c r="B140" i="7"/>
  <c r="C76" i="7"/>
  <c r="C85" i="7"/>
  <c r="C192" i="7"/>
  <c r="A192" i="8" s="1"/>
  <c r="B192" i="8" s="1"/>
  <c r="C180" i="7"/>
  <c r="A180" i="8" s="1"/>
  <c r="B180" i="8" s="1"/>
  <c r="C105" i="7"/>
  <c r="A105" i="8" s="1"/>
  <c r="B105" i="7"/>
  <c r="C56" i="7"/>
  <c r="C45" i="7"/>
  <c r="C164" i="7"/>
  <c r="A164" i="8" s="1"/>
  <c r="B164" i="8" s="1"/>
  <c r="C144" i="7"/>
  <c r="A144" i="8" s="1"/>
  <c r="C107" i="7"/>
  <c r="A107" i="8" s="1"/>
  <c r="C157" i="7"/>
  <c r="A157" i="8" s="1"/>
  <c r="B157" i="8" s="1"/>
  <c r="C150" i="7"/>
  <c r="A150" i="8" s="1"/>
  <c r="B150" i="7"/>
  <c r="C52" i="7"/>
  <c r="C63" i="7"/>
  <c r="C81" i="7"/>
  <c r="C200" i="7"/>
  <c r="A200" i="8" s="1"/>
  <c r="B200" i="8" s="1"/>
  <c r="C62" i="7"/>
  <c r="C66" i="7"/>
  <c r="C60" i="7"/>
  <c r="C101" i="7"/>
  <c r="A101" i="8" s="1"/>
  <c r="B101" i="7"/>
  <c r="C21" i="7"/>
  <c r="C153" i="7"/>
  <c r="A153" i="8" s="1"/>
  <c r="B153" i="8" s="1"/>
  <c r="C158" i="7"/>
  <c r="A158" i="8" s="1"/>
  <c r="B158" i="8" s="1"/>
  <c r="B158" i="7"/>
  <c r="C4" i="7"/>
  <c r="C152" i="7"/>
  <c r="A152" i="8" s="1"/>
  <c r="C151" i="7"/>
  <c r="A151" i="8" s="1"/>
  <c r="C32" i="7"/>
  <c r="C30" i="7"/>
  <c r="C195" i="7"/>
  <c r="A195" i="8" s="1"/>
  <c r="B195" i="8" s="1"/>
  <c r="C55" i="7"/>
  <c r="C188" i="7"/>
  <c r="A188" i="8" s="1"/>
  <c r="B188" i="8" s="1"/>
  <c r="C46" i="7"/>
  <c r="C128" i="7"/>
  <c r="A128" i="8" s="1"/>
  <c r="C29" i="7"/>
  <c r="C167" i="7"/>
  <c r="A167" i="8" s="1"/>
  <c r="B167" i="8" s="1"/>
  <c r="C86" i="7"/>
  <c r="C89" i="7"/>
  <c r="A89" i="8" s="1"/>
  <c r="C93" i="7"/>
  <c r="A93" i="8" s="1"/>
  <c r="C148" i="7"/>
  <c r="A148" i="8" s="1"/>
  <c r="C54" i="7"/>
  <c r="C120" i="7"/>
  <c r="A120" i="8" s="1"/>
  <c r="B120" i="7"/>
  <c r="C111" i="7"/>
  <c r="A111" i="8" s="1"/>
  <c r="C13" i="7"/>
  <c r="C177" i="7"/>
  <c r="A177" i="8" s="1"/>
  <c r="B177" i="8" s="1"/>
  <c r="C99" i="7"/>
  <c r="A99" i="8" s="1"/>
  <c r="C119" i="7"/>
  <c r="A119" i="8" s="1"/>
  <c r="C136" i="7"/>
  <c r="A136" i="8" s="1"/>
  <c r="B136" i="7"/>
  <c r="C143" i="7"/>
  <c r="A143" i="8" s="1"/>
  <c r="B143" i="7"/>
  <c r="C115" i="7"/>
  <c r="A115" i="8" s="1"/>
  <c r="C97" i="7"/>
  <c r="A97" i="8" s="1"/>
  <c r="B97" i="7"/>
  <c r="C82" i="7"/>
  <c r="C47" i="7"/>
  <c r="C176" i="7"/>
  <c r="A176" i="8" s="1"/>
  <c r="B176" i="8" s="1"/>
  <c r="C14" i="7"/>
  <c r="C31" i="7"/>
  <c r="C16" i="7"/>
  <c r="C68" i="7"/>
  <c r="C23" i="7"/>
  <c r="C49" i="7"/>
  <c r="C156" i="7"/>
  <c r="A156" i="8" s="1"/>
  <c r="B156" i="8" s="1"/>
  <c r="C6" i="7"/>
  <c r="C174" i="7"/>
  <c r="A174" i="8" s="1"/>
  <c r="B174" i="8" s="1"/>
  <c r="C77" i="7"/>
  <c r="C187" i="7"/>
  <c r="A187" i="8" s="1"/>
  <c r="B187" i="8" s="1"/>
  <c r="C65" i="7"/>
  <c r="C15" i="7"/>
  <c r="C57" i="7"/>
  <c r="C17" i="7"/>
  <c r="C58" i="7"/>
  <c r="C7" i="7"/>
  <c r="C123" i="7"/>
  <c r="A123" i="8" s="1"/>
  <c r="C113" i="7"/>
  <c r="A113" i="8" s="1"/>
  <c r="C112" i="7"/>
  <c r="A112" i="8" s="1"/>
  <c r="B112" i="7"/>
  <c r="C24" i="7"/>
  <c r="C70" i="7"/>
  <c r="C166" i="7"/>
  <c r="A166" i="8" s="1"/>
  <c r="B166" i="8" s="1"/>
  <c r="B166" i="7"/>
  <c r="C142" i="7"/>
  <c r="A142" i="8" s="1"/>
  <c r="C161" i="7"/>
  <c r="A161" i="8" s="1"/>
  <c r="B161" i="8" s="1"/>
  <c r="C118" i="7"/>
  <c r="A118" i="8" s="1"/>
  <c r="C42" i="7"/>
  <c r="C27" i="7"/>
  <c r="C149" i="7"/>
  <c r="A149" i="8" s="1"/>
  <c r="B149" i="7"/>
  <c r="C38" i="7"/>
  <c r="C199" i="7"/>
  <c r="A199" i="8" s="1"/>
  <c r="B199" i="8" s="1"/>
  <c r="C179" i="7"/>
  <c r="A179" i="8" s="1"/>
  <c r="B179" i="8" s="1"/>
  <c r="C137" i="7"/>
  <c r="A137" i="8" s="1"/>
  <c r="C100" i="7"/>
  <c r="A100" i="8" s="1"/>
  <c r="C11" i="7"/>
  <c r="C134" i="7"/>
  <c r="A134" i="8" s="1"/>
  <c r="C160" i="7"/>
  <c r="A160" i="8" s="1"/>
  <c r="B160" i="8" s="1"/>
  <c r="C79" i="7"/>
  <c r="C71" i="7"/>
  <c r="C35" i="7"/>
  <c r="C173" i="7"/>
  <c r="A173" i="8" s="1"/>
  <c r="B173" i="8" s="1"/>
  <c r="C181" i="7"/>
  <c r="A181" i="8" s="1"/>
  <c r="B181" i="8" s="1"/>
  <c r="B181" i="7"/>
  <c r="C96" i="7"/>
  <c r="A96" i="8" s="1"/>
  <c r="B96" i="7"/>
  <c r="C95" i="7"/>
  <c r="A95" i="8" s="1"/>
  <c r="C106" i="7"/>
  <c r="A106" i="8" s="1"/>
  <c r="B106" i="7"/>
  <c r="C44" i="7"/>
  <c r="C28" i="7"/>
  <c r="C162" i="7"/>
  <c r="A162" i="8" s="1"/>
  <c r="B162" i="8" s="1"/>
  <c r="C133" i="7"/>
  <c r="A133" i="8" s="1"/>
  <c r="C67" i="7"/>
  <c r="C122" i="7"/>
  <c r="A122" i="8" s="1"/>
  <c r="C169" i="7"/>
  <c r="A169" i="8" s="1"/>
  <c r="B169" i="8" s="1"/>
  <c r="C146" i="7"/>
  <c r="A146" i="8" s="1"/>
  <c r="C175" i="7"/>
  <c r="A175" i="8" s="1"/>
  <c r="B175" i="8" s="1"/>
  <c r="C116" i="7"/>
  <c r="A116" i="8" s="1"/>
  <c r="B116" i="7"/>
  <c r="C196" i="7"/>
  <c r="A196" i="8" s="1"/>
  <c r="B196" i="8" s="1"/>
  <c r="C51" i="7"/>
  <c r="C186" i="7"/>
  <c r="A186" i="8" s="1"/>
  <c r="B186" i="8" s="1"/>
  <c r="B186" i="7"/>
  <c r="C165" i="7"/>
  <c r="A165" i="8" s="1"/>
  <c r="B165" i="8" s="1"/>
  <c r="C103" i="7"/>
  <c r="A103" i="8" s="1"/>
  <c r="C130" i="7"/>
  <c r="A130" i="8" s="1"/>
  <c r="C43" i="7"/>
  <c r="C74" i="7"/>
  <c r="C19" i="7"/>
  <c r="C129" i="7"/>
  <c r="A129" i="8" s="1"/>
  <c r="C178" i="7"/>
  <c r="A178" i="8" s="1"/>
  <c r="B178" i="8" s="1"/>
  <c r="C182" i="7"/>
  <c r="A182" i="8" s="1"/>
  <c r="B182" i="8" s="1"/>
  <c r="C138" i="7"/>
  <c r="A138" i="8" s="1"/>
  <c r="C131" i="7"/>
  <c r="A131" i="8" s="1"/>
  <c r="C109" i="7"/>
  <c r="A109" i="8" s="1"/>
  <c r="C69" i="7"/>
  <c r="C154" i="7"/>
  <c r="A154" i="8" s="1"/>
  <c r="B154" i="8" s="1"/>
  <c r="C185" i="7"/>
  <c r="A185" i="8" s="1"/>
  <c r="B185" i="8" s="1"/>
  <c r="B185" i="7"/>
  <c r="C168" i="7"/>
  <c r="A168" i="8" s="1"/>
  <c r="B168" i="8" s="1"/>
  <c r="C36" i="7"/>
  <c r="C197" i="7"/>
  <c r="A197" i="8" s="1"/>
  <c r="B197" i="8" s="1"/>
  <c r="C145" i="7"/>
  <c r="A145" i="8" s="1"/>
  <c r="C102" i="7"/>
  <c r="A102" i="8" s="1"/>
  <c r="C64" i="7"/>
  <c r="C88" i="7"/>
  <c r="A88" i="8" s="1"/>
  <c r="B88" i="7"/>
  <c r="C73" i="7"/>
  <c r="C26" i="7"/>
  <c r="C114" i="7"/>
  <c r="A114" i="8" s="1"/>
  <c r="C163" i="7"/>
  <c r="A163" i="8" s="1"/>
  <c r="B163" i="8" s="1"/>
  <c r="C20" i="7"/>
  <c r="C8" i="7"/>
  <c r="C194" i="7"/>
  <c r="A194" i="8" s="1"/>
  <c r="B194" i="8" s="1"/>
  <c r="B194" i="7"/>
  <c r="C159" i="7"/>
  <c r="A159" i="8" s="1"/>
  <c r="B159" i="8" s="1"/>
  <c r="C139" i="7"/>
  <c r="A139" i="8" s="1"/>
  <c r="C121" i="7"/>
  <c r="A121" i="8" s="1"/>
  <c r="C94" i="7"/>
  <c r="A94" i="8" s="1"/>
  <c r="B94" i="7"/>
  <c r="C39" i="7"/>
  <c r="C10" i="7"/>
  <c r="C127" i="7"/>
  <c r="A127" i="8" s="1"/>
  <c r="C72" i="7"/>
  <c r="C78" i="7"/>
  <c r="C110" i="7"/>
  <c r="A110" i="8" s="1"/>
  <c r="C117" i="7"/>
  <c r="A117" i="8" s="1"/>
  <c r="C22" i="7"/>
  <c r="C25" i="7"/>
  <c r="C183" i="7"/>
  <c r="A183" i="8" s="1"/>
  <c r="B183" i="8" s="1"/>
  <c r="C5" i="7"/>
  <c r="C91" i="7"/>
  <c r="A91" i="8" s="1"/>
  <c r="C80" i="7"/>
  <c r="C132" i="7"/>
  <c r="A132" i="8" s="1"/>
  <c r="B132" i="7"/>
  <c r="C125" i="7"/>
  <c r="A125" i="8" s="1"/>
  <c r="B125" i="7"/>
  <c r="C59" i="7"/>
  <c r="C124" i="7"/>
  <c r="A124" i="8" s="1"/>
  <c r="C40" i="7"/>
  <c r="C12" i="7"/>
  <c r="C193" i="7"/>
  <c r="A193" i="8" s="1"/>
  <c r="B193" i="8" s="1"/>
  <c r="B193" i="7"/>
  <c r="C84" i="7"/>
  <c r="C170" i="7"/>
  <c r="A170" i="8" s="1"/>
  <c r="B170" i="8" s="1"/>
  <c r="C37" i="7"/>
  <c r="C83" i="7"/>
  <c r="C33" i="7"/>
  <c r="C191" i="7"/>
  <c r="A191" i="8" s="1"/>
  <c r="B191" i="8" s="1"/>
  <c r="C9" i="7"/>
  <c r="C126" i="7"/>
  <c r="A126" i="8" s="1"/>
  <c r="C50" i="7"/>
  <c r="C198" i="7"/>
  <c r="A198" i="8" s="1"/>
  <c r="B198" i="8" s="1"/>
  <c r="B198" i="7"/>
  <c r="C75" i="7"/>
  <c r="C171" i="7"/>
  <c r="A171" i="8" s="1"/>
  <c r="B171" i="8" s="1"/>
  <c r="C48" i="7"/>
  <c r="C3" i="7"/>
  <c r="C53" i="7"/>
  <c r="C172" i="7"/>
  <c r="A172" i="8" s="1"/>
  <c r="B172" i="8" s="1"/>
  <c r="C92" i="7"/>
  <c r="A92" i="8" s="1"/>
  <c r="C155" i="7"/>
  <c r="A155" i="8" s="1"/>
  <c r="B155" i="8" s="1"/>
  <c r="C190" i="7"/>
  <c r="A190" i="8" s="1"/>
  <c r="B190" i="8" s="1"/>
  <c r="C184" i="7"/>
  <c r="A184" i="8" s="1"/>
  <c r="B184" i="8" s="1"/>
  <c r="C141" i="7"/>
  <c r="A141" i="8" s="1"/>
  <c r="B141" i="7"/>
  <c r="C98" i="7"/>
  <c r="A98" i="8" s="1"/>
  <c r="C34" i="7"/>
  <c r="C61" i="7"/>
  <c r="B190" i="7" l="1"/>
  <c r="D190" i="8"/>
  <c r="B163" i="7"/>
  <c r="D163" i="8"/>
  <c r="B117" i="7"/>
  <c r="D117" i="8"/>
  <c r="B155" i="7"/>
  <c r="D155" i="8"/>
  <c r="B121" i="7"/>
  <c r="D121" i="8"/>
  <c r="B90" i="7"/>
  <c r="D90" i="8"/>
  <c r="B137" i="7"/>
  <c r="D137" i="8"/>
  <c r="B152" i="7"/>
  <c r="D152" i="8"/>
  <c r="B99" i="7"/>
  <c r="D99" i="8"/>
  <c r="B122" i="7"/>
  <c r="D122" i="8"/>
  <c r="B187" i="7"/>
  <c r="D187" i="8"/>
  <c r="B133" i="7"/>
  <c r="D133" i="8"/>
  <c r="B123" i="7"/>
  <c r="D123" i="8"/>
  <c r="B173" i="7"/>
  <c r="D173" i="8"/>
  <c r="B130" i="7"/>
  <c r="D130" i="8"/>
  <c r="B93" i="7"/>
  <c r="D93" i="8"/>
  <c r="B171" i="7"/>
  <c r="D171" i="8"/>
  <c r="B127" i="7"/>
  <c r="D127" i="8"/>
  <c r="B162" i="7"/>
  <c r="D162" i="8"/>
  <c r="B111" i="7"/>
  <c r="D111" i="8"/>
  <c r="B157" i="7"/>
  <c r="D157" i="8"/>
  <c r="B148" i="7"/>
  <c r="D148" i="8"/>
  <c r="B178" i="7"/>
  <c r="D178" i="8"/>
  <c r="B115" i="7"/>
  <c r="D115" i="8"/>
  <c r="B129" i="7"/>
  <c r="D129" i="8"/>
  <c r="B182" i="7"/>
  <c r="D182" i="8"/>
  <c r="B145" i="7"/>
  <c r="D145" i="8"/>
  <c r="B156" i="7"/>
  <c r="D156" i="8"/>
  <c r="B146" i="7"/>
  <c r="D146" i="8"/>
  <c r="B138" i="7"/>
  <c r="D138" i="8"/>
  <c r="B192" i="7"/>
  <c r="D192" i="8"/>
  <c r="B183" i="7"/>
  <c r="B95" i="7"/>
  <c r="B179" i="7"/>
  <c r="D179" i="8"/>
  <c r="B131" i="7"/>
  <c r="D131" i="8"/>
  <c r="B197" i="7"/>
  <c r="D197" i="8"/>
  <c r="B110" i="7"/>
  <c r="D110" i="8"/>
  <c r="B151" i="7"/>
  <c r="B114" i="7"/>
  <c r="D114" i="8"/>
  <c r="B196" i="7"/>
  <c r="D196" i="8"/>
  <c r="B107" i="7"/>
  <c r="D107" i="8"/>
  <c r="B174" i="7"/>
  <c r="D174" i="8"/>
  <c r="B167" i="7"/>
  <c r="D167" i="8"/>
  <c r="B109" i="7"/>
  <c r="D109" i="8"/>
  <c r="B98" i="7"/>
  <c r="D98" i="8"/>
  <c r="B175" i="7"/>
  <c r="D175" i="8"/>
  <c r="B113" i="7"/>
  <c r="D113" i="8"/>
  <c r="B169" i="7"/>
  <c r="D169" i="8"/>
  <c r="B118" i="7"/>
  <c r="D118" i="8"/>
  <c r="B102" i="7"/>
  <c r="D102" i="8"/>
  <c r="B191" i="7"/>
  <c r="D191" i="8"/>
  <c r="B91" i="7"/>
  <c r="D91" i="8"/>
  <c r="B165" i="7"/>
  <c r="D165" i="8"/>
  <c r="B200" i="7"/>
  <c r="D200" i="8"/>
  <c r="B103" i="7"/>
  <c r="D103" i="8"/>
  <c r="B170" i="7"/>
  <c r="D170" i="8"/>
  <c r="B164" i="7"/>
  <c r="D164" i="8"/>
  <c r="B168" i="7"/>
  <c r="D168" i="8"/>
  <c r="B176" i="7"/>
  <c r="D176" i="8"/>
  <c r="B188" i="7"/>
  <c r="D188" i="8"/>
  <c r="B199" i="7"/>
  <c r="D199" i="8"/>
  <c r="B180" i="7"/>
  <c r="D180" i="8"/>
  <c r="B159" i="7"/>
  <c r="D159" i="8"/>
  <c r="B153" i="7"/>
  <c r="D153" i="8"/>
  <c r="B160" i="7"/>
  <c r="D160" i="8"/>
  <c r="B134" i="7"/>
  <c r="D134" i="8"/>
  <c r="B142" i="7"/>
  <c r="D142" i="8"/>
  <c r="B177" i="7"/>
  <c r="D177" i="8"/>
  <c r="B92" i="7"/>
  <c r="D92" i="8"/>
  <c r="B135" i="7"/>
  <c r="D135" i="8"/>
  <c r="B119" i="7"/>
  <c r="D119" i="8"/>
  <c r="B147" i="7"/>
  <c r="D147" i="8"/>
  <c r="B126" i="7"/>
  <c r="D126" i="8"/>
  <c r="B128" i="7"/>
  <c r="D128" i="8"/>
  <c r="B154" i="7"/>
  <c r="D154" i="8"/>
  <c r="B161" i="7"/>
  <c r="D161" i="8"/>
  <c r="B139" i="7"/>
  <c r="D139" i="8"/>
  <c r="B89" i="7"/>
  <c r="D89" i="8"/>
  <c r="B100" i="7"/>
  <c r="D100" i="8"/>
  <c r="B172" i="7"/>
  <c r="D172" i="8"/>
  <c r="B184" i="7"/>
  <c r="D184" i="8"/>
  <c r="B124" i="7"/>
  <c r="D124" i="8"/>
  <c r="B108" i="7"/>
  <c r="D108" i="8"/>
  <c r="B195" i="7"/>
  <c r="D195" i="8"/>
  <c r="B144" i="7"/>
  <c r="D144" i="8"/>
  <c r="I2" i="8"/>
  <c r="F2" i="9"/>
  <c r="I2" i="7"/>
  <c r="Q2" i="7"/>
  <c r="P2" i="7"/>
  <c r="H2" i="7"/>
  <c r="N2" i="7"/>
  <c r="O2" i="7"/>
  <c r="M2" i="7"/>
  <c r="F2" i="7"/>
  <c r="B2" i="9" s="1"/>
  <c r="G2" i="7"/>
  <c r="L2" i="7"/>
  <c r="K2" i="7"/>
  <c r="L177" i="7"/>
  <c r="M177" i="7"/>
  <c r="N177" i="7"/>
  <c r="I177" i="7"/>
  <c r="J177" i="7"/>
  <c r="Q177" i="7"/>
  <c r="P177" i="7"/>
  <c r="F177" i="7"/>
  <c r="K177" i="7"/>
  <c r="G177" i="7"/>
  <c r="H177" i="7"/>
  <c r="O177" i="7"/>
  <c r="F121" i="7"/>
  <c r="M121" i="7"/>
  <c r="G121" i="7"/>
  <c r="J121" i="7"/>
  <c r="K121" i="7"/>
  <c r="O121" i="7"/>
  <c r="H121" i="7"/>
  <c r="L121" i="7"/>
  <c r="N121" i="7"/>
  <c r="P121" i="7"/>
  <c r="I121" i="7"/>
  <c r="Q121" i="7"/>
  <c r="H137" i="7"/>
  <c r="M137" i="7"/>
  <c r="I137" i="7"/>
  <c r="O137" i="7"/>
  <c r="J137" i="7"/>
  <c r="N137" i="7"/>
  <c r="K137" i="7"/>
  <c r="L137" i="7"/>
  <c r="P137" i="7"/>
  <c r="F137" i="7"/>
  <c r="G137" i="7"/>
  <c r="Q137" i="7"/>
  <c r="K158" i="7"/>
  <c r="L158" i="7"/>
  <c r="G158" i="7"/>
  <c r="H158" i="7"/>
  <c r="F158" i="7"/>
  <c r="O158" i="7"/>
  <c r="P158" i="7"/>
  <c r="Q158" i="7"/>
  <c r="N158" i="7"/>
  <c r="I158" i="7"/>
  <c r="J158" i="7"/>
  <c r="M158" i="7"/>
  <c r="J155" i="7"/>
  <c r="K155" i="7"/>
  <c r="L155" i="7"/>
  <c r="O155" i="7"/>
  <c r="P155" i="7"/>
  <c r="G155" i="7"/>
  <c r="F155" i="7"/>
  <c r="N155" i="7"/>
  <c r="H155" i="7"/>
  <c r="M155" i="7"/>
  <c r="Q155" i="7"/>
  <c r="I155" i="7"/>
  <c r="A59" i="8"/>
  <c r="J59" i="7"/>
  <c r="K59" i="7"/>
  <c r="L59" i="7"/>
  <c r="H59" i="7"/>
  <c r="G59" i="7"/>
  <c r="I59" i="7"/>
  <c r="M59" i="7"/>
  <c r="N59" i="7"/>
  <c r="O59" i="7"/>
  <c r="P59" i="7"/>
  <c r="Q59" i="7"/>
  <c r="F59" i="7"/>
  <c r="O194" i="7"/>
  <c r="P194" i="7"/>
  <c r="Q194" i="7"/>
  <c r="K194" i="7"/>
  <c r="L194" i="7"/>
  <c r="M194" i="7"/>
  <c r="N194" i="7"/>
  <c r="I194" i="7"/>
  <c r="G194" i="7"/>
  <c r="J194" i="7"/>
  <c r="F194" i="7"/>
  <c r="H194" i="7"/>
  <c r="H133" i="7"/>
  <c r="I133" i="7"/>
  <c r="J133" i="7"/>
  <c r="F133" i="7"/>
  <c r="G133" i="7"/>
  <c r="N133" i="7"/>
  <c r="K133" i="7"/>
  <c r="M133" i="7"/>
  <c r="Q133" i="7"/>
  <c r="L133" i="7"/>
  <c r="O133" i="7"/>
  <c r="P133" i="7"/>
  <c r="A60" i="8"/>
  <c r="M60" i="7"/>
  <c r="O60" i="7"/>
  <c r="N60" i="7"/>
  <c r="K60" i="7"/>
  <c r="L60" i="7"/>
  <c r="P60" i="7"/>
  <c r="Q60" i="7"/>
  <c r="G60" i="7"/>
  <c r="H60" i="7"/>
  <c r="I60" i="7"/>
  <c r="J60" i="7"/>
  <c r="F60" i="7"/>
  <c r="N135" i="7"/>
  <c r="O135" i="7"/>
  <c r="P135" i="7"/>
  <c r="F135" i="7"/>
  <c r="G135" i="7"/>
  <c r="J135" i="7"/>
  <c r="K135" i="7"/>
  <c r="Q135" i="7"/>
  <c r="H135" i="7"/>
  <c r="I135" i="7"/>
  <c r="L135" i="7"/>
  <c r="M135" i="7"/>
  <c r="F111" i="7"/>
  <c r="G111" i="7"/>
  <c r="H111" i="7"/>
  <c r="M111" i="7"/>
  <c r="I111" i="7"/>
  <c r="L111" i="7"/>
  <c r="J111" i="7"/>
  <c r="O111" i="7"/>
  <c r="P111" i="7"/>
  <c r="K111" i="7"/>
  <c r="N111" i="7"/>
  <c r="Q111" i="7"/>
  <c r="M122" i="7"/>
  <c r="Q122" i="7"/>
  <c r="N122" i="7"/>
  <c r="P122" i="7"/>
  <c r="O122" i="7"/>
  <c r="I122" i="7"/>
  <c r="J122" i="7"/>
  <c r="K122" i="7"/>
  <c r="L122" i="7"/>
  <c r="G122" i="7"/>
  <c r="F122" i="7"/>
  <c r="H122" i="7"/>
  <c r="A21" i="8"/>
  <c r="L21" i="7"/>
  <c r="M21" i="7"/>
  <c r="P21" i="7"/>
  <c r="Q21" i="7"/>
  <c r="N21" i="7"/>
  <c r="O21" i="7"/>
  <c r="G21" i="7"/>
  <c r="F21" i="7"/>
  <c r="H21" i="7"/>
  <c r="J21" i="7"/>
  <c r="I21" i="7"/>
  <c r="K21" i="7"/>
  <c r="F190" i="7"/>
  <c r="P190" i="7"/>
  <c r="Q190" i="7"/>
  <c r="L190" i="7"/>
  <c r="M190" i="7"/>
  <c r="O190" i="7"/>
  <c r="N190" i="7"/>
  <c r="I190" i="7"/>
  <c r="G190" i="7"/>
  <c r="J190" i="7"/>
  <c r="K190" i="7"/>
  <c r="H190" i="7"/>
  <c r="A67" i="8"/>
  <c r="G67" i="7"/>
  <c r="I67" i="7"/>
  <c r="H67" i="7"/>
  <c r="J67" i="7"/>
  <c r="F67" i="7"/>
  <c r="Q67" i="7"/>
  <c r="K67" i="7"/>
  <c r="M67" i="7"/>
  <c r="O67" i="7"/>
  <c r="N67" i="7"/>
  <c r="P67" i="7"/>
  <c r="L67" i="7"/>
  <c r="N199" i="7"/>
  <c r="O199" i="7"/>
  <c r="P199" i="7"/>
  <c r="F199" i="7"/>
  <c r="G199" i="7"/>
  <c r="J199" i="7"/>
  <c r="K199" i="7"/>
  <c r="L199" i="7"/>
  <c r="M199" i="7"/>
  <c r="H199" i="7"/>
  <c r="I199" i="7"/>
  <c r="Q199" i="7"/>
  <c r="Q120" i="7"/>
  <c r="I120" i="7"/>
  <c r="J120" i="7"/>
  <c r="G120" i="7"/>
  <c r="K120" i="7"/>
  <c r="L120" i="7"/>
  <c r="F120" i="7"/>
  <c r="H120" i="7"/>
  <c r="P120" i="7"/>
  <c r="N120" i="7"/>
  <c r="O120" i="7"/>
  <c r="M120" i="7"/>
  <c r="G138" i="7"/>
  <c r="H138" i="7"/>
  <c r="I138" i="7"/>
  <c r="P138" i="7"/>
  <c r="Q138" i="7"/>
  <c r="N138" i="7"/>
  <c r="J138" i="7"/>
  <c r="L138" i="7"/>
  <c r="F138" i="7"/>
  <c r="M138" i="7"/>
  <c r="O138" i="7"/>
  <c r="K138" i="7"/>
  <c r="A54" i="8"/>
  <c r="K54" i="7"/>
  <c r="L54" i="7"/>
  <c r="M54" i="7"/>
  <c r="H54" i="7"/>
  <c r="I54" i="7"/>
  <c r="P54" i="7"/>
  <c r="J54" i="7"/>
  <c r="Q54" i="7"/>
  <c r="N54" i="7"/>
  <c r="O54" i="7"/>
  <c r="F54" i="7"/>
  <c r="G54" i="7"/>
  <c r="K182" i="7"/>
  <c r="L182" i="7"/>
  <c r="M182" i="7"/>
  <c r="Q182" i="7"/>
  <c r="P182" i="7"/>
  <c r="F182" i="7"/>
  <c r="I182" i="7"/>
  <c r="J182" i="7"/>
  <c r="G182" i="7"/>
  <c r="N182" i="7"/>
  <c r="H182" i="7"/>
  <c r="O182" i="7"/>
  <c r="O162" i="7"/>
  <c r="P162" i="7"/>
  <c r="Q162" i="7"/>
  <c r="M162" i="7"/>
  <c r="N162" i="7"/>
  <c r="J162" i="7"/>
  <c r="I162" i="7"/>
  <c r="K162" i="7"/>
  <c r="H162" i="7"/>
  <c r="F162" i="7"/>
  <c r="G162" i="7"/>
  <c r="L162" i="7"/>
  <c r="A27" i="8"/>
  <c r="J27" i="7"/>
  <c r="K27" i="7"/>
  <c r="M27" i="7"/>
  <c r="L27" i="7"/>
  <c r="F27" i="7"/>
  <c r="N27" i="7"/>
  <c r="I27" i="7"/>
  <c r="H27" i="7"/>
  <c r="G27" i="7"/>
  <c r="O27" i="7"/>
  <c r="P27" i="7"/>
  <c r="Q27" i="7"/>
  <c r="A49" i="8"/>
  <c r="L49" i="7"/>
  <c r="M49" i="7"/>
  <c r="N49" i="7"/>
  <c r="P49" i="7"/>
  <c r="Q49" i="7"/>
  <c r="F49" i="7"/>
  <c r="G49" i="7"/>
  <c r="I49" i="7"/>
  <c r="H49" i="7"/>
  <c r="K49" i="7"/>
  <c r="J49" i="7"/>
  <c r="O49" i="7"/>
  <c r="A62" i="8"/>
  <c r="F62" i="7"/>
  <c r="G62" i="7"/>
  <c r="H62" i="7"/>
  <c r="I62" i="7"/>
  <c r="K62" i="7"/>
  <c r="J62" i="7"/>
  <c r="Q62" i="7"/>
  <c r="L62" i="7"/>
  <c r="M62" i="7"/>
  <c r="N62" i="7"/>
  <c r="O62" i="7"/>
  <c r="P62" i="7"/>
  <c r="P189" i="7"/>
  <c r="Q189" i="7"/>
  <c r="I189" i="7"/>
  <c r="J189" i="7"/>
  <c r="K189" i="7"/>
  <c r="L189" i="7"/>
  <c r="N189" i="7"/>
  <c r="M189" i="7"/>
  <c r="O189" i="7"/>
  <c r="G189" i="7"/>
  <c r="F189" i="7"/>
  <c r="H189" i="7"/>
  <c r="Q184" i="7"/>
  <c r="F184" i="7"/>
  <c r="G184" i="7"/>
  <c r="H184" i="7"/>
  <c r="J184" i="7"/>
  <c r="K184" i="7"/>
  <c r="I184" i="7"/>
  <c r="L184" i="7"/>
  <c r="M184" i="7"/>
  <c r="N184" i="7"/>
  <c r="O184" i="7"/>
  <c r="P184" i="7"/>
  <c r="A12" i="8"/>
  <c r="M12" i="7"/>
  <c r="N12" i="7"/>
  <c r="O12" i="7"/>
  <c r="P12" i="7"/>
  <c r="I12" i="7"/>
  <c r="J12" i="7"/>
  <c r="L12" i="7"/>
  <c r="Q12" i="7"/>
  <c r="F12" i="7"/>
  <c r="K12" i="7"/>
  <c r="G12" i="7"/>
  <c r="H12" i="7"/>
  <c r="J139" i="7"/>
  <c r="K139" i="7"/>
  <c r="G139" i="7"/>
  <c r="H139" i="7"/>
  <c r="I139" i="7"/>
  <c r="L139" i="7"/>
  <c r="P139" i="7"/>
  <c r="F139" i="7"/>
  <c r="M139" i="7"/>
  <c r="N139" i="7"/>
  <c r="O139" i="7"/>
  <c r="Q139" i="7"/>
  <c r="F179" i="7"/>
  <c r="L179" i="7"/>
  <c r="N179" i="7"/>
  <c r="P179" i="7"/>
  <c r="G179" i="7"/>
  <c r="J179" i="7"/>
  <c r="H179" i="7"/>
  <c r="K179" i="7"/>
  <c r="O179" i="7"/>
  <c r="I179" i="7"/>
  <c r="M179" i="7"/>
  <c r="Q179" i="7"/>
  <c r="A77" i="8"/>
  <c r="G77" i="7"/>
  <c r="F77" i="7"/>
  <c r="M77" i="7"/>
  <c r="N77" i="7"/>
  <c r="P77" i="7"/>
  <c r="Q77" i="7"/>
  <c r="O77" i="7"/>
  <c r="H77" i="7"/>
  <c r="I77" i="7"/>
  <c r="J77" i="7"/>
  <c r="K77" i="7"/>
  <c r="L77" i="7"/>
  <c r="I131" i="7"/>
  <c r="J131" i="7"/>
  <c r="L131" i="7"/>
  <c r="O131" i="7"/>
  <c r="P131" i="7"/>
  <c r="M131" i="7"/>
  <c r="N131" i="7"/>
  <c r="Q131" i="7"/>
  <c r="G131" i="7"/>
  <c r="H131" i="7"/>
  <c r="K131" i="7"/>
  <c r="F131" i="7"/>
  <c r="M140" i="7"/>
  <c r="N140" i="7"/>
  <c r="O140" i="7"/>
  <c r="F140" i="7"/>
  <c r="J140" i="7"/>
  <c r="P140" i="7"/>
  <c r="Q140" i="7"/>
  <c r="G140" i="7"/>
  <c r="H140" i="7"/>
  <c r="K140" i="7"/>
  <c r="L140" i="7"/>
  <c r="I140" i="7"/>
  <c r="F159" i="7"/>
  <c r="K159" i="7"/>
  <c r="L159" i="7"/>
  <c r="M159" i="7"/>
  <c r="P159" i="7"/>
  <c r="Q159" i="7"/>
  <c r="G159" i="7"/>
  <c r="J159" i="7"/>
  <c r="N159" i="7"/>
  <c r="H159" i="7"/>
  <c r="I159" i="7"/>
  <c r="O159" i="7"/>
  <c r="M174" i="7"/>
  <c r="N174" i="7"/>
  <c r="P174" i="7"/>
  <c r="Q174" i="7"/>
  <c r="L174" i="7"/>
  <c r="O174" i="7"/>
  <c r="G174" i="7"/>
  <c r="I174" i="7"/>
  <c r="J174" i="7"/>
  <c r="K174" i="7"/>
  <c r="F174" i="7"/>
  <c r="H174" i="7"/>
  <c r="A68" i="8"/>
  <c r="N68" i="7"/>
  <c r="O68" i="7"/>
  <c r="P68" i="7"/>
  <c r="I68" i="7"/>
  <c r="M68" i="7"/>
  <c r="K68" i="7"/>
  <c r="F68" i="7"/>
  <c r="L68" i="7"/>
  <c r="Q68" i="7"/>
  <c r="G68" i="7"/>
  <c r="H68" i="7"/>
  <c r="J68" i="7"/>
  <c r="Q200" i="7"/>
  <c r="F200" i="7"/>
  <c r="G200" i="7"/>
  <c r="I200" i="7"/>
  <c r="J200" i="7"/>
  <c r="P200" i="7"/>
  <c r="N200" i="7"/>
  <c r="H200" i="7"/>
  <c r="K200" i="7"/>
  <c r="L200" i="7"/>
  <c r="M200" i="7"/>
  <c r="O200" i="7"/>
  <c r="A6" i="8"/>
  <c r="O6" i="7"/>
  <c r="P6" i="7"/>
  <c r="H6" i="7"/>
  <c r="I6" i="7"/>
  <c r="J6" i="7"/>
  <c r="M6" i="7"/>
  <c r="N6" i="7"/>
  <c r="K6" i="7"/>
  <c r="L6" i="7"/>
  <c r="Q6" i="7"/>
  <c r="F6" i="7"/>
  <c r="G6" i="7"/>
  <c r="L166" i="7"/>
  <c r="M166" i="7"/>
  <c r="G166" i="7"/>
  <c r="H166" i="7"/>
  <c r="J166" i="7"/>
  <c r="N166" i="7"/>
  <c r="P166" i="7"/>
  <c r="I166" i="7"/>
  <c r="K166" i="7"/>
  <c r="Q166" i="7"/>
  <c r="O166" i="7"/>
  <c r="F166" i="7"/>
  <c r="A82" i="8"/>
  <c r="J82" i="7"/>
  <c r="L82" i="7"/>
  <c r="K82" i="7"/>
  <c r="G82" i="7"/>
  <c r="F82" i="7"/>
  <c r="H82" i="7"/>
  <c r="M82" i="7"/>
  <c r="N82" i="7"/>
  <c r="P82" i="7"/>
  <c r="Q82" i="7"/>
  <c r="O82" i="7"/>
  <c r="I82" i="7"/>
  <c r="I128" i="7"/>
  <c r="J128" i="7"/>
  <c r="K128" i="7"/>
  <c r="M128" i="7"/>
  <c r="N128" i="7"/>
  <c r="L128" i="7"/>
  <c r="O128" i="7"/>
  <c r="P128" i="7"/>
  <c r="Q128" i="7"/>
  <c r="H128" i="7"/>
  <c r="G128" i="7"/>
  <c r="F128" i="7"/>
  <c r="P157" i="7"/>
  <c r="Q157" i="7"/>
  <c r="J157" i="7"/>
  <c r="N157" i="7"/>
  <c r="K157" i="7"/>
  <c r="L157" i="7"/>
  <c r="M157" i="7"/>
  <c r="O157" i="7"/>
  <c r="H157" i="7"/>
  <c r="F157" i="7"/>
  <c r="G157" i="7"/>
  <c r="I157" i="7"/>
  <c r="A13" i="8"/>
  <c r="M13" i="7"/>
  <c r="F13" i="7"/>
  <c r="L13" i="7"/>
  <c r="G13" i="7"/>
  <c r="H13" i="7"/>
  <c r="I13" i="7"/>
  <c r="J13" i="7"/>
  <c r="K13" i="7"/>
  <c r="N13" i="7"/>
  <c r="O13" i="7"/>
  <c r="P13" i="7"/>
  <c r="Q13" i="7"/>
  <c r="A85" i="8"/>
  <c r="F85" i="7"/>
  <c r="G85" i="7"/>
  <c r="H85" i="7"/>
  <c r="J85" i="7"/>
  <c r="I85" i="7"/>
  <c r="N85" i="7"/>
  <c r="O85" i="7"/>
  <c r="K85" i="7"/>
  <c r="Q85" i="7"/>
  <c r="L85" i="7"/>
  <c r="M85" i="7"/>
  <c r="P85" i="7"/>
  <c r="N193" i="7"/>
  <c r="O193" i="7"/>
  <c r="G193" i="7"/>
  <c r="J193" i="7"/>
  <c r="H193" i="7"/>
  <c r="F193" i="7"/>
  <c r="I193" i="7"/>
  <c r="K193" i="7"/>
  <c r="L193" i="7"/>
  <c r="P193" i="7"/>
  <c r="M193" i="7"/>
  <c r="Q193" i="7"/>
  <c r="L109" i="7"/>
  <c r="M109" i="7"/>
  <c r="F109" i="7"/>
  <c r="J109" i="7"/>
  <c r="G109" i="7"/>
  <c r="I109" i="7"/>
  <c r="O109" i="7"/>
  <c r="P109" i="7"/>
  <c r="H109" i="7"/>
  <c r="K109" i="7"/>
  <c r="N109" i="7"/>
  <c r="Q109" i="7"/>
  <c r="A38" i="8"/>
  <c r="P38" i="7"/>
  <c r="Q38" i="7"/>
  <c r="N38" i="7"/>
  <c r="O38" i="7"/>
  <c r="H38" i="7"/>
  <c r="G38" i="7"/>
  <c r="F38" i="7"/>
  <c r="I38" i="7"/>
  <c r="K38" i="7"/>
  <c r="M38" i="7"/>
  <c r="J38" i="7"/>
  <c r="L38" i="7"/>
  <c r="H101" i="7"/>
  <c r="I101" i="7"/>
  <c r="J101" i="7"/>
  <c r="K101" i="7"/>
  <c r="L101" i="7"/>
  <c r="P101" i="7"/>
  <c r="N101" i="7"/>
  <c r="F101" i="7"/>
  <c r="M101" i="7"/>
  <c r="Q101" i="7"/>
  <c r="G101" i="7"/>
  <c r="O101" i="7"/>
  <c r="A8" i="8"/>
  <c r="K8" i="7"/>
  <c r="L8" i="7"/>
  <c r="M8" i="7"/>
  <c r="O8" i="7"/>
  <c r="P8" i="7"/>
  <c r="J8" i="7"/>
  <c r="N8" i="7"/>
  <c r="F8" i="7"/>
  <c r="H8" i="7"/>
  <c r="I8" i="7"/>
  <c r="G8" i="7"/>
  <c r="Q8" i="7"/>
  <c r="H156" i="7"/>
  <c r="F156" i="7"/>
  <c r="G156" i="7"/>
  <c r="I156" i="7"/>
  <c r="J156" i="7"/>
  <c r="P156" i="7"/>
  <c r="Q156" i="7"/>
  <c r="L156" i="7"/>
  <c r="M156" i="7"/>
  <c r="O156" i="7"/>
  <c r="K156" i="7"/>
  <c r="N156" i="7"/>
  <c r="A66" i="8"/>
  <c r="O66" i="7"/>
  <c r="P66" i="7"/>
  <c r="Q66" i="7"/>
  <c r="G66" i="7"/>
  <c r="F66" i="7"/>
  <c r="L66" i="7"/>
  <c r="M66" i="7"/>
  <c r="N66" i="7"/>
  <c r="I66" i="7"/>
  <c r="H66" i="7"/>
  <c r="K66" i="7"/>
  <c r="J66" i="7"/>
  <c r="L92" i="7"/>
  <c r="K92" i="7"/>
  <c r="H92" i="7"/>
  <c r="O92" i="7"/>
  <c r="F92" i="7"/>
  <c r="G92" i="7"/>
  <c r="I92" i="7"/>
  <c r="M92" i="7"/>
  <c r="N92" i="7"/>
  <c r="Q92" i="7"/>
  <c r="J92" i="7"/>
  <c r="P92" i="7"/>
  <c r="A20" i="8"/>
  <c r="F20" i="7"/>
  <c r="G20" i="7"/>
  <c r="H20" i="7"/>
  <c r="Q20" i="7"/>
  <c r="J20" i="7"/>
  <c r="I20" i="7"/>
  <c r="K20" i="7"/>
  <c r="N20" i="7"/>
  <c r="P20" i="7"/>
  <c r="L20" i="7"/>
  <c r="M20" i="7"/>
  <c r="O20" i="7"/>
  <c r="A42" i="8"/>
  <c r="G42" i="7"/>
  <c r="H42" i="7"/>
  <c r="I42" i="7"/>
  <c r="P42" i="7"/>
  <c r="L42" i="7"/>
  <c r="F42" i="7"/>
  <c r="M42" i="7"/>
  <c r="N42" i="7"/>
  <c r="J42" i="7"/>
  <c r="K42" i="7"/>
  <c r="O42" i="7"/>
  <c r="Q42" i="7"/>
  <c r="P93" i="7"/>
  <c r="Q93" i="7"/>
  <c r="G93" i="7"/>
  <c r="H93" i="7"/>
  <c r="I93" i="7"/>
  <c r="L93" i="7"/>
  <c r="M93" i="7"/>
  <c r="N93" i="7"/>
  <c r="O93" i="7"/>
  <c r="J93" i="7"/>
  <c r="K93" i="7"/>
  <c r="F93" i="7"/>
  <c r="A18" i="8"/>
  <c r="G18" i="7"/>
  <c r="H18" i="7"/>
  <c r="I18" i="7"/>
  <c r="J18" i="7"/>
  <c r="L18" i="7"/>
  <c r="F18" i="7"/>
  <c r="K18" i="7"/>
  <c r="Q18" i="7"/>
  <c r="N18" i="7"/>
  <c r="O18" i="7"/>
  <c r="M18" i="7"/>
  <c r="P18" i="7"/>
  <c r="M172" i="7"/>
  <c r="N172" i="7"/>
  <c r="O172" i="7"/>
  <c r="H172" i="7"/>
  <c r="F172" i="7"/>
  <c r="J172" i="7"/>
  <c r="G172" i="7"/>
  <c r="I172" i="7"/>
  <c r="K172" i="7"/>
  <c r="L172" i="7"/>
  <c r="P172" i="7"/>
  <c r="Q172" i="7"/>
  <c r="K90" i="7"/>
  <c r="M90" i="7"/>
  <c r="L90" i="7"/>
  <c r="J90" i="7"/>
  <c r="N90" i="7"/>
  <c r="O90" i="7"/>
  <c r="P90" i="7"/>
  <c r="Q90" i="7"/>
  <c r="I90" i="7"/>
  <c r="G90" i="7"/>
  <c r="H90" i="7"/>
  <c r="F90" i="7"/>
  <c r="Q171" i="7"/>
  <c r="P171" i="7"/>
  <c r="H171" i="7"/>
  <c r="K171" i="7"/>
  <c r="L171" i="7"/>
  <c r="O171" i="7"/>
  <c r="F171" i="7"/>
  <c r="I171" i="7"/>
  <c r="J171" i="7"/>
  <c r="G171" i="7"/>
  <c r="M171" i="7"/>
  <c r="N171" i="7"/>
  <c r="A24" i="8"/>
  <c r="Q24" i="7"/>
  <c r="G24" i="7"/>
  <c r="H24" i="7"/>
  <c r="J24" i="7"/>
  <c r="L24" i="7"/>
  <c r="P24" i="7"/>
  <c r="I24" i="7"/>
  <c r="O24" i="7"/>
  <c r="N24" i="7"/>
  <c r="F24" i="7"/>
  <c r="K24" i="7"/>
  <c r="M24" i="7"/>
  <c r="F97" i="7"/>
  <c r="G97" i="7"/>
  <c r="I97" i="7"/>
  <c r="H97" i="7"/>
  <c r="J97" i="7"/>
  <c r="K97" i="7"/>
  <c r="N97" i="7"/>
  <c r="O97" i="7"/>
  <c r="L97" i="7"/>
  <c r="M97" i="7"/>
  <c r="P97" i="7"/>
  <c r="Q97" i="7"/>
  <c r="I107" i="7"/>
  <c r="K107" i="7"/>
  <c r="M107" i="7"/>
  <c r="H107" i="7"/>
  <c r="G107" i="7"/>
  <c r="J107" i="7"/>
  <c r="F107" i="7"/>
  <c r="L107" i="7"/>
  <c r="N107" i="7"/>
  <c r="O107" i="7"/>
  <c r="P107" i="7"/>
  <c r="Q107" i="7"/>
  <c r="M117" i="7"/>
  <c r="N117" i="7"/>
  <c r="K117" i="7"/>
  <c r="F117" i="7"/>
  <c r="H117" i="7"/>
  <c r="I117" i="7"/>
  <c r="J117" i="7"/>
  <c r="L117" i="7"/>
  <c r="G117" i="7"/>
  <c r="O117" i="7"/>
  <c r="P117" i="7"/>
  <c r="Q117" i="7"/>
  <c r="I188" i="7"/>
  <c r="J188" i="7"/>
  <c r="H188" i="7"/>
  <c r="G188" i="7"/>
  <c r="F188" i="7"/>
  <c r="N188" i="7"/>
  <c r="Q188" i="7"/>
  <c r="K188" i="7"/>
  <c r="L188" i="7"/>
  <c r="M188" i="7"/>
  <c r="O188" i="7"/>
  <c r="P188" i="7"/>
  <c r="A69" i="8"/>
  <c r="H69" i="7"/>
  <c r="I69" i="7"/>
  <c r="J69" i="7"/>
  <c r="N69" i="7"/>
  <c r="O69" i="7"/>
  <c r="P69" i="7"/>
  <c r="Q69" i="7"/>
  <c r="F69" i="7"/>
  <c r="G69" i="7"/>
  <c r="M69" i="7"/>
  <c r="K69" i="7"/>
  <c r="L69" i="7"/>
  <c r="A65" i="8"/>
  <c r="H65" i="7"/>
  <c r="L65" i="7"/>
  <c r="N65" i="7"/>
  <c r="Q65" i="7"/>
  <c r="I65" i="7"/>
  <c r="P65" i="7"/>
  <c r="J65" i="7"/>
  <c r="M65" i="7"/>
  <c r="O65" i="7"/>
  <c r="K65" i="7"/>
  <c r="F65" i="7"/>
  <c r="G65" i="7"/>
  <c r="F141" i="7"/>
  <c r="I141" i="7"/>
  <c r="J141" i="7"/>
  <c r="L141" i="7"/>
  <c r="M141" i="7"/>
  <c r="K141" i="7"/>
  <c r="O141" i="7"/>
  <c r="H141" i="7"/>
  <c r="Q141" i="7"/>
  <c r="G141" i="7"/>
  <c r="N141" i="7"/>
  <c r="P141" i="7"/>
  <c r="A87" i="8"/>
  <c r="O87" i="7"/>
  <c r="P87" i="7"/>
  <c r="Q87" i="7"/>
  <c r="K87" i="7"/>
  <c r="L87" i="7"/>
  <c r="M87" i="7"/>
  <c r="N87" i="7"/>
  <c r="F87" i="7"/>
  <c r="H87" i="7"/>
  <c r="J87" i="7"/>
  <c r="G87" i="7"/>
  <c r="I87" i="7"/>
  <c r="G124" i="7"/>
  <c r="F124" i="7"/>
  <c r="H124" i="7"/>
  <c r="K124" i="7"/>
  <c r="L124" i="7"/>
  <c r="N124" i="7"/>
  <c r="O124" i="7"/>
  <c r="J124" i="7"/>
  <c r="Q124" i="7"/>
  <c r="I124" i="7"/>
  <c r="M124" i="7"/>
  <c r="P124" i="7"/>
  <c r="A41" i="8"/>
  <c r="L41" i="7"/>
  <c r="N41" i="7"/>
  <c r="M41" i="7"/>
  <c r="Q41" i="7"/>
  <c r="K41" i="7"/>
  <c r="P41" i="7"/>
  <c r="I41" i="7"/>
  <c r="J41" i="7"/>
  <c r="F41" i="7"/>
  <c r="H41" i="7"/>
  <c r="O41" i="7"/>
  <c r="G41" i="7"/>
  <c r="A26" i="8"/>
  <c r="J26" i="7"/>
  <c r="K26" i="7"/>
  <c r="F26" i="7"/>
  <c r="N26" i="7"/>
  <c r="G26" i="7"/>
  <c r="M26" i="7"/>
  <c r="O26" i="7"/>
  <c r="H26" i="7"/>
  <c r="P26" i="7"/>
  <c r="I26" i="7"/>
  <c r="L26" i="7"/>
  <c r="Q26" i="7"/>
  <c r="H176" i="7"/>
  <c r="F176" i="7"/>
  <c r="J176" i="7"/>
  <c r="I176" i="7"/>
  <c r="G176" i="7"/>
  <c r="K176" i="7"/>
  <c r="L176" i="7"/>
  <c r="M176" i="7"/>
  <c r="P176" i="7"/>
  <c r="N176" i="7"/>
  <c r="O176" i="7"/>
  <c r="Q176" i="7"/>
  <c r="K150" i="7"/>
  <c r="L150" i="7"/>
  <c r="M150" i="7"/>
  <c r="G150" i="7"/>
  <c r="H150" i="7"/>
  <c r="Q150" i="7"/>
  <c r="J150" i="7"/>
  <c r="P150" i="7"/>
  <c r="F150" i="7"/>
  <c r="N150" i="7"/>
  <c r="O150" i="7"/>
  <c r="I150" i="7"/>
  <c r="Q88" i="7"/>
  <c r="F88" i="7"/>
  <c r="G88" i="7"/>
  <c r="H88" i="7"/>
  <c r="I88" i="7"/>
  <c r="J88" i="7"/>
  <c r="K88" i="7"/>
  <c r="L88" i="7"/>
  <c r="P88" i="7"/>
  <c r="M88" i="7"/>
  <c r="N88" i="7"/>
  <c r="O88" i="7"/>
  <c r="K147" i="7"/>
  <c r="L147" i="7"/>
  <c r="J147" i="7"/>
  <c r="M147" i="7"/>
  <c r="N147" i="7"/>
  <c r="Q147" i="7"/>
  <c r="F147" i="7"/>
  <c r="G147" i="7"/>
  <c r="H147" i="7"/>
  <c r="I147" i="7"/>
  <c r="P147" i="7"/>
  <c r="O147" i="7"/>
  <c r="A64" i="8"/>
  <c r="I64" i="7"/>
  <c r="J64" i="7"/>
  <c r="K64" i="7"/>
  <c r="H64" i="7"/>
  <c r="F64" i="7"/>
  <c r="G64" i="7"/>
  <c r="O64" i="7"/>
  <c r="Q64" i="7"/>
  <c r="L64" i="7"/>
  <c r="M64" i="7"/>
  <c r="N64" i="7"/>
  <c r="P64" i="7"/>
  <c r="H165" i="7"/>
  <c r="I165" i="7"/>
  <c r="J165" i="7"/>
  <c r="K165" i="7"/>
  <c r="Q165" i="7"/>
  <c r="L165" i="7"/>
  <c r="P165" i="7"/>
  <c r="M165" i="7"/>
  <c r="N165" i="7"/>
  <c r="O165" i="7"/>
  <c r="F165" i="7"/>
  <c r="G165" i="7"/>
  <c r="A9" i="8"/>
  <c r="L9" i="7"/>
  <c r="M9" i="7"/>
  <c r="J9" i="7"/>
  <c r="Q9" i="7"/>
  <c r="K9" i="7"/>
  <c r="N9" i="7"/>
  <c r="O9" i="7"/>
  <c r="P9" i="7"/>
  <c r="F9" i="7"/>
  <c r="G9" i="7"/>
  <c r="H9" i="7"/>
  <c r="I9" i="7"/>
  <c r="J110" i="7"/>
  <c r="P110" i="7"/>
  <c r="Q110" i="7"/>
  <c r="K110" i="7"/>
  <c r="N110" i="7"/>
  <c r="L110" i="7"/>
  <c r="M110" i="7"/>
  <c r="O110" i="7"/>
  <c r="F110" i="7"/>
  <c r="G110" i="7"/>
  <c r="H110" i="7"/>
  <c r="I110" i="7"/>
  <c r="K186" i="7"/>
  <c r="L186" i="7"/>
  <c r="P186" i="7"/>
  <c r="M186" i="7"/>
  <c r="N186" i="7"/>
  <c r="O186" i="7"/>
  <c r="Q186" i="7"/>
  <c r="F186" i="7"/>
  <c r="H186" i="7"/>
  <c r="I186" i="7"/>
  <c r="G186" i="7"/>
  <c r="J186" i="7"/>
  <c r="A71" i="8"/>
  <c r="N71" i="7"/>
  <c r="O71" i="7"/>
  <c r="P71" i="7"/>
  <c r="J71" i="7"/>
  <c r="L71" i="7"/>
  <c r="K71" i="7"/>
  <c r="F71" i="7"/>
  <c r="I71" i="7"/>
  <c r="Q71" i="7"/>
  <c r="H71" i="7"/>
  <c r="M71" i="7"/>
  <c r="G71" i="7"/>
  <c r="A78" i="8"/>
  <c r="K78" i="7"/>
  <c r="O78" i="7"/>
  <c r="Q78" i="7"/>
  <c r="L78" i="7"/>
  <c r="M78" i="7"/>
  <c r="P78" i="7"/>
  <c r="N78" i="7"/>
  <c r="G78" i="7"/>
  <c r="H78" i="7"/>
  <c r="F78" i="7"/>
  <c r="I78" i="7"/>
  <c r="J78" i="7"/>
  <c r="H197" i="7"/>
  <c r="I197" i="7"/>
  <c r="J197" i="7"/>
  <c r="N197" i="7"/>
  <c r="O197" i="7"/>
  <c r="P197" i="7"/>
  <c r="Q197" i="7"/>
  <c r="F197" i="7"/>
  <c r="M197" i="7"/>
  <c r="G197" i="7"/>
  <c r="K197" i="7"/>
  <c r="L197" i="7"/>
  <c r="A51" i="8"/>
  <c r="H51" i="7"/>
  <c r="M51" i="7"/>
  <c r="P51" i="7"/>
  <c r="I51" i="7"/>
  <c r="N51" i="7"/>
  <c r="O51" i="7"/>
  <c r="J51" i="7"/>
  <c r="K51" i="7"/>
  <c r="L51" i="7"/>
  <c r="F51" i="7"/>
  <c r="Q51" i="7"/>
  <c r="G51" i="7"/>
  <c r="A79" i="8"/>
  <c r="F79" i="7"/>
  <c r="G79" i="7"/>
  <c r="H79" i="7"/>
  <c r="N79" i="7"/>
  <c r="O79" i="7"/>
  <c r="P79" i="7"/>
  <c r="I79" i="7"/>
  <c r="J79" i="7"/>
  <c r="K79" i="7"/>
  <c r="L79" i="7"/>
  <c r="M79" i="7"/>
  <c r="Q79" i="7"/>
  <c r="L113" i="7"/>
  <c r="M113" i="7"/>
  <c r="N113" i="7"/>
  <c r="I113" i="7"/>
  <c r="J113" i="7"/>
  <c r="K113" i="7"/>
  <c r="Q113" i="7"/>
  <c r="O113" i="7"/>
  <c r="P113" i="7"/>
  <c r="H113" i="7"/>
  <c r="F113" i="7"/>
  <c r="G113" i="7"/>
  <c r="F143" i="7"/>
  <c r="G143" i="7"/>
  <c r="H143" i="7"/>
  <c r="L143" i="7"/>
  <c r="M143" i="7"/>
  <c r="I143" i="7"/>
  <c r="K143" i="7"/>
  <c r="O143" i="7"/>
  <c r="J143" i="7"/>
  <c r="N143" i="7"/>
  <c r="Q143" i="7"/>
  <c r="P143" i="7"/>
  <c r="H195" i="7"/>
  <c r="L195" i="7"/>
  <c r="M195" i="7"/>
  <c r="I195" i="7"/>
  <c r="J195" i="7"/>
  <c r="K195" i="7"/>
  <c r="N195" i="7"/>
  <c r="O195" i="7"/>
  <c r="F195" i="7"/>
  <c r="Q195" i="7"/>
  <c r="P195" i="7"/>
  <c r="G195" i="7"/>
  <c r="F164" i="7"/>
  <c r="I164" i="7"/>
  <c r="K164" i="7"/>
  <c r="G164" i="7"/>
  <c r="H164" i="7"/>
  <c r="J164" i="7"/>
  <c r="L164" i="7"/>
  <c r="N164" i="7"/>
  <c r="M164" i="7"/>
  <c r="O164" i="7"/>
  <c r="P164" i="7"/>
  <c r="Q164" i="7"/>
  <c r="F89" i="7"/>
  <c r="P89" i="7"/>
  <c r="Q89" i="7"/>
  <c r="H89" i="7"/>
  <c r="N89" i="7"/>
  <c r="J89" i="7"/>
  <c r="L89" i="7"/>
  <c r="I89" i="7"/>
  <c r="K89" i="7"/>
  <c r="G89" i="7"/>
  <c r="M89" i="7"/>
  <c r="O89" i="7"/>
  <c r="A3" i="8"/>
  <c r="F3" i="7"/>
  <c r="G3" i="7"/>
  <c r="M3" i="7"/>
  <c r="H3" i="7"/>
  <c r="L3" i="7"/>
  <c r="I3" i="7"/>
  <c r="N3" i="7"/>
  <c r="J3" i="7"/>
  <c r="K3" i="7"/>
  <c r="O3" i="7"/>
  <c r="P3" i="7"/>
  <c r="Q3" i="7"/>
  <c r="A86" i="8"/>
  <c r="K86" i="7"/>
  <c r="L86" i="7"/>
  <c r="M86" i="7"/>
  <c r="J86" i="7"/>
  <c r="N86" i="7"/>
  <c r="Q86" i="7"/>
  <c r="F86" i="7"/>
  <c r="I86" i="7"/>
  <c r="G86" i="7"/>
  <c r="H86" i="7"/>
  <c r="O86" i="7"/>
  <c r="P86" i="7"/>
  <c r="F142" i="7"/>
  <c r="G142" i="7"/>
  <c r="Q142" i="7"/>
  <c r="L142" i="7"/>
  <c r="O142" i="7"/>
  <c r="M142" i="7"/>
  <c r="P142" i="7"/>
  <c r="N142" i="7"/>
  <c r="H142" i="7"/>
  <c r="K142" i="7"/>
  <c r="J142" i="7"/>
  <c r="I142" i="7"/>
  <c r="A29" i="8"/>
  <c r="P29" i="7"/>
  <c r="Q29" i="7"/>
  <c r="G29" i="7"/>
  <c r="H29" i="7"/>
  <c r="J29" i="7"/>
  <c r="O29" i="7"/>
  <c r="K29" i="7"/>
  <c r="L29" i="7"/>
  <c r="M29" i="7"/>
  <c r="N29" i="7"/>
  <c r="I29" i="7"/>
  <c r="F29" i="7"/>
  <c r="A75" i="8"/>
  <c r="L75" i="7"/>
  <c r="M75" i="7"/>
  <c r="N75" i="7"/>
  <c r="P75" i="7"/>
  <c r="O75" i="7"/>
  <c r="Q75" i="7"/>
  <c r="K75" i="7"/>
  <c r="F75" i="7"/>
  <c r="J75" i="7"/>
  <c r="G75" i="7"/>
  <c r="I75" i="7"/>
  <c r="H75" i="7"/>
  <c r="O130" i="7"/>
  <c r="P130" i="7"/>
  <c r="Q130" i="7"/>
  <c r="K130" i="7"/>
  <c r="L130" i="7"/>
  <c r="M130" i="7"/>
  <c r="N130" i="7"/>
  <c r="H130" i="7"/>
  <c r="G130" i="7"/>
  <c r="J130" i="7"/>
  <c r="F130" i="7"/>
  <c r="I130" i="7"/>
  <c r="A47" i="8"/>
  <c r="F47" i="7"/>
  <c r="G47" i="7"/>
  <c r="H47" i="7"/>
  <c r="I47" i="7"/>
  <c r="P47" i="7"/>
  <c r="Q47" i="7"/>
  <c r="N47" i="7"/>
  <c r="O47" i="7"/>
  <c r="M47" i="7"/>
  <c r="J47" i="7"/>
  <c r="K47" i="7"/>
  <c r="L47" i="7"/>
  <c r="N173" i="7"/>
  <c r="F173" i="7"/>
  <c r="H173" i="7"/>
  <c r="K173" i="7"/>
  <c r="Q173" i="7"/>
  <c r="G173" i="7"/>
  <c r="I173" i="7"/>
  <c r="J173" i="7"/>
  <c r="M173" i="7"/>
  <c r="O173" i="7"/>
  <c r="P173" i="7"/>
  <c r="L173" i="7"/>
  <c r="I126" i="7"/>
  <c r="J126" i="7"/>
  <c r="G126" i="7"/>
  <c r="H126" i="7"/>
  <c r="F126" i="7"/>
  <c r="K126" i="7"/>
  <c r="Q126" i="7"/>
  <c r="M126" i="7"/>
  <c r="N126" i="7"/>
  <c r="O126" i="7"/>
  <c r="P126" i="7"/>
  <c r="L126" i="7"/>
  <c r="O144" i="7"/>
  <c r="P144" i="7"/>
  <c r="G144" i="7"/>
  <c r="F144" i="7"/>
  <c r="H144" i="7"/>
  <c r="I144" i="7"/>
  <c r="K144" i="7"/>
  <c r="M144" i="7"/>
  <c r="L144" i="7"/>
  <c r="N144" i="7"/>
  <c r="Q144" i="7"/>
  <c r="J144" i="7"/>
  <c r="A36" i="8"/>
  <c r="G36" i="7"/>
  <c r="H36" i="7"/>
  <c r="I36" i="7"/>
  <c r="F36" i="7"/>
  <c r="K36" i="7"/>
  <c r="J36" i="7"/>
  <c r="L36" i="7"/>
  <c r="N36" i="7"/>
  <c r="O36" i="7"/>
  <c r="M36" i="7"/>
  <c r="P36" i="7"/>
  <c r="Q36" i="7"/>
  <c r="J196" i="7"/>
  <c r="K196" i="7"/>
  <c r="F196" i="7"/>
  <c r="G196" i="7"/>
  <c r="H196" i="7"/>
  <c r="Q196" i="7"/>
  <c r="I196" i="7"/>
  <c r="O196" i="7"/>
  <c r="M196" i="7"/>
  <c r="N196" i="7"/>
  <c r="P196" i="7"/>
  <c r="L196" i="7"/>
  <c r="I160" i="7"/>
  <c r="J160" i="7"/>
  <c r="K160" i="7"/>
  <c r="H160" i="7"/>
  <c r="N160" i="7"/>
  <c r="L160" i="7"/>
  <c r="P160" i="7"/>
  <c r="Q160" i="7"/>
  <c r="M160" i="7"/>
  <c r="O160" i="7"/>
  <c r="F160" i="7"/>
  <c r="G160" i="7"/>
  <c r="J123" i="7"/>
  <c r="K123" i="7"/>
  <c r="L123" i="7"/>
  <c r="F123" i="7"/>
  <c r="M123" i="7"/>
  <c r="G123" i="7"/>
  <c r="H123" i="7"/>
  <c r="I123" i="7"/>
  <c r="P123" i="7"/>
  <c r="N123" i="7"/>
  <c r="O123" i="7"/>
  <c r="Q123" i="7"/>
  <c r="N136" i="7"/>
  <c r="O136" i="7"/>
  <c r="F136" i="7"/>
  <c r="G136" i="7"/>
  <c r="H136" i="7"/>
  <c r="J136" i="7"/>
  <c r="I136" i="7"/>
  <c r="M136" i="7"/>
  <c r="L136" i="7"/>
  <c r="Q136" i="7"/>
  <c r="K136" i="7"/>
  <c r="P136" i="7"/>
  <c r="A32" i="8"/>
  <c r="I32" i="7"/>
  <c r="J32" i="7"/>
  <c r="K32" i="7"/>
  <c r="N32" i="7"/>
  <c r="O32" i="7"/>
  <c r="P32" i="7"/>
  <c r="Q32" i="7"/>
  <c r="L32" i="7"/>
  <c r="M32" i="7"/>
  <c r="F32" i="7"/>
  <c r="G32" i="7"/>
  <c r="H32" i="7"/>
  <c r="A56" i="8"/>
  <c r="Q56" i="7"/>
  <c r="I56" i="7"/>
  <c r="L56" i="7"/>
  <c r="M56" i="7"/>
  <c r="N56" i="7"/>
  <c r="P56" i="7"/>
  <c r="O56" i="7"/>
  <c r="G56" i="7"/>
  <c r="J56" i="7"/>
  <c r="F56" i="7"/>
  <c r="H56" i="7"/>
  <c r="K56" i="7"/>
  <c r="H169" i="7"/>
  <c r="I169" i="7"/>
  <c r="K169" i="7"/>
  <c r="M169" i="7"/>
  <c r="N169" i="7"/>
  <c r="O169" i="7"/>
  <c r="F169" i="7"/>
  <c r="G169" i="7"/>
  <c r="J169" i="7"/>
  <c r="L169" i="7"/>
  <c r="P169" i="7"/>
  <c r="Q169" i="7"/>
  <c r="J187" i="7"/>
  <c r="K187" i="7"/>
  <c r="L187" i="7"/>
  <c r="G187" i="7"/>
  <c r="P187" i="7"/>
  <c r="H187" i="7"/>
  <c r="M187" i="7"/>
  <c r="N187" i="7"/>
  <c r="O187" i="7"/>
  <c r="Q187" i="7"/>
  <c r="I187" i="7"/>
  <c r="F187" i="7"/>
  <c r="A76" i="8"/>
  <c r="M76" i="7"/>
  <c r="N76" i="7"/>
  <c r="O76" i="7"/>
  <c r="F76" i="7"/>
  <c r="G76" i="7"/>
  <c r="I76" i="7"/>
  <c r="L76" i="7"/>
  <c r="Q76" i="7"/>
  <c r="P76" i="7"/>
  <c r="K76" i="7"/>
  <c r="H76" i="7"/>
  <c r="J76" i="7"/>
  <c r="G149" i="7"/>
  <c r="J149" i="7"/>
  <c r="K149" i="7"/>
  <c r="F149" i="7"/>
  <c r="H149" i="7"/>
  <c r="I149" i="7"/>
  <c r="L149" i="7"/>
  <c r="M149" i="7"/>
  <c r="O149" i="7"/>
  <c r="N149" i="7"/>
  <c r="P149" i="7"/>
  <c r="Q149" i="7"/>
  <c r="P125" i="7"/>
  <c r="Q125" i="7"/>
  <c r="N125" i="7"/>
  <c r="O125" i="7"/>
  <c r="K125" i="7"/>
  <c r="L125" i="7"/>
  <c r="M125" i="7"/>
  <c r="F125" i="7"/>
  <c r="G125" i="7"/>
  <c r="H125" i="7"/>
  <c r="I125" i="7"/>
  <c r="J125" i="7"/>
  <c r="J178" i="7"/>
  <c r="K178" i="7"/>
  <c r="F178" i="7"/>
  <c r="G178" i="7"/>
  <c r="H178" i="7"/>
  <c r="I178" i="7"/>
  <c r="O178" i="7"/>
  <c r="L178" i="7"/>
  <c r="N178" i="7"/>
  <c r="P178" i="7"/>
  <c r="M178" i="7"/>
  <c r="Q178" i="7"/>
  <c r="A5" i="8"/>
  <c r="H5" i="7"/>
  <c r="I5" i="7"/>
  <c r="J5" i="7"/>
  <c r="N5" i="7"/>
  <c r="P5" i="7"/>
  <c r="O5" i="7"/>
  <c r="G5" i="7"/>
  <c r="M5" i="7"/>
  <c r="F5" i="7"/>
  <c r="K5" i="7"/>
  <c r="L5" i="7"/>
  <c r="Q5" i="7"/>
  <c r="A43" i="8"/>
  <c r="N43" i="7"/>
  <c r="O43" i="7"/>
  <c r="P43" i="7"/>
  <c r="Q43" i="7"/>
  <c r="H43" i="7"/>
  <c r="F43" i="7"/>
  <c r="G43" i="7"/>
  <c r="M43" i="7"/>
  <c r="K43" i="7"/>
  <c r="I43" i="7"/>
  <c r="J43" i="7"/>
  <c r="L43" i="7"/>
  <c r="A46" i="8"/>
  <c r="Q46" i="7"/>
  <c r="O46" i="7"/>
  <c r="P46" i="7"/>
  <c r="H46" i="7"/>
  <c r="M46" i="7"/>
  <c r="F46" i="7"/>
  <c r="I46" i="7"/>
  <c r="N46" i="7"/>
  <c r="J46" i="7"/>
  <c r="G46" i="7"/>
  <c r="K46" i="7"/>
  <c r="L46" i="7"/>
  <c r="A50" i="8"/>
  <c r="Q50" i="7"/>
  <c r="F50" i="7"/>
  <c r="I50" i="7"/>
  <c r="J50" i="7"/>
  <c r="K50" i="7"/>
  <c r="G50" i="7"/>
  <c r="H50" i="7"/>
  <c r="L50" i="7"/>
  <c r="O50" i="7"/>
  <c r="M50" i="7"/>
  <c r="N50" i="7"/>
  <c r="P50" i="7"/>
  <c r="K102" i="7"/>
  <c r="O102" i="7"/>
  <c r="Q102" i="7"/>
  <c r="L102" i="7"/>
  <c r="P102" i="7"/>
  <c r="M102" i="7"/>
  <c r="N102" i="7"/>
  <c r="H102" i="7"/>
  <c r="I102" i="7"/>
  <c r="J102" i="7"/>
  <c r="G102" i="7"/>
  <c r="F102" i="7"/>
  <c r="F153" i="7"/>
  <c r="E153" i="8" s="1"/>
  <c r="G153" i="7"/>
  <c r="F153" i="8" s="1"/>
  <c r="H153" i="7"/>
  <c r="G153" i="8" s="1"/>
  <c r="M153" i="7"/>
  <c r="L153" i="8" s="1"/>
  <c r="O153" i="7"/>
  <c r="N153" i="8" s="1"/>
  <c r="Q153" i="7"/>
  <c r="I153" i="7"/>
  <c r="H153" i="8" s="1"/>
  <c r="K153" i="7"/>
  <c r="J153" i="8" s="1"/>
  <c r="J153" i="7"/>
  <c r="I153" i="8" s="1"/>
  <c r="N153" i="7"/>
  <c r="M153" i="8" s="1"/>
  <c r="L153" i="7"/>
  <c r="K153" i="8" s="1"/>
  <c r="P153" i="7"/>
  <c r="O153" i="8" s="1"/>
  <c r="A40" i="8"/>
  <c r="G40" i="7"/>
  <c r="J40" i="7"/>
  <c r="L40" i="7"/>
  <c r="K40" i="7"/>
  <c r="M40" i="7"/>
  <c r="F40" i="7"/>
  <c r="I40" i="7"/>
  <c r="O40" i="7"/>
  <c r="H40" i="7"/>
  <c r="N40" i="7"/>
  <c r="P40" i="7"/>
  <c r="Q40" i="7"/>
  <c r="A44" i="8"/>
  <c r="M44" i="7"/>
  <c r="N44" i="7"/>
  <c r="O44" i="7"/>
  <c r="H44" i="7"/>
  <c r="I44" i="7"/>
  <c r="J44" i="7"/>
  <c r="G44" i="7"/>
  <c r="F44" i="7"/>
  <c r="K44" i="7"/>
  <c r="P44" i="7"/>
  <c r="L44" i="7"/>
  <c r="Q44" i="7"/>
  <c r="A53" i="8"/>
  <c r="M53" i="7"/>
  <c r="H53" i="7"/>
  <c r="K53" i="7"/>
  <c r="F53" i="7"/>
  <c r="G53" i="7"/>
  <c r="I53" i="7"/>
  <c r="J53" i="7"/>
  <c r="N53" i="7"/>
  <c r="L53" i="7"/>
  <c r="P53" i="7"/>
  <c r="O53" i="7"/>
  <c r="Q53" i="7"/>
  <c r="A80" i="8"/>
  <c r="M80" i="7"/>
  <c r="Q80" i="7"/>
  <c r="N80" i="7"/>
  <c r="O80" i="7"/>
  <c r="P80" i="7"/>
  <c r="F80" i="7"/>
  <c r="G80" i="7"/>
  <c r="H80" i="7"/>
  <c r="I80" i="7"/>
  <c r="J80" i="7"/>
  <c r="K80" i="7"/>
  <c r="L80" i="7"/>
  <c r="F129" i="7"/>
  <c r="G129" i="7"/>
  <c r="H129" i="7"/>
  <c r="I129" i="7"/>
  <c r="K129" i="7"/>
  <c r="M129" i="7"/>
  <c r="J129" i="7"/>
  <c r="L129" i="7"/>
  <c r="N129" i="7"/>
  <c r="P129" i="7"/>
  <c r="Q129" i="7"/>
  <c r="O129" i="7"/>
  <c r="A16" i="8"/>
  <c r="O16" i="7"/>
  <c r="P16" i="7"/>
  <c r="Q16" i="7"/>
  <c r="G16" i="7"/>
  <c r="L16" i="7"/>
  <c r="M16" i="7"/>
  <c r="H16" i="7"/>
  <c r="I16" i="7"/>
  <c r="J16" i="7"/>
  <c r="K16" i="7"/>
  <c r="N16" i="7"/>
  <c r="F16" i="7"/>
  <c r="M108" i="7"/>
  <c r="N108" i="7"/>
  <c r="O108" i="7"/>
  <c r="G108" i="7"/>
  <c r="H108" i="7"/>
  <c r="I108" i="7"/>
  <c r="L108" i="7"/>
  <c r="P108" i="7"/>
  <c r="Q108" i="7"/>
  <c r="J108" i="7"/>
  <c r="K108" i="7"/>
  <c r="F108" i="7"/>
  <c r="A19" i="8"/>
  <c r="L19" i="7"/>
  <c r="M19" i="7"/>
  <c r="N19" i="7"/>
  <c r="I19" i="7"/>
  <c r="J19" i="7"/>
  <c r="K19" i="7"/>
  <c r="Q19" i="7"/>
  <c r="O19" i="7"/>
  <c r="P19" i="7"/>
  <c r="H19" i="7"/>
  <c r="F19" i="7"/>
  <c r="G19" i="7"/>
  <c r="A31" i="8"/>
  <c r="P31" i="7"/>
  <c r="Q31" i="7"/>
  <c r="I31" i="7"/>
  <c r="K31" i="7"/>
  <c r="L31" i="7"/>
  <c r="F31" i="7"/>
  <c r="J31" i="7"/>
  <c r="M31" i="7"/>
  <c r="G31" i="7"/>
  <c r="H31" i="7"/>
  <c r="N31" i="7"/>
  <c r="O31" i="7"/>
  <c r="M183" i="7"/>
  <c r="P183" i="7"/>
  <c r="N183" i="7"/>
  <c r="Q183" i="7"/>
  <c r="O183" i="7"/>
  <c r="L183" i="7"/>
  <c r="F183" i="7"/>
  <c r="K183" i="7"/>
  <c r="G183" i="7"/>
  <c r="H183" i="7"/>
  <c r="I183" i="7"/>
  <c r="J183" i="7"/>
  <c r="I96" i="7"/>
  <c r="J96" i="7"/>
  <c r="K96" i="7"/>
  <c r="N96" i="7"/>
  <c r="O96" i="7"/>
  <c r="P96" i="7"/>
  <c r="Q96" i="7"/>
  <c r="G96" i="7"/>
  <c r="L96" i="7"/>
  <c r="M96" i="7"/>
  <c r="H96" i="7"/>
  <c r="F96" i="7"/>
  <c r="A25" i="8"/>
  <c r="F25" i="7"/>
  <c r="I25" i="7"/>
  <c r="J25" i="7"/>
  <c r="K25" i="7"/>
  <c r="P25" i="7"/>
  <c r="Q25" i="7"/>
  <c r="L25" i="7"/>
  <c r="M25" i="7"/>
  <c r="N25" i="7"/>
  <c r="O25" i="7"/>
  <c r="H25" i="7"/>
  <c r="G25" i="7"/>
  <c r="F198" i="7"/>
  <c r="L198" i="7"/>
  <c r="G198" i="7"/>
  <c r="H198" i="7"/>
  <c r="I198" i="7"/>
  <c r="J198" i="7"/>
  <c r="K198" i="7"/>
  <c r="M198" i="7"/>
  <c r="O198" i="7"/>
  <c r="P198" i="7"/>
  <c r="Q198" i="7"/>
  <c r="N198" i="7"/>
  <c r="A22" i="8"/>
  <c r="K22" i="7"/>
  <c r="L22" i="7"/>
  <c r="N22" i="7"/>
  <c r="M22" i="7"/>
  <c r="I22" i="7"/>
  <c r="J22" i="7"/>
  <c r="O22" i="7"/>
  <c r="F22" i="7"/>
  <c r="G22" i="7"/>
  <c r="H22" i="7"/>
  <c r="Q22" i="7"/>
  <c r="P22" i="7"/>
  <c r="A35" i="8"/>
  <c r="N35" i="7"/>
  <c r="O35" i="7"/>
  <c r="P35" i="7"/>
  <c r="Q35" i="7"/>
  <c r="F35" i="7"/>
  <c r="G35" i="7"/>
  <c r="J35" i="7"/>
  <c r="H35" i="7"/>
  <c r="K35" i="7"/>
  <c r="L35" i="7"/>
  <c r="I35" i="7"/>
  <c r="M35" i="7"/>
  <c r="J115" i="7"/>
  <c r="K115" i="7"/>
  <c r="N115" i="7"/>
  <c r="F115" i="7"/>
  <c r="I115" i="7"/>
  <c r="G115" i="7"/>
  <c r="M115" i="7"/>
  <c r="H115" i="7"/>
  <c r="O115" i="7"/>
  <c r="L115" i="7"/>
  <c r="P115" i="7"/>
  <c r="Q115" i="7"/>
  <c r="F191" i="7"/>
  <c r="H191" i="7"/>
  <c r="I191" i="7"/>
  <c r="G191" i="7"/>
  <c r="K191" i="7"/>
  <c r="M191" i="7"/>
  <c r="N191" i="7"/>
  <c r="P191" i="7"/>
  <c r="J191" i="7"/>
  <c r="L191" i="7"/>
  <c r="O191" i="7"/>
  <c r="Q191" i="7"/>
  <c r="A7" i="8"/>
  <c r="N7" i="7"/>
  <c r="O7" i="7"/>
  <c r="P7" i="7"/>
  <c r="Q7" i="7"/>
  <c r="M7" i="7"/>
  <c r="F7" i="7"/>
  <c r="J7" i="7"/>
  <c r="L7" i="7"/>
  <c r="G7" i="7"/>
  <c r="H7" i="7"/>
  <c r="I7" i="7"/>
  <c r="K7" i="7"/>
  <c r="A61" i="8"/>
  <c r="P61" i="7"/>
  <c r="Q61" i="7"/>
  <c r="F61" i="7"/>
  <c r="H61" i="7"/>
  <c r="G61" i="7"/>
  <c r="I61" i="7"/>
  <c r="J61" i="7"/>
  <c r="O61" i="7"/>
  <c r="K61" i="7"/>
  <c r="N61" i="7"/>
  <c r="L61" i="7"/>
  <c r="M61" i="7"/>
  <c r="A10" i="8"/>
  <c r="G10" i="7"/>
  <c r="H10" i="7"/>
  <c r="I10" i="7"/>
  <c r="J10" i="7"/>
  <c r="F10" i="7"/>
  <c r="K10" i="7"/>
  <c r="L10" i="7"/>
  <c r="M10" i="7"/>
  <c r="N10" i="7"/>
  <c r="O10" i="7"/>
  <c r="P10" i="7"/>
  <c r="Q10" i="7"/>
  <c r="F116" i="7"/>
  <c r="G116" i="7"/>
  <c r="Q116" i="7"/>
  <c r="M116" i="7"/>
  <c r="H116" i="7"/>
  <c r="K116" i="7"/>
  <c r="L116" i="7"/>
  <c r="I116" i="7"/>
  <c r="J116" i="7"/>
  <c r="O116" i="7"/>
  <c r="N116" i="7"/>
  <c r="P116" i="7"/>
  <c r="F134" i="7"/>
  <c r="J134" i="7"/>
  <c r="K134" i="7"/>
  <c r="N134" i="7"/>
  <c r="O134" i="7"/>
  <c r="P134" i="7"/>
  <c r="L134" i="7"/>
  <c r="Q134" i="7"/>
  <c r="M134" i="7"/>
  <c r="I134" i="7"/>
  <c r="G134" i="7"/>
  <c r="H134" i="7"/>
  <c r="A58" i="8"/>
  <c r="F58" i="7"/>
  <c r="G58" i="7"/>
  <c r="I58" i="7"/>
  <c r="H58" i="7"/>
  <c r="L58" i="7"/>
  <c r="J58" i="7"/>
  <c r="K58" i="7"/>
  <c r="O58" i="7"/>
  <c r="M58" i="7"/>
  <c r="N58" i="7"/>
  <c r="P58" i="7"/>
  <c r="Q58" i="7"/>
  <c r="O119" i="7"/>
  <c r="P119" i="7"/>
  <c r="Q119" i="7"/>
  <c r="F119" i="7"/>
  <c r="I119" i="7"/>
  <c r="M119" i="7"/>
  <c r="G119" i="7"/>
  <c r="H119" i="7"/>
  <c r="J119" i="7"/>
  <c r="K119" i="7"/>
  <c r="L119" i="7"/>
  <c r="N119" i="7"/>
  <c r="N151" i="7"/>
  <c r="O151" i="7"/>
  <c r="P151" i="7"/>
  <c r="Q151" i="7"/>
  <c r="L151" i="7"/>
  <c r="H151" i="7"/>
  <c r="F151" i="7"/>
  <c r="J151" i="7"/>
  <c r="G151" i="7"/>
  <c r="I151" i="7"/>
  <c r="K151" i="7"/>
  <c r="M151" i="7"/>
  <c r="I105" i="7"/>
  <c r="N105" i="7"/>
  <c r="P105" i="7"/>
  <c r="J105" i="7"/>
  <c r="O105" i="7"/>
  <c r="K105" i="7"/>
  <c r="M105" i="7"/>
  <c r="Q105" i="7"/>
  <c r="L105" i="7"/>
  <c r="G105" i="7"/>
  <c r="F105" i="7"/>
  <c r="H105" i="7"/>
  <c r="F148" i="7"/>
  <c r="G148" i="7"/>
  <c r="P148" i="7"/>
  <c r="Q148" i="7"/>
  <c r="H148" i="7"/>
  <c r="I148" i="7"/>
  <c r="L148" i="7"/>
  <c r="N148" i="7"/>
  <c r="K148" i="7"/>
  <c r="M148" i="7"/>
  <c r="J148" i="7"/>
  <c r="O148" i="7"/>
  <c r="G161" i="7"/>
  <c r="H161" i="7"/>
  <c r="F161" i="7"/>
  <c r="I161" i="7"/>
  <c r="J161" i="7"/>
  <c r="M161" i="7"/>
  <c r="K161" i="7"/>
  <c r="L161" i="7"/>
  <c r="N161" i="7"/>
  <c r="O161" i="7"/>
  <c r="P161" i="7"/>
  <c r="Q161" i="7"/>
  <c r="A14" i="8"/>
  <c r="F14" i="7"/>
  <c r="G14" i="7"/>
  <c r="I14" i="7"/>
  <c r="H14" i="7"/>
  <c r="L14" i="7"/>
  <c r="N14" i="7"/>
  <c r="O14" i="7"/>
  <c r="M14" i="7"/>
  <c r="J14" i="7"/>
  <c r="K14" i="7"/>
  <c r="P14" i="7"/>
  <c r="Q14" i="7"/>
  <c r="A52" i="8"/>
  <c r="F52" i="7"/>
  <c r="G52" i="7"/>
  <c r="L52" i="7"/>
  <c r="M52" i="7"/>
  <c r="N52" i="7"/>
  <c r="O52" i="7"/>
  <c r="P52" i="7"/>
  <c r="Q52" i="7"/>
  <c r="J52" i="7"/>
  <c r="I52" i="7"/>
  <c r="K52" i="7"/>
  <c r="H52" i="7"/>
  <c r="A73" i="8"/>
  <c r="G73" i="7"/>
  <c r="F73" i="7"/>
  <c r="H73" i="7"/>
  <c r="M73" i="7"/>
  <c r="N73" i="7"/>
  <c r="O73" i="7"/>
  <c r="Q73" i="7"/>
  <c r="P73" i="7"/>
  <c r="J73" i="7"/>
  <c r="K73" i="7"/>
  <c r="I73" i="7"/>
  <c r="L73" i="7"/>
  <c r="P95" i="7"/>
  <c r="Q95" i="7"/>
  <c r="F95" i="7"/>
  <c r="H95" i="7"/>
  <c r="J95" i="7"/>
  <c r="G95" i="7"/>
  <c r="I95" i="7"/>
  <c r="K95" i="7"/>
  <c r="N95" i="7"/>
  <c r="O95" i="7"/>
  <c r="M95" i="7"/>
  <c r="L95" i="7"/>
  <c r="N103" i="7"/>
  <c r="O103" i="7"/>
  <c r="P103" i="7"/>
  <c r="F103" i="7"/>
  <c r="Q103" i="7"/>
  <c r="H103" i="7"/>
  <c r="K103" i="7"/>
  <c r="I103" i="7"/>
  <c r="J103" i="7"/>
  <c r="M103" i="7"/>
  <c r="G103" i="7"/>
  <c r="L103" i="7"/>
  <c r="F181" i="7"/>
  <c r="H181" i="7"/>
  <c r="J181" i="7"/>
  <c r="G181" i="7"/>
  <c r="I181" i="7"/>
  <c r="K181" i="7"/>
  <c r="M181" i="7"/>
  <c r="N181" i="7"/>
  <c r="O181" i="7"/>
  <c r="P181" i="7"/>
  <c r="Q181" i="7"/>
  <c r="L181" i="7"/>
  <c r="A70" i="8"/>
  <c r="F70" i="7"/>
  <c r="G70" i="7"/>
  <c r="H70" i="7"/>
  <c r="I70" i="7"/>
  <c r="L70" i="7"/>
  <c r="J70" i="7"/>
  <c r="K70" i="7"/>
  <c r="M70" i="7"/>
  <c r="N70" i="7"/>
  <c r="P70" i="7"/>
  <c r="O70" i="7"/>
  <c r="Q70" i="7"/>
  <c r="G104" i="7"/>
  <c r="H104" i="7"/>
  <c r="F104" i="7"/>
  <c r="J104" i="7"/>
  <c r="I104" i="7"/>
  <c r="O104" i="7"/>
  <c r="L104" i="7"/>
  <c r="M104" i="7"/>
  <c r="P104" i="7"/>
  <c r="K104" i="7"/>
  <c r="Q104" i="7"/>
  <c r="N104" i="7"/>
  <c r="A45" i="8"/>
  <c r="L45" i="7"/>
  <c r="G45" i="7"/>
  <c r="M45" i="7"/>
  <c r="H45" i="7"/>
  <c r="I45" i="7"/>
  <c r="P45" i="7"/>
  <c r="J45" i="7"/>
  <c r="K45" i="7"/>
  <c r="N45" i="7"/>
  <c r="O45" i="7"/>
  <c r="Q45" i="7"/>
  <c r="F45" i="7"/>
  <c r="A83" i="8"/>
  <c r="G83" i="7"/>
  <c r="H83" i="7"/>
  <c r="F83" i="7"/>
  <c r="J83" i="7"/>
  <c r="K83" i="7"/>
  <c r="N83" i="7"/>
  <c r="I83" i="7"/>
  <c r="M83" i="7"/>
  <c r="O83" i="7"/>
  <c r="L83" i="7"/>
  <c r="P83" i="7"/>
  <c r="Q83" i="7"/>
  <c r="A37" i="8"/>
  <c r="H37" i="7"/>
  <c r="I37" i="7"/>
  <c r="J37" i="7"/>
  <c r="K37" i="7"/>
  <c r="F37" i="7"/>
  <c r="O37" i="7"/>
  <c r="Q37" i="7"/>
  <c r="G37" i="7"/>
  <c r="M37" i="7"/>
  <c r="N37" i="7"/>
  <c r="P37" i="7"/>
  <c r="L37" i="7"/>
  <c r="A17" i="8"/>
  <c r="L17" i="7"/>
  <c r="M17" i="7"/>
  <c r="N17" i="7"/>
  <c r="O17" i="7"/>
  <c r="H17" i="7"/>
  <c r="I17" i="7"/>
  <c r="J17" i="7"/>
  <c r="K17" i="7"/>
  <c r="P17" i="7"/>
  <c r="Q17" i="7"/>
  <c r="F17" i="7"/>
  <c r="G17" i="7"/>
  <c r="A84" i="8"/>
  <c r="F84" i="7"/>
  <c r="G84" i="7"/>
  <c r="L84" i="7"/>
  <c r="M84" i="7"/>
  <c r="Q84" i="7"/>
  <c r="N84" i="7"/>
  <c r="O84" i="7"/>
  <c r="P84" i="7"/>
  <c r="J84" i="7"/>
  <c r="K84" i="7"/>
  <c r="H84" i="7"/>
  <c r="I84" i="7"/>
  <c r="H146" i="7"/>
  <c r="F146" i="7"/>
  <c r="I146" i="7"/>
  <c r="J146" i="7"/>
  <c r="K146" i="7"/>
  <c r="G146" i="7"/>
  <c r="L146" i="7"/>
  <c r="M146" i="7"/>
  <c r="N146" i="7"/>
  <c r="O146" i="7"/>
  <c r="P146" i="7"/>
  <c r="Q146" i="7"/>
  <c r="I192" i="7"/>
  <c r="J192" i="7"/>
  <c r="K192" i="7"/>
  <c r="G192" i="7"/>
  <c r="M192" i="7"/>
  <c r="H192" i="7"/>
  <c r="O192" i="7"/>
  <c r="P192" i="7"/>
  <c r="Q192" i="7"/>
  <c r="L192" i="7"/>
  <c r="N192" i="7"/>
  <c r="F192" i="7"/>
  <c r="K118" i="7"/>
  <c r="J118" i="8" s="1"/>
  <c r="L118" i="7"/>
  <c r="K118" i="8" s="1"/>
  <c r="M118" i="7"/>
  <c r="L118" i="8" s="1"/>
  <c r="O118" i="7"/>
  <c r="N118" i="8" s="1"/>
  <c r="P118" i="7"/>
  <c r="O118" i="8" s="1"/>
  <c r="Q118" i="7"/>
  <c r="G118" i="7"/>
  <c r="F118" i="8" s="1"/>
  <c r="H118" i="7"/>
  <c r="G118" i="8" s="1"/>
  <c r="J118" i="7"/>
  <c r="I118" i="8" s="1"/>
  <c r="I118" i="7"/>
  <c r="H118" i="8" s="1"/>
  <c r="N118" i="7"/>
  <c r="M118" i="8" s="1"/>
  <c r="F118" i="7"/>
  <c r="E118" i="8" s="1"/>
  <c r="A81" i="8"/>
  <c r="L81" i="7"/>
  <c r="M81" i="7"/>
  <c r="N81" i="7"/>
  <c r="J81" i="7"/>
  <c r="K81" i="7"/>
  <c r="O81" i="7"/>
  <c r="P81" i="7"/>
  <c r="Q81" i="7"/>
  <c r="H81" i="7"/>
  <c r="I81" i="7"/>
  <c r="F81" i="7"/>
  <c r="G81" i="7"/>
  <c r="Q114" i="7"/>
  <c r="F114" i="7"/>
  <c r="J114" i="7"/>
  <c r="L114" i="7"/>
  <c r="M114" i="7"/>
  <c r="G114" i="7"/>
  <c r="K114" i="7"/>
  <c r="H114" i="7"/>
  <c r="I114" i="7"/>
  <c r="N114" i="7"/>
  <c r="P114" i="7"/>
  <c r="O114" i="7"/>
  <c r="G106" i="7"/>
  <c r="H106" i="7"/>
  <c r="I106" i="7"/>
  <c r="P106" i="7"/>
  <c r="Q106" i="7"/>
  <c r="N106" i="7"/>
  <c r="O106" i="7"/>
  <c r="J106" i="7"/>
  <c r="K106" i="7"/>
  <c r="F106" i="7"/>
  <c r="L106" i="7"/>
  <c r="M106" i="7"/>
  <c r="A63" i="8"/>
  <c r="I63" i="7"/>
  <c r="J63" i="7"/>
  <c r="K63" i="7"/>
  <c r="M63" i="7"/>
  <c r="N63" i="7"/>
  <c r="O63" i="7"/>
  <c r="P63" i="7"/>
  <c r="Q63" i="7"/>
  <c r="L63" i="7"/>
  <c r="F63" i="7"/>
  <c r="G63" i="7"/>
  <c r="H63" i="7"/>
  <c r="A48" i="8"/>
  <c r="H48" i="7"/>
  <c r="G48" i="7"/>
  <c r="N48" i="7"/>
  <c r="O48" i="7"/>
  <c r="I48" i="7"/>
  <c r="J48" i="7"/>
  <c r="M48" i="7"/>
  <c r="P48" i="7"/>
  <c r="K48" i="7"/>
  <c r="L48" i="7"/>
  <c r="Q48" i="7"/>
  <c r="F48" i="7"/>
  <c r="J91" i="7"/>
  <c r="K91" i="7"/>
  <c r="L91" i="7"/>
  <c r="G91" i="7"/>
  <c r="H91" i="7"/>
  <c r="F91" i="7"/>
  <c r="I91" i="7"/>
  <c r="P91" i="7"/>
  <c r="N91" i="7"/>
  <c r="M91" i="7"/>
  <c r="O91" i="7"/>
  <c r="Q91" i="7"/>
  <c r="A74" i="8"/>
  <c r="G74" i="7"/>
  <c r="H74" i="7"/>
  <c r="I74" i="7"/>
  <c r="F74" i="7"/>
  <c r="J74" i="7"/>
  <c r="K74" i="7"/>
  <c r="L74" i="7"/>
  <c r="O74" i="7"/>
  <c r="M74" i="7"/>
  <c r="N74" i="7"/>
  <c r="Q74" i="7"/>
  <c r="P74" i="7"/>
  <c r="L145" i="7"/>
  <c r="M145" i="7"/>
  <c r="N145" i="7"/>
  <c r="K145" i="7"/>
  <c r="O145" i="7"/>
  <c r="P145" i="7"/>
  <c r="Q145" i="7"/>
  <c r="I145" i="7"/>
  <c r="F145" i="7"/>
  <c r="G145" i="7"/>
  <c r="H145" i="7"/>
  <c r="J145" i="7"/>
  <c r="H112" i="7"/>
  <c r="I112" i="7"/>
  <c r="F112" i="7"/>
  <c r="G112" i="7"/>
  <c r="L112" i="7"/>
  <c r="Q112" i="7"/>
  <c r="O112" i="7"/>
  <c r="P112" i="7"/>
  <c r="K112" i="7"/>
  <c r="N112" i="7"/>
  <c r="J112" i="7"/>
  <c r="M112" i="7"/>
  <c r="A55" i="8"/>
  <c r="H55" i="7"/>
  <c r="J55" i="7"/>
  <c r="I55" i="7"/>
  <c r="F55" i="7"/>
  <c r="L55" i="7"/>
  <c r="O55" i="7"/>
  <c r="Q55" i="7"/>
  <c r="G55" i="7"/>
  <c r="M55" i="7"/>
  <c r="N55" i="7"/>
  <c r="P55" i="7"/>
  <c r="K55" i="7"/>
  <c r="A72" i="8"/>
  <c r="M72" i="7"/>
  <c r="N72" i="7"/>
  <c r="Q72" i="7"/>
  <c r="O72" i="7"/>
  <c r="P72" i="7"/>
  <c r="F72" i="7"/>
  <c r="L72" i="7"/>
  <c r="G72" i="7"/>
  <c r="H72" i="7"/>
  <c r="I72" i="7"/>
  <c r="J72" i="7"/>
  <c r="K72" i="7"/>
  <c r="I127" i="7"/>
  <c r="N127" i="7"/>
  <c r="H127" i="7"/>
  <c r="K127" i="7"/>
  <c r="F127" i="7"/>
  <c r="G127" i="7"/>
  <c r="J127" i="7"/>
  <c r="L127" i="7"/>
  <c r="M127" i="7"/>
  <c r="O127" i="7"/>
  <c r="P127" i="7"/>
  <c r="Q127" i="7"/>
  <c r="A39" i="8"/>
  <c r="N39" i="7"/>
  <c r="O39" i="7"/>
  <c r="P39" i="7"/>
  <c r="I39" i="7"/>
  <c r="L39" i="7"/>
  <c r="K39" i="7"/>
  <c r="F39" i="7"/>
  <c r="J39" i="7"/>
  <c r="G39" i="7"/>
  <c r="H39" i="7"/>
  <c r="Q39" i="7"/>
  <c r="M39" i="7"/>
  <c r="F185" i="7"/>
  <c r="M185" i="7"/>
  <c r="N185" i="7"/>
  <c r="G185" i="7"/>
  <c r="P185" i="7"/>
  <c r="H185" i="7"/>
  <c r="I185" i="7"/>
  <c r="O185" i="7"/>
  <c r="Q185" i="7"/>
  <c r="J185" i="7"/>
  <c r="K185" i="7"/>
  <c r="L185" i="7"/>
  <c r="A11" i="8"/>
  <c r="H11" i="7"/>
  <c r="I11" i="7"/>
  <c r="J11" i="7"/>
  <c r="F11" i="7"/>
  <c r="O11" i="7"/>
  <c r="G11" i="7"/>
  <c r="N11" i="7"/>
  <c r="Q11" i="7"/>
  <c r="K11" i="7"/>
  <c r="M11" i="7"/>
  <c r="P11" i="7"/>
  <c r="L11" i="7"/>
  <c r="F175" i="7"/>
  <c r="G175" i="7"/>
  <c r="H175" i="7"/>
  <c r="M175" i="7"/>
  <c r="N175" i="7"/>
  <c r="J175" i="7"/>
  <c r="K175" i="7"/>
  <c r="I175" i="7"/>
  <c r="L175" i="7"/>
  <c r="Q175" i="7"/>
  <c r="O175" i="7"/>
  <c r="P175" i="7"/>
  <c r="A57" i="8"/>
  <c r="F57" i="7"/>
  <c r="Q57" i="7"/>
  <c r="K57" i="7"/>
  <c r="P57" i="7"/>
  <c r="L57" i="7"/>
  <c r="M57" i="7"/>
  <c r="N57" i="7"/>
  <c r="O57" i="7"/>
  <c r="J57" i="7"/>
  <c r="G57" i="7"/>
  <c r="H57" i="7"/>
  <c r="I57" i="7"/>
  <c r="M99" i="7"/>
  <c r="N99" i="7"/>
  <c r="O99" i="7"/>
  <c r="P99" i="7"/>
  <c r="Q99" i="7"/>
  <c r="F99" i="7"/>
  <c r="H99" i="7"/>
  <c r="J99" i="7"/>
  <c r="L99" i="7"/>
  <c r="G99" i="7"/>
  <c r="I99" i="7"/>
  <c r="K99" i="7"/>
  <c r="Q152" i="7"/>
  <c r="P152" i="7"/>
  <c r="F152" i="7"/>
  <c r="H152" i="7"/>
  <c r="I152" i="7"/>
  <c r="G152" i="7"/>
  <c r="J152" i="7"/>
  <c r="K152" i="7"/>
  <c r="N152" i="7"/>
  <c r="O152" i="7"/>
  <c r="L152" i="7"/>
  <c r="M152" i="7"/>
  <c r="F180" i="7"/>
  <c r="G180" i="7"/>
  <c r="H180" i="7"/>
  <c r="I180" i="7"/>
  <c r="O180" i="7"/>
  <c r="P180" i="7"/>
  <c r="Q180" i="7"/>
  <c r="J180" i="7"/>
  <c r="K180" i="7"/>
  <c r="M180" i="7"/>
  <c r="N180" i="7"/>
  <c r="L180" i="7"/>
  <c r="A28" i="8"/>
  <c r="F28" i="7"/>
  <c r="H28" i="7"/>
  <c r="G28" i="7"/>
  <c r="L28" i="7"/>
  <c r="Q28" i="7"/>
  <c r="K28" i="7"/>
  <c r="M28" i="7"/>
  <c r="O28" i="7"/>
  <c r="I28" i="7"/>
  <c r="J28" i="7"/>
  <c r="N28" i="7"/>
  <c r="P28" i="7"/>
  <c r="A23" i="8"/>
  <c r="N23" i="7"/>
  <c r="O23" i="7"/>
  <c r="J23" i="7"/>
  <c r="M23" i="7"/>
  <c r="F23" i="7"/>
  <c r="K23" i="7"/>
  <c r="G23" i="7"/>
  <c r="L23" i="7"/>
  <c r="H23" i="7"/>
  <c r="I23" i="7"/>
  <c r="Q23" i="7"/>
  <c r="P23" i="7"/>
  <c r="F132" i="7"/>
  <c r="G132" i="7"/>
  <c r="H132" i="7"/>
  <c r="J132" i="7"/>
  <c r="I132" i="7"/>
  <c r="O132" i="7"/>
  <c r="N132" i="7"/>
  <c r="P132" i="7"/>
  <c r="Q132" i="7"/>
  <c r="K132" i="7"/>
  <c r="L132" i="7"/>
  <c r="M132" i="7"/>
  <c r="P163" i="7"/>
  <c r="Q163" i="7"/>
  <c r="I163" i="7"/>
  <c r="N163" i="7"/>
  <c r="J163" i="7"/>
  <c r="M163" i="7"/>
  <c r="K163" i="7"/>
  <c r="L163" i="7"/>
  <c r="O163" i="7"/>
  <c r="G163" i="7"/>
  <c r="F163" i="7"/>
  <c r="H163" i="7"/>
  <c r="N167" i="7"/>
  <c r="O167" i="7"/>
  <c r="P167" i="7"/>
  <c r="H167" i="7"/>
  <c r="M167" i="7"/>
  <c r="I167" i="7"/>
  <c r="J167" i="7"/>
  <c r="K167" i="7"/>
  <c r="L167" i="7"/>
  <c r="Q167" i="7"/>
  <c r="G167" i="7"/>
  <c r="F167" i="7"/>
  <c r="A30" i="8"/>
  <c r="O30" i="7"/>
  <c r="P30" i="7"/>
  <c r="Q30" i="7"/>
  <c r="F30" i="7"/>
  <c r="G30" i="7"/>
  <c r="H30" i="7"/>
  <c r="K30" i="7"/>
  <c r="J30" i="7"/>
  <c r="N30" i="7"/>
  <c r="L30" i="7"/>
  <c r="I30" i="7"/>
  <c r="M30" i="7"/>
  <c r="A33" i="8"/>
  <c r="K33" i="7"/>
  <c r="L33" i="7"/>
  <c r="M33" i="7"/>
  <c r="G33" i="7"/>
  <c r="F33" i="7"/>
  <c r="H33" i="7"/>
  <c r="I33" i="7"/>
  <c r="P33" i="7"/>
  <c r="Q33" i="7"/>
  <c r="O33" i="7"/>
  <c r="J33" i="7"/>
  <c r="N33" i="7"/>
  <c r="G168" i="7"/>
  <c r="I168" i="7"/>
  <c r="F168" i="7"/>
  <c r="H168" i="7"/>
  <c r="J168" i="7"/>
  <c r="K168" i="7"/>
  <c r="Q168" i="7"/>
  <c r="M168" i="7"/>
  <c r="N168" i="7"/>
  <c r="O168" i="7"/>
  <c r="P168" i="7"/>
  <c r="L168" i="7"/>
  <c r="A34" i="8"/>
  <c r="O34" i="7"/>
  <c r="P34" i="7"/>
  <c r="Q34" i="7"/>
  <c r="L34" i="7"/>
  <c r="G34" i="7"/>
  <c r="H34" i="7"/>
  <c r="I34" i="7"/>
  <c r="F34" i="7"/>
  <c r="K34" i="7"/>
  <c r="M34" i="7"/>
  <c r="N34" i="7"/>
  <c r="J34" i="7"/>
  <c r="O98" i="7"/>
  <c r="P98" i="7"/>
  <c r="Q98" i="7"/>
  <c r="L98" i="7"/>
  <c r="M98" i="7"/>
  <c r="N98" i="7"/>
  <c r="H98" i="7"/>
  <c r="I98" i="7"/>
  <c r="J98" i="7"/>
  <c r="K98" i="7"/>
  <c r="F98" i="7"/>
  <c r="G98" i="7"/>
  <c r="G170" i="7"/>
  <c r="H170" i="7"/>
  <c r="I170" i="7"/>
  <c r="J170" i="7"/>
  <c r="L170" i="7"/>
  <c r="O170" i="7"/>
  <c r="P170" i="7"/>
  <c r="Q170" i="7"/>
  <c r="F170" i="7"/>
  <c r="K170" i="7"/>
  <c r="M170" i="7"/>
  <c r="N170" i="7"/>
  <c r="H94" i="7"/>
  <c r="G94" i="7"/>
  <c r="I94" i="7"/>
  <c r="J94" i="7"/>
  <c r="F94" i="7"/>
  <c r="M94" i="7"/>
  <c r="N94" i="7"/>
  <c r="Q94" i="7"/>
  <c r="O94" i="7"/>
  <c r="P94" i="7"/>
  <c r="K94" i="7"/>
  <c r="L94" i="7"/>
  <c r="L154" i="7"/>
  <c r="M154" i="7"/>
  <c r="L154" i="8" s="1"/>
  <c r="O154" i="7"/>
  <c r="P154" i="7"/>
  <c r="Q154" i="7"/>
  <c r="N154" i="7"/>
  <c r="K154" i="7"/>
  <c r="J154" i="8" s="1"/>
  <c r="G154" i="7"/>
  <c r="F154" i="8" s="1"/>
  <c r="H154" i="7"/>
  <c r="G154" i="8" s="1"/>
  <c r="F154" i="7"/>
  <c r="E154" i="8" s="1"/>
  <c r="I154" i="7"/>
  <c r="H154" i="8" s="1"/>
  <c r="J154" i="7"/>
  <c r="H100" i="7"/>
  <c r="F100" i="7"/>
  <c r="G100" i="7"/>
  <c r="Q100" i="7"/>
  <c r="J100" i="7"/>
  <c r="K100" i="7"/>
  <c r="M100" i="7"/>
  <c r="P100" i="7"/>
  <c r="I100" i="7"/>
  <c r="L100" i="7"/>
  <c r="N100" i="7"/>
  <c r="O100" i="7"/>
  <c r="A15" i="8"/>
  <c r="F15" i="7"/>
  <c r="G15" i="7"/>
  <c r="I15" i="7"/>
  <c r="H15" i="7"/>
  <c r="J15" i="7"/>
  <c r="K15" i="7"/>
  <c r="L15" i="7"/>
  <c r="N15" i="7"/>
  <c r="Q15" i="7"/>
  <c r="M15" i="7"/>
  <c r="O15" i="7"/>
  <c r="P15" i="7"/>
  <c r="A4" i="8"/>
  <c r="F4" i="7"/>
  <c r="G4" i="7"/>
  <c r="H4" i="7"/>
  <c r="K4" i="7"/>
  <c r="O4" i="7"/>
  <c r="I4" i="7"/>
  <c r="M4" i="7"/>
  <c r="J4" i="7"/>
  <c r="L4" i="7"/>
  <c r="N4" i="7"/>
  <c r="P4" i="7"/>
  <c r="Q4" i="7"/>
  <c r="B29" i="7"/>
  <c r="D29" i="8"/>
  <c r="B82" i="7"/>
  <c r="D82" i="8"/>
  <c r="B39" i="7"/>
  <c r="D39" i="8"/>
  <c r="B27" i="7"/>
  <c r="D27" i="8"/>
  <c r="B75" i="7"/>
  <c r="D75" i="8"/>
  <c r="B66" i="7"/>
  <c r="D66" i="8"/>
  <c r="B85" i="7"/>
  <c r="D85" i="8"/>
  <c r="B65" i="7"/>
  <c r="D65" i="8"/>
  <c r="B77" i="7"/>
  <c r="D77" i="8"/>
  <c r="B61" i="7"/>
  <c r="D61" i="8"/>
  <c r="B80" i="7"/>
  <c r="D80" i="8"/>
  <c r="B35" i="7"/>
  <c r="D35" i="8"/>
  <c r="B9" i="7"/>
  <c r="D9" i="8"/>
  <c r="B69" i="7"/>
  <c r="D69" i="8"/>
  <c r="B63" i="7"/>
  <c r="D63" i="8"/>
  <c r="B34" i="7"/>
  <c r="D34" i="8"/>
  <c r="B6" i="7"/>
  <c r="D6" i="8"/>
  <c r="B5" i="7"/>
  <c r="D5" i="8"/>
  <c r="B8" i="7"/>
  <c r="D8" i="8"/>
  <c r="B79" i="7"/>
  <c r="D79" i="8"/>
  <c r="B70" i="7"/>
  <c r="D70" i="8"/>
  <c r="B36" i="7"/>
  <c r="D36" i="8"/>
  <c r="B33" i="7"/>
  <c r="D33" i="8"/>
  <c r="B20" i="7"/>
  <c r="D20" i="8"/>
  <c r="B50" i="7"/>
  <c r="D50" i="8"/>
  <c r="B59" i="7"/>
  <c r="D59" i="8"/>
  <c r="B46" i="7"/>
  <c r="D46" i="8"/>
  <c r="B21" i="7"/>
  <c r="D21" i="8"/>
  <c r="B42" i="7"/>
  <c r="D42" i="8"/>
  <c r="B60" i="7"/>
  <c r="D60" i="8"/>
  <c r="B51" i="7"/>
  <c r="D51" i="8"/>
  <c r="B62" i="7"/>
  <c r="D62" i="8"/>
  <c r="B76" i="7"/>
  <c r="D76" i="8"/>
  <c r="B71" i="7"/>
  <c r="D71" i="8"/>
  <c r="B55" i="7"/>
  <c r="D55" i="8"/>
  <c r="B81" i="7"/>
  <c r="D81" i="8"/>
  <c r="B87" i="7"/>
  <c r="D87" i="8"/>
  <c r="B24" i="7"/>
  <c r="D24" i="8"/>
  <c r="B83" i="7"/>
  <c r="D83" i="8"/>
  <c r="B25" i="7"/>
  <c r="D25" i="8"/>
  <c r="B49" i="7"/>
  <c r="D49" i="8"/>
  <c r="B13" i="7"/>
  <c r="D13" i="8"/>
  <c r="B30" i="7"/>
  <c r="D30" i="8"/>
  <c r="B52" i="7"/>
  <c r="D52" i="8"/>
  <c r="A2" i="8"/>
  <c r="B22" i="7"/>
  <c r="D22" i="8"/>
  <c r="B11" i="7"/>
  <c r="D11" i="8"/>
  <c r="B23" i="7"/>
  <c r="D23" i="8"/>
  <c r="B2" i="7"/>
  <c r="D2" i="8"/>
  <c r="B18" i="7"/>
  <c r="D18" i="8"/>
  <c r="B37" i="7"/>
  <c r="D37" i="8"/>
  <c r="B26" i="7"/>
  <c r="D26" i="8"/>
  <c r="B67" i="7"/>
  <c r="D67" i="8"/>
  <c r="B68" i="7"/>
  <c r="D68" i="8"/>
  <c r="B32" i="7"/>
  <c r="D32" i="8"/>
  <c r="B73" i="7"/>
  <c r="D73" i="8"/>
  <c r="B7" i="7"/>
  <c r="D7" i="8"/>
  <c r="B16" i="7"/>
  <c r="D16" i="8"/>
  <c r="B54" i="7"/>
  <c r="D54" i="8"/>
  <c r="B41" i="7"/>
  <c r="D41" i="8"/>
  <c r="B84" i="7"/>
  <c r="D84" i="8"/>
  <c r="B78" i="7"/>
  <c r="D78" i="8"/>
  <c r="B19" i="7"/>
  <c r="D19" i="8"/>
  <c r="B58" i="7"/>
  <c r="D58" i="8"/>
  <c r="B31" i="7"/>
  <c r="D31" i="8"/>
  <c r="B53" i="7"/>
  <c r="D53" i="8"/>
  <c r="B72" i="7"/>
  <c r="D72" i="8"/>
  <c r="B64" i="7"/>
  <c r="D64" i="8"/>
  <c r="B74" i="7"/>
  <c r="D74" i="8"/>
  <c r="B28" i="7"/>
  <c r="D28" i="8"/>
  <c r="B17" i="7"/>
  <c r="D17" i="8"/>
  <c r="B14" i="7"/>
  <c r="D14" i="8"/>
  <c r="B4" i="7"/>
  <c r="D4" i="8"/>
  <c r="B3" i="7"/>
  <c r="D3" i="8"/>
  <c r="B12" i="7"/>
  <c r="D12" i="8"/>
  <c r="B43" i="7"/>
  <c r="D43" i="8"/>
  <c r="B44" i="7"/>
  <c r="D44" i="8"/>
  <c r="B38" i="7"/>
  <c r="D38" i="8"/>
  <c r="B57" i="7"/>
  <c r="D57" i="8"/>
  <c r="B45" i="7"/>
  <c r="D45" i="8"/>
  <c r="B48" i="7"/>
  <c r="D48" i="8"/>
  <c r="B40" i="7"/>
  <c r="D40" i="8"/>
  <c r="B10" i="7"/>
  <c r="D10" i="8"/>
  <c r="B15" i="7"/>
  <c r="D15" i="8"/>
  <c r="B47" i="7"/>
  <c r="D47" i="8"/>
  <c r="B86" i="7"/>
  <c r="D86" i="8"/>
  <c r="B56" i="7"/>
  <c r="D56" i="8"/>
  <c r="J136" i="9" l="1"/>
  <c r="M136" i="8"/>
  <c r="C97" i="9"/>
  <c r="F97" i="8"/>
  <c r="L90" i="9"/>
  <c r="O90" i="8"/>
  <c r="B93" i="9"/>
  <c r="E93" i="8"/>
  <c r="G156" i="9"/>
  <c r="J156" i="8"/>
  <c r="G101" i="9"/>
  <c r="J101" i="8"/>
  <c r="H193" i="9"/>
  <c r="K193" i="8"/>
  <c r="K174" i="9"/>
  <c r="N174" i="8"/>
  <c r="D131" i="9"/>
  <c r="G131" i="8"/>
  <c r="J179" i="9"/>
  <c r="M179" i="8"/>
  <c r="H184" i="9"/>
  <c r="K184" i="8"/>
  <c r="E162" i="9"/>
  <c r="H162" i="8"/>
  <c r="G138" i="9"/>
  <c r="J138" i="8"/>
  <c r="B199" i="9"/>
  <c r="E199" i="8"/>
  <c r="C111" i="9"/>
  <c r="F111" i="8"/>
  <c r="G133" i="9"/>
  <c r="J133" i="8"/>
  <c r="E155" i="9"/>
  <c r="H155" i="8"/>
  <c r="K137" i="9"/>
  <c r="N137" i="8"/>
  <c r="M100" i="9"/>
  <c r="P100" i="8"/>
  <c r="M170" i="9"/>
  <c r="P170" i="8"/>
  <c r="C170" i="8" s="1"/>
  <c r="H132" i="9"/>
  <c r="K132" i="8"/>
  <c r="H99" i="9"/>
  <c r="K99" i="8"/>
  <c r="C175" i="9"/>
  <c r="F175" i="8"/>
  <c r="L145" i="9"/>
  <c r="O145" i="8"/>
  <c r="M106" i="9"/>
  <c r="P106" i="8"/>
  <c r="B146" i="9"/>
  <c r="E146" i="8"/>
  <c r="J181" i="9"/>
  <c r="M181" i="8"/>
  <c r="B105" i="9"/>
  <c r="E105" i="8"/>
  <c r="M119" i="9"/>
  <c r="P119" i="8"/>
  <c r="E116" i="9"/>
  <c r="H116" i="8"/>
  <c r="I115" i="9"/>
  <c r="L115" i="8"/>
  <c r="L96" i="9"/>
  <c r="O96" i="8"/>
  <c r="C125" i="9"/>
  <c r="F125" i="8"/>
  <c r="M123" i="9"/>
  <c r="P123" i="8"/>
  <c r="C196" i="9"/>
  <c r="F196" i="8"/>
  <c r="J126" i="9"/>
  <c r="M126" i="8"/>
  <c r="F164" i="9"/>
  <c r="I164" i="8"/>
  <c r="D113" i="9"/>
  <c r="G113" i="8"/>
  <c r="L110" i="9"/>
  <c r="O110" i="8"/>
  <c r="E150" i="9"/>
  <c r="H150" i="8"/>
  <c r="C117" i="9"/>
  <c r="F117" i="8"/>
  <c r="B97" i="9"/>
  <c r="E97" i="8"/>
  <c r="K90" i="9"/>
  <c r="N90" i="8"/>
  <c r="G93" i="9"/>
  <c r="J93" i="8"/>
  <c r="K156" i="9"/>
  <c r="N156" i="8"/>
  <c r="F101" i="9"/>
  <c r="I101" i="8"/>
  <c r="G193" i="9"/>
  <c r="J193" i="8"/>
  <c r="K200" i="9"/>
  <c r="N200" i="8"/>
  <c r="H174" i="9"/>
  <c r="K174" i="8"/>
  <c r="C131" i="9"/>
  <c r="F131" i="8"/>
  <c r="H179" i="9"/>
  <c r="K179" i="8"/>
  <c r="E184" i="9"/>
  <c r="H184" i="8"/>
  <c r="F162" i="9"/>
  <c r="I162" i="8"/>
  <c r="K138" i="9"/>
  <c r="N138" i="8"/>
  <c r="L199" i="9"/>
  <c r="O199" i="8"/>
  <c r="B111" i="9"/>
  <c r="E111" i="8"/>
  <c r="J133" i="9"/>
  <c r="M133" i="8"/>
  <c r="M155" i="9"/>
  <c r="P155" i="8"/>
  <c r="C155" i="8" s="1"/>
  <c r="E137" i="9"/>
  <c r="H137" i="8"/>
  <c r="J106" i="9"/>
  <c r="M106" i="8"/>
  <c r="D125" i="9"/>
  <c r="G125" i="8"/>
  <c r="H164" i="9"/>
  <c r="K164" i="8"/>
  <c r="G116" i="9"/>
  <c r="J116" i="8"/>
  <c r="K93" i="9"/>
  <c r="N93" i="8"/>
  <c r="H156" i="9"/>
  <c r="K156" i="8"/>
  <c r="D101" i="9"/>
  <c r="G101" i="8"/>
  <c r="B193" i="9"/>
  <c r="E193" i="8"/>
  <c r="E157" i="9"/>
  <c r="H157" i="8"/>
  <c r="H200" i="9"/>
  <c r="K200" i="8"/>
  <c r="L174" i="9"/>
  <c r="O174" i="8"/>
  <c r="J131" i="9"/>
  <c r="M131" i="8"/>
  <c r="M139" i="9"/>
  <c r="P139" i="8"/>
  <c r="F184" i="9"/>
  <c r="I184" i="8"/>
  <c r="I162" i="9"/>
  <c r="L162" i="8"/>
  <c r="B138" i="9"/>
  <c r="E138" i="8"/>
  <c r="J199" i="9"/>
  <c r="M199" i="8"/>
  <c r="H135" i="9"/>
  <c r="K135" i="8"/>
  <c r="B133" i="9"/>
  <c r="E133" i="8"/>
  <c r="D155" i="9"/>
  <c r="G155" i="8"/>
  <c r="D137" i="9"/>
  <c r="G137" i="8"/>
  <c r="D100" i="9"/>
  <c r="G100" i="8"/>
  <c r="H170" i="9"/>
  <c r="K170" i="8"/>
  <c r="K168" i="9"/>
  <c r="N168" i="8"/>
  <c r="L132" i="9"/>
  <c r="O132" i="8"/>
  <c r="B99" i="9"/>
  <c r="E99" i="8"/>
  <c r="J145" i="9"/>
  <c r="M145" i="8"/>
  <c r="D106" i="9"/>
  <c r="G106" i="8"/>
  <c r="J104" i="9"/>
  <c r="M104" i="8"/>
  <c r="E181" i="9"/>
  <c r="H181" i="8"/>
  <c r="M105" i="9"/>
  <c r="P105" i="8"/>
  <c r="D116" i="9"/>
  <c r="G116" i="8"/>
  <c r="B115" i="9"/>
  <c r="E115" i="8"/>
  <c r="L198" i="9"/>
  <c r="O198" i="8"/>
  <c r="G96" i="9"/>
  <c r="J96" i="8"/>
  <c r="H125" i="9"/>
  <c r="K125" i="8"/>
  <c r="E187" i="9"/>
  <c r="H187" i="8"/>
  <c r="L123" i="9"/>
  <c r="O123" i="8"/>
  <c r="F196" i="9"/>
  <c r="I196" i="8"/>
  <c r="G126" i="9"/>
  <c r="J126" i="8"/>
  <c r="B130" i="9"/>
  <c r="E130" i="8"/>
  <c r="G164" i="9"/>
  <c r="J164" i="8"/>
  <c r="M113" i="9"/>
  <c r="P113" i="8"/>
  <c r="B150" i="9"/>
  <c r="E150" i="8"/>
  <c r="E117" i="9"/>
  <c r="H117" i="8"/>
  <c r="H90" i="9"/>
  <c r="K90" i="8"/>
  <c r="J93" i="9"/>
  <c r="M93" i="8"/>
  <c r="M156" i="9"/>
  <c r="P156" i="8"/>
  <c r="C156" i="8" s="1"/>
  <c r="D193" i="9"/>
  <c r="G193" i="8"/>
  <c r="C157" i="9"/>
  <c r="F157" i="8"/>
  <c r="G200" i="9"/>
  <c r="J200" i="8"/>
  <c r="J174" i="9"/>
  <c r="M174" i="8"/>
  <c r="I131" i="9"/>
  <c r="L131" i="8"/>
  <c r="K139" i="9"/>
  <c r="N139" i="8"/>
  <c r="D184" i="9"/>
  <c r="G184" i="8"/>
  <c r="M162" i="9"/>
  <c r="P162" i="8"/>
  <c r="C162" i="8" s="1"/>
  <c r="H138" i="9"/>
  <c r="K138" i="8"/>
  <c r="E135" i="9"/>
  <c r="H135" i="8"/>
  <c r="F133" i="9"/>
  <c r="I133" i="8"/>
  <c r="J155" i="9"/>
  <c r="M155" i="8"/>
  <c r="M121" i="9"/>
  <c r="P121" i="8"/>
  <c r="B196" i="9"/>
  <c r="E196" i="8"/>
  <c r="I135" i="9"/>
  <c r="L135" i="8"/>
  <c r="K170" i="9"/>
  <c r="N170" i="8"/>
  <c r="L99" i="9"/>
  <c r="O99" i="8"/>
  <c r="I198" i="9"/>
  <c r="L198" i="8"/>
  <c r="I139" i="9"/>
  <c r="L139" i="8"/>
  <c r="E93" i="9"/>
  <c r="H93" i="8"/>
  <c r="M138" i="9"/>
  <c r="P138" i="8"/>
  <c r="G135" i="9"/>
  <c r="J135" i="8"/>
  <c r="D194" i="9"/>
  <c r="G194" i="8"/>
  <c r="L155" i="9"/>
  <c r="O155" i="8"/>
  <c r="J121" i="9"/>
  <c r="M121" i="8"/>
  <c r="C170" i="9"/>
  <c r="F170" i="8"/>
  <c r="G168" i="9"/>
  <c r="J168" i="8"/>
  <c r="B167" i="9"/>
  <c r="E167" i="8"/>
  <c r="F132" i="9"/>
  <c r="I132" i="8"/>
  <c r="I180" i="9"/>
  <c r="L180" i="8"/>
  <c r="J99" i="9"/>
  <c r="M99" i="8"/>
  <c r="J114" i="9"/>
  <c r="M114" i="8"/>
  <c r="I104" i="9"/>
  <c r="L104" i="8"/>
  <c r="B181" i="9"/>
  <c r="E181" i="8"/>
  <c r="M161" i="9"/>
  <c r="P161" i="8"/>
  <c r="C161" i="8" s="1"/>
  <c r="F105" i="9"/>
  <c r="I105" i="8"/>
  <c r="B116" i="9"/>
  <c r="E116" i="8"/>
  <c r="F198" i="9"/>
  <c r="I198" i="8"/>
  <c r="E183" i="9"/>
  <c r="H183" i="8"/>
  <c r="L129" i="9"/>
  <c r="O129" i="8"/>
  <c r="M125" i="9"/>
  <c r="P125" i="8"/>
  <c r="I187" i="9"/>
  <c r="L187" i="8"/>
  <c r="I123" i="9"/>
  <c r="L123" i="8"/>
  <c r="F126" i="9"/>
  <c r="I126" i="8"/>
  <c r="J130" i="9"/>
  <c r="M130" i="8"/>
  <c r="L195" i="9"/>
  <c r="O195" i="8"/>
  <c r="J113" i="9"/>
  <c r="M113" i="8"/>
  <c r="I197" i="9"/>
  <c r="L197" i="8"/>
  <c r="D150" i="9"/>
  <c r="G150" i="8"/>
  <c r="J117" i="9"/>
  <c r="M117" i="8"/>
  <c r="L172" i="9"/>
  <c r="O172" i="8"/>
  <c r="D93" i="9"/>
  <c r="G93" i="8"/>
  <c r="M92" i="9"/>
  <c r="P92" i="8"/>
  <c r="C156" i="9"/>
  <c r="F156" i="8"/>
  <c r="J193" i="9"/>
  <c r="M193" i="8"/>
  <c r="I157" i="9"/>
  <c r="L157" i="8"/>
  <c r="B166" i="9"/>
  <c r="E166" i="8"/>
  <c r="F200" i="9"/>
  <c r="I200" i="8"/>
  <c r="D159" i="9"/>
  <c r="G159" i="8"/>
  <c r="F131" i="9"/>
  <c r="I131" i="8"/>
  <c r="L139" i="9"/>
  <c r="O139" i="8"/>
  <c r="D189" i="9"/>
  <c r="G189" i="8"/>
  <c r="D182" i="9"/>
  <c r="G182" i="8"/>
  <c r="L138" i="9"/>
  <c r="O138" i="8"/>
  <c r="F135" i="9"/>
  <c r="I135" i="8"/>
  <c r="B194" i="9"/>
  <c r="E194" i="8"/>
  <c r="K155" i="9"/>
  <c r="N155" i="8"/>
  <c r="H121" i="9"/>
  <c r="K121" i="8"/>
  <c r="C99" i="9"/>
  <c r="F99" i="8"/>
  <c r="L119" i="9"/>
  <c r="O119" i="8"/>
  <c r="I155" i="9"/>
  <c r="L155" i="8"/>
  <c r="J115" i="9"/>
  <c r="M115" i="8"/>
  <c r="F156" i="9"/>
  <c r="I156" i="8"/>
  <c r="D183" i="9"/>
  <c r="G183" i="8"/>
  <c r="F194" i="9"/>
  <c r="I194" i="8"/>
  <c r="H173" i="9"/>
  <c r="K173" i="8"/>
  <c r="B135" i="9"/>
  <c r="E135" i="8"/>
  <c r="L149" i="9"/>
  <c r="O149" i="8"/>
  <c r="C138" i="9"/>
  <c r="F138" i="8"/>
  <c r="M153" i="9"/>
  <c r="P153" i="8"/>
  <c r="C153" i="8" s="1"/>
  <c r="G151" i="9"/>
  <c r="J151" i="8"/>
  <c r="H114" i="9"/>
  <c r="K114" i="8"/>
  <c r="M192" i="9"/>
  <c r="P192" i="8"/>
  <c r="C192" i="8" s="1"/>
  <c r="D104" i="9"/>
  <c r="G104" i="8"/>
  <c r="G103" i="9"/>
  <c r="J103" i="8"/>
  <c r="I161" i="9"/>
  <c r="L161" i="8"/>
  <c r="E151" i="9"/>
  <c r="H151" i="8"/>
  <c r="K183" i="9"/>
  <c r="N183" i="8"/>
  <c r="G108" i="9"/>
  <c r="J108" i="8"/>
  <c r="E129" i="9"/>
  <c r="H129" i="8"/>
  <c r="I149" i="9"/>
  <c r="L149" i="8"/>
  <c r="F187" i="9"/>
  <c r="I187" i="8"/>
  <c r="B160" i="9"/>
  <c r="E160" i="8"/>
  <c r="F173" i="9"/>
  <c r="I173" i="8"/>
  <c r="K130" i="9"/>
  <c r="N130" i="8"/>
  <c r="L142" i="9"/>
  <c r="O142" i="8"/>
  <c r="F195" i="9"/>
  <c r="I195" i="8"/>
  <c r="F197" i="9"/>
  <c r="I197" i="8"/>
  <c r="D186" i="9"/>
  <c r="G186" i="8"/>
  <c r="B147" i="9"/>
  <c r="E147" i="8"/>
  <c r="K176" i="9"/>
  <c r="N176" i="8"/>
  <c r="C141" i="9"/>
  <c r="F141" i="8"/>
  <c r="H107" i="9"/>
  <c r="K107" i="8"/>
  <c r="B172" i="9"/>
  <c r="E172" i="8"/>
  <c r="K92" i="9"/>
  <c r="N92" i="8"/>
  <c r="L157" i="9"/>
  <c r="O157" i="8"/>
  <c r="J166" i="9"/>
  <c r="M166" i="8"/>
  <c r="I159" i="9"/>
  <c r="L159" i="8"/>
  <c r="F139" i="9"/>
  <c r="I139" i="8"/>
  <c r="H189" i="9"/>
  <c r="K189" i="8"/>
  <c r="L182" i="9"/>
  <c r="O182" i="8"/>
  <c r="J120" i="9"/>
  <c r="M120" i="8"/>
  <c r="G122" i="9"/>
  <c r="J122" i="8"/>
  <c r="H194" i="9"/>
  <c r="K194" i="8"/>
  <c r="E158" i="9"/>
  <c r="H158" i="8"/>
  <c r="I121" i="9"/>
  <c r="L121" i="8"/>
  <c r="D105" i="9"/>
  <c r="G105" i="8"/>
  <c r="L170" i="9"/>
  <c r="O170" i="8"/>
  <c r="D146" i="9"/>
  <c r="G146" i="8"/>
  <c r="F110" i="9"/>
  <c r="I110" i="8"/>
  <c r="I156" i="9"/>
  <c r="L156" i="8"/>
  <c r="L168" i="9"/>
  <c r="O168" i="8"/>
  <c r="G181" i="9"/>
  <c r="J181" i="8"/>
  <c r="J132" i="9"/>
  <c r="M132" i="8"/>
  <c r="B157" i="9"/>
  <c r="E157" i="8"/>
  <c r="D126" i="9"/>
  <c r="G126" i="8"/>
  <c r="G198" i="9"/>
  <c r="J198" i="8"/>
  <c r="F168" i="9"/>
  <c r="I168" i="8"/>
  <c r="L161" i="9"/>
  <c r="O161" i="8"/>
  <c r="F180" i="9"/>
  <c r="I180" i="8"/>
  <c r="F142" i="9"/>
  <c r="I142" i="8"/>
  <c r="B195" i="9"/>
  <c r="E195" i="8"/>
  <c r="M197" i="9"/>
  <c r="P197" i="8"/>
  <c r="C197" i="8" s="1"/>
  <c r="F129" i="9"/>
  <c r="I129" i="8"/>
  <c r="L173" i="9"/>
  <c r="O173" i="8"/>
  <c r="L197" i="9"/>
  <c r="O197" i="8"/>
  <c r="M154" i="9"/>
  <c r="P154" i="8"/>
  <c r="C154" i="8" s="1"/>
  <c r="L180" i="9"/>
  <c r="O180" i="8"/>
  <c r="F103" i="9"/>
  <c r="I103" i="8"/>
  <c r="H161" i="9"/>
  <c r="K161" i="8"/>
  <c r="D142" i="9"/>
  <c r="G142" i="8"/>
  <c r="K197" i="9"/>
  <c r="N197" i="8"/>
  <c r="K107" i="9"/>
  <c r="N107" i="8"/>
  <c r="M200" i="9"/>
  <c r="P200" i="8"/>
  <c r="C200" i="8" s="1"/>
  <c r="I120" i="9"/>
  <c r="L120" i="8"/>
  <c r="I194" i="9"/>
  <c r="L194" i="8"/>
  <c r="D98" i="9"/>
  <c r="G98" i="8"/>
  <c r="F114" i="9"/>
  <c r="I114" i="8"/>
  <c r="C104" i="9"/>
  <c r="F104" i="8"/>
  <c r="M183" i="9"/>
  <c r="P183" i="8"/>
  <c r="C183" i="8" s="1"/>
  <c r="F108" i="9"/>
  <c r="I108" i="8"/>
  <c r="D129" i="9"/>
  <c r="G129" i="8"/>
  <c r="H149" i="9"/>
  <c r="K149" i="8"/>
  <c r="M169" i="9"/>
  <c r="P169" i="8"/>
  <c r="C169" i="8" s="1"/>
  <c r="K160" i="9"/>
  <c r="N160" i="8"/>
  <c r="E173" i="9"/>
  <c r="H173" i="8"/>
  <c r="I142" i="9"/>
  <c r="L142" i="8"/>
  <c r="K89" i="9"/>
  <c r="N89" i="8"/>
  <c r="E195" i="9"/>
  <c r="H195" i="8"/>
  <c r="E197" i="9"/>
  <c r="H197" i="8"/>
  <c r="B186" i="9"/>
  <c r="E186" i="8"/>
  <c r="M147" i="9"/>
  <c r="P147" i="8"/>
  <c r="J176" i="9"/>
  <c r="M176" i="8"/>
  <c r="M141" i="9"/>
  <c r="P141" i="8"/>
  <c r="B107" i="9"/>
  <c r="E107" i="8"/>
  <c r="J171" i="9"/>
  <c r="M171" i="8"/>
  <c r="D172" i="9"/>
  <c r="G172" i="8"/>
  <c r="D92" i="9"/>
  <c r="G92" i="8"/>
  <c r="B128" i="9"/>
  <c r="E128" i="8"/>
  <c r="F166" i="9"/>
  <c r="I166" i="8"/>
  <c r="H159" i="9"/>
  <c r="K159" i="8"/>
  <c r="G189" i="9"/>
  <c r="J189" i="8"/>
  <c r="M182" i="9"/>
  <c r="P182" i="8"/>
  <c r="C182" i="8" s="1"/>
  <c r="L120" i="9"/>
  <c r="O120" i="8"/>
  <c r="F122" i="9"/>
  <c r="I122" i="8"/>
  <c r="G194" i="9"/>
  <c r="J194" i="8"/>
  <c r="J158" i="9"/>
  <c r="M158" i="8"/>
  <c r="B121" i="9"/>
  <c r="E121" i="8"/>
  <c r="H154" i="9"/>
  <c r="K154" i="8"/>
  <c r="I98" i="9"/>
  <c r="L98" i="8"/>
  <c r="D167" i="9"/>
  <c r="G167" i="8"/>
  <c r="C180" i="9"/>
  <c r="F180" i="8"/>
  <c r="H185" i="9"/>
  <c r="K185" i="8"/>
  <c r="B127" i="9"/>
  <c r="E127" i="8"/>
  <c r="F112" i="9"/>
  <c r="I112" i="8"/>
  <c r="B114" i="9"/>
  <c r="E114" i="8"/>
  <c r="K192" i="9"/>
  <c r="N192" i="8"/>
  <c r="M103" i="9"/>
  <c r="P103" i="8"/>
  <c r="E161" i="9"/>
  <c r="H161" i="8"/>
  <c r="F151" i="9"/>
  <c r="I151" i="8"/>
  <c r="M191" i="9"/>
  <c r="P191" i="8"/>
  <c r="C191" i="8" s="1"/>
  <c r="J183" i="9"/>
  <c r="M183" i="8"/>
  <c r="M108" i="9"/>
  <c r="P108" i="8"/>
  <c r="C129" i="9"/>
  <c r="F129" i="8"/>
  <c r="E149" i="9"/>
  <c r="H149" i="8"/>
  <c r="L169" i="9"/>
  <c r="O169" i="8"/>
  <c r="I160" i="9"/>
  <c r="L160" i="8"/>
  <c r="C173" i="9"/>
  <c r="F173" i="8"/>
  <c r="K142" i="9"/>
  <c r="N142" i="8"/>
  <c r="I89" i="9"/>
  <c r="L89" i="8"/>
  <c r="I195" i="9"/>
  <c r="L195" i="8"/>
  <c r="D197" i="9"/>
  <c r="G197" i="8"/>
  <c r="M186" i="9"/>
  <c r="P186" i="8"/>
  <c r="C186" i="8" s="1"/>
  <c r="C165" i="9"/>
  <c r="F165" i="8"/>
  <c r="J147" i="9"/>
  <c r="M147" i="8"/>
  <c r="L176" i="9"/>
  <c r="O176" i="8"/>
  <c r="D141" i="9"/>
  <c r="G141" i="8"/>
  <c r="F107" i="9"/>
  <c r="I107" i="8"/>
  <c r="I171" i="9"/>
  <c r="L171" i="8"/>
  <c r="K172" i="9"/>
  <c r="N172" i="8"/>
  <c r="G92" i="9"/>
  <c r="J92" i="8"/>
  <c r="C128" i="9"/>
  <c r="F128" i="8"/>
  <c r="D166" i="9"/>
  <c r="G166" i="8"/>
  <c r="G159" i="9"/>
  <c r="J159" i="8"/>
  <c r="F189" i="9"/>
  <c r="I189" i="8"/>
  <c r="I182" i="9"/>
  <c r="L182" i="8"/>
  <c r="D120" i="9"/>
  <c r="G120" i="8"/>
  <c r="E122" i="9"/>
  <c r="H122" i="8"/>
  <c r="M194" i="9"/>
  <c r="P194" i="8"/>
  <c r="C194" i="8" s="1"/>
  <c r="M158" i="9"/>
  <c r="P158" i="8"/>
  <c r="C158" i="8" s="1"/>
  <c r="K177" i="9"/>
  <c r="N177" i="8"/>
  <c r="D175" i="9"/>
  <c r="G175" i="8"/>
  <c r="D196" i="9"/>
  <c r="G196" i="8"/>
  <c r="K199" i="9"/>
  <c r="N199" i="8"/>
  <c r="M198" i="9"/>
  <c r="P198" i="8"/>
  <c r="C198" i="8" s="1"/>
  <c r="I145" i="9"/>
  <c r="L145" i="8"/>
  <c r="D170" i="9"/>
  <c r="G170" i="8"/>
  <c r="D187" i="9"/>
  <c r="G187" i="8"/>
  <c r="C135" i="9"/>
  <c r="F135" i="8"/>
  <c r="G98" i="9"/>
  <c r="J98" i="8"/>
  <c r="B192" i="9"/>
  <c r="E192" i="8"/>
  <c r="L93" i="9"/>
  <c r="O93" i="8"/>
  <c r="F155" i="9"/>
  <c r="I155" i="8"/>
  <c r="I151" i="9"/>
  <c r="L151" i="8"/>
  <c r="G150" i="9"/>
  <c r="J150" i="8"/>
  <c r="C172" i="9"/>
  <c r="F172" i="8"/>
  <c r="I158" i="9"/>
  <c r="L158" i="8"/>
  <c r="I112" i="9"/>
  <c r="L112" i="8"/>
  <c r="L192" i="9"/>
  <c r="O192" i="8"/>
  <c r="F161" i="9"/>
  <c r="I161" i="8"/>
  <c r="B180" i="9"/>
  <c r="E180" i="8"/>
  <c r="G185" i="9"/>
  <c r="J185" i="8"/>
  <c r="G127" i="9"/>
  <c r="J127" i="8"/>
  <c r="J112" i="9"/>
  <c r="M112" i="8"/>
  <c r="M114" i="9"/>
  <c r="P114" i="8"/>
  <c r="D192" i="9"/>
  <c r="G192" i="8"/>
  <c r="B103" i="9"/>
  <c r="E103" i="8"/>
  <c r="B161" i="9"/>
  <c r="E161" i="8"/>
  <c r="B151" i="9"/>
  <c r="E151" i="8"/>
  <c r="D134" i="9"/>
  <c r="G134" i="8"/>
  <c r="K191" i="9"/>
  <c r="N191" i="8"/>
  <c r="L183" i="9"/>
  <c r="O183" i="8"/>
  <c r="L108" i="9"/>
  <c r="O108" i="8"/>
  <c r="B129" i="9"/>
  <c r="E129" i="8"/>
  <c r="D149" i="9"/>
  <c r="G149" i="8"/>
  <c r="H169" i="9"/>
  <c r="K169" i="8"/>
  <c r="M160" i="9"/>
  <c r="P160" i="8"/>
  <c r="C160" i="8" s="1"/>
  <c r="M173" i="9"/>
  <c r="P173" i="8"/>
  <c r="C173" i="8" s="1"/>
  <c r="H142" i="9"/>
  <c r="K142" i="8"/>
  <c r="C89" i="9"/>
  <c r="F89" i="8"/>
  <c r="H195" i="9"/>
  <c r="K195" i="8"/>
  <c r="K186" i="9"/>
  <c r="N186" i="8"/>
  <c r="B165" i="9"/>
  <c r="E165" i="8"/>
  <c r="I147" i="9"/>
  <c r="L147" i="8"/>
  <c r="I176" i="9"/>
  <c r="L176" i="8"/>
  <c r="K141" i="9"/>
  <c r="N141" i="8"/>
  <c r="C107" i="9"/>
  <c r="F107" i="8"/>
  <c r="C171" i="9"/>
  <c r="F171" i="8"/>
  <c r="J172" i="9"/>
  <c r="M172" i="8"/>
  <c r="H92" i="9"/>
  <c r="K92" i="8"/>
  <c r="M109" i="9"/>
  <c r="P109" i="8"/>
  <c r="D128" i="9"/>
  <c r="G128" i="8"/>
  <c r="C166" i="9"/>
  <c r="F166" i="8"/>
  <c r="B159" i="9"/>
  <c r="E159" i="8"/>
  <c r="E189" i="9"/>
  <c r="H189" i="8"/>
  <c r="H182" i="9"/>
  <c r="K182" i="8"/>
  <c r="B120" i="9"/>
  <c r="E120" i="8"/>
  <c r="D190" i="9"/>
  <c r="G190" i="8"/>
  <c r="K122" i="9"/>
  <c r="N122" i="8"/>
  <c r="L194" i="9"/>
  <c r="O194" i="8"/>
  <c r="L158" i="9"/>
  <c r="O158" i="8"/>
  <c r="D177" i="9"/>
  <c r="G177" i="8"/>
  <c r="F116" i="9"/>
  <c r="I116" i="8"/>
  <c r="C100" i="9"/>
  <c r="F100" i="8"/>
  <c r="B175" i="9"/>
  <c r="E175" i="8"/>
  <c r="C133" i="9"/>
  <c r="F133" i="8"/>
  <c r="E133" i="9"/>
  <c r="H133" i="8"/>
  <c r="K129" i="9"/>
  <c r="N129" i="8"/>
  <c r="K187" i="9"/>
  <c r="N187" i="8"/>
  <c r="B164" i="9"/>
  <c r="E164" i="8"/>
  <c r="C155" i="9"/>
  <c r="F155" i="8"/>
  <c r="F183" i="9"/>
  <c r="I183" i="8"/>
  <c r="C195" i="9"/>
  <c r="F195" i="8"/>
  <c r="J92" i="9"/>
  <c r="M92" i="8"/>
  <c r="H155" i="9"/>
  <c r="K155" i="8"/>
  <c r="H129" i="9"/>
  <c r="K129" i="8"/>
  <c r="M180" i="9"/>
  <c r="P180" i="8"/>
  <c r="C180" i="8" s="1"/>
  <c r="C187" i="9"/>
  <c r="F187" i="8"/>
  <c r="F186" i="9"/>
  <c r="I186" i="8"/>
  <c r="G121" i="9"/>
  <c r="J121" i="8"/>
  <c r="I127" i="9"/>
  <c r="L127" i="8"/>
  <c r="H187" i="9"/>
  <c r="K187" i="8"/>
  <c r="J194" i="9"/>
  <c r="M194" i="8"/>
  <c r="J135" i="9"/>
  <c r="M135" i="8"/>
  <c r="K167" i="9"/>
  <c r="N167" i="8"/>
  <c r="F185" i="9"/>
  <c r="I185" i="8"/>
  <c r="D127" i="9"/>
  <c r="G127" i="8"/>
  <c r="G112" i="9"/>
  <c r="J112" i="8"/>
  <c r="I192" i="9"/>
  <c r="L192" i="8"/>
  <c r="L103" i="9"/>
  <c r="O103" i="8"/>
  <c r="D161" i="9"/>
  <c r="G161" i="8"/>
  <c r="D151" i="9"/>
  <c r="G151" i="8"/>
  <c r="C134" i="9"/>
  <c r="F134" i="8"/>
  <c r="H191" i="9"/>
  <c r="K191" i="8"/>
  <c r="I183" i="9"/>
  <c r="L183" i="8"/>
  <c r="H108" i="9"/>
  <c r="K108" i="8"/>
  <c r="B102" i="9"/>
  <c r="E102" i="8"/>
  <c r="M178" i="9"/>
  <c r="P178" i="8"/>
  <c r="C178" i="8" s="1"/>
  <c r="B149" i="9"/>
  <c r="E149" i="8"/>
  <c r="F169" i="9"/>
  <c r="I169" i="8"/>
  <c r="L160" i="9"/>
  <c r="O160" i="8"/>
  <c r="F144" i="9"/>
  <c r="I144" i="8"/>
  <c r="G173" i="9"/>
  <c r="J173" i="8"/>
  <c r="M142" i="9"/>
  <c r="P142" i="8"/>
  <c r="G89" i="9"/>
  <c r="J89" i="8"/>
  <c r="D195" i="9"/>
  <c r="G195" i="8"/>
  <c r="J186" i="9"/>
  <c r="M186" i="8"/>
  <c r="K165" i="9"/>
  <c r="N165" i="8"/>
  <c r="F147" i="9"/>
  <c r="I147" i="8"/>
  <c r="H176" i="9"/>
  <c r="K176" i="8"/>
  <c r="G141" i="9"/>
  <c r="J141" i="8"/>
  <c r="L188" i="9"/>
  <c r="O188" i="8"/>
  <c r="D107" i="9"/>
  <c r="G107" i="8"/>
  <c r="F171" i="9"/>
  <c r="I171" i="8"/>
  <c r="I172" i="9"/>
  <c r="L172" i="8"/>
  <c r="J109" i="9"/>
  <c r="M109" i="8"/>
  <c r="M128" i="9"/>
  <c r="P128" i="8"/>
  <c r="I166" i="9"/>
  <c r="L166" i="8"/>
  <c r="E140" i="9"/>
  <c r="H140" i="8"/>
  <c r="M189" i="9"/>
  <c r="P189" i="8"/>
  <c r="C189" i="8" s="1"/>
  <c r="G182" i="9"/>
  <c r="J182" i="8"/>
  <c r="H120" i="9"/>
  <c r="K120" i="8"/>
  <c r="G190" i="9"/>
  <c r="J190" i="8"/>
  <c r="L122" i="9"/>
  <c r="O122" i="8"/>
  <c r="K194" i="9"/>
  <c r="N194" i="8"/>
  <c r="K158" i="9"/>
  <c r="N158" i="8"/>
  <c r="C177" i="9"/>
  <c r="F177" i="8"/>
  <c r="B170" i="9"/>
  <c r="E170" i="8"/>
  <c r="L106" i="9"/>
  <c r="O106" i="8"/>
  <c r="E101" i="9"/>
  <c r="H101" i="8"/>
  <c r="I125" i="9"/>
  <c r="L125" i="8"/>
  <c r="C164" i="9"/>
  <c r="F164" i="8"/>
  <c r="F130" i="9"/>
  <c r="I130" i="8"/>
  <c r="D117" i="9"/>
  <c r="G117" i="8"/>
  <c r="F193" i="9"/>
  <c r="I193" i="8"/>
  <c r="B155" i="9"/>
  <c r="E155" i="8"/>
  <c r="M135" i="9"/>
  <c r="P135" i="8"/>
  <c r="H131" i="9"/>
  <c r="K131" i="8"/>
  <c r="L105" i="9"/>
  <c r="O105" i="8"/>
  <c r="B98" i="9"/>
  <c r="E98" i="8"/>
  <c r="J105" i="9"/>
  <c r="M105" i="8"/>
  <c r="C189" i="9"/>
  <c r="F189" i="8"/>
  <c r="H167" i="9"/>
  <c r="K167" i="8"/>
  <c r="E168" i="9"/>
  <c r="H168" i="8"/>
  <c r="J195" i="9"/>
  <c r="M195" i="8"/>
  <c r="M159" i="9"/>
  <c r="P159" i="8"/>
  <c r="C159" i="8" s="1"/>
  <c r="B92" i="9"/>
  <c r="E92" i="8"/>
  <c r="M98" i="9"/>
  <c r="P98" i="8"/>
  <c r="M185" i="9"/>
  <c r="P185" i="8"/>
  <c r="C185" i="8" s="1"/>
  <c r="K103" i="9"/>
  <c r="N103" i="8"/>
  <c r="C161" i="9"/>
  <c r="F161" i="8"/>
  <c r="H151" i="9"/>
  <c r="K151" i="8"/>
  <c r="E134" i="9"/>
  <c r="H134" i="8"/>
  <c r="F191" i="9"/>
  <c r="I191" i="8"/>
  <c r="E108" i="9"/>
  <c r="H108" i="8"/>
  <c r="C102" i="9"/>
  <c r="F102" i="8"/>
  <c r="I178" i="9"/>
  <c r="L178" i="8"/>
  <c r="G149" i="9"/>
  <c r="J149" i="8"/>
  <c r="C169" i="9"/>
  <c r="F169" i="8"/>
  <c r="H160" i="9"/>
  <c r="K160" i="8"/>
  <c r="M144" i="9"/>
  <c r="P144" i="8"/>
  <c r="D173" i="9"/>
  <c r="G173" i="8"/>
  <c r="C142" i="9"/>
  <c r="F142" i="8"/>
  <c r="E89" i="9"/>
  <c r="H89" i="8"/>
  <c r="L143" i="9"/>
  <c r="O143" i="8"/>
  <c r="I186" i="9"/>
  <c r="L186" i="8"/>
  <c r="J165" i="9"/>
  <c r="M165" i="8"/>
  <c r="H147" i="9"/>
  <c r="K147" i="8"/>
  <c r="G176" i="9"/>
  <c r="J176" i="8"/>
  <c r="L124" i="9"/>
  <c r="O124" i="8"/>
  <c r="I141" i="9"/>
  <c r="L141" i="8"/>
  <c r="K188" i="9"/>
  <c r="N188" i="8"/>
  <c r="I107" i="9"/>
  <c r="L107" i="8"/>
  <c r="E171" i="9"/>
  <c r="H171" i="8"/>
  <c r="G109" i="9"/>
  <c r="J109" i="8"/>
  <c r="L128" i="9"/>
  <c r="O128" i="8"/>
  <c r="H166" i="9"/>
  <c r="K166" i="8"/>
  <c r="H140" i="9"/>
  <c r="K140" i="8"/>
  <c r="L189" i="9"/>
  <c r="O189" i="8"/>
  <c r="G120" i="9"/>
  <c r="J120" i="8"/>
  <c r="F190" i="9"/>
  <c r="I190" i="8"/>
  <c r="J122" i="9"/>
  <c r="M122" i="8"/>
  <c r="B158" i="9"/>
  <c r="E158" i="8"/>
  <c r="G177" i="9"/>
  <c r="J177" i="8"/>
  <c r="I132" i="9"/>
  <c r="L132" i="8"/>
  <c r="B113" i="9"/>
  <c r="E113" i="8"/>
  <c r="C115" i="9"/>
  <c r="F115" i="8"/>
  <c r="H117" i="9"/>
  <c r="K117" i="8"/>
  <c r="B100" i="9"/>
  <c r="E100" i="8"/>
  <c r="H105" i="9"/>
  <c r="K105" i="8"/>
  <c r="B187" i="9"/>
  <c r="E187" i="8"/>
  <c r="I116" i="9"/>
  <c r="L116" i="8"/>
  <c r="G104" i="9"/>
  <c r="J104" i="8"/>
  <c r="B117" i="9"/>
  <c r="E117" i="8"/>
  <c r="D132" i="9"/>
  <c r="G132" i="8"/>
  <c r="I113" i="9"/>
  <c r="L113" i="8"/>
  <c r="E200" i="9"/>
  <c r="H200" i="8"/>
  <c r="K104" i="9"/>
  <c r="N104" i="8"/>
  <c r="I150" i="9"/>
  <c r="L150" i="8"/>
  <c r="C182" i="9"/>
  <c r="F182" i="8"/>
  <c r="K189" i="9"/>
  <c r="N189" i="8"/>
  <c r="L141" i="9"/>
  <c r="O141" i="8"/>
  <c r="E98" i="9"/>
  <c r="H98" i="8"/>
  <c r="F172" i="9"/>
  <c r="I172" i="8"/>
  <c r="I152" i="9"/>
  <c r="L152" i="8"/>
  <c r="M91" i="9"/>
  <c r="P91" i="8"/>
  <c r="K148" i="9"/>
  <c r="N148" i="8"/>
  <c r="M151" i="9"/>
  <c r="P151" i="8"/>
  <c r="I134" i="9"/>
  <c r="L134" i="8"/>
  <c r="L191" i="9"/>
  <c r="O191" i="8"/>
  <c r="D108" i="9"/>
  <c r="G108" i="8"/>
  <c r="F102" i="9"/>
  <c r="I102" i="8"/>
  <c r="L178" i="9"/>
  <c r="O178" i="8"/>
  <c r="F149" i="9"/>
  <c r="I149" i="8"/>
  <c r="B169" i="9"/>
  <c r="E169" i="8"/>
  <c r="J160" i="9"/>
  <c r="M160" i="8"/>
  <c r="J144" i="9"/>
  <c r="M144" i="8"/>
  <c r="B173" i="9"/>
  <c r="E173" i="8"/>
  <c r="B142" i="9"/>
  <c r="E142" i="8"/>
  <c r="H89" i="9"/>
  <c r="K89" i="8"/>
  <c r="M143" i="9"/>
  <c r="P143" i="8"/>
  <c r="L186" i="9"/>
  <c r="O186" i="8"/>
  <c r="I165" i="9"/>
  <c r="L165" i="8"/>
  <c r="G147" i="9"/>
  <c r="J147" i="8"/>
  <c r="C176" i="9"/>
  <c r="F176" i="8"/>
  <c r="I124" i="9"/>
  <c r="L124" i="8"/>
  <c r="H141" i="9"/>
  <c r="K141" i="8"/>
  <c r="I188" i="9"/>
  <c r="L188" i="8"/>
  <c r="G107" i="9"/>
  <c r="J107" i="8"/>
  <c r="B171" i="9"/>
  <c r="E171" i="8"/>
  <c r="D109" i="9"/>
  <c r="G109" i="8"/>
  <c r="K128" i="9"/>
  <c r="N128" i="8"/>
  <c r="G140" i="9"/>
  <c r="J140" i="8"/>
  <c r="C120" i="9"/>
  <c r="F120" i="8"/>
  <c r="C190" i="9"/>
  <c r="F190" i="8"/>
  <c r="M122" i="9"/>
  <c r="P122" i="8"/>
  <c r="D158" i="9"/>
  <c r="G158" i="8"/>
  <c r="B177" i="9"/>
  <c r="E177" i="8"/>
  <c r="K126" i="9"/>
  <c r="N126" i="8"/>
  <c r="J162" i="9"/>
  <c r="M162" i="8"/>
  <c r="J150" i="9"/>
  <c r="M150" i="8"/>
  <c r="E123" i="9"/>
  <c r="H123" i="8"/>
  <c r="D135" i="9"/>
  <c r="G135" i="8"/>
  <c r="M116" i="9"/>
  <c r="P116" i="8"/>
  <c r="E113" i="9"/>
  <c r="H113" i="8"/>
  <c r="K193" i="9"/>
  <c r="N193" i="8"/>
  <c r="J129" i="9"/>
  <c r="M129" i="8"/>
  <c r="D121" i="9"/>
  <c r="G121" i="8"/>
  <c r="I92" i="9"/>
  <c r="L92" i="8"/>
  <c r="C194" i="9"/>
  <c r="F194" i="8"/>
  <c r="F123" i="9"/>
  <c r="I123" i="8"/>
  <c r="H183" i="9"/>
  <c r="K183" i="8"/>
  <c r="C151" i="9"/>
  <c r="F151" i="8"/>
  <c r="L167" i="9"/>
  <c r="O167" i="8"/>
  <c r="K185" i="9"/>
  <c r="N185" i="8"/>
  <c r="H95" i="9"/>
  <c r="K95" i="8"/>
  <c r="F148" i="9"/>
  <c r="I148" i="8"/>
  <c r="L151" i="9"/>
  <c r="O151" i="8"/>
  <c r="M134" i="9"/>
  <c r="P134" i="8"/>
  <c r="J191" i="9"/>
  <c r="M191" i="8"/>
  <c r="C108" i="9"/>
  <c r="F108" i="8"/>
  <c r="E102" i="9"/>
  <c r="H102" i="8"/>
  <c r="J178" i="9"/>
  <c r="M178" i="8"/>
  <c r="C149" i="9"/>
  <c r="F149" i="8"/>
  <c r="K169" i="9"/>
  <c r="N169" i="8"/>
  <c r="L136" i="9"/>
  <c r="O136" i="8"/>
  <c r="D160" i="9"/>
  <c r="G160" i="8"/>
  <c r="H144" i="9"/>
  <c r="K144" i="8"/>
  <c r="J173" i="9"/>
  <c r="M173" i="8"/>
  <c r="F89" i="9"/>
  <c r="I89" i="8"/>
  <c r="J143" i="9"/>
  <c r="M143" i="8"/>
  <c r="H186" i="9"/>
  <c r="K186" i="8"/>
  <c r="L165" i="9"/>
  <c r="O165" i="8"/>
  <c r="K88" i="9"/>
  <c r="N88" i="8"/>
  <c r="E176" i="9"/>
  <c r="H176" i="8"/>
  <c r="E124" i="9"/>
  <c r="H124" i="8"/>
  <c r="F141" i="9"/>
  <c r="I141" i="8"/>
  <c r="H188" i="9"/>
  <c r="K188" i="8"/>
  <c r="E107" i="9"/>
  <c r="H107" i="8"/>
  <c r="K171" i="9"/>
  <c r="N171" i="8"/>
  <c r="L109" i="9"/>
  <c r="O109" i="8"/>
  <c r="H128" i="9"/>
  <c r="K128" i="8"/>
  <c r="D140" i="9"/>
  <c r="G140" i="8"/>
  <c r="F120" i="9"/>
  <c r="I120" i="8"/>
  <c r="E190" i="9"/>
  <c r="H190" i="8"/>
  <c r="I122" i="9"/>
  <c r="L122" i="8"/>
  <c r="C158" i="9"/>
  <c r="F158" i="8"/>
  <c r="L177" i="9"/>
  <c r="O177" i="8"/>
  <c r="E146" i="9"/>
  <c r="H146" i="8"/>
  <c r="K150" i="9"/>
  <c r="N150" i="8"/>
  <c r="D99" i="9"/>
  <c r="G99" i="8"/>
  <c r="F170" i="9"/>
  <c r="I170" i="8"/>
  <c r="I90" i="9"/>
  <c r="L90" i="8"/>
  <c r="E96" i="9"/>
  <c r="H96" i="8"/>
  <c r="J138" i="9"/>
  <c r="M138" i="8"/>
  <c r="C126" i="9"/>
  <c r="F126" i="8"/>
  <c r="C197" i="9"/>
  <c r="F197" i="8"/>
  <c r="L200" i="9"/>
  <c r="O200" i="8"/>
  <c r="H103" i="9"/>
  <c r="K103" i="8"/>
  <c r="K166" i="9"/>
  <c r="N166" i="8"/>
  <c r="F159" i="9"/>
  <c r="I159" i="8"/>
  <c r="E105" i="9"/>
  <c r="H105" i="8"/>
  <c r="B200" i="9"/>
  <c r="E200" i="8"/>
  <c r="K135" i="9"/>
  <c r="N135" i="8"/>
  <c r="I114" i="9"/>
  <c r="L114" i="8"/>
  <c r="J141" i="9"/>
  <c r="M141" i="8"/>
  <c r="F158" i="9"/>
  <c r="I158" i="8"/>
  <c r="H98" i="9"/>
  <c r="K98" i="8"/>
  <c r="J152" i="9"/>
  <c r="M152" i="8"/>
  <c r="K151" i="9"/>
  <c r="N151" i="8"/>
  <c r="K108" i="9"/>
  <c r="N108" i="8"/>
  <c r="D102" i="9"/>
  <c r="G102" i="8"/>
  <c r="H178" i="9"/>
  <c r="K178" i="8"/>
  <c r="J169" i="9"/>
  <c r="M169" i="8"/>
  <c r="G136" i="9"/>
  <c r="J136" i="8"/>
  <c r="G160" i="9"/>
  <c r="J160" i="8"/>
  <c r="I144" i="9"/>
  <c r="L144" i="8"/>
  <c r="J89" i="9"/>
  <c r="M89" i="8"/>
  <c r="F143" i="9"/>
  <c r="I143" i="8"/>
  <c r="G186" i="9"/>
  <c r="J186" i="8"/>
  <c r="H165" i="9"/>
  <c r="K165" i="8"/>
  <c r="J88" i="9"/>
  <c r="M88" i="8"/>
  <c r="F176" i="9"/>
  <c r="I176" i="8"/>
  <c r="M124" i="9"/>
  <c r="P124" i="8"/>
  <c r="E141" i="9"/>
  <c r="H141" i="8"/>
  <c r="G188" i="9"/>
  <c r="J188" i="8"/>
  <c r="M97" i="9"/>
  <c r="P97" i="8"/>
  <c r="H171" i="9"/>
  <c r="K171" i="8"/>
  <c r="K109" i="9"/>
  <c r="N109" i="8"/>
  <c r="J128" i="9"/>
  <c r="M128" i="8"/>
  <c r="C140" i="9"/>
  <c r="F140" i="8"/>
  <c r="E120" i="9"/>
  <c r="H120" i="8"/>
  <c r="J190" i="9"/>
  <c r="M190" i="8"/>
  <c r="M111" i="9"/>
  <c r="P111" i="8"/>
  <c r="H158" i="9"/>
  <c r="K158" i="8"/>
  <c r="M177" i="9"/>
  <c r="P177" i="8"/>
  <c r="C177" i="8" s="1"/>
  <c r="F100" i="9"/>
  <c r="I100" i="8"/>
  <c r="D164" i="9"/>
  <c r="G164" i="8"/>
  <c r="I137" i="9"/>
  <c r="L137" i="8"/>
  <c r="M99" i="9"/>
  <c r="P99" i="8"/>
  <c r="C181" i="9"/>
  <c r="F181" i="8"/>
  <c r="G113" i="9"/>
  <c r="J113" i="8"/>
  <c r="E121" i="9"/>
  <c r="H121" i="8"/>
  <c r="E170" i="9"/>
  <c r="H170" i="8"/>
  <c r="D123" i="9"/>
  <c r="G123" i="8"/>
  <c r="D133" i="9"/>
  <c r="G133" i="8"/>
  <c r="L104" i="9"/>
  <c r="O104" i="8"/>
  <c r="E159" i="9"/>
  <c r="H159" i="8"/>
  <c r="G180" i="9"/>
  <c r="J180" i="8"/>
  <c r="I130" i="9"/>
  <c r="L130" i="8"/>
  <c r="E131" i="9"/>
  <c r="H131" i="8"/>
  <c r="M167" i="9"/>
  <c r="P167" i="8"/>
  <c r="C167" i="8" s="1"/>
  <c r="C200" i="9"/>
  <c r="F200" i="8"/>
  <c r="E147" i="9"/>
  <c r="H147" i="8"/>
  <c r="F182" i="9"/>
  <c r="I182" i="8"/>
  <c r="E103" i="9"/>
  <c r="H103" i="8"/>
  <c r="B198" i="9"/>
  <c r="E198" i="8"/>
  <c r="G195" i="9"/>
  <c r="J195" i="8"/>
  <c r="C121" i="9"/>
  <c r="F121" i="8"/>
  <c r="K152" i="9"/>
  <c r="N152" i="8"/>
  <c r="J94" i="9"/>
  <c r="M94" i="8"/>
  <c r="G144" i="9"/>
  <c r="J144" i="8"/>
  <c r="D89" i="9"/>
  <c r="G89" i="8"/>
  <c r="K143" i="9"/>
  <c r="N143" i="8"/>
  <c r="E110" i="9"/>
  <c r="H110" i="8"/>
  <c r="M165" i="9"/>
  <c r="P165" i="8"/>
  <c r="C165" i="8" s="1"/>
  <c r="I88" i="9"/>
  <c r="L88" i="8"/>
  <c r="B176" i="9"/>
  <c r="E176" i="8"/>
  <c r="F124" i="9"/>
  <c r="I124" i="8"/>
  <c r="B141" i="9"/>
  <c r="E141" i="8"/>
  <c r="M188" i="9"/>
  <c r="P188" i="8"/>
  <c r="C188" i="8" s="1"/>
  <c r="L97" i="9"/>
  <c r="O97" i="8"/>
  <c r="G171" i="9"/>
  <c r="J171" i="8"/>
  <c r="E109" i="9"/>
  <c r="H109" i="8"/>
  <c r="I128" i="9"/>
  <c r="L128" i="8"/>
  <c r="M140" i="9"/>
  <c r="P140" i="8"/>
  <c r="M179" i="9"/>
  <c r="P179" i="8"/>
  <c r="C179" i="8" s="1"/>
  <c r="M120" i="9"/>
  <c r="P120" i="8"/>
  <c r="K190" i="9"/>
  <c r="N190" i="8"/>
  <c r="J111" i="9"/>
  <c r="M111" i="8"/>
  <c r="G158" i="9"/>
  <c r="J158" i="8"/>
  <c r="F177" i="9"/>
  <c r="I177" i="8"/>
  <c r="M110" i="9"/>
  <c r="P110" i="8"/>
  <c r="C105" i="9"/>
  <c r="F105" i="8"/>
  <c r="L113" i="9"/>
  <c r="O113" i="8"/>
  <c r="M132" i="9"/>
  <c r="P132" i="8"/>
  <c r="G196" i="9"/>
  <c r="J196" i="8"/>
  <c r="L162" i="9"/>
  <c r="O162" i="8"/>
  <c r="G197" i="9"/>
  <c r="J197" i="8"/>
  <c r="D157" i="9"/>
  <c r="G157" i="8"/>
  <c r="E132" i="9"/>
  <c r="H132" i="8"/>
  <c r="H104" i="9"/>
  <c r="K104" i="8"/>
  <c r="K147" i="9"/>
  <c r="N147" i="8"/>
  <c r="H130" i="9"/>
  <c r="K130" i="8"/>
  <c r="G172" i="9"/>
  <c r="J172" i="8"/>
  <c r="G155" i="9"/>
  <c r="J155" i="8"/>
  <c r="G114" i="9"/>
  <c r="J114" i="8"/>
  <c r="L107" i="9"/>
  <c r="O107" i="8"/>
  <c r="E194" i="9"/>
  <c r="H194" i="8"/>
  <c r="K173" i="9"/>
  <c r="N173" i="8"/>
  <c r="C122" i="9"/>
  <c r="F122" i="8"/>
  <c r="H127" i="9"/>
  <c r="K127" i="8"/>
  <c r="G161" i="9"/>
  <c r="J161" i="8"/>
  <c r="I173" i="9"/>
  <c r="L173" i="8"/>
  <c r="E180" i="9"/>
  <c r="H180" i="8"/>
  <c r="H94" i="9"/>
  <c r="K94" i="8"/>
  <c r="K112" i="9"/>
  <c r="N112" i="8"/>
  <c r="K91" i="9"/>
  <c r="N91" i="8"/>
  <c r="E192" i="9"/>
  <c r="H192" i="8"/>
  <c r="L185" i="9"/>
  <c r="O185" i="8"/>
  <c r="J95" i="9"/>
  <c r="M95" i="8"/>
  <c r="I102" i="9"/>
  <c r="L102" i="8"/>
  <c r="E178" i="9"/>
  <c r="H178" i="8"/>
  <c r="G169" i="9"/>
  <c r="J169" i="8"/>
  <c r="H136" i="9"/>
  <c r="K136" i="8"/>
  <c r="E160" i="9"/>
  <c r="H160" i="8"/>
  <c r="E144" i="9"/>
  <c r="H144" i="8"/>
  <c r="M89" i="9"/>
  <c r="P89" i="8"/>
  <c r="G143" i="9"/>
  <c r="J143" i="8"/>
  <c r="D110" i="9"/>
  <c r="G110" i="8"/>
  <c r="G165" i="9"/>
  <c r="J165" i="8"/>
  <c r="L88" i="9"/>
  <c r="O88" i="8"/>
  <c r="D176" i="9"/>
  <c r="G176" i="8"/>
  <c r="K124" i="9"/>
  <c r="N124" i="8"/>
  <c r="J188" i="9"/>
  <c r="M188" i="8"/>
  <c r="I97" i="9"/>
  <c r="L97" i="8"/>
  <c r="D171" i="9"/>
  <c r="G171" i="8"/>
  <c r="K101" i="9"/>
  <c r="N101" i="8"/>
  <c r="C109" i="9"/>
  <c r="F109" i="8"/>
  <c r="G128" i="9"/>
  <c r="J128" i="8"/>
  <c r="L140" i="9"/>
  <c r="O140" i="8"/>
  <c r="I179" i="9"/>
  <c r="L179" i="8"/>
  <c r="M199" i="9"/>
  <c r="P199" i="8"/>
  <c r="C199" i="8" s="1"/>
  <c r="I190" i="9"/>
  <c r="L190" i="8"/>
  <c r="G111" i="9"/>
  <c r="J111" i="8"/>
  <c r="M137" i="9"/>
  <c r="P137" i="8"/>
  <c r="E177" i="9"/>
  <c r="H177" i="8"/>
  <c r="M145" i="9"/>
  <c r="P145" i="8"/>
  <c r="K181" i="9"/>
  <c r="N181" i="8"/>
  <c r="F99" i="9"/>
  <c r="I99" i="8"/>
  <c r="H116" i="9"/>
  <c r="K116" i="8"/>
  <c r="K198" i="9"/>
  <c r="N198" i="8"/>
  <c r="E164" i="9"/>
  <c r="H164" i="8"/>
  <c r="L156" i="9"/>
  <c r="O156" i="8"/>
  <c r="H180" i="9"/>
  <c r="K180" i="8"/>
  <c r="K114" i="9"/>
  <c r="N114" i="8"/>
  <c r="F181" i="9"/>
  <c r="I181" i="8"/>
  <c r="L92" i="9"/>
  <c r="O92" i="8"/>
  <c r="M168" i="9"/>
  <c r="P168" i="8"/>
  <c r="C168" i="8" s="1"/>
  <c r="D130" i="9"/>
  <c r="G130" i="8"/>
  <c r="M172" i="9"/>
  <c r="P172" i="8"/>
  <c r="C172" i="8" s="1"/>
  <c r="E156" i="9"/>
  <c r="H156" i="8"/>
  <c r="K182" i="9"/>
  <c r="N182" i="8"/>
  <c r="C167" i="9"/>
  <c r="F167" i="8"/>
  <c r="E198" i="9"/>
  <c r="H198" i="8"/>
  <c r="L127" i="9"/>
  <c r="O127" i="8"/>
  <c r="L147" i="9"/>
  <c r="O147" i="8"/>
  <c r="E104" i="9"/>
  <c r="H104" i="8"/>
  <c r="C198" i="9"/>
  <c r="F198" i="8"/>
  <c r="M130" i="9"/>
  <c r="P130" i="8"/>
  <c r="C92" i="9"/>
  <c r="F92" i="8"/>
  <c r="E166" i="9"/>
  <c r="H166" i="8"/>
  <c r="F121" i="9"/>
  <c r="I121" i="8"/>
  <c r="J98" i="9"/>
  <c r="M98" i="8"/>
  <c r="G94" i="9"/>
  <c r="J94" i="8"/>
  <c r="E185" i="9"/>
  <c r="H185" i="8"/>
  <c r="M112" i="9"/>
  <c r="P112" i="8"/>
  <c r="F192" i="9"/>
  <c r="I192" i="8"/>
  <c r="G152" i="9"/>
  <c r="J152" i="8"/>
  <c r="H134" i="9"/>
  <c r="K134" i="8"/>
  <c r="I191" i="9"/>
  <c r="L191" i="8"/>
  <c r="C185" i="9"/>
  <c r="F185" i="8"/>
  <c r="K100" i="9"/>
  <c r="N100" i="8"/>
  <c r="F94" i="9"/>
  <c r="I94" i="8"/>
  <c r="G163" i="9"/>
  <c r="J163" i="8"/>
  <c r="E152" i="9"/>
  <c r="H152" i="8"/>
  <c r="M175" i="9"/>
  <c r="P175" i="8"/>
  <c r="C175" i="8" s="1"/>
  <c r="J185" i="9"/>
  <c r="M185" i="8"/>
  <c r="E112" i="9"/>
  <c r="H112" i="8"/>
  <c r="E91" i="9"/>
  <c r="H91" i="8"/>
  <c r="K146" i="9"/>
  <c r="N146" i="8"/>
  <c r="G95" i="9"/>
  <c r="J95" i="8"/>
  <c r="H148" i="9"/>
  <c r="K148" i="8"/>
  <c r="H119" i="9"/>
  <c r="K119" i="8"/>
  <c r="J134" i="9"/>
  <c r="M134" i="8"/>
  <c r="E191" i="9"/>
  <c r="H191" i="8"/>
  <c r="L102" i="9"/>
  <c r="O102" i="8"/>
  <c r="D178" i="9"/>
  <c r="G178" i="8"/>
  <c r="E169" i="9"/>
  <c r="H169" i="8"/>
  <c r="I136" i="9"/>
  <c r="L136" i="8"/>
  <c r="H196" i="9"/>
  <c r="K196" i="8"/>
  <c r="D144" i="9"/>
  <c r="G144" i="8"/>
  <c r="L89" i="9"/>
  <c r="O89" i="8"/>
  <c r="E143" i="9"/>
  <c r="H143" i="8"/>
  <c r="C110" i="9"/>
  <c r="F110" i="8"/>
  <c r="F165" i="9"/>
  <c r="I165" i="8"/>
  <c r="H88" i="9"/>
  <c r="K88" i="8"/>
  <c r="J124" i="9"/>
  <c r="M124" i="8"/>
  <c r="B188" i="9"/>
  <c r="E188" i="8"/>
  <c r="H97" i="9"/>
  <c r="K97" i="8"/>
  <c r="L171" i="9"/>
  <c r="O171" i="8"/>
  <c r="C101" i="9"/>
  <c r="F101" i="8"/>
  <c r="F109" i="9"/>
  <c r="I109" i="8"/>
  <c r="F128" i="9"/>
  <c r="I128" i="8"/>
  <c r="F140" i="9"/>
  <c r="I140" i="8"/>
  <c r="E179" i="9"/>
  <c r="H179" i="8"/>
  <c r="E199" i="9"/>
  <c r="H199" i="8"/>
  <c r="H190" i="9"/>
  <c r="K190" i="8"/>
  <c r="L111" i="9"/>
  <c r="O111" i="8"/>
  <c r="C137" i="9"/>
  <c r="F137" i="8"/>
  <c r="J177" i="9"/>
  <c r="M177" i="8"/>
  <c r="K96" i="9"/>
  <c r="N96" i="8"/>
  <c r="I200" i="9"/>
  <c r="L200" i="8"/>
  <c r="M174" i="9"/>
  <c r="P174" i="8"/>
  <c r="C174" i="8" s="1"/>
  <c r="E115" i="9"/>
  <c r="H115" i="8"/>
  <c r="M126" i="9"/>
  <c r="P126" i="8"/>
  <c r="I168" i="9"/>
  <c r="L168" i="8"/>
  <c r="F150" i="9"/>
  <c r="I150" i="8"/>
  <c r="L121" i="9"/>
  <c r="O121" i="8"/>
  <c r="J125" i="9"/>
  <c r="M125" i="8"/>
  <c r="G117" i="9"/>
  <c r="J117" i="8"/>
  <c r="C98" i="9"/>
  <c r="F98" i="8"/>
  <c r="E114" i="9"/>
  <c r="H114" i="8"/>
  <c r="E126" i="9"/>
  <c r="H126" i="8"/>
  <c r="M195" i="9"/>
  <c r="P195" i="8"/>
  <c r="C195" i="8" s="1"/>
  <c r="B197" i="9"/>
  <c r="E197" i="8"/>
  <c r="J159" i="9"/>
  <c r="M159" i="8"/>
  <c r="D168" i="9"/>
  <c r="G168" i="8"/>
  <c r="G157" i="9"/>
  <c r="J157" i="8"/>
  <c r="K121" i="9"/>
  <c r="N121" i="8"/>
  <c r="C114" i="9"/>
  <c r="F114" i="8"/>
  <c r="H198" i="9"/>
  <c r="K198" i="8"/>
  <c r="L154" i="9"/>
  <c r="O154" i="8"/>
  <c r="C168" i="9"/>
  <c r="F168" i="8"/>
  <c r="K180" i="9"/>
  <c r="N180" i="8"/>
  <c r="H192" i="9"/>
  <c r="K192" i="8"/>
  <c r="K149" i="9"/>
  <c r="N149" i="8"/>
  <c r="C160" i="9"/>
  <c r="F160" i="8"/>
  <c r="L166" i="9"/>
  <c r="O166" i="8"/>
  <c r="L159" i="9"/>
  <c r="O159" i="8"/>
  <c r="J189" i="9"/>
  <c r="M189" i="8"/>
  <c r="D180" i="9"/>
  <c r="G180" i="8"/>
  <c r="K94" i="9"/>
  <c r="N94" i="8"/>
  <c r="G192" i="9"/>
  <c r="J192" i="8"/>
  <c r="J103" i="9"/>
  <c r="M103" i="8"/>
  <c r="B163" i="9"/>
  <c r="E163" i="8"/>
  <c r="I91" i="9"/>
  <c r="L91" i="8"/>
  <c r="I148" i="9"/>
  <c r="L148" i="8"/>
  <c r="I94" i="9"/>
  <c r="L94" i="8"/>
  <c r="K163" i="9"/>
  <c r="N163" i="8"/>
  <c r="G148" i="9"/>
  <c r="J148" i="8"/>
  <c r="M136" i="9"/>
  <c r="P136" i="8"/>
  <c r="J100" i="9"/>
  <c r="M100" i="8"/>
  <c r="E94" i="9"/>
  <c r="H94" i="8"/>
  <c r="I163" i="9"/>
  <c r="L163" i="8"/>
  <c r="D152" i="9"/>
  <c r="G152" i="8"/>
  <c r="H175" i="9"/>
  <c r="K175" i="8"/>
  <c r="I185" i="9"/>
  <c r="L185" i="8"/>
  <c r="D112" i="9"/>
  <c r="G112" i="8"/>
  <c r="B91" i="9"/>
  <c r="E91" i="8"/>
  <c r="I106" i="9"/>
  <c r="L106" i="8"/>
  <c r="J146" i="9"/>
  <c r="M146" i="8"/>
  <c r="E95" i="9"/>
  <c r="H95" i="8"/>
  <c r="E148" i="9"/>
  <c r="H148" i="8"/>
  <c r="G119" i="9"/>
  <c r="J119" i="8"/>
  <c r="G134" i="9"/>
  <c r="J134" i="8"/>
  <c r="D191" i="9"/>
  <c r="G191" i="8"/>
  <c r="H102" i="9"/>
  <c r="K102" i="8"/>
  <c r="C178" i="9"/>
  <c r="F178" i="8"/>
  <c r="D169" i="9"/>
  <c r="G169" i="8"/>
  <c r="E136" i="9"/>
  <c r="H136" i="8"/>
  <c r="L196" i="9"/>
  <c r="O196" i="8"/>
  <c r="B144" i="9"/>
  <c r="E144" i="8"/>
  <c r="B89" i="9"/>
  <c r="E89" i="8"/>
  <c r="I143" i="9"/>
  <c r="L143" i="8"/>
  <c r="B110" i="9"/>
  <c r="E110" i="8"/>
  <c r="E165" i="9"/>
  <c r="H165" i="8"/>
  <c r="G88" i="9"/>
  <c r="J88" i="8"/>
  <c r="H124" i="9"/>
  <c r="K124" i="8"/>
  <c r="C188" i="9"/>
  <c r="F188" i="8"/>
  <c r="K97" i="9"/>
  <c r="N97" i="8"/>
  <c r="M171" i="9"/>
  <c r="P171" i="8"/>
  <c r="C171" i="8" s="1"/>
  <c r="M101" i="9"/>
  <c r="P101" i="8"/>
  <c r="B109" i="9"/>
  <c r="E109" i="8"/>
  <c r="E128" i="9"/>
  <c r="H128" i="8"/>
  <c r="D174" i="9"/>
  <c r="G174" i="8"/>
  <c r="B140" i="9"/>
  <c r="E140" i="8"/>
  <c r="K179" i="9"/>
  <c r="N179" i="8"/>
  <c r="D199" i="9"/>
  <c r="G199" i="8"/>
  <c r="M190" i="9"/>
  <c r="P190" i="8"/>
  <c r="C190" i="8" s="1"/>
  <c r="K111" i="9"/>
  <c r="N111" i="8"/>
  <c r="B137" i="9"/>
  <c r="E137" i="8"/>
  <c r="I177" i="9"/>
  <c r="L177" i="8"/>
  <c r="D115" i="9"/>
  <c r="G115" i="8"/>
  <c r="I181" i="9"/>
  <c r="L181" i="8"/>
  <c r="B125" i="9"/>
  <c r="E125" i="8"/>
  <c r="J90" i="9"/>
  <c r="M90" i="8"/>
  <c r="M131" i="9"/>
  <c r="P131" i="8"/>
  <c r="B179" i="9"/>
  <c r="E179" i="8"/>
  <c r="G184" i="9"/>
  <c r="J184" i="8"/>
  <c r="K119" i="9"/>
  <c r="N119" i="8"/>
  <c r="E130" i="9"/>
  <c r="H130" i="8"/>
  <c r="F117" i="9"/>
  <c r="I117" i="8"/>
  <c r="F154" i="9"/>
  <c r="I154" i="8"/>
  <c r="F96" i="9"/>
  <c r="I96" i="8"/>
  <c r="H197" i="9"/>
  <c r="K197" i="8"/>
  <c r="D200" i="9"/>
  <c r="G200" i="8"/>
  <c r="I174" i="9"/>
  <c r="L174" i="8"/>
  <c r="K159" i="9"/>
  <c r="N159" i="8"/>
  <c r="B184" i="9"/>
  <c r="E184" i="8"/>
  <c r="L114" i="9"/>
  <c r="O114" i="8"/>
  <c r="M129" i="9"/>
  <c r="P129" i="8"/>
  <c r="J187" i="9"/>
  <c r="M187" i="8"/>
  <c r="M150" i="9"/>
  <c r="P150" i="8"/>
  <c r="K157" i="9"/>
  <c r="N157" i="8"/>
  <c r="D198" i="9"/>
  <c r="G198" i="8"/>
  <c r="M93" i="9"/>
  <c r="P93" i="8"/>
  <c r="M166" i="9"/>
  <c r="P166" i="8"/>
  <c r="C166" i="8" s="1"/>
  <c r="D138" i="9"/>
  <c r="G138" i="8"/>
  <c r="J154" i="9"/>
  <c r="M154" i="8"/>
  <c r="G142" i="9"/>
  <c r="J142" i="8"/>
  <c r="E92" i="9"/>
  <c r="H92" i="8"/>
  <c r="G166" i="9"/>
  <c r="J166" i="8"/>
  <c r="L135" i="9"/>
  <c r="O135" i="8"/>
  <c r="H122" i="9"/>
  <c r="K122" i="8"/>
  <c r="I167" i="9"/>
  <c r="L167" i="8"/>
  <c r="J91" i="9"/>
  <c r="M91" i="8"/>
  <c r="L134" i="9"/>
  <c r="O134" i="8"/>
  <c r="G191" i="9"/>
  <c r="J191" i="8"/>
  <c r="J108" i="9"/>
  <c r="M108" i="8"/>
  <c r="J102" i="9"/>
  <c r="M102" i="8"/>
  <c r="I169" i="9"/>
  <c r="L169" i="8"/>
  <c r="C152" i="9"/>
  <c r="F152" i="8"/>
  <c r="B112" i="9"/>
  <c r="E112" i="8"/>
  <c r="J119" i="9"/>
  <c r="M119" i="8"/>
  <c r="H100" i="9"/>
  <c r="K100" i="8"/>
  <c r="C94" i="9"/>
  <c r="F94" i="8"/>
  <c r="F163" i="9"/>
  <c r="I163" i="8"/>
  <c r="B152" i="9"/>
  <c r="E152" i="8"/>
  <c r="E175" i="9"/>
  <c r="H175" i="8"/>
  <c r="B185" i="9"/>
  <c r="E185" i="8"/>
  <c r="F145" i="9"/>
  <c r="I145" i="8"/>
  <c r="D91" i="9"/>
  <c r="G91" i="8"/>
  <c r="H106" i="9"/>
  <c r="K106" i="8"/>
  <c r="I146" i="9"/>
  <c r="L146" i="8"/>
  <c r="C95" i="9"/>
  <c r="F95" i="8"/>
  <c r="D148" i="9"/>
  <c r="G148" i="8"/>
  <c r="F119" i="9"/>
  <c r="I119" i="8"/>
  <c r="F134" i="9"/>
  <c r="I134" i="8"/>
  <c r="B191" i="9"/>
  <c r="E191" i="8"/>
  <c r="B96" i="9"/>
  <c r="E96" i="8"/>
  <c r="M102" i="9"/>
  <c r="P102" i="8"/>
  <c r="B178" i="9"/>
  <c r="E178" i="8"/>
  <c r="F136" i="9"/>
  <c r="I136" i="8"/>
  <c r="J196" i="9"/>
  <c r="M196" i="8"/>
  <c r="C144" i="9"/>
  <c r="F144" i="8"/>
  <c r="M164" i="9"/>
  <c r="P164" i="8"/>
  <c r="C164" i="8" s="1"/>
  <c r="H143" i="9"/>
  <c r="K143" i="8"/>
  <c r="K110" i="9"/>
  <c r="N110" i="8"/>
  <c r="D165" i="9"/>
  <c r="G165" i="8"/>
  <c r="F88" i="9"/>
  <c r="I88" i="8"/>
  <c r="G124" i="9"/>
  <c r="J124" i="8"/>
  <c r="D188" i="9"/>
  <c r="G188" i="8"/>
  <c r="J97" i="9"/>
  <c r="M97" i="8"/>
  <c r="B90" i="9"/>
  <c r="E90" i="8"/>
  <c r="I101" i="9"/>
  <c r="L101" i="8"/>
  <c r="I109" i="9"/>
  <c r="L109" i="8"/>
  <c r="B174" i="9"/>
  <c r="E174" i="8"/>
  <c r="K140" i="9"/>
  <c r="N140" i="8"/>
  <c r="G179" i="9"/>
  <c r="J179" i="8"/>
  <c r="H162" i="9"/>
  <c r="K162" i="8"/>
  <c r="I199" i="9"/>
  <c r="L199" i="8"/>
  <c r="L190" i="9"/>
  <c r="O190" i="8"/>
  <c r="F111" i="9"/>
  <c r="I111" i="8"/>
  <c r="L133" i="9"/>
  <c r="O133" i="8"/>
  <c r="L137" i="9"/>
  <c r="O137" i="8"/>
  <c r="H177" i="9"/>
  <c r="K177" i="8"/>
  <c r="B119" i="9"/>
  <c r="E119" i="8"/>
  <c r="J198" i="9"/>
  <c r="M198" i="8"/>
  <c r="K123" i="9"/>
  <c r="N123" i="8"/>
  <c r="F93" i="9"/>
  <c r="I93" i="8"/>
  <c r="E193" i="9"/>
  <c r="H193" i="8"/>
  <c r="I138" i="9"/>
  <c r="L138" i="8"/>
  <c r="J123" i="9"/>
  <c r="M123" i="8"/>
  <c r="K113" i="9"/>
  <c r="N113" i="8"/>
  <c r="G125" i="9"/>
  <c r="J125" i="8"/>
  <c r="L150" i="9"/>
  <c r="O150" i="8"/>
  <c r="F138" i="9"/>
  <c r="I138" i="8"/>
  <c r="G115" i="9"/>
  <c r="J115" i="8"/>
  <c r="J180" i="9"/>
  <c r="M180" i="8"/>
  <c r="C116" i="9"/>
  <c r="F116" i="8"/>
  <c r="C123" i="9"/>
  <c r="F123" i="8"/>
  <c r="F92" i="9"/>
  <c r="I92" i="8"/>
  <c r="M184" i="9"/>
  <c r="P184" i="8"/>
  <c r="C184" i="8" s="1"/>
  <c r="L125" i="9"/>
  <c r="O125" i="8"/>
  <c r="B156" i="9"/>
  <c r="E156" i="8"/>
  <c r="K161" i="9"/>
  <c r="N161" i="8"/>
  <c r="L187" i="9"/>
  <c r="O187" i="8"/>
  <c r="B132" i="9"/>
  <c r="E132" i="8"/>
  <c r="G123" i="9"/>
  <c r="J123" i="8"/>
  <c r="H150" i="9"/>
  <c r="K150" i="8"/>
  <c r="J157" i="9"/>
  <c r="M157" i="8"/>
  <c r="C159" i="9"/>
  <c r="F159" i="8"/>
  <c r="F98" i="9"/>
  <c r="I98" i="8"/>
  <c r="F104" i="9"/>
  <c r="I104" i="8"/>
  <c r="J149" i="9"/>
  <c r="M149" i="8"/>
  <c r="D147" i="9"/>
  <c r="G147" i="8"/>
  <c r="C139" i="9"/>
  <c r="F139" i="8"/>
  <c r="G129" i="9"/>
  <c r="J129" i="8"/>
  <c r="C147" i="9"/>
  <c r="F147" i="8"/>
  <c r="K120" i="9"/>
  <c r="N120" i="8"/>
  <c r="C127" i="9"/>
  <c r="F127" i="8"/>
  <c r="D103" i="9"/>
  <c r="G103" i="8"/>
  <c r="H152" i="9"/>
  <c r="K152" i="8"/>
  <c r="L112" i="9"/>
  <c r="O112" i="8"/>
  <c r="C192" i="9"/>
  <c r="F192" i="8"/>
  <c r="E127" i="9"/>
  <c r="H127" i="8"/>
  <c r="M94" i="9"/>
  <c r="P94" i="8"/>
  <c r="C163" i="9"/>
  <c r="F163" i="8"/>
  <c r="L175" i="9"/>
  <c r="O175" i="8"/>
  <c r="K95" i="9"/>
  <c r="N95" i="8"/>
  <c r="L91" i="9"/>
  <c r="O91" i="8"/>
  <c r="J148" i="9"/>
  <c r="M148" i="8"/>
  <c r="I108" i="9"/>
  <c r="L108" i="8"/>
  <c r="E100" i="9"/>
  <c r="H100" i="8"/>
  <c r="D94" i="9"/>
  <c r="G94" i="8"/>
  <c r="J163" i="9"/>
  <c r="M163" i="8"/>
  <c r="L152" i="9"/>
  <c r="O152" i="8"/>
  <c r="G175" i="9"/>
  <c r="J175" i="8"/>
  <c r="D145" i="9"/>
  <c r="G145" i="8"/>
  <c r="C91" i="9"/>
  <c r="F91" i="8"/>
  <c r="B106" i="9"/>
  <c r="E106" i="8"/>
  <c r="H146" i="9"/>
  <c r="K146" i="8"/>
  <c r="F95" i="9"/>
  <c r="I95" i="8"/>
  <c r="M148" i="9"/>
  <c r="P148" i="8"/>
  <c r="D119" i="9"/>
  <c r="G119" i="8"/>
  <c r="B134" i="9"/>
  <c r="E134" i="8"/>
  <c r="M115" i="9"/>
  <c r="P115" i="8"/>
  <c r="D96" i="9"/>
  <c r="G96" i="8"/>
  <c r="K102" i="9"/>
  <c r="N102" i="8"/>
  <c r="G178" i="9"/>
  <c r="J178" i="8"/>
  <c r="D136" i="9"/>
  <c r="G136" i="8"/>
  <c r="I196" i="9"/>
  <c r="L196" i="8"/>
  <c r="L144" i="9"/>
  <c r="O144" i="8"/>
  <c r="L164" i="9"/>
  <c r="O164" i="8"/>
  <c r="D143" i="9"/>
  <c r="G143" i="8"/>
  <c r="I110" i="9"/>
  <c r="L110" i="8"/>
  <c r="E88" i="9"/>
  <c r="H88" i="8"/>
  <c r="D124" i="9"/>
  <c r="G124" i="8"/>
  <c r="F188" i="9"/>
  <c r="I188" i="8"/>
  <c r="G97" i="9"/>
  <c r="J97" i="8"/>
  <c r="D90" i="9"/>
  <c r="G90" i="8"/>
  <c r="B101" i="9"/>
  <c r="E101" i="8"/>
  <c r="H109" i="9"/>
  <c r="K109" i="8"/>
  <c r="G174" i="9"/>
  <c r="J174" i="8"/>
  <c r="J140" i="9"/>
  <c r="M140" i="8"/>
  <c r="D179" i="9"/>
  <c r="G179" i="8"/>
  <c r="L184" i="9"/>
  <c r="O184" i="8"/>
  <c r="C162" i="9"/>
  <c r="F162" i="8"/>
  <c r="H199" i="9"/>
  <c r="K199" i="8"/>
  <c r="B190" i="9"/>
  <c r="E190" i="8"/>
  <c r="H111" i="9"/>
  <c r="K111" i="8"/>
  <c r="K133" i="9"/>
  <c r="N133" i="8"/>
  <c r="H137" i="9"/>
  <c r="K137" i="8"/>
  <c r="L95" i="9"/>
  <c r="O95" i="8"/>
  <c r="K117" i="9"/>
  <c r="N117" i="8"/>
  <c r="H168" i="9"/>
  <c r="K168" i="8"/>
  <c r="J96" i="9"/>
  <c r="M96" i="8"/>
  <c r="J168" i="9"/>
  <c r="M168" i="8"/>
  <c r="C106" i="9"/>
  <c r="F106" i="8"/>
  <c r="I105" i="9"/>
  <c r="L105" i="8"/>
  <c r="M187" i="9"/>
  <c r="P187" i="8"/>
  <c r="C187" i="8" s="1"/>
  <c r="H145" i="9"/>
  <c r="K145" i="8"/>
  <c r="C130" i="9"/>
  <c r="F130" i="8"/>
  <c r="G90" i="9"/>
  <c r="J90" i="8"/>
  <c r="K131" i="9"/>
  <c r="N131" i="8"/>
  <c r="K162" i="9"/>
  <c r="N162" i="8"/>
  <c r="D181" i="9"/>
  <c r="G181" i="8"/>
  <c r="B139" i="9"/>
  <c r="E139" i="8"/>
  <c r="M127" i="9"/>
  <c r="P127" i="8"/>
  <c r="I117" i="9"/>
  <c r="L117" i="8"/>
  <c r="H139" i="9"/>
  <c r="K139" i="8"/>
  <c r="B189" i="9"/>
  <c r="E189" i="8"/>
  <c r="J182" i="9"/>
  <c r="M182" i="8"/>
  <c r="C132" i="9"/>
  <c r="F132" i="8"/>
  <c r="D114" i="9"/>
  <c r="G114" i="8"/>
  <c r="M149" i="9"/>
  <c r="P149" i="8"/>
  <c r="H113" i="9"/>
  <c r="K113" i="8"/>
  <c r="D156" i="9"/>
  <c r="G156" i="8"/>
  <c r="B168" i="9"/>
  <c r="E168" i="8"/>
  <c r="E172" i="9"/>
  <c r="H172" i="8"/>
  <c r="D139" i="9"/>
  <c r="G139" i="8"/>
  <c r="B122" i="9"/>
  <c r="E122" i="8"/>
  <c r="B183" i="9"/>
  <c r="E183" i="8"/>
  <c r="B104" i="9"/>
  <c r="E104" i="8"/>
  <c r="B108" i="9"/>
  <c r="E108" i="8"/>
  <c r="J142" i="9"/>
  <c r="M142" i="8"/>
  <c r="J197" i="9"/>
  <c r="M197" i="8"/>
  <c r="M176" i="9"/>
  <c r="P176" i="8"/>
  <c r="C176" i="8" s="1"/>
  <c r="M157" i="9"/>
  <c r="P157" i="8"/>
  <c r="C157" i="8" s="1"/>
  <c r="K154" i="9"/>
  <c r="N154" i="8"/>
  <c r="E167" i="9"/>
  <c r="H167" i="8"/>
  <c r="L94" i="9"/>
  <c r="O94" i="8"/>
  <c r="J167" i="9"/>
  <c r="M167" i="8"/>
  <c r="K98" i="9"/>
  <c r="N98" i="8"/>
  <c r="D163" i="9"/>
  <c r="G163" i="8"/>
  <c r="H112" i="9"/>
  <c r="K112" i="8"/>
  <c r="C112" i="9"/>
  <c r="F112" i="8"/>
  <c r="L100" i="9"/>
  <c r="O100" i="8"/>
  <c r="J170" i="9"/>
  <c r="M170" i="8"/>
  <c r="E163" i="9"/>
  <c r="H163" i="8"/>
  <c r="M152" i="9"/>
  <c r="P152" i="8"/>
  <c r="F175" i="9"/>
  <c r="I175" i="8"/>
  <c r="C145" i="9"/>
  <c r="F145" i="8"/>
  <c r="H91" i="9"/>
  <c r="K91" i="8"/>
  <c r="G106" i="9"/>
  <c r="J106" i="8"/>
  <c r="C146" i="9"/>
  <c r="F146" i="8"/>
  <c r="H181" i="9"/>
  <c r="K181" i="8"/>
  <c r="D95" i="9"/>
  <c r="G95" i="8"/>
  <c r="L148" i="9"/>
  <c r="O148" i="8"/>
  <c r="C119" i="9"/>
  <c r="F119" i="8"/>
  <c r="L116" i="9"/>
  <c r="O116" i="8"/>
  <c r="L115" i="9"/>
  <c r="O115" i="8"/>
  <c r="I96" i="9"/>
  <c r="L96" i="8"/>
  <c r="G102" i="9"/>
  <c r="J102" i="8"/>
  <c r="F178" i="9"/>
  <c r="I178" i="8"/>
  <c r="C136" i="9"/>
  <c r="F136" i="8"/>
  <c r="K196" i="9"/>
  <c r="N196" i="8"/>
  <c r="K144" i="9"/>
  <c r="N144" i="8"/>
  <c r="K164" i="9"/>
  <c r="N164" i="8"/>
  <c r="C143" i="9"/>
  <c r="F143" i="8"/>
  <c r="H110" i="9"/>
  <c r="K110" i="8"/>
  <c r="D88" i="9"/>
  <c r="G88" i="8"/>
  <c r="B124" i="9"/>
  <c r="E124" i="8"/>
  <c r="E188" i="9"/>
  <c r="H188" i="8"/>
  <c r="F97" i="9"/>
  <c r="I97" i="8"/>
  <c r="C90" i="9"/>
  <c r="F90" i="8"/>
  <c r="J101" i="9"/>
  <c r="M101" i="8"/>
  <c r="M193" i="9"/>
  <c r="P193" i="8"/>
  <c r="C193" i="8" s="1"/>
  <c r="F174" i="9"/>
  <c r="I174" i="8"/>
  <c r="I140" i="9"/>
  <c r="L140" i="8"/>
  <c r="F179" i="9"/>
  <c r="I179" i="8"/>
  <c r="K184" i="9"/>
  <c r="N184" i="8"/>
  <c r="B162" i="9"/>
  <c r="E162" i="8"/>
  <c r="G199" i="9"/>
  <c r="J199" i="8"/>
  <c r="E111" i="9"/>
  <c r="H111" i="8"/>
  <c r="H133" i="9"/>
  <c r="K133" i="8"/>
  <c r="G137" i="9"/>
  <c r="J137" i="8"/>
  <c r="M96" i="9"/>
  <c r="P96" i="8"/>
  <c r="M88" i="9"/>
  <c r="P88" i="8"/>
  <c r="G132" i="9"/>
  <c r="J132" i="8"/>
  <c r="E106" i="9"/>
  <c r="H106" i="8"/>
  <c r="F90" i="9"/>
  <c r="I90" i="8"/>
  <c r="M118" i="9"/>
  <c r="P118" i="8"/>
  <c r="B126" i="9"/>
  <c r="E126" i="8"/>
  <c r="J139" i="9"/>
  <c r="M139" i="8"/>
  <c r="H93" i="9"/>
  <c r="K93" i="8"/>
  <c r="K99" i="9"/>
  <c r="N99" i="8"/>
  <c r="K105" i="9"/>
  <c r="N105" i="8"/>
  <c r="I99" i="9"/>
  <c r="L99" i="8"/>
  <c r="B123" i="9"/>
  <c r="E123" i="8"/>
  <c r="C93" i="9"/>
  <c r="F93" i="8"/>
  <c r="H157" i="9"/>
  <c r="K157" i="8"/>
  <c r="E138" i="9"/>
  <c r="H138" i="8"/>
  <c r="C183" i="9"/>
  <c r="F183" i="8"/>
  <c r="E139" i="9"/>
  <c r="H139" i="8"/>
  <c r="D122" i="9"/>
  <c r="G122" i="8"/>
  <c r="K127" i="9"/>
  <c r="N127" i="8"/>
  <c r="I103" i="9"/>
  <c r="L103" i="8"/>
  <c r="J161" i="9"/>
  <c r="M161" i="8"/>
  <c r="G183" i="9"/>
  <c r="J183" i="8"/>
  <c r="K195" i="9"/>
  <c r="N195" i="8"/>
  <c r="C186" i="9"/>
  <c r="F186" i="8"/>
  <c r="F157" i="9"/>
  <c r="I157" i="8"/>
  <c r="F167" i="9"/>
  <c r="I167" i="8"/>
  <c r="L130" i="9"/>
  <c r="O130" i="8"/>
  <c r="E186" i="9"/>
  <c r="H186" i="8"/>
  <c r="J107" i="9"/>
  <c r="M107" i="8"/>
  <c r="G139" i="9"/>
  <c r="J139" i="8"/>
  <c r="B182" i="9"/>
  <c r="E182" i="8"/>
  <c r="F127" i="9"/>
  <c r="I127" i="8"/>
  <c r="L98" i="9"/>
  <c r="O98" i="8"/>
  <c r="J127" i="9"/>
  <c r="M127" i="8"/>
  <c r="D185" i="9"/>
  <c r="G185" i="8"/>
  <c r="I95" i="9"/>
  <c r="L95" i="8"/>
  <c r="F152" i="9"/>
  <c r="I152" i="8"/>
  <c r="M146" i="9"/>
  <c r="P146" i="8"/>
  <c r="K178" i="9"/>
  <c r="N178" i="8"/>
  <c r="B94" i="9"/>
  <c r="E94" i="8"/>
  <c r="H163" i="9"/>
  <c r="K163" i="8"/>
  <c r="K175" i="9"/>
  <c r="N175" i="8"/>
  <c r="L146" i="9"/>
  <c r="O146" i="8"/>
  <c r="K134" i="9"/>
  <c r="N134" i="8"/>
  <c r="I100" i="9"/>
  <c r="L100" i="8"/>
  <c r="I170" i="9"/>
  <c r="L170" i="8"/>
  <c r="M163" i="9"/>
  <c r="P163" i="8"/>
  <c r="C163" i="8" s="1"/>
  <c r="G99" i="9"/>
  <c r="J99" i="8"/>
  <c r="J175" i="9"/>
  <c r="M175" i="8"/>
  <c r="B145" i="9"/>
  <c r="E145" i="8"/>
  <c r="G91" i="9"/>
  <c r="J91" i="8"/>
  <c r="F106" i="9"/>
  <c r="I106" i="8"/>
  <c r="G146" i="9"/>
  <c r="J146" i="8"/>
  <c r="M181" i="9"/>
  <c r="P181" i="8"/>
  <c r="C181" i="8" s="1"/>
  <c r="B95" i="9"/>
  <c r="E95" i="8"/>
  <c r="C148" i="9"/>
  <c r="F148" i="8"/>
  <c r="I119" i="9"/>
  <c r="L119" i="8"/>
  <c r="J116" i="9"/>
  <c r="M116" i="8"/>
  <c r="H115" i="9"/>
  <c r="K115" i="8"/>
  <c r="H96" i="9"/>
  <c r="K96" i="8"/>
  <c r="F125" i="9"/>
  <c r="I125" i="8"/>
  <c r="B136" i="9"/>
  <c r="E136" i="8"/>
  <c r="E196" i="9"/>
  <c r="H196" i="8"/>
  <c r="H126" i="9"/>
  <c r="K126" i="8"/>
  <c r="I164" i="9"/>
  <c r="L164" i="8"/>
  <c r="B143" i="9"/>
  <c r="E143" i="8"/>
  <c r="J110" i="9"/>
  <c r="M110" i="8"/>
  <c r="C88" i="9"/>
  <c r="F88" i="8"/>
  <c r="C124" i="9"/>
  <c r="F124" i="8"/>
  <c r="M117" i="9"/>
  <c r="P117" i="8"/>
  <c r="D97" i="9"/>
  <c r="G97" i="8"/>
  <c r="E90" i="9"/>
  <c r="H90" i="8"/>
  <c r="L101" i="9"/>
  <c r="O101" i="8"/>
  <c r="I193" i="9"/>
  <c r="L193" i="8"/>
  <c r="E174" i="9"/>
  <c r="H174" i="8"/>
  <c r="B131" i="9"/>
  <c r="E131" i="8"/>
  <c r="C179" i="9"/>
  <c r="F179" i="8"/>
  <c r="J184" i="9"/>
  <c r="M184" i="8"/>
  <c r="D162" i="9"/>
  <c r="G162" i="8"/>
  <c r="F199" i="9"/>
  <c r="I199" i="8"/>
  <c r="I111" i="9"/>
  <c r="L111" i="8"/>
  <c r="M133" i="9"/>
  <c r="P133" i="8"/>
  <c r="J137" i="9"/>
  <c r="M137" i="8"/>
  <c r="K145" i="9"/>
  <c r="N145" i="8"/>
  <c r="I126" i="9"/>
  <c r="L126" i="8"/>
  <c r="G145" i="9"/>
  <c r="J145" i="8"/>
  <c r="M104" i="9"/>
  <c r="P104" i="8"/>
  <c r="I93" i="9"/>
  <c r="L93" i="8"/>
  <c r="L131" i="9"/>
  <c r="O131" i="8"/>
  <c r="C184" i="9"/>
  <c r="F184" i="8"/>
  <c r="K132" i="9"/>
  <c r="N132" i="8"/>
  <c r="G105" i="9"/>
  <c r="J105" i="8"/>
  <c r="K125" i="9"/>
  <c r="N125" i="8"/>
  <c r="F113" i="9"/>
  <c r="I113" i="8"/>
  <c r="C193" i="9"/>
  <c r="F193" i="8"/>
  <c r="J200" i="9"/>
  <c r="M200" i="8"/>
  <c r="F115" i="9"/>
  <c r="I115" i="8"/>
  <c r="E142" i="9"/>
  <c r="H142" i="8"/>
  <c r="C150" i="9"/>
  <c r="F150" i="8"/>
  <c r="H172" i="9"/>
  <c r="K172" i="8"/>
  <c r="C103" i="9"/>
  <c r="F103" i="8"/>
  <c r="H123" i="9"/>
  <c r="K123" i="8"/>
  <c r="M107" i="9"/>
  <c r="P107" i="8"/>
  <c r="G130" i="9"/>
  <c r="J130" i="8"/>
  <c r="G167" i="9"/>
  <c r="J167" i="8"/>
  <c r="J192" i="9"/>
  <c r="M192" i="8"/>
  <c r="I129" i="9"/>
  <c r="L129" i="8"/>
  <c r="I189" i="9"/>
  <c r="L189" i="8"/>
  <c r="E182" i="9"/>
  <c r="H182" i="8"/>
  <c r="G187" i="9"/>
  <c r="J187" i="8"/>
  <c r="J151" i="9"/>
  <c r="M151" i="8"/>
  <c r="F160" i="9"/>
  <c r="I160" i="8"/>
  <c r="C191" i="9"/>
  <c r="F191" i="8"/>
  <c r="G100" i="9"/>
  <c r="J100" i="8"/>
  <c r="G170" i="9"/>
  <c r="J170" i="8"/>
  <c r="L163" i="9"/>
  <c r="O163" i="8"/>
  <c r="E99" i="9"/>
  <c r="H99" i="8"/>
  <c r="I175" i="9"/>
  <c r="L175" i="8"/>
  <c r="E145" i="9"/>
  <c r="H145" i="8"/>
  <c r="F91" i="9"/>
  <c r="I91" i="8"/>
  <c r="K106" i="9"/>
  <c r="N106" i="8"/>
  <c r="F146" i="9"/>
  <c r="I146" i="8"/>
  <c r="L181" i="9"/>
  <c r="O181" i="8"/>
  <c r="M95" i="9"/>
  <c r="P95" i="8"/>
  <c r="B148" i="9"/>
  <c r="E148" i="8"/>
  <c r="E119" i="9"/>
  <c r="H119" i="8"/>
  <c r="K116" i="9"/>
  <c r="N116" i="8"/>
  <c r="K115" i="9"/>
  <c r="N115" i="8"/>
  <c r="C96" i="9"/>
  <c r="F96" i="8"/>
  <c r="E125" i="9"/>
  <c r="H125" i="8"/>
  <c r="K136" i="9"/>
  <c r="N136" i="8"/>
  <c r="M196" i="9"/>
  <c r="P196" i="8"/>
  <c r="C196" i="8" s="1"/>
  <c r="L126" i="9"/>
  <c r="O126" i="8"/>
  <c r="J164" i="9"/>
  <c r="M164" i="8"/>
  <c r="C113" i="9"/>
  <c r="F113" i="8"/>
  <c r="G110" i="9"/>
  <c r="J110" i="8"/>
  <c r="B88" i="9"/>
  <c r="E88" i="8"/>
  <c r="L117" i="9"/>
  <c r="O117" i="8"/>
  <c r="E97" i="9"/>
  <c r="H97" i="8"/>
  <c r="M90" i="9"/>
  <c r="P90" i="8"/>
  <c r="J156" i="9"/>
  <c r="M156" i="8"/>
  <c r="H101" i="9"/>
  <c r="K101" i="8"/>
  <c r="L193" i="9"/>
  <c r="O193" i="8"/>
  <c r="C174" i="9"/>
  <c r="F174" i="8"/>
  <c r="G131" i="9"/>
  <c r="J131" i="8"/>
  <c r="L179" i="9"/>
  <c r="O179" i="8"/>
  <c r="I184" i="9"/>
  <c r="L184" i="8"/>
  <c r="G162" i="9"/>
  <c r="J162" i="8"/>
  <c r="C199" i="9"/>
  <c r="F199" i="8"/>
  <c r="D111" i="9"/>
  <c r="G111" i="8"/>
  <c r="I133" i="9"/>
  <c r="L133" i="8"/>
  <c r="F137" i="9"/>
  <c r="I137" i="8"/>
  <c r="E2" i="8"/>
  <c r="F4" i="8"/>
  <c r="C4" i="9"/>
  <c r="C154" i="9"/>
  <c r="F11" i="8"/>
  <c r="C11" i="9"/>
  <c r="K55" i="8"/>
  <c r="H55" i="9"/>
  <c r="M74" i="8"/>
  <c r="J74" i="9"/>
  <c r="M48" i="8"/>
  <c r="J48" i="9"/>
  <c r="H118" i="9"/>
  <c r="M84" i="8"/>
  <c r="J84" i="9"/>
  <c r="L73" i="8"/>
  <c r="I73" i="9"/>
  <c r="J58" i="8"/>
  <c r="G58" i="9"/>
  <c r="P10" i="8"/>
  <c r="M10" i="9"/>
  <c r="H35" i="8"/>
  <c r="E35" i="9"/>
  <c r="M19" i="8"/>
  <c r="J19" i="9"/>
  <c r="G53" i="8"/>
  <c r="D53" i="9"/>
  <c r="F153" i="9"/>
  <c r="P50" i="8"/>
  <c r="M50" i="9"/>
  <c r="L5" i="8"/>
  <c r="I5" i="9"/>
  <c r="F32" i="8"/>
  <c r="C32" i="9"/>
  <c r="M36" i="8"/>
  <c r="J36" i="9"/>
  <c r="K3" i="8"/>
  <c r="H3" i="9"/>
  <c r="M71" i="8"/>
  <c r="J71" i="9"/>
  <c r="M9" i="8"/>
  <c r="J9" i="9"/>
  <c r="O87" i="8"/>
  <c r="L87" i="9"/>
  <c r="K24" i="8"/>
  <c r="H24" i="9"/>
  <c r="O85" i="8"/>
  <c r="L85" i="9"/>
  <c r="O49" i="8"/>
  <c r="L49" i="9"/>
  <c r="J67" i="8"/>
  <c r="G67" i="9"/>
  <c r="M57" i="8"/>
  <c r="J57" i="9"/>
  <c r="G154" i="9"/>
  <c r="H57" i="8"/>
  <c r="E57" i="9"/>
  <c r="N11" i="8"/>
  <c r="K11" i="9"/>
  <c r="L74" i="8"/>
  <c r="I74" i="9"/>
  <c r="F48" i="8"/>
  <c r="C48" i="9"/>
  <c r="G118" i="9"/>
  <c r="P84" i="8"/>
  <c r="M84" i="9"/>
  <c r="P83" i="8"/>
  <c r="M83" i="9"/>
  <c r="G73" i="8"/>
  <c r="D73" i="9"/>
  <c r="I58" i="8"/>
  <c r="F58" i="9"/>
  <c r="O10" i="8"/>
  <c r="L10" i="9"/>
  <c r="L7" i="8"/>
  <c r="I7" i="9"/>
  <c r="K35" i="8"/>
  <c r="H35" i="9"/>
  <c r="L19" i="8"/>
  <c r="I19" i="9"/>
  <c r="L53" i="8"/>
  <c r="I53" i="9"/>
  <c r="G153" i="9"/>
  <c r="F5" i="8"/>
  <c r="C5" i="9"/>
  <c r="K36" i="8"/>
  <c r="H36" i="9"/>
  <c r="G3" i="8"/>
  <c r="D3" i="9"/>
  <c r="J9" i="8"/>
  <c r="G9" i="9"/>
  <c r="I41" i="8"/>
  <c r="F41" i="9"/>
  <c r="N87" i="8"/>
  <c r="K87" i="9"/>
  <c r="P69" i="8"/>
  <c r="M69" i="9"/>
  <c r="I24" i="8"/>
  <c r="F24" i="9"/>
  <c r="F38" i="8"/>
  <c r="C38" i="9"/>
  <c r="L85" i="8"/>
  <c r="I85" i="9"/>
  <c r="K77" i="8"/>
  <c r="H77" i="9"/>
  <c r="M49" i="8"/>
  <c r="J49" i="9"/>
  <c r="P67" i="8"/>
  <c r="M67" i="9"/>
  <c r="G57" i="8"/>
  <c r="D57" i="9"/>
  <c r="H55" i="8"/>
  <c r="E55" i="9"/>
  <c r="N74" i="8"/>
  <c r="K74" i="9"/>
  <c r="G48" i="8"/>
  <c r="D48" i="9"/>
  <c r="L84" i="8"/>
  <c r="I84" i="9"/>
  <c r="O83" i="8"/>
  <c r="L83" i="9"/>
  <c r="K58" i="8"/>
  <c r="H58" i="9"/>
  <c r="N10" i="8"/>
  <c r="K10" i="9"/>
  <c r="P7" i="8"/>
  <c r="M7" i="9"/>
  <c r="J35" i="8"/>
  <c r="G35" i="9"/>
  <c r="K19" i="8"/>
  <c r="H19" i="9"/>
  <c r="E153" i="9"/>
  <c r="K46" i="8"/>
  <c r="H46" i="9"/>
  <c r="N5" i="8"/>
  <c r="K5" i="9"/>
  <c r="L32" i="8"/>
  <c r="I32" i="9"/>
  <c r="I36" i="8"/>
  <c r="F36" i="9"/>
  <c r="L3" i="8"/>
  <c r="I3" i="9"/>
  <c r="P79" i="8"/>
  <c r="M79" i="9"/>
  <c r="P9" i="8"/>
  <c r="M9" i="9"/>
  <c r="H41" i="8"/>
  <c r="E41" i="9"/>
  <c r="O69" i="8"/>
  <c r="L69" i="9"/>
  <c r="G24" i="8"/>
  <c r="D24" i="9"/>
  <c r="P8" i="8"/>
  <c r="M8" i="9"/>
  <c r="G38" i="8"/>
  <c r="D38" i="9"/>
  <c r="K85" i="8"/>
  <c r="H85" i="9"/>
  <c r="J77" i="8"/>
  <c r="G77" i="9"/>
  <c r="L49" i="8"/>
  <c r="I49" i="9"/>
  <c r="O15" i="8"/>
  <c r="L15" i="9"/>
  <c r="O23" i="8"/>
  <c r="L23" i="9"/>
  <c r="F57" i="8"/>
  <c r="C57" i="9"/>
  <c r="I11" i="8"/>
  <c r="F11" i="9"/>
  <c r="I55" i="8"/>
  <c r="F55" i="9"/>
  <c r="K74" i="8"/>
  <c r="H74" i="9"/>
  <c r="K84" i="8"/>
  <c r="H84" i="9"/>
  <c r="K83" i="8"/>
  <c r="H83" i="9"/>
  <c r="F73" i="8"/>
  <c r="C73" i="9"/>
  <c r="G58" i="8"/>
  <c r="D58" i="9"/>
  <c r="M10" i="8"/>
  <c r="J10" i="9"/>
  <c r="O7" i="8"/>
  <c r="L7" i="9"/>
  <c r="G35" i="8"/>
  <c r="D35" i="9"/>
  <c r="P44" i="8"/>
  <c r="M44" i="9"/>
  <c r="J46" i="8"/>
  <c r="G46" i="9"/>
  <c r="O5" i="8"/>
  <c r="L5" i="9"/>
  <c r="K32" i="8"/>
  <c r="H32" i="9"/>
  <c r="J36" i="8"/>
  <c r="G36" i="9"/>
  <c r="F3" i="8"/>
  <c r="C3" i="9"/>
  <c r="L79" i="8"/>
  <c r="I79" i="9"/>
  <c r="I9" i="8"/>
  <c r="F9" i="9"/>
  <c r="O41" i="8"/>
  <c r="L41" i="9"/>
  <c r="N69" i="8"/>
  <c r="K69" i="9"/>
  <c r="F24" i="8"/>
  <c r="C24" i="9"/>
  <c r="P42" i="8"/>
  <c r="M42" i="9"/>
  <c r="F8" i="8"/>
  <c r="C8" i="9"/>
  <c r="N38" i="8"/>
  <c r="K38" i="9"/>
  <c r="P85" i="8"/>
  <c r="M85" i="9"/>
  <c r="I77" i="8"/>
  <c r="F77" i="9"/>
  <c r="K49" i="8"/>
  <c r="H49" i="9"/>
  <c r="I67" i="8"/>
  <c r="F67" i="9"/>
  <c r="K44" i="8"/>
  <c r="H44" i="9"/>
  <c r="K153" i="9"/>
  <c r="F46" i="8"/>
  <c r="C46" i="9"/>
  <c r="M5" i="8"/>
  <c r="J5" i="9"/>
  <c r="P32" i="8"/>
  <c r="M32" i="9"/>
  <c r="K79" i="8"/>
  <c r="H79" i="9"/>
  <c r="L9" i="8"/>
  <c r="I9" i="9"/>
  <c r="J41" i="8"/>
  <c r="G41" i="9"/>
  <c r="M69" i="8"/>
  <c r="J69" i="9"/>
  <c r="P24" i="8"/>
  <c r="M24" i="9"/>
  <c r="N42" i="8"/>
  <c r="K42" i="9"/>
  <c r="H8" i="8"/>
  <c r="E8" i="9"/>
  <c r="M38" i="8"/>
  <c r="J38" i="9"/>
  <c r="J85" i="8"/>
  <c r="G85" i="9"/>
  <c r="I68" i="8"/>
  <c r="F68" i="9"/>
  <c r="H77" i="8"/>
  <c r="E77" i="9"/>
  <c r="G67" i="8"/>
  <c r="D67" i="9"/>
  <c r="H58" i="8"/>
  <c r="E58" i="9"/>
  <c r="L10" i="8"/>
  <c r="I10" i="9"/>
  <c r="N7" i="8"/>
  <c r="K7" i="9"/>
  <c r="I35" i="8"/>
  <c r="F35" i="9"/>
  <c r="L15" i="8"/>
  <c r="I15" i="9"/>
  <c r="M33" i="8"/>
  <c r="J33" i="9"/>
  <c r="H23" i="8"/>
  <c r="E23" i="9"/>
  <c r="N57" i="8"/>
  <c r="K57" i="9"/>
  <c r="G11" i="8"/>
  <c r="D11" i="9"/>
  <c r="I74" i="8"/>
  <c r="F74" i="9"/>
  <c r="F63" i="8"/>
  <c r="C63" i="9"/>
  <c r="L83" i="8"/>
  <c r="I83" i="9"/>
  <c r="G52" i="8"/>
  <c r="D52" i="9"/>
  <c r="F58" i="8"/>
  <c r="C58" i="9"/>
  <c r="K10" i="8"/>
  <c r="H10" i="9"/>
  <c r="M7" i="8"/>
  <c r="J7" i="9"/>
  <c r="F35" i="8"/>
  <c r="C35" i="9"/>
  <c r="F25" i="8"/>
  <c r="C25" i="9"/>
  <c r="O44" i="8"/>
  <c r="L44" i="9"/>
  <c r="I153" i="9"/>
  <c r="I46" i="8"/>
  <c r="F46" i="9"/>
  <c r="I5" i="8"/>
  <c r="F5" i="9"/>
  <c r="O32" i="8"/>
  <c r="L32" i="9"/>
  <c r="H36" i="8"/>
  <c r="E36" i="9"/>
  <c r="J79" i="8"/>
  <c r="G79" i="9"/>
  <c r="K9" i="8"/>
  <c r="H9" i="9"/>
  <c r="P41" i="8"/>
  <c r="M41" i="9"/>
  <c r="I69" i="8"/>
  <c r="F69" i="9"/>
  <c r="J42" i="8"/>
  <c r="G42" i="9"/>
  <c r="G8" i="8"/>
  <c r="D8" i="9"/>
  <c r="P38" i="8"/>
  <c r="M38" i="9"/>
  <c r="N85" i="8"/>
  <c r="K85" i="9"/>
  <c r="G68" i="8"/>
  <c r="D68" i="9"/>
  <c r="G77" i="8"/>
  <c r="D77" i="9"/>
  <c r="P27" i="8"/>
  <c r="M27" i="9"/>
  <c r="H67" i="8"/>
  <c r="E67" i="9"/>
  <c r="J52" i="8"/>
  <c r="G52" i="9"/>
  <c r="J10" i="8"/>
  <c r="G10" i="9"/>
  <c r="G25" i="8"/>
  <c r="D25" i="9"/>
  <c r="J44" i="8"/>
  <c r="G44" i="9"/>
  <c r="D153" i="9"/>
  <c r="M46" i="8"/>
  <c r="J46" i="9"/>
  <c r="H5" i="8"/>
  <c r="E5" i="9"/>
  <c r="N32" i="8"/>
  <c r="K32" i="9"/>
  <c r="G36" i="8"/>
  <c r="D36" i="9"/>
  <c r="G75" i="8"/>
  <c r="D75" i="9"/>
  <c r="I79" i="8"/>
  <c r="F79" i="9"/>
  <c r="L41" i="8"/>
  <c r="I41" i="9"/>
  <c r="H69" i="8"/>
  <c r="E69" i="9"/>
  <c r="I42" i="8"/>
  <c r="F42" i="9"/>
  <c r="O38" i="8"/>
  <c r="L38" i="9"/>
  <c r="M85" i="8"/>
  <c r="J85" i="9"/>
  <c r="F68" i="8"/>
  <c r="C68" i="9"/>
  <c r="N77" i="8"/>
  <c r="K77" i="9"/>
  <c r="G12" i="8"/>
  <c r="D12" i="9"/>
  <c r="O27" i="8"/>
  <c r="L27" i="9"/>
  <c r="F67" i="8"/>
  <c r="C67" i="9"/>
  <c r="I60" i="8"/>
  <c r="F60" i="9"/>
  <c r="F84" i="8"/>
  <c r="C84" i="9"/>
  <c r="M15" i="8"/>
  <c r="J15" i="9"/>
  <c r="N33" i="8"/>
  <c r="K33" i="9"/>
  <c r="K23" i="8"/>
  <c r="H23" i="9"/>
  <c r="L57" i="8"/>
  <c r="I57" i="9"/>
  <c r="H74" i="8"/>
  <c r="E74" i="9"/>
  <c r="K63" i="8"/>
  <c r="H63" i="9"/>
  <c r="F17" i="8"/>
  <c r="C17" i="9"/>
  <c r="M83" i="8"/>
  <c r="J83" i="9"/>
  <c r="P70" i="8"/>
  <c r="M70" i="9"/>
  <c r="H52" i="8"/>
  <c r="E52" i="9"/>
  <c r="P35" i="8"/>
  <c r="M35" i="9"/>
  <c r="N25" i="8"/>
  <c r="K25" i="9"/>
  <c r="C153" i="9"/>
  <c r="H46" i="8"/>
  <c r="E46" i="9"/>
  <c r="G5" i="8"/>
  <c r="D5" i="9"/>
  <c r="M32" i="8"/>
  <c r="J32" i="9"/>
  <c r="F36" i="8"/>
  <c r="C36" i="9"/>
  <c r="H75" i="8"/>
  <c r="E75" i="9"/>
  <c r="H79" i="8"/>
  <c r="E79" i="9"/>
  <c r="M41" i="8"/>
  <c r="J41" i="9"/>
  <c r="G69" i="8"/>
  <c r="D69" i="9"/>
  <c r="M42" i="8"/>
  <c r="J42" i="9"/>
  <c r="M8" i="8"/>
  <c r="J8" i="9"/>
  <c r="H85" i="8"/>
  <c r="E85" i="9"/>
  <c r="P68" i="8"/>
  <c r="M68" i="9"/>
  <c r="P77" i="8"/>
  <c r="M77" i="9"/>
  <c r="F12" i="8"/>
  <c r="C12" i="9"/>
  <c r="N27" i="8"/>
  <c r="K27" i="9"/>
  <c r="H60" i="8"/>
  <c r="E60" i="9"/>
  <c r="K15" i="8"/>
  <c r="H15" i="9"/>
  <c r="P33" i="8"/>
  <c r="M33" i="9"/>
  <c r="F23" i="8"/>
  <c r="C23" i="9"/>
  <c r="K57" i="8"/>
  <c r="H57" i="9"/>
  <c r="G74" i="8"/>
  <c r="D74" i="9"/>
  <c r="P63" i="8"/>
  <c r="M63" i="9"/>
  <c r="J83" i="8"/>
  <c r="G83" i="9"/>
  <c r="N70" i="8"/>
  <c r="K70" i="9"/>
  <c r="I52" i="8"/>
  <c r="F52" i="9"/>
  <c r="I10" i="8"/>
  <c r="F10" i="9"/>
  <c r="O35" i="8"/>
  <c r="L35" i="9"/>
  <c r="M25" i="8"/>
  <c r="J25" i="9"/>
  <c r="F44" i="8"/>
  <c r="C44" i="9"/>
  <c r="J32" i="8"/>
  <c r="G32" i="9"/>
  <c r="F75" i="8"/>
  <c r="C75" i="9"/>
  <c r="O79" i="8"/>
  <c r="L79" i="9"/>
  <c r="I78" i="8"/>
  <c r="F78" i="9"/>
  <c r="K41" i="8"/>
  <c r="H41" i="9"/>
  <c r="L42" i="8"/>
  <c r="I42" i="9"/>
  <c r="I8" i="8"/>
  <c r="F8" i="9"/>
  <c r="I85" i="8"/>
  <c r="F85" i="9"/>
  <c r="K68" i="8"/>
  <c r="H68" i="9"/>
  <c r="O77" i="8"/>
  <c r="L77" i="9"/>
  <c r="J12" i="8"/>
  <c r="G12" i="9"/>
  <c r="F27" i="8"/>
  <c r="C27" i="9"/>
  <c r="G60" i="8"/>
  <c r="D60" i="9"/>
  <c r="J15" i="8"/>
  <c r="G15" i="9"/>
  <c r="O33" i="8"/>
  <c r="L33" i="9"/>
  <c r="J23" i="8"/>
  <c r="G23" i="9"/>
  <c r="O57" i="8"/>
  <c r="L57" i="9"/>
  <c r="F74" i="8"/>
  <c r="C74" i="9"/>
  <c r="O63" i="8"/>
  <c r="L63" i="9"/>
  <c r="F81" i="8"/>
  <c r="C81" i="9"/>
  <c r="P17" i="8"/>
  <c r="M17" i="9"/>
  <c r="I83" i="8"/>
  <c r="F83" i="9"/>
  <c r="O70" i="8"/>
  <c r="L70" i="9"/>
  <c r="P52" i="8"/>
  <c r="M52" i="9"/>
  <c r="H10" i="8"/>
  <c r="E10" i="9"/>
  <c r="N35" i="8"/>
  <c r="K35" i="9"/>
  <c r="L25" i="8"/>
  <c r="I25" i="9"/>
  <c r="K80" i="8"/>
  <c r="H80" i="9"/>
  <c r="I44" i="8"/>
  <c r="F44" i="9"/>
  <c r="L46" i="8"/>
  <c r="I46" i="9"/>
  <c r="I32" i="8"/>
  <c r="F32" i="9"/>
  <c r="I75" i="8"/>
  <c r="F75" i="9"/>
  <c r="N79" i="8"/>
  <c r="K79" i="9"/>
  <c r="H78" i="8"/>
  <c r="E78" i="9"/>
  <c r="I66" i="8"/>
  <c r="F66" i="9"/>
  <c r="O8" i="8"/>
  <c r="L8" i="9"/>
  <c r="G85" i="8"/>
  <c r="D85" i="9"/>
  <c r="M77" i="8"/>
  <c r="J77" i="9"/>
  <c r="G27" i="8"/>
  <c r="D27" i="9"/>
  <c r="F60" i="8"/>
  <c r="C60" i="9"/>
  <c r="I15" i="8"/>
  <c r="F15" i="9"/>
  <c r="H33" i="8"/>
  <c r="E33" i="9"/>
  <c r="J57" i="8"/>
  <c r="G57" i="9"/>
  <c r="N63" i="8"/>
  <c r="K63" i="9"/>
  <c r="O17" i="8"/>
  <c r="L17" i="9"/>
  <c r="M70" i="8"/>
  <c r="J70" i="9"/>
  <c r="O52" i="8"/>
  <c r="L52" i="9"/>
  <c r="G10" i="8"/>
  <c r="D10" i="9"/>
  <c r="M35" i="8"/>
  <c r="J35" i="9"/>
  <c r="K25" i="8"/>
  <c r="H25" i="9"/>
  <c r="N31" i="8"/>
  <c r="K31" i="9"/>
  <c r="J80" i="8"/>
  <c r="G80" i="9"/>
  <c r="H44" i="8"/>
  <c r="E44" i="9"/>
  <c r="G46" i="8"/>
  <c r="D46" i="9"/>
  <c r="H32" i="8"/>
  <c r="E32" i="9"/>
  <c r="M79" i="8"/>
  <c r="J79" i="9"/>
  <c r="O18" i="8"/>
  <c r="L18" i="9"/>
  <c r="K42" i="8"/>
  <c r="H42" i="9"/>
  <c r="J66" i="8"/>
  <c r="G66" i="9"/>
  <c r="N8" i="8"/>
  <c r="K8" i="9"/>
  <c r="F85" i="8"/>
  <c r="C85" i="9"/>
  <c r="J68" i="8"/>
  <c r="G68" i="9"/>
  <c r="L77" i="8"/>
  <c r="I77" i="9"/>
  <c r="P12" i="8"/>
  <c r="M12" i="9"/>
  <c r="H27" i="8"/>
  <c r="E27" i="9"/>
  <c r="F54" i="8"/>
  <c r="C54" i="9"/>
  <c r="P60" i="8"/>
  <c r="M60" i="9"/>
  <c r="G15" i="8"/>
  <c r="D15" i="9"/>
  <c r="L23" i="8"/>
  <c r="I23" i="9"/>
  <c r="P57" i="8"/>
  <c r="M57" i="9"/>
  <c r="M63" i="8"/>
  <c r="J63" i="9"/>
  <c r="G83" i="8"/>
  <c r="D83" i="9"/>
  <c r="N52" i="8"/>
  <c r="K52" i="9"/>
  <c r="F10" i="8"/>
  <c r="C10" i="9"/>
  <c r="P25" i="8"/>
  <c r="M25" i="9"/>
  <c r="M31" i="8"/>
  <c r="J31" i="9"/>
  <c r="I80" i="8"/>
  <c r="F80" i="9"/>
  <c r="J75" i="8"/>
  <c r="G75" i="9"/>
  <c r="G79" i="8"/>
  <c r="D79" i="9"/>
  <c r="G78" i="8"/>
  <c r="D78" i="9"/>
  <c r="L18" i="8"/>
  <c r="I18" i="9"/>
  <c r="O42" i="8"/>
  <c r="L42" i="9"/>
  <c r="G66" i="8"/>
  <c r="D66" i="9"/>
  <c r="L8" i="8"/>
  <c r="I8" i="9"/>
  <c r="F6" i="8"/>
  <c r="C6" i="9"/>
  <c r="L68" i="8"/>
  <c r="I68" i="9"/>
  <c r="K12" i="8"/>
  <c r="H12" i="9"/>
  <c r="O62" i="8"/>
  <c r="L62" i="9"/>
  <c r="M27" i="8"/>
  <c r="J27" i="9"/>
  <c r="O60" i="8"/>
  <c r="L60" i="9"/>
  <c r="P59" i="8"/>
  <c r="M59" i="9"/>
  <c r="G33" i="8"/>
  <c r="D33" i="9"/>
  <c r="H81" i="8"/>
  <c r="E81" i="9"/>
  <c r="J17" i="8"/>
  <c r="G17" i="9"/>
  <c r="L70" i="8"/>
  <c r="I70" i="9"/>
  <c r="G44" i="8"/>
  <c r="D44" i="9"/>
  <c r="O46" i="8"/>
  <c r="L46" i="9"/>
  <c r="H15" i="8"/>
  <c r="E15" i="9"/>
  <c r="I34" i="8"/>
  <c r="F34" i="9"/>
  <c r="I23" i="8"/>
  <c r="F23" i="9"/>
  <c r="J72" i="8"/>
  <c r="G72" i="9"/>
  <c r="L63" i="8"/>
  <c r="I63" i="9"/>
  <c r="G81" i="8"/>
  <c r="D81" i="9"/>
  <c r="I17" i="8"/>
  <c r="F17" i="9"/>
  <c r="F83" i="8"/>
  <c r="C83" i="9"/>
  <c r="J70" i="8"/>
  <c r="G70" i="9"/>
  <c r="M52" i="8"/>
  <c r="J52" i="9"/>
  <c r="O22" i="8"/>
  <c r="L22" i="9"/>
  <c r="O25" i="8"/>
  <c r="L25" i="9"/>
  <c r="G31" i="8"/>
  <c r="D31" i="9"/>
  <c r="H80" i="8"/>
  <c r="E80" i="9"/>
  <c r="N44" i="8"/>
  <c r="K44" i="9"/>
  <c r="N46" i="8"/>
  <c r="K46" i="9"/>
  <c r="P75" i="8"/>
  <c r="M75" i="9"/>
  <c r="O86" i="8"/>
  <c r="L86" i="9"/>
  <c r="F79" i="8"/>
  <c r="C79" i="9"/>
  <c r="F78" i="8"/>
  <c r="C78" i="9"/>
  <c r="N18" i="8"/>
  <c r="K18" i="9"/>
  <c r="H42" i="8"/>
  <c r="E42" i="9"/>
  <c r="H66" i="8"/>
  <c r="E66" i="9"/>
  <c r="K8" i="8"/>
  <c r="H8" i="9"/>
  <c r="H68" i="8"/>
  <c r="E68" i="9"/>
  <c r="F77" i="8"/>
  <c r="C77" i="9"/>
  <c r="I12" i="8"/>
  <c r="F12" i="9"/>
  <c r="N62" i="8"/>
  <c r="K62" i="9"/>
  <c r="N54" i="8"/>
  <c r="K54" i="9"/>
  <c r="K60" i="8"/>
  <c r="H60" i="9"/>
  <c r="O59" i="8"/>
  <c r="L59" i="9"/>
  <c r="F33" i="8"/>
  <c r="C33" i="9"/>
  <c r="N23" i="8"/>
  <c r="K23" i="9"/>
  <c r="I72" i="8"/>
  <c r="F72" i="9"/>
  <c r="J63" i="8"/>
  <c r="G63" i="9"/>
  <c r="P81" i="8"/>
  <c r="M81" i="9"/>
  <c r="H17" i="8"/>
  <c r="E17" i="9"/>
  <c r="I70" i="8"/>
  <c r="F70" i="9"/>
  <c r="L52" i="8"/>
  <c r="I52" i="9"/>
  <c r="L61" i="8"/>
  <c r="I61" i="9"/>
  <c r="P22" i="8"/>
  <c r="M22" i="9"/>
  <c r="J25" i="8"/>
  <c r="G25" i="9"/>
  <c r="F31" i="8"/>
  <c r="C31" i="9"/>
  <c r="G80" i="8"/>
  <c r="D80" i="9"/>
  <c r="M44" i="8"/>
  <c r="J44" i="9"/>
  <c r="P46" i="8"/>
  <c r="M46" i="9"/>
  <c r="I76" i="8"/>
  <c r="F76" i="9"/>
  <c r="K47" i="8"/>
  <c r="H47" i="9"/>
  <c r="N75" i="8"/>
  <c r="K75" i="9"/>
  <c r="N86" i="8"/>
  <c r="K86" i="9"/>
  <c r="M78" i="8"/>
  <c r="J78" i="9"/>
  <c r="M18" i="8"/>
  <c r="J18" i="9"/>
  <c r="G42" i="8"/>
  <c r="D42" i="9"/>
  <c r="M66" i="8"/>
  <c r="J66" i="9"/>
  <c r="J8" i="8"/>
  <c r="G8" i="9"/>
  <c r="P13" i="8"/>
  <c r="M13" i="9"/>
  <c r="P6" i="8"/>
  <c r="M6" i="9"/>
  <c r="O68" i="8"/>
  <c r="L68" i="9"/>
  <c r="H12" i="8"/>
  <c r="E12" i="9"/>
  <c r="M62" i="8"/>
  <c r="J62" i="9"/>
  <c r="K27" i="8"/>
  <c r="H27" i="9"/>
  <c r="M54" i="8"/>
  <c r="J54" i="9"/>
  <c r="J60" i="8"/>
  <c r="G60" i="9"/>
  <c r="N59" i="8"/>
  <c r="K59" i="9"/>
  <c r="P23" i="8"/>
  <c r="M23" i="9"/>
  <c r="P15" i="8"/>
  <c r="M15" i="9"/>
  <c r="F15" i="8"/>
  <c r="C15" i="9"/>
  <c r="L34" i="8"/>
  <c r="I34" i="9"/>
  <c r="L33" i="8"/>
  <c r="I33" i="9"/>
  <c r="M23" i="8"/>
  <c r="J23" i="9"/>
  <c r="H72" i="8"/>
  <c r="E72" i="9"/>
  <c r="I63" i="8"/>
  <c r="F63" i="9"/>
  <c r="O81" i="8"/>
  <c r="L81" i="9"/>
  <c r="G17" i="8"/>
  <c r="D17" i="9"/>
  <c r="K70" i="8"/>
  <c r="H70" i="9"/>
  <c r="K52" i="8"/>
  <c r="H52" i="9"/>
  <c r="K61" i="8"/>
  <c r="H61" i="9"/>
  <c r="G22" i="8"/>
  <c r="D22" i="9"/>
  <c r="I25" i="8"/>
  <c r="F25" i="9"/>
  <c r="L31" i="8"/>
  <c r="I31" i="9"/>
  <c r="F80" i="8"/>
  <c r="C80" i="9"/>
  <c r="L44" i="8"/>
  <c r="I44" i="9"/>
  <c r="G76" i="8"/>
  <c r="D76" i="9"/>
  <c r="J47" i="8"/>
  <c r="G47" i="9"/>
  <c r="O75" i="8"/>
  <c r="L75" i="9"/>
  <c r="G86" i="8"/>
  <c r="D86" i="9"/>
  <c r="O78" i="8"/>
  <c r="L78" i="9"/>
  <c r="P18" i="8"/>
  <c r="M18" i="9"/>
  <c r="F42" i="8"/>
  <c r="C42" i="9"/>
  <c r="L66" i="8"/>
  <c r="I66" i="9"/>
  <c r="O13" i="8"/>
  <c r="L13" i="9"/>
  <c r="K6" i="8"/>
  <c r="H6" i="9"/>
  <c r="N68" i="8"/>
  <c r="K68" i="9"/>
  <c r="O12" i="8"/>
  <c r="L12" i="9"/>
  <c r="L62" i="8"/>
  <c r="I62" i="9"/>
  <c r="L27" i="8"/>
  <c r="I27" i="9"/>
  <c r="P54" i="8"/>
  <c r="M54" i="9"/>
  <c r="M60" i="8"/>
  <c r="J60" i="9"/>
  <c r="M59" i="8"/>
  <c r="J59" i="9"/>
  <c r="J34" i="8"/>
  <c r="G34" i="9"/>
  <c r="K33" i="8"/>
  <c r="H33" i="9"/>
  <c r="G72" i="8"/>
  <c r="D72" i="9"/>
  <c r="H63" i="8"/>
  <c r="E63" i="9"/>
  <c r="N81" i="8"/>
  <c r="K81" i="9"/>
  <c r="N17" i="8"/>
  <c r="K17" i="9"/>
  <c r="P45" i="8"/>
  <c r="M45" i="9"/>
  <c r="H70" i="8"/>
  <c r="E70" i="9"/>
  <c r="F52" i="8"/>
  <c r="C52" i="9"/>
  <c r="M61" i="8"/>
  <c r="J61" i="9"/>
  <c r="F22" i="8"/>
  <c r="C22" i="9"/>
  <c r="H25" i="8"/>
  <c r="E25" i="9"/>
  <c r="I31" i="8"/>
  <c r="F31" i="9"/>
  <c r="K43" i="8"/>
  <c r="H43" i="9"/>
  <c r="J76" i="8"/>
  <c r="G76" i="9"/>
  <c r="I47" i="8"/>
  <c r="F47" i="9"/>
  <c r="M75" i="8"/>
  <c r="J75" i="9"/>
  <c r="F86" i="8"/>
  <c r="C86" i="9"/>
  <c r="F51" i="8"/>
  <c r="C51" i="9"/>
  <c r="L78" i="8"/>
  <c r="I78" i="9"/>
  <c r="F65" i="8"/>
  <c r="C65" i="9"/>
  <c r="J18" i="8"/>
  <c r="G18" i="9"/>
  <c r="K66" i="8"/>
  <c r="H66" i="9"/>
  <c r="N13" i="8"/>
  <c r="K13" i="9"/>
  <c r="J6" i="8"/>
  <c r="G6" i="9"/>
  <c r="M68" i="8"/>
  <c r="J68" i="9"/>
  <c r="N12" i="8"/>
  <c r="K12" i="9"/>
  <c r="K62" i="8"/>
  <c r="H62" i="9"/>
  <c r="J27" i="8"/>
  <c r="G27" i="9"/>
  <c r="I54" i="8"/>
  <c r="F54" i="9"/>
  <c r="N60" i="8"/>
  <c r="K60" i="9"/>
  <c r="L59" i="8"/>
  <c r="I59" i="9"/>
  <c r="M34" i="8"/>
  <c r="J34" i="9"/>
  <c r="J33" i="8"/>
  <c r="G33" i="9"/>
  <c r="O28" i="8"/>
  <c r="L28" i="9"/>
  <c r="F72" i="8"/>
  <c r="C72" i="9"/>
  <c r="J81" i="8"/>
  <c r="G81" i="9"/>
  <c r="M17" i="8"/>
  <c r="J17" i="9"/>
  <c r="N45" i="8"/>
  <c r="K45" i="9"/>
  <c r="G70" i="8"/>
  <c r="D70" i="9"/>
  <c r="J61" i="8"/>
  <c r="G61" i="9"/>
  <c r="O80" i="8"/>
  <c r="L80" i="9"/>
  <c r="P40" i="8"/>
  <c r="M40" i="9"/>
  <c r="I43" i="8"/>
  <c r="F43" i="9"/>
  <c r="O76" i="8"/>
  <c r="L76" i="9"/>
  <c r="L47" i="8"/>
  <c r="I47" i="9"/>
  <c r="L75" i="8"/>
  <c r="I75" i="9"/>
  <c r="H86" i="8"/>
  <c r="E86" i="9"/>
  <c r="P51" i="8"/>
  <c r="M51" i="9"/>
  <c r="K78" i="8"/>
  <c r="H78" i="9"/>
  <c r="P26" i="8"/>
  <c r="M26" i="9"/>
  <c r="N20" i="8"/>
  <c r="K20" i="9"/>
  <c r="M13" i="8"/>
  <c r="J13" i="9"/>
  <c r="M6" i="8"/>
  <c r="J6" i="9"/>
  <c r="M12" i="8"/>
  <c r="J12" i="9"/>
  <c r="P62" i="8"/>
  <c r="M62" i="9"/>
  <c r="I27" i="8"/>
  <c r="F27" i="9"/>
  <c r="O54" i="8"/>
  <c r="L54" i="9"/>
  <c r="L60" i="8"/>
  <c r="I60" i="9"/>
  <c r="H59" i="8"/>
  <c r="E59" i="9"/>
  <c r="H34" i="8"/>
  <c r="E34" i="9"/>
  <c r="M28" i="8"/>
  <c r="J28" i="9"/>
  <c r="K72" i="8"/>
  <c r="H72" i="9"/>
  <c r="I81" i="8"/>
  <c r="F81" i="9"/>
  <c r="L17" i="8"/>
  <c r="I17" i="9"/>
  <c r="M45" i="8"/>
  <c r="J45" i="9"/>
  <c r="F70" i="8"/>
  <c r="C70" i="9"/>
  <c r="N61" i="8"/>
  <c r="K61" i="9"/>
  <c r="N22" i="8"/>
  <c r="K22" i="9"/>
  <c r="K31" i="8"/>
  <c r="H31" i="9"/>
  <c r="M16" i="8"/>
  <c r="J16" i="9"/>
  <c r="N80" i="8"/>
  <c r="K80" i="9"/>
  <c r="O40" i="8"/>
  <c r="L40" i="9"/>
  <c r="H43" i="8"/>
  <c r="E43" i="9"/>
  <c r="P76" i="8"/>
  <c r="M76" i="9"/>
  <c r="N47" i="8"/>
  <c r="K47" i="9"/>
  <c r="K75" i="8"/>
  <c r="H75" i="9"/>
  <c r="P78" i="8"/>
  <c r="M78" i="9"/>
  <c r="K26" i="8"/>
  <c r="H26" i="9"/>
  <c r="J65" i="8"/>
  <c r="G65" i="9"/>
  <c r="K18" i="8"/>
  <c r="H18" i="9"/>
  <c r="L20" i="8"/>
  <c r="I20" i="9"/>
  <c r="F66" i="8"/>
  <c r="C66" i="9"/>
  <c r="J13" i="8"/>
  <c r="G13" i="9"/>
  <c r="L6" i="8"/>
  <c r="I6" i="9"/>
  <c r="L12" i="8"/>
  <c r="I12" i="9"/>
  <c r="I62" i="8"/>
  <c r="F62" i="9"/>
  <c r="H54" i="8"/>
  <c r="E54" i="9"/>
  <c r="F59" i="8"/>
  <c r="C59" i="9"/>
  <c r="L30" i="8"/>
  <c r="I30" i="9"/>
  <c r="M81" i="8"/>
  <c r="J81" i="9"/>
  <c r="K17" i="8"/>
  <c r="H17" i="9"/>
  <c r="J45" i="8"/>
  <c r="G45" i="9"/>
  <c r="P14" i="8"/>
  <c r="M14" i="9"/>
  <c r="I61" i="8"/>
  <c r="F61" i="9"/>
  <c r="I22" i="8"/>
  <c r="F22" i="9"/>
  <c r="J31" i="8"/>
  <c r="G31" i="9"/>
  <c r="J16" i="8"/>
  <c r="G16" i="9"/>
  <c r="M80" i="8"/>
  <c r="J80" i="9"/>
  <c r="M40" i="8"/>
  <c r="J40" i="9"/>
  <c r="J43" i="8"/>
  <c r="G43" i="9"/>
  <c r="K76" i="8"/>
  <c r="H76" i="9"/>
  <c r="J56" i="8"/>
  <c r="G56" i="9"/>
  <c r="M47" i="8"/>
  <c r="J47" i="9"/>
  <c r="P86" i="8"/>
  <c r="M86" i="9"/>
  <c r="K51" i="8"/>
  <c r="H51" i="9"/>
  <c r="N78" i="8"/>
  <c r="K78" i="9"/>
  <c r="H26" i="8"/>
  <c r="E26" i="9"/>
  <c r="N65" i="8"/>
  <c r="K65" i="9"/>
  <c r="I18" i="8"/>
  <c r="F18" i="9"/>
  <c r="K20" i="8"/>
  <c r="H20" i="9"/>
  <c r="P66" i="8"/>
  <c r="M66" i="9"/>
  <c r="I13" i="8"/>
  <c r="F13" i="9"/>
  <c r="H82" i="8"/>
  <c r="E82" i="9"/>
  <c r="I6" i="8"/>
  <c r="F6" i="9"/>
  <c r="J62" i="8"/>
  <c r="G62" i="9"/>
  <c r="G54" i="8"/>
  <c r="D54" i="9"/>
  <c r="G59" i="8"/>
  <c r="D59" i="9"/>
  <c r="I28" i="8"/>
  <c r="F28" i="9"/>
  <c r="F34" i="8"/>
  <c r="C34" i="9"/>
  <c r="H30" i="8"/>
  <c r="E30" i="9"/>
  <c r="H28" i="8"/>
  <c r="E28" i="9"/>
  <c r="L39" i="8"/>
  <c r="I39" i="9"/>
  <c r="O72" i="8"/>
  <c r="L72" i="9"/>
  <c r="L81" i="8"/>
  <c r="I81" i="9"/>
  <c r="I45" i="8"/>
  <c r="F45" i="9"/>
  <c r="O14" i="8"/>
  <c r="L14" i="9"/>
  <c r="H61" i="8"/>
  <c r="E61" i="9"/>
  <c r="H22" i="8"/>
  <c r="E22" i="9"/>
  <c r="H31" i="8"/>
  <c r="E31" i="9"/>
  <c r="I16" i="8"/>
  <c r="F16" i="9"/>
  <c r="P80" i="8"/>
  <c r="M80" i="9"/>
  <c r="G40" i="8"/>
  <c r="D40" i="9"/>
  <c r="L43" i="8"/>
  <c r="I43" i="9"/>
  <c r="H76" i="8"/>
  <c r="E76" i="9"/>
  <c r="G56" i="8"/>
  <c r="D56" i="9"/>
  <c r="P47" i="8"/>
  <c r="M47" i="9"/>
  <c r="M86" i="8"/>
  <c r="J86" i="9"/>
  <c r="J51" i="8"/>
  <c r="G51" i="9"/>
  <c r="J78" i="8"/>
  <c r="G78" i="9"/>
  <c r="O64" i="8"/>
  <c r="L64" i="9"/>
  <c r="O26" i="8"/>
  <c r="L26" i="9"/>
  <c r="L65" i="8"/>
  <c r="I65" i="9"/>
  <c r="H18" i="8"/>
  <c r="E18" i="9"/>
  <c r="O20" i="8"/>
  <c r="L20" i="9"/>
  <c r="O66" i="8"/>
  <c r="L66" i="9"/>
  <c r="H13" i="8"/>
  <c r="E13" i="9"/>
  <c r="N82" i="8"/>
  <c r="K82" i="9"/>
  <c r="H6" i="8"/>
  <c r="E6" i="9"/>
  <c r="H62" i="8"/>
  <c r="E62" i="9"/>
  <c r="L54" i="8"/>
  <c r="I54" i="9"/>
  <c r="K59" i="8"/>
  <c r="H59" i="9"/>
  <c r="J2" i="8"/>
  <c r="G2" i="9"/>
  <c r="N83" i="8"/>
  <c r="K83" i="9"/>
  <c r="I33" i="8"/>
  <c r="F33" i="9"/>
  <c r="G34" i="8"/>
  <c r="D34" i="9"/>
  <c r="K34" i="8"/>
  <c r="H34" i="9"/>
  <c r="K30" i="8"/>
  <c r="H30" i="9"/>
  <c r="N28" i="8"/>
  <c r="K28" i="9"/>
  <c r="P39" i="8"/>
  <c r="M39" i="9"/>
  <c r="N72" i="8"/>
  <c r="K72" i="9"/>
  <c r="K81" i="8"/>
  <c r="H81" i="9"/>
  <c r="K37" i="8"/>
  <c r="H37" i="9"/>
  <c r="O45" i="8"/>
  <c r="L45" i="9"/>
  <c r="J14" i="8"/>
  <c r="G14" i="9"/>
  <c r="F61" i="8"/>
  <c r="C61" i="9"/>
  <c r="L22" i="8"/>
  <c r="I22" i="9"/>
  <c r="P31" i="8"/>
  <c r="M31" i="9"/>
  <c r="H16" i="8"/>
  <c r="E16" i="9"/>
  <c r="L80" i="8"/>
  <c r="I80" i="9"/>
  <c r="N40" i="8"/>
  <c r="K40" i="9"/>
  <c r="F43" i="8"/>
  <c r="C43" i="9"/>
  <c r="F76" i="8"/>
  <c r="C76" i="9"/>
  <c r="O47" i="8"/>
  <c r="L47" i="9"/>
  <c r="H29" i="8"/>
  <c r="E29" i="9"/>
  <c r="I86" i="8"/>
  <c r="F86" i="9"/>
  <c r="I51" i="8"/>
  <c r="F51" i="9"/>
  <c r="M64" i="8"/>
  <c r="J64" i="9"/>
  <c r="G26" i="8"/>
  <c r="D26" i="9"/>
  <c r="I65" i="8"/>
  <c r="F65" i="9"/>
  <c r="G18" i="8"/>
  <c r="D18" i="9"/>
  <c r="M20" i="8"/>
  <c r="J20" i="9"/>
  <c r="N66" i="8"/>
  <c r="K66" i="9"/>
  <c r="G13" i="8"/>
  <c r="D13" i="9"/>
  <c r="P82" i="8"/>
  <c r="M82" i="9"/>
  <c r="G6" i="8"/>
  <c r="D6" i="9"/>
  <c r="G62" i="8"/>
  <c r="D62" i="9"/>
  <c r="K54" i="8"/>
  <c r="H54" i="9"/>
  <c r="J21" i="8"/>
  <c r="G21" i="9"/>
  <c r="J59" i="8"/>
  <c r="G59" i="9"/>
  <c r="K2" i="8"/>
  <c r="H2" i="9"/>
  <c r="G23" i="8"/>
  <c r="D23" i="9"/>
  <c r="M30" i="8"/>
  <c r="J30" i="9"/>
  <c r="L28" i="8"/>
  <c r="I28" i="9"/>
  <c r="G39" i="8"/>
  <c r="D39" i="9"/>
  <c r="P72" i="8"/>
  <c r="M72" i="9"/>
  <c r="O37" i="8"/>
  <c r="L37" i="9"/>
  <c r="H45" i="8"/>
  <c r="E45" i="9"/>
  <c r="I14" i="8"/>
  <c r="F14" i="9"/>
  <c r="G61" i="8"/>
  <c r="D61" i="9"/>
  <c r="M22" i="8"/>
  <c r="J22" i="9"/>
  <c r="O31" i="8"/>
  <c r="L31" i="9"/>
  <c r="G16" i="8"/>
  <c r="D16" i="9"/>
  <c r="H40" i="8"/>
  <c r="E40" i="9"/>
  <c r="O50" i="8"/>
  <c r="L50" i="9"/>
  <c r="I56" i="8"/>
  <c r="F56" i="9"/>
  <c r="H47" i="8"/>
  <c r="E47" i="9"/>
  <c r="M29" i="8"/>
  <c r="J29" i="9"/>
  <c r="L86" i="8"/>
  <c r="I86" i="9"/>
  <c r="N51" i="8"/>
  <c r="K51" i="9"/>
  <c r="F71" i="8"/>
  <c r="C71" i="9"/>
  <c r="L64" i="8"/>
  <c r="I64" i="9"/>
  <c r="N26" i="8"/>
  <c r="K26" i="9"/>
  <c r="O65" i="8"/>
  <c r="L65" i="9"/>
  <c r="F18" i="8"/>
  <c r="C18" i="9"/>
  <c r="J20" i="8"/>
  <c r="G20" i="9"/>
  <c r="F13" i="8"/>
  <c r="C13" i="9"/>
  <c r="O82" i="8"/>
  <c r="L82" i="9"/>
  <c r="O6" i="8"/>
  <c r="L6" i="9"/>
  <c r="F62" i="8"/>
  <c r="C62" i="9"/>
  <c r="J54" i="8"/>
  <c r="G54" i="9"/>
  <c r="H21" i="8"/>
  <c r="E21" i="9"/>
  <c r="I59" i="8"/>
  <c r="F59" i="9"/>
  <c r="F2" i="8"/>
  <c r="C2" i="9"/>
  <c r="G63" i="8"/>
  <c r="D63" i="9"/>
  <c r="P34" i="8"/>
  <c r="M34" i="9"/>
  <c r="P4" i="8"/>
  <c r="M4" i="9"/>
  <c r="O34" i="8"/>
  <c r="L34" i="9"/>
  <c r="I30" i="8"/>
  <c r="F30" i="9"/>
  <c r="J28" i="8"/>
  <c r="G28" i="9"/>
  <c r="F39" i="8"/>
  <c r="C39" i="9"/>
  <c r="M72" i="8"/>
  <c r="J72" i="9"/>
  <c r="M37" i="8"/>
  <c r="J37" i="9"/>
  <c r="G45" i="8"/>
  <c r="D45" i="9"/>
  <c r="L14" i="8"/>
  <c r="I14" i="9"/>
  <c r="K22" i="8"/>
  <c r="H22" i="9"/>
  <c r="L16" i="8"/>
  <c r="I16" i="9"/>
  <c r="P53" i="8"/>
  <c r="M53" i="9"/>
  <c r="M50" i="8"/>
  <c r="J50" i="9"/>
  <c r="G43" i="8"/>
  <c r="D43" i="9"/>
  <c r="N76" i="8"/>
  <c r="K76" i="9"/>
  <c r="F56" i="8"/>
  <c r="C56" i="9"/>
  <c r="G47" i="8"/>
  <c r="D47" i="9"/>
  <c r="L29" i="8"/>
  <c r="I29" i="9"/>
  <c r="K86" i="8"/>
  <c r="H86" i="9"/>
  <c r="M51" i="8"/>
  <c r="J51" i="9"/>
  <c r="L71" i="8"/>
  <c r="I71" i="9"/>
  <c r="K64" i="8"/>
  <c r="H64" i="9"/>
  <c r="L26" i="8"/>
  <c r="I26" i="9"/>
  <c r="H87" i="8"/>
  <c r="E87" i="9"/>
  <c r="H65" i="8"/>
  <c r="E65" i="9"/>
  <c r="H20" i="8"/>
  <c r="E20" i="9"/>
  <c r="K13" i="8"/>
  <c r="H13" i="9"/>
  <c r="M82" i="8"/>
  <c r="J82" i="9"/>
  <c r="N6" i="8"/>
  <c r="K6" i="9"/>
  <c r="I21" i="8"/>
  <c r="F21" i="9"/>
  <c r="H11" i="8"/>
  <c r="E11" i="9"/>
  <c r="O4" i="8"/>
  <c r="L4" i="9"/>
  <c r="N34" i="8"/>
  <c r="K34" i="9"/>
  <c r="J30" i="8"/>
  <c r="G30" i="9"/>
  <c r="P28" i="8"/>
  <c r="M28" i="9"/>
  <c r="I39" i="8"/>
  <c r="F39" i="9"/>
  <c r="L72" i="8"/>
  <c r="I72" i="9"/>
  <c r="J118" i="9"/>
  <c r="L37" i="8"/>
  <c r="I37" i="9"/>
  <c r="L45" i="8"/>
  <c r="I45" i="9"/>
  <c r="N14" i="8"/>
  <c r="K14" i="9"/>
  <c r="P61" i="8"/>
  <c r="M61" i="9"/>
  <c r="J22" i="8"/>
  <c r="G22" i="9"/>
  <c r="F19" i="8"/>
  <c r="C19" i="9"/>
  <c r="K16" i="8"/>
  <c r="H16" i="9"/>
  <c r="N53" i="8"/>
  <c r="K53" i="9"/>
  <c r="L40" i="8"/>
  <c r="I40" i="9"/>
  <c r="L50" i="8"/>
  <c r="I50" i="9"/>
  <c r="P43" i="8"/>
  <c r="M43" i="9"/>
  <c r="M76" i="8"/>
  <c r="J76" i="9"/>
  <c r="N56" i="8"/>
  <c r="K56" i="9"/>
  <c r="F47" i="8"/>
  <c r="C47" i="9"/>
  <c r="K29" i="8"/>
  <c r="H29" i="9"/>
  <c r="J86" i="8"/>
  <c r="G86" i="9"/>
  <c r="H51" i="8"/>
  <c r="E51" i="9"/>
  <c r="G71" i="8"/>
  <c r="D71" i="9"/>
  <c r="P64" i="8"/>
  <c r="M64" i="9"/>
  <c r="F26" i="8"/>
  <c r="C26" i="9"/>
  <c r="F87" i="8"/>
  <c r="C87" i="9"/>
  <c r="P65" i="8"/>
  <c r="M65" i="9"/>
  <c r="I20" i="8"/>
  <c r="F20" i="9"/>
  <c r="L82" i="8"/>
  <c r="I82" i="9"/>
  <c r="G21" i="8"/>
  <c r="D21" i="9"/>
  <c r="L2" i="8"/>
  <c r="I2" i="9"/>
  <c r="G30" i="8"/>
  <c r="D30" i="9"/>
  <c r="K73" i="8"/>
  <c r="H73" i="9"/>
  <c r="M14" i="8"/>
  <c r="J14" i="9"/>
  <c r="F16" i="8"/>
  <c r="C16" i="9"/>
  <c r="O53" i="8"/>
  <c r="L53" i="9"/>
  <c r="J40" i="8"/>
  <c r="G40" i="9"/>
  <c r="N50" i="8"/>
  <c r="K50" i="9"/>
  <c r="O43" i="8"/>
  <c r="L43" i="9"/>
  <c r="L76" i="8"/>
  <c r="I76" i="9"/>
  <c r="O56" i="8"/>
  <c r="L56" i="9"/>
  <c r="J29" i="8"/>
  <c r="G29" i="9"/>
  <c r="O51" i="8"/>
  <c r="L51" i="9"/>
  <c r="P71" i="8"/>
  <c r="M71" i="9"/>
  <c r="N64" i="8"/>
  <c r="K64" i="9"/>
  <c r="M26" i="8"/>
  <c r="J26" i="9"/>
  <c r="I87" i="8"/>
  <c r="F87" i="9"/>
  <c r="M65" i="8"/>
  <c r="J65" i="9"/>
  <c r="P20" i="8"/>
  <c r="M20" i="9"/>
  <c r="L13" i="8"/>
  <c r="I13" i="9"/>
  <c r="G82" i="8"/>
  <c r="D82" i="9"/>
  <c r="N49" i="8"/>
  <c r="K49" i="9"/>
  <c r="N2" i="8"/>
  <c r="K2" i="9"/>
  <c r="J39" i="8"/>
  <c r="G39" i="9"/>
  <c r="J55" i="8"/>
  <c r="G55" i="9"/>
  <c r="K48" i="8"/>
  <c r="H48" i="9"/>
  <c r="F118" i="9"/>
  <c r="P37" i="8"/>
  <c r="M37" i="9"/>
  <c r="K45" i="8"/>
  <c r="H45" i="9"/>
  <c r="H73" i="8"/>
  <c r="E73" i="9"/>
  <c r="K14" i="8"/>
  <c r="H14" i="9"/>
  <c r="G19" i="8"/>
  <c r="D19" i="9"/>
  <c r="P16" i="8"/>
  <c r="M16" i="9"/>
  <c r="K53" i="8"/>
  <c r="H53" i="9"/>
  <c r="K40" i="8"/>
  <c r="H40" i="9"/>
  <c r="K50" i="8"/>
  <c r="H50" i="9"/>
  <c r="N43" i="8"/>
  <c r="K43" i="9"/>
  <c r="M56" i="8"/>
  <c r="J56" i="9"/>
  <c r="N29" i="8"/>
  <c r="K29" i="9"/>
  <c r="P3" i="8"/>
  <c r="M3" i="9"/>
  <c r="L51" i="8"/>
  <c r="I51" i="9"/>
  <c r="H71" i="8"/>
  <c r="E71" i="9"/>
  <c r="F64" i="8"/>
  <c r="C64" i="9"/>
  <c r="G87" i="8"/>
  <c r="D87" i="9"/>
  <c r="K65" i="8"/>
  <c r="H65" i="9"/>
  <c r="L24" i="8"/>
  <c r="I24" i="9"/>
  <c r="G20" i="8"/>
  <c r="D20" i="9"/>
  <c r="I49" i="8"/>
  <c r="F49" i="9"/>
  <c r="F21" i="8"/>
  <c r="C21" i="9"/>
  <c r="M2" i="8"/>
  <c r="J2" i="9"/>
  <c r="N15" i="8"/>
  <c r="K15" i="9"/>
  <c r="I154" i="9"/>
  <c r="K11" i="8"/>
  <c r="H11" i="9"/>
  <c r="H84" i="8"/>
  <c r="E84" i="9"/>
  <c r="M53" i="8"/>
  <c r="J53" i="9"/>
  <c r="G50" i="8"/>
  <c r="D50" i="9"/>
  <c r="I29" i="8"/>
  <c r="F29" i="9"/>
  <c r="O3" i="8"/>
  <c r="L3" i="9"/>
  <c r="G51" i="8"/>
  <c r="D51" i="9"/>
  <c r="H9" i="8"/>
  <c r="E9" i="9"/>
  <c r="J26" i="8"/>
  <c r="G26" i="9"/>
  <c r="G65" i="8"/>
  <c r="D65" i="9"/>
  <c r="J24" i="8"/>
  <c r="G24" i="9"/>
  <c r="F20" i="8"/>
  <c r="C20" i="9"/>
  <c r="F82" i="8"/>
  <c r="C82" i="9"/>
  <c r="J49" i="8"/>
  <c r="G49" i="9"/>
  <c r="N21" i="8"/>
  <c r="K21" i="9"/>
  <c r="G2" i="8"/>
  <c r="D2" i="9"/>
  <c r="J74" i="8"/>
  <c r="G74" i="9"/>
  <c r="M4" i="8"/>
  <c r="J4" i="9"/>
  <c r="F37" i="8"/>
  <c r="C37" i="9"/>
  <c r="F28" i="8"/>
  <c r="C28" i="9"/>
  <c r="G28" i="8"/>
  <c r="D28" i="9"/>
  <c r="D118" i="9"/>
  <c r="J73" i="8"/>
  <c r="G73" i="9"/>
  <c r="G14" i="8"/>
  <c r="D14" i="9"/>
  <c r="J7" i="8"/>
  <c r="G7" i="9"/>
  <c r="O19" i="8"/>
  <c r="L19" i="9"/>
  <c r="O16" i="8"/>
  <c r="L16" i="9"/>
  <c r="I40" i="8"/>
  <c r="F40" i="9"/>
  <c r="M43" i="8"/>
  <c r="J43" i="9"/>
  <c r="L56" i="8"/>
  <c r="I56" i="9"/>
  <c r="L4" i="8"/>
  <c r="I4" i="9"/>
  <c r="P30" i="8"/>
  <c r="M30" i="9"/>
  <c r="O11" i="8"/>
  <c r="L11" i="9"/>
  <c r="H39" i="8"/>
  <c r="E39" i="9"/>
  <c r="M55" i="8"/>
  <c r="J55" i="9"/>
  <c r="O48" i="8"/>
  <c r="L48" i="9"/>
  <c r="C118" i="9"/>
  <c r="G84" i="8"/>
  <c r="D84" i="9"/>
  <c r="I73" i="8"/>
  <c r="F73" i="9"/>
  <c r="H14" i="8"/>
  <c r="E14" i="9"/>
  <c r="P58" i="8"/>
  <c r="M58" i="9"/>
  <c r="H7" i="8"/>
  <c r="E7" i="9"/>
  <c r="N19" i="8"/>
  <c r="K19" i="9"/>
  <c r="N16" i="8"/>
  <c r="K16" i="9"/>
  <c r="I53" i="8"/>
  <c r="F53" i="9"/>
  <c r="F40" i="8"/>
  <c r="C40" i="9"/>
  <c r="F50" i="8"/>
  <c r="C50" i="9"/>
  <c r="K56" i="8"/>
  <c r="H56" i="9"/>
  <c r="G29" i="8"/>
  <c r="D29" i="9"/>
  <c r="N3" i="8"/>
  <c r="K3" i="9"/>
  <c r="J71" i="8"/>
  <c r="G71" i="9"/>
  <c r="G9" i="8"/>
  <c r="D9" i="9"/>
  <c r="G64" i="8"/>
  <c r="D64" i="9"/>
  <c r="I26" i="8"/>
  <c r="F26" i="9"/>
  <c r="M87" i="8"/>
  <c r="J87" i="9"/>
  <c r="K38" i="8"/>
  <c r="H38" i="9"/>
  <c r="J82" i="8"/>
  <c r="G82" i="9"/>
  <c r="G49" i="8"/>
  <c r="D49" i="9"/>
  <c r="K67" i="8"/>
  <c r="H67" i="9"/>
  <c r="M21" i="8"/>
  <c r="J21" i="9"/>
  <c r="O2" i="8"/>
  <c r="L2" i="9"/>
  <c r="G55" i="8"/>
  <c r="D55" i="9"/>
  <c r="K28" i="8"/>
  <c r="H28" i="9"/>
  <c r="F45" i="8"/>
  <c r="C45" i="9"/>
  <c r="K4" i="8"/>
  <c r="H4" i="9"/>
  <c r="H4" i="8"/>
  <c r="E4" i="9"/>
  <c r="O30" i="8"/>
  <c r="L30" i="9"/>
  <c r="L11" i="8"/>
  <c r="I11" i="9"/>
  <c r="O39" i="8"/>
  <c r="L39" i="9"/>
  <c r="L55" i="8"/>
  <c r="I55" i="9"/>
  <c r="L48" i="8"/>
  <c r="I48" i="9"/>
  <c r="J84" i="8"/>
  <c r="G84" i="9"/>
  <c r="J37" i="8"/>
  <c r="G37" i="9"/>
  <c r="O73" i="8"/>
  <c r="L73" i="9"/>
  <c r="F14" i="8"/>
  <c r="C14" i="9"/>
  <c r="O58" i="8"/>
  <c r="L58" i="9"/>
  <c r="G7" i="8"/>
  <c r="D7" i="9"/>
  <c r="P19" i="8"/>
  <c r="M19" i="9"/>
  <c r="H53" i="8"/>
  <c r="E53" i="9"/>
  <c r="J50" i="8"/>
  <c r="G50" i="9"/>
  <c r="P5" i="8"/>
  <c r="M5" i="9"/>
  <c r="H56" i="8"/>
  <c r="E56" i="9"/>
  <c r="P36" i="8"/>
  <c r="M36" i="9"/>
  <c r="F29" i="8"/>
  <c r="C29" i="9"/>
  <c r="J3" i="8"/>
  <c r="G3" i="9"/>
  <c r="K71" i="8"/>
  <c r="H71" i="9"/>
  <c r="F9" i="8"/>
  <c r="C9" i="9"/>
  <c r="J64" i="8"/>
  <c r="G64" i="9"/>
  <c r="L87" i="8"/>
  <c r="I87" i="9"/>
  <c r="K69" i="8"/>
  <c r="H69" i="9"/>
  <c r="M24" i="8"/>
  <c r="J24" i="9"/>
  <c r="I38" i="8"/>
  <c r="F38" i="9"/>
  <c r="K82" i="8"/>
  <c r="H82" i="9"/>
  <c r="H49" i="8"/>
  <c r="E49" i="9"/>
  <c r="O67" i="8"/>
  <c r="L67" i="9"/>
  <c r="P21" i="8"/>
  <c r="M21" i="9"/>
  <c r="P2" i="8"/>
  <c r="M2" i="9"/>
  <c r="F30" i="8"/>
  <c r="C30" i="9"/>
  <c r="J48" i="8"/>
  <c r="G48" i="9"/>
  <c r="N4" i="8"/>
  <c r="K4" i="9"/>
  <c r="E154" i="9"/>
  <c r="N30" i="8"/>
  <c r="K30" i="9"/>
  <c r="J11" i="8"/>
  <c r="G11" i="9"/>
  <c r="N39" i="8"/>
  <c r="K39" i="9"/>
  <c r="F55" i="8"/>
  <c r="C55" i="9"/>
  <c r="I48" i="8"/>
  <c r="F48" i="9"/>
  <c r="L118" i="9"/>
  <c r="I84" i="8"/>
  <c r="F84" i="9"/>
  <c r="I37" i="8"/>
  <c r="F37" i="9"/>
  <c r="P73" i="8"/>
  <c r="M73" i="9"/>
  <c r="M58" i="8"/>
  <c r="J58" i="9"/>
  <c r="F7" i="8"/>
  <c r="C7" i="9"/>
  <c r="J19" i="8"/>
  <c r="G19" i="9"/>
  <c r="F53" i="8"/>
  <c r="C53" i="9"/>
  <c r="L153" i="9"/>
  <c r="I50" i="8"/>
  <c r="F50" i="9"/>
  <c r="K5" i="8"/>
  <c r="H5" i="9"/>
  <c r="P56" i="8"/>
  <c r="M56" i="9"/>
  <c r="O36" i="8"/>
  <c r="L36" i="9"/>
  <c r="P29" i="8"/>
  <c r="M29" i="9"/>
  <c r="I3" i="8"/>
  <c r="F3" i="9"/>
  <c r="I71" i="8"/>
  <c r="F71" i="9"/>
  <c r="I64" i="8"/>
  <c r="F64" i="9"/>
  <c r="F41" i="8"/>
  <c r="C41" i="9"/>
  <c r="K87" i="8"/>
  <c r="H87" i="9"/>
  <c r="J69" i="8"/>
  <c r="G69" i="9"/>
  <c r="N24" i="8"/>
  <c r="K24" i="9"/>
  <c r="L38" i="8"/>
  <c r="I38" i="9"/>
  <c r="I82" i="8"/>
  <c r="F82" i="9"/>
  <c r="F49" i="8"/>
  <c r="C49" i="9"/>
  <c r="M67" i="8"/>
  <c r="J67" i="9"/>
  <c r="O21" i="8"/>
  <c r="L21" i="9"/>
  <c r="H2" i="8"/>
  <c r="E2" i="9"/>
  <c r="I57" i="8"/>
  <c r="F57" i="9"/>
  <c r="H83" i="8"/>
  <c r="E83" i="9"/>
  <c r="E118" i="9"/>
  <c r="O61" i="8"/>
  <c r="L61" i="9"/>
  <c r="K39" i="8"/>
  <c r="H39" i="9"/>
  <c r="N37" i="8"/>
  <c r="K37" i="9"/>
  <c r="J4" i="8"/>
  <c r="G4" i="9"/>
  <c r="P11" i="8"/>
  <c r="M11" i="9"/>
  <c r="M39" i="8"/>
  <c r="J39" i="9"/>
  <c r="P55" i="8"/>
  <c r="M55" i="9"/>
  <c r="O74" i="8"/>
  <c r="L74" i="9"/>
  <c r="H48" i="8"/>
  <c r="E48" i="9"/>
  <c r="K118" i="9"/>
  <c r="O84" i="8"/>
  <c r="L84" i="9"/>
  <c r="H37" i="8"/>
  <c r="E37" i="9"/>
  <c r="N73" i="8"/>
  <c r="K73" i="9"/>
  <c r="L58" i="8"/>
  <c r="I58" i="9"/>
  <c r="K7" i="8"/>
  <c r="H7" i="9"/>
  <c r="I19" i="8"/>
  <c r="F19" i="9"/>
  <c r="H153" i="9"/>
  <c r="H50" i="8"/>
  <c r="E50" i="9"/>
  <c r="J5" i="8"/>
  <c r="G5" i="9"/>
  <c r="L36" i="8"/>
  <c r="I36" i="9"/>
  <c r="O29" i="8"/>
  <c r="L29" i="9"/>
  <c r="M3" i="8"/>
  <c r="J3" i="9"/>
  <c r="O71" i="8"/>
  <c r="L71" i="9"/>
  <c r="O9" i="8"/>
  <c r="L9" i="9"/>
  <c r="H64" i="8"/>
  <c r="E64" i="9"/>
  <c r="N41" i="8"/>
  <c r="K41" i="9"/>
  <c r="J87" i="8"/>
  <c r="G87" i="9"/>
  <c r="L69" i="8"/>
  <c r="I69" i="9"/>
  <c r="H24" i="8"/>
  <c r="E24" i="9"/>
  <c r="J38" i="8"/>
  <c r="G38" i="9"/>
  <c r="N67" i="8"/>
  <c r="K67" i="9"/>
  <c r="L21" i="8"/>
  <c r="I21" i="9"/>
  <c r="P48" i="8"/>
  <c r="M48" i="9"/>
  <c r="I4" i="8"/>
  <c r="F4" i="9"/>
  <c r="O55" i="8"/>
  <c r="L55" i="9"/>
  <c r="G4" i="8"/>
  <c r="D4" i="9"/>
  <c r="D154" i="9"/>
  <c r="M11" i="8"/>
  <c r="J11" i="9"/>
  <c r="N55" i="8"/>
  <c r="K55" i="9"/>
  <c r="P74" i="8"/>
  <c r="M74" i="9"/>
  <c r="N48" i="8"/>
  <c r="K48" i="9"/>
  <c r="I118" i="9"/>
  <c r="N84" i="8"/>
  <c r="K84" i="9"/>
  <c r="G37" i="8"/>
  <c r="D37" i="9"/>
  <c r="M73" i="8"/>
  <c r="J73" i="9"/>
  <c r="N58" i="8"/>
  <c r="K58" i="9"/>
  <c r="I7" i="8"/>
  <c r="F7" i="9"/>
  <c r="L35" i="8"/>
  <c r="I35" i="9"/>
  <c r="H19" i="8"/>
  <c r="E19" i="9"/>
  <c r="J53" i="8"/>
  <c r="G53" i="9"/>
  <c r="J153" i="9"/>
  <c r="G32" i="8"/>
  <c r="D32" i="9"/>
  <c r="N36" i="8"/>
  <c r="K36" i="9"/>
  <c r="H3" i="8"/>
  <c r="E3" i="9"/>
  <c r="N71" i="8"/>
  <c r="K71" i="9"/>
  <c r="N9" i="8"/>
  <c r="K9" i="9"/>
  <c r="G41" i="8"/>
  <c r="D41" i="9"/>
  <c r="P87" i="8"/>
  <c r="M87" i="9"/>
  <c r="F69" i="8"/>
  <c r="C69" i="9"/>
  <c r="O24" i="8"/>
  <c r="L24" i="9"/>
  <c r="H38" i="8"/>
  <c r="E38" i="9"/>
  <c r="P49" i="8"/>
  <c r="M49" i="9"/>
  <c r="L67" i="8"/>
  <c r="I67" i="9"/>
  <c r="K21" i="8"/>
  <c r="H21" i="9"/>
  <c r="E29" i="8"/>
  <c r="B29" i="9"/>
  <c r="E56" i="8"/>
  <c r="B56" i="9"/>
  <c r="E62" i="8"/>
  <c r="B62" i="9"/>
  <c r="E49" i="8"/>
  <c r="B49" i="9"/>
  <c r="E43" i="8"/>
  <c r="B43" i="9"/>
  <c r="E61" i="8"/>
  <c r="B61" i="9"/>
  <c r="E69" i="8"/>
  <c r="B69" i="9"/>
  <c r="E73" i="8"/>
  <c r="B73" i="9"/>
  <c r="E67" i="8"/>
  <c r="B67" i="9"/>
  <c r="E13" i="8"/>
  <c r="B13" i="9"/>
  <c r="E39" i="8"/>
  <c r="B39" i="9"/>
  <c r="E47" i="8"/>
  <c r="B47" i="9"/>
  <c r="E26" i="8"/>
  <c r="B26" i="9"/>
  <c r="E64" i="8"/>
  <c r="B64" i="9"/>
  <c r="E37" i="8"/>
  <c r="B37" i="9"/>
  <c r="E20" i="8"/>
  <c r="B20" i="9"/>
  <c r="E38" i="8"/>
  <c r="B38" i="9"/>
  <c r="E32" i="8"/>
  <c r="B32" i="9"/>
  <c r="E36" i="8"/>
  <c r="B36" i="9"/>
  <c r="E3" i="8"/>
  <c r="B3" i="9"/>
  <c r="E84" i="8"/>
  <c r="B84" i="9"/>
  <c r="E60" i="8"/>
  <c r="B60" i="9"/>
  <c r="E63" i="8"/>
  <c r="B63" i="9"/>
  <c r="E58" i="8"/>
  <c r="B58" i="9"/>
  <c r="E35" i="8"/>
  <c r="B35" i="9"/>
  <c r="E8" i="8"/>
  <c r="B8" i="9"/>
  <c r="E10" i="8"/>
  <c r="B10" i="9"/>
  <c r="E44" i="8"/>
  <c r="B44" i="9"/>
  <c r="E4" i="8"/>
  <c r="B4" i="9"/>
  <c r="E11" i="8"/>
  <c r="B11" i="9"/>
  <c r="E46" i="8"/>
  <c r="B46" i="9"/>
  <c r="E87" i="8"/>
  <c r="B87" i="9"/>
  <c r="E74" i="8"/>
  <c r="B74" i="9"/>
  <c r="E42" i="8"/>
  <c r="B42" i="9"/>
  <c r="E68" i="8"/>
  <c r="B68" i="9"/>
  <c r="E12" i="8"/>
  <c r="B12" i="9"/>
  <c r="E23" i="8"/>
  <c r="B23" i="9"/>
  <c r="E81" i="8"/>
  <c r="B81" i="9"/>
  <c r="E83" i="8"/>
  <c r="B83" i="9"/>
  <c r="E75" i="8"/>
  <c r="B75" i="9"/>
  <c r="E78" i="8"/>
  <c r="B78" i="9"/>
  <c r="E59" i="8"/>
  <c r="B59" i="9"/>
  <c r="E21" i="8"/>
  <c r="B21" i="9"/>
  <c r="E17" i="8"/>
  <c r="B17" i="9"/>
  <c r="E85" i="8"/>
  <c r="B85" i="9"/>
  <c r="E77" i="8"/>
  <c r="B77" i="9"/>
  <c r="E54" i="8"/>
  <c r="B54" i="9"/>
  <c r="E28" i="8"/>
  <c r="B28" i="9"/>
  <c r="E33" i="8"/>
  <c r="B33" i="9"/>
  <c r="E57" i="8"/>
  <c r="B57" i="9"/>
  <c r="E6" i="8"/>
  <c r="B6" i="9"/>
  <c r="E27" i="8"/>
  <c r="B27" i="9"/>
  <c r="E71" i="8"/>
  <c r="B71" i="9"/>
  <c r="E79" i="8"/>
  <c r="B79" i="9"/>
  <c r="B118" i="9"/>
  <c r="E19" i="8"/>
  <c r="B19" i="9"/>
  <c r="E9" i="8"/>
  <c r="B9" i="9"/>
  <c r="B154" i="9"/>
  <c r="E7" i="8"/>
  <c r="B7" i="9"/>
  <c r="B153" i="9"/>
  <c r="E15" i="8"/>
  <c r="B15" i="9"/>
  <c r="E45" i="8"/>
  <c r="B45" i="9"/>
  <c r="E76" i="8"/>
  <c r="B76" i="9"/>
  <c r="E40" i="8"/>
  <c r="B40" i="9"/>
  <c r="E24" i="8"/>
  <c r="B24" i="9"/>
  <c r="E50" i="8"/>
  <c r="B50" i="9"/>
  <c r="E41" i="8"/>
  <c r="B41" i="9"/>
  <c r="E55" i="8"/>
  <c r="B55" i="9"/>
  <c r="E80" i="8"/>
  <c r="B80" i="9"/>
  <c r="E48" i="8"/>
  <c r="B48" i="9"/>
  <c r="E82" i="8"/>
  <c r="B82" i="9"/>
  <c r="E30" i="8"/>
  <c r="B30" i="9"/>
  <c r="E14" i="8"/>
  <c r="B14" i="9"/>
  <c r="E53" i="8"/>
  <c r="B53" i="9"/>
  <c r="E5" i="8"/>
  <c r="B5" i="9"/>
  <c r="E34" i="8"/>
  <c r="B34" i="9"/>
  <c r="E52" i="8"/>
  <c r="B52" i="9"/>
  <c r="E22" i="8"/>
  <c r="B22" i="9"/>
  <c r="E25" i="8"/>
  <c r="B25" i="9"/>
  <c r="E31" i="8"/>
  <c r="B31" i="9"/>
  <c r="E16" i="8"/>
  <c r="B16" i="9"/>
  <c r="E65" i="8"/>
  <c r="B65" i="9"/>
  <c r="E18" i="8"/>
  <c r="B18" i="9"/>
  <c r="E66" i="8"/>
  <c r="B66" i="9"/>
  <c r="E86" i="8"/>
  <c r="B86" i="9"/>
  <c r="E51" i="8"/>
  <c r="B51" i="9"/>
  <c r="E72" i="8"/>
  <c r="B72" i="9"/>
  <c r="E70" i="8"/>
  <c r="B70" i="9"/>
  <c r="B38" i="8" l="1"/>
  <c r="C38" i="8" s="1"/>
  <c r="B2" i="8"/>
  <c r="C2" i="8" s="1"/>
  <c r="B39" i="8"/>
  <c r="C39" i="8" s="1"/>
  <c r="B127" i="8"/>
  <c r="C127" i="8" s="1"/>
  <c r="B17" i="8"/>
  <c r="C17" i="8" s="1"/>
  <c r="B35" i="8"/>
  <c r="C35" i="8" s="1"/>
  <c r="J8" i="1"/>
  <c r="B109" i="8" l="1"/>
  <c r="C109" i="8" s="1"/>
  <c r="B143" i="8"/>
  <c r="C143" i="8" s="1"/>
  <c r="J12" i="1"/>
  <c r="B75" i="8"/>
  <c r="C75" i="8" s="1"/>
  <c r="B63" i="8"/>
  <c r="C63" i="8" s="1"/>
  <c r="B59" i="8"/>
  <c r="C59" i="8" s="1"/>
  <c r="B62" i="8"/>
  <c r="C62" i="8" s="1"/>
  <c r="B51" i="8"/>
  <c r="C51" i="8" s="1"/>
  <c r="B139" i="8"/>
  <c r="C139" i="8" s="1"/>
  <c r="B73" i="8"/>
  <c r="C73" i="8" s="1"/>
  <c r="B96" i="8"/>
  <c r="C96" i="8" s="1"/>
  <c r="G9" i="1"/>
  <c r="B72" i="8"/>
  <c r="C72" i="8" s="1"/>
  <c r="B124" i="8"/>
  <c r="C124" i="8" s="1"/>
  <c r="J7" i="1"/>
  <c r="B94" i="8"/>
  <c r="C94" i="8" s="1"/>
  <c r="B20" i="8"/>
  <c r="C20" i="8" s="1"/>
  <c r="B37" i="8"/>
  <c r="C37" i="8" s="1"/>
  <c r="B28" i="8"/>
  <c r="C28" i="8" s="1"/>
  <c r="B100" i="8"/>
  <c r="C100" i="8" s="1"/>
  <c r="G6" i="1"/>
  <c r="B82" i="8"/>
  <c r="C82" i="8" s="1"/>
  <c r="B49" i="8"/>
  <c r="C49" i="8" s="1"/>
  <c r="B36" i="8"/>
  <c r="C36" i="8" s="1"/>
  <c r="B104" i="8"/>
  <c r="C104" i="8" s="1"/>
  <c r="B122" i="8"/>
  <c r="C122" i="8" s="1"/>
  <c r="G14" i="1"/>
  <c r="B6" i="8"/>
  <c r="C6" i="8" s="1"/>
  <c r="B110" i="8"/>
  <c r="C110" i="8" s="1"/>
  <c r="B43" i="8"/>
  <c r="C43" i="8" s="1"/>
  <c r="B26" i="8"/>
  <c r="C26" i="8" s="1"/>
  <c r="B107" i="8"/>
  <c r="C107" i="8" s="1"/>
  <c r="B105" i="8"/>
  <c r="C105" i="8" s="1"/>
  <c r="B58" i="8"/>
  <c r="C58" i="8" s="1"/>
  <c r="B147" i="8"/>
  <c r="C147" i="8" s="1"/>
  <c r="G16" i="1"/>
  <c r="B56" i="8"/>
  <c r="C56" i="8" s="1"/>
  <c r="B138" i="8"/>
  <c r="C138" i="8" s="1"/>
  <c r="B44" i="8"/>
  <c r="C44" i="8" s="1"/>
  <c r="B101" i="8"/>
  <c r="C101" i="8" s="1"/>
  <c r="B83" i="8"/>
  <c r="C83" i="8" s="1"/>
  <c r="J6" i="1"/>
  <c r="B106" i="8"/>
  <c r="C106" i="8" s="1"/>
  <c r="B146" i="8"/>
  <c r="C146" i="8" s="1"/>
  <c r="B133" i="8"/>
  <c r="C133" i="8" s="1"/>
  <c r="B42" i="8"/>
  <c r="C42" i="8" s="1"/>
  <c r="B32" i="8"/>
  <c r="C32" i="8" s="1"/>
  <c r="B131" i="8"/>
  <c r="C131" i="8" s="1"/>
  <c r="B140" i="8"/>
  <c r="C140" i="8" s="1"/>
  <c r="B65" i="8"/>
  <c r="C65" i="8" s="1"/>
  <c r="B80" i="8"/>
  <c r="C80" i="8" s="1"/>
  <c r="B95" i="8"/>
  <c r="C95" i="8" s="1"/>
  <c r="B132" i="8"/>
  <c r="C132" i="8" s="1"/>
  <c r="B16" i="8"/>
  <c r="C16" i="8" s="1"/>
  <c r="B92" i="8"/>
  <c r="C92" i="8" s="1"/>
  <c r="B31" i="8"/>
  <c r="C31" i="8" s="1"/>
  <c r="B117" i="8"/>
  <c r="C117" i="8" s="1"/>
  <c r="B64" i="8"/>
  <c r="C64" i="8" s="1"/>
  <c r="B69" i="8"/>
  <c r="C69" i="8" s="1"/>
  <c r="B74" i="8"/>
  <c r="C74" i="8" s="1"/>
  <c r="B123" i="8"/>
  <c r="C123" i="8" s="1"/>
  <c r="B98" i="8"/>
  <c r="C98" i="8" s="1"/>
  <c r="B15" i="8"/>
  <c r="C15" i="8" s="1"/>
  <c r="B55" i="8"/>
  <c r="C55" i="8" s="1"/>
  <c r="B68" i="8"/>
  <c r="C68" i="8" s="1"/>
  <c r="B102" i="8"/>
  <c r="C102" i="8" s="1"/>
  <c r="B79" i="8"/>
  <c r="C79" i="8" s="1"/>
  <c r="B45" i="8"/>
  <c r="C45" i="8" s="1"/>
  <c r="B54" i="8"/>
  <c r="C54" i="8" s="1"/>
  <c r="B137" i="8"/>
  <c r="C137" i="8" s="1"/>
  <c r="B52" i="8"/>
  <c r="C52" i="8" s="1"/>
  <c r="B84" i="8"/>
  <c r="C84" i="8" s="1"/>
  <c r="B46" i="8"/>
  <c r="C46" i="8" s="1"/>
  <c r="B78" i="8"/>
  <c r="C78" i="8" s="1"/>
  <c r="B41" i="8"/>
  <c r="C41" i="8" s="1"/>
  <c r="B24" i="8"/>
  <c r="C24" i="8" s="1"/>
  <c r="B13" i="8"/>
  <c r="C13" i="8" s="1"/>
  <c r="B113" i="8"/>
  <c r="C113" i="8" s="1"/>
  <c r="G7" i="1"/>
  <c r="B112" i="8"/>
  <c r="C112" i="8" s="1"/>
  <c r="B89" i="8"/>
  <c r="C89" i="8" s="1"/>
  <c r="B29" i="8"/>
  <c r="C29" i="8" s="1"/>
  <c r="B116" i="8"/>
  <c r="C116" i="8" s="1"/>
  <c r="B10" i="8"/>
  <c r="C10" i="8" s="1"/>
  <c r="B135" i="8"/>
  <c r="C135" i="8" s="1"/>
  <c r="B11" i="8"/>
  <c r="C11" i="8" s="1"/>
  <c r="B71" i="8"/>
  <c r="C71" i="8" s="1"/>
  <c r="B130" i="8"/>
  <c r="C130" i="8" s="1"/>
  <c r="B3" i="8"/>
  <c r="C3" i="8" s="1"/>
  <c r="B47" i="8"/>
  <c r="C47" i="8" s="1"/>
  <c r="B50" i="8"/>
  <c r="C50" i="8" s="1"/>
  <c r="B148" i="8"/>
  <c r="C148" i="8" s="1"/>
  <c r="B9" i="8"/>
  <c r="C9" i="8" s="1"/>
  <c r="B85" i="8"/>
  <c r="C85" i="8" s="1"/>
  <c r="B18" i="8"/>
  <c r="C18" i="8" s="1"/>
  <c r="B103" i="8"/>
  <c r="C103" i="8" s="1"/>
  <c r="B144" i="8"/>
  <c r="C144" i="8" s="1"/>
  <c r="B4" i="8"/>
  <c r="C4" i="8" s="1"/>
  <c r="B76" i="8"/>
  <c r="C76" i="8" s="1"/>
  <c r="B66" i="8"/>
  <c r="C66" i="8" s="1"/>
  <c r="J11" i="1"/>
  <c r="B81" i="8"/>
  <c r="C81" i="8" s="1"/>
  <c r="B119" i="8"/>
  <c r="C119" i="8" s="1"/>
  <c r="B87" i="8"/>
  <c r="C87" i="8" s="1"/>
  <c r="B67" i="8"/>
  <c r="C67" i="8" s="1"/>
  <c r="B34" i="8"/>
  <c r="C34" i="8" s="1"/>
  <c r="B152" i="8"/>
  <c r="C152" i="8" s="1"/>
  <c r="B5" i="8"/>
  <c r="C5" i="8" s="1"/>
  <c r="B121" i="8"/>
  <c r="C121" i="8" s="1"/>
  <c r="B91" i="8"/>
  <c r="C91" i="8" s="1"/>
  <c r="J4" i="1"/>
  <c r="B14" i="8"/>
  <c r="C14" i="8" s="1"/>
  <c r="G12" i="1"/>
  <c r="B108" i="8"/>
  <c r="C108" i="8" s="1"/>
  <c r="B93" i="8"/>
  <c r="C93" i="8" s="1"/>
  <c r="B48" i="8"/>
  <c r="C48" i="8" s="1"/>
  <c r="B27" i="8"/>
  <c r="C27" i="8" s="1"/>
  <c r="B8" i="8"/>
  <c r="C8" i="8" s="1"/>
  <c r="B30" i="8"/>
  <c r="C30" i="8" s="1"/>
  <c r="B142" i="8"/>
  <c r="C142" i="8" s="1"/>
  <c r="B97" i="8"/>
  <c r="C97" i="8" s="1"/>
  <c r="B77" i="8"/>
  <c r="C77" i="8" s="1"/>
  <c r="G11" i="1"/>
  <c r="J10" i="1"/>
  <c r="B23" i="8"/>
  <c r="C23" i="8" s="1"/>
  <c r="B25" i="8"/>
  <c r="C25" i="8" s="1"/>
  <c r="B111" i="8"/>
  <c r="C111" i="8" s="1"/>
  <c r="B86" i="8"/>
  <c r="C86" i="8" s="1"/>
  <c r="G5" i="1"/>
  <c r="B19" i="8"/>
  <c r="C19" i="8" s="1"/>
  <c r="B33" i="8"/>
  <c r="C33" i="8" s="1"/>
  <c r="B118" i="8"/>
  <c r="C118" i="8" s="1"/>
  <c r="B126" i="8"/>
  <c r="C126" i="8" s="1"/>
  <c r="G8" i="1"/>
  <c r="B128" i="8"/>
  <c r="C128" i="8" s="1"/>
  <c r="B125" i="8"/>
  <c r="C125" i="8" s="1"/>
  <c r="B115" i="8"/>
  <c r="C115" i="8" s="1"/>
  <c r="B151" i="8"/>
  <c r="C151" i="8" s="1"/>
  <c r="J3" i="1"/>
  <c r="B88" i="8"/>
  <c r="C88" i="8" s="1"/>
  <c r="B70" i="8"/>
  <c r="C70" i="8" s="1"/>
  <c r="B22" i="8"/>
  <c r="C22" i="8" s="1"/>
  <c r="B134" i="8"/>
  <c r="C134" i="8" s="1"/>
  <c r="B57" i="8"/>
  <c r="C57" i="8" s="1"/>
  <c r="J5" i="1"/>
  <c r="B7" i="8"/>
  <c r="C7" i="8" s="1"/>
  <c r="B99" i="8"/>
  <c r="C99" i="8" s="1"/>
  <c r="B40" i="8"/>
  <c r="C40" i="8" s="1"/>
  <c r="G13" i="1"/>
  <c r="B150" i="8"/>
  <c r="C150" i="8" s="1"/>
  <c r="B136" i="8"/>
  <c r="C136" i="8" s="1"/>
  <c r="B60" i="8"/>
  <c r="C60" i="8" s="1"/>
  <c r="B61" i="8"/>
  <c r="C61" i="8" s="1"/>
  <c r="G10" i="1"/>
  <c r="B129" i="8"/>
  <c r="C129" i="8" s="1"/>
  <c r="B90" i="8"/>
  <c r="C90" i="8" s="1"/>
  <c r="B114" i="8"/>
  <c r="C114" i="8" s="1"/>
  <c r="B145" i="8"/>
  <c r="C145" i="8" s="1"/>
  <c r="B149" i="8"/>
  <c r="C149" i="8" s="1"/>
  <c r="B12" i="8"/>
  <c r="C12" i="8" s="1"/>
  <c r="G3" i="1"/>
  <c r="J9" i="1"/>
  <c r="B53" i="8"/>
  <c r="C53" i="8" s="1"/>
  <c r="B141" i="8"/>
  <c r="C141" i="8" s="1"/>
  <c r="B21" i="8"/>
  <c r="C21" i="8" s="1"/>
  <c r="B120" i="8"/>
  <c r="C120" i="8" s="1"/>
  <c r="G15" i="1"/>
  <c r="G4" i="1"/>
</calcChain>
</file>

<file path=xl/sharedStrings.xml><?xml version="1.0" encoding="utf-8"?>
<sst xmlns="http://schemas.openxmlformats.org/spreadsheetml/2006/main" count="1223" uniqueCount="326">
  <si>
    <t>製品名</t>
    <rPh sb="0" eb="2">
      <t>セイヒン</t>
    </rPh>
    <rPh sb="2" eb="3">
      <t>メイ</t>
    </rPh>
    <phoneticPr fontId="1"/>
  </si>
  <si>
    <t>生産レート</t>
    <rPh sb="0" eb="2">
      <t>セイサン</t>
    </rPh>
    <phoneticPr fontId="1"/>
  </si>
  <si>
    <t>参照番号</t>
    <rPh sb="0" eb="2">
      <t>サンショウ</t>
    </rPh>
    <rPh sb="2" eb="4">
      <t>バンゴウ</t>
    </rPh>
    <phoneticPr fontId="1"/>
  </si>
  <si>
    <t>要求生産量</t>
    <rPh sb="0" eb="2">
      <t>ヨウキュウ</t>
    </rPh>
    <rPh sb="2" eb="5">
      <t>セイサンリョウ</t>
    </rPh>
    <phoneticPr fontId="1"/>
  </si>
  <si>
    <t>副産物</t>
    <rPh sb="0" eb="3">
      <t>フクサンブツ</t>
    </rPh>
    <phoneticPr fontId="1"/>
  </si>
  <si>
    <t>製品</t>
    <rPh sb="0" eb="2">
      <t>セイヒン</t>
    </rPh>
    <phoneticPr fontId="1"/>
  </si>
  <si>
    <t>磁界発生装置</t>
    <rPh sb="0" eb="6">
      <t>ジカイハッセイソウチ</t>
    </rPh>
    <phoneticPr fontId="1"/>
  </si>
  <si>
    <t>多目的フレームワーク</t>
    <rPh sb="0" eb="3">
      <t>タモクテキ</t>
    </rPh>
    <phoneticPr fontId="1"/>
  </si>
  <si>
    <t>バッテリー</t>
    <phoneticPr fontId="1"/>
  </si>
  <si>
    <t>モジュラー・フレーム</t>
    <phoneticPr fontId="1"/>
  </si>
  <si>
    <t>素材</t>
    <rPh sb="0" eb="2">
      <t>ソザイ</t>
    </rPh>
    <phoneticPr fontId="1"/>
  </si>
  <si>
    <t>参照番号</t>
    <rPh sb="0" eb="4">
      <t>サンショウバンゴウ</t>
    </rPh>
    <phoneticPr fontId="1"/>
  </si>
  <si>
    <t>目標製品名</t>
    <rPh sb="0" eb="2">
      <t>モクヒョウ</t>
    </rPh>
    <rPh sb="2" eb="5">
      <t>セイヒンメイ</t>
    </rPh>
    <phoneticPr fontId="1"/>
  </si>
  <si>
    <t>要求生産量</t>
    <rPh sb="0" eb="5">
      <t>ヨウキュウセイサンリョウ</t>
    </rPh>
    <phoneticPr fontId="1"/>
  </si>
  <si>
    <t>核パスタ</t>
    <rPh sb="0" eb="1">
      <t>カク</t>
    </rPh>
    <phoneticPr fontId="1"/>
  </si>
  <si>
    <t>組立指揮システム</t>
    <rPh sb="0" eb="4">
      <t>クミタテシキ</t>
    </rPh>
    <phoneticPr fontId="1"/>
  </si>
  <si>
    <t>レシピ数</t>
    <rPh sb="3" eb="4">
      <t>スウ</t>
    </rPh>
    <phoneticPr fontId="1"/>
  </si>
  <si>
    <t>レシピNo</t>
    <phoneticPr fontId="1"/>
  </si>
  <si>
    <t>ID</t>
    <phoneticPr fontId="1"/>
  </si>
  <si>
    <t>製品名</t>
    <rPh sb="0" eb="3">
      <t>セイヒンメイ</t>
    </rPh>
    <phoneticPr fontId="1"/>
  </si>
  <si>
    <t>素材名１</t>
    <rPh sb="0" eb="2">
      <t>ソザイ</t>
    </rPh>
    <rPh sb="2" eb="3">
      <t>メイ</t>
    </rPh>
    <phoneticPr fontId="1"/>
  </si>
  <si>
    <t>素材名２</t>
    <rPh sb="0" eb="2">
      <t>ソザイ</t>
    </rPh>
    <rPh sb="2" eb="3">
      <t>メイ</t>
    </rPh>
    <phoneticPr fontId="1"/>
  </si>
  <si>
    <t>素材名３</t>
    <rPh sb="0" eb="2">
      <t>ソザイ</t>
    </rPh>
    <rPh sb="2" eb="3">
      <t>メイ</t>
    </rPh>
    <phoneticPr fontId="1"/>
  </si>
  <si>
    <t>素材名４</t>
    <rPh sb="0" eb="2">
      <t>ソザイ</t>
    </rPh>
    <rPh sb="2" eb="3">
      <t>メイ</t>
    </rPh>
    <phoneticPr fontId="1"/>
  </si>
  <si>
    <t>副産物名</t>
    <rPh sb="0" eb="3">
      <t>フクサンブツ</t>
    </rPh>
    <rPh sb="3" eb="4">
      <t>メイ</t>
    </rPh>
    <phoneticPr fontId="1"/>
  </si>
  <si>
    <t>鉄のインゴット</t>
    <rPh sb="0" eb="1">
      <t>テツ</t>
    </rPh>
    <phoneticPr fontId="1"/>
  </si>
  <si>
    <t>銅のインゴット</t>
    <rPh sb="0" eb="1">
      <t>ドウ</t>
    </rPh>
    <phoneticPr fontId="1"/>
  </si>
  <si>
    <t>鋼鉄のインゴット</t>
    <rPh sb="0" eb="2">
      <t>コウテツ</t>
    </rPh>
    <phoneticPr fontId="1"/>
  </si>
  <si>
    <t>カテリウムのインゴット</t>
    <phoneticPr fontId="1"/>
  </si>
  <si>
    <t>アルミのインゴット</t>
    <phoneticPr fontId="1"/>
  </si>
  <si>
    <t>鉄鉱石</t>
    <rPh sb="0" eb="3">
      <t>テツコウセキ</t>
    </rPh>
    <phoneticPr fontId="1"/>
  </si>
  <si>
    <t>鉄鉱石</t>
    <rPh sb="0" eb="3">
      <t>テッコウセキ</t>
    </rPh>
    <phoneticPr fontId="1"/>
  </si>
  <si>
    <t>銅鉱石</t>
    <rPh sb="0" eb="3">
      <t>ドウコウセキ</t>
    </rPh>
    <phoneticPr fontId="1"/>
  </si>
  <si>
    <t>水</t>
    <rPh sb="0" eb="1">
      <t>ミズ</t>
    </rPh>
    <phoneticPr fontId="1"/>
  </si>
  <si>
    <t>石炭</t>
    <rPh sb="0" eb="2">
      <t>セキタン</t>
    </rPh>
    <phoneticPr fontId="1"/>
  </si>
  <si>
    <t>圧縮石炭</t>
    <rPh sb="0" eb="2">
      <t>アッシュク</t>
    </rPh>
    <rPh sb="2" eb="4">
      <t>セキタン</t>
    </rPh>
    <phoneticPr fontId="1"/>
  </si>
  <si>
    <t>石油コークス</t>
    <rPh sb="0" eb="2">
      <t>セキユ</t>
    </rPh>
    <phoneticPr fontId="1"/>
  </si>
  <si>
    <t>カテリウム鉱石</t>
    <rPh sb="5" eb="7">
      <t>コウセキ</t>
    </rPh>
    <phoneticPr fontId="1"/>
  </si>
  <si>
    <t>アルミのスクラップ</t>
    <phoneticPr fontId="1"/>
  </si>
  <si>
    <t>シリカ</t>
    <phoneticPr fontId="1"/>
  </si>
  <si>
    <t>アルミナ溶液</t>
    <rPh sb="4" eb="6">
      <t>ヨウエキ</t>
    </rPh>
    <phoneticPr fontId="1"/>
  </si>
  <si>
    <t>ボーキサイト</t>
    <phoneticPr fontId="1"/>
  </si>
  <si>
    <t>空の容器</t>
    <rPh sb="0" eb="1">
      <t>カラ</t>
    </rPh>
    <rPh sb="2" eb="4">
      <t>ヨウキ</t>
    </rPh>
    <phoneticPr fontId="1"/>
  </si>
  <si>
    <t>硫酸</t>
    <rPh sb="0" eb="2">
      <t>リュウサン</t>
    </rPh>
    <phoneticPr fontId="1"/>
  </si>
  <si>
    <t>鉄板</t>
    <rPh sb="0" eb="2">
      <t>テッパン</t>
    </rPh>
    <phoneticPr fontId="1"/>
  </si>
  <si>
    <t>プラスチック</t>
    <phoneticPr fontId="1"/>
  </si>
  <si>
    <t>鉄のロッド</t>
    <rPh sb="0" eb="1">
      <t>テツ</t>
    </rPh>
    <phoneticPr fontId="1"/>
  </si>
  <si>
    <t>ワイヤー</t>
    <phoneticPr fontId="1"/>
  </si>
  <si>
    <t>ケーブル</t>
    <phoneticPr fontId="1"/>
  </si>
  <si>
    <t>ゴム</t>
    <phoneticPr fontId="1"/>
  </si>
  <si>
    <t>コンクリート</t>
    <phoneticPr fontId="1"/>
  </si>
  <si>
    <t>ネジ</t>
    <phoneticPr fontId="1"/>
  </si>
  <si>
    <t>強化鉄板</t>
    <rPh sb="0" eb="4">
      <t>キョウカテッパン</t>
    </rPh>
    <phoneticPr fontId="1"/>
  </si>
  <si>
    <t>石灰岩</t>
    <rPh sb="0" eb="3">
      <t>セッカイガン</t>
    </rPh>
    <phoneticPr fontId="1"/>
  </si>
  <si>
    <t>鋼梁</t>
    <rPh sb="0" eb="2">
      <t>ハガネハリ</t>
    </rPh>
    <phoneticPr fontId="1"/>
  </si>
  <si>
    <t>スーパーコンピューター</t>
    <phoneticPr fontId="1"/>
  </si>
  <si>
    <t>銅板</t>
    <rPh sb="0" eb="2">
      <t>ドウバン</t>
    </rPh>
    <phoneticPr fontId="1"/>
  </si>
  <si>
    <t>ローター</t>
    <phoneticPr fontId="1"/>
  </si>
  <si>
    <t>コンピューター</t>
    <phoneticPr fontId="1"/>
  </si>
  <si>
    <t>電磁制御棒</t>
    <rPh sb="0" eb="5">
      <t>デンジセイギョボウ</t>
    </rPh>
    <phoneticPr fontId="1"/>
  </si>
  <si>
    <t>AIリミッター</t>
    <phoneticPr fontId="1"/>
  </si>
  <si>
    <t>高速コネクター</t>
    <rPh sb="0" eb="2">
      <t>コウソク</t>
    </rPh>
    <phoneticPr fontId="1"/>
  </si>
  <si>
    <t>無線制御ユニット</t>
    <rPh sb="0" eb="4">
      <t>ムセンセイギョ</t>
    </rPh>
    <phoneticPr fontId="1"/>
  </si>
  <si>
    <t>冷却システム</t>
    <rPh sb="0" eb="2">
      <t>レイキャク</t>
    </rPh>
    <phoneticPr fontId="1"/>
  </si>
  <si>
    <t>鋼管</t>
    <rPh sb="0" eb="2">
      <t>ハガネクダ</t>
    </rPh>
    <phoneticPr fontId="1"/>
  </si>
  <si>
    <t>スマート・プレート</t>
    <phoneticPr fontId="1"/>
  </si>
  <si>
    <t>レート</t>
    <phoneticPr fontId="1"/>
  </si>
  <si>
    <t>硫黄</t>
    <rPh sb="0" eb="2">
      <t>イオウ</t>
    </rPh>
    <phoneticPr fontId="1"/>
  </si>
  <si>
    <t>ウラン</t>
    <phoneticPr fontId="1"/>
  </si>
  <si>
    <t>被覆型ウラン・セル</t>
    <rPh sb="0" eb="3">
      <t>ヒフクガタ</t>
    </rPh>
    <phoneticPr fontId="1"/>
  </si>
  <si>
    <t>容器入りターボ燃料</t>
    <rPh sb="0" eb="3">
      <t>ヨウキイ</t>
    </rPh>
    <rPh sb="7" eb="9">
      <t>ネンリョウ</t>
    </rPh>
    <phoneticPr fontId="1"/>
  </si>
  <si>
    <t>原油</t>
    <rPh sb="0" eb="2">
      <t>ゲンユ</t>
    </rPh>
    <phoneticPr fontId="1"/>
  </si>
  <si>
    <t>燃料</t>
    <rPh sb="0" eb="2">
      <t>ネンリョウ</t>
    </rPh>
    <phoneticPr fontId="1"/>
  </si>
  <si>
    <t>廃重油</t>
    <rPh sb="0" eb="3">
      <t>ハイジュウユ</t>
    </rPh>
    <phoneticPr fontId="1"/>
  </si>
  <si>
    <t>ターボ燃料</t>
    <rPh sb="3" eb="5">
      <t>ネンリョウ</t>
    </rPh>
    <phoneticPr fontId="1"/>
  </si>
  <si>
    <t>圧縮石炭</t>
    <rPh sb="0" eb="4">
      <t>アッシュクセキタン</t>
    </rPh>
    <phoneticPr fontId="1"/>
  </si>
  <si>
    <t>コンクリート被覆型鋼梁</t>
    <rPh sb="6" eb="8">
      <t>ヒフク</t>
    </rPh>
    <rPh sb="8" eb="9">
      <t>ガタ</t>
    </rPh>
    <rPh sb="9" eb="11">
      <t>ハガネハリ</t>
    </rPh>
    <phoneticPr fontId="1"/>
  </si>
  <si>
    <t>固定子</t>
    <rPh sb="0" eb="3">
      <t>コテイシ</t>
    </rPh>
    <phoneticPr fontId="1"/>
  </si>
  <si>
    <t>未加工石英</t>
    <rPh sb="0" eb="5">
      <t>ミカコウセキエイ</t>
    </rPh>
    <phoneticPr fontId="1"/>
  </si>
  <si>
    <t>モーター</t>
    <phoneticPr fontId="1"/>
  </si>
  <si>
    <t>自動ワイヤー</t>
    <rPh sb="0" eb="2">
      <t>ジドウ</t>
    </rPh>
    <phoneticPr fontId="1"/>
  </si>
  <si>
    <t>ヘビー・モジュラー・フレーム</t>
    <phoneticPr fontId="1"/>
  </si>
  <si>
    <t>鉄筋</t>
    <rPh sb="0" eb="2">
      <t>テッキン</t>
    </rPh>
    <phoneticPr fontId="1"/>
  </si>
  <si>
    <t>数１</t>
    <rPh sb="0" eb="1">
      <t>スウ</t>
    </rPh>
    <phoneticPr fontId="1"/>
  </si>
  <si>
    <t>数２</t>
    <rPh sb="0" eb="1">
      <t>スウ</t>
    </rPh>
    <phoneticPr fontId="1"/>
  </si>
  <si>
    <t>数３</t>
    <rPh sb="0" eb="1">
      <t>スウ</t>
    </rPh>
    <phoneticPr fontId="1"/>
  </si>
  <si>
    <t>数４</t>
    <rPh sb="0" eb="1">
      <t>スウ</t>
    </rPh>
    <phoneticPr fontId="1"/>
  </si>
  <si>
    <t>副産数</t>
    <rPh sb="0" eb="1">
      <t>フク</t>
    </rPh>
    <rPh sb="1" eb="2">
      <t>サン</t>
    </rPh>
    <rPh sb="2" eb="3">
      <t>スウ</t>
    </rPh>
    <phoneticPr fontId="1"/>
  </si>
  <si>
    <t>個数</t>
    <rPh sb="0" eb="2">
      <t>コスウ</t>
    </rPh>
    <phoneticPr fontId="1"/>
  </si>
  <si>
    <t>合成樹脂</t>
    <rPh sb="0" eb="4">
      <t>ゴウセイジュシ</t>
    </rPh>
    <phoneticPr fontId="1"/>
  </si>
  <si>
    <t>回路基板</t>
    <rPh sb="0" eb="4">
      <t>カイロキバン</t>
    </rPh>
    <phoneticPr fontId="1"/>
  </si>
  <si>
    <t>モジュラーエンジン</t>
    <phoneticPr fontId="1"/>
  </si>
  <si>
    <t>自律制御ユニット</t>
    <rPh sb="0" eb="4">
      <t>ジリツセイギョ</t>
    </rPh>
    <phoneticPr fontId="1"/>
  </si>
  <si>
    <t>クイックワイヤー</t>
    <phoneticPr fontId="1"/>
  </si>
  <si>
    <t>アルクラッド・アルミシート</t>
    <phoneticPr fontId="1"/>
  </si>
  <si>
    <t>アルミ筐体</t>
    <rPh sb="3" eb="5">
      <t>キョウタイ</t>
    </rPh>
    <phoneticPr fontId="1"/>
  </si>
  <si>
    <t>水晶発振器</t>
    <rPh sb="0" eb="2">
      <t>スイショウ</t>
    </rPh>
    <rPh sb="2" eb="5">
      <t>ハッシンキ</t>
    </rPh>
    <phoneticPr fontId="1"/>
  </si>
  <si>
    <t>ヒートシンク</t>
    <phoneticPr fontId="1"/>
  </si>
  <si>
    <t>石英結晶</t>
    <rPh sb="0" eb="4">
      <t>セキエイケッショウ</t>
    </rPh>
    <phoneticPr fontId="1"/>
  </si>
  <si>
    <t>容器入りターボ燃料</t>
    <rPh sb="0" eb="2">
      <t>ヨウキ</t>
    </rPh>
    <rPh sb="2" eb="3">
      <t>イ</t>
    </rPh>
    <rPh sb="7" eb="9">
      <t>ネンリョウ</t>
    </rPh>
    <phoneticPr fontId="1"/>
  </si>
  <si>
    <t>ウラン燃料棒</t>
    <rPh sb="3" eb="5">
      <t>ネンリョウ</t>
    </rPh>
    <rPh sb="5" eb="6">
      <t>ボウ</t>
    </rPh>
    <phoneticPr fontId="1"/>
  </si>
  <si>
    <t>黒色火薬</t>
    <rPh sb="0" eb="4">
      <t>コクショクカヤク</t>
    </rPh>
    <phoneticPr fontId="1"/>
  </si>
  <si>
    <t>ライフル弾</t>
    <rPh sb="4" eb="5">
      <t>ダン</t>
    </rPh>
    <phoneticPr fontId="1"/>
  </si>
  <si>
    <t>無煙火薬</t>
    <rPh sb="0" eb="4">
      <t>ムエンカヤク</t>
    </rPh>
    <phoneticPr fontId="1"/>
  </si>
  <si>
    <t>空の液体タンク</t>
    <rPh sb="0" eb="1">
      <t>カラ</t>
    </rPh>
    <rPh sb="2" eb="4">
      <t>エキタイ</t>
    </rPh>
    <phoneticPr fontId="1"/>
  </si>
  <si>
    <t>容器入り硝酸</t>
    <rPh sb="0" eb="3">
      <t>ヨウキイ</t>
    </rPh>
    <rPh sb="4" eb="6">
      <t>ショウサン</t>
    </rPh>
    <phoneticPr fontId="1"/>
  </si>
  <si>
    <t>硝酸</t>
    <rPh sb="0" eb="2">
      <t>ショウサン</t>
    </rPh>
    <phoneticPr fontId="1"/>
  </si>
  <si>
    <t>窒素ガス</t>
    <rPh sb="0" eb="2">
      <t>チッソ</t>
    </rPh>
    <phoneticPr fontId="1"/>
  </si>
  <si>
    <t>溶融モジュラー・フレーム</t>
    <rPh sb="0" eb="2">
      <t>ヨウユウ</t>
    </rPh>
    <phoneticPr fontId="1"/>
  </si>
  <si>
    <t>スタン鉄筋</t>
    <rPh sb="3" eb="5">
      <t>テッキン</t>
    </rPh>
    <phoneticPr fontId="1"/>
  </si>
  <si>
    <t>ターボ・モーター</t>
    <phoneticPr fontId="1"/>
  </si>
  <si>
    <t>圧力変換キューブ</t>
    <rPh sb="0" eb="2">
      <t>アツリョク</t>
    </rPh>
    <rPh sb="2" eb="4">
      <t>ヘンカン</t>
    </rPh>
    <phoneticPr fontId="1"/>
  </si>
  <si>
    <t>熱推進型ロケット</t>
    <rPh sb="0" eb="3">
      <t>ネツスイシン</t>
    </rPh>
    <rPh sb="3" eb="4">
      <t>ガタ</t>
    </rPh>
    <phoneticPr fontId="1"/>
  </si>
  <si>
    <t>容器入り硝酸</t>
    <rPh sb="0" eb="2">
      <t>ヨウキ</t>
    </rPh>
    <rPh sb="2" eb="3">
      <t>イ</t>
    </rPh>
    <rPh sb="4" eb="6">
      <t>ショウサン</t>
    </rPh>
    <phoneticPr fontId="1"/>
  </si>
  <si>
    <t>ウラン廃棄物</t>
    <rPh sb="3" eb="6">
      <t>ハイキブツ</t>
    </rPh>
    <phoneticPr fontId="1"/>
  </si>
  <si>
    <t>プルトニウム・ペレット</t>
    <phoneticPr fontId="1"/>
  </si>
  <si>
    <t>被覆型プルトニウム・セル</t>
    <rPh sb="0" eb="3">
      <t>ヒフクガタ</t>
    </rPh>
    <phoneticPr fontId="1"/>
  </si>
  <si>
    <t>プルトニウム燃料棒</t>
    <rPh sb="6" eb="9">
      <t>ネンリョウボウ</t>
    </rPh>
    <phoneticPr fontId="1"/>
  </si>
  <si>
    <t>銅粉</t>
    <rPh sb="0" eb="1">
      <t>ドウ</t>
    </rPh>
    <rPh sb="1" eb="2">
      <t>コナ</t>
    </rPh>
    <phoneticPr fontId="1"/>
  </si>
  <si>
    <t>圧力変換キューブ</t>
    <rPh sb="0" eb="4">
      <t>アツリョクヘンカン</t>
    </rPh>
    <phoneticPr fontId="1"/>
  </si>
  <si>
    <t>ウラン燃料棒</t>
    <rPh sb="3" eb="6">
      <t>ネンリョウボウ</t>
    </rPh>
    <phoneticPr fontId="1"/>
  </si>
  <si>
    <t>必要素材数</t>
    <rPh sb="0" eb="4">
      <t>ヒツヨウソザイ</t>
    </rPh>
    <rPh sb="4" eb="5">
      <t>スウ</t>
    </rPh>
    <phoneticPr fontId="1"/>
  </si>
  <si>
    <t>必要個数</t>
    <rPh sb="0" eb="4">
      <t>ヒツヨウコスウ</t>
    </rPh>
    <phoneticPr fontId="1"/>
  </si>
  <si>
    <t>素材名</t>
    <rPh sb="0" eb="3">
      <t>ソザイメイ</t>
    </rPh>
    <phoneticPr fontId="1"/>
  </si>
  <si>
    <t>必要機械数</t>
    <rPh sb="0" eb="5">
      <t>ヒツヨウキカイスウ</t>
    </rPh>
    <phoneticPr fontId="1"/>
  </si>
  <si>
    <t>ウラン</t>
    <phoneticPr fontId="1"/>
  </si>
  <si>
    <t>シリカ</t>
    <phoneticPr fontId="1"/>
  </si>
  <si>
    <t>硫黄</t>
    <rPh sb="0" eb="2">
      <t>イオウ</t>
    </rPh>
    <phoneticPr fontId="1"/>
  </si>
  <si>
    <t>クイックワイヤー</t>
    <phoneticPr fontId="1"/>
  </si>
  <si>
    <t>ウラン燃料棒</t>
    <rPh sb="3" eb="5">
      <t>ネンリョウ</t>
    </rPh>
    <rPh sb="5" eb="6">
      <t>ボウ</t>
    </rPh>
    <phoneticPr fontId="1"/>
  </si>
  <si>
    <t>電磁制御棒</t>
    <rPh sb="0" eb="5">
      <t>デンジセイギョボウ</t>
    </rPh>
    <phoneticPr fontId="1"/>
  </si>
  <si>
    <t>水晶発振器</t>
    <rPh sb="0" eb="5">
      <t>スイショウハッシンキ</t>
    </rPh>
    <phoneticPr fontId="1"/>
  </si>
  <si>
    <t>被覆型プルトニウム・セル</t>
    <rPh sb="0" eb="3">
      <t>ヒフクガタ</t>
    </rPh>
    <phoneticPr fontId="1"/>
  </si>
  <si>
    <t>圧力変換キューブ</t>
    <rPh sb="0" eb="4">
      <t>アツリョクヘンカン</t>
    </rPh>
    <phoneticPr fontId="1"/>
  </si>
  <si>
    <t>鉄のインゴット</t>
  </si>
  <si>
    <t>鉄鉱石</t>
    <rPh sb="0" eb="1">
      <t>テツ</t>
    </rPh>
    <rPh sb="1" eb="3">
      <t>コウセキ</t>
    </rPh>
    <phoneticPr fontId="1"/>
  </si>
  <si>
    <t>鉄鉱石</t>
    <rPh sb="0" eb="3">
      <t>テツコウセキ</t>
    </rPh>
    <phoneticPr fontId="1"/>
  </si>
  <si>
    <t>硫酸</t>
    <rPh sb="0" eb="2">
      <t>リュウサン</t>
    </rPh>
    <phoneticPr fontId="1"/>
  </si>
  <si>
    <t>銅鉱石</t>
    <rPh sb="0" eb="1">
      <t>ドウ</t>
    </rPh>
    <rPh sb="1" eb="3">
      <t>コウセキ</t>
    </rPh>
    <phoneticPr fontId="1"/>
  </si>
  <si>
    <t>鉄のインゴット</t>
    <rPh sb="0" eb="1">
      <t>テツ</t>
    </rPh>
    <phoneticPr fontId="1"/>
  </si>
  <si>
    <t>鉄のロッド</t>
    <rPh sb="0" eb="1">
      <t>テツ</t>
    </rPh>
    <phoneticPr fontId="1"/>
  </si>
  <si>
    <t>鋼鉄のインゴット</t>
  </si>
  <si>
    <t>アルミのインゴット</t>
    <phoneticPr fontId="1"/>
  </si>
  <si>
    <t>銅鉱石</t>
    <rPh sb="0" eb="3">
      <t>ドウコウセキ</t>
    </rPh>
    <phoneticPr fontId="1"/>
  </si>
  <si>
    <t>水</t>
    <rPh sb="0" eb="1">
      <t>ミズ</t>
    </rPh>
    <phoneticPr fontId="1"/>
  </si>
  <si>
    <t>ゴム</t>
    <phoneticPr fontId="1"/>
  </si>
  <si>
    <t>コンクリート</t>
    <phoneticPr fontId="1"/>
  </si>
  <si>
    <t>モジュラー・フレーム</t>
    <phoneticPr fontId="1"/>
  </si>
  <si>
    <t>鋼梁</t>
    <rPh sb="0" eb="1">
      <t>ハガネ</t>
    </rPh>
    <rPh sb="1" eb="2">
      <t>ハリ</t>
    </rPh>
    <phoneticPr fontId="1"/>
  </si>
  <si>
    <t>溶解シリカ</t>
    <rPh sb="0" eb="2">
      <t>ヨウカイ</t>
    </rPh>
    <phoneticPr fontId="1"/>
  </si>
  <si>
    <t>石灰岩</t>
    <rPh sb="0" eb="3">
      <t>セッカイガン</t>
    </rPh>
    <phoneticPr fontId="1"/>
  </si>
  <si>
    <t>鋼管</t>
    <rPh sb="0" eb="2">
      <t>コウカン</t>
    </rPh>
    <phoneticPr fontId="1"/>
  </si>
  <si>
    <t>燃料</t>
    <rPh sb="0" eb="2">
      <t>ネンリョウ</t>
    </rPh>
    <phoneticPr fontId="1"/>
  </si>
  <si>
    <t>石油コークス</t>
    <rPh sb="0" eb="2">
      <t>セキユ</t>
    </rPh>
    <phoneticPr fontId="1"/>
  </si>
  <si>
    <t>未加工石英</t>
    <rPh sb="0" eb="5">
      <t>ミカコウセキエイ</t>
    </rPh>
    <phoneticPr fontId="1"/>
  </si>
  <si>
    <t>石炭</t>
    <rPh sb="0" eb="2">
      <t>セキタン</t>
    </rPh>
    <phoneticPr fontId="1"/>
  </si>
  <si>
    <t>硝酸</t>
    <rPh sb="0" eb="2">
      <t>ショウサン</t>
    </rPh>
    <phoneticPr fontId="1"/>
  </si>
  <si>
    <t>被覆型ウラン・セル</t>
    <rPh sb="0" eb="3">
      <t>ヒフクガタ</t>
    </rPh>
    <phoneticPr fontId="1"/>
  </si>
  <si>
    <t>石油コークス</t>
    <rPh sb="0" eb="2">
      <t>セキユ</t>
    </rPh>
    <phoneticPr fontId="1"/>
  </si>
  <si>
    <t>バイオマス</t>
    <phoneticPr fontId="1"/>
  </si>
  <si>
    <t>木</t>
    <rPh sb="0" eb="1">
      <t>キ</t>
    </rPh>
    <phoneticPr fontId="1"/>
  </si>
  <si>
    <t>葉</t>
    <rPh sb="0" eb="1">
      <t>ハ</t>
    </rPh>
    <phoneticPr fontId="1"/>
  </si>
  <si>
    <t>菌糸</t>
    <rPh sb="0" eb="2">
      <t>キンシ</t>
    </rPh>
    <phoneticPr fontId="1"/>
  </si>
  <si>
    <t>エイリアンのタンパク質</t>
    <rPh sb="10" eb="11">
      <t>シツ</t>
    </rPh>
    <phoneticPr fontId="1"/>
  </si>
  <si>
    <t>スティンガーの遺骸</t>
  </si>
  <si>
    <t>スティンガーの遺骸</t>
    <rPh sb="7" eb="9">
      <t>イガイ</t>
    </rPh>
    <phoneticPr fontId="1"/>
  </si>
  <si>
    <t>ハッチャーの遺骸</t>
  </si>
  <si>
    <t>ハッチャーの遺骸</t>
    <rPh sb="6" eb="8">
      <t>イガイ</t>
    </rPh>
    <phoneticPr fontId="1"/>
  </si>
  <si>
    <t>スピッターの遺骸</t>
  </si>
  <si>
    <t>スピッターの遺骸</t>
    <rPh sb="6" eb="8">
      <t>イガイ</t>
    </rPh>
    <phoneticPr fontId="1"/>
  </si>
  <si>
    <t>ホッグの遺骸</t>
  </si>
  <si>
    <t>ホッグの遺骸</t>
    <rPh sb="4" eb="6">
      <t>イガイ</t>
    </rPh>
    <phoneticPr fontId="1"/>
  </si>
  <si>
    <t>パワー・シャード</t>
    <phoneticPr fontId="1"/>
  </si>
  <si>
    <t>青のパワー・スラッグ</t>
  </si>
  <si>
    <t>青のパワー・スラッグ</t>
    <rPh sb="0" eb="1">
      <t>アオ</t>
    </rPh>
    <phoneticPr fontId="1"/>
  </si>
  <si>
    <t>黄のパワー・スラッグ</t>
  </si>
  <si>
    <t>黄のパワー・スラッグ</t>
    <rPh sb="0" eb="1">
      <t>キ</t>
    </rPh>
    <phoneticPr fontId="1"/>
  </si>
  <si>
    <t>紫のパワー・スラッグ</t>
  </si>
  <si>
    <t>紫のパワー・スラッグ</t>
    <rPh sb="0" eb="1">
      <t>ムラサキ</t>
    </rPh>
    <phoneticPr fontId="1"/>
  </si>
  <si>
    <t>時の結晶</t>
    <rPh sb="0" eb="1">
      <t>トキ</t>
    </rPh>
    <rPh sb="2" eb="4">
      <t>ケッショウ</t>
    </rPh>
    <phoneticPr fontId="1"/>
  </si>
  <si>
    <t>ダークマターの結晶</t>
    <rPh sb="7" eb="9">
      <t>ケッショウ</t>
    </rPh>
    <phoneticPr fontId="1"/>
  </si>
  <si>
    <t>励起フォトニック物質</t>
    <rPh sb="0" eb="1">
      <t>ハゲ</t>
    </rPh>
    <rPh sb="1" eb="2">
      <t>オ</t>
    </rPh>
    <rPh sb="8" eb="10">
      <t>ブッシツ</t>
    </rPh>
    <phoneticPr fontId="1"/>
  </si>
  <si>
    <t>ダークマターの残留物</t>
    <rPh sb="7" eb="10">
      <t>ザンリュウブツ</t>
    </rPh>
    <phoneticPr fontId="1"/>
  </si>
  <si>
    <t>固体バイオ燃料</t>
    <rPh sb="0" eb="2">
      <t>コタイ</t>
    </rPh>
    <rPh sb="5" eb="7">
      <t>ネンリョウ</t>
    </rPh>
    <phoneticPr fontId="1"/>
  </si>
  <si>
    <t>硫黄</t>
    <rPh sb="0" eb="2">
      <t>イオウ</t>
    </rPh>
    <phoneticPr fontId="1"/>
  </si>
  <si>
    <t>活性SAM</t>
    <rPh sb="0" eb="2">
      <t>カッセイ</t>
    </rPh>
    <phoneticPr fontId="1"/>
  </si>
  <si>
    <t>SAM</t>
    <phoneticPr fontId="1"/>
  </si>
  <si>
    <t>電磁制御棒</t>
    <rPh sb="0" eb="5">
      <t>デンジセイギョボウ</t>
    </rPh>
    <phoneticPr fontId="1"/>
  </si>
  <si>
    <t>SAM変動機</t>
    <rPh sb="3" eb="6">
      <t>ヘンドウキ</t>
    </rPh>
    <phoneticPr fontId="1"/>
  </si>
  <si>
    <t>包装済み水</t>
    <rPh sb="0" eb="3">
      <t>ホウソウズ</t>
    </rPh>
    <rPh sb="4" eb="5">
      <t>ミズ</t>
    </rPh>
    <phoneticPr fontId="1"/>
  </si>
  <si>
    <t>包装済み原油</t>
    <rPh sb="4" eb="6">
      <t>ゲンユ</t>
    </rPh>
    <phoneticPr fontId="1"/>
  </si>
  <si>
    <t>包装済み燃料</t>
    <rPh sb="4" eb="6">
      <t>ネンリョウ</t>
    </rPh>
    <phoneticPr fontId="1"/>
  </si>
  <si>
    <t>包装済み廃重油</t>
    <rPh sb="4" eb="7">
      <t>ハイジュウユ</t>
    </rPh>
    <phoneticPr fontId="1"/>
  </si>
  <si>
    <t>包装済み硫酸</t>
    <rPh sb="4" eb="6">
      <t>リュウサン</t>
    </rPh>
    <phoneticPr fontId="1"/>
  </si>
  <si>
    <t>包装済みアルミナ溶液</t>
    <rPh sb="8" eb="10">
      <t>ヨウエキ</t>
    </rPh>
    <phoneticPr fontId="1"/>
  </si>
  <si>
    <t>包装済み液体バイオ燃料</t>
    <rPh sb="4" eb="6">
      <t>エキタイ</t>
    </rPh>
    <rPh sb="9" eb="11">
      <t>ネンリョウ</t>
    </rPh>
    <phoneticPr fontId="1"/>
  </si>
  <si>
    <t>液体バイオ燃料</t>
    <rPh sb="0" eb="2">
      <t>エキタイ</t>
    </rPh>
    <rPh sb="5" eb="7">
      <t>ネンリョウ</t>
    </rPh>
    <phoneticPr fontId="1"/>
  </si>
  <si>
    <t>包装済み水</t>
    <rPh sb="4" eb="5">
      <t>ミズ</t>
    </rPh>
    <phoneticPr fontId="1"/>
  </si>
  <si>
    <t>包装済み水</t>
    <rPh sb="0" eb="2">
      <t>ホウソウ</t>
    </rPh>
    <rPh sb="2" eb="3">
      <t>ズ</t>
    </rPh>
    <rPh sb="4" eb="5">
      <t>ミズ</t>
    </rPh>
    <phoneticPr fontId="1"/>
  </si>
  <si>
    <t>水</t>
    <rPh sb="0" eb="1">
      <t>ミズ</t>
    </rPh>
    <phoneticPr fontId="1"/>
  </si>
  <si>
    <t>包装済み液体バイオ燃料</t>
    <rPh sb="0" eb="3">
      <t>ホウソウズ</t>
    </rPh>
    <rPh sb="4" eb="6">
      <t>エキタイ</t>
    </rPh>
    <rPh sb="9" eb="11">
      <t>ネンリョウ</t>
    </rPh>
    <phoneticPr fontId="1"/>
  </si>
  <si>
    <t>空の容器</t>
    <rPh sb="0" eb="1">
      <t>カラ</t>
    </rPh>
    <rPh sb="2" eb="4">
      <t>ヨウキ</t>
    </rPh>
    <phoneticPr fontId="1"/>
  </si>
  <si>
    <t>ターボ燃料</t>
    <rPh sb="3" eb="5">
      <t>ネンリョウ</t>
    </rPh>
    <phoneticPr fontId="1"/>
  </si>
  <si>
    <t>ロケット燃料</t>
    <rPh sb="4" eb="6">
      <t>ネンリョウ</t>
    </rPh>
    <phoneticPr fontId="1"/>
  </si>
  <si>
    <t>燃料</t>
    <rPh sb="0" eb="2">
      <t>ネンリョウ</t>
    </rPh>
    <phoneticPr fontId="1"/>
  </si>
  <si>
    <t>窒素ガス</t>
    <rPh sb="0" eb="2">
      <t>チッソ</t>
    </rPh>
    <phoneticPr fontId="1"/>
  </si>
  <si>
    <t>石炭</t>
    <rPh sb="0" eb="2">
      <t>セキタン</t>
    </rPh>
    <phoneticPr fontId="1"/>
  </si>
  <si>
    <t>イオン燃料</t>
    <rPh sb="3" eb="5">
      <t>ネンリョウ</t>
    </rPh>
    <phoneticPr fontId="1"/>
  </si>
  <si>
    <t>包装済みロケット燃料</t>
    <rPh sb="0" eb="3">
      <t>ホウソウズ</t>
    </rPh>
    <rPh sb="8" eb="10">
      <t>ネンリョウ</t>
    </rPh>
    <phoneticPr fontId="1"/>
  </si>
  <si>
    <t>布地</t>
    <rPh sb="0" eb="2">
      <t>ヌノジ</t>
    </rPh>
    <phoneticPr fontId="1"/>
  </si>
  <si>
    <t>ガスフィルター</t>
    <phoneticPr fontId="1"/>
  </si>
  <si>
    <t>エイリアンのDNAカプセル</t>
    <phoneticPr fontId="1"/>
  </si>
  <si>
    <t>包装済みアルミナ溶液</t>
    <rPh sb="0" eb="3">
      <t>ホウソウズ</t>
    </rPh>
    <rPh sb="8" eb="10">
      <t>ヨウエキ</t>
    </rPh>
    <phoneticPr fontId="1"/>
  </si>
  <si>
    <t>包装済み硫酸</t>
    <rPh sb="0" eb="3">
      <t>ホウソウズ</t>
    </rPh>
    <rPh sb="4" eb="6">
      <t>リュウサン</t>
    </rPh>
    <phoneticPr fontId="1"/>
  </si>
  <si>
    <t>水晶発振器</t>
    <rPh sb="0" eb="2">
      <t>スイショウ</t>
    </rPh>
    <rPh sb="2" eb="5">
      <t>ハッシンキ</t>
    </rPh>
    <phoneticPr fontId="1"/>
  </si>
  <si>
    <t>ヨウ素充填フィルター</t>
    <rPh sb="2" eb="3">
      <t>ソ</t>
    </rPh>
    <rPh sb="3" eb="5">
      <t>ジュウテン</t>
    </rPh>
    <phoneticPr fontId="1"/>
  </si>
  <si>
    <t>包装済み窒素ガス</t>
    <rPh sb="0" eb="3">
      <t>ホウソウズ</t>
    </rPh>
    <rPh sb="4" eb="6">
      <t>チッソ</t>
    </rPh>
    <phoneticPr fontId="1"/>
  </si>
  <si>
    <t>包装済みイオン燃料</t>
    <rPh sb="0" eb="3">
      <t>ホウソウズ</t>
    </rPh>
    <rPh sb="7" eb="9">
      <t>ネンリョウ</t>
    </rPh>
    <phoneticPr fontId="1"/>
  </si>
  <si>
    <t>溶解シリカ</t>
    <rPh sb="0" eb="2">
      <t>ヨウカイ</t>
    </rPh>
    <phoneticPr fontId="1"/>
  </si>
  <si>
    <t>石英結晶</t>
    <rPh sb="0" eb="4">
      <t>セキエイケッショウ</t>
    </rPh>
    <phoneticPr fontId="1"/>
  </si>
  <si>
    <t>FICSITEのインゴット</t>
    <phoneticPr fontId="1"/>
  </si>
  <si>
    <t>鉄のインゴット</t>
    <rPh sb="0" eb="1">
      <t>テツ</t>
    </rPh>
    <phoneticPr fontId="1"/>
  </si>
  <si>
    <t>FICSITEの三角板</t>
    <rPh sb="8" eb="11">
      <t>サンカクバン</t>
    </rPh>
    <phoneticPr fontId="1"/>
  </si>
  <si>
    <t>ダイヤモンド</t>
    <phoneticPr fontId="1"/>
  </si>
  <si>
    <t>容器入りターボ燃料</t>
    <rPh sb="0" eb="3">
      <t>ヨウキイ</t>
    </rPh>
    <rPh sb="7" eb="9">
      <t>ネンリョウ</t>
    </rPh>
    <phoneticPr fontId="1"/>
  </si>
  <si>
    <t>原油</t>
  </si>
  <si>
    <t>生化学スカルプター</t>
    <rPh sb="0" eb="1">
      <t>ナマ</t>
    </rPh>
    <rPh sb="1" eb="3">
      <t>カガク</t>
    </rPh>
    <phoneticPr fontId="1"/>
  </si>
  <si>
    <t>組立指揮システム</t>
    <rPh sb="0" eb="2">
      <t>クミタテ</t>
    </rPh>
    <rPh sb="2" eb="4">
      <t>シキ</t>
    </rPh>
    <phoneticPr fontId="1"/>
  </si>
  <si>
    <t>FICSITEの三角板</t>
    <rPh sb="8" eb="10">
      <t>サンカク</t>
    </rPh>
    <rPh sb="10" eb="11">
      <t>イタ</t>
    </rPh>
    <phoneticPr fontId="1"/>
  </si>
  <si>
    <t>水</t>
    <rPh sb="0" eb="1">
      <t>スイ</t>
    </rPh>
    <phoneticPr fontId="1"/>
  </si>
  <si>
    <t>鉄鉱石</t>
    <rPh sb="0" eb="3">
      <t>テツコウセキ</t>
    </rPh>
    <phoneticPr fontId="1"/>
  </si>
  <si>
    <t>石灰岩</t>
    <rPh sb="0" eb="3">
      <t>セッカイイワ</t>
    </rPh>
    <phoneticPr fontId="1"/>
  </si>
  <si>
    <t>銅鉱石</t>
    <rPh sb="0" eb="1">
      <t>ドウ</t>
    </rPh>
    <rPh sb="1" eb="3">
      <t>コウセキ</t>
    </rPh>
    <phoneticPr fontId="1"/>
  </si>
  <si>
    <t>未加工石英</t>
    <rPh sb="0" eb="5">
      <t>ミカコウセキエイ</t>
    </rPh>
    <phoneticPr fontId="1"/>
  </si>
  <si>
    <t>石灰岩</t>
    <rPh sb="0" eb="3">
      <t>セッカイガン</t>
    </rPh>
    <phoneticPr fontId="1"/>
  </si>
  <si>
    <t>銅鉱石</t>
    <rPh sb="0" eb="3">
      <t>ドウコウセキ</t>
    </rPh>
    <phoneticPr fontId="1"/>
  </si>
  <si>
    <t>ボーキサイト</t>
    <phoneticPr fontId="1"/>
  </si>
  <si>
    <t>包装済み水</t>
    <rPh sb="0" eb="3">
      <t>ホウソウズ</t>
    </rPh>
    <rPh sb="4" eb="5">
      <t>ミズ</t>
    </rPh>
    <phoneticPr fontId="1"/>
  </si>
  <si>
    <t>アルミナ溶液</t>
    <rPh sb="4" eb="6">
      <t>ヨウエキ</t>
    </rPh>
    <phoneticPr fontId="1"/>
  </si>
  <si>
    <t>アルミのスクラップ</t>
    <phoneticPr fontId="1"/>
  </si>
  <si>
    <t>硫酸</t>
    <rPh sb="0" eb="2">
      <t>リュウサン</t>
    </rPh>
    <phoneticPr fontId="1"/>
  </si>
  <si>
    <t>アルミ筐体</t>
    <rPh sb="3" eb="5">
      <t>キョウタイ</t>
    </rPh>
    <phoneticPr fontId="1"/>
  </si>
  <si>
    <t>バッテリー</t>
    <phoneticPr fontId="1"/>
  </si>
  <si>
    <t>シリカ</t>
    <phoneticPr fontId="1"/>
  </si>
  <si>
    <t>ウラン廃棄物</t>
    <rPh sb="3" eb="6">
      <t>ハイキブツ</t>
    </rPh>
    <phoneticPr fontId="1"/>
  </si>
  <si>
    <t>硝酸</t>
    <rPh sb="0" eb="2">
      <t>ショウサン</t>
    </rPh>
    <phoneticPr fontId="1"/>
  </si>
  <si>
    <t>非核分裂性ウラン</t>
  </si>
  <si>
    <t>非核分裂性ウラン</t>
    <rPh sb="0" eb="1">
      <t>ヒ</t>
    </rPh>
    <rPh sb="1" eb="4">
      <t>カクブンレツ</t>
    </rPh>
    <rPh sb="4" eb="5">
      <t>セイ</t>
    </rPh>
    <phoneticPr fontId="1"/>
  </si>
  <si>
    <t>ウラン</t>
    <phoneticPr fontId="1"/>
  </si>
  <si>
    <t>未加工石英</t>
    <phoneticPr fontId="1"/>
  </si>
  <si>
    <t>包装済み原油</t>
    <rPh sb="0" eb="2">
      <t>ホウソウ</t>
    </rPh>
    <rPh sb="2" eb="3">
      <t>ズ</t>
    </rPh>
    <rPh sb="4" eb="6">
      <t>ゲンユ</t>
    </rPh>
    <phoneticPr fontId="1"/>
  </si>
  <si>
    <t>菌糸</t>
    <rPh sb="0" eb="1">
      <t>キン</t>
    </rPh>
    <rPh sb="1" eb="2">
      <t>イト</t>
    </rPh>
    <phoneticPr fontId="1"/>
  </si>
  <si>
    <t>カテリウム鉱石</t>
    <rPh sb="5" eb="7">
      <t>コウセキ</t>
    </rPh>
    <phoneticPr fontId="1"/>
  </si>
  <si>
    <t>アルクラッド・アルミシート</t>
    <phoneticPr fontId="1"/>
  </si>
  <si>
    <t>重ね合わせ発振器</t>
    <rPh sb="0" eb="1">
      <t>カサ</t>
    </rPh>
    <rPh sb="2" eb="3">
      <t>ア</t>
    </rPh>
    <rPh sb="5" eb="8">
      <t>ハッシンキ</t>
    </rPh>
    <phoneticPr fontId="1"/>
  </si>
  <si>
    <t>FICSITEの三角板</t>
    <rPh sb="8" eb="11">
      <t>サンカクイタ</t>
    </rPh>
    <phoneticPr fontId="1"/>
  </si>
  <si>
    <t>ニューラル量子プロセッサー</t>
    <rPh sb="5" eb="7">
      <t>リョウシ</t>
    </rPh>
    <phoneticPr fontId="1"/>
  </si>
  <si>
    <t>磁界発生装置</t>
    <rPh sb="0" eb="2">
      <t>ジカイ</t>
    </rPh>
    <rPh sb="2" eb="4">
      <t>ハッセイ</t>
    </rPh>
    <rPh sb="4" eb="6">
      <t>ソウチ</t>
    </rPh>
    <phoneticPr fontId="1"/>
  </si>
  <si>
    <t>AI拡張サーバー</t>
    <rPh sb="2" eb="4">
      <t>カクチョウ</t>
    </rPh>
    <phoneticPr fontId="1"/>
  </si>
  <si>
    <t>FICSONIUM</t>
    <phoneticPr fontId="1"/>
  </si>
  <si>
    <t>FICSONIUM燃料棒</t>
    <rPh sb="9" eb="12">
      <t>ネンリョウボウ</t>
    </rPh>
    <phoneticPr fontId="1"/>
  </si>
  <si>
    <t>異星のパワーマトリックス</t>
    <rPh sb="0" eb="2">
      <t>イセイ</t>
    </rPh>
    <phoneticPr fontId="1"/>
  </si>
  <si>
    <t>AI拡張サーバー</t>
    <rPh sb="2" eb="4">
      <t>カクチョウ</t>
    </rPh>
    <phoneticPr fontId="1"/>
  </si>
  <si>
    <t>プルトニウム廃棄物</t>
    <rPh sb="6" eb="9">
      <t>ハイキブツ</t>
    </rPh>
    <phoneticPr fontId="1"/>
  </si>
  <si>
    <t>シンギュラリティセル</t>
    <phoneticPr fontId="1"/>
  </si>
  <si>
    <t>非核分裂性ウラン</t>
    <rPh sb="0" eb="1">
      <t>ヒ</t>
    </rPh>
    <rPh sb="1" eb="4">
      <t>カクブンレツ</t>
    </rPh>
    <rPh sb="4" eb="5">
      <t>セイ</t>
    </rPh>
    <phoneticPr fontId="1"/>
  </si>
  <si>
    <t>プルトニウム廃棄物</t>
    <rPh sb="6" eb="9">
      <t>ハイキブツ</t>
    </rPh>
    <phoneticPr fontId="1"/>
  </si>
  <si>
    <t>プルトニウム燃料棒</t>
    <rPh sb="6" eb="9">
      <t>ネンリョウボウ</t>
    </rPh>
    <phoneticPr fontId="1"/>
  </si>
  <si>
    <t>核パスタ</t>
    <rPh sb="0" eb="1">
      <t>カク</t>
    </rPh>
    <phoneticPr fontId="1"/>
  </si>
  <si>
    <t>鉄板</t>
    <rPh sb="0" eb="2">
      <t>テッパン</t>
    </rPh>
    <phoneticPr fontId="1"/>
  </si>
  <si>
    <t>弾道ワープドライブ</t>
    <rPh sb="0" eb="2">
      <t>ダンドウ</t>
    </rPh>
    <phoneticPr fontId="1"/>
  </si>
  <si>
    <t>熱推進型ロケット</t>
    <rPh sb="0" eb="1">
      <t>ネツ</t>
    </rPh>
    <rPh sb="1" eb="3">
      <t>スイシン</t>
    </rPh>
    <rPh sb="3" eb="4">
      <t>ガタ</t>
    </rPh>
    <phoneticPr fontId="1"/>
  </si>
  <si>
    <t>圧縮石炭</t>
    <rPh sb="0" eb="4">
      <t>アッシュクセキタン</t>
    </rPh>
    <phoneticPr fontId="1"/>
  </si>
  <si>
    <t>空の液体タンク</t>
    <rPh sb="0" eb="1">
      <t>カラ</t>
    </rPh>
    <rPh sb="2" eb="4">
      <t>エキタイ</t>
    </rPh>
    <phoneticPr fontId="1"/>
  </si>
  <si>
    <t>ガス・ノーベリスク</t>
    <phoneticPr fontId="1"/>
  </si>
  <si>
    <t>ノーベリスク</t>
    <phoneticPr fontId="1"/>
  </si>
  <si>
    <t>パルス・ノーベリスク</t>
    <phoneticPr fontId="1"/>
  </si>
  <si>
    <t>破砕鉄筋</t>
    <rPh sb="0" eb="2">
      <t>ハサイ</t>
    </rPh>
    <rPh sb="2" eb="4">
      <t>テッキン</t>
    </rPh>
    <phoneticPr fontId="1"/>
  </si>
  <si>
    <t>鉄筋</t>
    <rPh sb="0" eb="2">
      <t>テッキン</t>
    </rPh>
    <phoneticPr fontId="1"/>
  </si>
  <si>
    <t>クラスター・ノーベリスク</t>
    <phoneticPr fontId="1"/>
  </si>
  <si>
    <t>無煙火薬</t>
    <rPh sb="0" eb="4">
      <t>ムエンカヤク</t>
    </rPh>
    <phoneticPr fontId="1"/>
  </si>
  <si>
    <t>爆砕鉄筋</t>
    <rPh sb="0" eb="2">
      <t>バクサイ</t>
    </rPh>
    <rPh sb="2" eb="4">
      <t>テッキン</t>
    </rPh>
    <phoneticPr fontId="1"/>
  </si>
  <si>
    <t>ターボライフル弾</t>
    <rPh sb="7" eb="8">
      <t>タマ</t>
    </rPh>
    <phoneticPr fontId="1"/>
  </si>
  <si>
    <t>ライフル弾</t>
    <rPh sb="4" eb="5">
      <t>タマ</t>
    </rPh>
    <phoneticPr fontId="1"/>
  </si>
  <si>
    <t>ホーミングライフル弾</t>
    <rPh sb="9" eb="10">
      <t>タマ</t>
    </rPh>
    <phoneticPr fontId="1"/>
  </si>
  <si>
    <t>ニューク・ノーベリスク</t>
    <phoneticPr fontId="1"/>
  </si>
  <si>
    <t>被覆型ウラン・セル</t>
    <rPh sb="0" eb="3">
      <t>ヒフクガタ</t>
    </rPh>
    <phoneticPr fontId="1"/>
  </si>
  <si>
    <t>AIリミッター</t>
    <phoneticPr fontId="1"/>
  </si>
  <si>
    <t>101</t>
    <phoneticPr fontId="1"/>
  </si>
  <si>
    <t>素材No.1</t>
    <rPh sb="0" eb="2">
      <t>ソザイ</t>
    </rPh>
    <phoneticPr fontId="1"/>
  </si>
  <si>
    <t>素材No.2</t>
    <rPh sb="0" eb="2">
      <t>ソザイ</t>
    </rPh>
    <phoneticPr fontId="1"/>
  </si>
  <si>
    <t>素材No.3</t>
    <rPh sb="0" eb="2">
      <t>ソザイ</t>
    </rPh>
    <phoneticPr fontId="1"/>
  </si>
  <si>
    <t>素材No.4</t>
    <phoneticPr fontId="1"/>
  </si>
  <si>
    <t>副産物No</t>
    <rPh sb="0" eb="3">
      <t>フクサンブツ</t>
    </rPh>
    <phoneticPr fontId="1"/>
  </si>
  <si>
    <t>数1</t>
    <rPh sb="0" eb="1">
      <t>カズ</t>
    </rPh>
    <phoneticPr fontId="1"/>
  </si>
  <si>
    <t>数2</t>
    <rPh sb="0" eb="1">
      <t>カズ</t>
    </rPh>
    <phoneticPr fontId="1"/>
  </si>
  <si>
    <t>数3</t>
    <rPh sb="0" eb="1">
      <t>カズ</t>
    </rPh>
    <phoneticPr fontId="1"/>
  </si>
  <si>
    <t>数4</t>
    <rPh sb="0" eb="1">
      <t>カズ</t>
    </rPh>
    <phoneticPr fontId="1"/>
  </si>
  <si>
    <t>品番</t>
    <rPh sb="0" eb="2">
      <t>ヒンバン</t>
    </rPh>
    <phoneticPr fontId="1"/>
  </si>
  <si>
    <t>品番</t>
    <rPh sb="0" eb="1">
      <t>ヒン</t>
    </rPh>
    <phoneticPr fontId="1"/>
  </si>
  <si>
    <t>必要資源名</t>
    <rPh sb="0" eb="2">
      <t>ヒツヨウ</t>
    </rPh>
    <rPh sb="2" eb="4">
      <t>シゲン</t>
    </rPh>
    <rPh sb="4" eb="5">
      <t>メイ</t>
    </rPh>
    <phoneticPr fontId="1"/>
  </si>
  <si>
    <t>必要素材名(非無限)</t>
    <rPh sb="0" eb="2">
      <t>ヒツヨウ</t>
    </rPh>
    <rPh sb="2" eb="4">
      <t>ソザイ</t>
    </rPh>
    <rPh sb="4" eb="5">
      <t>メイ</t>
    </rPh>
    <rPh sb="6" eb="7">
      <t>ヒ</t>
    </rPh>
    <rPh sb="7" eb="9">
      <t>ムゲン</t>
    </rPh>
    <phoneticPr fontId="1"/>
  </si>
  <si>
    <t>必要数</t>
    <rPh sb="0" eb="3">
      <t>ヒツヨウスウ</t>
    </rPh>
    <phoneticPr fontId="1"/>
  </si>
  <si>
    <t>副産物一覧</t>
    <rPh sb="0" eb="5">
      <t>フクサンブツイチラン</t>
    </rPh>
    <phoneticPr fontId="1"/>
  </si>
  <si>
    <t>生産量</t>
    <rPh sb="0" eb="3">
      <t>セイサンリョウ</t>
    </rPh>
    <phoneticPr fontId="1"/>
  </si>
  <si>
    <t>製品数</t>
    <rPh sb="0" eb="3">
      <t>セイヒンスウ</t>
    </rPh>
    <phoneticPr fontId="1"/>
  </si>
  <si>
    <t>副産</t>
    <rPh sb="0" eb="1">
      <t>フク</t>
    </rPh>
    <rPh sb="1" eb="2">
      <t>サン</t>
    </rPh>
    <phoneticPr fontId="1"/>
  </si>
  <si>
    <t>水</t>
  </si>
  <si>
    <t>合成樹脂</t>
  </si>
  <si>
    <t>ダークマターの残留物</t>
  </si>
  <si>
    <t>励起フォトニック物質</t>
  </si>
  <si>
    <t>ダークマターの結晶</t>
  </si>
  <si>
    <t>活性SAM</t>
  </si>
  <si>
    <t>ダイヤモンド</t>
  </si>
  <si>
    <t>SAM</t>
  </si>
  <si>
    <t>石炭</t>
  </si>
  <si>
    <t>窒素ガス</t>
  </si>
  <si>
    <t>未加工石英</t>
  </si>
  <si>
    <t>硫黄</t>
  </si>
  <si>
    <t>石英結晶</t>
  </si>
  <si>
    <t>圧縮石炭</t>
  </si>
  <si>
    <t>イオン燃料</t>
  </si>
  <si>
    <t>ロケット燃料</t>
  </si>
  <si>
    <t>パワー・シャード</t>
  </si>
  <si>
    <t>時の結晶</t>
  </si>
  <si>
    <t>燃料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</si>
</sst>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0"/>
    <numFmt numFmtId="177" formatCode="0_);[Red]\(0\)"/>
  </numFmts>
  <fonts count="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2"/>
      <color theme="1"/>
      <name val="游ゴシック"/>
      <family val="3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0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</fills>
  <borders count="3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38" fontId="2" fillId="0" borderId="0" applyFont="0" applyFill="0" applyBorder="0" applyAlignment="0" applyProtection="0">
      <alignment vertical="center"/>
    </xf>
  </cellStyleXfs>
  <cellXfs count="80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>
      <alignment vertical="center"/>
    </xf>
    <xf numFmtId="0" fontId="0" fillId="0" borderId="1" xfId="0" applyBorder="1">
      <alignment vertical="center"/>
    </xf>
    <xf numFmtId="0" fontId="0" fillId="0" borderId="3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8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>
      <alignment vertical="center"/>
    </xf>
    <xf numFmtId="0" fontId="0" fillId="0" borderId="14" xfId="0" applyBorder="1">
      <alignment vertical="center"/>
    </xf>
    <xf numFmtId="0" fontId="0" fillId="0" borderId="17" xfId="0" applyBorder="1">
      <alignment vertical="center"/>
    </xf>
    <xf numFmtId="0" fontId="0" fillId="0" borderId="18" xfId="0" applyBorder="1">
      <alignment vertical="center"/>
    </xf>
    <xf numFmtId="0" fontId="0" fillId="0" borderId="15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49" fontId="0" fillId="0" borderId="14" xfId="0" applyNumberFormat="1" applyBorder="1" applyAlignment="1">
      <alignment horizontal="right" vertical="center"/>
    </xf>
    <xf numFmtId="0" fontId="0" fillId="0" borderId="14" xfId="0" applyBorder="1" applyAlignment="1">
      <alignment horizontal="right" vertical="center"/>
    </xf>
    <xf numFmtId="0" fontId="0" fillId="0" borderId="14" xfId="0" quotePrefix="1" applyBorder="1" applyAlignment="1">
      <alignment horizontal="right" vertical="center"/>
    </xf>
    <xf numFmtId="0" fontId="0" fillId="0" borderId="22" xfId="0" applyBorder="1">
      <alignment vertical="center"/>
    </xf>
    <xf numFmtId="0" fontId="0" fillId="0" borderId="23" xfId="0" applyBorder="1">
      <alignment vertical="center"/>
    </xf>
    <xf numFmtId="0" fontId="0" fillId="0" borderId="19" xfId="0" applyBorder="1">
      <alignment vertical="center"/>
    </xf>
    <xf numFmtId="0" fontId="0" fillId="0" borderId="24" xfId="0" applyBorder="1">
      <alignment vertical="center"/>
    </xf>
    <xf numFmtId="38" fontId="0" fillId="0" borderId="21" xfId="1" applyFont="1" applyBorder="1">
      <alignment vertical="center"/>
    </xf>
    <xf numFmtId="38" fontId="0" fillId="0" borderId="4" xfId="1" applyFont="1" applyBorder="1">
      <alignment vertical="center"/>
    </xf>
    <xf numFmtId="38" fontId="0" fillId="0" borderId="7" xfId="1" applyFont="1" applyBorder="1">
      <alignment vertical="center"/>
    </xf>
    <xf numFmtId="177" fontId="0" fillId="0" borderId="17" xfId="0" applyNumberFormat="1" applyBorder="1">
      <alignment vertical="center"/>
    </xf>
    <xf numFmtId="0" fontId="0" fillId="0" borderId="12" xfId="0" applyBorder="1">
      <alignment vertical="center"/>
    </xf>
    <xf numFmtId="177" fontId="0" fillId="0" borderId="12" xfId="0" applyNumberFormat="1" applyBorder="1">
      <alignment vertical="center"/>
    </xf>
    <xf numFmtId="0" fontId="0" fillId="0" borderId="13" xfId="0" applyBorder="1" applyAlignment="1">
      <alignment horizontal="center" vertical="center"/>
    </xf>
    <xf numFmtId="0" fontId="0" fillId="0" borderId="17" xfId="0" applyBorder="1" applyAlignment="1">
      <alignment horizontal="right" vertical="center"/>
    </xf>
    <xf numFmtId="0" fontId="0" fillId="0" borderId="25" xfId="0" applyBorder="1">
      <alignment vertical="center"/>
    </xf>
    <xf numFmtId="0" fontId="0" fillId="2" borderId="13" xfId="0" applyFill="1" applyBorder="1">
      <alignment vertical="center"/>
    </xf>
    <xf numFmtId="0" fontId="0" fillId="3" borderId="26" xfId="0" applyFill="1" applyBorder="1">
      <alignment vertical="center"/>
    </xf>
    <xf numFmtId="0" fontId="0" fillId="0" borderId="26" xfId="0" applyBorder="1">
      <alignment vertical="center"/>
    </xf>
    <xf numFmtId="0" fontId="0" fillId="0" borderId="27" xfId="0" applyBorder="1">
      <alignment vertical="center"/>
    </xf>
    <xf numFmtId="38" fontId="0" fillId="0" borderId="28" xfId="1" applyFont="1" applyBorder="1">
      <alignment vertical="center"/>
    </xf>
    <xf numFmtId="38" fontId="0" fillId="0" borderId="10" xfId="1" applyFont="1" applyBorder="1">
      <alignment vertical="center"/>
    </xf>
    <xf numFmtId="0" fontId="0" fillId="0" borderId="11" xfId="0" applyBorder="1" applyAlignment="1">
      <alignment horizontal="center" vertical="center"/>
    </xf>
    <xf numFmtId="0" fontId="0" fillId="0" borderId="2" xfId="0" applyBorder="1" applyAlignment="1">
      <alignment horizontal="right" vertical="center"/>
    </xf>
    <xf numFmtId="40" fontId="0" fillId="0" borderId="22" xfId="1" applyNumberFormat="1" applyFont="1" applyBorder="1">
      <alignment vertical="center"/>
    </xf>
    <xf numFmtId="1" fontId="0" fillId="0" borderId="26" xfId="0" applyNumberFormat="1" applyBorder="1">
      <alignment vertical="center"/>
    </xf>
    <xf numFmtId="0" fontId="0" fillId="0" borderId="31" xfId="0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4" fillId="0" borderId="29" xfId="0" applyFont="1" applyBorder="1" applyAlignment="1">
      <alignment horizontal="center" vertical="center"/>
    </xf>
    <xf numFmtId="0" fontId="4" fillId="0" borderId="30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4" fillId="0" borderId="2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34" xfId="0" applyFont="1" applyBorder="1" applyAlignment="1">
      <alignment horizontal="center" vertical="center" wrapText="1"/>
    </xf>
    <xf numFmtId="0" fontId="3" fillId="0" borderId="22" xfId="0" applyFont="1" applyBorder="1" applyAlignment="1">
      <alignment horizontal="left" vertical="center"/>
    </xf>
    <xf numFmtId="0" fontId="3" fillId="0" borderId="22" xfId="0" applyFont="1" applyBorder="1">
      <alignment vertical="center"/>
    </xf>
    <xf numFmtId="0" fontId="5" fillId="0" borderId="22" xfId="0" applyFont="1" applyBorder="1">
      <alignment vertical="center"/>
    </xf>
    <xf numFmtId="0" fontId="5" fillId="0" borderId="17" xfId="0" applyFont="1" applyBorder="1">
      <alignment vertical="center"/>
    </xf>
    <xf numFmtId="0" fontId="5" fillId="0" borderId="26" xfId="0" applyFont="1" applyBorder="1">
      <alignment vertical="center"/>
    </xf>
    <xf numFmtId="0" fontId="5" fillId="0" borderId="22" xfId="0" applyFont="1" applyBorder="1" applyAlignment="1">
      <alignment horizontal="left" vertical="center"/>
    </xf>
    <xf numFmtId="0" fontId="3" fillId="0" borderId="1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176" fontId="4" fillId="0" borderId="32" xfId="0" applyNumberFormat="1" applyFont="1" applyBorder="1" applyAlignment="1">
      <alignment horizontal="center" vertical="center"/>
    </xf>
    <xf numFmtId="176" fontId="4" fillId="0" borderId="33" xfId="0" applyNumberFormat="1" applyFont="1" applyBorder="1" applyAlignment="1">
      <alignment horizontal="center" vertical="center"/>
    </xf>
    <xf numFmtId="176" fontId="4" fillId="0" borderId="35" xfId="0" applyNumberFormat="1" applyFont="1" applyBorder="1" applyAlignment="1">
      <alignment horizontal="center" vertical="center"/>
    </xf>
    <xf numFmtId="176" fontId="3" fillId="0" borderId="18" xfId="0" applyNumberFormat="1" applyFont="1" applyBorder="1">
      <alignment vertical="center"/>
    </xf>
    <xf numFmtId="0" fontId="6" fillId="0" borderId="36" xfId="0" applyFont="1" applyBorder="1" applyAlignment="1">
      <alignment horizontal="center" vertical="center"/>
    </xf>
    <xf numFmtId="0" fontId="5" fillId="0" borderId="14" xfId="0" applyFont="1" applyBorder="1">
      <alignment vertical="center"/>
    </xf>
    <xf numFmtId="0" fontId="3" fillId="0" borderId="2" xfId="0" applyFont="1" applyBorder="1">
      <alignment vertical="center"/>
    </xf>
    <xf numFmtId="177" fontId="4" fillId="0" borderId="34" xfId="0" applyNumberFormat="1" applyFont="1" applyBorder="1" applyAlignment="1">
      <alignment horizontal="center" vertical="center"/>
    </xf>
    <xf numFmtId="177" fontId="4" fillId="0" borderId="29" xfId="0" applyNumberFormat="1" applyFont="1" applyBorder="1" applyAlignment="1">
      <alignment horizontal="center" vertical="center"/>
    </xf>
    <xf numFmtId="177" fontId="4" fillId="0" borderId="30" xfId="0" applyNumberFormat="1" applyFont="1" applyBorder="1" applyAlignment="1">
      <alignment horizontal="center" vertical="center"/>
    </xf>
    <xf numFmtId="177" fontId="0" fillId="0" borderId="2" xfId="0" applyNumberFormat="1" applyBorder="1">
      <alignment vertical="center"/>
    </xf>
  </cellXfs>
  <cellStyles count="2">
    <cellStyle name="桁区切り" xfId="1" builtinId="6"/>
    <cellStyle name="標準" xfId="0" builtinId="0"/>
  </cellStyles>
  <dxfs count="1">
    <dxf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80963</xdr:colOff>
          <xdr:row>12</xdr:row>
          <xdr:rowOff>128588</xdr:rowOff>
        </xdr:from>
        <xdr:to>
          <xdr:col>2</xdr:col>
          <xdr:colOff>2319338</xdr:colOff>
          <xdr:row>15</xdr:row>
          <xdr:rowOff>233363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計算開始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CDBE4E-9312-4FAF-A162-FF71EAD1A769}">
  <sheetPr codeName="Sheet1"/>
  <dimension ref="B1:M16"/>
  <sheetViews>
    <sheetView zoomScaleNormal="100" workbookViewId="0">
      <selection activeCell="N6" sqref="N6"/>
    </sheetView>
  </sheetViews>
  <sheetFormatPr defaultRowHeight="18.75" x14ac:dyDescent="0.4"/>
  <cols>
    <col min="3" max="3" width="34.875" customWidth="1"/>
    <col min="4" max="4" width="11" bestFit="1" customWidth="1"/>
    <col min="5" max="5" width="5.125" customWidth="1"/>
    <col min="6" max="6" width="21.375" bestFit="1" customWidth="1"/>
    <col min="7" max="7" width="10.375" bestFit="1" customWidth="1"/>
    <col min="8" max="8" width="5.125" customWidth="1"/>
    <col min="9" max="9" width="20.25" customWidth="1"/>
    <col min="11" max="11" width="5.125" customWidth="1"/>
    <col min="12" max="12" width="18" customWidth="1"/>
  </cols>
  <sheetData>
    <row r="1" spans="2:13" ht="19.5" thickBot="1" x14ac:dyDescent="0.45"/>
    <row r="2" spans="2:13" ht="19.5" thickBot="1" x14ac:dyDescent="0.45">
      <c r="B2" s="8" t="s">
        <v>11</v>
      </c>
      <c r="C2" s="9" t="s">
        <v>12</v>
      </c>
      <c r="D2" s="10" t="s">
        <v>13</v>
      </c>
      <c r="F2" s="21" t="s">
        <v>300</v>
      </c>
      <c r="G2" s="23" t="s">
        <v>121</v>
      </c>
      <c r="I2" s="8" t="s">
        <v>301</v>
      </c>
      <c r="J2" s="10" t="s">
        <v>302</v>
      </c>
      <c r="L2" s="39" t="s">
        <v>303</v>
      </c>
      <c r="M2" s="30" t="s">
        <v>304</v>
      </c>
    </row>
    <row r="3" spans="2:13" x14ac:dyDescent="0.4">
      <c r="B3" s="7">
        <v>1</v>
      </c>
      <c r="C3" s="3" t="s">
        <v>207</v>
      </c>
      <c r="D3" s="38">
        <v>600</v>
      </c>
      <c r="F3" s="22" t="s">
        <v>30</v>
      </c>
      <c r="G3" s="24">
        <f>ROUNDUP(SUMIF(テンプレート!$B:$B,合計必要素材!F3,テンプレート!$C:$C),0)</f>
        <v>0</v>
      </c>
      <c r="I3" s="22" t="s">
        <v>160</v>
      </c>
      <c r="J3" s="24">
        <f>ROUNDUP(SUMIF(テンプレート!$B:$B,合計必要素材!I3,テンプレート!$C:$C),0)</f>
        <v>0</v>
      </c>
      <c r="L3" t="s">
        <v>320</v>
      </c>
      <c r="M3">
        <v>175</v>
      </c>
    </row>
    <row r="4" spans="2:13" x14ac:dyDescent="0.4">
      <c r="B4" s="4">
        <v>2</v>
      </c>
      <c r="C4" s="3"/>
      <c r="D4" s="25"/>
      <c r="F4" s="4" t="s">
        <v>53</v>
      </c>
      <c r="G4" s="25">
        <f>ROUNDUP(SUMIF(テンプレート!$B:$B,合計必要素材!F4,テンプレート!$C:$C),0)</f>
        <v>0</v>
      </c>
      <c r="I4" s="4" t="s">
        <v>161</v>
      </c>
      <c r="J4" s="25">
        <f>ROUNDUP(SUMIF(テンプレート!$B:$B,合計必要素材!I4,テンプレート!$C:$C),0)</f>
        <v>0</v>
      </c>
      <c r="L4" t="s">
        <v>309</v>
      </c>
      <c r="M4">
        <v>450</v>
      </c>
    </row>
    <row r="5" spans="2:13" x14ac:dyDescent="0.4">
      <c r="B5" s="4">
        <v>3</v>
      </c>
      <c r="C5" s="3"/>
      <c r="D5" s="25"/>
      <c r="F5" s="4" t="s">
        <v>32</v>
      </c>
      <c r="G5" s="25">
        <f>ROUNDUP(SUMIF(テンプレート!$B:$B,合計必要素材!F5,テンプレート!$C:$C),0)</f>
        <v>0</v>
      </c>
      <c r="I5" s="4" t="s">
        <v>170</v>
      </c>
      <c r="J5" s="25">
        <f>ROUNDUP(SUMIF(テンプレート!$B:$B,合計必要素材!I5,テンプレート!$C:$C),0)</f>
        <v>0</v>
      </c>
      <c r="L5" t="s">
        <v>308</v>
      </c>
      <c r="M5">
        <v>300</v>
      </c>
    </row>
    <row r="6" spans="2:13" x14ac:dyDescent="0.4">
      <c r="B6" s="4">
        <v>4</v>
      </c>
      <c r="C6" s="3"/>
      <c r="D6" s="25"/>
      <c r="F6" s="4" t="s">
        <v>37</v>
      </c>
      <c r="G6" s="25">
        <f>ROUNDUP(SUMIF(テンプレート!$B:$B,合計必要素材!F6,テンプレート!$C:$C),0)</f>
        <v>0</v>
      </c>
      <c r="I6" s="4" t="s">
        <v>168</v>
      </c>
      <c r="J6" s="25">
        <f>ROUNDUP(SUMIF(テンプレート!$B:$B,合計必要素材!I6,テンプレート!$C:$C),0)</f>
        <v>0</v>
      </c>
    </row>
    <row r="7" spans="2:13" x14ac:dyDescent="0.4">
      <c r="B7" s="4">
        <v>5</v>
      </c>
      <c r="C7" s="3"/>
      <c r="D7" s="25"/>
      <c r="F7" s="4" t="s">
        <v>34</v>
      </c>
      <c r="G7" s="25">
        <f>ROUNDUP(SUMIF(テンプレート!$B:$B,合計必要素材!F7,テンプレート!$C:$C),0)</f>
        <v>4700</v>
      </c>
      <c r="I7" s="4" t="s">
        <v>166</v>
      </c>
      <c r="J7" s="25">
        <f>ROUNDUP(SUMIF(テンプレート!$B:$B,合計必要素材!I7,テンプレート!$C:$C),0)</f>
        <v>0</v>
      </c>
    </row>
    <row r="8" spans="2:13" x14ac:dyDescent="0.4">
      <c r="B8" s="4">
        <v>6</v>
      </c>
      <c r="C8" s="3"/>
      <c r="D8" s="25"/>
      <c r="F8" s="4" t="s">
        <v>67</v>
      </c>
      <c r="G8" s="25">
        <f>ROUNDUP(SUMIF(テンプレート!$B:$B,合計必要素材!F8,テンプレート!$C:$C),0)</f>
        <v>400</v>
      </c>
      <c r="I8" s="4" t="s">
        <v>164</v>
      </c>
      <c r="J8" s="25">
        <f>ROUNDUP(SUMIF(テンプレート!$B:$B,合計必要素材!I8,テンプレート!$C:$C),0)</f>
        <v>0</v>
      </c>
    </row>
    <row r="9" spans="2:13" x14ac:dyDescent="0.4">
      <c r="B9" s="4">
        <v>7</v>
      </c>
      <c r="C9" s="3"/>
      <c r="D9" s="25"/>
      <c r="F9" s="4" t="s">
        <v>41</v>
      </c>
      <c r="G9" s="25">
        <f>ROUNDUP(SUMIF(テンプレート!$B:$B,合計必要素材!F9,テンプレート!$C:$C),0)</f>
        <v>0</v>
      </c>
      <c r="I9" s="4" t="s">
        <v>173</v>
      </c>
      <c r="J9" s="25">
        <f>ROUNDUP(SUMIF(テンプレート!$B:$B,合計必要素材!I9,テンプレート!$C:$C),0)</f>
        <v>0</v>
      </c>
    </row>
    <row r="10" spans="2:13" x14ac:dyDescent="0.4">
      <c r="B10" s="4">
        <v>8</v>
      </c>
      <c r="C10" s="3"/>
      <c r="D10" s="25"/>
      <c r="F10" s="4" t="s">
        <v>78</v>
      </c>
      <c r="G10" s="25">
        <f>ROUNDUP(SUMIF(テンプレート!$B:$B,合計必要素材!F10,テンプレート!$C:$C),0)</f>
        <v>579</v>
      </c>
      <c r="I10" s="4" t="s">
        <v>175</v>
      </c>
      <c r="J10" s="25">
        <f>ROUNDUP(SUMIF(テンプレート!$B:$B,合計必要素材!I10,テンプレート!$C:$C),0)</f>
        <v>0</v>
      </c>
    </row>
    <row r="11" spans="2:13" ht="19.5" thickBot="1" x14ac:dyDescent="0.45">
      <c r="B11" s="5">
        <v>9</v>
      </c>
      <c r="C11" s="6"/>
      <c r="D11" s="26"/>
      <c r="F11" s="4" t="s">
        <v>68</v>
      </c>
      <c r="G11" s="25">
        <f>ROUNDUP(SUMIF(テンプレート!$B:$B,合計必要素材!F11,テンプレート!$C:$C),0)</f>
        <v>0</v>
      </c>
      <c r="I11" s="4" t="s">
        <v>177</v>
      </c>
      <c r="J11" s="25">
        <f>ROUNDUP(SUMIF(テンプレート!$B:$B,合計必要素材!I11,テンプレート!$C:$C),0)</f>
        <v>0</v>
      </c>
    </row>
    <row r="12" spans="2:13" ht="19.5" thickBot="1" x14ac:dyDescent="0.45">
      <c r="F12" s="20" t="s">
        <v>186</v>
      </c>
      <c r="G12" s="37">
        <f>ROUNDUP(SUMIF(テンプレート!$B:$B,合計必要素材!F12,テンプレート!$C:$C),0)</f>
        <v>750</v>
      </c>
      <c r="I12" s="5" t="s">
        <v>251</v>
      </c>
      <c r="J12" s="26">
        <f>ROUNDUP(SUMIF(テンプレート!$B:$B,合計必要素材!I12,テンプレート!$C:$C),0)</f>
        <v>0</v>
      </c>
    </row>
    <row r="13" spans="2:13" x14ac:dyDescent="0.4">
      <c r="F13" s="22" t="s">
        <v>71</v>
      </c>
      <c r="G13" s="24">
        <f>ROUNDUP(SUMIF(テンプレート!$B:$B,合計必要素材!F13,テンプレート!$C:$C),0)</f>
        <v>600</v>
      </c>
    </row>
    <row r="14" spans="2:13" ht="19.5" thickBot="1" x14ac:dyDescent="0.45">
      <c r="F14" s="36" t="s">
        <v>107</v>
      </c>
      <c r="G14" s="37">
        <f>ROUNDUP(SUMIF(テンプレート!$B:$B,合計必要素材!F14,テンプレート!$C:$C),0)</f>
        <v>300</v>
      </c>
    </row>
    <row r="15" spans="2:13" x14ac:dyDescent="0.4">
      <c r="F15" s="22" t="s">
        <v>33</v>
      </c>
      <c r="G15" s="24">
        <f>ROUNDUP(SUMIF(テンプレート!$B:$B,合計必要素材!F15,テンプレート!$C:$C),0)</f>
        <v>322</v>
      </c>
    </row>
    <row r="16" spans="2:13" ht="19.5" thickBot="1" x14ac:dyDescent="0.45">
      <c r="F16" s="5" t="s">
        <v>181</v>
      </c>
      <c r="G16" s="26">
        <f>ROUNDUP(SUMIF(テンプレート!$B:$B,合計必要素材!F16,テンプレート!$C:$C),0)</f>
        <v>450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heet2.Update_Cells">
                <anchor moveWithCells="1" sizeWithCells="1">
                  <from>
                    <xdr:col>2</xdr:col>
                    <xdr:colOff>85725</xdr:colOff>
                    <xdr:row>12</xdr:row>
                    <xdr:rowOff>133350</xdr:rowOff>
                  </from>
                  <to>
                    <xdr:col>2</xdr:col>
                    <xdr:colOff>2324100</xdr:colOff>
                    <xdr:row>15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2FD6E-6BE6-4607-B926-4FE32EA4B92B}">
  <sheetPr codeName="Sheet5"/>
  <dimension ref="A1:P200"/>
  <sheetViews>
    <sheetView topLeftCell="A12" workbookViewId="0">
      <selection activeCell="L14" sqref="L14"/>
    </sheetView>
  </sheetViews>
  <sheetFormatPr defaultRowHeight="18.75" x14ac:dyDescent="0.4"/>
  <cols>
    <col min="1" max="1" width="5.75" style="2" customWidth="1"/>
    <col min="2" max="2" width="13" style="20" customWidth="1"/>
    <col min="3" max="3" width="11" style="35" bestFit="1" customWidth="1"/>
    <col min="4" max="4" width="28.25" style="2" customWidth="1"/>
    <col min="5" max="5" width="15.5" style="20" customWidth="1"/>
    <col min="6" max="8" width="15.5" style="12" customWidth="1"/>
    <col min="9" max="9" width="15.5" style="35" customWidth="1"/>
    <col min="10" max="10" width="6.25" style="20" customWidth="1"/>
    <col min="11" max="15" width="6.25" style="12" customWidth="1"/>
    <col min="16" max="16" width="6.25" style="35" customWidth="1"/>
  </cols>
  <sheetData>
    <row r="1" spans="1:16" ht="19.5" thickBot="1" x14ac:dyDescent="0.45">
      <c r="A1" s="43" t="s">
        <v>18</v>
      </c>
      <c r="B1" s="39" t="s">
        <v>122</v>
      </c>
      <c r="C1" s="30" t="s">
        <v>124</v>
      </c>
      <c r="D1" s="43" t="s">
        <v>123</v>
      </c>
      <c r="E1" s="39" t="s">
        <v>20</v>
      </c>
      <c r="F1" s="9" t="s">
        <v>21</v>
      </c>
      <c r="G1" s="9" t="s">
        <v>22</v>
      </c>
      <c r="H1" s="9" t="s">
        <v>23</v>
      </c>
      <c r="I1" s="30" t="s">
        <v>24</v>
      </c>
      <c r="J1" s="39" t="s">
        <v>83</v>
      </c>
      <c r="K1" s="9" t="s">
        <v>84</v>
      </c>
      <c r="L1" s="9" t="s">
        <v>85</v>
      </c>
      <c r="M1" s="9" t="s">
        <v>86</v>
      </c>
      <c r="N1" s="9" t="s">
        <v>87</v>
      </c>
      <c r="O1" s="9" t="s">
        <v>88</v>
      </c>
      <c r="P1" s="30" t="s">
        <v>66</v>
      </c>
    </row>
    <row r="2" spans="1:16" ht="19.5" customHeight="1" x14ac:dyDescent="0.4">
      <c r="A2" s="40" t="str">
        <f>使用レシピ!C2</f>
        <v>102</v>
      </c>
      <c r="B2" s="41">
        <f>IF($A2="","",SUMIF(テンプレート!$B:$B,製造アイテム数!$D2,テンプレート!$C:$C))</f>
        <v>0</v>
      </c>
      <c r="C2" s="35">
        <f>IFERROR(ROUNDUP(B2/P2,0),"")</f>
        <v>0</v>
      </c>
      <c r="D2" s="2" t="str">
        <f>使用レシピ!E2</f>
        <v>鉄のインゴット</v>
      </c>
      <c r="E2" s="20" t="str">
        <f>使用レシピ!F2</f>
        <v>鉄鉱石</v>
      </c>
      <c r="F2" s="12" t="str">
        <f>使用レシピ!G2</f>
        <v>水</v>
      </c>
      <c r="G2" s="12" t="str">
        <f>使用レシピ!H2</f>
        <v/>
      </c>
      <c r="H2" s="12" t="str">
        <f>使用レシピ!I2</f>
        <v/>
      </c>
      <c r="I2" s="35" t="str">
        <f>使用レシピ!J2</f>
        <v/>
      </c>
      <c r="J2" s="20">
        <f>使用レシピ!K2</f>
        <v>7</v>
      </c>
      <c r="K2" s="12">
        <f>使用レシピ!L2</f>
        <v>4</v>
      </c>
      <c r="L2" s="12" t="str">
        <f>使用レシピ!M2</f>
        <v/>
      </c>
      <c r="M2" s="12" t="str">
        <f>使用レシピ!N2</f>
        <v/>
      </c>
      <c r="N2" s="12" t="str">
        <f>使用レシピ!O2</f>
        <v/>
      </c>
      <c r="O2" s="12">
        <f>使用レシピ!P2</f>
        <v>13</v>
      </c>
      <c r="P2" s="35">
        <f>使用レシピ!Q2</f>
        <v>65</v>
      </c>
    </row>
    <row r="3" spans="1:16" ht="19.5" customHeight="1" x14ac:dyDescent="0.4">
      <c r="A3" s="40" t="str">
        <f>使用レシピ!C3</f>
        <v>201</v>
      </c>
      <c r="B3" s="41">
        <f>IF($A3="","",SUMIF(テンプレート!$B:$B,製造アイテム数!$D3,テンプレート!$C:$C))</f>
        <v>0</v>
      </c>
      <c r="C3" s="35">
        <f t="shared" ref="C3:C66" si="0">IFERROR(ROUNDUP(B3/P3,0),"")</f>
        <v>0</v>
      </c>
      <c r="D3" s="2" t="str">
        <f>使用レシピ!E3</f>
        <v>鉄鉱石</v>
      </c>
      <c r="E3" s="20" t="str">
        <f>使用レシピ!F3</f>
        <v/>
      </c>
      <c r="F3" s="12" t="str">
        <f>使用レシピ!G3</f>
        <v/>
      </c>
      <c r="G3" s="12" t="str">
        <f>使用レシピ!H3</f>
        <v/>
      </c>
      <c r="H3" s="12" t="str">
        <f>使用レシピ!I3</f>
        <v/>
      </c>
      <c r="I3" s="35" t="str">
        <f>使用レシピ!J3</f>
        <v/>
      </c>
      <c r="J3" s="20" t="str">
        <f>使用レシピ!K3</f>
        <v/>
      </c>
      <c r="K3" s="12" t="str">
        <f>使用レシピ!L3</f>
        <v/>
      </c>
      <c r="L3" s="12" t="str">
        <f>使用レシピ!M3</f>
        <v/>
      </c>
      <c r="M3" s="12" t="str">
        <f>使用レシピ!N3</f>
        <v/>
      </c>
      <c r="N3" s="12" t="str">
        <f>使用レシピ!O3</f>
        <v/>
      </c>
      <c r="O3" s="12">
        <f>使用レシピ!P3</f>
        <v>1</v>
      </c>
      <c r="P3" s="35">
        <f>使用レシピ!Q3</f>
        <v>1200</v>
      </c>
    </row>
    <row r="4" spans="1:16" ht="19.5" customHeight="1" x14ac:dyDescent="0.4">
      <c r="A4" s="40" t="str">
        <f>使用レシピ!C4</f>
        <v>301</v>
      </c>
      <c r="B4" s="41">
        <f>IF($A4="","",SUMIF(テンプレート!$B:$B,製造アイテム数!$D4,テンプレート!$C:$C))</f>
        <v>0</v>
      </c>
      <c r="C4" s="35">
        <f t="shared" si="0"/>
        <v>0</v>
      </c>
      <c r="D4" s="2" t="str">
        <f>使用レシピ!E4</f>
        <v>鉄板</v>
      </c>
      <c r="E4" s="20" t="str">
        <f>使用レシピ!F4</f>
        <v>鉄のインゴット</v>
      </c>
      <c r="F4" s="12" t="str">
        <f>使用レシピ!G4</f>
        <v/>
      </c>
      <c r="G4" s="12" t="str">
        <f>使用レシピ!H4</f>
        <v/>
      </c>
      <c r="H4" s="12" t="str">
        <f>使用レシピ!I4</f>
        <v/>
      </c>
      <c r="I4" s="35" t="str">
        <f>使用レシピ!J4</f>
        <v/>
      </c>
      <c r="J4" s="20">
        <f>使用レシピ!K4</f>
        <v>3</v>
      </c>
      <c r="K4" s="12" t="str">
        <f>使用レシピ!L4</f>
        <v/>
      </c>
      <c r="L4" s="12" t="str">
        <f>使用レシピ!M4</f>
        <v/>
      </c>
      <c r="M4" s="12" t="str">
        <f>使用レシピ!N4</f>
        <v/>
      </c>
      <c r="N4" s="12" t="str">
        <f>使用レシピ!O4</f>
        <v/>
      </c>
      <c r="O4" s="12">
        <f>使用レシピ!P4</f>
        <v>2</v>
      </c>
      <c r="P4" s="35">
        <f>使用レシピ!Q4</f>
        <v>20</v>
      </c>
    </row>
    <row r="5" spans="1:16" ht="19.5" customHeight="1" x14ac:dyDescent="0.4">
      <c r="A5" s="40" t="str">
        <f>使用レシピ!C5</f>
        <v>401</v>
      </c>
      <c r="B5" s="41">
        <f>IF($A5="","",SUMIF(テンプレート!$B:$B,製造アイテム数!$D5,テンプレート!$C:$C))</f>
        <v>0</v>
      </c>
      <c r="C5" s="35">
        <f t="shared" si="0"/>
        <v>0</v>
      </c>
      <c r="D5" s="2" t="str">
        <f>使用レシピ!E5</f>
        <v>鉄のロッド</v>
      </c>
      <c r="E5" s="20" t="str">
        <f>使用レシピ!F5</f>
        <v>鉄のインゴット</v>
      </c>
      <c r="F5" s="12" t="str">
        <f>使用レシピ!G5</f>
        <v/>
      </c>
      <c r="G5" s="12" t="str">
        <f>使用レシピ!H5</f>
        <v/>
      </c>
      <c r="H5" s="12" t="str">
        <f>使用レシピ!I5</f>
        <v/>
      </c>
      <c r="I5" s="35" t="str">
        <f>使用レシピ!J5</f>
        <v/>
      </c>
      <c r="J5" s="20">
        <f>使用レシピ!K5</f>
        <v>1</v>
      </c>
      <c r="K5" s="12" t="str">
        <f>使用レシピ!L5</f>
        <v/>
      </c>
      <c r="L5" s="12" t="str">
        <f>使用レシピ!M5</f>
        <v/>
      </c>
      <c r="M5" s="12" t="str">
        <f>使用レシピ!N5</f>
        <v/>
      </c>
      <c r="N5" s="12" t="str">
        <f>使用レシピ!O5</f>
        <v/>
      </c>
      <c r="O5" s="12">
        <f>使用レシピ!P5</f>
        <v>1</v>
      </c>
      <c r="P5" s="35">
        <f>使用レシピ!Q5</f>
        <v>15</v>
      </c>
    </row>
    <row r="6" spans="1:16" ht="19.5" customHeight="1" x14ac:dyDescent="0.4">
      <c r="A6" s="40" t="str">
        <f>使用レシピ!C6</f>
        <v>502</v>
      </c>
      <c r="B6" s="41">
        <f>IF($A6="","",SUMIF(テンプレート!$B:$B,製造アイテム数!$D6,テンプレート!$C:$C))</f>
        <v>0</v>
      </c>
      <c r="C6" s="35">
        <f t="shared" si="0"/>
        <v>0</v>
      </c>
      <c r="D6" s="2" t="str">
        <f>使用レシピ!E6</f>
        <v>強化鉄板</v>
      </c>
      <c r="E6" s="20" t="str">
        <f>使用レシピ!F6</f>
        <v>鉄板</v>
      </c>
      <c r="F6" s="12" t="str">
        <f>使用レシピ!G6</f>
        <v>ネジ</v>
      </c>
      <c r="G6" s="12" t="str">
        <f>使用レシピ!H6</f>
        <v/>
      </c>
      <c r="H6" s="12" t="str">
        <f>使用レシピ!I6</f>
        <v/>
      </c>
      <c r="I6" s="35" t="str">
        <f>使用レシピ!J6</f>
        <v/>
      </c>
      <c r="J6" s="20">
        <f>使用レシピ!K6</f>
        <v>18</v>
      </c>
      <c r="K6" s="12">
        <f>使用レシピ!L6</f>
        <v>50</v>
      </c>
      <c r="L6" s="12" t="str">
        <f>使用レシピ!M6</f>
        <v/>
      </c>
      <c r="M6" s="12" t="str">
        <f>使用レシピ!N6</f>
        <v/>
      </c>
      <c r="N6" s="12" t="str">
        <f>使用レシピ!O6</f>
        <v/>
      </c>
      <c r="O6" s="12">
        <f>使用レシピ!P6</f>
        <v>3</v>
      </c>
      <c r="P6" s="35">
        <f>使用レシピ!Q6</f>
        <v>15</v>
      </c>
    </row>
    <row r="7" spans="1:16" ht="19.5" customHeight="1" x14ac:dyDescent="0.4">
      <c r="A7" s="40" t="str">
        <f>使用レシピ!C7</f>
        <v>601</v>
      </c>
      <c r="B7" s="41">
        <f>IF($A7="","",SUMIF(テンプレート!$B:$B,製造アイテム数!$D7,テンプレート!$C:$C))</f>
        <v>0</v>
      </c>
      <c r="C7" s="35">
        <f t="shared" si="0"/>
        <v>0</v>
      </c>
      <c r="D7" s="2" t="str">
        <f>使用レシピ!E7</f>
        <v>ケーブル</v>
      </c>
      <c r="E7" s="20" t="str">
        <f>使用レシピ!F7</f>
        <v>ワイヤー</v>
      </c>
      <c r="F7" s="12" t="str">
        <f>使用レシピ!G7</f>
        <v/>
      </c>
      <c r="G7" s="12" t="str">
        <f>使用レシピ!H7</f>
        <v/>
      </c>
      <c r="H7" s="12" t="str">
        <f>使用レシピ!I7</f>
        <v/>
      </c>
      <c r="I7" s="35" t="str">
        <f>使用レシピ!J7</f>
        <v/>
      </c>
      <c r="J7" s="20">
        <f>使用レシピ!K7</f>
        <v>2</v>
      </c>
      <c r="K7" s="12" t="str">
        <f>使用レシピ!L7</f>
        <v/>
      </c>
      <c r="L7" s="12" t="str">
        <f>使用レシピ!M7</f>
        <v/>
      </c>
      <c r="M7" s="12" t="str">
        <f>使用レシピ!N7</f>
        <v/>
      </c>
      <c r="N7" s="12" t="str">
        <f>使用レシピ!O7</f>
        <v/>
      </c>
      <c r="O7" s="12">
        <f>使用レシピ!P7</f>
        <v>1</v>
      </c>
      <c r="P7" s="35">
        <f>使用レシピ!Q7</f>
        <v>30</v>
      </c>
    </row>
    <row r="8" spans="1:16" ht="19.5" customHeight="1" x14ac:dyDescent="0.4">
      <c r="A8" s="40" t="str">
        <f>使用レシピ!C8</f>
        <v>701</v>
      </c>
      <c r="B8" s="41">
        <f>IF($A8="","",SUMIF(テンプレート!$B:$B,製造アイテム数!$D8,テンプレート!$C:$C))</f>
        <v>0</v>
      </c>
      <c r="C8" s="42">
        <f t="shared" si="0"/>
        <v>0</v>
      </c>
      <c r="D8" s="2" t="str">
        <f>使用レシピ!E8</f>
        <v>ワイヤー</v>
      </c>
      <c r="E8" s="20" t="str">
        <f>使用レシピ!F8</f>
        <v>銅のインゴット</v>
      </c>
      <c r="F8" s="12" t="str">
        <f>使用レシピ!G8</f>
        <v/>
      </c>
      <c r="G8" s="12" t="str">
        <f>使用レシピ!H8</f>
        <v/>
      </c>
      <c r="H8" s="12" t="str">
        <f>使用レシピ!I8</f>
        <v/>
      </c>
      <c r="I8" s="35" t="str">
        <f>使用レシピ!J8</f>
        <v/>
      </c>
      <c r="J8" s="20">
        <f>使用レシピ!K8</f>
        <v>1</v>
      </c>
      <c r="K8" s="12" t="str">
        <f>使用レシピ!L8</f>
        <v/>
      </c>
      <c r="L8" s="12" t="str">
        <f>使用レシピ!M8</f>
        <v/>
      </c>
      <c r="M8" s="12" t="str">
        <f>使用レシピ!N8</f>
        <v/>
      </c>
      <c r="N8" s="12" t="str">
        <f>使用レシピ!O8</f>
        <v/>
      </c>
      <c r="O8" s="12">
        <f>使用レシピ!P8</f>
        <v>2</v>
      </c>
      <c r="P8" s="35">
        <f>使用レシピ!Q8</f>
        <v>30</v>
      </c>
    </row>
    <row r="9" spans="1:16" ht="19.5" customHeight="1" x14ac:dyDescent="0.4">
      <c r="A9" s="40" t="str">
        <f>使用レシピ!C9</f>
        <v>804</v>
      </c>
      <c r="B9" s="41">
        <f>IF($A9="","",SUMIF(テンプレート!$B:$B,製造アイテム数!$D9,テンプレート!$C:$C))</f>
        <v>0</v>
      </c>
      <c r="C9" s="35">
        <f t="shared" si="0"/>
        <v>0</v>
      </c>
      <c r="D9" s="2" t="str">
        <f>使用レシピ!E9</f>
        <v>銅のインゴット</v>
      </c>
      <c r="E9" s="20" t="str">
        <f>使用レシピ!F9</f>
        <v>銅鉱石</v>
      </c>
      <c r="F9" s="12" t="str">
        <f>使用レシピ!G9</f>
        <v>水</v>
      </c>
      <c r="G9" s="12" t="str">
        <f>使用レシピ!H9</f>
        <v/>
      </c>
      <c r="H9" s="12" t="str">
        <f>使用レシピ!I9</f>
        <v/>
      </c>
      <c r="I9" s="35" t="str">
        <f>使用レシピ!J9</f>
        <v/>
      </c>
      <c r="J9" s="20">
        <f>使用レシピ!K9</f>
        <v>6</v>
      </c>
      <c r="K9" s="12">
        <f>使用レシピ!L9</f>
        <v>4</v>
      </c>
      <c r="L9" s="12" t="str">
        <f>使用レシピ!M9</f>
        <v/>
      </c>
      <c r="M9" s="12" t="str">
        <f>使用レシピ!N9</f>
        <v/>
      </c>
      <c r="N9" s="12" t="str">
        <f>使用レシピ!O9</f>
        <v/>
      </c>
      <c r="O9" s="12">
        <f>使用レシピ!P9</f>
        <v>15</v>
      </c>
      <c r="P9" s="35">
        <f>使用レシピ!Q9</f>
        <v>37.5</v>
      </c>
    </row>
    <row r="10" spans="1:16" ht="19.5" customHeight="1" x14ac:dyDescent="0.4">
      <c r="A10" s="40" t="str">
        <f>使用レシピ!C10</f>
        <v>901</v>
      </c>
      <c r="B10" s="41">
        <f>IF($A10="","",SUMIF(テンプレート!$B:$B,製造アイテム数!$D10,テンプレート!$C:$C))</f>
        <v>0</v>
      </c>
      <c r="C10" s="35">
        <f t="shared" si="0"/>
        <v>0</v>
      </c>
      <c r="D10" s="2" t="str">
        <f>使用レシピ!E10</f>
        <v>銅鉱石</v>
      </c>
      <c r="E10" s="20" t="str">
        <f>使用レシピ!F10</f>
        <v/>
      </c>
      <c r="F10" s="12" t="str">
        <f>使用レシピ!G10</f>
        <v/>
      </c>
      <c r="G10" s="12" t="str">
        <f>使用レシピ!H10</f>
        <v/>
      </c>
      <c r="H10" s="12" t="str">
        <f>使用レシピ!I10</f>
        <v/>
      </c>
      <c r="I10" s="35" t="str">
        <f>使用レシピ!J10</f>
        <v/>
      </c>
      <c r="J10" s="20" t="str">
        <f>使用レシピ!K10</f>
        <v/>
      </c>
      <c r="K10" s="12" t="str">
        <f>使用レシピ!L10</f>
        <v/>
      </c>
      <c r="L10" s="12" t="str">
        <f>使用レシピ!M10</f>
        <v/>
      </c>
      <c r="M10" s="12" t="str">
        <f>使用レシピ!N10</f>
        <v/>
      </c>
      <c r="N10" s="12" t="str">
        <f>使用レシピ!O10</f>
        <v/>
      </c>
      <c r="O10" s="12">
        <f>使用レシピ!P10</f>
        <v>1</v>
      </c>
      <c r="P10" s="35">
        <f>使用レシピ!Q10</f>
        <v>1200</v>
      </c>
    </row>
    <row r="11" spans="1:16" ht="19.5" customHeight="1" x14ac:dyDescent="0.4">
      <c r="A11" s="40" t="str">
        <f>使用レシピ!C11</f>
        <v>1003</v>
      </c>
      <c r="B11" s="41">
        <f>IF($A11="","",SUMIF(テンプレート!$B:$B,製造アイテム数!$D11,テンプレート!$C:$C))</f>
        <v>0</v>
      </c>
      <c r="C11" s="35">
        <f t="shared" si="0"/>
        <v>0</v>
      </c>
      <c r="D11" s="2" t="str">
        <f>使用レシピ!E11</f>
        <v>コンクリート</v>
      </c>
      <c r="E11" s="20" t="str">
        <f>使用レシピ!F11</f>
        <v>石灰岩</v>
      </c>
      <c r="F11" s="12" t="str">
        <f>使用レシピ!G11</f>
        <v>水</v>
      </c>
      <c r="G11" s="12" t="str">
        <f>使用レシピ!H11</f>
        <v/>
      </c>
      <c r="H11" s="12" t="str">
        <f>使用レシピ!I11</f>
        <v/>
      </c>
      <c r="I11" s="35" t="str">
        <f>使用レシピ!J11</f>
        <v/>
      </c>
      <c r="J11" s="20">
        <f>使用レシピ!K11</f>
        <v>6</v>
      </c>
      <c r="K11" s="12">
        <f>使用レシピ!L11</f>
        <v>5</v>
      </c>
      <c r="L11" s="12" t="str">
        <f>使用レシピ!M11</f>
        <v/>
      </c>
      <c r="M11" s="12" t="str">
        <f>使用レシピ!N11</f>
        <v/>
      </c>
      <c r="N11" s="12" t="str">
        <f>使用レシピ!O11</f>
        <v/>
      </c>
      <c r="O11" s="12">
        <f>使用レシピ!P11</f>
        <v>4</v>
      </c>
      <c r="P11" s="35">
        <f>使用レシピ!Q11</f>
        <v>80</v>
      </c>
    </row>
    <row r="12" spans="1:16" ht="19.5" customHeight="1" x14ac:dyDescent="0.4">
      <c r="A12" s="40" t="str">
        <f>使用レシピ!C12</f>
        <v>1101</v>
      </c>
      <c r="B12" s="41">
        <f>IF($A12="","",SUMIF(テンプレート!$B:$B,製造アイテム数!$D12,テンプレート!$C:$C))</f>
        <v>0</v>
      </c>
      <c r="C12" s="35">
        <f t="shared" si="0"/>
        <v>0</v>
      </c>
      <c r="D12" s="2" t="str">
        <f>使用レシピ!E12</f>
        <v>石灰岩</v>
      </c>
      <c r="E12" s="20" t="str">
        <f>使用レシピ!F12</f>
        <v/>
      </c>
      <c r="F12" s="12" t="str">
        <f>使用レシピ!G12</f>
        <v/>
      </c>
      <c r="G12" s="12" t="str">
        <f>使用レシピ!H12</f>
        <v/>
      </c>
      <c r="H12" s="12" t="str">
        <f>使用レシピ!I12</f>
        <v/>
      </c>
      <c r="I12" s="35" t="str">
        <f>使用レシピ!J12</f>
        <v/>
      </c>
      <c r="J12" s="20" t="str">
        <f>使用レシピ!K12</f>
        <v/>
      </c>
      <c r="K12" s="12" t="str">
        <f>使用レシピ!L12</f>
        <v/>
      </c>
      <c r="L12" s="12" t="str">
        <f>使用レシピ!M12</f>
        <v/>
      </c>
      <c r="M12" s="12" t="str">
        <f>使用レシピ!N12</f>
        <v/>
      </c>
      <c r="N12" s="12" t="str">
        <f>使用レシピ!O12</f>
        <v/>
      </c>
      <c r="O12" s="12">
        <f>使用レシピ!P12</f>
        <v>1</v>
      </c>
      <c r="P12" s="35">
        <f>使用レシピ!Q12</f>
        <v>1200</v>
      </c>
    </row>
    <row r="13" spans="1:16" ht="19.5" customHeight="1" x14ac:dyDescent="0.4">
      <c r="A13" s="40" t="str">
        <f>使用レシピ!C13</f>
        <v>1202</v>
      </c>
      <c r="B13" s="41">
        <f>IF($A13="","",SUMIF(テンプレート!$B:$B,製造アイテム数!$D13,テンプレート!$C:$C))</f>
        <v>0</v>
      </c>
      <c r="C13" s="35">
        <f t="shared" si="0"/>
        <v>0</v>
      </c>
      <c r="D13" s="2" t="str">
        <f>使用レシピ!E13</f>
        <v>ネジ</v>
      </c>
      <c r="E13" s="20" t="str">
        <f>使用レシピ!F13</f>
        <v>鋼梁</v>
      </c>
      <c r="F13" s="12" t="str">
        <f>使用レシピ!G13</f>
        <v/>
      </c>
      <c r="G13" s="12" t="str">
        <f>使用レシピ!H13</f>
        <v/>
      </c>
      <c r="H13" s="12" t="str">
        <f>使用レシピ!I13</f>
        <v/>
      </c>
      <c r="I13" s="35" t="str">
        <f>使用レシピ!J13</f>
        <v/>
      </c>
      <c r="J13" s="20">
        <f>使用レシピ!K13</f>
        <v>1</v>
      </c>
      <c r="K13" s="12" t="str">
        <f>使用レシピ!L13</f>
        <v/>
      </c>
      <c r="L13" s="12" t="str">
        <f>使用レシピ!M13</f>
        <v/>
      </c>
      <c r="M13" s="12" t="str">
        <f>使用レシピ!N13</f>
        <v/>
      </c>
      <c r="N13" s="12" t="str">
        <f>使用レシピ!O13</f>
        <v/>
      </c>
      <c r="O13" s="12">
        <f>使用レシピ!P13</f>
        <v>52</v>
      </c>
      <c r="P13" s="35">
        <f>使用レシピ!Q13</f>
        <v>260</v>
      </c>
    </row>
    <row r="14" spans="1:16" ht="19.5" customHeight="1" x14ac:dyDescent="0.4">
      <c r="A14" s="40" t="str">
        <f>使用レシピ!C14</f>
        <v>1301</v>
      </c>
      <c r="B14" s="41">
        <f>IF($A14="","",SUMIF(テンプレート!$B:$B,製造アイテム数!$D14,テンプレート!$C:$C))</f>
        <v>0</v>
      </c>
      <c r="C14" s="35">
        <f t="shared" si="0"/>
        <v>0</v>
      </c>
      <c r="D14" s="2" t="str">
        <f>使用レシピ!E14</f>
        <v>バイオマス</v>
      </c>
      <c r="E14" s="20" t="str">
        <f>使用レシピ!F14</f>
        <v>木</v>
      </c>
      <c r="F14" s="12" t="str">
        <f>使用レシピ!G14</f>
        <v/>
      </c>
      <c r="G14" s="12" t="str">
        <f>使用レシピ!H14</f>
        <v/>
      </c>
      <c r="H14" s="12" t="str">
        <f>使用レシピ!I14</f>
        <v/>
      </c>
      <c r="I14" s="35" t="str">
        <f>使用レシピ!J14</f>
        <v/>
      </c>
      <c r="J14" s="20">
        <f>使用レシピ!K14</f>
        <v>4</v>
      </c>
      <c r="K14" s="12" t="str">
        <f>使用レシピ!L14</f>
        <v/>
      </c>
      <c r="L14" s="12" t="str">
        <f>使用レシピ!M14</f>
        <v/>
      </c>
      <c r="M14" s="12" t="str">
        <f>使用レシピ!N14</f>
        <v/>
      </c>
      <c r="N14" s="12" t="str">
        <f>使用レシピ!O14</f>
        <v/>
      </c>
      <c r="O14" s="12">
        <f>使用レシピ!P14</f>
        <v>20</v>
      </c>
      <c r="P14" s="35">
        <f>使用レシピ!Q14</f>
        <v>300</v>
      </c>
    </row>
    <row r="15" spans="1:16" ht="19.5" customHeight="1" x14ac:dyDescent="0.4">
      <c r="A15" s="40" t="str">
        <f>使用レシピ!C15</f>
        <v>1401</v>
      </c>
      <c r="B15" s="41">
        <f>IF($A15="","",SUMIF(テンプレート!$B:$B,製造アイテム数!$D15,テンプレート!$C:$C))</f>
        <v>0</v>
      </c>
      <c r="C15" s="35">
        <f t="shared" si="0"/>
        <v>0</v>
      </c>
      <c r="D15" s="2" t="str">
        <f>使用レシピ!E15</f>
        <v>木</v>
      </c>
      <c r="E15" s="20" t="str">
        <f>使用レシピ!F15</f>
        <v/>
      </c>
      <c r="F15" s="12" t="str">
        <f>使用レシピ!G15</f>
        <v/>
      </c>
      <c r="G15" s="12" t="str">
        <f>使用レシピ!H15</f>
        <v/>
      </c>
      <c r="H15" s="12" t="str">
        <f>使用レシピ!I15</f>
        <v/>
      </c>
      <c r="I15" s="35" t="str">
        <f>使用レシピ!J15</f>
        <v/>
      </c>
      <c r="J15" s="20" t="str">
        <f>使用レシピ!K15</f>
        <v/>
      </c>
      <c r="K15" s="12" t="str">
        <f>使用レシピ!L15</f>
        <v/>
      </c>
      <c r="L15" s="12" t="str">
        <f>使用レシピ!M15</f>
        <v/>
      </c>
      <c r="M15" s="12" t="str">
        <f>使用レシピ!N15</f>
        <v/>
      </c>
      <c r="N15" s="12" t="str">
        <f>使用レシピ!O15</f>
        <v/>
      </c>
      <c r="O15" s="12">
        <f>使用レシピ!P15</f>
        <v>1</v>
      </c>
      <c r="P15" s="35">
        <f>使用レシピ!Q15</f>
        <v>1</v>
      </c>
    </row>
    <row r="16" spans="1:16" ht="19.5" customHeight="1" x14ac:dyDescent="0.4">
      <c r="A16" s="40" t="str">
        <f>使用レシピ!C16</f>
        <v>1501</v>
      </c>
      <c r="B16" s="41">
        <f>IF($A16="","",SUMIF(テンプレート!$B:$B,製造アイテム数!$D16,テンプレート!$C:$C))</f>
        <v>0</v>
      </c>
      <c r="C16" s="35">
        <f t="shared" si="0"/>
        <v>0</v>
      </c>
      <c r="D16" s="2" t="str">
        <f>使用レシピ!E16</f>
        <v>葉</v>
      </c>
      <c r="E16" s="20" t="str">
        <f>使用レシピ!F16</f>
        <v/>
      </c>
      <c r="F16" s="12" t="str">
        <f>使用レシピ!G16</f>
        <v/>
      </c>
      <c r="G16" s="12" t="str">
        <f>使用レシピ!H16</f>
        <v/>
      </c>
      <c r="H16" s="12" t="str">
        <f>使用レシピ!I16</f>
        <v/>
      </c>
      <c r="I16" s="35" t="str">
        <f>使用レシピ!J16</f>
        <v/>
      </c>
      <c r="J16" s="20" t="str">
        <f>使用レシピ!K16</f>
        <v/>
      </c>
      <c r="K16" s="12" t="str">
        <f>使用レシピ!L16</f>
        <v/>
      </c>
      <c r="L16" s="12" t="str">
        <f>使用レシピ!M16</f>
        <v/>
      </c>
      <c r="M16" s="12" t="str">
        <f>使用レシピ!N16</f>
        <v/>
      </c>
      <c r="N16" s="12" t="str">
        <f>使用レシピ!O16</f>
        <v/>
      </c>
      <c r="O16" s="12">
        <f>使用レシピ!P16</f>
        <v>1</v>
      </c>
      <c r="P16" s="35">
        <f>使用レシピ!Q16</f>
        <v>1</v>
      </c>
    </row>
    <row r="17" spans="1:16" ht="19.5" customHeight="1" x14ac:dyDescent="0.4">
      <c r="A17" s="40" t="str">
        <f>使用レシピ!C17</f>
        <v>1601</v>
      </c>
      <c r="B17" s="41">
        <f>IF($A17="","",SUMIF(テンプレート!$B:$B,製造アイテム数!$D17,テンプレート!$C:$C))</f>
        <v>0</v>
      </c>
      <c r="C17" s="35">
        <f t="shared" si="0"/>
        <v>0</v>
      </c>
      <c r="D17" s="2" t="str">
        <f>使用レシピ!E17</f>
        <v>エイリアンのタンパク質</v>
      </c>
      <c r="E17" s="20" t="str">
        <f>使用レシピ!F17</f>
        <v>ホッグの遺骸</v>
      </c>
      <c r="F17" s="12" t="str">
        <f>使用レシピ!G17</f>
        <v/>
      </c>
      <c r="G17" s="12" t="str">
        <f>使用レシピ!H17</f>
        <v/>
      </c>
      <c r="H17" s="12" t="str">
        <f>使用レシピ!I17</f>
        <v/>
      </c>
      <c r="I17" s="35" t="str">
        <f>使用レシピ!J17</f>
        <v/>
      </c>
      <c r="J17" s="20">
        <f>使用レシピ!K17</f>
        <v>1</v>
      </c>
      <c r="K17" s="12" t="str">
        <f>使用レシピ!L17</f>
        <v/>
      </c>
      <c r="L17" s="12" t="str">
        <f>使用レシピ!M17</f>
        <v/>
      </c>
      <c r="M17" s="12" t="str">
        <f>使用レシピ!N17</f>
        <v/>
      </c>
      <c r="N17" s="12" t="str">
        <f>使用レシピ!O17</f>
        <v/>
      </c>
      <c r="O17" s="12">
        <f>使用レシピ!P17</f>
        <v>1</v>
      </c>
      <c r="P17" s="35">
        <f>使用レシピ!Q17</f>
        <v>20</v>
      </c>
    </row>
    <row r="18" spans="1:16" ht="19.5" customHeight="1" x14ac:dyDescent="0.4">
      <c r="A18" s="40" t="str">
        <f>使用レシピ!C18</f>
        <v>1701</v>
      </c>
      <c r="B18" s="41">
        <f>IF($A18="","",SUMIF(テンプレート!$B:$B,製造アイテム数!$D18,テンプレート!$C:$C))</f>
        <v>0</v>
      </c>
      <c r="C18" s="35">
        <f t="shared" si="0"/>
        <v>0</v>
      </c>
      <c r="D18" s="2" t="str">
        <f>使用レシピ!E18</f>
        <v>ホッグの遺骸</v>
      </c>
      <c r="E18" s="20" t="str">
        <f>使用レシピ!F18</f>
        <v/>
      </c>
      <c r="F18" s="12" t="str">
        <f>使用レシピ!G18</f>
        <v/>
      </c>
      <c r="G18" s="12" t="str">
        <f>使用レシピ!H18</f>
        <v/>
      </c>
      <c r="H18" s="12" t="str">
        <f>使用レシピ!I18</f>
        <v/>
      </c>
      <c r="I18" s="35" t="str">
        <f>使用レシピ!J18</f>
        <v/>
      </c>
      <c r="J18" s="20" t="str">
        <f>使用レシピ!K18</f>
        <v/>
      </c>
      <c r="K18" s="12" t="str">
        <f>使用レシピ!L18</f>
        <v/>
      </c>
      <c r="L18" s="12" t="str">
        <f>使用レシピ!M18</f>
        <v/>
      </c>
      <c r="M18" s="12" t="str">
        <f>使用レシピ!N18</f>
        <v/>
      </c>
      <c r="N18" s="12" t="str">
        <f>使用レシピ!O18</f>
        <v/>
      </c>
      <c r="O18" s="12">
        <f>使用レシピ!P18</f>
        <v>1</v>
      </c>
      <c r="P18" s="35">
        <f>使用レシピ!Q18</f>
        <v>1</v>
      </c>
    </row>
    <row r="19" spans="1:16" ht="19.5" customHeight="1" x14ac:dyDescent="0.4">
      <c r="A19" s="40" t="str">
        <f>使用レシピ!C19</f>
        <v>1801</v>
      </c>
      <c r="B19" s="41">
        <f>IF($A19="","",SUMIF(テンプレート!$B:$B,製造アイテム数!$D19,テンプレート!$C:$C))</f>
        <v>0</v>
      </c>
      <c r="C19" s="35">
        <f t="shared" si="0"/>
        <v>0</v>
      </c>
      <c r="D19" s="2" t="str">
        <f>使用レシピ!E19</f>
        <v>スピッターの遺骸</v>
      </c>
      <c r="E19" s="20" t="str">
        <f>使用レシピ!F19</f>
        <v/>
      </c>
      <c r="F19" s="12" t="str">
        <f>使用レシピ!G19</f>
        <v/>
      </c>
      <c r="G19" s="12" t="str">
        <f>使用レシピ!H19</f>
        <v/>
      </c>
      <c r="H19" s="12" t="str">
        <f>使用レシピ!I19</f>
        <v/>
      </c>
      <c r="I19" s="35" t="str">
        <f>使用レシピ!J19</f>
        <v/>
      </c>
      <c r="J19" s="20" t="str">
        <f>使用レシピ!K19</f>
        <v/>
      </c>
      <c r="K19" s="12" t="str">
        <f>使用レシピ!L19</f>
        <v/>
      </c>
      <c r="L19" s="12" t="str">
        <f>使用レシピ!M19</f>
        <v/>
      </c>
      <c r="M19" s="12" t="str">
        <f>使用レシピ!N19</f>
        <v/>
      </c>
      <c r="N19" s="12" t="str">
        <f>使用レシピ!O19</f>
        <v/>
      </c>
      <c r="O19" s="12">
        <f>使用レシピ!P19</f>
        <v>1</v>
      </c>
      <c r="P19" s="35">
        <f>使用レシピ!Q19</f>
        <v>1</v>
      </c>
    </row>
    <row r="20" spans="1:16" ht="19.5" customHeight="1" x14ac:dyDescent="0.4">
      <c r="A20" s="40" t="str">
        <f>使用レシピ!C20</f>
        <v>1901</v>
      </c>
      <c r="B20" s="41">
        <f>IF($A20="","",SUMIF(テンプレート!$B:$B,製造アイテム数!$D20,テンプレート!$C:$C))</f>
        <v>0</v>
      </c>
      <c r="C20" s="35">
        <f t="shared" si="0"/>
        <v>0</v>
      </c>
      <c r="D20" s="2" t="str">
        <f>使用レシピ!E20</f>
        <v>ハッチャーの遺骸</v>
      </c>
      <c r="E20" s="20" t="str">
        <f>使用レシピ!F20</f>
        <v/>
      </c>
      <c r="F20" s="12" t="str">
        <f>使用レシピ!G20</f>
        <v/>
      </c>
      <c r="G20" s="12" t="str">
        <f>使用レシピ!H20</f>
        <v/>
      </c>
      <c r="H20" s="12" t="str">
        <f>使用レシピ!I20</f>
        <v/>
      </c>
      <c r="I20" s="35" t="str">
        <f>使用レシピ!J20</f>
        <v/>
      </c>
      <c r="J20" s="20" t="str">
        <f>使用レシピ!K20</f>
        <v/>
      </c>
      <c r="K20" s="12" t="str">
        <f>使用レシピ!L20</f>
        <v/>
      </c>
      <c r="L20" s="12" t="str">
        <f>使用レシピ!M20</f>
        <v/>
      </c>
      <c r="M20" s="12" t="str">
        <f>使用レシピ!N20</f>
        <v/>
      </c>
      <c r="N20" s="12" t="str">
        <f>使用レシピ!O20</f>
        <v/>
      </c>
      <c r="O20" s="12">
        <f>使用レシピ!P20</f>
        <v>1</v>
      </c>
      <c r="P20" s="35">
        <f>使用レシピ!Q20</f>
        <v>1</v>
      </c>
    </row>
    <row r="21" spans="1:16" ht="19.5" customHeight="1" x14ac:dyDescent="0.4">
      <c r="A21" s="40" t="str">
        <f>使用レシピ!C21</f>
        <v>2001</v>
      </c>
      <c r="B21" s="41">
        <f>IF($A21="","",SUMIF(テンプレート!$B:$B,製造アイテム数!$D21,テンプレート!$C:$C))</f>
        <v>0</v>
      </c>
      <c r="C21" s="35">
        <f t="shared" si="0"/>
        <v>0</v>
      </c>
      <c r="D21" s="2" t="str">
        <f>使用レシピ!E21</f>
        <v>スティンガーの遺骸</v>
      </c>
      <c r="E21" s="20" t="str">
        <f>使用レシピ!F21</f>
        <v/>
      </c>
      <c r="F21" s="12" t="str">
        <f>使用レシピ!G21</f>
        <v/>
      </c>
      <c r="G21" s="12" t="str">
        <f>使用レシピ!H21</f>
        <v/>
      </c>
      <c r="H21" s="12" t="str">
        <f>使用レシピ!I21</f>
        <v/>
      </c>
      <c r="I21" s="35" t="str">
        <f>使用レシピ!J21</f>
        <v/>
      </c>
      <c r="J21" s="20" t="str">
        <f>使用レシピ!K21</f>
        <v/>
      </c>
      <c r="K21" s="12" t="str">
        <f>使用レシピ!L21</f>
        <v/>
      </c>
      <c r="L21" s="12" t="str">
        <f>使用レシピ!M21</f>
        <v/>
      </c>
      <c r="M21" s="12" t="str">
        <f>使用レシピ!N21</f>
        <v/>
      </c>
      <c r="N21" s="12" t="str">
        <f>使用レシピ!O21</f>
        <v/>
      </c>
      <c r="O21" s="12">
        <f>使用レシピ!P21</f>
        <v>1</v>
      </c>
      <c r="P21" s="35">
        <f>使用レシピ!Q21</f>
        <v>1</v>
      </c>
    </row>
    <row r="22" spans="1:16" ht="19.5" customHeight="1" x14ac:dyDescent="0.4">
      <c r="A22" s="40" t="str">
        <f>使用レシピ!C22</f>
        <v>2104</v>
      </c>
      <c r="B22" s="41">
        <f>IF($A22="","",SUMIF(テンプレート!$B:$B,製造アイテム数!$D22,テンプレート!$C:$C))</f>
        <v>37.5</v>
      </c>
      <c r="C22" s="35">
        <f t="shared" si="0"/>
        <v>8</v>
      </c>
      <c r="D22" s="2" t="str">
        <f>使用レシピ!E22</f>
        <v>パワー・シャード</v>
      </c>
      <c r="E22" s="20" t="str">
        <f>使用レシピ!F22</f>
        <v>時の結晶</v>
      </c>
      <c r="F22" s="12" t="str">
        <f>使用レシピ!G22</f>
        <v>ダークマターの結晶</v>
      </c>
      <c r="G22" s="12" t="str">
        <f>使用レシピ!H22</f>
        <v>石英結晶</v>
      </c>
      <c r="H22" s="12" t="str">
        <f>使用レシピ!I22</f>
        <v>励起フォトニック物質</v>
      </c>
      <c r="I22" s="35" t="str">
        <f>使用レシピ!J22</f>
        <v>ダークマターの残留物</v>
      </c>
      <c r="J22" s="20">
        <f>使用レシピ!K22</f>
        <v>2</v>
      </c>
      <c r="K22" s="12">
        <f>使用レシピ!L22</f>
        <v>2</v>
      </c>
      <c r="L22" s="12">
        <f>使用レシピ!M22</f>
        <v>12</v>
      </c>
      <c r="M22" s="12">
        <f>使用レシピ!N22</f>
        <v>12</v>
      </c>
      <c r="N22" s="12">
        <f>使用レシピ!O22</f>
        <v>12</v>
      </c>
      <c r="O22" s="12">
        <f>使用レシピ!P22</f>
        <v>1</v>
      </c>
      <c r="P22" s="35">
        <f>使用レシピ!Q22</f>
        <v>5</v>
      </c>
    </row>
    <row r="23" spans="1:16" ht="19.5" customHeight="1" x14ac:dyDescent="0.4">
      <c r="A23" s="40" t="str">
        <f>使用レシピ!C23</f>
        <v>2201</v>
      </c>
      <c r="B23" s="41">
        <f>IF($A23="","",SUMIF(テンプレート!$B:$B,製造アイテム数!$D23,テンプレート!$C:$C))</f>
        <v>0</v>
      </c>
      <c r="C23" s="35">
        <f t="shared" si="0"/>
        <v>0</v>
      </c>
      <c r="D23" s="2" t="str">
        <f>使用レシピ!E23</f>
        <v>青のパワー・スラッグ</v>
      </c>
      <c r="E23" s="20" t="str">
        <f>使用レシピ!F23</f>
        <v/>
      </c>
      <c r="F23" s="12" t="str">
        <f>使用レシピ!G23</f>
        <v/>
      </c>
      <c r="G23" s="12" t="str">
        <f>使用レシピ!H23</f>
        <v/>
      </c>
      <c r="H23" s="12" t="str">
        <f>使用レシピ!I23</f>
        <v/>
      </c>
      <c r="I23" s="35" t="str">
        <f>使用レシピ!J23</f>
        <v/>
      </c>
      <c r="J23" s="20" t="str">
        <f>使用レシピ!K23</f>
        <v/>
      </c>
      <c r="K23" s="12" t="str">
        <f>使用レシピ!L23</f>
        <v/>
      </c>
      <c r="L23" s="12" t="str">
        <f>使用レシピ!M23</f>
        <v/>
      </c>
      <c r="M23" s="12" t="str">
        <f>使用レシピ!N23</f>
        <v/>
      </c>
      <c r="N23" s="12" t="str">
        <f>使用レシピ!O23</f>
        <v/>
      </c>
      <c r="O23" s="12">
        <f>使用レシピ!P23</f>
        <v>1</v>
      </c>
      <c r="P23" s="35">
        <f>使用レシピ!Q23</f>
        <v>1</v>
      </c>
    </row>
    <row r="24" spans="1:16" ht="19.5" customHeight="1" x14ac:dyDescent="0.4">
      <c r="A24" s="40" t="str">
        <f>使用レシピ!C24</f>
        <v>2301</v>
      </c>
      <c r="B24" s="41">
        <f>IF($A24="","",SUMIF(テンプレート!$B:$B,製造アイテム数!$D24,テンプレート!$C:$C))</f>
        <v>0</v>
      </c>
      <c r="C24" s="35">
        <f t="shared" si="0"/>
        <v>0</v>
      </c>
      <c r="D24" s="2" t="str">
        <f>使用レシピ!E24</f>
        <v>黄のパワー・スラッグ</v>
      </c>
      <c r="E24" s="20" t="str">
        <f>使用レシピ!F24</f>
        <v/>
      </c>
      <c r="F24" s="12" t="str">
        <f>使用レシピ!G24</f>
        <v/>
      </c>
      <c r="G24" s="12" t="str">
        <f>使用レシピ!H24</f>
        <v/>
      </c>
      <c r="H24" s="12" t="str">
        <f>使用レシピ!I24</f>
        <v/>
      </c>
      <c r="I24" s="35" t="str">
        <f>使用レシピ!J24</f>
        <v/>
      </c>
      <c r="J24" s="20" t="str">
        <f>使用レシピ!K24</f>
        <v/>
      </c>
      <c r="K24" s="12" t="str">
        <f>使用レシピ!L24</f>
        <v/>
      </c>
      <c r="L24" s="12" t="str">
        <f>使用レシピ!M24</f>
        <v/>
      </c>
      <c r="M24" s="12" t="str">
        <f>使用レシピ!N24</f>
        <v/>
      </c>
      <c r="N24" s="12" t="str">
        <f>使用レシピ!O24</f>
        <v/>
      </c>
      <c r="O24" s="12">
        <f>使用レシピ!P24</f>
        <v>1</v>
      </c>
      <c r="P24" s="35">
        <f>使用レシピ!Q24</f>
        <v>1</v>
      </c>
    </row>
    <row r="25" spans="1:16" ht="19.5" customHeight="1" x14ac:dyDescent="0.4">
      <c r="A25" s="40" t="str">
        <f>使用レシピ!C25</f>
        <v>2401</v>
      </c>
      <c r="B25" s="41">
        <f>IF($A25="","",SUMIF(テンプレート!$B:$B,製造アイテム数!$D25,テンプレート!$C:$C))</f>
        <v>0</v>
      </c>
      <c r="C25" s="35">
        <f t="shared" si="0"/>
        <v>0</v>
      </c>
      <c r="D25" s="2" t="str">
        <f>使用レシピ!E25</f>
        <v>紫のパワー・スラッグ</v>
      </c>
      <c r="E25" s="20" t="str">
        <f>使用レシピ!F25</f>
        <v/>
      </c>
      <c r="F25" s="12" t="str">
        <f>使用レシピ!G25</f>
        <v/>
      </c>
      <c r="G25" s="12" t="str">
        <f>使用レシピ!H25</f>
        <v/>
      </c>
      <c r="H25" s="12" t="str">
        <f>使用レシピ!I25</f>
        <v/>
      </c>
      <c r="I25" s="35" t="str">
        <f>使用レシピ!J25</f>
        <v/>
      </c>
      <c r="J25" s="20" t="str">
        <f>使用レシピ!K25</f>
        <v/>
      </c>
      <c r="K25" s="12" t="str">
        <f>使用レシピ!L25</f>
        <v/>
      </c>
      <c r="L25" s="12" t="str">
        <f>使用レシピ!M25</f>
        <v/>
      </c>
      <c r="M25" s="12" t="str">
        <f>使用レシピ!N25</f>
        <v/>
      </c>
      <c r="N25" s="12" t="str">
        <f>使用レシピ!O25</f>
        <v/>
      </c>
      <c r="O25" s="12">
        <f>使用レシピ!P25</f>
        <v>1</v>
      </c>
      <c r="P25" s="35">
        <f>使用レシピ!Q25</f>
        <v>1</v>
      </c>
    </row>
    <row r="26" spans="1:16" ht="19.5" customHeight="1" x14ac:dyDescent="0.4">
      <c r="A26" s="40" t="str">
        <f>使用レシピ!C26</f>
        <v>2501</v>
      </c>
      <c r="B26" s="41">
        <f>IF($A26="","",SUMIF(テンプレート!$B:$B,製造アイテム数!$D26,テンプレート!$C:$C))</f>
        <v>0</v>
      </c>
      <c r="C26" s="35">
        <f t="shared" si="0"/>
        <v>0</v>
      </c>
      <c r="D26" s="2" t="str">
        <f>使用レシピ!E26</f>
        <v>固体バイオ燃料</v>
      </c>
      <c r="E26" s="20" t="str">
        <f>使用レシピ!F26</f>
        <v>バイオマス</v>
      </c>
      <c r="F26" s="12" t="str">
        <f>使用レシピ!G26</f>
        <v/>
      </c>
      <c r="G26" s="12" t="str">
        <f>使用レシピ!H26</f>
        <v/>
      </c>
      <c r="H26" s="12" t="str">
        <f>使用レシピ!I26</f>
        <v/>
      </c>
      <c r="I26" s="35" t="str">
        <f>使用レシピ!J26</f>
        <v/>
      </c>
      <c r="J26" s="20">
        <f>使用レシピ!K26</f>
        <v>8</v>
      </c>
      <c r="K26" s="12" t="str">
        <f>使用レシピ!L26</f>
        <v/>
      </c>
      <c r="L26" s="12" t="str">
        <f>使用レシピ!M26</f>
        <v/>
      </c>
      <c r="M26" s="12" t="str">
        <f>使用レシピ!N26</f>
        <v/>
      </c>
      <c r="N26" s="12" t="str">
        <f>使用レシピ!O26</f>
        <v/>
      </c>
      <c r="O26" s="12">
        <f>使用レシピ!P26</f>
        <v>4</v>
      </c>
      <c r="P26" s="35">
        <f>使用レシピ!Q26</f>
        <v>60</v>
      </c>
    </row>
    <row r="27" spans="1:16" ht="19.5" customHeight="1" x14ac:dyDescent="0.4">
      <c r="A27" s="40" t="str">
        <f>使用レシピ!C27</f>
        <v>2601</v>
      </c>
      <c r="B27" s="41">
        <f>IF($A27="","",SUMIF(テンプレート!$B:$B,製造アイテム数!$D27,テンプレート!$C:$C))</f>
        <v>0</v>
      </c>
      <c r="C27" s="35">
        <f t="shared" si="0"/>
        <v>0</v>
      </c>
      <c r="D27" s="2" t="str">
        <f>使用レシピ!E27</f>
        <v>ローター</v>
      </c>
      <c r="E27" s="20" t="str">
        <f>使用レシピ!F27</f>
        <v>鉄のロッド</v>
      </c>
      <c r="F27" s="12" t="str">
        <f>使用レシピ!G27</f>
        <v>ネジ</v>
      </c>
      <c r="G27" s="12" t="str">
        <f>使用レシピ!H27</f>
        <v/>
      </c>
      <c r="H27" s="12" t="str">
        <f>使用レシピ!I27</f>
        <v/>
      </c>
      <c r="I27" s="35" t="str">
        <f>使用レシピ!J27</f>
        <v/>
      </c>
      <c r="J27" s="20">
        <f>使用レシピ!K27</f>
        <v>5</v>
      </c>
      <c r="K27" s="12">
        <f>使用レシピ!L27</f>
        <v>25</v>
      </c>
      <c r="L27" s="12" t="str">
        <f>使用レシピ!M27</f>
        <v/>
      </c>
      <c r="M27" s="12" t="str">
        <f>使用レシピ!N27</f>
        <v/>
      </c>
      <c r="N27" s="12" t="str">
        <f>使用レシピ!O27</f>
        <v/>
      </c>
      <c r="O27" s="12">
        <f>使用レシピ!P27</f>
        <v>1</v>
      </c>
      <c r="P27" s="35">
        <f>使用レシピ!Q27</f>
        <v>4</v>
      </c>
    </row>
    <row r="28" spans="1:16" ht="19.5" customHeight="1" x14ac:dyDescent="0.4">
      <c r="A28" s="40" t="str">
        <f>使用レシピ!C28</f>
        <v>2702</v>
      </c>
      <c r="B28" s="41">
        <f>IF($A28="","",SUMIF(テンプレート!$B:$B,製造アイテム数!$D28,テンプレート!$C:$C))</f>
        <v>0</v>
      </c>
      <c r="C28" s="35">
        <f t="shared" si="0"/>
        <v>0</v>
      </c>
      <c r="D28" s="2" t="str">
        <f>使用レシピ!E28</f>
        <v>銅板</v>
      </c>
      <c r="E28" s="20" t="str">
        <f>使用レシピ!F28</f>
        <v>銅のインゴット</v>
      </c>
      <c r="F28" s="12" t="str">
        <f>使用レシピ!G28</f>
        <v>水</v>
      </c>
      <c r="G28" s="12" t="str">
        <f>使用レシピ!H28</f>
        <v/>
      </c>
      <c r="H28" s="12" t="str">
        <f>使用レシピ!I28</f>
        <v/>
      </c>
      <c r="I28" s="35" t="str">
        <f>使用レシピ!J28</f>
        <v/>
      </c>
      <c r="J28" s="20">
        <f>使用レシピ!K28</f>
        <v>3</v>
      </c>
      <c r="K28" s="12">
        <f>使用レシピ!L28</f>
        <v>3</v>
      </c>
      <c r="L28" s="12" t="str">
        <f>使用レシピ!M28</f>
        <v/>
      </c>
      <c r="M28" s="12" t="str">
        <f>使用レシピ!N28</f>
        <v/>
      </c>
      <c r="N28" s="12" t="str">
        <f>使用レシピ!O28</f>
        <v/>
      </c>
      <c r="O28" s="12">
        <f>使用レシピ!P28</f>
        <v>3</v>
      </c>
      <c r="P28" s="35">
        <f>使用レシピ!Q28</f>
        <v>22.5</v>
      </c>
    </row>
    <row r="29" spans="1:16" ht="19.5" customHeight="1" x14ac:dyDescent="0.4">
      <c r="A29" s="40" t="str">
        <f>使用レシピ!C29</f>
        <v>2802</v>
      </c>
      <c r="B29" s="41">
        <f>IF($A29="","",SUMIF(テンプレート!$B:$B,製造アイテム数!$D29,テンプレート!$C:$C))</f>
        <v>0</v>
      </c>
      <c r="C29" s="35">
        <f t="shared" si="0"/>
        <v>0</v>
      </c>
      <c r="D29" s="2" t="str">
        <f>使用レシピ!E29</f>
        <v>モジュラー・フレーム</v>
      </c>
      <c r="E29" s="20" t="str">
        <f>使用レシピ!F29</f>
        <v>強化鉄板</v>
      </c>
      <c r="F29" s="12" t="str">
        <f>使用レシピ!G29</f>
        <v>ネジ</v>
      </c>
      <c r="G29" s="12" t="str">
        <f>使用レシピ!H29</f>
        <v/>
      </c>
      <c r="H29" s="12" t="str">
        <f>使用レシピ!I29</f>
        <v/>
      </c>
      <c r="I29" s="35" t="str">
        <f>使用レシピ!J29</f>
        <v/>
      </c>
      <c r="J29" s="20">
        <f>使用レシピ!K29</f>
        <v>3</v>
      </c>
      <c r="K29" s="12">
        <f>使用レシピ!L29</f>
        <v>56</v>
      </c>
      <c r="L29" s="12" t="str">
        <f>使用レシピ!M29</f>
        <v/>
      </c>
      <c r="M29" s="12" t="str">
        <f>使用レシピ!N29</f>
        <v/>
      </c>
      <c r="N29" s="12" t="str">
        <f>使用レシピ!O29</f>
        <v/>
      </c>
      <c r="O29" s="12">
        <f>使用レシピ!P29</f>
        <v>2</v>
      </c>
      <c r="P29" s="35">
        <f>使用レシピ!Q29</f>
        <v>5</v>
      </c>
    </row>
    <row r="30" spans="1:16" ht="19.5" customHeight="1" x14ac:dyDescent="0.4">
      <c r="A30" s="40" t="str">
        <f>使用レシピ!C30</f>
        <v>2901</v>
      </c>
      <c r="B30" s="41">
        <f>IF($A30="","",SUMIF(テンプレート!$B:$B,製造アイテム数!$D30,テンプレート!$C:$C))</f>
        <v>0</v>
      </c>
      <c r="C30" s="35">
        <f t="shared" si="0"/>
        <v>0</v>
      </c>
      <c r="D30" s="2" t="str">
        <f>使用レシピ!E30</f>
        <v>スマート・プレート</v>
      </c>
      <c r="E30" s="20" t="str">
        <f>使用レシピ!F30</f>
        <v>強化鉄板</v>
      </c>
      <c r="F30" s="12" t="str">
        <f>使用レシピ!G30</f>
        <v>ローター</v>
      </c>
      <c r="G30" s="12" t="str">
        <f>使用レシピ!H30</f>
        <v/>
      </c>
      <c r="H30" s="12" t="str">
        <f>使用レシピ!I30</f>
        <v/>
      </c>
      <c r="I30" s="35" t="str">
        <f>使用レシピ!J30</f>
        <v/>
      </c>
      <c r="J30" s="20">
        <f>使用レシピ!K30</f>
        <v>1</v>
      </c>
      <c r="K30" s="12">
        <f>使用レシピ!L30</f>
        <v>1</v>
      </c>
      <c r="L30" s="12" t="str">
        <f>使用レシピ!M30</f>
        <v/>
      </c>
      <c r="M30" s="12" t="str">
        <f>使用レシピ!N30</f>
        <v/>
      </c>
      <c r="N30" s="12" t="str">
        <f>使用レシピ!O30</f>
        <v/>
      </c>
      <c r="O30" s="12">
        <f>使用レシピ!P30</f>
        <v>1</v>
      </c>
      <c r="P30" s="35">
        <f>使用レシピ!Q30</f>
        <v>2</v>
      </c>
    </row>
    <row r="31" spans="1:16" ht="19.5" customHeight="1" x14ac:dyDescent="0.4">
      <c r="A31" s="40" t="str">
        <f>使用レシピ!C31</f>
        <v>3001</v>
      </c>
      <c r="B31" s="41">
        <f>IF($A31="","",SUMIF(テンプレート!$B:$B,製造アイテム数!$D31,テンプレート!$C:$C))</f>
        <v>0</v>
      </c>
      <c r="C31" s="35">
        <f t="shared" si="0"/>
        <v>0</v>
      </c>
      <c r="D31" s="2" t="str">
        <f>使用レシピ!E31</f>
        <v>黒色火薬</v>
      </c>
      <c r="E31" s="20" t="str">
        <f>使用レシピ!F31</f>
        <v>石炭</v>
      </c>
      <c r="F31" s="12" t="str">
        <f>使用レシピ!G31</f>
        <v>硫黄</v>
      </c>
      <c r="G31" s="12" t="str">
        <f>使用レシピ!H31</f>
        <v/>
      </c>
      <c r="H31" s="12" t="str">
        <f>使用レシピ!I31</f>
        <v/>
      </c>
      <c r="I31" s="35" t="str">
        <f>使用レシピ!J31</f>
        <v/>
      </c>
      <c r="J31" s="20">
        <f>使用レシピ!K31</f>
        <v>1</v>
      </c>
      <c r="K31" s="12">
        <f>使用レシピ!L31</f>
        <v>1</v>
      </c>
      <c r="L31" s="12" t="str">
        <f>使用レシピ!M31</f>
        <v/>
      </c>
      <c r="M31" s="12" t="str">
        <f>使用レシピ!N31</f>
        <v/>
      </c>
      <c r="N31" s="12" t="str">
        <f>使用レシピ!O31</f>
        <v/>
      </c>
      <c r="O31" s="12">
        <f>使用レシピ!P31</f>
        <v>2</v>
      </c>
      <c r="P31" s="35">
        <f>使用レシピ!Q31</f>
        <v>30</v>
      </c>
    </row>
    <row r="32" spans="1:16" ht="19.5" customHeight="1" x14ac:dyDescent="0.4">
      <c r="A32" s="40" t="str">
        <f>使用レシピ!C32</f>
        <v>3101</v>
      </c>
      <c r="B32" s="41">
        <f>IF($A32="","",SUMIF(テンプレート!$B:$B,製造アイテム数!$D32,テンプレート!$C:$C))</f>
        <v>4700</v>
      </c>
      <c r="C32" s="35">
        <f t="shared" si="0"/>
        <v>4</v>
      </c>
      <c r="D32" s="2" t="str">
        <f>使用レシピ!E32</f>
        <v>石炭</v>
      </c>
      <c r="E32" s="20" t="str">
        <f>使用レシピ!F32</f>
        <v/>
      </c>
      <c r="F32" s="12" t="str">
        <f>使用レシピ!G32</f>
        <v/>
      </c>
      <c r="G32" s="12" t="str">
        <f>使用レシピ!H32</f>
        <v/>
      </c>
      <c r="H32" s="12" t="str">
        <f>使用レシピ!I32</f>
        <v/>
      </c>
      <c r="I32" s="35" t="str">
        <f>使用レシピ!J32</f>
        <v/>
      </c>
      <c r="J32" s="20" t="str">
        <f>使用レシピ!K32</f>
        <v/>
      </c>
      <c r="K32" s="12" t="str">
        <f>使用レシピ!L32</f>
        <v/>
      </c>
      <c r="L32" s="12" t="str">
        <f>使用レシピ!M32</f>
        <v/>
      </c>
      <c r="M32" s="12" t="str">
        <f>使用レシピ!N32</f>
        <v/>
      </c>
      <c r="N32" s="12" t="str">
        <f>使用レシピ!O32</f>
        <v/>
      </c>
      <c r="O32" s="12">
        <f>使用レシピ!P32</f>
        <v>1</v>
      </c>
      <c r="P32" s="35">
        <f>使用レシピ!Q32</f>
        <v>1200</v>
      </c>
    </row>
    <row r="33" spans="1:16" ht="19.5" customHeight="1" x14ac:dyDescent="0.4">
      <c r="A33" s="40" t="str">
        <f>使用レシピ!C33</f>
        <v>3201</v>
      </c>
      <c r="B33" s="41">
        <f>IF($A33="","",SUMIF(テンプレート!$B:$B,製造アイテム数!$D33,テンプレート!$C:$C))</f>
        <v>400</v>
      </c>
      <c r="C33" s="35">
        <f t="shared" si="0"/>
        <v>1</v>
      </c>
      <c r="D33" s="2" t="str">
        <f>使用レシピ!E33</f>
        <v>硫黄</v>
      </c>
      <c r="E33" s="20" t="str">
        <f>使用レシピ!F33</f>
        <v/>
      </c>
      <c r="F33" s="12" t="str">
        <f>使用レシピ!G33</f>
        <v/>
      </c>
      <c r="G33" s="12" t="str">
        <f>使用レシピ!H33</f>
        <v/>
      </c>
      <c r="H33" s="12" t="str">
        <f>使用レシピ!I33</f>
        <v/>
      </c>
      <c r="I33" s="35" t="str">
        <f>使用レシピ!J33</f>
        <v/>
      </c>
      <c r="J33" s="20" t="str">
        <f>使用レシピ!K33</f>
        <v/>
      </c>
      <c r="K33" s="12" t="str">
        <f>使用レシピ!L33</f>
        <v/>
      </c>
      <c r="L33" s="12" t="str">
        <f>使用レシピ!M33</f>
        <v/>
      </c>
      <c r="M33" s="12" t="str">
        <f>使用レシピ!N33</f>
        <v/>
      </c>
      <c r="N33" s="12" t="str">
        <f>使用レシピ!O33</f>
        <v/>
      </c>
      <c r="O33" s="12">
        <f>使用レシピ!P33</f>
        <v>1</v>
      </c>
      <c r="P33" s="35">
        <f>使用レシピ!Q33</f>
        <v>1200</v>
      </c>
    </row>
    <row r="34" spans="1:16" ht="19.5" customHeight="1" x14ac:dyDescent="0.4">
      <c r="A34" s="40" t="str">
        <f>使用レシピ!C34</f>
        <v>3302</v>
      </c>
      <c r="B34" s="41">
        <f>IF($A34="","",SUMIF(テンプレート!$B:$B,製造アイテム数!$D34,テンプレート!$C:$C))</f>
        <v>0</v>
      </c>
      <c r="C34" s="35">
        <f t="shared" si="0"/>
        <v>0</v>
      </c>
      <c r="D34" s="2" t="str">
        <f>使用レシピ!E34</f>
        <v>カテリウムのインゴット</v>
      </c>
      <c r="E34" s="20" t="str">
        <f>使用レシピ!F34</f>
        <v>カテリウム鉱石</v>
      </c>
      <c r="F34" s="12" t="str">
        <f>使用レシピ!G34</f>
        <v>水</v>
      </c>
      <c r="G34" s="12" t="str">
        <f>使用レシピ!H34</f>
        <v/>
      </c>
      <c r="H34" s="12" t="str">
        <f>使用レシピ!I34</f>
        <v/>
      </c>
      <c r="I34" s="35" t="str">
        <f>使用レシピ!J34</f>
        <v/>
      </c>
      <c r="J34" s="20">
        <f>使用レシピ!K34</f>
        <v>2</v>
      </c>
      <c r="K34" s="12">
        <f>使用レシピ!L34</f>
        <v>2</v>
      </c>
      <c r="L34" s="12" t="str">
        <f>使用レシピ!M34</f>
        <v/>
      </c>
      <c r="M34" s="12" t="str">
        <f>使用レシピ!N34</f>
        <v/>
      </c>
      <c r="N34" s="12" t="str">
        <f>使用レシピ!O34</f>
        <v/>
      </c>
      <c r="O34" s="12">
        <f>使用レシピ!P34</f>
        <v>1</v>
      </c>
      <c r="P34" s="35">
        <f>使用レシピ!Q34</f>
        <v>12</v>
      </c>
    </row>
    <row r="35" spans="1:16" ht="19.5" customHeight="1" x14ac:dyDescent="0.4">
      <c r="A35" s="40" t="str">
        <f>使用レシピ!C35</f>
        <v>3401</v>
      </c>
      <c r="B35" s="41">
        <f>IF($A35="","",SUMIF(テンプレート!$B:$B,製造アイテム数!$D35,テンプレート!$C:$C))</f>
        <v>0</v>
      </c>
      <c r="C35" s="35">
        <f t="shared" si="0"/>
        <v>0</v>
      </c>
      <c r="D35" s="2" t="str">
        <f>使用レシピ!E35</f>
        <v>カテリウム鉱石</v>
      </c>
      <c r="E35" s="20" t="str">
        <f>使用レシピ!F35</f>
        <v/>
      </c>
      <c r="F35" s="12" t="str">
        <f>使用レシピ!G35</f>
        <v/>
      </c>
      <c r="G35" s="12" t="str">
        <f>使用レシピ!H35</f>
        <v/>
      </c>
      <c r="H35" s="12" t="str">
        <f>使用レシピ!I35</f>
        <v/>
      </c>
      <c r="I35" s="35" t="str">
        <f>使用レシピ!J35</f>
        <v/>
      </c>
      <c r="J35" s="20" t="str">
        <f>使用レシピ!K35</f>
        <v/>
      </c>
      <c r="K35" s="12" t="str">
        <f>使用レシピ!L35</f>
        <v/>
      </c>
      <c r="L35" s="12" t="str">
        <f>使用レシピ!M35</f>
        <v/>
      </c>
      <c r="M35" s="12" t="str">
        <f>使用レシピ!N35</f>
        <v/>
      </c>
      <c r="N35" s="12" t="str">
        <f>使用レシピ!O35</f>
        <v/>
      </c>
      <c r="O35" s="12">
        <f>使用レシピ!P35</f>
        <v>1</v>
      </c>
      <c r="P35" s="35">
        <f>使用レシピ!Q35</f>
        <v>1200</v>
      </c>
    </row>
    <row r="36" spans="1:16" ht="19.5" customHeight="1" x14ac:dyDescent="0.4">
      <c r="A36" s="40" t="str">
        <f>使用レシピ!C36</f>
        <v>3502</v>
      </c>
      <c r="B36" s="41">
        <f>IF($A36="","",SUMIF(テンプレート!$B:$B,製造アイテム数!$D36,テンプレート!$C:$C))</f>
        <v>0</v>
      </c>
      <c r="C36" s="35">
        <f t="shared" si="0"/>
        <v>0</v>
      </c>
      <c r="D36" s="2" t="str">
        <f>使用レシピ!E36</f>
        <v>クイックワイヤー</v>
      </c>
      <c r="E36" s="20" t="str">
        <f>使用レシピ!F36</f>
        <v>カテリウムのインゴット</v>
      </c>
      <c r="F36" s="12" t="str">
        <f>使用レシピ!G36</f>
        <v>銅のインゴット</v>
      </c>
      <c r="G36" s="12" t="str">
        <f>使用レシピ!H36</f>
        <v/>
      </c>
      <c r="H36" s="12" t="str">
        <f>使用レシピ!I36</f>
        <v/>
      </c>
      <c r="I36" s="35" t="str">
        <f>使用レシピ!J36</f>
        <v/>
      </c>
      <c r="J36" s="20">
        <f>使用レシピ!K36</f>
        <v>1</v>
      </c>
      <c r="K36" s="12">
        <f>使用レシピ!L36</f>
        <v>5</v>
      </c>
      <c r="L36" s="12" t="str">
        <f>使用レシピ!M36</f>
        <v/>
      </c>
      <c r="M36" s="12" t="str">
        <f>使用レシピ!N36</f>
        <v/>
      </c>
      <c r="N36" s="12" t="str">
        <f>使用レシピ!O36</f>
        <v/>
      </c>
      <c r="O36" s="12">
        <f>使用レシピ!P36</f>
        <v>12</v>
      </c>
      <c r="P36" s="35">
        <f>使用レシピ!Q36</f>
        <v>90</v>
      </c>
    </row>
    <row r="37" spans="1:16" ht="19.5" customHeight="1" x14ac:dyDescent="0.4">
      <c r="A37" s="40" t="str">
        <f>使用レシピ!C37</f>
        <v>3604</v>
      </c>
      <c r="B37" s="41">
        <f>IF($A37="","",SUMIF(テンプレート!$B:$B,製造アイテム数!$D37,テンプレート!$C:$C))</f>
        <v>0</v>
      </c>
      <c r="C37" s="35">
        <f t="shared" si="0"/>
        <v>0</v>
      </c>
      <c r="D37" s="2" t="str">
        <f>使用レシピ!E37</f>
        <v>鋼鉄のインゴット</v>
      </c>
      <c r="E37" s="20" t="str">
        <f>使用レシピ!F37</f>
        <v>鉄のインゴット</v>
      </c>
      <c r="F37" s="12" t="str">
        <f>使用レシピ!G37</f>
        <v>石炭</v>
      </c>
      <c r="G37" s="12" t="str">
        <f>使用レシピ!H37</f>
        <v/>
      </c>
      <c r="H37" s="12" t="str">
        <f>使用レシピ!I37</f>
        <v/>
      </c>
      <c r="I37" s="35" t="str">
        <f>使用レシピ!J37</f>
        <v/>
      </c>
      <c r="J37" s="20">
        <f>使用レシピ!K37</f>
        <v>2</v>
      </c>
      <c r="K37" s="12">
        <f>使用レシピ!L37</f>
        <v>2</v>
      </c>
      <c r="L37" s="12" t="str">
        <f>使用レシピ!M37</f>
        <v/>
      </c>
      <c r="M37" s="12" t="str">
        <f>使用レシピ!N37</f>
        <v/>
      </c>
      <c r="N37" s="12" t="str">
        <f>使用レシピ!O37</f>
        <v/>
      </c>
      <c r="O37" s="12">
        <f>使用レシピ!P37</f>
        <v>3</v>
      </c>
      <c r="P37" s="35">
        <f>使用レシピ!Q37</f>
        <v>60</v>
      </c>
    </row>
    <row r="38" spans="1:16" ht="19.5" customHeight="1" x14ac:dyDescent="0.4">
      <c r="A38" s="40" t="str">
        <f>使用レシピ!C38</f>
        <v>3702</v>
      </c>
      <c r="B38" s="41">
        <f>IF($A38="","",SUMIF(テンプレート!$B:$B,製造アイテム数!$D38,テンプレート!$C:$C))</f>
        <v>0</v>
      </c>
      <c r="C38" s="35">
        <f t="shared" si="0"/>
        <v>0</v>
      </c>
      <c r="D38" s="2" t="str">
        <f>使用レシピ!E38</f>
        <v>鋼梁</v>
      </c>
      <c r="E38" s="20" t="str">
        <f>使用レシピ!F38</f>
        <v>鋼鉄のインゴット</v>
      </c>
      <c r="F38" s="12" t="str">
        <f>使用レシピ!G38</f>
        <v>コンクリート</v>
      </c>
      <c r="G38" s="12" t="str">
        <f>使用レシピ!H38</f>
        <v/>
      </c>
      <c r="H38" s="12" t="str">
        <f>使用レシピ!I38</f>
        <v/>
      </c>
      <c r="I38" s="35" t="str">
        <f>使用レシピ!J38</f>
        <v/>
      </c>
      <c r="J38" s="20">
        <f>使用レシピ!K38</f>
        <v>24</v>
      </c>
      <c r="K38" s="12">
        <f>使用レシピ!L38</f>
        <v>16</v>
      </c>
      <c r="L38" s="12" t="str">
        <f>使用レシピ!M38</f>
        <v/>
      </c>
      <c r="M38" s="12" t="str">
        <f>使用レシピ!N38</f>
        <v/>
      </c>
      <c r="N38" s="12" t="str">
        <f>使用レシピ!O38</f>
        <v/>
      </c>
      <c r="O38" s="12">
        <f>使用レシピ!P38</f>
        <v>9</v>
      </c>
      <c r="P38" s="35">
        <f>使用レシピ!Q38</f>
        <v>45</v>
      </c>
    </row>
    <row r="39" spans="1:16" ht="19.5" customHeight="1" x14ac:dyDescent="0.4">
      <c r="A39" s="40" t="str">
        <f>使用レシピ!C39</f>
        <v>3803</v>
      </c>
      <c r="B39" s="41">
        <f>IF($A39="","",SUMIF(テンプレート!$B:$B,製造アイテム数!$D39,テンプレート!$C:$C))</f>
        <v>0</v>
      </c>
      <c r="C39" s="35">
        <f t="shared" si="0"/>
        <v>0</v>
      </c>
      <c r="D39" s="2" t="str">
        <f>使用レシピ!E39</f>
        <v>鋼管</v>
      </c>
      <c r="E39" s="20" t="str">
        <f>使用レシピ!F39</f>
        <v>鋼鉄のインゴット</v>
      </c>
      <c r="F39" s="12" t="str">
        <f>使用レシピ!G39</f>
        <v>コンクリート</v>
      </c>
      <c r="G39" s="12" t="str">
        <f>使用レシピ!H39</f>
        <v/>
      </c>
      <c r="H39" s="12" t="str">
        <f>使用レシピ!I39</f>
        <v/>
      </c>
      <c r="I39" s="35" t="str">
        <f>使用レシピ!J39</f>
        <v/>
      </c>
      <c r="J39" s="20">
        <f>使用レシピ!K39</f>
        <v>5</v>
      </c>
      <c r="K39" s="12">
        <f>使用レシピ!L39</f>
        <v>3</v>
      </c>
      <c r="L39" s="12" t="str">
        <f>使用レシピ!M39</f>
        <v/>
      </c>
      <c r="M39" s="12" t="str">
        <f>使用レシピ!N39</f>
        <v/>
      </c>
      <c r="N39" s="12" t="str">
        <f>使用レシピ!O39</f>
        <v/>
      </c>
      <c r="O39" s="12">
        <f>使用レシピ!P39</f>
        <v>5</v>
      </c>
      <c r="P39" s="35">
        <f>使用レシピ!Q39</f>
        <v>50</v>
      </c>
    </row>
    <row r="40" spans="1:16" ht="19.5" customHeight="1" x14ac:dyDescent="0.4">
      <c r="A40" s="40" t="str">
        <f>使用レシピ!C40</f>
        <v>3901</v>
      </c>
      <c r="B40" s="41">
        <f>IF($A40="","",SUMIF(テンプレート!$B:$B,製造アイテム数!$D40,テンプレート!$C:$C))</f>
        <v>0</v>
      </c>
      <c r="C40" s="35">
        <f t="shared" si="0"/>
        <v>0</v>
      </c>
      <c r="D40" s="2" t="str">
        <f>使用レシピ!E40</f>
        <v>多目的フレームワーク</v>
      </c>
      <c r="E40" s="20" t="str">
        <f>使用レシピ!F40</f>
        <v>モジュラー・フレーム</v>
      </c>
      <c r="F40" s="12" t="str">
        <f>使用レシピ!G40</f>
        <v>鋼梁</v>
      </c>
      <c r="G40" s="12" t="str">
        <f>使用レシピ!H40</f>
        <v/>
      </c>
      <c r="H40" s="12" t="str">
        <f>使用レシピ!I40</f>
        <v/>
      </c>
      <c r="I40" s="35" t="str">
        <f>使用レシピ!J40</f>
        <v/>
      </c>
      <c r="J40" s="20">
        <f>使用レシピ!K40</f>
        <v>1</v>
      </c>
      <c r="K40" s="12">
        <f>使用レシピ!L40</f>
        <v>12</v>
      </c>
      <c r="L40" s="12" t="str">
        <f>使用レシピ!M40</f>
        <v/>
      </c>
      <c r="M40" s="12" t="str">
        <f>使用レシピ!N40</f>
        <v/>
      </c>
      <c r="N40" s="12" t="str">
        <f>使用レシピ!O40</f>
        <v/>
      </c>
      <c r="O40" s="12">
        <f>使用レシピ!P40</f>
        <v>2</v>
      </c>
      <c r="P40" s="35">
        <f>使用レシピ!Q40</f>
        <v>5</v>
      </c>
    </row>
    <row r="41" spans="1:16" ht="19.5" customHeight="1" x14ac:dyDescent="0.4">
      <c r="A41" s="40" t="str">
        <f>使用レシピ!C41</f>
        <v>4001</v>
      </c>
      <c r="B41" s="41">
        <f>IF($A41="","",SUMIF(テンプレート!$B:$B,製造アイテム数!$D41,テンプレート!$C:$C))</f>
        <v>187.5</v>
      </c>
      <c r="C41" s="35">
        <f t="shared" si="0"/>
        <v>7</v>
      </c>
      <c r="D41" s="2" t="str">
        <f>使用レシピ!E41</f>
        <v>活性SAM</v>
      </c>
      <c r="E41" s="20" t="str">
        <f>使用レシピ!F41</f>
        <v>SAM</v>
      </c>
      <c r="F41" s="12" t="str">
        <f>使用レシピ!G41</f>
        <v/>
      </c>
      <c r="G41" s="12" t="str">
        <f>使用レシピ!H41</f>
        <v/>
      </c>
      <c r="H41" s="12" t="str">
        <f>使用レシピ!I41</f>
        <v/>
      </c>
      <c r="I41" s="35" t="str">
        <f>使用レシピ!J41</f>
        <v/>
      </c>
      <c r="J41" s="20">
        <f>使用レシピ!K41</f>
        <v>4</v>
      </c>
      <c r="K41" s="12" t="str">
        <f>使用レシピ!L41</f>
        <v/>
      </c>
      <c r="L41" s="12" t="str">
        <f>使用レシピ!M41</f>
        <v/>
      </c>
      <c r="M41" s="12" t="str">
        <f>使用レシピ!N41</f>
        <v/>
      </c>
      <c r="N41" s="12" t="str">
        <f>使用レシピ!O41</f>
        <v/>
      </c>
      <c r="O41" s="12">
        <f>使用レシピ!P41</f>
        <v>1</v>
      </c>
      <c r="P41" s="35">
        <f>使用レシピ!Q41</f>
        <v>30</v>
      </c>
    </row>
    <row r="42" spans="1:16" ht="19.5" customHeight="1" x14ac:dyDescent="0.4">
      <c r="A42" s="40" t="str">
        <f>使用レシピ!C42</f>
        <v>4101</v>
      </c>
      <c r="B42" s="41">
        <f>IF($A42="","",SUMIF(テンプレート!$B:$B,製造アイテム数!$D42,テンプレート!$C:$C))</f>
        <v>750</v>
      </c>
      <c r="C42" s="35">
        <f t="shared" si="0"/>
        <v>1</v>
      </c>
      <c r="D42" s="2" t="str">
        <f>使用レシピ!E42</f>
        <v>SAM</v>
      </c>
      <c r="E42" s="20" t="str">
        <f>使用レシピ!F42</f>
        <v/>
      </c>
      <c r="F42" s="12" t="str">
        <f>使用レシピ!G42</f>
        <v/>
      </c>
      <c r="G42" s="12" t="str">
        <f>使用レシピ!H42</f>
        <v/>
      </c>
      <c r="H42" s="12" t="str">
        <f>使用レシピ!I42</f>
        <v/>
      </c>
      <c r="I42" s="35" t="str">
        <f>使用レシピ!J42</f>
        <v/>
      </c>
      <c r="J42" s="20" t="str">
        <f>使用レシピ!K42</f>
        <v/>
      </c>
      <c r="K42" s="12" t="str">
        <f>使用レシピ!L42</f>
        <v/>
      </c>
      <c r="L42" s="12" t="str">
        <f>使用レシピ!M42</f>
        <v/>
      </c>
      <c r="M42" s="12" t="str">
        <f>使用レシピ!N42</f>
        <v/>
      </c>
      <c r="N42" s="12" t="str">
        <f>使用レシピ!O42</f>
        <v/>
      </c>
      <c r="O42" s="12">
        <f>使用レシピ!P42</f>
        <v>1</v>
      </c>
      <c r="P42" s="35">
        <f>使用レシピ!Q42</f>
        <v>1200</v>
      </c>
    </row>
    <row r="43" spans="1:16" ht="19.5" customHeight="1" x14ac:dyDescent="0.4">
      <c r="A43" s="40" t="str">
        <f>使用レシピ!C43</f>
        <v>4202</v>
      </c>
      <c r="B43" s="41">
        <f>IF($A43="","",SUMIF(テンプレート!$B:$B,製造アイテム数!$D43,テンプレート!$C:$C))</f>
        <v>0</v>
      </c>
      <c r="C43" s="35">
        <f t="shared" si="0"/>
        <v>0</v>
      </c>
      <c r="D43" s="2" t="str">
        <f>使用レシピ!E43</f>
        <v>コンクリート被覆型鋼梁</v>
      </c>
      <c r="E43" s="20" t="str">
        <f>使用レシピ!F43</f>
        <v>鋼管</v>
      </c>
      <c r="F43" s="12" t="str">
        <f>使用レシピ!G43</f>
        <v>コンクリート</v>
      </c>
      <c r="G43" s="12" t="str">
        <f>使用レシピ!H43</f>
        <v/>
      </c>
      <c r="H43" s="12" t="str">
        <f>使用レシピ!I43</f>
        <v/>
      </c>
      <c r="I43" s="35" t="str">
        <f>使用レシピ!J43</f>
        <v/>
      </c>
      <c r="J43" s="20">
        <f>使用レシピ!K43</f>
        <v>6</v>
      </c>
      <c r="K43" s="12">
        <f>使用レシピ!L43</f>
        <v>5</v>
      </c>
      <c r="L43" s="12" t="str">
        <f>使用レシピ!M43</f>
        <v/>
      </c>
      <c r="M43" s="12" t="str">
        <f>使用レシピ!N43</f>
        <v/>
      </c>
      <c r="N43" s="12" t="str">
        <f>使用レシピ!O43</f>
        <v/>
      </c>
      <c r="O43" s="12">
        <f>使用レシピ!P43</f>
        <v>1</v>
      </c>
      <c r="P43" s="35">
        <f>使用レシピ!Q43</f>
        <v>4</v>
      </c>
    </row>
    <row r="44" spans="1:16" ht="19.5" customHeight="1" x14ac:dyDescent="0.4">
      <c r="A44" s="40" t="str">
        <f>使用レシピ!C44</f>
        <v>4301</v>
      </c>
      <c r="B44" s="41">
        <f>IF($A44="","",SUMIF(テンプレート!$B:$B,製造アイテム数!$D44,テンプレート!$C:$C))</f>
        <v>0</v>
      </c>
      <c r="C44" s="35">
        <f t="shared" si="0"/>
        <v>0</v>
      </c>
      <c r="D44" s="2" t="str">
        <f>使用レシピ!E44</f>
        <v>固定子</v>
      </c>
      <c r="E44" s="20" t="str">
        <f>使用レシピ!F44</f>
        <v>鋼管</v>
      </c>
      <c r="F44" s="12" t="str">
        <f>使用レシピ!G44</f>
        <v>ワイヤー</v>
      </c>
      <c r="G44" s="12" t="str">
        <f>使用レシピ!H44</f>
        <v/>
      </c>
      <c r="H44" s="12" t="str">
        <f>使用レシピ!I44</f>
        <v/>
      </c>
      <c r="I44" s="35" t="str">
        <f>使用レシピ!J44</f>
        <v/>
      </c>
      <c r="J44" s="20">
        <f>使用レシピ!K44</f>
        <v>3</v>
      </c>
      <c r="K44" s="12">
        <f>使用レシピ!L44</f>
        <v>8</v>
      </c>
      <c r="L44" s="12" t="str">
        <f>使用レシピ!M44</f>
        <v/>
      </c>
      <c r="M44" s="12" t="str">
        <f>使用レシピ!N44</f>
        <v/>
      </c>
      <c r="N44" s="12" t="str">
        <f>使用レシピ!O44</f>
        <v/>
      </c>
      <c r="O44" s="12">
        <f>使用レシピ!P44</f>
        <v>1</v>
      </c>
      <c r="P44" s="35">
        <f>使用レシピ!Q44</f>
        <v>5</v>
      </c>
    </row>
    <row r="45" spans="1:16" ht="19.5" customHeight="1" x14ac:dyDescent="0.4">
      <c r="A45" s="40" t="str">
        <f>使用レシピ!C45</f>
        <v>4401</v>
      </c>
      <c r="B45" s="41">
        <f>IF($A45="","",SUMIF(テンプレート!$B:$B,製造アイテム数!$D45,テンプレート!$C:$C))</f>
        <v>0</v>
      </c>
      <c r="C45" s="35">
        <f t="shared" si="0"/>
        <v>0</v>
      </c>
      <c r="D45" s="2" t="str">
        <f>使用レシピ!E45</f>
        <v>モーター</v>
      </c>
      <c r="E45" s="20" t="str">
        <f>使用レシピ!F45</f>
        <v>ローター</v>
      </c>
      <c r="F45" s="12" t="str">
        <f>使用レシピ!G45</f>
        <v>固定子</v>
      </c>
      <c r="G45" s="12" t="str">
        <f>使用レシピ!H45</f>
        <v/>
      </c>
      <c r="H45" s="12" t="str">
        <f>使用レシピ!I45</f>
        <v/>
      </c>
      <c r="I45" s="35" t="str">
        <f>使用レシピ!J45</f>
        <v/>
      </c>
      <c r="J45" s="20">
        <f>使用レシピ!K45</f>
        <v>2</v>
      </c>
      <c r="K45" s="12">
        <f>使用レシピ!L45</f>
        <v>2</v>
      </c>
      <c r="L45" s="12" t="str">
        <f>使用レシピ!M45</f>
        <v/>
      </c>
      <c r="M45" s="12" t="str">
        <f>使用レシピ!N45</f>
        <v/>
      </c>
      <c r="N45" s="12" t="str">
        <f>使用レシピ!O45</f>
        <v/>
      </c>
      <c r="O45" s="12">
        <f>使用レシピ!P45</f>
        <v>1</v>
      </c>
      <c r="P45" s="35">
        <f>使用レシピ!Q45</f>
        <v>5</v>
      </c>
    </row>
    <row r="46" spans="1:16" ht="19.5" customHeight="1" x14ac:dyDescent="0.4">
      <c r="A46" s="40" t="str">
        <f>使用レシピ!C46</f>
        <v>4501</v>
      </c>
      <c r="B46" s="41">
        <f>IF($A46="","",SUMIF(テンプレート!$B:$B,製造アイテム数!$D46,テンプレート!$C:$C))</f>
        <v>0</v>
      </c>
      <c r="C46" s="35">
        <f t="shared" si="0"/>
        <v>0</v>
      </c>
      <c r="D46" s="2" t="str">
        <f>使用レシピ!E46</f>
        <v>自動ワイヤー</v>
      </c>
      <c r="E46" s="20" t="str">
        <f>使用レシピ!F46</f>
        <v>固定子</v>
      </c>
      <c r="F46" s="12" t="str">
        <f>使用レシピ!G46</f>
        <v>ケーブル</v>
      </c>
      <c r="G46" s="12" t="str">
        <f>使用レシピ!H46</f>
        <v/>
      </c>
      <c r="H46" s="12" t="str">
        <f>使用レシピ!I46</f>
        <v/>
      </c>
      <c r="I46" s="35" t="str">
        <f>使用レシピ!J46</f>
        <v/>
      </c>
      <c r="J46" s="20">
        <f>使用レシピ!K46</f>
        <v>1</v>
      </c>
      <c r="K46" s="12">
        <f>使用レシピ!L46</f>
        <v>20</v>
      </c>
      <c r="L46" s="12" t="str">
        <f>使用レシピ!M46</f>
        <v/>
      </c>
      <c r="M46" s="12" t="str">
        <f>使用レシピ!N46</f>
        <v/>
      </c>
      <c r="N46" s="12" t="str">
        <f>使用レシピ!O46</f>
        <v/>
      </c>
      <c r="O46" s="12">
        <f>使用レシピ!P46</f>
        <v>1</v>
      </c>
      <c r="P46" s="35">
        <f>使用レシピ!Q46</f>
        <v>2.5</v>
      </c>
    </row>
    <row r="47" spans="1:16" ht="19.5" customHeight="1" x14ac:dyDescent="0.4">
      <c r="A47" s="40" t="str">
        <f>使用レシピ!C47</f>
        <v>4601</v>
      </c>
      <c r="B47" s="41">
        <f>IF($A47="","",SUMIF(テンプレート!$B:$B,製造アイテム数!$D47,テンプレート!$C:$C))</f>
        <v>0</v>
      </c>
      <c r="C47" s="35">
        <f t="shared" si="0"/>
        <v>0</v>
      </c>
      <c r="D47" s="2" t="str">
        <f>使用レシピ!E47</f>
        <v>SAM変動機</v>
      </c>
      <c r="E47" s="20" t="str">
        <f>使用レシピ!F47</f>
        <v>活性SAM</v>
      </c>
      <c r="F47" s="12" t="str">
        <f>使用レシピ!G47</f>
        <v>ワイヤー</v>
      </c>
      <c r="G47" s="12" t="str">
        <f>使用レシピ!H47</f>
        <v>鋼管</v>
      </c>
      <c r="H47" s="12" t="str">
        <f>使用レシピ!I47</f>
        <v/>
      </c>
      <c r="I47" s="35" t="str">
        <f>使用レシピ!J47</f>
        <v/>
      </c>
      <c r="J47" s="20">
        <f>使用レシピ!K47</f>
        <v>6</v>
      </c>
      <c r="K47" s="12">
        <f>使用レシピ!L47</f>
        <v>5</v>
      </c>
      <c r="L47" s="12">
        <f>使用レシピ!M47</f>
        <v>3</v>
      </c>
      <c r="M47" s="12" t="str">
        <f>使用レシピ!N47</f>
        <v/>
      </c>
      <c r="N47" s="12" t="str">
        <f>使用レシピ!O47</f>
        <v/>
      </c>
      <c r="O47" s="12">
        <f>使用レシピ!P47</f>
        <v>1</v>
      </c>
      <c r="P47" s="35">
        <f>使用レシピ!Q47</f>
        <v>10</v>
      </c>
    </row>
    <row r="48" spans="1:16" ht="19.5" customHeight="1" x14ac:dyDescent="0.4">
      <c r="A48" s="40" t="str">
        <f>使用レシピ!C48</f>
        <v>4702</v>
      </c>
      <c r="B48" s="41">
        <f>IF($A48="","",SUMIF(テンプレート!$B:$B,製造アイテム数!$D48,テンプレート!$C:$C))</f>
        <v>450</v>
      </c>
      <c r="C48" s="35">
        <f t="shared" si="0"/>
        <v>9</v>
      </c>
      <c r="D48" s="2" t="str">
        <f>使用レシピ!E48</f>
        <v>石英結晶</v>
      </c>
      <c r="E48" s="20" t="str">
        <f>使用レシピ!F48</f>
        <v>未加工石英</v>
      </c>
      <c r="F48" s="12" t="str">
        <f>使用レシピ!G48</f>
        <v>水</v>
      </c>
      <c r="G48" s="12" t="str">
        <f>使用レシピ!H48</f>
        <v/>
      </c>
      <c r="H48" s="12" t="str">
        <f>使用レシピ!I48</f>
        <v/>
      </c>
      <c r="I48" s="35" t="str">
        <f>使用レシピ!J48</f>
        <v/>
      </c>
      <c r="J48" s="20">
        <f>使用レシピ!K48</f>
        <v>9</v>
      </c>
      <c r="K48" s="12">
        <f>使用レシピ!L48</f>
        <v>5</v>
      </c>
      <c r="L48" s="12" t="str">
        <f>使用レシピ!M48</f>
        <v/>
      </c>
      <c r="M48" s="12" t="str">
        <f>使用レシピ!N48</f>
        <v/>
      </c>
      <c r="N48" s="12" t="str">
        <f>使用レシピ!O48</f>
        <v/>
      </c>
      <c r="O48" s="12">
        <f>使用レシピ!P48</f>
        <v>7</v>
      </c>
      <c r="P48" s="35">
        <f>使用レシピ!Q48</f>
        <v>52.5</v>
      </c>
    </row>
    <row r="49" spans="1:16" ht="19.5" customHeight="1" x14ac:dyDescent="0.4">
      <c r="A49" s="40" t="str">
        <f>使用レシピ!C49</f>
        <v>4801</v>
      </c>
      <c r="B49" s="41">
        <f>IF($A49="","",SUMIF(テンプレート!$B:$B,製造アイテム数!$D49,テンプレート!$C:$C))</f>
        <v>578.57403564453125</v>
      </c>
      <c r="C49" s="35">
        <f t="shared" si="0"/>
        <v>1</v>
      </c>
      <c r="D49" s="2" t="str">
        <f>使用レシピ!E49</f>
        <v>未加工石英</v>
      </c>
      <c r="E49" s="20" t="str">
        <f>使用レシピ!F49</f>
        <v/>
      </c>
      <c r="F49" s="12" t="str">
        <f>使用レシピ!G49</f>
        <v/>
      </c>
      <c r="G49" s="12" t="str">
        <f>使用レシピ!H49</f>
        <v/>
      </c>
      <c r="H49" s="12" t="str">
        <f>使用レシピ!I49</f>
        <v/>
      </c>
      <c r="I49" s="35" t="str">
        <f>使用レシピ!J49</f>
        <v/>
      </c>
      <c r="J49" s="20" t="str">
        <f>使用レシピ!K49</f>
        <v/>
      </c>
      <c r="K49" s="12" t="str">
        <f>使用レシピ!L49</f>
        <v/>
      </c>
      <c r="L49" s="12" t="str">
        <f>使用レシピ!M49</f>
        <v/>
      </c>
      <c r="M49" s="12" t="str">
        <f>使用レシピ!N49</f>
        <v/>
      </c>
      <c r="N49" s="12" t="str">
        <f>使用レシピ!O49</f>
        <v/>
      </c>
      <c r="O49" s="12">
        <f>使用レシピ!P49</f>
        <v>1</v>
      </c>
      <c r="P49" s="35">
        <f>使用レシピ!Q49</f>
        <v>1200</v>
      </c>
    </row>
    <row r="50" spans="1:16" ht="19.5" customHeight="1" x14ac:dyDescent="0.4">
      <c r="A50" s="40" t="str">
        <f>使用レシピ!C50</f>
        <v>4901</v>
      </c>
      <c r="B50" s="41">
        <f>IF($A50="","",SUMIF(テンプレート!$B:$B,製造アイテム数!$D50,テンプレート!$C:$C))</f>
        <v>0</v>
      </c>
      <c r="C50" s="35">
        <f t="shared" si="0"/>
        <v>0</v>
      </c>
      <c r="D50" s="2" t="str">
        <f>使用レシピ!E50</f>
        <v>ノーベリスク</v>
      </c>
      <c r="E50" s="20" t="str">
        <f>使用レシピ!F50</f>
        <v>黒色火薬</v>
      </c>
      <c r="F50" s="12" t="str">
        <f>使用レシピ!G50</f>
        <v>鋼管</v>
      </c>
      <c r="G50" s="12" t="str">
        <f>使用レシピ!H50</f>
        <v/>
      </c>
      <c r="H50" s="12" t="str">
        <f>使用レシピ!I50</f>
        <v/>
      </c>
      <c r="I50" s="35" t="str">
        <f>使用レシピ!J50</f>
        <v/>
      </c>
      <c r="J50" s="20">
        <f>使用レシピ!K50</f>
        <v>2</v>
      </c>
      <c r="K50" s="12">
        <f>使用レシピ!L50</f>
        <v>2</v>
      </c>
      <c r="L50" s="12" t="str">
        <f>使用レシピ!M50</f>
        <v/>
      </c>
      <c r="M50" s="12" t="str">
        <f>使用レシピ!N50</f>
        <v/>
      </c>
      <c r="N50" s="12" t="str">
        <f>使用レシピ!O50</f>
        <v/>
      </c>
      <c r="O50" s="12">
        <f>使用レシピ!P50</f>
        <v>1</v>
      </c>
      <c r="P50" s="35">
        <f>使用レシピ!Q50</f>
        <v>10</v>
      </c>
    </row>
    <row r="51" spans="1:16" ht="19.5" customHeight="1" x14ac:dyDescent="0.4">
      <c r="A51" s="40" t="str">
        <f>使用レシピ!C51</f>
        <v>5001</v>
      </c>
      <c r="B51" s="41">
        <f>IF($A51="","",SUMIF(テンプレート!$B:$B,製造アイテム数!$D51,テンプレート!$C:$C))</f>
        <v>0</v>
      </c>
      <c r="C51" s="35">
        <f t="shared" si="0"/>
        <v>0</v>
      </c>
      <c r="D51" s="2" t="str">
        <f>使用レシピ!E51</f>
        <v>AIリミッター</v>
      </c>
      <c r="E51" s="20" t="str">
        <f>使用レシピ!F51</f>
        <v>銅板</v>
      </c>
      <c r="F51" s="12" t="str">
        <f>使用レシピ!G51</f>
        <v>クイックワイヤー</v>
      </c>
      <c r="G51" s="12" t="str">
        <f>使用レシピ!H51</f>
        <v/>
      </c>
      <c r="H51" s="12" t="str">
        <f>使用レシピ!I51</f>
        <v/>
      </c>
      <c r="I51" s="35" t="str">
        <f>使用レシピ!J51</f>
        <v/>
      </c>
      <c r="J51" s="20">
        <f>使用レシピ!K51</f>
        <v>5</v>
      </c>
      <c r="K51" s="12">
        <f>使用レシピ!L51</f>
        <v>20</v>
      </c>
      <c r="L51" s="12" t="str">
        <f>使用レシピ!M51</f>
        <v/>
      </c>
      <c r="M51" s="12" t="str">
        <f>使用レシピ!N51</f>
        <v/>
      </c>
      <c r="N51" s="12" t="str">
        <f>使用レシピ!O51</f>
        <v/>
      </c>
      <c r="O51" s="12">
        <f>使用レシピ!P51</f>
        <v>1</v>
      </c>
      <c r="P51" s="35">
        <f>使用レシピ!Q51</f>
        <v>5</v>
      </c>
    </row>
    <row r="52" spans="1:16" ht="19.5" customHeight="1" x14ac:dyDescent="0.4">
      <c r="A52" s="40" t="str">
        <f>使用レシピ!C52</f>
        <v>5101</v>
      </c>
      <c r="B52" s="41">
        <f>IF($A52="","",SUMIF(テンプレート!$B:$B,製造アイテム数!$D52,テンプレート!$C:$C))</f>
        <v>0</v>
      </c>
      <c r="C52" s="35">
        <f t="shared" si="0"/>
        <v>0</v>
      </c>
      <c r="D52" s="2" t="str">
        <f>使用レシピ!E52</f>
        <v>石油コークス</v>
      </c>
      <c r="E52" s="20" t="str">
        <f>使用レシピ!F52</f>
        <v>廃重油</v>
      </c>
      <c r="F52" s="12" t="str">
        <f>使用レシピ!G52</f>
        <v/>
      </c>
      <c r="G52" s="12" t="str">
        <f>使用レシピ!H52</f>
        <v/>
      </c>
      <c r="H52" s="12" t="str">
        <f>使用レシピ!I52</f>
        <v/>
      </c>
      <c r="I52" s="35" t="str">
        <f>使用レシピ!J52</f>
        <v/>
      </c>
      <c r="J52" s="20">
        <f>使用レシピ!K52</f>
        <v>4</v>
      </c>
      <c r="K52" s="12" t="str">
        <f>使用レシピ!L52</f>
        <v/>
      </c>
      <c r="L52" s="12" t="str">
        <f>使用レシピ!M52</f>
        <v/>
      </c>
      <c r="M52" s="12" t="str">
        <f>使用レシピ!N52</f>
        <v/>
      </c>
      <c r="N52" s="12" t="str">
        <f>使用レシピ!O52</f>
        <v/>
      </c>
      <c r="O52" s="12">
        <f>使用レシピ!P52</f>
        <v>12</v>
      </c>
      <c r="P52" s="35">
        <f>使用レシピ!Q52</f>
        <v>120</v>
      </c>
    </row>
    <row r="53" spans="1:16" ht="19.5" customHeight="1" x14ac:dyDescent="0.4">
      <c r="A53" s="40" t="str">
        <f>使用レシピ!C53</f>
        <v>5201</v>
      </c>
      <c r="B53" s="41">
        <f>IF($A53="","",SUMIF(テンプレート!$B:$B,製造アイテム数!$D53,テンプレート!$C:$C))</f>
        <v>0</v>
      </c>
      <c r="C53" s="35">
        <f t="shared" si="0"/>
        <v>0</v>
      </c>
      <c r="D53" s="2" t="str">
        <f>使用レシピ!E53</f>
        <v>廃重油</v>
      </c>
      <c r="E53" s="20" t="str">
        <f>使用レシピ!F53</f>
        <v>原油</v>
      </c>
      <c r="F53" s="12" t="str">
        <f>使用レシピ!G53</f>
        <v/>
      </c>
      <c r="G53" s="12" t="str">
        <f>使用レシピ!H53</f>
        <v/>
      </c>
      <c r="H53" s="12" t="str">
        <f>使用レシピ!I53</f>
        <v/>
      </c>
      <c r="I53" s="35" t="str">
        <f>使用レシピ!J53</f>
        <v>合成樹脂</v>
      </c>
      <c r="J53" s="20">
        <f>使用レシピ!K53</f>
        <v>3</v>
      </c>
      <c r="K53" s="12" t="str">
        <f>使用レシピ!L53</f>
        <v/>
      </c>
      <c r="L53" s="12" t="str">
        <f>使用レシピ!M53</f>
        <v/>
      </c>
      <c r="M53" s="12" t="str">
        <f>使用レシピ!N53</f>
        <v/>
      </c>
      <c r="N53" s="12">
        <f>使用レシピ!O53</f>
        <v>2</v>
      </c>
      <c r="O53" s="12">
        <f>使用レシピ!P53</f>
        <v>4</v>
      </c>
      <c r="P53" s="35">
        <f>使用レシピ!Q53</f>
        <v>40</v>
      </c>
    </row>
    <row r="54" spans="1:16" ht="19.5" customHeight="1" x14ac:dyDescent="0.4">
      <c r="A54" s="40" t="str">
        <f>使用レシピ!C54</f>
        <v>5301</v>
      </c>
      <c r="B54" s="41">
        <f>IF($A54="","",SUMIF(テンプレート!$B:$B,製造アイテム数!$D54,テンプレート!$C:$C))</f>
        <v>0</v>
      </c>
      <c r="C54" s="35">
        <f t="shared" si="0"/>
        <v>0</v>
      </c>
      <c r="D54" s="2" t="str">
        <f>使用レシピ!E54</f>
        <v>回路基板</v>
      </c>
      <c r="E54" s="20" t="str">
        <f>使用レシピ!F54</f>
        <v>銅板</v>
      </c>
      <c r="F54" s="12" t="str">
        <f>使用レシピ!G54</f>
        <v>プラスチック</v>
      </c>
      <c r="G54" s="12" t="str">
        <f>使用レシピ!H54</f>
        <v/>
      </c>
      <c r="H54" s="12" t="str">
        <f>使用レシピ!I54</f>
        <v/>
      </c>
      <c r="I54" s="35" t="str">
        <f>使用レシピ!J54</f>
        <v/>
      </c>
      <c r="J54" s="20">
        <f>使用レシピ!K54</f>
        <v>2</v>
      </c>
      <c r="K54" s="12">
        <f>使用レシピ!L54</f>
        <v>4</v>
      </c>
      <c r="L54" s="12" t="str">
        <f>使用レシピ!M54</f>
        <v/>
      </c>
      <c r="M54" s="12" t="str">
        <f>使用レシピ!N54</f>
        <v/>
      </c>
      <c r="N54" s="12" t="str">
        <f>使用レシピ!O54</f>
        <v/>
      </c>
      <c r="O54" s="12">
        <f>使用レシピ!P54</f>
        <v>1</v>
      </c>
      <c r="P54" s="35">
        <f>使用レシピ!Q54</f>
        <v>7.5</v>
      </c>
    </row>
    <row r="55" spans="1:16" ht="19.5" customHeight="1" x14ac:dyDescent="0.4">
      <c r="A55" s="40" t="str">
        <f>使用レシピ!C55</f>
        <v>5401</v>
      </c>
      <c r="B55" s="41">
        <f>IF($A55="","",SUMIF(テンプレート!$B:$B,製造アイテム数!$D55,テンプレート!$C:$C))</f>
        <v>0</v>
      </c>
      <c r="C55" s="35">
        <f t="shared" si="0"/>
        <v>0</v>
      </c>
      <c r="D55" s="2" t="str">
        <f>使用レシピ!E55</f>
        <v>プラスチック</v>
      </c>
      <c r="E55" s="20" t="str">
        <f>使用レシピ!F55</f>
        <v>原油</v>
      </c>
      <c r="F55" s="12" t="str">
        <f>使用レシピ!G55</f>
        <v/>
      </c>
      <c r="G55" s="12" t="str">
        <f>使用レシピ!H55</f>
        <v/>
      </c>
      <c r="H55" s="12" t="str">
        <f>使用レシピ!I55</f>
        <v/>
      </c>
      <c r="I55" s="35" t="str">
        <f>使用レシピ!J55</f>
        <v>廃重油</v>
      </c>
      <c r="J55" s="20">
        <f>使用レシピ!K55</f>
        <v>3</v>
      </c>
      <c r="K55" s="12" t="str">
        <f>使用レシピ!L55</f>
        <v/>
      </c>
      <c r="L55" s="12" t="str">
        <f>使用レシピ!M55</f>
        <v/>
      </c>
      <c r="M55" s="12" t="str">
        <f>使用レシピ!N55</f>
        <v/>
      </c>
      <c r="N55" s="12">
        <f>使用レシピ!O55</f>
        <v>1</v>
      </c>
      <c r="O55" s="12">
        <f>使用レシピ!P55</f>
        <v>2</v>
      </c>
      <c r="P55" s="35">
        <f>使用レシピ!Q55</f>
        <v>20</v>
      </c>
    </row>
    <row r="56" spans="1:16" ht="19.5" customHeight="1" x14ac:dyDescent="0.4">
      <c r="A56" s="40" t="str">
        <f>使用レシピ!C56</f>
        <v>5503</v>
      </c>
      <c r="B56" s="41">
        <f>IF($A56="","",SUMIF(テンプレート!$B:$B,製造アイテム数!$D56,テンプレート!$C:$C))</f>
        <v>0</v>
      </c>
      <c r="C56" s="35">
        <f t="shared" si="0"/>
        <v>0</v>
      </c>
      <c r="D56" s="2" t="str">
        <f>使用レシピ!E56</f>
        <v>合成樹脂</v>
      </c>
      <c r="E56" s="20" t="str">
        <f>使用レシピ!F56</f>
        <v>原油</v>
      </c>
      <c r="F56" s="12" t="str">
        <f>使用レシピ!G56</f>
        <v/>
      </c>
      <c r="G56" s="12" t="str">
        <f>使用レシピ!H56</f>
        <v/>
      </c>
      <c r="H56" s="12" t="str">
        <f>使用レシピ!I56</f>
        <v/>
      </c>
      <c r="I56" s="35" t="str">
        <f>使用レシピ!J56</f>
        <v>廃重油</v>
      </c>
      <c r="J56" s="20">
        <f>使用レシピ!K56</f>
        <v>6</v>
      </c>
      <c r="K56" s="12" t="str">
        <f>使用レシピ!L56</f>
        <v/>
      </c>
      <c r="L56" s="12" t="str">
        <f>使用レシピ!M56</f>
        <v/>
      </c>
      <c r="M56" s="12" t="str">
        <f>使用レシピ!N56</f>
        <v/>
      </c>
      <c r="N56" s="12">
        <f>使用レシピ!O56</f>
        <v>2</v>
      </c>
      <c r="O56" s="12">
        <f>使用レシピ!P56</f>
        <v>13</v>
      </c>
      <c r="P56" s="35">
        <f>使用レシピ!Q56</f>
        <v>130</v>
      </c>
    </row>
    <row r="57" spans="1:16" ht="19.5" customHeight="1" x14ac:dyDescent="0.4">
      <c r="A57" s="40" t="str">
        <f>使用レシピ!C57</f>
        <v>5601</v>
      </c>
      <c r="B57" s="41">
        <f>IF($A57="","",SUMIF(テンプレート!$B:$B,製造アイテム数!$D57,テンプレート!$C:$C))</f>
        <v>321.43002319335938</v>
      </c>
      <c r="C57" s="35">
        <f t="shared" si="0"/>
        <v>3</v>
      </c>
      <c r="D57" s="2" t="str">
        <f>使用レシピ!E57</f>
        <v>水</v>
      </c>
      <c r="E57" s="20" t="str">
        <f>使用レシピ!F57</f>
        <v/>
      </c>
      <c r="F57" s="12" t="str">
        <f>使用レシピ!G57</f>
        <v/>
      </c>
      <c r="G57" s="12" t="str">
        <f>使用レシピ!H57</f>
        <v/>
      </c>
      <c r="H57" s="12" t="str">
        <f>使用レシピ!I57</f>
        <v/>
      </c>
      <c r="I57" s="35" t="str">
        <f>使用レシピ!J57</f>
        <v/>
      </c>
      <c r="J57" s="20" t="str">
        <f>使用レシピ!K57</f>
        <v/>
      </c>
      <c r="K57" s="12" t="str">
        <f>使用レシピ!L57</f>
        <v/>
      </c>
      <c r="L57" s="12" t="str">
        <f>使用レシピ!M57</f>
        <v/>
      </c>
      <c r="M57" s="12" t="str">
        <f>使用レシピ!N57</f>
        <v/>
      </c>
      <c r="N57" s="12" t="str">
        <f>使用レシピ!O57</f>
        <v/>
      </c>
      <c r="O57" s="12">
        <f>使用レシピ!P57</f>
        <v>1</v>
      </c>
      <c r="P57" s="35">
        <f>使用レシピ!Q57</f>
        <v>120</v>
      </c>
    </row>
    <row r="58" spans="1:16" ht="19.5" customHeight="1" x14ac:dyDescent="0.4">
      <c r="A58" s="40" t="str">
        <f>使用レシピ!C58</f>
        <v>5701</v>
      </c>
      <c r="B58" s="41">
        <f>IF($A58="","",SUMIF(テンプレート!$B:$B,製造アイテム数!$D58,テンプレート!$C:$C))</f>
        <v>0</v>
      </c>
      <c r="C58" s="35">
        <f t="shared" si="0"/>
        <v>0</v>
      </c>
      <c r="D58" s="2" t="str">
        <f>使用レシピ!E58</f>
        <v>ゴム</v>
      </c>
      <c r="E58" s="20" t="str">
        <f>使用レシピ!F58</f>
        <v>原油</v>
      </c>
      <c r="F58" s="12" t="str">
        <f>使用レシピ!G58</f>
        <v/>
      </c>
      <c r="G58" s="12" t="str">
        <f>使用レシピ!H58</f>
        <v/>
      </c>
      <c r="H58" s="12" t="str">
        <f>使用レシピ!I58</f>
        <v/>
      </c>
      <c r="I58" s="35" t="str">
        <f>使用レシピ!J58</f>
        <v>廃重油</v>
      </c>
      <c r="J58" s="20">
        <f>使用レシピ!K58</f>
        <v>3</v>
      </c>
      <c r="K58" s="12" t="str">
        <f>使用レシピ!L58</f>
        <v/>
      </c>
      <c r="L58" s="12" t="str">
        <f>使用レシピ!M58</f>
        <v/>
      </c>
      <c r="M58" s="12" t="str">
        <f>使用レシピ!N58</f>
        <v/>
      </c>
      <c r="N58" s="12">
        <f>使用レシピ!O58</f>
        <v>2</v>
      </c>
      <c r="O58" s="12">
        <f>使用レシピ!P58</f>
        <v>2</v>
      </c>
      <c r="P58" s="35">
        <f>使用レシピ!Q58</f>
        <v>20</v>
      </c>
    </row>
    <row r="59" spans="1:16" ht="19.5" customHeight="1" x14ac:dyDescent="0.4">
      <c r="A59" s="40" t="str">
        <f>使用レシピ!C59</f>
        <v>5801</v>
      </c>
      <c r="B59" s="41">
        <f>IF($A59="","",SUMIF(テンプレート!$B:$B,製造アイテム数!$D59,テンプレート!$C:$C))</f>
        <v>400</v>
      </c>
      <c r="C59" s="35">
        <f t="shared" si="0"/>
        <v>10</v>
      </c>
      <c r="D59" s="2" t="str">
        <f>使用レシピ!E59</f>
        <v>燃料</v>
      </c>
      <c r="E59" s="20" t="str">
        <f>使用レシピ!F59</f>
        <v>原油</v>
      </c>
      <c r="F59" s="12" t="str">
        <f>使用レシピ!G59</f>
        <v/>
      </c>
      <c r="G59" s="12" t="str">
        <f>使用レシピ!H59</f>
        <v/>
      </c>
      <c r="H59" s="12" t="str">
        <f>使用レシピ!I59</f>
        <v/>
      </c>
      <c r="I59" s="35" t="str">
        <f>使用レシピ!J59</f>
        <v>合成樹脂</v>
      </c>
      <c r="J59" s="20">
        <f>使用レシピ!K59</f>
        <v>6</v>
      </c>
      <c r="K59" s="12" t="str">
        <f>使用レシピ!L59</f>
        <v/>
      </c>
      <c r="L59" s="12" t="str">
        <f>使用レシピ!M59</f>
        <v/>
      </c>
      <c r="M59" s="12" t="str">
        <f>使用レシピ!N59</f>
        <v/>
      </c>
      <c r="N59" s="12">
        <f>使用レシピ!O59</f>
        <v>3</v>
      </c>
      <c r="O59" s="12">
        <f>使用レシピ!P59</f>
        <v>4</v>
      </c>
      <c r="P59" s="35">
        <f>使用レシピ!Q59</f>
        <v>40</v>
      </c>
    </row>
    <row r="60" spans="1:16" ht="19.5" customHeight="1" x14ac:dyDescent="0.4">
      <c r="A60" s="40" t="str">
        <f>使用レシピ!C60</f>
        <v>5901</v>
      </c>
      <c r="B60" s="41">
        <f>IF($A60="","",SUMIF(テンプレート!$B:$B,製造アイテム数!$D60,テンプレート!$C:$C))</f>
        <v>600</v>
      </c>
      <c r="C60" s="35">
        <f t="shared" si="0"/>
        <v>1</v>
      </c>
      <c r="D60" s="2" t="str">
        <f>使用レシピ!E60</f>
        <v>原油</v>
      </c>
      <c r="E60" s="20" t="str">
        <f>使用レシピ!F60</f>
        <v/>
      </c>
      <c r="F60" s="12" t="str">
        <f>使用レシピ!G60</f>
        <v/>
      </c>
      <c r="G60" s="12" t="str">
        <f>使用レシピ!H60</f>
        <v/>
      </c>
      <c r="H60" s="12" t="str">
        <f>使用レシピ!I60</f>
        <v/>
      </c>
      <c r="I60" s="35" t="str">
        <f>使用レシピ!J60</f>
        <v/>
      </c>
      <c r="J60" s="20" t="str">
        <f>使用レシピ!K60</f>
        <v/>
      </c>
      <c r="K60" s="12" t="str">
        <f>使用レシピ!L60</f>
        <v/>
      </c>
      <c r="L60" s="12" t="str">
        <f>使用レシピ!M60</f>
        <v/>
      </c>
      <c r="M60" s="12" t="str">
        <f>使用レシピ!N60</f>
        <v/>
      </c>
      <c r="N60" s="12" t="str">
        <f>使用レシピ!O60</f>
        <v/>
      </c>
      <c r="O60" s="12">
        <f>使用レシピ!P60</f>
        <v>1</v>
      </c>
      <c r="P60" s="35">
        <f>使用レシピ!Q60</f>
        <v>600</v>
      </c>
    </row>
    <row r="61" spans="1:16" ht="19.5" customHeight="1" x14ac:dyDescent="0.4">
      <c r="A61" s="40" t="str">
        <f>使用レシピ!C61</f>
        <v>6001</v>
      </c>
      <c r="B61" s="41">
        <f>IF($A61="","",SUMIF(テンプレート!$B:$B,製造アイテム数!$D61,テンプレート!$C:$C))</f>
        <v>0</v>
      </c>
      <c r="C61" s="35">
        <f t="shared" si="0"/>
        <v>0</v>
      </c>
      <c r="D61" s="2" t="str">
        <f>使用レシピ!E61</f>
        <v>シリカ</v>
      </c>
      <c r="E61" s="20" t="str">
        <f>使用レシピ!F61</f>
        <v>未加工石英</v>
      </c>
      <c r="F61" s="12" t="str">
        <f>使用レシピ!G61</f>
        <v/>
      </c>
      <c r="G61" s="12" t="str">
        <f>使用レシピ!H61</f>
        <v/>
      </c>
      <c r="H61" s="12" t="str">
        <f>使用レシピ!I61</f>
        <v/>
      </c>
      <c r="I61" s="35" t="str">
        <f>使用レシピ!J61</f>
        <v/>
      </c>
      <c r="J61" s="20">
        <f>使用レシピ!K61</f>
        <v>3</v>
      </c>
      <c r="K61" s="12" t="str">
        <f>使用レシピ!L61</f>
        <v/>
      </c>
      <c r="L61" s="12" t="str">
        <f>使用レシピ!M61</f>
        <v/>
      </c>
      <c r="M61" s="12" t="str">
        <f>使用レシピ!N61</f>
        <v/>
      </c>
      <c r="N61" s="12" t="str">
        <f>使用レシピ!O61</f>
        <v/>
      </c>
      <c r="O61" s="12">
        <f>使用レシピ!P61</f>
        <v>5</v>
      </c>
      <c r="P61" s="35">
        <f>使用レシピ!Q61</f>
        <v>37.5</v>
      </c>
    </row>
    <row r="62" spans="1:16" ht="19.5" customHeight="1" x14ac:dyDescent="0.4">
      <c r="A62" s="40" t="str">
        <f>使用レシピ!C62</f>
        <v>6101</v>
      </c>
      <c r="B62" s="41">
        <f>IF($A62="","",SUMIF(テンプレート!$B:$B,製造アイテム数!$D62,テンプレート!$C:$C))</f>
        <v>0</v>
      </c>
      <c r="C62" s="35">
        <f t="shared" si="0"/>
        <v>0</v>
      </c>
      <c r="D62" s="2" t="str">
        <f>使用レシピ!E62</f>
        <v>水晶発振器</v>
      </c>
      <c r="E62" s="20" t="str">
        <f>使用レシピ!F62</f>
        <v>石英結晶</v>
      </c>
      <c r="F62" s="12" t="str">
        <f>使用レシピ!G62</f>
        <v>ケーブル</v>
      </c>
      <c r="G62" s="12" t="str">
        <f>使用レシピ!H62</f>
        <v>強化鉄板</v>
      </c>
      <c r="H62" s="12" t="str">
        <f>使用レシピ!I62</f>
        <v/>
      </c>
      <c r="I62" s="35" t="str">
        <f>使用レシピ!J62</f>
        <v/>
      </c>
      <c r="J62" s="20">
        <f>使用レシピ!K62</f>
        <v>36</v>
      </c>
      <c r="K62" s="12">
        <f>使用レシピ!L62</f>
        <v>28</v>
      </c>
      <c r="L62" s="12">
        <f>使用レシピ!M62</f>
        <v>5</v>
      </c>
      <c r="M62" s="12" t="str">
        <f>使用レシピ!N62</f>
        <v/>
      </c>
      <c r="N62" s="12" t="str">
        <f>使用レシピ!O62</f>
        <v/>
      </c>
      <c r="O62" s="12">
        <f>使用レシピ!P62</f>
        <v>2</v>
      </c>
      <c r="P62" s="35">
        <f>使用レシピ!Q62</f>
        <v>1</v>
      </c>
    </row>
    <row r="63" spans="1:16" ht="19.5" customHeight="1" x14ac:dyDescent="0.4">
      <c r="A63" s="40" t="str">
        <f>使用レシピ!C63</f>
        <v>6201</v>
      </c>
      <c r="B63" s="41">
        <f>IF($A63="","",SUMIF(テンプレート!$B:$B,製造アイテム数!$D63,テンプレート!$C:$C))</f>
        <v>0</v>
      </c>
      <c r="C63" s="35">
        <f t="shared" si="0"/>
        <v>0</v>
      </c>
      <c r="D63" s="2" t="str">
        <f>使用レシピ!E63</f>
        <v>空の容器</v>
      </c>
      <c r="E63" s="20" t="str">
        <f>使用レシピ!F63</f>
        <v>プラスチック</v>
      </c>
      <c r="F63" s="12" t="str">
        <f>使用レシピ!G63</f>
        <v/>
      </c>
      <c r="G63" s="12" t="str">
        <f>使用レシピ!H63</f>
        <v/>
      </c>
      <c r="H63" s="12" t="str">
        <f>使用レシピ!I63</f>
        <v/>
      </c>
      <c r="I63" s="35" t="str">
        <f>使用レシピ!J63</f>
        <v/>
      </c>
      <c r="J63" s="20">
        <f>使用レシピ!K63</f>
        <v>2</v>
      </c>
      <c r="K63" s="12" t="str">
        <f>使用レシピ!L63</f>
        <v/>
      </c>
      <c r="L63" s="12" t="str">
        <f>使用レシピ!M63</f>
        <v/>
      </c>
      <c r="M63" s="12" t="str">
        <f>使用レシピ!N63</f>
        <v/>
      </c>
      <c r="N63" s="12" t="str">
        <f>使用レシピ!O63</f>
        <v/>
      </c>
      <c r="O63" s="12">
        <f>使用レシピ!P63</f>
        <v>4</v>
      </c>
      <c r="P63" s="35">
        <f>使用レシピ!Q63</f>
        <v>60</v>
      </c>
    </row>
    <row r="64" spans="1:16" ht="19.5" customHeight="1" x14ac:dyDescent="0.4">
      <c r="A64" s="40" t="str">
        <f>使用レシピ!C64</f>
        <v>6301</v>
      </c>
      <c r="B64" s="41">
        <f>IF($A64="","",SUMIF(テンプレート!$B:$B,製造アイテム数!$D64,テンプレート!$C:$C))</f>
        <v>0</v>
      </c>
      <c r="C64" s="35">
        <f t="shared" si="0"/>
        <v>0</v>
      </c>
      <c r="D64" s="2" t="str">
        <f>使用レシピ!E64</f>
        <v>包装済み水</v>
      </c>
      <c r="E64" s="20" t="str">
        <f>使用レシピ!F64</f>
        <v>空の容器</v>
      </c>
      <c r="F64" s="12" t="str">
        <f>使用レシピ!G64</f>
        <v>水</v>
      </c>
      <c r="G64" s="12" t="str">
        <f>使用レシピ!H64</f>
        <v/>
      </c>
      <c r="H64" s="12" t="str">
        <f>使用レシピ!I64</f>
        <v/>
      </c>
      <c r="I64" s="35" t="str">
        <f>使用レシピ!J64</f>
        <v/>
      </c>
      <c r="J64" s="20">
        <f>使用レシピ!K64</f>
        <v>2</v>
      </c>
      <c r="K64" s="12">
        <f>使用レシピ!L64</f>
        <v>2</v>
      </c>
      <c r="L64" s="12" t="str">
        <f>使用レシピ!M64</f>
        <v/>
      </c>
      <c r="M64" s="12" t="str">
        <f>使用レシピ!N64</f>
        <v/>
      </c>
      <c r="N64" s="12" t="str">
        <f>使用レシピ!O64</f>
        <v/>
      </c>
      <c r="O64" s="12">
        <f>使用レシピ!P64</f>
        <v>2</v>
      </c>
      <c r="P64" s="35">
        <f>使用レシピ!Q64</f>
        <v>60</v>
      </c>
    </row>
    <row r="65" spans="1:16" ht="19.5" customHeight="1" x14ac:dyDescent="0.4">
      <c r="A65" s="40" t="str">
        <f>使用レシピ!C65</f>
        <v>6401</v>
      </c>
      <c r="B65" s="41">
        <f>IF($A65="","",SUMIF(テンプレート!$B:$B,製造アイテム数!$D65,テンプレート!$C:$C))</f>
        <v>0</v>
      </c>
      <c r="C65" s="35">
        <f t="shared" si="0"/>
        <v>0</v>
      </c>
      <c r="D65" s="2" t="str">
        <f>使用レシピ!E65</f>
        <v>包装済み原油</v>
      </c>
      <c r="E65" s="20" t="str">
        <f>使用レシピ!F65</f>
        <v>空の容器</v>
      </c>
      <c r="F65" s="12" t="str">
        <f>使用レシピ!G65</f>
        <v>原油</v>
      </c>
      <c r="G65" s="12" t="str">
        <f>使用レシピ!H65</f>
        <v/>
      </c>
      <c r="H65" s="12" t="str">
        <f>使用レシピ!I65</f>
        <v/>
      </c>
      <c r="I65" s="35" t="str">
        <f>使用レシピ!J65</f>
        <v/>
      </c>
      <c r="J65" s="20">
        <f>使用レシピ!K65</f>
        <v>2</v>
      </c>
      <c r="K65" s="12">
        <f>使用レシピ!L65</f>
        <v>2</v>
      </c>
      <c r="L65" s="12" t="str">
        <f>使用レシピ!M65</f>
        <v/>
      </c>
      <c r="M65" s="12" t="str">
        <f>使用レシピ!N65</f>
        <v/>
      </c>
      <c r="N65" s="12" t="str">
        <f>使用レシピ!O65</f>
        <v/>
      </c>
      <c r="O65" s="12">
        <f>使用レシピ!P65</f>
        <v>2</v>
      </c>
      <c r="P65" s="35">
        <f>使用レシピ!Q65</f>
        <v>30</v>
      </c>
    </row>
    <row r="66" spans="1:16" ht="19.5" customHeight="1" x14ac:dyDescent="0.4">
      <c r="A66" s="40" t="str">
        <f>使用レシピ!C66</f>
        <v>6501</v>
      </c>
      <c r="B66" s="41">
        <f>IF($A66="","",SUMIF(テンプレート!$B:$B,製造アイテム数!$D66,テンプレート!$C:$C))</f>
        <v>0</v>
      </c>
      <c r="C66" s="35">
        <f t="shared" si="0"/>
        <v>0</v>
      </c>
      <c r="D66" s="2" t="str">
        <f>使用レシピ!E66</f>
        <v>包装済み燃料</v>
      </c>
      <c r="E66" s="20" t="str">
        <f>使用レシピ!F66</f>
        <v>空の容器</v>
      </c>
      <c r="F66" s="12" t="str">
        <f>使用レシピ!G66</f>
        <v>燃料</v>
      </c>
      <c r="G66" s="12" t="str">
        <f>使用レシピ!H66</f>
        <v/>
      </c>
      <c r="H66" s="12" t="str">
        <f>使用レシピ!I66</f>
        <v/>
      </c>
      <c r="I66" s="35" t="str">
        <f>使用レシピ!J66</f>
        <v/>
      </c>
      <c r="J66" s="20">
        <f>使用レシピ!K66</f>
        <v>2</v>
      </c>
      <c r="K66" s="12">
        <f>使用レシピ!L66</f>
        <v>2</v>
      </c>
      <c r="L66" s="12" t="str">
        <f>使用レシピ!M66</f>
        <v/>
      </c>
      <c r="M66" s="12" t="str">
        <f>使用レシピ!N66</f>
        <v/>
      </c>
      <c r="N66" s="12" t="str">
        <f>使用レシピ!O66</f>
        <v/>
      </c>
      <c r="O66" s="12">
        <f>使用レシピ!P66</f>
        <v>2</v>
      </c>
      <c r="P66" s="35">
        <f>使用レシピ!Q66</f>
        <v>40</v>
      </c>
    </row>
    <row r="67" spans="1:16" ht="19.5" customHeight="1" x14ac:dyDescent="0.4">
      <c r="A67" s="40" t="str">
        <f>使用レシピ!C67</f>
        <v>6601</v>
      </c>
      <c r="B67" s="41">
        <f>IF($A67="","",SUMIF(テンプレート!$B:$B,製造アイテム数!$D67,テンプレート!$C:$C))</f>
        <v>0</v>
      </c>
      <c r="C67" s="35">
        <f t="shared" ref="C67:C130" si="1">IFERROR(ROUNDUP(B67/P67,0),"")</f>
        <v>0</v>
      </c>
      <c r="D67" s="2" t="str">
        <f>使用レシピ!E67</f>
        <v>包装済み廃重油</v>
      </c>
      <c r="E67" s="20" t="str">
        <f>使用レシピ!F67</f>
        <v>空の容器</v>
      </c>
      <c r="F67" s="12" t="str">
        <f>使用レシピ!G67</f>
        <v>廃重油</v>
      </c>
      <c r="G67" s="12" t="str">
        <f>使用レシピ!H67</f>
        <v/>
      </c>
      <c r="H67" s="12" t="str">
        <f>使用レシピ!I67</f>
        <v/>
      </c>
      <c r="I67" s="35" t="str">
        <f>使用レシピ!J67</f>
        <v/>
      </c>
      <c r="J67" s="20">
        <f>使用レシピ!K67</f>
        <v>2</v>
      </c>
      <c r="K67" s="12">
        <f>使用レシピ!L67</f>
        <v>2</v>
      </c>
      <c r="L67" s="12" t="str">
        <f>使用レシピ!M67</f>
        <v/>
      </c>
      <c r="M67" s="12" t="str">
        <f>使用レシピ!N67</f>
        <v/>
      </c>
      <c r="N67" s="12" t="str">
        <f>使用レシピ!O67</f>
        <v/>
      </c>
      <c r="O67" s="12">
        <f>使用レシピ!P67</f>
        <v>2</v>
      </c>
      <c r="P67" s="35">
        <f>使用レシピ!Q67</f>
        <v>30</v>
      </c>
    </row>
    <row r="68" spans="1:16" ht="19.5" customHeight="1" x14ac:dyDescent="0.4">
      <c r="A68" s="40" t="str">
        <f>使用レシピ!C68</f>
        <v>6701</v>
      </c>
      <c r="B68" s="41">
        <f>IF($A68="","",SUMIF(テンプレート!$B:$B,製造アイテム数!$D68,テンプレート!$C:$C))</f>
        <v>0</v>
      </c>
      <c r="C68" s="35">
        <f t="shared" si="1"/>
        <v>0</v>
      </c>
      <c r="D68" s="2" t="str">
        <f>使用レシピ!E68</f>
        <v>包装済み液体バイオ燃料</v>
      </c>
      <c r="E68" s="20" t="str">
        <f>使用レシピ!F68</f>
        <v>空の容器</v>
      </c>
      <c r="F68" s="12" t="str">
        <f>使用レシピ!G68</f>
        <v>液体バイオ燃料</v>
      </c>
      <c r="G68" s="12" t="str">
        <f>使用レシピ!H68</f>
        <v/>
      </c>
      <c r="H68" s="12" t="str">
        <f>使用レシピ!I68</f>
        <v/>
      </c>
      <c r="I68" s="35" t="str">
        <f>使用レシピ!J68</f>
        <v/>
      </c>
      <c r="J68" s="20">
        <f>使用レシピ!K68</f>
        <v>2</v>
      </c>
      <c r="K68" s="12">
        <f>使用レシピ!L68</f>
        <v>2</v>
      </c>
      <c r="L68" s="12" t="str">
        <f>使用レシピ!M68</f>
        <v/>
      </c>
      <c r="M68" s="12" t="str">
        <f>使用レシピ!N68</f>
        <v/>
      </c>
      <c r="N68" s="12" t="str">
        <f>使用レシピ!O68</f>
        <v/>
      </c>
      <c r="O68" s="12">
        <f>使用レシピ!P68</f>
        <v>2</v>
      </c>
      <c r="P68" s="35">
        <f>使用レシピ!Q68</f>
        <v>40</v>
      </c>
    </row>
    <row r="69" spans="1:16" ht="19.5" customHeight="1" x14ac:dyDescent="0.4">
      <c r="A69" s="40" t="str">
        <f>使用レシピ!C69</f>
        <v>6801</v>
      </c>
      <c r="B69" s="41">
        <f>IF($A69="","",SUMIF(テンプレート!$B:$B,製造アイテム数!$D69,テンプレート!$C:$C))</f>
        <v>0</v>
      </c>
      <c r="C69" s="35">
        <f t="shared" si="1"/>
        <v>0</v>
      </c>
      <c r="D69" s="2" t="str">
        <f>使用レシピ!E69</f>
        <v>液体バイオ燃料</v>
      </c>
      <c r="E69" s="20" t="str">
        <f>使用レシピ!F69</f>
        <v>固体バイオ燃料</v>
      </c>
      <c r="F69" s="12" t="str">
        <f>使用レシピ!G69</f>
        <v>水</v>
      </c>
      <c r="G69" s="12" t="str">
        <f>使用レシピ!H69</f>
        <v/>
      </c>
      <c r="H69" s="12" t="str">
        <f>使用レシピ!I69</f>
        <v/>
      </c>
      <c r="I69" s="35" t="str">
        <f>使用レシピ!J69</f>
        <v/>
      </c>
      <c r="J69" s="20">
        <f>使用レシピ!K69</f>
        <v>6</v>
      </c>
      <c r="K69" s="12">
        <f>使用レシピ!L69</f>
        <v>3</v>
      </c>
      <c r="L69" s="12" t="str">
        <f>使用レシピ!M69</f>
        <v/>
      </c>
      <c r="M69" s="12" t="str">
        <f>使用レシピ!N69</f>
        <v/>
      </c>
      <c r="N69" s="12" t="str">
        <f>使用レシピ!O69</f>
        <v/>
      </c>
      <c r="O69" s="12">
        <f>使用レシピ!P69</f>
        <v>4</v>
      </c>
      <c r="P69" s="35">
        <f>使用レシピ!Q69</f>
        <v>60</v>
      </c>
    </row>
    <row r="70" spans="1:16" ht="19.5" customHeight="1" x14ac:dyDescent="0.4">
      <c r="A70" s="40" t="str">
        <f>使用レシピ!C70</f>
        <v>6901</v>
      </c>
      <c r="B70" s="41">
        <f>IF($A70="","",SUMIF(テンプレート!$B:$B,製造アイテム数!$D70,テンプレート!$C:$C))</f>
        <v>0</v>
      </c>
      <c r="C70" s="35">
        <f t="shared" si="1"/>
        <v>0</v>
      </c>
      <c r="D70" s="2" t="str">
        <f>使用レシピ!E70</f>
        <v>圧縮石炭</v>
      </c>
      <c r="E70" s="20" t="str">
        <f>使用レシピ!F70</f>
        <v>石炭</v>
      </c>
      <c r="F70" s="12" t="str">
        <f>使用レシピ!G70</f>
        <v>硫黄</v>
      </c>
      <c r="G70" s="12" t="str">
        <f>使用レシピ!H70</f>
        <v/>
      </c>
      <c r="H70" s="12" t="str">
        <f>使用レシピ!I70</f>
        <v/>
      </c>
      <c r="I70" s="35" t="str">
        <f>使用レシピ!J70</f>
        <v/>
      </c>
      <c r="J70" s="20">
        <f>使用レシピ!K70</f>
        <v>5</v>
      </c>
      <c r="K70" s="12">
        <f>使用レシピ!L70</f>
        <v>5</v>
      </c>
      <c r="L70" s="12" t="str">
        <f>使用レシピ!M70</f>
        <v/>
      </c>
      <c r="M70" s="12" t="str">
        <f>使用レシピ!N70</f>
        <v/>
      </c>
      <c r="N70" s="12" t="str">
        <f>使用レシピ!O70</f>
        <v/>
      </c>
      <c r="O70" s="12">
        <f>使用レシピ!P70</f>
        <v>5</v>
      </c>
      <c r="P70" s="35">
        <f>使用レシピ!Q70</f>
        <v>25</v>
      </c>
    </row>
    <row r="71" spans="1:16" ht="19.5" customHeight="1" x14ac:dyDescent="0.4">
      <c r="A71" s="40" t="str">
        <f>使用レシピ!C71</f>
        <v>7001</v>
      </c>
      <c r="B71" s="41">
        <f>IF($A71="","",SUMIF(テンプレート!$B:$B,製造アイテム数!$D71,テンプレート!$C:$C))</f>
        <v>0</v>
      </c>
      <c r="C71" s="35">
        <f t="shared" si="1"/>
        <v>0</v>
      </c>
      <c r="D71" s="2" t="str">
        <f>使用レシピ!E71</f>
        <v>コンピューター</v>
      </c>
      <c r="E71" s="20" t="str">
        <f>使用レシピ!F71</f>
        <v>回路基板</v>
      </c>
      <c r="F71" s="12" t="str">
        <f>使用レシピ!G71</f>
        <v>ケーブル</v>
      </c>
      <c r="G71" s="12" t="str">
        <f>使用レシピ!H71</f>
        <v>プラスチック</v>
      </c>
      <c r="H71" s="12" t="str">
        <f>使用レシピ!I71</f>
        <v/>
      </c>
      <c r="I71" s="35" t="str">
        <f>使用レシピ!J71</f>
        <v/>
      </c>
      <c r="J71" s="20">
        <f>使用レシピ!K71</f>
        <v>4</v>
      </c>
      <c r="K71" s="12">
        <f>使用レシピ!L71</f>
        <v>8</v>
      </c>
      <c r="L71" s="12">
        <f>使用レシピ!M71</f>
        <v>16</v>
      </c>
      <c r="M71" s="12" t="str">
        <f>使用レシピ!N71</f>
        <v/>
      </c>
      <c r="N71" s="12" t="str">
        <f>使用レシピ!O71</f>
        <v/>
      </c>
      <c r="O71" s="12">
        <f>使用レシピ!P71</f>
        <v>1</v>
      </c>
      <c r="P71" s="35">
        <f>使用レシピ!Q71</f>
        <v>2.5</v>
      </c>
    </row>
    <row r="72" spans="1:16" ht="19.5" customHeight="1" x14ac:dyDescent="0.4">
      <c r="A72" s="40" t="str">
        <f>使用レシピ!C72</f>
        <v>7101</v>
      </c>
      <c r="B72" s="41">
        <f>IF($A72="","",SUMIF(テンプレート!$B:$B,製造アイテム数!$D72,テンプレート!$C:$C))</f>
        <v>0</v>
      </c>
      <c r="C72" s="35">
        <f t="shared" si="1"/>
        <v>0</v>
      </c>
      <c r="D72" s="2" t="str">
        <f>使用レシピ!E72</f>
        <v>ヘビー・モジュラー・フレーム</v>
      </c>
      <c r="E72" s="20" t="str">
        <f>使用レシピ!F72</f>
        <v>モジュラー・フレーム</v>
      </c>
      <c r="F72" s="12" t="str">
        <f>使用レシピ!G72</f>
        <v>鋼管</v>
      </c>
      <c r="G72" s="12" t="str">
        <f>使用レシピ!H72</f>
        <v>コンクリート被覆型鋼梁</v>
      </c>
      <c r="H72" s="12" t="str">
        <f>使用レシピ!I72</f>
        <v>ネジ</v>
      </c>
      <c r="I72" s="35" t="str">
        <f>使用レシピ!J72</f>
        <v/>
      </c>
      <c r="J72" s="20">
        <f>使用レシピ!K72</f>
        <v>5</v>
      </c>
      <c r="K72" s="12">
        <f>使用レシピ!L72</f>
        <v>20</v>
      </c>
      <c r="L72" s="12">
        <f>使用レシピ!M72</f>
        <v>5</v>
      </c>
      <c r="M72" s="12">
        <f>使用レシピ!N72</f>
        <v>120</v>
      </c>
      <c r="N72" s="12" t="str">
        <f>使用レシピ!O72</f>
        <v/>
      </c>
      <c r="O72" s="12">
        <f>使用レシピ!P72</f>
        <v>1</v>
      </c>
      <c r="P72" s="35">
        <f>使用レシピ!Q72</f>
        <v>2</v>
      </c>
    </row>
    <row r="73" spans="1:16" ht="19.5" customHeight="1" x14ac:dyDescent="0.4">
      <c r="A73" s="40" t="str">
        <f>使用レシピ!C73</f>
        <v>7201</v>
      </c>
      <c r="B73" s="41">
        <f>IF($A73="","",SUMIF(テンプレート!$B:$B,製造アイテム数!$D73,テンプレート!$C:$C))</f>
        <v>0</v>
      </c>
      <c r="C73" s="35">
        <f t="shared" si="1"/>
        <v>0</v>
      </c>
      <c r="D73" s="2" t="str">
        <f>使用レシピ!E73</f>
        <v>モジュラーエンジン</v>
      </c>
      <c r="E73" s="20" t="str">
        <f>使用レシピ!F73</f>
        <v>モーター</v>
      </c>
      <c r="F73" s="12" t="str">
        <f>使用レシピ!G73</f>
        <v>ゴム</v>
      </c>
      <c r="G73" s="12" t="str">
        <f>使用レシピ!H73</f>
        <v>スマート・プレート</v>
      </c>
      <c r="H73" s="12" t="str">
        <f>使用レシピ!I73</f>
        <v/>
      </c>
      <c r="I73" s="35" t="str">
        <f>使用レシピ!J73</f>
        <v/>
      </c>
      <c r="J73" s="20">
        <f>使用レシピ!K73</f>
        <v>2</v>
      </c>
      <c r="K73" s="12">
        <f>使用レシピ!L73</f>
        <v>15</v>
      </c>
      <c r="L73" s="12">
        <f>使用レシピ!M73</f>
        <v>2</v>
      </c>
      <c r="M73" s="12" t="str">
        <f>使用レシピ!N73</f>
        <v/>
      </c>
      <c r="N73" s="12" t="str">
        <f>使用レシピ!O73</f>
        <v/>
      </c>
      <c r="O73" s="12">
        <f>使用レシピ!P73</f>
        <v>1</v>
      </c>
      <c r="P73" s="35">
        <f>使用レシピ!Q73</f>
        <v>1</v>
      </c>
    </row>
    <row r="74" spans="1:16" ht="19.5" customHeight="1" x14ac:dyDescent="0.4">
      <c r="A74" s="40" t="str">
        <f>使用レシピ!C74</f>
        <v>7301</v>
      </c>
      <c r="B74" s="41">
        <f>IF($A74="","",SUMIF(テンプレート!$B:$B,製造アイテム数!$D74,テンプレート!$C:$C))</f>
        <v>0</v>
      </c>
      <c r="C74" s="35">
        <f t="shared" si="1"/>
        <v>0</v>
      </c>
      <c r="D74" s="2" t="str">
        <f>使用レシピ!E74</f>
        <v>自律制御ユニット</v>
      </c>
      <c r="E74" s="20" t="str">
        <f>使用レシピ!F74</f>
        <v>自動ワイヤー</v>
      </c>
      <c r="F74" s="12" t="str">
        <f>使用レシピ!G74</f>
        <v>回路基板</v>
      </c>
      <c r="G74" s="12" t="str">
        <f>使用レシピ!H74</f>
        <v>ヘビー・モジュラー・フレーム</v>
      </c>
      <c r="H74" s="12" t="str">
        <f>使用レシピ!I74</f>
        <v>コンピューター</v>
      </c>
      <c r="I74" s="35" t="str">
        <f>使用レシピ!J74</f>
        <v/>
      </c>
      <c r="J74" s="20">
        <f>使用レシピ!K74</f>
        <v>5</v>
      </c>
      <c r="K74" s="12">
        <f>使用レシピ!L74</f>
        <v>5</v>
      </c>
      <c r="L74" s="12">
        <f>使用レシピ!M74</f>
        <v>1</v>
      </c>
      <c r="M74" s="12">
        <f>使用レシピ!N74</f>
        <v>2</v>
      </c>
      <c r="N74" s="12" t="str">
        <f>使用レシピ!O74</f>
        <v/>
      </c>
      <c r="O74" s="12">
        <f>使用レシピ!P74</f>
        <v>1</v>
      </c>
      <c r="P74" s="35">
        <f>使用レシピ!Q74</f>
        <v>1</v>
      </c>
    </row>
    <row r="75" spans="1:16" ht="19.5" customHeight="1" x14ac:dyDescent="0.4">
      <c r="A75" s="40" t="str">
        <f>使用レシピ!C75</f>
        <v>7401</v>
      </c>
      <c r="B75" s="41">
        <f>IF($A75="","",SUMIF(テンプレート!$B:$B,製造アイテム数!$D75,テンプレート!$C:$C))</f>
        <v>0</v>
      </c>
      <c r="C75" s="35">
        <f t="shared" si="1"/>
        <v>0</v>
      </c>
      <c r="D75" s="2" t="str">
        <f>使用レシピ!E75</f>
        <v>菌糸</v>
      </c>
      <c r="E75" s="20" t="str">
        <f>使用レシピ!F75</f>
        <v/>
      </c>
      <c r="F75" s="12" t="str">
        <f>使用レシピ!G75</f>
        <v/>
      </c>
      <c r="G75" s="12" t="str">
        <f>使用レシピ!H75</f>
        <v/>
      </c>
      <c r="H75" s="12" t="str">
        <f>使用レシピ!I75</f>
        <v/>
      </c>
      <c r="I75" s="35" t="str">
        <f>使用レシピ!J75</f>
        <v/>
      </c>
      <c r="J75" s="20" t="str">
        <f>使用レシピ!K75</f>
        <v/>
      </c>
      <c r="K75" s="12" t="str">
        <f>使用レシピ!L75</f>
        <v/>
      </c>
      <c r="L75" s="12" t="str">
        <f>使用レシピ!M75</f>
        <v/>
      </c>
      <c r="M75" s="12" t="str">
        <f>使用レシピ!N75</f>
        <v/>
      </c>
      <c r="N75" s="12" t="str">
        <f>使用レシピ!O75</f>
        <v/>
      </c>
      <c r="O75" s="12">
        <f>使用レシピ!P75</f>
        <v>1</v>
      </c>
      <c r="P75" s="35">
        <f>使用レシピ!Q75</f>
        <v>1</v>
      </c>
    </row>
    <row r="76" spans="1:16" ht="19.5" customHeight="1" x14ac:dyDescent="0.4">
      <c r="A76" s="40" t="str">
        <f>使用レシピ!C76</f>
        <v>7501</v>
      </c>
      <c r="B76" s="41">
        <f>IF($A76="","",SUMIF(テンプレート!$B:$B,製造アイテム数!$D76,テンプレート!$C:$C))</f>
        <v>0</v>
      </c>
      <c r="C76" s="35">
        <f t="shared" si="1"/>
        <v>0</v>
      </c>
      <c r="D76" s="2" t="str">
        <f>使用レシピ!E76</f>
        <v>布地</v>
      </c>
      <c r="E76" s="20" t="str">
        <f>使用レシピ!F76</f>
        <v>菌糸</v>
      </c>
      <c r="F76" s="12" t="str">
        <f>使用レシピ!G76</f>
        <v>バイオマス</v>
      </c>
      <c r="G76" s="12" t="str">
        <f>使用レシピ!H76</f>
        <v/>
      </c>
      <c r="H76" s="12" t="str">
        <f>使用レシピ!I76</f>
        <v/>
      </c>
      <c r="I76" s="35" t="str">
        <f>使用レシピ!J76</f>
        <v/>
      </c>
      <c r="J76" s="20">
        <f>使用レシピ!K76</f>
        <v>1</v>
      </c>
      <c r="K76" s="12">
        <f>使用レシピ!L76</f>
        <v>5</v>
      </c>
      <c r="L76" s="12" t="str">
        <f>使用レシピ!M76</f>
        <v/>
      </c>
      <c r="M76" s="12" t="str">
        <f>使用レシピ!N76</f>
        <v/>
      </c>
      <c r="N76" s="12" t="str">
        <f>使用レシピ!O76</f>
        <v/>
      </c>
      <c r="O76" s="12">
        <f>使用レシピ!P76</f>
        <v>1</v>
      </c>
      <c r="P76" s="35">
        <f>使用レシピ!Q76</f>
        <v>15</v>
      </c>
    </row>
    <row r="77" spans="1:16" ht="19.5" customHeight="1" x14ac:dyDescent="0.4">
      <c r="A77" s="40" t="str">
        <f>使用レシピ!C77</f>
        <v>7601</v>
      </c>
      <c r="B77" s="41">
        <f>IF($A77="","",SUMIF(テンプレート!$B:$B,製造アイテム数!$D77,テンプレート!$C:$C))</f>
        <v>0</v>
      </c>
      <c r="C77" s="35">
        <f t="shared" si="1"/>
        <v>0</v>
      </c>
      <c r="D77" s="2" t="str">
        <f>使用レシピ!E77</f>
        <v>ガスフィルター</v>
      </c>
      <c r="E77" s="20" t="str">
        <f>使用レシピ!F77</f>
        <v>布地</v>
      </c>
      <c r="F77" s="12" t="str">
        <f>使用レシピ!G77</f>
        <v>石炭</v>
      </c>
      <c r="G77" s="12" t="str">
        <f>使用レシピ!H77</f>
        <v>鉄板</v>
      </c>
      <c r="H77" s="12" t="str">
        <f>使用レシピ!I77</f>
        <v/>
      </c>
      <c r="I77" s="35" t="str">
        <f>使用レシピ!J77</f>
        <v/>
      </c>
      <c r="J77" s="20">
        <f>使用レシピ!K77</f>
        <v>2</v>
      </c>
      <c r="K77" s="12">
        <f>使用レシピ!L77</f>
        <v>4</v>
      </c>
      <c r="L77" s="12">
        <f>使用レシピ!M77</f>
        <v>2</v>
      </c>
      <c r="M77" s="12" t="str">
        <f>使用レシピ!N77</f>
        <v/>
      </c>
      <c r="N77" s="12" t="str">
        <f>使用レシピ!O77</f>
        <v/>
      </c>
      <c r="O77" s="12">
        <f>使用レシピ!P77</f>
        <v>1</v>
      </c>
      <c r="P77" s="35">
        <f>使用レシピ!Q77</f>
        <v>7.5</v>
      </c>
    </row>
    <row r="78" spans="1:16" ht="19.5" customHeight="1" x14ac:dyDescent="0.4">
      <c r="A78" s="40" t="str">
        <f>使用レシピ!C78</f>
        <v>7701</v>
      </c>
      <c r="B78" s="41">
        <f>IF($A78="","",SUMIF(テンプレート!$B:$B,製造アイテム数!$D78,テンプレート!$C:$C))</f>
        <v>0</v>
      </c>
      <c r="C78" s="35">
        <f t="shared" si="1"/>
        <v>0</v>
      </c>
      <c r="D78" s="2" t="str">
        <f>使用レシピ!E78</f>
        <v>エイリアンのDNAカプセル</v>
      </c>
      <c r="E78" s="20" t="str">
        <f>使用レシピ!F78</f>
        <v>エイリアンのタンパク質</v>
      </c>
      <c r="F78" s="12" t="str">
        <f>使用レシピ!G78</f>
        <v/>
      </c>
      <c r="G78" s="12" t="str">
        <f>使用レシピ!H78</f>
        <v/>
      </c>
      <c r="H78" s="12" t="str">
        <f>使用レシピ!I78</f>
        <v/>
      </c>
      <c r="I78" s="35" t="str">
        <f>使用レシピ!J78</f>
        <v/>
      </c>
      <c r="J78" s="20">
        <f>使用レシピ!K78</f>
        <v>1</v>
      </c>
      <c r="K78" s="12" t="str">
        <f>使用レシピ!L78</f>
        <v/>
      </c>
      <c r="L78" s="12" t="str">
        <f>使用レシピ!M78</f>
        <v/>
      </c>
      <c r="M78" s="12" t="str">
        <f>使用レシピ!N78</f>
        <v/>
      </c>
      <c r="N78" s="12" t="str">
        <f>使用レシピ!O78</f>
        <v/>
      </c>
      <c r="O78" s="12">
        <f>使用レシピ!P78</f>
        <v>1</v>
      </c>
      <c r="P78" s="35">
        <f>使用レシピ!Q78</f>
        <v>10</v>
      </c>
    </row>
    <row r="79" spans="1:16" ht="19.5" customHeight="1" x14ac:dyDescent="0.4">
      <c r="A79" s="40" t="str">
        <f>使用レシピ!C79</f>
        <v>7801</v>
      </c>
      <c r="B79" s="41">
        <f>IF($A79="","",SUMIF(テンプレート!$B:$B,製造アイテム数!$D79,テンプレート!$C:$C))</f>
        <v>0</v>
      </c>
      <c r="C79" s="35">
        <f t="shared" si="1"/>
        <v>0</v>
      </c>
      <c r="D79" s="2" t="str">
        <f>使用レシピ!E79</f>
        <v>高速コネクター</v>
      </c>
      <c r="E79" s="20" t="str">
        <f>使用レシピ!F79</f>
        <v>クイックワイヤー</v>
      </c>
      <c r="F79" s="12" t="str">
        <f>使用レシピ!G79</f>
        <v>ケーブル</v>
      </c>
      <c r="G79" s="12" t="str">
        <f>使用レシピ!H79</f>
        <v>回路基板</v>
      </c>
      <c r="H79" s="12" t="str">
        <f>使用レシピ!I79</f>
        <v/>
      </c>
      <c r="I79" s="35" t="str">
        <f>使用レシピ!J79</f>
        <v/>
      </c>
      <c r="J79" s="20">
        <f>使用レシピ!K79</f>
        <v>56</v>
      </c>
      <c r="K79" s="12">
        <f>使用レシピ!L79</f>
        <v>10</v>
      </c>
      <c r="L79" s="12">
        <f>使用レシピ!M79</f>
        <v>1</v>
      </c>
      <c r="M79" s="12" t="str">
        <f>使用レシピ!N79</f>
        <v/>
      </c>
      <c r="N79" s="12" t="str">
        <f>使用レシピ!O79</f>
        <v/>
      </c>
      <c r="O79" s="12">
        <f>使用レシピ!P79</f>
        <v>1</v>
      </c>
      <c r="P79" s="35">
        <f>使用レシピ!Q79</f>
        <v>3.75</v>
      </c>
    </row>
    <row r="80" spans="1:16" ht="19.5" customHeight="1" x14ac:dyDescent="0.4">
      <c r="A80" s="40" t="str">
        <f>使用レシピ!C80</f>
        <v>7901</v>
      </c>
      <c r="B80" s="41">
        <f>IF($A80="","",SUMIF(テンプレート!$B:$B,製造アイテム数!$D80,テンプレート!$C:$C))</f>
        <v>0</v>
      </c>
      <c r="C80" s="35">
        <f t="shared" si="1"/>
        <v>0</v>
      </c>
      <c r="D80" s="2" t="str">
        <f>使用レシピ!E80</f>
        <v>無煙火薬</v>
      </c>
      <c r="E80" s="20" t="str">
        <f>使用レシピ!F80</f>
        <v>黒色火薬</v>
      </c>
      <c r="F80" s="12" t="str">
        <f>使用レシピ!G80</f>
        <v>廃重油</v>
      </c>
      <c r="G80" s="12" t="str">
        <f>使用レシピ!H80</f>
        <v/>
      </c>
      <c r="H80" s="12" t="str">
        <f>使用レシピ!I80</f>
        <v/>
      </c>
      <c r="I80" s="35" t="str">
        <f>使用レシピ!J80</f>
        <v/>
      </c>
      <c r="J80" s="20">
        <f>使用レシピ!K80</f>
        <v>2</v>
      </c>
      <c r="K80" s="12">
        <f>使用レシピ!L80</f>
        <v>1</v>
      </c>
      <c r="L80" s="12" t="str">
        <f>使用レシピ!M80</f>
        <v/>
      </c>
      <c r="M80" s="12" t="str">
        <f>使用レシピ!N80</f>
        <v/>
      </c>
      <c r="N80" s="12" t="str">
        <f>使用レシピ!O80</f>
        <v/>
      </c>
      <c r="O80" s="12">
        <f>使用レシピ!P80</f>
        <v>2</v>
      </c>
      <c r="P80" s="35">
        <f>使用レシピ!Q80</f>
        <v>20</v>
      </c>
    </row>
    <row r="81" spans="1:16" ht="19.5" customHeight="1" x14ac:dyDescent="0.4">
      <c r="A81" s="40" t="str">
        <f>使用レシピ!C81</f>
        <v>8001</v>
      </c>
      <c r="B81" s="41">
        <f>IF($A81="","",SUMIF(テンプレート!$B:$B,製造アイテム数!$D81,テンプレート!$C:$C))</f>
        <v>0</v>
      </c>
      <c r="C81" s="35">
        <f t="shared" si="1"/>
        <v>0</v>
      </c>
      <c r="D81" s="2" t="str">
        <f>使用レシピ!E81</f>
        <v>アルミナ溶液</v>
      </c>
      <c r="E81" s="20" t="str">
        <f>使用レシピ!F81</f>
        <v>ボーキサイト</v>
      </c>
      <c r="F81" s="12" t="str">
        <f>使用レシピ!G81</f>
        <v>水</v>
      </c>
      <c r="G81" s="12" t="str">
        <f>使用レシピ!H81</f>
        <v/>
      </c>
      <c r="H81" s="12" t="str">
        <f>使用レシピ!I81</f>
        <v/>
      </c>
      <c r="I81" s="35" t="str">
        <f>使用レシピ!J81</f>
        <v>シリカ</v>
      </c>
      <c r="J81" s="20">
        <f>使用レシピ!K81</f>
        <v>12</v>
      </c>
      <c r="K81" s="12">
        <f>使用レシピ!L81</f>
        <v>18</v>
      </c>
      <c r="L81" s="12" t="str">
        <f>使用レシピ!M81</f>
        <v/>
      </c>
      <c r="M81" s="12" t="str">
        <f>使用レシピ!N81</f>
        <v/>
      </c>
      <c r="N81" s="12">
        <f>使用レシピ!O81</f>
        <v>5</v>
      </c>
      <c r="O81" s="12">
        <f>使用レシピ!P81</f>
        <v>12</v>
      </c>
      <c r="P81" s="35">
        <f>使用レシピ!Q81</f>
        <v>120</v>
      </c>
    </row>
    <row r="82" spans="1:16" ht="19.5" customHeight="1" x14ac:dyDescent="0.4">
      <c r="A82" s="40" t="str">
        <f>使用レシピ!C82</f>
        <v>8101</v>
      </c>
      <c r="B82" s="41">
        <f>IF($A82="","",SUMIF(テンプレート!$B:$B,製造アイテム数!$D82,テンプレート!$C:$C))</f>
        <v>0</v>
      </c>
      <c r="C82" s="35">
        <f t="shared" si="1"/>
        <v>0</v>
      </c>
      <c r="D82" s="2" t="str">
        <f>使用レシピ!E82</f>
        <v>ボーキサイト</v>
      </c>
      <c r="E82" s="20" t="str">
        <f>使用レシピ!F82</f>
        <v/>
      </c>
      <c r="F82" s="12" t="str">
        <f>使用レシピ!G82</f>
        <v/>
      </c>
      <c r="G82" s="12" t="str">
        <f>使用レシピ!H82</f>
        <v/>
      </c>
      <c r="H82" s="12" t="str">
        <f>使用レシピ!I82</f>
        <v/>
      </c>
      <c r="I82" s="35" t="str">
        <f>使用レシピ!J82</f>
        <v/>
      </c>
      <c r="J82" s="20" t="str">
        <f>使用レシピ!K82</f>
        <v/>
      </c>
      <c r="K82" s="12" t="str">
        <f>使用レシピ!L82</f>
        <v/>
      </c>
      <c r="L82" s="12" t="str">
        <f>使用レシピ!M82</f>
        <v/>
      </c>
      <c r="M82" s="12" t="str">
        <f>使用レシピ!N82</f>
        <v/>
      </c>
      <c r="N82" s="12" t="str">
        <f>使用レシピ!O82</f>
        <v/>
      </c>
      <c r="O82" s="12">
        <f>使用レシピ!P82</f>
        <v>1</v>
      </c>
      <c r="P82" s="35">
        <f>使用レシピ!Q82</f>
        <v>1200</v>
      </c>
    </row>
    <row r="83" spans="1:16" ht="19.5" customHeight="1" x14ac:dyDescent="0.4">
      <c r="A83" s="40" t="str">
        <f>使用レシピ!C83</f>
        <v>8201</v>
      </c>
      <c r="B83" s="41">
        <f>IF($A83="","",SUMIF(テンプレート!$B:$B,製造アイテム数!$D83,テンプレート!$C:$C))</f>
        <v>0</v>
      </c>
      <c r="C83" s="35">
        <f t="shared" si="1"/>
        <v>0</v>
      </c>
      <c r="D83" s="2" t="str">
        <f>使用レシピ!E83</f>
        <v>包装済みアルミナ溶液</v>
      </c>
      <c r="E83" s="20" t="str">
        <f>使用レシピ!F83</f>
        <v>空の容器</v>
      </c>
      <c r="F83" s="12" t="str">
        <f>使用レシピ!G83</f>
        <v>アルミナ溶液</v>
      </c>
      <c r="G83" s="12" t="str">
        <f>使用レシピ!H83</f>
        <v/>
      </c>
      <c r="H83" s="12" t="str">
        <f>使用レシピ!I83</f>
        <v/>
      </c>
      <c r="I83" s="35" t="str">
        <f>使用レシピ!J83</f>
        <v/>
      </c>
      <c r="J83" s="20">
        <f>使用レシピ!K83</f>
        <v>2</v>
      </c>
      <c r="K83" s="12">
        <f>使用レシピ!L83</f>
        <v>2</v>
      </c>
      <c r="L83" s="12" t="str">
        <f>使用レシピ!M83</f>
        <v/>
      </c>
      <c r="M83" s="12" t="str">
        <f>使用レシピ!N83</f>
        <v/>
      </c>
      <c r="N83" s="12" t="str">
        <f>使用レシピ!O83</f>
        <v/>
      </c>
      <c r="O83" s="12">
        <f>使用レシピ!P83</f>
        <v>2</v>
      </c>
      <c r="P83" s="35">
        <f>使用レシピ!Q83</f>
        <v>120</v>
      </c>
    </row>
    <row r="84" spans="1:16" ht="19.5" customHeight="1" x14ac:dyDescent="0.4">
      <c r="A84" s="40" t="str">
        <f>使用レシピ!C84</f>
        <v>8301</v>
      </c>
      <c r="B84" s="41">
        <f>IF($A84="","",SUMIF(テンプレート!$B:$B,製造アイテム数!$D84,テンプレート!$C:$C))</f>
        <v>0</v>
      </c>
      <c r="C84" s="35">
        <f t="shared" si="1"/>
        <v>0</v>
      </c>
      <c r="D84" s="2" t="str">
        <f>使用レシピ!E84</f>
        <v>アルミのスクラップ</v>
      </c>
      <c r="E84" s="20" t="str">
        <f>使用レシピ!F84</f>
        <v>アルミナ溶液</v>
      </c>
      <c r="F84" s="12" t="str">
        <f>使用レシピ!G84</f>
        <v>石炭</v>
      </c>
      <c r="G84" s="12" t="str">
        <f>使用レシピ!H84</f>
        <v/>
      </c>
      <c r="H84" s="12" t="str">
        <f>使用レシピ!I84</f>
        <v/>
      </c>
      <c r="I84" s="35" t="str">
        <f>使用レシピ!J84</f>
        <v>水</v>
      </c>
      <c r="J84" s="20">
        <f>使用レシピ!K84</f>
        <v>4</v>
      </c>
      <c r="K84" s="12">
        <f>使用レシピ!L84</f>
        <v>2</v>
      </c>
      <c r="L84" s="12" t="str">
        <f>使用レシピ!M84</f>
        <v/>
      </c>
      <c r="M84" s="12" t="str">
        <f>使用レシピ!N84</f>
        <v/>
      </c>
      <c r="N84" s="12">
        <f>使用レシピ!O84</f>
        <v>2</v>
      </c>
      <c r="O84" s="12">
        <f>使用レシピ!P84</f>
        <v>6</v>
      </c>
      <c r="P84" s="35">
        <f>使用レシピ!Q84</f>
        <v>360</v>
      </c>
    </row>
    <row r="85" spans="1:16" ht="19.5" customHeight="1" x14ac:dyDescent="0.4">
      <c r="A85" s="40" t="str">
        <f>使用レシピ!C85</f>
        <v>8401</v>
      </c>
      <c r="B85" s="41">
        <f>IF($A85="","",SUMIF(テンプレート!$B:$B,製造アイテム数!$D85,テンプレート!$C:$C))</f>
        <v>0</v>
      </c>
      <c r="C85" s="35">
        <f t="shared" si="1"/>
        <v>0</v>
      </c>
      <c r="D85" s="2" t="str">
        <f>使用レシピ!E85</f>
        <v>アルミのインゴット</v>
      </c>
      <c r="E85" s="20" t="str">
        <f>使用レシピ!F85</f>
        <v>アルミのスクラップ</v>
      </c>
      <c r="F85" s="12" t="str">
        <f>使用レシピ!G85</f>
        <v>シリカ</v>
      </c>
      <c r="G85" s="12" t="str">
        <f>使用レシピ!H85</f>
        <v/>
      </c>
      <c r="H85" s="12" t="str">
        <f>使用レシピ!I85</f>
        <v/>
      </c>
      <c r="I85" s="35" t="str">
        <f>使用レシピ!J85</f>
        <v/>
      </c>
      <c r="J85" s="20">
        <f>使用レシピ!K85</f>
        <v>6</v>
      </c>
      <c r="K85" s="12">
        <f>使用レシピ!L85</f>
        <v>5</v>
      </c>
      <c r="L85" s="12" t="str">
        <f>使用レシピ!M85</f>
        <v/>
      </c>
      <c r="M85" s="12" t="str">
        <f>使用レシピ!N85</f>
        <v/>
      </c>
      <c r="N85" s="12" t="str">
        <f>使用レシピ!O85</f>
        <v/>
      </c>
      <c r="O85" s="12">
        <f>使用レシピ!P85</f>
        <v>4</v>
      </c>
      <c r="P85" s="35">
        <f>使用レシピ!Q85</f>
        <v>60</v>
      </c>
    </row>
    <row r="86" spans="1:16" ht="19.5" customHeight="1" x14ac:dyDescent="0.4">
      <c r="A86" s="40" t="str">
        <f>使用レシピ!C86</f>
        <v>8501</v>
      </c>
      <c r="B86" s="41">
        <f>IF($A86="","",SUMIF(テンプレート!$B:$B,製造アイテム数!$D86,テンプレート!$C:$C))</f>
        <v>0</v>
      </c>
      <c r="C86" s="35">
        <f t="shared" si="1"/>
        <v>0</v>
      </c>
      <c r="D86" s="2" t="str">
        <f>使用レシピ!E86</f>
        <v>アルクラッド・アルミシート</v>
      </c>
      <c r="E86" s="20" t="str">
        <f>使用レシピ!F86</f>
        <v>アルミのインゴット</v>
      </c>
      <c r="F86" s="12" t="str">
        <f>使用レシピ!G86</f>
        <v>銅のインゴット</v>
      </c>
      <c r="G86" s="12" t="str">
        <f>使用レシピ!H86</f>
        <v/>
      </c>
      <c r="H86" s="12" t="str">
        <f>使用レシピ!I86</f>
        <v/>
      </c>
      <c r="I86" s="35" t="str">
        <f>使用レシピ!J86</f>
        <v/>
      </c>
      <c r="J86" s="20">
        <f>使用レシピ!K86</f>
        <v>3</v>
      </c>
      <c r="K86" s="12">
        <f>使用レシピ!L86</f>
        <v>1</v>
      </c>
      <c r="L86" s="12" t="str">
        <f>使用レシピ!M86</f>
        <v/>
      </c>
      <c r="M86" s="12" t="str">
        <f>使用レシピ!N86</f>
        <v/>
      </c>
      <c r="N86" s="12" t="str">
        <f>使用レシピ!O86</f>
        <v/>
      </c>
      <c r="O86" s="12">
        <f>使用レシピ!P86</f>
        <v>3</v>
      </c>
      <c r="P86" s="35">
        <f>使用レシピ!Q86</f>
        <v>30</v>
      </c>
    </row>
    <row r="87" spans="1:16" ht="19.5" customHeight="1" x14ac:dyDescent="0.4">
      <c r="A87" s="40" t="str">
        <f>使用レシピ!C87</f>
        <v>8601</v>
      </c>
      <c r="B87" s="41">
        <f>IF($A87="","",SUMIF(テンプレート!$B:$B,製造アイテム数!$D87,テンプレート!$C:$C))</f>
        <v>0</v>
      </c>
      <c r="C87" s="35">
        <f t="shared" si="1"/>
        <v>0</v>
      </c>
      <c r="D87" s="2" t="str">
        <f>使用レシピ!E87</f>
        <v>アルミ筐体</v>
      </c>
      <c r="E87" s="20" t="str">
        <f>使用レシピ!F87</f>
        <v>アルミのインゴット</v>
      </c>
      <c r="F87" s="12" t="str">
        <f>使用レシピ!G87</f>
        <v/>
      </c>
      <c r="G87" s="12" t="str">
        <f>使用レシピ!H87</f>
        <v/>
      </c>
      <c r="H87" s="12" t="str">
        <f>使用レシピ!I87</f>
        <v/>
      </c>
      <c r="I87" s="35" t="str">
        <f>使用レシピ!J87</f>
        <v/>
      </c>
      <c r="J87" s="20">
        <f>使用レシピ!K87</f>
        <v>3</v>
      </c>
      <c r="K87" s="12" t="str">
        <f>使用レシピ!L87</f>
        <v/>
      </c>
      <c r="L87" s="12" t="str">
        <f>使用レシピ!M87</f>
        <v/>
      </c>
      <c r="M87" s="12" t="str">
        <f>使用レシピ!N87</f>
        <v/>
      </c>
      <c r="N87" s="12" t="str">
        <f>使用レシピ!O87</f>
        <v/>
      </c>
      <c r="O87" s="12">
        <f>使用レシピ!P87</f>
        <v>2</v>
      </c>
      <c r="P87" s="35">
        <f>使用レシピ!Q87</f>
        <v>60</v>
      </c>
    </row>
    <row r="88" spans="1:16" ht="19.5" customHeight="1" x14ac:dyDescent="0.4">
      <c r="A88" s="40" t="str">
        <f>使用レシピ!C88</f>
        <v>8701</v>
      </c>
      <c r="B88" s="41">
        <f>IF($A88="","",SUMIF(テンプレート!$B:$B,製造アイテム数!$D88,テンプレート!$C:$C))</f>
        <v>0</v>
      </c>
      <c r="C88" s="35">
        <f t="shared" si="1"/>
        <v>0</v>
      </c>
      <c r="D88" s="2" t="str">
        <f>使用レシピ!E88</f>
        <v>ターボ燃料</v>
      </c>
      <c r="E88" s="20" t="str">
        <f>使用レシピ!F88</f>
        <v>燃料</v>
      </c>
      <c r="F88" s="12" t="str">
        <f>使用レシピ!G88</f>
        <v>圧縮石炭</v>
      </c>
      <c r="G88" s="12" t="str">
        <f>使用レシピ!H88</f>
        <v/>
      </c>
      <c r="H88" s="12" t="str">
        <f>使用レシピ!I88</f>
        <v/>
      </c>
      <c r="I88" s="35" t="str">
        <f>使用レシピ!J88</f>
        <v/>
      </c>
      <c r="J88" s="20">
        <f>使用レシピ!K88</f>
        <v>6</v>
      </c>
      <c r="K88" s="12">
        <f>使用レシピ!L88</f>
        <v>4</v>
      </c>
      <c r="L88" s="12" t="str">
        <f>使用レシピ!M88</f>
        <v/>
      </c>
      <c r="M88" s="12" t="str">
        <f>使用レシピ!N88</f>
        <v/>
      </c>
      <c r="N88" s="12" t="str">
        <f>使用レシピ!O88</f>
        <v/>
      </c>
      <c r="O88" s="12">
        <f>使用レシピ!P88</f>
        <v>5</v>
      </c>
      <c r="P88" s="35">
        <f>使用レシピ!Q88</f>
        <v>18.75</v>
      </c>
    </row>
    <row r="89" spans="1:16" ht="19.5" customHeight="1" x14ac:dyDescent="0.4">
      <c r="A89" s="40" t="str">
        <f>使用レシピ!C89</f>
        <v>8801</v>
      </c>
      <c r="B89" s="41">
        <f>IF($A89="","",SUMIF(テンプレート!$B:$B,製造アイテム数!$D89,テンプレート!$C:$C))</f>
        <v>0</v>
      </c>
      <c r="C89" s="35">
        <f t="shared" si="1"/>
        <v>0</v>
      </c>
      <c r="D89" s="2" t="str">
        <f>使用レシピ!E89</f>
        <v>容器入りターボ燃料</v>
      </c>
      <c r="E89" s="20" t="str">
        <f>使用レシピ!F89</f>
        <v>空の容器</v>
      </c>
      <c r="F89" s="12" t="str">
        <f>使用レシピ!G89</f>
        <v>廃重油</v>
      </c>
      <c r="G89" s="12" t="str">
        <f>使用レシピ!H89</f>
        <v/>
      </c>
      <c r="H89" s="12" t="str">
        <f>使用レシピ!I89</f>
        <v/>
      </c>
      <c r="I89" s="35" t="str">
        <f>使用レシピ!J89</f>
        <v/>
      </c>
      <c r="J89" s="20">
        <f>使用レシピ!K89</f>
        <v>2</v>
      </c>
      <c r="K89" s="12">
        <f>使用レシピ!L89</f>
        <v>2</v>
      </c>
      <c r="L89" s="12" t="str">
        <f>使用レシピ!M89</f>
        <v/>
      </c>
      <c r="M89" s="12" t="str">
        <f>使用レシピ!N89</f>
        <v/>
      </c>
      <c r="N89" s="12" t="str">
        <f>使用レシピ!O89</f>
        <v/>
      </c>
      <c r="O89" s="12">
        <f>使用レシピ!P89</f>
        <v>2</v>
      </c>
      <c r="P89" s="35">
        <f>使用レシピ!Q89</f>
        <v>20</v>
      </c>
    </row>
    <row r="90" spans="1:16" ht="19.5" customHeight="1" x14ac:dyDescent="0.4">
      <c r="A90" s="40" t="str">
        <f>使用レシピ!C90</f>
        <v>8901</v>
      </c>
      <c r="B90" s="41">
        <f>IF($A90="","",SUMIF(テンプレート!$B:$B,製造アイテム数!$D90,テンプレート!$C:$C))</f>
        <v>0</v>
      </c>
      <c r="C90" s="35">
        <f t="shared" si="1"/>
        <v>0</v>
      </c>
      <c r="D90" s="2" t="str">
        <f>使用レシピ!E90</f>
        <v>鉄筋</v>
      </c>
      <c r="E90" s="20" t="str">
        <f>使用レシピ!F90</f>
        <v>鉄のロッド</v>
      </c>
      <c r="F90" s="12" t="str">
        <f>使用レシピ!G90</f>
        <v/>
      </c>
      <c r="G90" s="12" t="str">
        <f>使用レシピ!H90</f>
        <v/>
      </c>
      <c r="H90" s="12" t="str">
        <f>使用レシピ!I90</f>
        <v/>
      </c>
      <c r="I90" s="35" t="str">
        <f>使用レシピ!J90</f>
        <v/>
      </c>
      <c r="J90" s="20">
        <f>使用レシピ!K90</f>
        <v>1</v>
      </c>
      <c r="K90" s="12" t="str">
        <f>使用レシピ!L90</f>
        <v/>
      </c>
      <c r="L90" s="12" t="str">
        <f>使用レシピ!M90</f>
        <v/>
      </c>
      <c r="M90" s="12" t="str">
        <f>使用レシピ!N90</f>
        <v/>
      </c>
      <c r="N90" s="12" t="str">
        <f>使用レシピ!O90</f>
        <v/>
      </c>
      <c r="O90" s="12">
        <f>使用レシピ!P90</f>
        <v>1</v>
      </c>
      <c r="P90" s="35">
        <f>使用レシピ!Q90</f>
        <v>15</v>
      </c>
    </row>
    <row r="91" spans="1:16" ht="19.5" customHeight="1" x14ac:dyDescent="0.4">
      <c r="A91" s="40" t="str">
        <f>使用レシピ!C91</f>
        <v>9001</v>
      </c>
      <c r="B91" s="41">
        <f>IF($A91="","",SUMIF(テンプレート!$B:$B,製造アイテム数!$D91,テンプレート!$C:$C))</f>
        <v>0</v>
      </c>
      <c r="C91" s="35">
        <f t="shared" si="1"/>
        <v>0</v>
      </c>
      <c r="D91" s="2" t="str">
        <f>使用レシピ!E91</f>
        <v>硫酸</v>
      </c>
      <c r="E91" s="20" t="str">
        <f>使用レシピ!F91</f>
        <v>硫黄</v>
      </c>
      <c r="F91" s="12" t="str">
        <f>使用レシピ!G91</f>
        <v>水</v>
      </c>
      <c r="G91" s="12" t="str">
        <f>使用レシピ!H91</f>
        <v/>
      </c>
      <c r="H91" s="12" t="str">
        <f>使用レシピ!I91</f>
        <v/>
      </c>
      <c r="I91" s="35" t="str">
        <f>使用レシピ!J91</f>
        <v/>
      </c>
      <c r="J91" s="20">
        <f>使用レシピ!K91</f>
        <v>5</v>
      </c>
      <c r="K91" s="12">
        <f>使用レシピ!L91</f>
        <v>5</v>
      </c>
      <c r="L91" s="12" t="str">
        <f>使用レシピ!M91</f>
        <v/>
      </c>
      <c r="M91" s="12" t="str">
        <f>使用レシピ!N91</f>
        <v/>
      </c>
      <c r="N91" s="12" t="str">
        <f>使用レシピ!O91</f>
        <v/>
      </c>
      <c r="O91" s="12">
        <f>使用レシピ!P91</f>
        <v>5</v>
      </c>
      <c r="P91" s="35">
        <f>使用レシピ!Q91</f>
        <v>50</v>
      </c>
    </row>
    <row r="92" spans="1:16" ht="19.5" customHeight="1" x14ac:dyDescent="0.4">
      <c r="A92" s="40" t="str">
        <f>使用レシピ!C92</f>
        <v>9101</v>
      </c>
      <c r="B92" s="41">
        <f>IF($A92="","",SUMIF(テンプレート!$B:$B,製造アイテム数!$D92,テンプレート!$C:$C))</f>
        <v>0</v>
      </c>
      <c r="C92" s="35">
        <f t="shared" si="1"/>
        <v>0</v>
      </c>
      <c r="D92" s="2" t="str">
        <f>使用レシピ!E92</f>
        <v>包装済み硫酸</v>
      </c>
      <c r="E92" s="20" t="str">
        <f>使用レシピ!F92</f>
        <v>空の容器</v>
      </c>
      <c r="F92" s="12" t="str">
        <f>使用レシピ!G92</f>
        <v>硫酸</v>
      </c>
      <c r="G92" s="12" t="str">
        <f>使用レシピ!H92</f>
        <v/>
      </c>
      <c r="H92" s="12" t="str">
        <f>使用レシピ!I92</f>
        <v/>
      </c>
      <c r="I92" s="35" t="str">
        <f>使用レシピ!J92</f>
        <v/>
      </c>
      <c r="J92" s="20">
        <f>使用レシピ!K92</f>
        <v>2</v>
      </c>
      <c r="K92" s="12">
        <f>使用レシピ!L92</f>
        <v>2</v>
      </c>
      <c r="L92" s="12" t="str">
        <f>使用レシピ!M92</f>
        <v/>
      </c>
      <c r="M92" s="12" t="str">
        <f>使用レシピ!N92</f>
        <v/>
      </c>
      <c r="N92" s="12" t="str">
        <f>使用レシピ!O92</f>
        <v/>
      </c>
      <c r="O92" s="12">
        <f>使用レシピ!P92</f>
        <v>2</v>
      </c>
      <c r="P92" s="35">
        <f>使用レシピ!Q92</f>
        <v>40</v>
      </c>
    </row>
    <row r="93" spans="1:16" ht="19.5" customHeight="1" x14ac:dyDescent="0.4">
      <c r="A93" s="40" t="str">
        <f>使用レシピ!C93</f>
        <v>9201</v>
      </c>
      <c r="B93" s="41">
        <f>IF($A93="","",SUMIF(テンプレート!$B:$B,製造アイテム数!$D93,テンプレート!$C:$C))</f>
        <v>0</v>
      </c>
      <c r="C93" s="35">
        <f t="shared" si="1"/>
        <v>0</v>
      </c>
      <c r="D93" s="2" t="str">
        <f>使用レシピ!E93</f>
        <v>バッテリー</v>
      </c>
      <c r="E93" s="20" t="str">
        <f>使用レシピ!F93</f>
        <v>硫酸</v>
      </c>
      <c r="F93" s="12" t="str">
        <f>使用レシピ!G93</f>
        <v>アルミナ溶液</v>
      </c>
      <c r="G93" s="12" t="str">
        <f>使用レシピ!H93</f>
        <v>アルミ筐体</v>
      </c>
      <c r="H93" s="12" t="str">
        <f>使用レシピ!I93</f>
        <v/>
      </c>
      <c r="I93" s="35" t="str">
        <f>使用レシピ!J93</f>
        <v>水</v>
      </c>
      <c r="J93" s="20">
        <f>使用レシピ!K93</f>
        <v>2.5</v>
      </c>
      <c r="K93" s="12">
        <f>使用レシピ!L93</f>
        <v>2</v>
      </c>
      <c r="L93" s="12">
        <f>使用レシピ!M93</f>
        <v>1</v>
      </c>
      <c r="M93" s="12" t="str">
        <f>使用レシピ!N93</f>
        <v/>
      </c>
      <c r="N93" s="12">
        <f>使用レシピ!O93</f>
        <v>1.5</v>
      </c>
      <c r="O93" s="12">
        <f>使用レシピ!P93</f>
        <v>1</v>
      </c>
      <c r="P93" s="35">
        <f>使用レシピ!Q93</f>
        <v>20</v>
      </c>
    </row>
    <row r="94" spans="1:16" ht="19.5" customHeight="1" x14ac:dyDescent="0.4">
      <c r="A94" s="40" t="str">
        <f>使用レシピ!C94</f>
        <v>9301</v>
      </c>
      <c r="B94" s="41">
        <f>IF($A94="","",SUMIF(テンプレート!$B:$B,製造アイテム数!$D94,テンプレート!$C:$C))</f>
        <v>0</v>
      </c>
      <c r="C94" s="35">
        <f t="shared" si="1"/>
        <v>0</v>
      </c>
      <c r="D94" s="2" t="str">
        <f>使用レシピ!E94</f>
        <v>無線制御ユニット</v>
      </c>
      <c r="E94" s="20" t="str">
        <f>使用レシピ!F94</f>
        <v>アルミ筐体</v>
      </c>
      <c r="F94" s="12" t="str">
        <f>使用レシピ!G94</f>
        <v>水晶発振器</v>
      </c>
      <c r="G94" s="12" t="str">
        <f>使用レシピ!H94</f>
        <v>コンピューター</v>
      </c>
      <c r="H94" s="12" t="str">
        <f>使用レシピ!I94</f>
        <v/>
      </c>
      <c r="I94" s="35" t="str">
        <f>使用レシピ!J94</f>
        <v/>
      </c>
      <c r="J94" s="20">
        <f>使用レシピ!K94</f>
        <v>32</v>
      </c>
      <c r="K94" s="12">
        <f>使用レシピ!L94</f>
        <v>1</v>
      </c>
      <c r="L94" s="12">
        <f>使用レシピ!M94</f>
        <v>2</v>
      </c>
      <c r="M94" s="12" t="str">
        <f>使用レシピ!N94</f>
        <v/>
      </c>
      <c r="N94" s="12" t="str">
        <f>使用レシピ!O94</f>
        <v/>
      </c>
      <c r="O94" s="12">
        <f>使用レシピ!P94</f>
        <v>2</v>
      </c>
      <c r="P94" s="35">
        <f>使用レシピ!Q94</f>
        <v>2.5</v>
      </c>
    </row>
    <row r="95" spans="1:16" ht="19.5" customHeight="1" x14ac:dyDescent="0.4">
      <c r="A95" s="40" t="str">
        <f>使用レシピ!C95</f>
        <v>9401</v>
      </c>
      <c r="B95" s="41">
        <f>IF($A95="","",SUMIF(テンプレート!$B:$B,製造アイテム数!$D95,テンプレート!$C:$C))</f>
        <v>0</v>
      </c>
      <c r="C95" s="35">
        <f t="shared" si="1"/>
        <v>0</v>
      </c>
      <c r="D95" s="2" t="str">
        <f>使用レシピ!E95</f>
        <v>スーパーコンピューター</v>
      </c>
      <c r="E95" s="20" t="str">
        <f>使用レシピ!F95</f>
        <v>コンピューター</v>
      </c>
      <c r="F95" s="12" t="str">
        <f>使用レシピ!G95</f>
        <v>電磁制御棒</v>
      </c>
      <c r="G95" s="12" t="str">
        <f>使用レシピ!H95</f>
        <v>バッテリー</v>
      </c>
      <c r="H95" s="12" t="str">
        <f>使用レシピ!I95</f>
        <v>ワイヤー</v>
      </c>
      <c r="I95" s="35" t="str">
        <f>使用レシピ!J95</f>
        <v/>
      </c>
      <c r="J95" s="20">
        <f>使用レシピ!K95</f>
        <v>3</v>
      </c>
      <c r="K95" s="12">
        <f>使用レシピ!L95</f>
        <v>1</v>
      </c>
      <c r="L95" s="12">
        <f>使用レシピ!M95</f>
        <v>10</v>
      </c>
      <c r="M95" s="12">
        <f>使用レシピ!N95</f>
        <v>25</v>
      </c>
      <c r="N95" s="12" t="str">
        <f>使用レシピ!O95</f>
        <v/>
      </c>
      <c r="O95" s="12">
        <f>使用レシピ!P95</f>
        <v>1</v>
      </c>
      <c r="P95" s="35">
        <f>使用レシピ!Q95</f>
        <v>2.4</v>
      </c>
    </row>
    <row r="96" spans="1:16" ht="19.5" customHeight="1" x14ac:dyDescent="0.4">
      <c r="A96" s="40" t="str">
        <f>使用レシピ!C96</f>
        <v>9501</v>
      </c>
      <c r="B96" s="41">
        <f>IF($A96="","",SUMIF(テンプレート!$B:$B,製造アイテム数!$D96,テンプレート!$C:$C))</f>
        <v>0</v>
      </c>
      <c r="C96" s="35">
        <f t="shared" si="1"/>
        <v>0</v>
      </c>
      <c r="D96" s="2" t="str">
        <f>使用レシピ!E96</f>
        <v>組立指揮システム</v>
      </c>
      <c r="E96" s="20" t="str">
        <f>使用レシピ!F96</f>
        <v>自律制御ユニット</v>
      </c>
      <c r="F96" s="12" t="str">
        <f>使用レシピ!G96</f>
        <v>スーパーコンピューター</v>
      </c>
      <c r="G96" s="12" t="str">
        <f>使用レシピ!H96</f>
        <v/>
      </c>
      <c r="H96" s="12" t="str">
        <f>使用レシピ!I96</f>
        <v/>
      </c>
      <c r="I96" s="35" t="str">
        <f>使用レシピ!J96</f>
        <v/>
      </c>
      <c r="J96" s="20">
        <f>使用レシピ!K96</f>
        <v>2</v>
      </c>
      <c r="K96" s="12">
        <f>使用レシピ!L96</f>
        <v>1</v>
      </c>
      <c r="L96" s="12" t="str">
        <f>使用レシピ!M96</f>
        <v/>
      </c>
      <c r="M96" s="12" t="str">
        <f>使用レシピ!N96</f>
        <v/>
      </c>
      <c r="N96" s="12" t="str">
        <f>使用レシピ!O96</f>
        <v/>
      </c>
      <c r="O96" s="12">
        <f>使用レシピ!P96</f>
        <v>1</v>
      </c>
      <c r="P96" s="35">
        <f>使用レシピ!Q96</f>
        <v>0.75</v>
      </c>
    </row>
    <row r="97" spans="1:16" ht="19.5" customHeight="1" x14ac:dyDescent="0.4">
      <c r="A97" s="40" t="str">
        <f>使用レシピ!C97</f>
        <v>9601</v>
      </c>
      <c r="B97" s="41">
        <f>IF($A97="","",SUMIF(テンプレート!$B:$B,製造アイテム数!$D97,テンプレート!$C:$C))</f>
        <v>0</v>
      </c>
      <c r="C97" s="35">
        <f t="shared" si="1"/>
        <v>0</v>
      </c>
      <c r="D97" s="2" t="str">
        <f>使用レシピ!E97</f>
        <v>ヨウ素充填フィルター</v>
      </c>
      <c r="E97" s="20" t="str">
        <f>使用レシピ!F97</f>
        <v>ガスフィルター</v>
      </c>
      <c r="F97" s="12" t="str">
        <f>使用レシピ!G97</f>
        <v>クイックワイヤー</v>
      </c>
      <c r="G97" s="12" t="str">
        <f>使用レシピ!H97</f>
        <v>アルミ筐体</v>
      </c>
      <c r="H97" s="12" t="str">
        <f>使用レシピ!I97</f>
        <v/>
      </c>
      <c r="I97" s="35" t="str">
        <f>使用レシピ!J97</f>
        <v/>
      </c>
      <c r="J97" s="20">
        <f>使用レシピ!K97</f>
        <v>1</v>
      </c>
      <c r="K97" s="12">
        <f>使用レシピ!L97</f>
        <v>8</v>
      </c>
      <c r="L97" s="12">
        <f>使用レシピ!M97</f>
        <v>1</v>
      </c>
      <c r="M97" s="12" t="str">
        <f>使用レシピ!N97</f>
        <v/>
      </c>
      <c r="N97" s="12" t="str">
        <f>使用レシピ!O97</f>
        <v/>
      </c>
      <c r="O97" s="12">
        <f>使用レシピ!P97</f>
        <v>1</v>
      </c>
      <c r="P97" s="35">
        <f>使用レシピ!Q97</f>
        <v>3.75</v>
      </c>
    </row>
    <row r="98" spans="1:16" ht="19.5" customHeight="1" x14ac:dyDescent="0.4">
      <c r="A98" s="40" t="str">
        <f>使用レシピ!C98</f>
        <v>9701</v>
      </c>
      <c r="B98" s="41">
        <f>IF($A98="","",SUMIF(テンプレート!$B:$B,製造アイテム数!$D98,テンプレート!$C:$C))</f>
        <v>0</v>
      </c>
      <c r="C98" s="35">
        <f t="shared" si="1"/>
        <v>0</v>
      </c>
      <c r="D98" s="2" t="str">
        <f>使用レシピ!E98</f>
        <v>空の液体タンク</v>
      </c>
      <c r="E98" s="20" t="str">
        <f>使用レシピ!F98</f>
        <v>アルミのインゴット</v>
      </c>
      <c r="F98" s="12" t="str">
        <f>使用レシピ!G98</f>
        <v/>
      </c>
      <c r="G98" s="12" t="str">
        <f>使用レシピ!H98</f>
        <v/>
      </c>
      <c r="H98" s="12" t="str">
        <f>使用レシピ!I98</f>
        <v/>
      </c>
      <c r="I98" s="35" t="str">
        <f>使用レシピ!J98</f>
        <v/>
      </c>
      <c r="J98" s="20">
        <f>使用レシピ!K98</f>
        <v>1</v>
      </c>
      <c r="K98" s="12" t="str">
        <f>使用レシピ!L98</f>
        <v/>
      </c>
      <c r="L98" s="12" t="str">
        <f>使用レシピ!M98</f>
        <v/>
      </c>
      <c r="M98" s="12" t="str">
        <f>使用レシピ!N98</f>
        <v/>
      </c>
      <c r="N98" s="12" t="str">
        <f>使用レシピ!O98</f>
        <v/>
      </c>
      <c r="O98" s="12">
        <f>使用レシピ!P98</f>
        <v>1</v>
      </c>
      <c r="P98" s="35">
        <f>使用レシピ!Q98</f>
        <v>60</v>
      </c>
    </row>
    <row r="99" spans="1:16" ht="19.5" customHeight="1" x14ac:dyDescent="0.4">
      <c r="A99" s="40" t="str">
        <f>使用レシピ!C99</f>
        <v>9801</v>
      </c>
      <c r="B99" s="41">
        <f>IF($A99="","",SUMIF(テンプレート!$B:$B,製造アイテム数!$D99,テンプレート!$C:$C))</f>
        <v>0</v>
      </c>
      <c r="C99" s="35">
        <f t="shared" si="1"/>
        <v>0</v>
      </c>
      <c r="D99" s="2" t="str">
        <f>使用レシピ!E99</f>
        <v>包装済み窒素ガス</v>
      </c>
      <c r="E99" s="20" t="str">
        <f>使用レシピ!F99</f>
        <v>窒素ガス</v>
      </c>
      <c r="F99" s="12" t="str">
        <f>使用レシピ!G99</f>
        <v>空の液体タンク</v>
      </c>
      <c r="G99" s="12" t="str">
        <f>使用レシピ!H99</f>
        <v/>
      </c>
      <c r="H99" s="12" t="str">
        <f>使用レシピ!I99</f>
        <v/>
      </c>
      <c r="I99" s="35" t="str">
        <f>使用レシピ!J99</f>
        <v/>
      </c>
      <c r="J99" s="20">
        <f>使用レシピ!K99</f>
        <v>4</v>
      </c>
      <c r="K99" s="12">
        <f>使用レシピ!L99</f>
        <v>1</v>
      </c>
      <c r="L99" s="12" t="str">
        <f>使用レシピ!M99</f>
        <v/>
      </c>
      <c r="M99" s="12" t="str">
        <f>使用レシピ!N99</f>
        <v/>
      </c>
      <c r="N99" s="12" t="str">
        <f>使用レシピ!O99</f>
        <v/>
      </c>
      <c r="O99" s="12">
        <f>使用レシピ!P99</f>
        <v>1</v>
      </c>
      <c r="P99" s="35">
        <f>使用レシピ!Q99</f>
        <v>60</v>
      </c>
    </row>
    <row r="100" spans="1:16" ht="19.5" customHeight="1" x14ac:dyDescent="0.4">
      <c r="A100" s="40" t="str">
        <f>使用レシピ!C100</f>
        <v>9901</v>
      </c>
      <c r="B100" s="41">
        <f>IF($A100="","",SUMIF(テンプレート!$B:$B,製造アイテム数!$D100,テンプレート!$C:$C))</f>
        <v>300</v>
      </c>
      <c r="C100" s="35">
        <f t="shared" si="1"/>
        <v>1</v>
      </c>
      <c r="D100" s="2" t="str">
        <f>使用レシピ!E100</f>
        <v>窒素ガス</v>
      </c>
      <c r="E100" s="20" t="str">
        <f>使用レシピ!F100</f>
        <v/>
      </c>
      <c r="F100" s="12" t="str">
        <f>使用レシピ!G100</f>
        <v/>
      </c>
      <c r="G100" s="12" t="str">
        <f>使用レシピ!H100</f>
        <v/>
      </c>
      <c r="H100" s="12" t="str">
        <f>使用レシピ!I100</f>
        <v/>
      </c>
      <c r="I100" s="35" t="str">
        <f>使用レシピ!J100</f>
        <v/>
      </c>
      <c r="J100" s="20" t="str">
        <f>使用レシピ!K100</f>
        <v/>
      </c>
      <c r="K100" s="12" t="str">
        <f>使用レシピ!L100</f>
        <v/>
      </c>
      <c r="L100" s="12" t="str">
        <f>使用レシピ!M100</f>
        <v/>
      </c>
      <c r="M100" s="12" t="str">
        <f>使用レシピ!N100</f>
        <v/>
      </c>
      <c r="N100" s="12" t="str">
        <f>使用レシピ!O100</f>
        <v/>
      </c>
      <c r="O100" s="12">
        <f>使用レシピ!P100</f>
        <v>1</v>
      </c>
      <c r="P100" s="35">
        <f>使用レシピ!Q100</f>
        <v>600</v>
      </c>
    </row>
    <row r="101" spans="1:16" ht="19.5" customHeight="1" x14ac:dyDescent="0.4">
      <c r="A101" s="40" t="str">
        <f>使用レシピ!C101</f>
        <v>10001</v>
      </c>
      <c r="B101" s="41">
        <f>IF($A101="","",SUMIF(テンプレート!$B:$B,製造アイテム数!$D101,テンプレート!$C:$C))</f>
        <v>0</v>
      </c>
      <c r="C101" s="35">
        <f t="shared" si="1"/>
        <v>0</v>
      </c>
      <c r="D101" s="2" t="str">
        <f>使用レシピ!E101</f>
        <v>ヒートシンク</v>
      </c>
      <c r="E101" s="20" t="str">
        <f>使用レシピ!F101</f>
        <v>アルクラッド・アルミシート</v>
      </c>
      <c r="F101" s="12" t="str">
        <f>使用レシピ!G101</f>
        <v>銅板</v>
      </c>
      <c r="G101" s="12" t="str">
        <f>使用レシピ!H101</f>
        <v/>
      </c>
      <c r="H101" s="12" t="str">
        <f>使用レシピ!I101</f>
        <v/>
      </c>
      <c r="I101" s="35" t="str">
        <f>使用レシピ!J101</f>
        <v/>
      </c>
      <c r="J101" s="20">
        <f>使用レシピ!K101</f>
        <v>5</v>
      </c>
      <c r="K101" s="12">
        <f>使用レシピ!L101</f>
        <v>3</v>
      </c>
      <c r="L101" s="12" t="str">
        <f>使用レシピ!M101</f>
        <v/>
      </c>
      <c r="M101" s="12" t="str">
        <f>使用レシピ!N101</f>
        <v/>
      </c>
      <c r="N101" s="12" t="str">
        <f>使用レシピ!O101</f>
        <v/>
      </c>
      <c r="O101" s="12">
        <f>使用レシピ!P101</f>
        <v>1</v>
      </c>
      <c r="P101" s="35">
        <f>使用レシピ!Q101</f>
        <v>7.5</v>
      </c>
    </row>
    <row r="102" spans="1:16" ht="19.5" customHeight="1" x14ac:dyDescent="0.4">
      <c r="A102" s="40" t="str">
        <f>使用レシピ!C102</f>
        <v>10101</v>
      </c>
      <c r="B102" s="41">
        <f>IF($A102="","",SUMIF(テンプレート!$B:$B,製造アイテム数!$D102,テンプレート!$C:$C))</f>
        <v>0</v>
      </c>
      <c r="C102" s="35">
        <f t="shared" si="1"/>
        <v>0</v>
      </c>
      <c r="D102" s="2" t="str">
        <f>使用レシピ!E102</f>
        <v>冷却システム</v>
      </c>
      <c r="E102" s="20" t="str">
        <f>使用レシピ!F102</f>
        <v>ヒートシンク</v>
      </c>
      <c r="F102" s="12" t="str">
        <f>使用レシピ!G102</f>
        <v>ゴム</v>
      </c>
      <c r="G102" s="12" t="str">
        <f>使用レシピ!H102</f>
        <v>水</v>
      </c>
      <c r="H102" s="12" t="str">
        <f>使用レシピ!I102</f>
        <v>窒素ガス</v>
      </c>
      <c r="I102" s="35" t="str">
        <f>使用レシピ!J102</f>
        <v/>
      </c>
      <c r="J102" s="20">
        <f>使用レシピ!K102</f>
        <v>2</v>
      </c>
      <c r="K102" s="12">
        <f>使用レシピ!L102</f>
        <v>2</v>
      </c>
      <c r="L102" s="12">
        <f>使用レシピ!M102</f>
        <v>5</v>
      </c>
      <c r="M102" s="12">
        <f>使用レシピ!N102</f>
        <v>25</v>
      </c>
      <c r="N102" s="12" t="str">
        <f>使用レシピ!O102</f>
        <v/>
      </c>
      <c r="O102" s="12">
        <f>使用レシピ!P102</f>
        <v>1</v>
      </c>
      <c r="P102" s="35">
        <f>使用レシピ!Q102</f>
        <v>6</v>
      </c>
    </row>
    <row r="103" spans="1:16" ht="19.5" customHeight="1" x14ac:dyDescent="0.4">
      <c r="A103" s="40" t="str">
        <f>使用レシピ!C103</f>
        <v>10201</v>
      </c>
      <c r="B103" s="41">
        <f>IF($A103="","",SUMIF(テンプレート!$B:$B,製造アイテム数!$D103,テンプレート!$C:$C))</f>
        <v>0</v>
      </c>
      <c r="C103" s="35">
        <f t="shared" si="1"/>
        <v>0</v>
      </c>
      <c r="D103" s="2" t="str">
        <f>使用レシピ!E103</f>
        <v>溶融モジュラー・フレーム</v>
      </c>
      <c r="E103" s="20" t="str">
        <f>使用レシピ!F103</f>
        <v>ヘビー・モジュラー・フレーム</v>
      </c>
      <c r="F103" s="12" t="str">
        <f>使用レシピ!G103</f>
        <v>アルミ筐体</v>
      </c>
      <c r="G103" s="12" t="str">
        <f>使用レシピ!H103</f>
        <v>窒素ガス</v>
      </c>
      <c r="H103" s="12" t="str">
        <f>使用レシピ!I103</f>
        <v/>
      </c>
      <c r="I103" s="35" t="str">
        <f>使用レシピ!J103</f>
        <v/>
      </c>
      <c r="J103" s="20">
        <f>使用レシピ!K103</f>
        <v>1</v>
      </c>
      <c r="K103" s="12">
        <f>使用レシピ!L103</f>
        <v>50</v>
      </c>
      <c r="L103" s="12">
        <f>使用レシピ!M103</f>
        <v>25</v>
      </c>
      <c r="M103" s="12" t="str">
        <f>使用レシピ!N103</f>
        <v/>
      </c>
      <c r="N103" s="12" t="str">
        <f>使用レシピ!O103</f>
        <v/>
      </c>
      <c r="O103" s="12">
        <f>使用レシピ!P103</f>
        <v>1</v>
      </c>
      <c r="P103" s="35">
        <f>使用レシピ!Q103</f>
        <v>1.5</v>
      </c>
    </row>
    <row r="104" spans="1:16" ht="19.5" customHeight="1" x14ac:dyDescent="0.4">
      <c r="A104" s="40" t="str">
        <f>使用レシピ!C104</f>
        <v>10301</v>
      </c>
      <c r="B104" s="41">
        <f>IF($A104="","",SUMIF(テンプレート!$B:$B,製造アイテム数!$D104,テンプレート!$C:$C))</f>
        <v>0</v>
      </c>
      <c r="C104" s="35">
        <f t="shared" si="1"/>
        <v>0</v>
      </c>
      <c r="D104" s="2" t="str">
        <f>使用レシピ!E104</f>
        <v>溶解シリカ</v>
      </c>
      <c r="E104" s="20" t="str">
        <f>使用レシピ!F104</f>
        <v>未加工石英</v>
      </c>
      <c r="F104" s="12" t="str">
        <f>使用レシピ!G104</f>
        <v>硝酸</v>
      </c>
      <c r="G104" s="12" t="str">
        <f>使用レシピ!H104</f>
        <v/>
      </c>
      <c r="H104" s="12" t="str">
        <f>使用レシピ!I104</f>
        <v/>
      </c>
      <c r="I104" s="35" t="str">
        <f>使用レシピ!J104</f>
        <v>石英結晶</v>
      </c>
      <c r="J104" s="20">
        <f>使用レシピ!K104</f>
        <v>24</v>
      </c>
      <c r="K104" s="12">
        <f>使用レシピ!L104</f>
        <v>2</v>
      </c>
      <c r="L104" s="12" t="str">
        <f>使用レシピ!M104</f>
        <v/>
      </c>
      <c r="M104" s="12" t="str">
        <f>使用レシピ!N104</f>
        <v/>
      </c>
      <c r="N104" s="12">
        <f>使用レシピ!O104</f>
        <v>15</v>
      </c>
      <c r="O104" s="12">
        <f>使用レシピ!P104</f>
        <v>12</v>
      </c>
      <c r="P104" s="35">
        <f>使用レシピ!Q104</f>
        <v>60</v>
      </c>
    </row>
    <row r="105" spans="1:16" ht="19.5" customHeight="1" x14ac:dyDescent="0.4">
      <c r="A105" s="40" t="str">
        <f>使用レシピ!C105</f>
        <v>10401</v>
      </c>
      <c r="B105" s="41">
        <f>IF($A105="","",SUMIF(テンプレート!$B:$B,製造アイテム数!$D105,テンプレート!$C:$C))</f>
        <v>0</v>
      </c>
      <c r="C105" s="35">
        <f t="shared" si="1"/>
        <v>0</v>
      </c>
      <c r="D105" s="2" t="str">
        <f>使用レシピ!E105</f>
        <v>硝酸</v>
      </c>
      <c r="E105" s="20" t="str">
        <f>使用レシピ!F105</f>
        <v>窒素ガス</v>
      </c>
      <c r="F105" s="12" t="str">
        <f>使用レシピ!G105</f>
        <v>水</v>
      </c>
      <c r="G105" s="12" t="str">
        <f>使用レシピ!H105</f>
        <v>鉄板</v>
      </c>
      <c r="H105" s="12" t="str">
        <f>使用レシピ!I105</f>
        <v/>
      </c>
      <c r="I105" s="35" t="str">
        <f>使用レシピ!J105</f>
        <v/>
      </c>
      <c r="J105" s="20">
        <f>使用レシピ!K105</f>
        <v>12</v>
      </c>
      <c r="K105" s="12">
        <f>使用レシピ!L105</f>
        <v>3</v>
      </c>
      <c r="L105" s="12">
        <f>使用レシピ!M105</f>
        <v>1</v>
      </c>
      <c r="M105" s="12" t="str">
        <f>使用レシピ!N105</f>
        <v/>
      </c>
      <c r="N105" s="12" t="str">
        <f>使用レシピ!O105</f>
        <v/>
      </c>
      <c r="O105" s="12">
        <f>使用レシピ!P105</f>
        <v>3</v>
      </c>
      <c r="P105" s="35">
        <f>使用レシピ!Q105</f>
        <v>30</v>
      </c>
    </row>
    <row r="106" spans="1:16" ht="19.5" customHeight="1" x14ac:dyDescent="0.4">
      <c r="A106" s="40" t="str">
        <f>使用レシピ!C106</f>
        <v>10501</v>
      </c>
      <c r="B106" s="41">
        <f>IF($A106="","",SUMIF(テンプレート!$B:$B,製造アイテム数!$D106,テンプレート!$C:$C))</f>
        <v>0</v>
      </c>
      <c r="C106" s="35">
        <f t="shared" si="1"/>
        <v>0</v>
      </c>
      <c r="D106" s="2" t="str">
        <f>使用レシピ!E106</f>
        <v>ターボ・モーター</v>
      </c>
      <c r="E106" s="20" t="str">
        <f>使用レシピ!F106</f>
        <v>冷却システム</v>
      </c>
      <c r="F106" s="12" t="str">
        <f>使用レシピ!G106</f>
        <v>無線制御ユニット</v>
      </c>
      <c r="G106" s="12" t="str">
        <f>使用レシピ!H106</f>
        <v>モーター</v>
      </c>
      <c r="H106" s="12" t="str">
        <f>使用レシピ!I106</f>
        <v>ゴム</v>
      </c>
      <c r="I106" s="35" t="str">
        <f>使用レシピ!J106</f>
        <v/>
      </c>
      <c r="J106" s="20">
        <f>使用レシピ!K106</f>
        <v>4</v>
      </c>
      <c r="K106" s="12">
        <f>使用レシピ!L106</f>
        <v>2</v>
      </c>
      <c r="L106" s="12">
        <f>使用レシピ!M106</f>
        <v>4</v>
      </c>
      <c r="M106" s="12">
        <f>使用レシピ!N106</f>
        <v>24</v>
      </c>
      <c r="N106" s="12" t="str">
        <f>使用レシピ!O106</f>
        <v/>
      </c>
      <c r="O106" s="12">
        <f>使用レシピ!P106</f>
        <v>1</v>
      </c>
      <c r="P106" s="35">
        <f>使用レシピ!Q106</f>
        <v>1.875</v>
      </c>
    </row>
    <row r="107" spans="1:16" ht="19.5" customHeight="1" x14ac:dyDescent="0.4">
      <c r="A107" s="40" t="str">
        <f>使用レシピ!C107</f>
        <v>10601</v>
      </c>
      <c r="B107" s="41">
        <f>IF($A107="","",SUMIF(テンプレート!$B:$B,製造アイテム数!$D107,テンプレート!$C:$C))</f>
        <v>0</v>
      </c>
      <c r="C107" s="35">
        <f t="shared" si="1"/>
        <v>0</v>
      </c>
      <c r="D107" s="2" t="str">
        <f>使用レシピ!E107</f>
        <v>熱推進型ロケット</v>
      </c>
      <c r="E107" s="20" t="str">
        <f>使用レシピ!F107</f>
        <v>モジュラーエンジン</v>
      </c>
      <c r="F107" s="12" t="str">
        <f>使用レシピ!G107</f>
        <v>ターボ・モーター</v>
      </c>
      <c r="G107" s="12" t="str">
        <f>使用レシピ!H107</f>
        <v>冷却システム</v>
      </c>
      <c r="H107" s="12" t="str">
        <f>使用レシピ!I107</f>
        <v>溶融モジュラー・フレーム</v>
      </c>
      <c r="I107" s="35" t="str">
        <f>使用レシピ!J107</f>
        <v/>
      </c>
      <c r="J107" s="20">
        <f>使用レシピ!K107</f>
        <v>5</v>
      </c>
      <c r="K107" s="12">
        <f>使用レシピ!L107</f>
        <v>2</v>
      </c>
      <c r="L107" s="12">
        <f>使用レシピ!M107</f>
        <v>6</v>
      </c>
      <c r="M107" s="12">
        <f>使用レシピ!N107</f>
        <v>2</v>
      </c>
      <c r="N107" s="12" t="str">
        <f>使用レシピ!O107</f>
        <v/>
      </c>
      <c r="O107" s="12">
        <f>使用レシピ!P107</f>
        <v>2</v>
      </c>
      <c r="P107" s="35">
        <f>使用レシピ!Q107</f>
        <v>1</v>
      </c>
    </row>
    <row r="108" spans="1:16" ht="19.5" customHeight="1" x14ac:dyDescent="0.4">
      <c r="A108" s="40" t="str">
        <f>使用レシピ!C108</f>
        <v>10702</v>
      </c>
      <c r="B108" s="41">
        <f>IF($A108="","",SUMIF(テンプレート!$B:$B,製造アイテム数!$D108,テンプレート!$C:$C))</f>
        <v>0</v>
      </c>
      <c r="C108" s="35">
        <f t="shared" si="1"/>
        <v>0</v>
      </c>
      <c r="D108" s="2" t="str">
        <f>使用レシピ!E108</f>
        <v>被覆型ウラン・セル</v>
      </c>
      <c r="E108" s="20" t="str">
        <f>使用レシピ!F108</f>
        <v>ウラン</v>
      </c>
      <c r="F108" s="12" t="str">
        <f>使用レシピ!G108</f>
        <v>シリカ</v>
      </c>
      <c r="G108" s="12" t="str">
        <f>使用レシピ!H108</f>
        <v>硫黄</v>
      </c>
      <c r="H108" s="12" t="str">
        <f>使用レシピ!I108</f>
        <v>クイックワイヤー</v>
      </c>
      <c r="I108" s="35" t="str">
        <f>使用レシピ!J108</f>
        <v/>
      </c>
      <c r="J108" s="20">
        <f>使用レシピ!K108</f>
        <v>5</v>
      </c>
      <c r="K108" s="12">
        <f>使用レシピ!L108</f>
        <v>3</v>
      </c>
      <c r="L108" s="12">
        <f>使用レシピ!M108</f>
        <v>5</v>
      </c>
      <c r="M108" s="12">
        <f>使用レシピ!N108</f>
        <v>15</v>
      </c>
      <c r="N108" s="12" t="str">
        <f>使用レシピ!O108</f>
        <v/>
      </c>
      <c r="O108" s="12">
        <f>使用レシピ!P108</f>
        <v>4</v>
      </c>
      <c r="P108" s="35">
        <f>使用レシピ!Q108</f>
        <v>20</v>
      </c>
    </row>
    <row r="109" spans="1:16" ht="19.5" customHeight="1" x14ac:dyDescent="0.4">
      <c r="A109" s="40" t="str">
        <f>使用レシピ!C109</f>
        <v>10801</v>
      </c>
      <c r="B109" s="41">
        <f>IF($A109="","",SUMIF(テンプレート!$B:$B,製造アイテム数!$D109,テンプレート!$C:$C))</f>
        <v>0</v>
      </c>
      <c r="C109" s="35">
        <f t="shared" si="1"/>
        <v>0</v>
      </c>
      <c r="D109" s="2" t="str">
        <f>使用レシピ!E109</f>
        <v>ウラン</v>
      </c>
      <c r="E109" s="20" t="str">
        <f>使用レシピ!F109</f>
        <v/>
      </c>
      <c r="F109" s="12" t="str">
        <f>使用レシピ!G109</f>
        <v/>
      </c>
      <c r="G109" s="12" t="str">
        <f>使用レシピ!H109</f>
        <v/>
      </c>
      <c r="H109" s="12" t="str">
        <f>使用レシピ!I109</f>
        <v/>
      </c>
      <c r="I109" s="35" t="str">
        <f>使用レシピ!J109</f>
        <v/>
      </c>
      <c r="J109" s="20" t="str">
        <f>使用レシピ!K109</f>
        <v/>
      </c>
      <c r="K109" s="12" t="str">
        <f>使用レシピ!L109</f>
        <v/>
      </c>
      <c r="L109" s="12" t="str">
        <f>使用レシピ!M109</f>
        <v/>
      </c>
      <c r="M109" s="12" t="str">
        <f>使用レシピ!N109</f>
        <v/>
      </c>
      <c r="N109" s="12" t="str">
        <f>使用レシピ!O109</f>
        <v/>
      </c>
      <c r="O109" s="12">
        <f>使用レシピ!P109</f>
        <v>1</v>
      </c>
      <c r="P109" s="35">
        <f>使用レシピ!Q109</f>
        <v>1200</v>
      </c>
    </row>
    <row r="110" spans="1:16" ht="19.5" customHeight="1" x14ac:dyDescent="0.4">
      <c r="A110" s="40" t="str">
        <f>使用レシピ!C110</f>
        <v>10901</v>
      </c>
      <c r="B110" s="41">
        <f>IF($A110="","",SUMIF(テンプレート!$B:$B,製造アイテム数!$D110,テンプレート!$C:$C))</f>
        <v>0</v>
      </c>
      <c r="C110" s="35">
        <f t="shared" si="1"/>
        <v>0</v>
      </c>
      <c r="D110" s="2" t="str">
        <f>使用レシピ!E110</f>
        <v>電磁制御棒</v>
      </c>
      <c r="E110" s="20" t="str">
        <f>使用レシピ!F110</f>
        <v>固定子</v>
      </c>
      <c r="F110" s="12" t="str">
        <f>使用レシピ!G110</f>
        <v>AIリミッター</v>
      </c>
      <c r="G110" s="12" t="str">
        <f>使用レシピ!H110</f>
        <v/>
      </c>
      <c r="H110" s="12" t="str">
        <f>使用レシピ!I110</f>
        <v/>
      </c>
      <c r="I110" s="35" t="str">
        <f>使用レシピ!J110</f>
        <v/>
      </c>
      <c r="J110" s="20">
        <f>使用レシピ!K110</f>
        <v>3</v>
      </c>
      <c r="K110" s="12">
        <f>使用レシピ!L110</f>
        <v>2</v>
      </c>
      <c r="L110" s="12" t="str">
        <f>使用レシピ!M110</f>
        <v/>
      </c>
      <c r="M110" s="12" t="str">
        <f>使用レシピ!N110</f>
        <v/>
      </c>
      <c r="N110" s="12" t="str">
        <f>使用レシピ!O110</f>
        <v/>
      </c>
      <c r="O110" s="12">
        <f>使用レシピ!P110</f>
        <v>2</v>
      </c>
      <c r="P110" s="35">
        <f>使用レシピ!Q110</f>
        <v>4</v>
      </c>
    </row>
    <row r="111" spans="1:16" ht="19.5" customHeight="1" x14ac:dyDescent="0.4">
      <c r="A111" s="40" t="str">
        <f>使用レシピ!C111</f>
        <v>11002</v>
      </c>
      <c r="B111" s="41">
        <f>IF($A111="","",SUMIF(テンプレート!$B:$B,製造アイテム数!$D111,テンプレート!$C:$C))</f>
        <v>0</v>
      </c>
      <c r="C111" s="35">
        <f t="shared" si="1"/>
        <v>0</v>
      </c>
      <c r="D111" s="2" t="str">
        <f>使用レシピ!E111</f>
        <v>ウラン燃料棒</v>
      </c>
      <c r="E111" s="20" t="str">
        <f>使用レシピ!F111</f>
        <v>被覆型ウラン・セル</v>
      </c>
      <c r="F111" s="12" t="str">
        <f>使用レシピ!G111</f>
        <v>電磁制御棒</v>
      </c>
      <c r="G111" s="12" t="str">
        <f>使用レシピ!H111</f>
        <v>水晶発振器</v>
      </c>
      <c r="H111" s="12" t="str">
        <f>使用レシピ!I111</f>
        <v>ローター</v>
      </c>
      <c r="I111" s="35" t="str">
        <f>使用レシピ!J111</f>
        <v/>
      </c>
      <c r="J111" s="20">
        <f>使用レシピ!K111</f>
        <v>100</v>
      </c>
      <c r="K111" s="12">
        <f>使用レシピ!L111</f>
        <v>10</v>
      </c>
      <c r="L111" s="12">
        <f>使用レシピ!M111</f>
        <v>3</v>
      </c>
      <c r="M111" s="12">
        <f>使用レシピ!N111</f>
        <v>10</v>
      </c>
      <c r="N111" s="12" t="str">
        <f>使用レシピ!O111</f>
        <v/>
      </c>
      <c r="O111" s="12">
        <f>使用レシピ!P111</f>
        <v>3</v>
      </c>
      <c r="P111" s="35">
        <f>使用レシピ!Q111</f>
        <v>0.6</v>
      </c>
    </row>
    <row r="112" spans="1:16" ht="19.5" customHeight="1" x14ac:dyDescent="0.4">
      <c r="A112" s="40" t="str">
        <f>使用レシピ!C112</f>
        <v>11101</v>
      </c>
      <c r="B112" s="41">
        <f>IF($A112="","",SUMIF(テンプレート!$B:$B,製造アイテム数!$D112,テンプレート!$C:$C))</f>
        <v>0</v>
      </c>
      <c r="C112" s="35">
        <f t="shared" si="1"/>
        <v>0</v>
      </c>
      <c r="D112" s="2" t="str">
        <f>使用レシピ!E112</f>
        <v>磁界発生装置</v>
      </c>
      <c r="E112" s="20" t="str">
        <f>使用レシピ!F112</f>
        <v>多目的フレームワーク</v>
      </c>
      <c r="F112" s="12" t="str">
        <f>使用レシピ!G112</f>
        <v>電磁制御棒</v>
      </c>
      <c r="G112" s="12" t="str">
        <f>使用レシピ!H112</f>
        <v/>
      </c>
      <c r="H112" s="12" t="str">
        <f>使用レシピ!I112</f>
        <v/>
      </c>
      <c r="I112" s="35" t="str">
        <f>使用レシピ!J112</f>
        <v/>
      </c>
      <c r="J112" s="20">
        <f>使用レシピ!K112</f>
        <v>5</v>
      </c>
      <c r="K112" s="12">
        <f>使用レシピ!L112</f>
        <v>2</v>
      </c>
      <c r="L112" s="12" t="str">
        <f>使用レシピ!M112</f>
        <v/>
      </c>
      <c r="M112" s="12" t="str">
        <f>使用レシピ!N112</f>
        <v/>
      </c>
      <c r="N112" s="12" t="str">
        <f>使用レシピ!O112</f>
        <v/>
      </c>
      <c r="O112" s="12">
        <f>使用レシピ!P112</f>
        <v>2</v>
      </c>
      <c r="P112" s="35">
        <f>使用レシピ!Q112</f>
        <v>1</v>
      </c>
    </row>
    <row r="113" spans="1:16" ht="19.5" customHeight="1" x14ac:dyDescent="0.4">
      <c r="A113" s="40" t="str">
        <f>使用レシピ!C113</f>
        <v>11201</v>
      </c>
      <c r="B113" s="41">
        <f>IF($A113="","",SUMIF(テンプレート!$B:$B,製造アイテム数!$D113,テンプレート!$C:$C))</f>
        <v>0</v>
      </c>
      <c r="C113" s="35">
        <f t="shared" si="1"/>
        <v>0</v>
      </c>
      <c r="D113" s="2" t="str">
        <f>使用レシピ!E113</f>
        <v>容器入り硝酸</v>
      </c>
      <c r="E113" s="20" t="str">
        <f>使用レシピ!F113</f>
        <v>硝酸</v>
      </c>
      <c r="F113" s="12" t="str">
        <f>使用レシピ!G113</f>
        <v>空の液体タンク</v>
      </c>
      <c r="G113" s="12" t="str">
        <f>使用レシピ!H113</f>
        <v/>
      </c>
      <c r="H113" s="12" t="str">
        <f>使用レシピ!I113</f>
        <v/>
      </c>
      <c r="I113" s="35" t="str">
        <f>使用レシピ!J113</f>
        <v/>
      </c>
      <c r="J113" s="20">
        <f>使用レシピ!K113</f>
        <v>1</v>
      </c>
      <c r="K113" s="12">
        <f>使用レシピ!L113</f>
        <v>1</v>
      </c>
      <c r="L113" s="12" t="str">
        <f>使用レシピ!M113</f>
        <v/>
      </c>
      <c r="M113" s="12" t="str">
        <f>使用レシピ!N113</f>
        <v/>
      </c>
      <c r="N113" s="12" t="str">
        <f>使用レシピ!O113</f>
        <v/>
      </c>
      <c r="O113" s="12">
        <f>使用レシピ!P113</f>
        <v>1</v>
      </c>
      <c r="P113" s="35">
        <f>使用レシピ!Q113</f>
        <v>30</v>
      </c>
    </row>
    <row r="114" spans="1:16" ht="19.5" customHeight="1" x14ac:dyDescent="0.4">
      <c r="A114" s="40" t="str">
        <f>使用レシピ!C114</f>
        <v>11301</v>
      </c>
      <c r="B114" s="41">
        <f>IF($A114="","",SUMIF(テンプレート!$B:$B,製造アイテム数!$D114,テンプレート!$C:$C))</f>
        <v>0</v>
      </c>
      <c r="C114" s="35">
        <f t="shared" si="1"/>
        <v>0</v>
      </c>
      <c r="D114" s="2" t="str">
        <f>使用レシピ!E114</f>
        <v>非核分裂性ウラン</v>
      </c>
      <c r="E114" s="20" t="str">
        <f>使用レシピ!F114</f>
        <v>ウラン廃棄物</v>
      </c>
      <c r="F114" s="12" t="str">
        <f>使用レシピ!G114</f>
        <v>シリカ</v>
      </c>
      <c r="G114" s="12" t="str">
        <f>使用レシピ!H114</f>
        <v>硝酸</v>
      </c>
      <c r="H114" s="12" t="str">
        <f>使用レシピ!I114</f>
        <v>硫酸</v>
      </c>
      <c r="I114" s="35" t="str">
        <f>使用レシピ!J114</f>
        <v>水</v>
      </c>
      <c r="J114" s="20">
        <f>使用レシピ!K114</f>
        <v>15</v>
      </c>
      <c r="K114" s="12">
        <f>使用レシピ!L114</f>
        <v>10</v>
      </c>
      <c r="L114" s="12">
        <f>使用レシピ!M114</f>
        <v>6</v>
      </c>
      <c r="M114" s="12">
        <f>使用レシピ!N114</f>
        <v>6</v>
      </c>
      <c r="N114" s="12">
        <f>使用レシピ!O114</f>
        <v>6</v>
      </c>
      <c r="O114" s="12">
        <f>使用レシピ!P114</f>
        <v>20</v>
      </c>
      <c r="P114" s="35">
        <f>使用レシピ!Q114</f>
        <v>50</v>
      </c>
    </row>
    <row r="115" spans="1:16" ht="19.5" customHeight="1" x14ac:dyDescent="0.4">
      <c r="A115" s="40" t="str">
        <f>使用レシピ!C115</f>
        <v>11401</v>
      </c>
      <c r="B115" s="41">
        <f>IF($A115="","",SUMIF(テンプレート!$B:$B,製造アイテム数!$D115,テンプレート!$C:$C))</f>
        <v>0</v>
      </c>
      <c r="C115" s="35">
        <f t="shared" si="1"/>
        <v>0</v>
      </c>
      <c r="D115" s="2" t="str">
        <f>使用レシピ!E115</f>
        <v>ウラン廃棄物</v>
      </c>
      <c r="E115" s="20" t="str">
        <f>使用レシピ!F115</f>
        <v>ウラン燃料棒</v>
      </c>
      <c r="F115" s="12" t="str">
        <f>使用レシピ!G115</f>
        <v>水</v>
      </c>
      <c r="G115" s="12" t="str">
        <f>使用レシピ!H115</f>
        <v/>
      </c>
      <c r="H115" s="12" t="str">
        <f>使用レシピ!I115</f>
        <v/>
      </c>
      <c r="I115" s="35" t="str">
        <f>使用レシピ!J115</f>
        <v/>
      </c>
      <c r="J115" s="20">
        <f>使用レシピ!K115</f>
        <v>1</v>
      </c>
      <c r="K115" s="12">
        <f>使用レシピ!L115</f>
        <v>1200</v>
      </c>
      <c r="L115" s="12" t="str">
        <f>使用レシピ!M115</f>
        <v/>
      </c>
      <c r="M115" s="12" t="str">
        <f>使用レシピ!N115</f>
        <v/>
      </c>
      <c r="N115" s="12" t="str">
        <f>使用レシピ!O115</f>
        <v/>
      </c>
      <c r="O115" s="12">
        <f>使用レシピ!P115</f>
        <v>50</v>
      </c>
      <c r="P115" s="35">
        <f>使用レシピ!Q115</f>
        <v>10</v>
      </c>
    </row>
    <row r="116" spans="1:16" ht="19.5" customHeight="1" x14ac:dyDescent="0.4">
      <c r="A116" s="40" t="str">
        <f>使用レシピ!C116</f>
        <v>11501</v>
      </c>
      <c r="B116" s="41">
        <f>IF($A116="","",SUMIF(テンプレート!$B:$B,製造アイテム数!$D116,テンプレート!$C:$C))</f>
        <v>0</v>
      </c>
      <c r="C116" s="35">
        <f t="shared" si="1"/>
        <v>0</v>
      </c>
      <c r="D116" s="2" t="str">
        <f>使用レシピ!E116</f>
        <v>プルトニウム・ペレット</v>
      </c>
      <c r="E116" s="20" t="str">
        <f>使用レシピ!F116</f>
        <v>非核分裂性ウラン</v>
      </c>
      <c r="F116" s="12" t="str">
        <f>使用レシピ!G116</f>
        <v>ウラン廃棄物</v>
      </c>
      <c r="G116" s="12" t="str">
        <f>使用レシピ!H116</f>
        <v/>
      </c>
      <c r="H116" s="12" t="str">
        <f>使用レシピ!I116</f>
        <v/>
      </c>
      <c r="I116" s="35" t="str">
        <f>使用レシピ!J116</f>
        <v/>
      </c>
      <c r="J116" s="20">
        <f>使用レシピ!K116</f>
        <v>100</v>
      </c>
      <c r="K116" s="12">
        <f>使用レシピ!L116</f>
        <v>25</v>
      </c>
      <c r="L116" s="12" t="str">
        <f>使用レシピ!M116</f>
        <v/>
      </c>
      <c r="M116" s="12" t="str">
        <f>使用レシピ!N116</f>
        <v/>
      </c>
      <c r="N116" s="12" t="str">
        <f>使用レシピ!O116</f>
        <v/>
      </c>
      <c r="O116" s="12">
        <f>使用レシピ!P116</f>
        <v>30</v>
      </c>
      <c r="P116" s="35">
        <f>使用レシピ!Q116</f>
        <v>30</v>
      </c>
    </row>
    <row r="117" spans="1:16" ht="19.5" customHeight="1" x14ac:dyDescent="0.4">
      <c r="A117" s="40" t="str">
        <f>使用レシピ!C117</f>
        <v>11602</v>
      </c>
      <c r="B117" s="41">
        <f>IF($A117="","",SUMIF(テンプレート!$B:$B,製造アイテム数!$D117,テンプレート!$C:$C))</f>
        <v>0</v>
      </c>
      <c r="C117" s="35">
        <f t="shared" si="1"/>
        <v>0</v>
      </c>
      <c r="D117" s="2" t="str">
        <f>使用レシピ!E117</f>
        <v>被覆型プルトニウム・セル</v>
      </c>
      <c r="E117" s="20" t="str">
        <f>使用レシピ!F117</f>
        <v>非核分裂性ウラン</v>
      </c>
      <c r="F117" s="12" t="str">
        <f>使用レシピ!G117</f>
        <v>アルミ筐体</v>
      </c>
      <c r="G117" s="12" t="str">
        <f>使用レシピ!H117</f>
        <v/>
      </c>
      <c r="H117" s="12" t="str">
        <f>使用レシピ!I117</f>
        <v/>
      </c>
      <c r="I117" s="35" t="str">
        <f>使用レシピ!J117</f>
        <v/>
      </c>
      <c r="J117" s="20">
        <f>使用レシピ!K117</f>
        <v>150</v>
      </c>
      <c r="K117" s="12">
        <f>使用レシピ!L117</f>
        <v>20</v>
      </c>
      <c r="L117" s="12" t="str">
        <f>使用レシピ!M117</f>
        <v/>
      </c>
      <c r="M117" s="12" t="str">
        <f>使用レシピ!N117</f>
        <v/>
      </c>
      <c r="N117" s="12" t="str">
        <f>使用レシピ!O117</f>
        <v/>
      </c>
      <c r="O117" s="12">
        <f>使用レシピ!P117</f>
        <v>20</v>
      </c>
      <c r="P117" s="35">
        <f>使用レシピ!Q117</f>
        <v>10</v>
      </c>
    </row>
    <row r="118" spans="1:16" ht="19.5" customHeight="1" x14ac:dyDescent="0.4">
      <c r="A118" s="40" t="str">
        <f>使用レシピ!C118</f>
        <v>11702</v>
      </c>
      <c r="B118" s="41">
        <f>IF($A118="","",SUMIF(テンプレート!$B:$B,製造アイテム数!$D118,テンプレート!$C:$C))</f>
        <v>0</v>
      </c>
      <c r="C118" s="35">
        <f t="shared" si="1"/>
        <v>0</v>
      </c>
      <c r="D118" s="2" t="str">
        <f>使用レシピ!E118</f>
        <v>プルトニウム燃料棒</v>
      </c>
      <c r="E118" s="20" t="str">
        <f>使用レシピ!F118</f>
        <v>被覆型プルトニウム・セル</v>
      </c>
      <c r="F118" s="12" t="str">
        <f>使用レシピ!G118</f>
        <v>圧力変換キューブ</v>
      </c>
      <c r="G118" s="12" t="str">
        <f>使用レシピ!H118</f>
        <v/>
      </c>
      <c r="H118" s="12" t="str">
        <f>使用レシピ!I118</f>
        <v/>
      </c>
      <c r="I118" s="35" t="str">
        <f>使用レシピ!J118</f>
        <v/>
      </c>
      <c r="J118" s="20">
        <f>使用レシピ!K118</f>
        <v>20</v>
      </c>
      <c r="K118" s="12">
        <f>使用レシピ!L118</f>
        <v>1</v>
      </c>
      <c r="L118" s="12" t="str">
        <f>使用レシピ!M118</f>
        <v/>
      </c>
      <c r="M118" s="12" t="str">
        <f>使用レシピ!N118</f>
        <v/>
      </c>
      <c r="N118" s="12" t="str">
        <f>使用レシピ!O118</f>
        <v/>
      </c>
      <c r="O118" s="12">
        <f>使用レシピ!P118</f>
        <v>1</v>
      </c>
      <c r="P118" s="35">
        <f>使用レシピ!Q118</f>
        <v>0.5</v>
      </c>
    </row>
    <row r="119" spans="1:16" ht="19.5" customHeight="1" x14ac:dyDescent="0.4">
      <c r="A119" s="40" t="str">
        <f>使用レシピ!C119</f>
        <v>11801</v>
      </c>
      <c r="B119" s="41">
        <f>IF($A119="","",SUMIF(テンプレート!$B:$B,製造アイテム数!$D119,テンプレート!$C:$C))</f>
        <v>0</v>
      </c>
      <c r="C119" s="35">
        <f t="shared" si="1"/>
        <v>0</v>
      </c>
      <c r="D119" s="2" t="str">
        <f>使用レシピ!E119</f>
        <v>銅粉</v>
      </c>
      <c r="E119" s="20" t="str">
        <f>使用レシピ!F119</f>
        <v>銅のインゴット</v>
      </c>
      <c r="F119" s="12" t="str">
        <f>使用レシピ!G119</f>
        <v/>
      </c>
      <c r="G119" s="12" t="str">
        <f>使用レシピ!H119</f>
        <v/>
      </c>
      <c r="H119" s="12" t="str">
        <f>使用レシピ!I119</f>
        <v/>
      </c>
      <c r="I119" s="35" t="str">
        <f>使用レシピ!J119</f>
        <v/>
      </c>
      <c r="J119" s="20">
        <f>使用レシピ!K119</f>
        <v>30</v>
      </c>
      <c r="K119" s="12" t="str">
        <f>使用レシピ!L119</f>
        <v/>
      </c>
      <c r="L119" s="12" t="str">
        <f>使用レシピ!M119</f>
        <v/>
      </c>
      <c r="M119" s="12" t="str">
        <f>使用レシピ!N119</f>
        <v/>
      </c>
      <c r="N119" s="12" t="str">
        <f>使用レシピ!O119</f>
        <v/>
      </c>
      <c r="O119" s="12">
        <f>使用レシピ!P119</f>
        <v>5</v>
      </c>
      <c r="P119" s="35">
        <f>使用レシピ!Q119</f>
        <v>50</v>
      </c>
    </row>
    <row r="120" spans="1:16" ht="19.5" customHeight="1" x14ac:dyDescent="0.4">
      <c r="A120" s="40" t="str">
        <f>使用レシピ!C120</f>
        <v>11901</v>
      </c>
      <c r="B120" s="41">
        <f>IF($A120="","",SUMIF(テンプレート!$B:$B,製造アイテム数!$D120,テンプレート!$C:$C))</f>
        <v>0</v>
      </c>
      <c r="C120" s="35">
        <f t="shared" si="1"/>
        <v>0</v>
      </c>
      <c r="D120" s="2" t="str">
        <f>使用レシピ!E120</f>
        <v>圧力変換キューブ</v>
      </c>
      <c r="E120" s="20" t="str">
        <f>使用レシピ!F120</f>
        <v>溶融モジュラー・フレーム</v>
      </c>
      <c r="F120" s="12" t="str">
        <f>使用レシピ!G120</f>
        <v>無線制御ユニット</v>
      </c>
      <c r="G120" s="12" t="str">
        <f>使用レシピ!H120</f>
        <v/>
      </c>
      <c r="H120" s="12" t="str">
        <f>使用レシピ!I120</f>
        <v/>
      </c>
      <c r="I120" s="35" t="str">
        <f>使用レシピ!J120</f>
        <v/>
      </c>
      <c r="J120" s="20">
        <f>使用レシピ!K120</f>
        <v>1</v>
      </c>
      <c r="K120" s="12">
        <f>使用レシピ!L120</f>
        <v>2</v>
      </c>
      <c r="L120" s="12" t="str">
        <f>使用レシピ!M120</f>
        <v/>
      </c>
      <c r="M120" s="12" t="str">
        <f>使用レシピ!N120</f>
        <v/>
      </c>
      <c r="N120" s="12" t="str">
        <f>使用レシピ!O120</f>
        <v/>
      </c>
      <c r="O120" s="12">
        <f>使用レシピ!P120</f>
        <v>1</v>
      </c>
      <c r="P120" s="35">
        <f>使用レシピ!Q120</f>
        <v>1</v>
      </c>
    </row>
    <row r="121" spans="1:16" ht="19.5" customHeight="1" x14ac:dyDescent="0.4">
      <c r="A121" s="40" t="str">
        <f>使用レシピ!C121</f>
        <v>12001</v>
      </c>
      <c r="B121" s="41">
        <f>IF($A121="","",SUMIF(テンプレート!$B:$B,製造アイテム数!$D121,テンプレート!$C:$C))</f>
        <v>0</v>
      </c>
      <c r="C121" s="35">
        <f t="shared" si="1"/>
        <v>0</v>
      </c>
      <c r="D121" s="2" t="str">
        <f>使用レシピ!E121</f>
        <v>核パスタ</v>
      </c>
      <c r="E121" s="20" t="str">
        <f>使用レシピ!F121</f>
        <v>銅粉</v>
      </c>
      <c r="F121" s="12" t="str">
        <f>使用レシピ!G121</f>
        <v>圧力変換キューブ</v>
      </c>
      <c r="G121" s="12" t="str">
        <f>使用レシピ!H121</f>
        <v/>
      </c>
      <c r="H121" s="12" t="str">
        <f>使用レシピ!I121</f>
        <v/>
      </c>
      <c r="I121" s="35" t="str">
        <f>使用レシピ!J121</f>
        <v/>
      </c>
      <c r="J121" s="20">
        <f>使用レシピ!K121</f>
        <v>200</v>
      </c>
      <c r="K121" s="12">
        <f>使用レシピ!L121</f>
        <v>1</v>
      </c>
      <c r="L121" s="12" t="str">
        <f>使用レシピ!M121</f>
        <v/>
      </c>
      <c r="M121" s="12" t="str">
        <f>使用レシピ!N121</f>
        <v/>
      </c>
      <c r="N121" s="12" t="str">
        <f>使用レシピ!O121</f>
        <v/>
      </c>
      <c r="O121" s="12">
        <f>使用レシピ!P121</f>
        <v>1</v>
      </c>
      <c r="P121" s="35">
        <f>使用レシピ!Q121</f>
        <v>0.5</v>
      </c>
    </row>
    <row r="122" spans="1:16" ht="19.5" customHeight="1" x14ac:dyDescent="0.4">
      <c r="A122" s="40" t="str">
        <f>使用レシピ!C122</f>
        <v>12101</v>
      </c>
      <c r="B122" s="41">
        <f>IF($A122="","",SUMIF(テンプレート!$B:$B,製造アイテム数!$D122,テンプレート!$C:$C))</f>
        <v>0</v>
      </c>
      <c r="C122" s="35">
        <f t="shared" si="1"/>
        <v>0</v>
      </c>
      <c r="D122" s="2" t="str">
        <f>使用レシピ!E122</f>
        <v>FICSITEのインゴット</v>
      </c>
      <c r="E122" s="20" t="str">
        <f>使用レシピ!F122</f>
        <v>活性SAM</v>
      </c>
      <c r="F122" s="12" t="str">
        <f>使用レシピ!G122</f>
        <v>鉄のインゴット</v>
      </c>
      <c r="G122" s="12" t="str">
        <f>使用レシピ!H122</f>
        <v/>
      </c>
      <c r="H122" s="12" t="str">
        <f>使用レシピ!I122</f>
        <v/>
      </c>
      <c r="I122" s="35" t="str">
        <f>使用レシピ!J122</f>
        <v/>
      </c>
      <c r="J122" s="20">
        <f>使用レシピ!K122</f>
        <v>4</v>
      </c>
      <c r="K122" s="12">
        <f>使用レシピ!L122</f>
        <v>24</v>
      </c>
      <c r="L122" s="12" t="str">
        <f>使用レシピ!M122</f>
        <v/>
      </c>
      <c r="M122" s="12" t="str">
        <f>使用レシピ!N122</f>
        <v/>
      </c>
      <c r="N122" s="12" t="str">
        <f>使用レシピ!O122</f>
        <v/>
      </c>
      <c r="O122" s="12">
        <f>使用レシピ!P122</f>
        <v>1</v>
      </c>
      <c r="P122" s="35">
        <f>使用レシピ!Q122</f>
        <v>10</v>
      </c>
    </row>
    <row r="123" spans="1:16" ht="19.5" customHeight="1" x14ac:dyDescent="0.4">
      <c r="A123" s="40" t="str">
        <f>使用レシピ!C123</f>
        <v>12201</v>
      </c>
      <c r="B123" s="41">
        <f>IF($A123="","",SUMIF(テンプレート!$B:$B,製造アイテム数!$D123,テンプレート!$C:$C))</f>
        <v>0</v>
      </c>
      <c r="C123" s="35">
        <f t="shared" si="1"/>
        <v>0</v>
      </c>
      <c r="D123" s="2" t="str">
        <f>使用レシピ!E123</f>
        <v>FICSITEの三角板</v>
      </c>
      <c r="E123" s="20" t="str">
        <f>使用レシピ!F123</f>
        <v>FICSITEのインゴット</v>
      </c>
      <c r="F123" s="12" t="str">
        <f>使用レシピ!G123</f>
        <v/>
      </c>
      <c r="G123" s="12" t="str">
        <f>使用レシピ!H123</f>
        <v/>
      </c>
      <c r="H123" s="12" t="str">
        <f>使用レシピ!I123</f>
        <v/>
      </c>
      <c r="I123" s="35" t="str">
        <f>使用レシピ!J123</f>
        <v/>
      </c>
      <c r="J123" s="20">
        <f>使用レシピ!K123</f>
        <v>1</v>
      </c>
      <c r="K123" s="12" t="str">
        <f>使用レシピ!L123</f>
        <v/>
      </c>
      <c r="L123" s="12" t="str">
        <f>使用レシピ!M123</f>
        <v/>
      </c>
      <c r="M123" s="12" t="str">
        <f>使用レシピ!N123</f>
        <v/>
      </c>
      <c r="N123" s="12" t="str">
        <f>使用レシピ!O123</f>
        <v/>
      </c>
      <c r="O123" s="12">
        <f>使用レシピ!P123</f>
        <v>3</v>
      </c>
      <c r="P123" s="35">
        <f>使用レシピ!Q123</f>
        <v>30</v>
      </c>
    </row>
    <row r="124" spans="1:16" ht="19.5" customHeight="1" x14ac:dyDescent="0.4">
      <c r="A124" s="40" t="str">
        <f>使用レシピ!C124</f>
        <v>12301</v>
      </c>
      <c r="B124" s="41">
        <f>IF($A124="","",SUMIF(テンプレート!$B:$B,製造アイテム数!$D124,テンプレート!$C:$C))</f>
        <v>225</v>
      </c>
      <c r="C124" s="35">
        <f t="shared" si="1"/>
        <v>8</v>
      </c>
      <c r="D124" s="2" t="str">
        <f>使用レシピ!E124</f>
        <v>ダイヤモンド</v>
      </c>
      <c r="E124" s="20" t="str">
        <f>使用レシピ!F124</f>
        <v>石炭</v>
      </c>
      <c r="F124" s="12" t="str">
        <f>使用レシピ!G124</f>
        <v/>
      </c>
      <c r="G124" s="12" t="str">
        <f>使用レシピ!H124</f>
        <v/>
      </c>
      <c r="H124" s="12" t="str">
        <f>使用レシピ!I124</f>
        <v/>
      </c>
      <c r="I124" s="35" t="str">
        <f>使用レシピ!J124</f>
        <v/>
      </c>
      <c r="J124" s="20">
        <f>使用レシピ!K124</f>
        <v>20</v>
      </c>
      <c r="K124" s="12" t="str">
        <f>使用レシピ!L124</f>
        <v/>
      </c>
      <c r="L124" s="12" t="str">
        <f>使用レシピ!M124</f>
        <v/>
      </c>
      <c r="M124" s="12" t="str">
        <f>使用レシピ!N124</f>
        <v/>
      </c>
      <c r="N124" s="12" t="str">
        <f>使用レシピ!O124</f>
        <v/>
      </c>
      <c r="O124" s="12">
        <f>使用レシピ!P124</f>
        <v>1</v>
      </c>
      <c r="P124" s="35">
        <f>使用レシピ!Q124</f>
        <v>30</v>
      </c>
    </row>
    <row r="125" spans="1:16" ht="19.5" customHeight="1" x14ac:dyDescent="0.4">
      <c r="A125" s="40" t="str">
        <f>使用レシピ!C125</f>
        <v>12401</v>
      </c>
      <c r="B125" s="41">
        <f>IF($A125="","",SUMIF(テンプレート!$B:$B,製造アイテム数!$D125,テンプレート!$C:$C))</f>
        <v>75</v>
      </c>
      <c r="C125" s="35">
        <f t="shared" si="1"/>
        <v>13</v>
      </c>
      <c r="D125" s="2" t="str">
        <f>使用レシピ!E125</f>
        <v>時の結晶</v>
      </c>
      <c r="E125" s="20" t="str">
        <f>使用レシピ!F125</f>
        <v>ダイヤモンド</v>
      </c>
      <c r="F125" s="12" t="str">
        <f>使用レシピ!G125</f>
        <v/>
      </c>
      <c r="G125" s="12" t="str">
        <f>使用レシピ!H125</f>
        <v/>
      </c>
      <c r="H125" s="12" t="str">
        <f>使用レシピ!I125</f>
        <v/>
      </c>
      <c r="I125" s="35" t="str">
        <f>使用レシピ!J125</f>
        <v/>
      </c>
      <c r="J125" s="20">
        <f>使用レシピ!K125</f>
        <v>2</v>
      </c>
      <c r="K125" s="12" t="str">
        <f>使用レシピ!L125</f>
        <v/>
      </c>
      <c r="L125" s="12" t="str">
        <f>使用レシピ!M125</f>
        <v/>
      </c>
      <c r="M125" s="12" t="str">
        <f>使用レシピ!N125</f>
        <v/>
      </c>
      <c r="N125" s="12" t="str">
        <f>使用レシピ!O125</f>
        <v/>
      </c>
      <c r="O125" s="12">
        <f>使用レシピ!P125</f>
        <v>1</v>
      </c>
      <c r="P125" s="35">
        <f>使用レシピ!Q125</f>
        <v>6</v>
      </c>
    </row>
    <row r="126" spans="1:16" ht="19.5" customHeight="1" x14ac:dyDescent="0.4">
      <c r="A126" s="40" t="str">
        <f>使用レシピ!C126</f>
        <v>12501</v>
      </c>
      <c r="B126" s="41">
        <f>IF($A126="","",SUMIF(テンプレート!$B:$B,製造アイテム数!$D126,テンプレート!$C:$C))</f>
        <v>0</v>
      </c>
      <c r="C126" s="35">
        <f t="shared" si="1"/>
        <v>0</v>
      </c>
      <c r="D126" s="2" t="str">
        <f>使用レシピ!E126</f>
        <v>生化学スカルプター</v>
      </c>
      <c r="E126" s="20" t="str">
        <f>使用レシピ!F126</f>
        <v>組立指揮システム</v>
      </c>
      <c r="F126" s="12" t="str">
        <f>使用レシピ!G126</f>
        <v>FICSITEの三角板</v>
      </c>
      <c r="G126" s="12" t="str">
        <f>使用レシピ!H126</f>
        <v>水</v>
      </c>
      <c r="H126" s="12" t="str">
        <f>使用レシピ!I126</f>
        <v/>
      </c>
      <c r="I126" s="35" t="str">
        <f>使用レシピ!J126</f>
        <v/>
      </c>
      <c r="J126" s="20">
        <f>使用レシピ!K126</f>
        <v>1</v>
      </c>
      <c r="K126" s="12">
        <f>使用レシピ!L126</f>
        <v>80</v>
      </c>
      <c r="L126" s="12">
        <f>使用レシピ!M126</f>
        <v>20</v>
      </c>
      <c r="M126" s="12" t="str">
        <f>使用レシピ!N126</f>
        <v/>
      </c>
      <c r="N126" s="12" t="str">
        <f>使用レシピ!O126</f>
        <v/>
      </c>
      <c r="O126" s="12">
        <f>使用レシピ!P126</f>
        <v>4</v>
      </c>
      <c r="P126" s="35">
        <f>使用レシピ!Q126</f>
        <v>2</v>
      </c>
    </row>
    <row r="127" spans="1:16" ht="19.5" customHeight="1" x14ac:dyDescent="0.4">
      <c r="A127" s="40" t="str">
        <f>使用レシピ!C127</f>
        <v>12601</v>
      </c>
      <c r="B127" s="41">
        <f>IF($A127="","",SUMIF(テンプレート!$B:$B,製造アイテム数!$D127,テンプレート!$C:$C))</f>
        <v>450</v>
      </c>
      <c r="C127" s="35">
        <f t="shared" si="1"/>
        <v>3</v>
      </c>
      <c r="D127" s="2" t="str">
        <f>使用レシピ!E127</f>
        <v>励起フォトニック物質</v>
      </c>
      <c r="E127" s="20" t="str">
        <f>使用レシピ!F127</f>
        <v/>
      </c>
      <c r="F127" s="12" t="str">
        <f>使用レシピ!G127</f>
        <v/>
      </c>
      <c r="G127" s="12" t="str">
        <f>使用レシピ!H127</f>
        <v/>
      </c>
      <c r="H127" s="12" t="str">
        <f>使用レシピ!I127</f>
        <v/>
      </c>
      <c r="I127" s="35" t="str">
        <f>使用レシピ!J127</f>
        <v/>
      </c>
      <c r="J127" s="20" t="str">
        <f>使用レシピ!K127</f>
        <v/>
      </c>
      <c r="K127" s="12" t="str">
        <f>使用レシピ!L127</f>
        <v/>
      </c>
      <c r="L127" s="12" t="str">
        <f>使用レシピ!M127</f>
        <v/>
      </c>
      <c r="M127" s="12" t="str">
        <f>使用レシピ!N127</f>
        <v/>
      </c>
      <c r="N127" s="12" t="str">
        <f>使用レシピ!O127</f>
        <v/>
      </c>
      <c r="O127" s="12">
        <f>使用レシピ!P127</f>
        <v>10</v>
      </c>
      <c r="P127" s="35">
        <f>使用レシピ!Q127</f>
        <v>200</v>
      </c>
    </row>
    <row r="128" spans="1:16" ht="19.5" customHeight="1" x14ac:dyDescent="0.4">
      <c r="A128" s="40" t="str">
        <f>使用レシピ!C128</f>
        <v>12701</v>
      </c>
      <c r="B128" s="41">
        <f>IF($A128="","",SUMIF(テンプレート!$B:$B,製造アイテム数!$D128,テンプレート!$C:$C))</f>
        <v>375</v>
      </c>
      <c r="C128" s="35">
        <f t="shared" si="1"/>
        <v>4</v>
      </c>
      <c r="D128" s="2" t="str">
        <f>使用レシピ!E128</f>
        <v>ダークマターの残留物</v>
      </c>
      <c r="E128" s="20" t="str">
        <f>使用レシピ!F128</f>
        <v>活性SAM</v>
      </c>
      <c r="F128" s="12" t="str">
        <f>使用レシピ!G128</f>
        <v/>
      </c>
      <c r="G128" s="12" t="str">
        <f>使用レシピ!H128</f>
        <v/>
      </c>
      <c r="H128" s="12" t="str">
        <f>使用レシピ!I128</f>
        <v/>
      </c>
      <c r="I128" s="35" t="str">
        <f>使用レシピ!J128</f>
        <v/>
      </c>
      <c r="J128" s="20">
        <f>使用レシピ!K128</f>
        <v>5</v>
      </c>
      <c r="K128" s="12" t="str">
        <f>使用レシピ!L128</f>
        <v/>
      </c>
      <c r="L128" s="12" t="str">
        <f>使用レシピ!M128</f>
        <v/>
      </c>
      <c r="M128" s="12" t="str">
        <f>使用レシピ!N128</f>
        <v/>
      </c>
      <c r="N128" s="12" t="str">
        <f>使用レシピ!O128</f>
        <v/>
      </c>
      <c r="O128" s="12">
        <f>使用レシピ!P128</f>
        <v>10</v>
      </c>
      <c r="P128" s="35">
        <f>使用レシピ!Q128</f>
        <v>100</v>
      </c>
    </row>
    <row r="129" spans="1:16" ht="19.5" customHeight="1" x14ac:dyDescent="0.4">
      <c r="A129" s="40" t="str">
        <f>使用レシピ!C129</f>
        <v>12801</v>
      </c>
      <c r="B129" s="41">
        <f>IF($A129="","",SUMIF(テンプレート!$B:$B,製造アイテム数!$D129,テンプレート!$C:$C))</f>
        <v>75</v>
      </c>
      <c r="C129" s="35">
        <f t="shared" si="1"/>
        <v>3</v>
      </c>
      <c r="D129" s="2" t="str">
        <f>使用レシピ!E129</f>
        <v>ダークマターの結晶</v>
      </c>
      <c r="E129" s="20" t="str">
        <f>使用レシピ!F129</f>
        <v>ダイヤモンド</v>
      </c>
      <c r="F129" s="12" t="str">
        <f>使用レシピ!G129</f>
        <v>ダークマターの残留物</v>
      </c>
      <c r="G129" s="12" t="str">
        <f>使用レシピ!H129</f>
        <v/>
      </c>
      <c r="H129" s="12" t="str">
        <f>使用レシピ!I129</f>
        <v/>
      </c>
      <c r="I129" s="35" t="str">
        <f>使用レシピ!J129</f>
        <v/>
      </c>
      <c r="J129" s="20">
        <f>使用レシピ!K129</f>
        <v>1</v>
      </c>
      <c r="K129" s="12">
        <f>使用レシピ!L129</f>
        <v>5</v>
      </c>
      <c r="L129" s="12" t="str">
        <f>使用レシピ!M129</f>
        <v/>
      </c>
      <c r="M129" s="12" t="str">
        <f>使用レシピ!N129</f>
        <v/>
      </c>
      <c r="N129" s="12" t="str">
        <f>使用レシピ!O129</f>
        <v/>
      </c>
      <c r="O129" s="12">
        <f>使用レシピ!P129</f>
        <v>1</v>
      </c>
      <c r="P129" s="35">
        <f>使用レシピ!Q129</f>
        <v>30</v>
      </c>
    </row>
    <row r="130" spans="1:16" ht="19.5" customHeight="1" x14ac:dyDescent="0.4">
      <c r="A130" s="40" t="str">
        <f>使用レシピ!C130</f>
        <v>12901</v>
      </c>
      <c r="B130" s="41">
        <f>IF($A130="","",SUMIF(テンプレート!$B:$B,製造アイテム数!$D130,テンプレート!$C:$C))</f>
        <v>0</v>
      </c>
      <c r="C130" s="35">
        <f t="shared" si="1"/>
        <v>0</v>
      </c>
      <c r="D130" s="2" t="str">
        <f>使用レシピ!E130</f>
        <v>重ね合わせ発振器</v>
      </c>
      <c r="E130" s="20" t="str">
        <f>使用レシピ!F130</f>
        <v>ダークマターの結晶</v>
      </c>
      <c r="F130" s="12" t="str">
        <f>使用レシピ!G130</f>
        <v>水晶発振器</v>
      </c>
      <c r="G130" s="12" t="str">
        <f>使用レシピ!H130</f>
        <v>アルクラッド・アルミシート</v>
      </c>
      <c r="H130" s="12" t="str">
        <f>使用レシピ!I130</f>
        <v>励起フォトニック物質</v>
      </c>
      <c r="I130" s="35" t="str">
        <f>使用レシピ!J130</f>
        <v>ダークマターの残留物</v>
      </c>
      <c r="J130" s="20">
        <f>使用レシピ!K130</f>
        <v>6</v>
      </c>
      <c r="K130" s="12">
        <f>使用レシピ!L130</f>
        <v>1</v>
      </c>
      <c r="L130" s="12">
        <f>使用レシピ!M130</f>
        <v>9</v>
      </c>
      <c r="M130" s="12">
        <f>使用レシピ!N130</f>
        <v>25</v>
      </c>
      <c r="N130" s="12">
        <f>使用レシピ!O130</f>
        <v>25</v>
      </c>
      <c r="O130" s="12">
        <f>使用レシピ!P130</f>
        <v>1</v>
      </c>
      <c r="P130" s="35">
        <f>使用レシピ!Q130</f>
        <v>5</v>
      </c>
    </row>
    <row r="131" spans="1:16" ht="19.5" customHeight="1" x14ac:dyDescent="0.4">
      <c r="A131" s="40" t="str">
        <f>使用レシピ!C131</f>
        <v>13001</v>
      </c>
      <c r="B131" s="41">
        <f>IF($A131="","",SUMIF(テンプレート!$B:$B,製造アイテム数!$D131,テンプレート!$C:$C))</f>
        <v>0</v>
      </c>
      <c r="C131" s="35">
        <f t="shared" ref="C131:C194" si="2">IFERROR(ROUNDUP(B131/P131,0),"")</f>
        <v>0</v>
      </c>
      <c r="D131" s="2" t="str">
        <f>使用レシピ!E131</f>
        <v>ニューラル量子プロセッサー</v>
      </c>
      <c r="E131" s="20" t="str">
        <f>使用レシピ!F131</f>
        <v>時の結晶</v>
      </c>
      <c r="F131" s="12" t="str">
        <f>使用レシピ!G131</f>
        <v>スーパーコンピューター</v>
      </c>
      <c r="G131" s="12" t="str">
        <f>使用レシピ!H131</f>
        <v>FICSITEの三角板</v>
      </c>
      <c r="H131" s="12" t="str">
        <f>使用レシピ!I131</f>
        <v>励起フォトニック物質</v>
      </c>
      <c r="I131" s="35" t="str">
        <f>使用レシピ!J131</f>
        <v>ダークマターの残留物</v>
      </c>
      <c r="J131" s="20">
        <f>使用レシピ!K131</f>
        <v>5</v>
      </c>
      <c r="K131" s="12">
        <f>使用レシピ!L131</f>
        <v>1</v>
      </c>
      <c r="L131" s="12">
        <f>使用レシピ!M131</f>
        <v>15</v>
      </c>
      <c r="M131" s="12">
        <f>使用レシピ!N131</f>
        <v>25</v>
      </c>
      <c r="N131" s="12">
        <f>使用レシピ!O131</f>
        <v>25</v>
      </c>
      <c r="O131" s="12">
        <f>使用レシピ!P131</f>
        <v>1</v>
      </c>
      <c r="P131" s="35">
        <f>使用レシピ!Q131</f>
        <v>3</v>
      </c>
    </row>
    <row r="132" spans="1:16" ht="19.5" customHeight="1" x14ac:dyDescent="0.4">
      <c r="A132" s="40" t="str">
        <f>使用レシピ!C132</f>
        <v>13101</v>
      </c>
      <c r="B132" s="41">
        <f>IF($A132="","",SUMIF(テンプレート!$B:$B,製造アイテム数!$D132,テンプレート!$C:$C))</f>
        <v>0</v>
      </c>
      <c r="C132" s="35">
        <f t="shared" si="2"/>
        <v>0</v>
      </c>
      <c r="D132" s="2" t="str">
        <f>使用レシピ!E132</f>
        <v>AI拡張サーバー</v>
      </c>
      <c r="E132" s="20" t="str">
        <f>使用レシピ!F132</f>
        <v>磁界発生装置</v>
      </c>
      <c r="F132" s="12" t="str">
        <f>使用レシピ!G132</f>
        <v>ニューラル量子プロセッサー</v>
      </c>
      <c r="G132" s="12" t="str">
        <f>使用レシピ!H132</f>
        <v>重ね合わせ発振器</v>
      </c>
      <c r="H132" s="12" t="str">
        <f>使用レシピ!I132</f>
        <v>励起フォトニック物質</v>
      </c>
      <c r="I132" s="35" t="str">
        <f>使用レシピ!J132</f>
        <v>ダークマターの残留物</v>
      </c>
      <c r="J132" s="20">
        <f>使用レシピ!K132</f>
        <v>1</v>
      </c>
      <c r="K132" s="12">
        <f>使用レシピ!L132</f>
        <v>1</v>
      </c>
      <c r="L132" s="12">
        <f>使用レシピ!M132</f>
        <v>1</v>
      </c>
      <c r="M132" s="12">
        <f>使用レシピ!N132</f>
        <v>25</v>
      </c>
      <c r="N132" s="12">
        <f>使用レシピ!O132</f>
        <v>25</v>
      </c>
      <c r="O132" s="12">
        <f>使用レシピ!P132</f>
        <v>1</v>
      </c>
      <c r="P132" s="35">
        <f>使用レシピ!Q132</f>
        <v>4</v>
      </c>
    </row>
    <row r="133" spans="1:16" ht="19.5" customHeight="1" x14ac:dyDescent="0.4">
      <c r="A133" s="40" t="str">
        <f>使用レシピ!C133</f>
        <v>13201</v>
      </c>
      <c r="B133" s="41">
        <f>IF($A133="","",SUMIF(テンプレート!$B:$B,製造アイテム数!$D133,テンプレート!$C:$C))</f>
        <v>0</v>
      </c>
      <c r="C133" s="35">
        <f t="shared" si="2"/>
        <v>0</v>
      </c>
      <c r="D133" s="2" t="str">
        <f>使用レシピ!E133</f>
        <v>FICSONIUM</v>
      </c>
      <c r="E133" s="20" t="str">
        <f>使用レシピ!F133</f>
        <v>プルトニウム廃棄物</v>
      </c>
      <c r="F133" s="12" t="str">
        <f>使用レシピ!G133</f>
        <v>シンギュラリティセル</v>
      </c>
      <c r="G133" s="12" t="str">
        <f>使用レシピ!H133</f>
        <v>ダークマターの残留物</v>
      </c>
      <c r="H133" s="12" t="str">
        <f>使用レシピ!I133</f>
        <v/>
      </c>
      <c r="I133" s="35" t="str">
        <f>使用レシピ!J133</f>
        <v/>
      </c>
      <c r="J133" s="20">
        <f>使用レシピ!K133</f>
        <v>1</v>
      </c>
      <c r="K133" s="12">
        <f>使用レシピ!L133</f>
        <v>1</v>
      </c>
      <c r="L133" s="12">
        <f>使用レシピ!M133</f>
        <v>20</v>
      </c>
      <c r="M133" s="12" t="str">
        <f>使用レシピ!N133</f>
        <v/>
      </c>
      <c r="N133" s="12" t="str">
        <f>使用レシピ!O133</f>
        <v/>
      </c>
      <c r="O133" s="12">
        <f>使用レシピ!P133</f>
        <v>1</v>
      </c>
      <c r="P133" s="35">
        <f>使用レシピ!Q133</f>
        <v>10</v>
      </c>
    </row>
    <row r="134" spans="1:16" ht="19.5" customHeight="1" x14ac:dyDescent="0.4">
      <c r="A134" s="40" t="str">
        <f>使用レシピ!C134</f>
        <v>13301</v>
      </c>
      <c r="B134" s="41">
        <f>IF($A134="","",SUMIF(テンプレート!$B:$B,製造アイテム数!$D134,テンプレート!$C:$C))</f>
        <v>0</v>
      </c>
      <c r="C134" s="35">
        <f t="shared" si="2"/>
        <v>0</v>
      </c>
      <c r="D134" s="2" t="str">
        <f>使用レシピ!E134</f>
        <v>プルトニウム廃棄物</v>
      </c>
      <c r="E134" s="20" t="str">
        <f>使用レシピ!F134</f>
        <v>プルトニウム燃料棒</v>
      </c>
      <c r="F134" s="12" t="str">
        <f>使用レシピ!G134</f>
        <v>水</v>
      </c>
      <c r="G134" s="12" t="str">
        <f>使用レシピ!H134</f>
        <v/>
      </c>
      <c r="H134" s="12" t="str">
        <f>使用レシピ!I134</f>
        <v/>
      </c>
      <c r="I134" s="35" t="str">
        <f>使用レシピ!J134</f>
        <v/>
      </c>
      <c r="J134" s="20">
        <f>使用レシピ!K134</f>
        <v>1</v>
      </c>
      <c r="K134" s="12">
        <f>使用レシピ!L134</f>
        <v>2400</v>
      </c>
      <c r="L134" s="12" t="str">
        <f>使用レシピ!M134</f>
        <v/>
      </c>
      <c r="M134" s="12" t="str">
        <f>使用レシピ!N134</f>
        <v/>
      </c>
      <c r="N134" s="12" t="str">
        <f>使用レシピ!O134</f>
        <v/>
      </c>
      <c r="O134" s="12">
        <f>使用レシピ!P134</f>
        <v>10</v>
      </c>
      <c r="P134" s="35">
        <f>使用レシピ!Q134</f>
        <v>1</v>
      </c>
    </row>
    <row r="135" spans="1:16" ht="19.5" customHeight="1" x14ac:dyDescent="0.4">
      <c r="A135" s="40" t="str">
        <f>使用レシピ!C135</f>
        <v>13401</v>
      </c>
      <c r="B135" s="41">
        <f>IF($A135="","",SUMIF(テンプレート!$B:$B,製造アイテム数!$D135,テンプレート!$C:$C))</f>
        <v>0</v>
      </c>
      <c r="C135" s="35">
        <f t="shared" si="2"/>
        <v>0</v>
      </c>
      <c r="D135" s="2" t="str">
        <f>使用レシピ!E135</f>
        <v>シンギュラリティセル</v>
      </c>
      <c r="E135" s="20" t="str">
        <f>使用レシピ!F135</f>
        <v>核パスタ</v>
      </c>
      <c r="F135" s="12" t="str">
        <f>使用レシピ!G135</f>
        <v>ダークマターの結晶</v>
      </c>
      <c r="G135" s="12" t="str">
        <f>使用レシピ!H135</f>
        <v>鉄板</v>
      </c>
      <c r="H135" s="12" t="str">
        <f>使用レシピ!I135</f>
        <v>コンクリート</v>
      </c>
      <c r="I135" s="35" t="str">
        <f>使用レシピ!J135</f>
        <v/>
      </c>
      <c r="J135" s="20">
        <f>使用レシピ!K135</f>
        <v>1</v>
      </c>
      <c r="K135" s="12">
        <f>使用レシピ!L135</f>
        <v>20</v>
      </c>
      <c r="L135" s="12">
        <f>使用レシピ!M135</f>
        <v>100</v>
      </c>
      <c r="M135" s="12">
        <f>使用レシピ!N135</f>
        <v>200</v>
      </c>
      <c r="N135" s="12" t="str">
        <f>使用レシピ!O135</f>
        <v/>
      </c>
      <c r="O135" s="12">
        <f>使用レシピ!P135</f>
        <v>10</v>
      </c>
      <c r="P135" s="35">
        <f>使用レシピ!Q135</f>
        <v>10</v>
      </c>
    </row>
    <row r="136" spans="1:16" ht="19.5" customHeight="1" x14ac:dyDescent="0.4">
      <c r="A136" s="40" t="str">
        <f>使用レシピ!C136</f>
        <v>13501</v>
      </c>
      <c r="B136" s="41">
        <f>IF($A136="","",SUMIF(テンプレート!$B:$B,製造アイテム数!$D136,テンプレート!$C:$C))</f>
        <v>0</v>
      </c>
      <c r="C136" s="35">
        <f t="shared" si="2"/>
        <v>0</v>
      </c>
      <c r="D136" s="2" t="str">
        <f>使用レシピ!E136</f>
        <v>FICSONIUM燃料棒</v>
      </c>
      <c r="E136" s="20" t="str">
        <f>使用レシピ!F136</f>
        <v>FICSONIUM</v>
      </c>
      <c r="F136" s="12" t="str">
        <f>使用レシピ!G136</f>
        <v>電磁制御棒</v>
      </c>
      <c r="G136" s="12" t="str">
        <f>使用レシピ!H136</f>
        <v>FICSITEの三角板</v>
      </c>
      <c r="H136" s="12" t="str">
        <f>使用レシピ!I136</f>
        <v>励起フォトニック物質</v>
      </c>
      <c r="I136" s="35" t="str">
        <f>使用レシピ!J136</f>
        <v>ダークマターの残留物</v>
      </c>
      <c r="J136" s="20">
        <f>使用レシピ!K136</f>
        <v>2</v>
      </c>
      <c r="K136" s="12">
        <f>使用レシピ!L136</f>
        <v>2</v>
      </c>
      <c r="L136" s="12">
        <f>使用レシピ!M136</f>
        <v>40</v>
      </c>
      <c r="M136" s="12">
        <f>使用レシピ!N136</f>
        <v>20</v>
      </c>
      <c r="N136" s="12">
        <f>使用レシピ!O136</f>
        <v>20</v>
      </c>
      <c r="O136" s="12">
        <f>使用レシピ!P136</f>
        <v>1</v>
      </c>
      <c r="P136" s="35">
        <f>使用レシピ!Q136</f>
        <v>2.5</v>
      </c>
    </row>
    <row r="137" spans="1:16" ht="19.5" customHeight="1" x14ac:dyDescent="0.4">
      <c r="A137" s="40" t="str">
        <f>使用レシピ!C137</f>
        <v>13601</v>
      </c>
      <c r="B137" s="41">
        <f>IF($A137="","",SUMIF(テンプレート!$B:$B,製造アイテム数!$D137,テンプレート!$C:$C))</f>
        <v>0</v>
      </c>
      <c r="C137" s="35">
        <f t="shared" si="2"/>
        <v>0</v>
      </c>
      <c r="D137" s="2" t="str">
        <f>使用レシピ!E137</f>
        <v>弾道ワープドライブ</v>
      </c>
      <c r="E137" s="20" t="str">
        <f>使用レシピ!F137</f>
        <v>熱推進型ロケット</v>
      </c>
      <c r="F137" s="12" t="str">
        <f>使用レシピ!G137</f>
        <v>シンギュラリティセル</v>
      </c>
      <c r="G137" s="12" t="str">
        <f>使用レシピ!H137</f>
        <v>重ね合わせ発振器</v>
      </c>
      <c r="H137" s="12" t="str">
        <f>使用レシピ!I137</f>
        <v>ダークマターの結晶</v>
      </c>
      <c r="I137" s="35" t="str">
        <f>使用レシピ!J137</f>
        <v/>
      </c>
      <c r="J137" s="20">
        <f>使用レシピ!K137</f>
        <v>1</v>
      </c>
      <c r="K137" s="12">
        <f>使用レシピ!L137</f>
        <v>5</v>
      </c>
      <c r="L137" s="12">
        <f>使用レシピ!M137</f>
        <v>2</v>
      </c>
      <c r="M137" s="12">
        <f>使用レシピ!N137</f>
        <v>40</v>
      </c>
      <c r="N137" s="12" t="str">
        <f>使用レシピ!O137</f>
        <v/>
      </c>
      <c r="O137" s="12">
        <f>使用レシピ!P137</f>
        <v>1</v>
      </c>
      <c r="P137" s="35">
        <f>使用レシピ!Q137</f>
        <v>1</v>
      </c>
    </row>
    <row r="138" spans="1:16" ht="19.5" customHeight="1" x14ac:dyDescent="0.4">
      <c r="A138" s="40" t="str">
        <f>使用レシピ!C138</f>
        <v>13703</v>
      </c>
      <c r="B138" s="41">
        <f>IF($A138="","",SUMIF(テンプレート!$B:$B,製造アイテム数!$D138,テンプレート!$C:$C))</f>
        <v>600</v>
      </c>
      <c r="C138" s="35">
        <f t="shared" si="2"/>
        <v>4</v>
      </c>
      <c r="D138" s="2" t="str">
        <f>使用レシピ!E138</f>
        <v>ロケット燃料</v>
      </c>
      <c r="E138" s="20" t="str">
        <f>使用レシピ!F138</f>
        <v>燃料</v>
      </c>
      <c r="F138" s="12" t="str">
        <f>使用レシピ!G138</f>
        <v>窒素ガス</v>
      </c>
      <c r="G138" s="12" t="str">
        <f>使用レシピ!H138</f>
        <v>硫黄</v>
      </c>
      <c r="H138" s="12" t="str">
        <f>使用レシピ!I138</f>
        <v>石炭</v>
      </c>
      <c r="I138" s="35" t="str">
        <f>使用レシピ!J138</f>
        <v>圧縮石炭</v>
      </c>
      <c r="J138" s="20">
        <f>使用レシピ!K138</f>
        <v>4</v>
      </c>
      <c r="K138" s="12">
        <f>使用レシピ!L138</f>
        <v>3</v>
      </c>
      <c r="L138" s="12">
        <f>使用レシピ!M138</f>
        <v>4</v>
      </c>
      <c r="M138" s="12">
        <f>使用レシピ!N138</f>
        <v>2</v>
      </c>
      <c r="N138" s="12">
        <f>使用レシピ!O138</f>
        <v>1</v>
      </c>
      <c r="O138" s="12">
        <f>使用レシピ!P138</f>
        <v>6</v>
      </c>
      <c r="P138" s="35">
        <f>使用レシピ!Q138</f>
        <v>150</v>
      </c>
    </row>
    <row r="139" spans="1:16" ht="19.5" customHeight="1" x14ac:dyDescent="0.4">
      <c r="A139" s="40" t="str">
        <f>使用レシピ!C139</f>
        <v>13801</v>
      </c>
      <c r="B139" s="41">
        <f>IF($A139="","",SUMIF(テンプレート!$B:$B,製造アイテム数!$D139,テンプレート!$C:$C))</f>
        <v>0</v>
      </c>
      <c r="C139" s="35">
        <f t="shared" si="2"/>
        <v>0</v>
      </c>
      <c r="D139" s="2" t="str">
        <f>使用レシピ!E139</f>
        <v>包装済みロケット燃料</v>
      </c>
      <c r="E139" s="20" t="str">
        <f>使用レシピ!F139</f>
        <v>ロケット燃料</v>
      </c>
      <c r="F139" s="12" t="str">
        <f>使用レシピ!G139</f>
        <v>空の液体タンク</v>
      </c>
      <c r="G139" s="12" t="str">
        <f>使用レシピ!H139</f>
        <v/>
      </c>
      <c r="H139" s="12" t="str">
        <f>使用レシピ!I139</f>
        <v/>
      </c>
      <c r="I139" s="35" t="str">
        <f>使用レシピ!J139</f>
        <v/>
      </c>
      <c r="J139" s="20">
        <f>使用レシピ!K139</f>
        <v>2</v>
      </c>
      <c r="K139" s="12">
        <f>使用レシピ!L139</f>
        <v>1</v>
      </c>
      <c r="L139" s="12" t="str">
        <f>使用レシピ!M139</f>
        <v/>
      </c>
      <c r="M139" s="12" t="str">
        <f>使用レシピ!N139</f>
        <v/>
      </c>
      <c r="N139" s="12" t="str">
        <f>使用レシピ!O139</f>
        <v/>
      </c>
      <c r="O139" s="12">
        <f>使用レシピ!P139</f>
        <v>1</v>
      </c>
      <c r="P139" s="35">
        <f>使用レシピ!Q139</f>
        <v>60</v>
      </c>
    </row>
    <row r="140" spans="1:16" ht="19.5" customHeight="1" x14ac:dyDescent="0.4">
      <c r="A140" s="40" t="str">
        <f>使用レシピ!C140</f>
        <v>13901</v>
      </c>
      <c r="B140" s="41">
        <f>IF($A140="","",SUMIF(テンプレート!$B:$B,製造アイテム数!$D140,テンプレート!$C:$C))</f>
        <v>600</v>
      </c>
      <c r="C140" s="35">
        <f t="shared" si="2"/>
        <v>15</v>
      </c>
      <c r="D140" s="2" t="str">
        <f>使用レシピ!E140</f>
        <v>イオン燃料</v>
      </c>
      <c r="E140" s="20" t="str">
        <f>使用レシピ!F140</f>
        <v>ロケット燃料</v>
      </c>
      <c r="F140" s="12" t="str">
        <f>使用レシピ!G140</f>
        <v>パワー・シャード</v>
      </c>
      <c r="G140" s="12" t="str">
        <f>使用レシピ!H140</f>
        <v/>
      </c>
      <c r="H140" s="12" t="str">
        <f>使用レシピ!I140</f>
        <v/>
      </c>
      <c r="I140" s="35" t="str">
        <f>使用レシピ!J140</f>
        <v>圧縮石炭</v>
      </c>
      <c r="J140" s="20">
        <f>使用レシピ!K140</f>
        <v>16</v>
      </c>
      <c r="K140" s="12">
        <f>使用レシピ!L140</f>
        <v>1</v>
      </c>
      <c r="L140" s="12" t="str">
        <f>使用レシピ!M140</f>
        <v/>
      </c>
      <c r="M140" s="12" t="str">
        <f>使用レシピ!N140</f>
        <v/>
      </c>
      <c r="N140" s="12">
        <f>使用レシピ!O140</f>
        <v>2</v>
      </c>
      <c r="O140" s="12">
        <f>使用レシピ!P140</f>
        <v>16</v>
      </c>
      <c r="P140" s="35">
        <f>使用レシピ!Q140</f>
        <v>40</v>
      </c>
    </row>
    <row r="141" spans="1:16" ht="19.5" customHeight="1" x14ac:dyDescent="0.4">
      <c r="A141" s="40" t="str">
        <f>使用レシピ!C141</f>
        <v>14001</v>
      </c>
      <c r="B141" s="41">
        <f>IF($A141="","",SUMIF(テンプレート!$B:$B,製造アイテム数!$D141,テンプレート!$C:$C))</f>
        <v>0</v>
      </c>
      <c r="C141" s="35">
        <f t="shared" si="2"/>
        <v>0</v>
      </c>
      <c r="D141" s="2" t="str">
        <f>使用レシピ!E141</f>
        <v>包装済みイオン燃料</v>
      </c>
      <c r="E141" s="20" t="str">
        <f>使用レシピ!F141</f>
        <v>イオン燃料</v>
      </c>
      <c r="F141" s="12" t="str">
        <f>使用レシピ!G141</f>
        <v>空の液体タンク</v>
      </c>
      <c r="G141" s="12" t="str">
        <f>使用レシピ!H141</f>
        <v/>
      </c>
      <c r="H141" s="12" t="str">
        <f>使用レシピ!I141</f>
        <v/>
      </c>
      <c r="I141" s="35" t="str">
        <f>使用レシピ!J141</f>
        <v/>
      </c>
      <c r="J141" s="20">
        <f>使用レシピ!K141</f>
        <v>4</v>
      </c>
      <c r="K141" s="12">
        <f>使用レシピ!L141</f>
        <v>2</v>
      </c>
      <c r="L141" s="12" t="str">
        <f>使用レシピ!M141</f>
        <v/>
      </c>
      <c r="M141" s="12" t="str">
        <f>使用レシピ!N141</f>
        <v/>
      </c>
      <c r="N141" s="12" t="str">
        <f>使用レシピ!O141</f>
        <v/>
      </c>
      <c r="O141" s="12">
        <f>使用レシピ!P141</f>
        <v>2</v>
      </c>
      <c r="P141" s="35">
        <f>使用レシピ!Q141</f>
        <v>40</v>
      </c>
    </row>
    <row r="142" spans="1:16" ht="19.5" customHeight="1" x14ac:dyDescent="0.4">
      <c r="A142" s="40" t="str">
        <f>使用レシピ!C142</f>
        <v>14101</v>
      </c>
      <c r="B142" s="41">
        <f>IF($A142="","",SUMIF(テンプレート!$B:$B,製造アイテム数!$D142,テンプレート!$C:$C))</f>
        <v>0</v>
      </c>
      <c r="C142" s="35">
        <f t="shared" si="2"/>
        <v>0</v>
      </c>
      <c r="D142" s="2" t="str">
        <f>使用レシピ!E142</f>
        <v>異星のパワーマトリックス</v>
      </c>
      <c r="E142" s="20" t="str">
        <f>使用レシピ!F142</f>
        <v>SAM変動機</v>
      </c>
      <c r="F142" s="12" t="str">
        <f>使用レシピ!G142</f>
        <v>パワー・シャード</v>
      </c>
      <c r="G142" s="12" t="str">
        <f>使用レシピ!H142</f>
        <v>重ね合わせ発振器</v>
      </c>
      <c r="H142" s="12" t="str">
        <f>使用レシピ!I142</f>
        <v>励起フォトニック物質</v>
      </c>
      <c r="I142" s="35" t="str">
        <f>使用レシピ!J142</f>
        <v>ダークマターの残留物</v>
      </c>
      <c r="J142" s="20">
        <f>使用レシピ!K142</f>
        <v>5</v>
      </c>
      <c r="K142" s="12">
        <f>使用レシピ!L142</f>
        <v>3</v>
      </c>
      <c r="L142" s="12">
        <f>使用レシピ!M142</f>
        <v>3</v>
      </c>
      <c r="M142" s="12">
        <f>使用レシピ!N142</f>
        <v>24</v>
      </c>
      <c r="N142" s="12">
        <f>使用レシピ!O142</f>
        <v>24</v>
      </c>
      <c r="O142" s="12">
        <f>使用レシピ!P142</f>
        <v>1</v>
      </c>
      <c r="P142" s="35">
        <f>使用レシピ!Q142</f>
        <v>2.5</v>
      </c>
    </row>
    <row r="143" spans="1:16" ht="19.5" customHeight="1" x14ac:dyDescent="0.4">
      <c r="A143" s="40" t="str">
        <f>使用レシピ!C143</f>
        <v>14201</v>
      </c>
      <c r="B143" s="41">
        <f>IF($A143="","",SUMIF(テンプレート!$B:$B,製造アイテム数!$D143,テンプレート!$C:$C))</f>
        <v>0</v>
      </c>
      <c r="C143" s="35">
        <f t="shared" si="2"/>
        <v>0</v>
      </c>
      <c r="D143" s="2" t="str">
        <f>使用レシピ!E143</f>
        <v>スタン鉄筋</v>
      </c>
      <c r="E143" s="20" t="str">
        <f>使用レシピ!F143</f>
        <v>鉄筋</v>
      </c>
      <c r="F143" s="12" t="str">
        <f>使用レシピ!G143</f>
        <v>クイックワイヤー</v>
      </c>
      <c r="G143" s="12" t="str">
        <f>使用レシピ!H143</f>
        <v/>
      </c>
      <c r="H143" s="12" t="str">
        <f>使用レシピ!I143</f>
        <v/>
      </c>
      <c r="I143" s="35" t="str">
        <f>使用レシピ!J143</f>
        <v/>
      </c>
      <c r="J143" s="20">
        <f>使用レシピ!K143</f>
        <v>1</v>
      </c>
      <c r="K143" s="12">
        <f>使用レシピ!L143</f>
        <v>5</v>
      </c>
      <c r="L143" s="12" t="str">
        <f>使用レシピ!M143</f>
        <v/>
      </c>
      <c r="M143" s="12" t="str">
        <f>使用レシピ!N143</f>
        <v/>
      </c>
      <c r="N143" s="12" t="str">
        <f>使用レシピ!O143</f>
        <v/>
      </c>
      <c r="O143" s="12">
        <f>使用レシピ!P143</f>
        <v>1</v>
      </c>
      <c r="P143" s="35">
        <f>使用レシピ!Q143</f>
        <v>10</v>
      </c>
    </row>
    <row r="144" spans="1:16" ht="19.5" customHeight="1" x14ac:dyDescent="0.4">
      <c r="A144" s="40" t="str">
        <f>使用レシピ!C144</f>
        <v>14301</v>
      </c>
      <c r="B144" s="41">
        <f>IF($A144="","",SUMIF(テンプレート!$B:$B,製造アイテム数!$D144,テンプレート!$C:$C))</f>
        <v>0</v>
      </c>
      <c r="C144" s="35">
        <f t="shared" si="2"/>
        <v>0</v>
      </c>
      <c r="D144" s="2" t="str">
        <f>使用レシピ!E144</f>
        <v>ガス・ノーベリスク</v>
      </c>
      <c r="E144" s="20" t="str">
        <f>使用レシピ!F144</f>
        <v>ノーベリスク</v>
      </c>
      <c r="F144" s="12" t="str">
        <f>使用レシピ!G144</f>
        <v>バイオマス</v>
      </c>
      <c r="G144" s="12" t="str">
        <f>使用レシピ!H144</f>
        <v/>
      </c>
      <c r="H144" s="12" t="str">
        <f>使用レシピ!I144</f>
        <v/>
      </c>
      <c r="I144" s="35" t="str">
        <f>使用レシピ!J144</f>
        <v/>
      </c>
      <c r="J144" s="20">
        <f>使用レシピ!K144</f>
        <v>1</v>
      </c>
      <c r="K144" s="12">
        <f>使用レシピ!L144</f>
        <v>10</v>
      </c>
      <c r="L144" s="12" t="str">
        <f>使用レシピ!M144</f>
        <v/>
      </c>
      <c r="M144" s="12" t="str">
        <f>使用レシピ!N144</f>
        <v/>
      </c>
      <c r="N144" s="12" t="str">
        <f>使用レシピ!O144</f>
        <v/>
      </c>
      <c r="O144" s="12">
        <f>使用レシピ!P144</f>
        <v>1</v>
      </c>
      <c r="P144" s="35">
        <f>使用レシピ!Q144</f>
        <v>5</v>
      </c>
    </row>
    <row r="145" spans="1:16" ht="19.5" customHeight="1" x14ac:dyDescent="0.4">
      <c r="A145" s="40" t="str">
        <f>使用レシピ!C145</f>
        <v>14401</v>
      </c>
      <c r="B145" s="41">
        <f>IF($A145="","",SUMIF(テンプレート!$B:$B,製造アイテム数!$D145,テンプレート!$C:$C))</f>
        <v>0</v>
      </c>
      <c r="C145" s="35">
        <f t="shared" si="2"/>
        <v>0</v>
      </c>
      <c r="D145" s="2" t="str">
        <f>使用レシピ!E145</f>
        <v>パルス・ノーベリスク</v>
      </c>
      <c r="E145" s="20" t="str">
        <f>使用レシピ!F145</f>
        <v>ノーベリスク</v>
      </c>
      <c r="F145" s="12" t="str">
        <f>使用レシピ!G145</f>
        <v>水晶発振器</v>
      </c>
      <c r="G145" s="12" t="str">
        <f>使用レシピ!H145</f>
        <v/>
      </c>
      <c r="H145" s="12" t="str">
        <f>使用レシピ!I145</f>
        <v/>
      </c>
      <c r="I145" s="35" t="str">
        <f>使用レシピ!J145</f>
        <v/>
      </c>
      <c r="J145" s="20">
        <f>使用レシピ!K145</f>
        <v>5</v>
      </c>
      <c r="K145" s="12">
        <f>使用レシピ!L145</f>
        <v>1</v>
      </c>
      <c r="L145" s="12" t="str">
        <f>使用レシピ!M145</f>
        <v/>
      </c>
      <c r="M145" s="12" t="str">
        <f>使用レシピ!N145</f>
        <v/>
      </c>
      <c r="N145" s="12" t="str">
        <f>使用レシピ!O145</f>
        <v/>
      </c>
      <c r="O145" s="12">
        <f>使用レシピ!P145</f>
        <v>5</v>
      </c>
      <c r="P145" s="35">
        <f>使用レシピ!Q145</f>
        <v>5</v>
      </c>
    </row>
    <row r="146" spans="1:16" ht="19.5" customHeight="1" x14ac:dyDescent="0.4">
      <c r="A146" s="40" t="str">
        <f>使用レシピ!C146</f>
        <v>14501</v>
      </c>
      <c r="B146" s="41">
        <f>IF($A146="","",SUMIF(テンプレート!$B:$B,製造アイテム数!$D146,テンプレート!$C:$C))</f>
        <v>0</v>
      </c>
      <c r="C146" s="35">
        <f t="shared" si="2"/>
        <v>0</v>
      </c>
      <c r="D146" s="2" t="str">
        <f>使用レシピ!E146</f>
        <v>破砕鉄筋</v>
      </c>
      <c r="E146" s="20" t="str">
        <f>使用レシピ!F146</f>
        <v>鉄筋</v>
      </c>
      <c r="F146" s="12" t="str">
        <f>使用レシピ!G146</f>
        <v>石英結晶</v>
      </c>
      <c r="G146" s="12" t="str">
        <f>使用レシピ!H146</f>
        <v/>
      </c>
      <c r="H146" s="12" t="str">
        <f>使用レシピ!I146</f>
        <v/>
      </c>
      <c r="I146" s="35" t="str">
        <f>使用レシピ!J146</f>
        <v/>
      </c>
      <c r="J146" s="20">
        <f>使用レシピ!K146</f>
        <v>2</v>
      </c>
      <c r="K146" s="12">
        <f>使用レシピ!L146</f>
        <v>3</v>
      </c>
      <c r="L146" s="12" t="str">
        <f>使用レシピ!M146</f>
        <v/>
      </c>
      <c r="M146" s="12" t="str">
        <f>使用レシピ!N146</f>
        <v/>
      </c>
      <c r="N146" s="12" t="str">
        <f>使用レシピ!O146</f>
        <v/>
      </c>
      <c r="O146" s="12">
        <f>使用レシピ!P146</f>
        <v>1</v>
      </c>
      <c r="P146" s="35">
        <f>使用レシピ!Q146</f>
        <v>5</v>
      </c>
    </row>
    <row r="147" spans="1:16" ht="19.5" customHeight="1" x14ac:dyDescent="0.4">
      <c r="A147" s="40" t="str">
        <f>使用レシピ!C147</f>
        <v>14601</v>
      </c>
      <c r="B147" s="41">
        <f>IF($A147="","",SUMIF(テンプレート!$B:$B,製造アイテム数!$D147,テンプレート!$C:$C))</f>
        <v>0</v>
      </c>
      <c r="C147" s="35">
        <f t="shared" si="2"/>
        <v>0</v>
      </c>
      <c r="D147" s="2" t="str">
        <f>使用レシピ!E147</f>
        <v>クラスター・ノーベリスク</v>
      </c>
      <c r="E147" s="20" t="str">
        <f>使用レシピ!F147</f>
        <v>ノーベリスク</v>
      </c>
      <c r="F147" s="12" t="str">
        <f>使用レシピ!G147</f>
        <v>無煙火薬</v>
      </c>
      <c r="G147" s="12" t="str">
        <f>使用レシピ!H147</f>
        <v/>
      </c>
      <c r="H147" s="12" t="str">
        <f>使用レシピ!I147</f>
        <v/>
      </c>
      <c r="I147" s="35" t="str">
        <f>使用レシピ!J147</f>
        <v/>
      </c>
      <c r="J147" s="20">
        <f>使用レシピ!K147</f>
        <v>3</v>
      </c>
      <c r="K147" s="12">
        <f>使用レシピ!L147</f>
        <v>4</v>
      </c>
      <c r="L147" s="12" t="str">
        <f>使用レシピ!M147</f>
        <v/>
      </c>
      <c r="M147" s="12" t="str">
        <f>使用レシピ!N147</f>
        <v/>
      </c>
      <c r="N147" s="12" t="str">
        <f>使用レシピ!O147</f>
        <v/>
      </c>
      <c r="O147" s="12">
        <f>使用レシピ!P147</f>
        <v>1</v>
      </c>
      <c r="P147" s="35">
        <f>使用レシピ!Q147</f>
        <v>2.5</v>
      </c>
    </row>
    <row r="148" spans="1:16" ht="19.5" customHeight="1" x14ac:dyDescent="0.4">
      <c r="A148" s="40" t="str">
        <f>使用レシピ!C148</f>
        <v>14701</v>
      </c>
      <c r="B148" s="41">
        <f>IF($A148="","",SUMIF(テンプレート!$B:$B,製造アイテム数!$D148,テンプレート!$C:$C))</f>
        <v>0</v>
      </c>
      <c r="C148" s="35">
        <f t="shared" si="2"/>
        <v>0</v>
      </c>
      <c r="D148" s="2" t="str">
        <f>使用レシピ!E148</f>
        <v>爆砕鉄筋</v>
      </c>
      <c r="E148" s="20" t="str">
        <f>使用レシピ!F148</f>
        <v>鉄筋</v>
      </c>
      <c r="F148" s="12" t="str">
        <f>使用レシピ!G148</f>
        <v>無煙火薬</v>
      </c>
      <c r="G148" s="12" t="str">
        <f>使用レシピ!H148</f>
        <v>鋼管</v>
      </c>
      <c r="H148" s="12" t="str">
        <f>使用レシピ!I148</f>
        <v/>
      </c>
      <c r="I148" s="35" t="str">
        <f>使用レシピ!J148</f>
        <v/>
      </c>
      <c r="J148" s="20">
        <f>使用レシピ!K148</f>
        <v>2</v>
      </c>
      <c r="K148" s="12">
        <f>使用レシピ!L148</f>
        <v>2</v>
      </c>
      <c r="L148" s="12">
        <f>使用レシピ!M148</f>
        <v>2</v>
      </c>
      <c r="M148" s="12" t="str">
        <f>使用レシピ!N148</f>
        <v/>
      </c>
      <c r="N148" s="12" t="str">
        <f>使用レシピ!O148</f>
        <v/>
      </c>
      <c r="O148" s="12">
        <f>使用レシピ!P148</f>
        <v>1</v>
      </c>
      <c r="P148" s="35">
        <f>使用レシピ!Q148</f>
        <v>5</v>
      </c>
    </row>
    <row r="149" spans="1:16" ht="19.5" customHeight="1" x14ac:dyDescent="0.4">
      <c r="A149" s="40" t="str">
        <f>使用レシピ!C149</f>
        <v>14801</v>
      </c>
      <c r="B149" s="41">
        <f>IF($A149="","",SUMIF(テンプレート!$B:$B,製造アイテム数!$D149,テンプレート!$C:$C))</f>
        <v>0</v>
      </c>
      <c r="C149" s="35">
        <f t="shared" si="2"/>
        <v>0</v>
      </c>
      <c r="D149" s="2" t="str">
        <f>使用レシピ!E149</f>
        <v>ライフル弾</v>
      </c>
      <c r="E149" s="20" t="str">
        <f>使用レシピ!F149</f>
        <v>銅板</v>
      </c>
      <c r="F149" s="12" t="str">
        <f>使用レシピ!G149</f>
        <v>無煙火薬</v>
      </c>
      <c r="G149" s="12" t="str">
        <f>使用レシピ!H149</f>
        <v/>
      </c>
      <c r="H149" s="12" t="str">
        <f>使用レシピ!I149</f>
        <v/>
      </c>
      <c r="I149" s="35" t="str">
        <f>使用レシピ!J149</f>
        <v/>
      </c>
      <c r="J149" s="20">
        <f>使用レシピ!K149</f>
        <v>3</v>
      </c>
      <c r="K149" s="12">
        <f>使用レシピ!L149</f>
        <v>2</v>
      </c>
      <c r="L149" s="12" t="str">
        <f>使用レシピ!M149</f>
        <v/>
      </c>
      <c r="M149" s="12" t="str">
        <f>使用レシピ!N149</f>
        <v/>
      </c>
      <c r="N149" s="12" t="str">
        <f>使用レシピ!O149</f>
        <v/>
      </c>
      <c r="O149" s="12">
        <f>使用レシピ!P149</f>
        <v>15</v>
      </c>
      <c r="P149" s="35">
        <f>使用レシピ!Q149</f>
        <v>75</v>
      </c>
    </row>
    <row r="150" spans="1:16" ht="19.5" customHeight="1" x14ac:dyDescent="0.4">
      <c r="A150" s="40" t="str">
        <f>使用レシピ!C150</f>
        <v>14901</v>
      </c>
      <c r="B150" s="41">
        <f>IF($A150="","",SUMIF(テンプレート!$B:$B,製造アイテム数!$D150,テンプレート!$C:$C))</f>
        <v>0</v>
      </c>
      <c r="C150" s="35">
        <f t="shared" si="2"/>
        <v>0</v>
      </c>
      <c r="D150" s="2" t="str">
        <f>使用レシピ!E150</f>
        <v>ターボライフル弾</v>
      </c>
      <c r="E150" s="20" t="str">
        <f>使用レシピ!F150</f>
        <v>ライフル弾</v>
      </c>
      <c r="F150" s="12" t="str">
        <f>使用レシピ!G150</f>
        <v>アルミ筐体</v>
      </c>
      <c r="G150" s="12" t="str">
        <f>使用レシピ!H150</f>
        <v>ターボ燃料</v>
      </c>
      <c r="H150" s="12" t="str">
        <f>使用レシピ!I150</f>
        <v/>
      </c>
      <c r="I150" s="35" t="str">
        <f>使用レシピ!J150</f>
        <v/>
      </c>
      <c r="J150" s="20">
        <f>使用レシピ!K150</f>
        <v>25</v>
      </c>
      <c r="K150" s="12">
        <f>使用レシピ!L150</f>
        <v>3</v>
      </c>
      <c r="L150" s="12">
        <f>使用レシピ!M150</f>
        <v>3</v>
      </c>
      <c r="M150" s="12" t="str">
        <f>使用レシピ!N150</f>
        <v/>
      </c>
      <c r="N150" s="12" t="str">
        <f>使用レシピ!O150</f>
        <v/>
      </c>
      <c r="O150" s="12">
        <f>使用レシピ!P150</f>
        <v>50</v>
      </c>
      <c r="P150" s="35">
        <f>使用レシピ!Q150</f>
        <v>250</v>
      </c>
    </row>
    <row r="151" spans="1:16" ht="19.5" customHeight="1" x14ac:dyDescent="0.4">
      <c r="A151" s="40" t="str">
        <f>使用レシピ!C151</f>
        <v>15001</v>
      </c>
      <c r="B151" s="41">
        <f>IF($A151="","",SUMIF(テンプレート!$B:$B,製造アイテム数!$D151,テンプレート!$C:$C))</f>
        <v>0</v>
      </c>
      <c r="C151" s="35">
        <f t="shared" si="2"/>
        <v>0</v>
      </c>
      <c r="D151" s="2" t="str">
        <f>使用レシピ!E151</f>
        <v>ホーミングライフル弾</v>
      </c>
      <c r="E151" s="20" t="str">
        <f>使用レシピ!F151</f>
        <v>ライフル弾</v>
      </c>
      <c r="F151" s="12" t="str">
        <f>使用レシピ!G151</f>
        <v>高速コネクター</v>
      </c>
      <c r="G151" s="12" t="str">
        <f>使用レシピ!H151</f>
        <v/>
      </c>
      <c r="H151" s="12" t="str">
        <f>使用レシピ!I151</f>
        <v/>
      </c>
      <c r="I151" s="35" t="str">
        <f>使用レシピ!J151</f>
        <v/>
      </c>
      <c r="J151" s="20">
        <f>使用レシピ!K151</f>
        <v>20</v>
      </c>
      <c r="K151" s="12">
        <f>使用レシピ!L151</f>
        <v>1</v>
      </c>
      <c r="L151" s="12" t="str">
        <f>使用レシピ!M151</f>
        <v/>
      </c>
      <c r="M151" s="12" t="str">
        <f>使用レシピ!N151</f>
        <v/>
      </c>
      <c r="N151" s="12" t="str">
        <f>使用レシピ!O151</f>
        <v/>
      </c>
      <c r="O151" s="12">
        <f>使用レシピ!P151</f>
        <v>10</v>
      </c>
      <c r="P151" s="35">
        <f>使用レシピ!Q151</f>
        <v>25</v>
      </c>
    </row>
    <row r="152" spans="1:16" ht="19.5" customHeight="1" x14ac:dyDescent="0.4">
      <c r="A152" s="40" t="str">
        <f>使用レシピ!C152</f>
        <v>15101</v>
      </c>
      <c r="B152" s="41">
        <f>IF($A152="","",SUMIF(テンプレート!$B:$B,製造アイテム数!$D152,テンプレート!$C:$C))</f>
        <v>0</v>
      </c>
      <c r="C152" s="35">
        <f t="shared" si="2"/>
        <v>0</v>
      </c>
      <c r="D152" s="2" t="str">
        <f>使用レシピ!E152</f>
        <v>ニューク・ノーベリスク</v>
      </c>
      <c r="E152" s="20" t="str">
        <f>使用レシピ!F152</f>
        <v>ノーベリスク</v>
      </c>
      <c r="F152" s="12" t="str">
        <f>使用レシピ!G152</f>
        <v>被覆型ウラン・セル</v>
      </c>
      <c r="G152" s="12" t="str">
        <f>使用レシピ!H152</f>
        <v>無煙火薬</v>
      </c>
      <c r="H152" s="12" t="str">
        <f>使用レシピ!I152</f>
        <v>AIリミッター</v>
      </c>
      <c r="I152" s="35" t="str">
        <f>使用レシピ!J152</f>
        <v/>
      </c>
      <c r="J152" s="20">
        <f>使用レシピ!K152</f>
        <v>5</v>
      </c>
      <c r="K152" s="12">
        <f>使用レシピ!L152</f>
        <v>20</v>
      </c>
      <c r="L152" s="12">
        <f>使用レシピ!M152</f>
        <v>10</v>
      </c>
      <c r="M152" s="12">
        <f>使用レシピ!N152</f>
        <v>6</v>
      </c>
      <c r="N152" s="12" t="str">
        <f>使用レシピ!O152</f>
        <v/>
      </c>
      <c r="O152" s="12">
        <f>使用レシピ!P152</f>
        <v>1</v>
      </c>
      <c r="P152" s="35">
        <f>使用レシピ!Q152</f>
        <v>0.5</v>
      </c>
    </row>
    <row r="153" spans="1:16" ht="19.5" customHeight="1" x14ac:dyDescent="0.4">
      <c r="A153" s="40" t="str">
        <f>使用レシピ!C153</f>
        <v/>
      </c>
      <c r="B153" s="41" t="str">
        <f>IF($A153="","",SUMIF(テンプレート!$B:$B,製造アイテム数!$D153,テンプレート!$C:$C))</f>
        <v/>
      </c>
      <c r="C153" s="35" t="str">
        <f t="shared" si="2"/>
        <v/>
      </c>
      <c r="D153" s="2" t="str">
        <f>使用レシピ!E153</f>
        <v/>
      </c>
      <c r="E153" s="20" t="str">
        <f>使用レシピ!F153</f>
        <v/>
      </c>
      <c r="F153" s="12" t="str">
        <f>使用レシピ!G153</f>
        <v/>
      </c>
      <c r="G153" s="12" t="str">
        <f>使用レシピ!H153</f>
        <v/>
      </c>
      <c r="H153" s="12" t="str">
        <f>使用レシピ!I153</f>
        <v/>
      </c>
      <c r="I153" s="35" t="str">
        <f>使用レシピ!J153</f>
        <v/>
      </c>
      <c r="J153" s="20" t="str">
        <f>使用レシピ!K153</f>
        <v/>
      </c>
      <c r="K153" s="12" t="str">
        <f>使用レシピ!L153</f>
        <v/>
      </c>
      <c r="L153" s="12" t="str">
        <f>使用レシピ!M153</f>
        <v/>
      </c>
      <c r="M153" s="12" t="str">
        <f>使用レシピ!N153</f>
        <v/>
      </c>
      <c r="N153" s="12" t="str">
        <f>使用レシピ!O153</f>
        <v/>
      </c>
      <c r="O153" s="12" t="str">
        <f>使用レシピ!P153</f>
        <v/>
      </c>
      <c r="P153" s="35" t="str">
        <f>使用レシピ!Q153</f>
        <v/>
      </c>
    </row>
    <row r="154" spans="1:16" ht="19.5" customHeight="1" x14ac:dyDescent="0.4">
      <c r="A154" s="40" t="str">
        <f>使用レシピ!C154</f>
        <v/>
      </c>
      <c r="B154" s="41" t="str">
        <f>IF($A154="","",SUMIF(テンプレート!$B:$B,製造アイテム数!$D154,テンプレート!$C:$C))</f>
        <v/>
      </c>
      <c r="C154" s="35" t="str">
        <f t="shared" si="2"/>
        <v/>
      </c>
      <c r="D154" s="2" t="str">
        <f>使用レシピ!E154</f>
        <v/>
      </c>
      <c r="E154" s="20" t="str">
        <f>使用レシピ!F154</f>
        <v/>
      </c>
      <c r="F154" s="12" t="str">
        <f>使用レシピ!G154</f>
        <v/>
      </c>
      <c r="G154" s="12" t="str">
        <f>使用レシピ!H154</f>
        <v/>
      </c>
      <c r="H154" s="12" t="str">
        <f>使用レシピ!I154</f>
        <v/>
      </c>
      <c r="I154" s="35" t="str">
        <f>使用レシピ!J154</f>
        <v/>
      </c>
      <c r="J154" s="20" t="str">
        <f>使用レシピ!K154</f>
        <v/>
      </c>
      <c r="K154" s="12" t="str">
        <f>使用レシピ!L154</f>
        <v/>
      </c>
      <c r="L154" s="12" t="str">
        <f>使用レシピ!M154</f>
        <v/>
      </c>
      <c r="M154" s="12" t="str">
        <f>使用レシピ!N154</f>
        <v/>
      </c>
      <c r="N154" s="12" t="str">
        <f>使用レシピ!O154</f>
        <v/>
      </c>
      <c r="O154" s="12" t="str">
        <f>使用レシピ!P154</f>
        <v/>
      </c>
      <c r="P154" s="35" t="str">
        <f>使用レシピ!Q154</f>
        <v/>
      </c>
    </row>
    <row r="155" spans="1:16" ht="19.5" customHeight="1" x14ac:dyDescent="0.4">
      <c r="A155" s="40" t="str">
        <f>使用レシピ!C155</f>
        <v/>
      </c>
      <c r="B155" s="41" t="str">
        <f>IF($A155="","",SUMIF(テンプレート!$B:$B,製造アイテム数!$D155,テンプレート!$C:$C))</f>
        <v/>
      </c>
      <c r="C155" s="35" t="str">
        <f t="shared" si="2"/>
        <v/>
      </c>
      <c r="D155" s="2" t="str">
        <f>使用レシピ!E155</f>
        <v/>
      </c>
      <c r="E155" s="20" t="str">
        <f>使用レシピ!F155</f>
        <v/>
      </c>
      <c r="F155" s="12" t="str">
        <f>使用レシピ!G155</f>
        <v/>
      </c>
      <c r="G155" s="12" t="str">
        <f>使用レシピ!H155</f>
        <v/>
      </c>
      <c r="H155" s="12" t="str">
        <f>使用レシピ!I155</f>
        <v/>
      </c>
      <c r="I155" s="35" t="str">
        <f>使用レシピ!J155</f>
        <v/>
      </c>
      <c r="J155" s="20" t="str">
        <f>使用レシピ!K155</f>
        <v/>
      </c>
      <c r="K155" s="12" t="str">
        <f>使用レシピ!L155</f>
        <v/>
      </c>
      <c r="L155" s="12" t="str">
        <f>使用レシピ!M155</f>
        <v/>
      </c>
      <c r="M155" s="12" t="str">
        <f>使用レシピ!N155</f>
        <v/>
      </c>
      <c r="N155" s="12" t="str">
        <f>使用レシピ!O155</f>
        <v/>
      </c>
      <c r="O155" s="12" t="str">
        <f>使用レシピ!P155</f>
        <v/>
      </c>
      <c r="P155" s="35" t="str">
        <f>使用レシピ!Q155</f>
        <v/>
      </c>
    </row>
    <row r="156" spans="1:16" ht="19.5" customHeight="1" x14ac:dyDescent="0.4">
      <c r="A156" s="40" t="str">
        <f>使用レシピ!C156</f>
        <v/>
      </c>
      <c r="B156" s="41" t="str">
        <f>IF($A156="","",SUMIF(テンプレート!$B:$B,製造アイテム数!$D156,テンプレート!$C:$C))</f>
        <v/>
      </c>
      <c r="C156" s="35" t="str">
        <f t="shared" si="2"/>
        <v/>
      </c>
      <c r="D156" s="2" t="str">
        <f>使用レシピ!E156</f>
        <v/>
      </c>
      <c r="E156" s="20" t="str">
        <f>使用レシピ!F156</f>
        <v/>
      </c>
      <c r="F156" s="12" t="str">
        <f>使用レシピ!G156</f>
        <v/>
      </c>
      <c r="G156" s="12" t="str">
        <f>使用レシピ!H156</f>
        <v/>
      </c>
      <c r="H156" s="12" t="str">
        <f>使用レシピ!I156</f>
        <v/>
      </c>
      <c r="I156" s="35" t="str">
        <f>使用レシピ!J156</f>
        <v/>
      </c>
      <c r="J156" s="20" t="str">
        <f>使用レシピ!K156</f>
        <v/>
      </c>
      <c r="K156" s="12" t="str">
        <f>使用レシピ!L156</f>
        <v/>
      </c>
      <c r="L156" s="12" t="str">
        <f>使用レシピ!M156</f>
        <v/>
      </c>
      <c r="M156" s="12" t="str">
        <f>使用レシピ!N156</f>
        <v/>
      </c>
      <c r="N156" s="12" t="str">
        <f>使用レシピ!O156</f>
        <v/>
      </c>
      <c r="O156" s="12" t="str">
        <f>使用レシピ!P156</f>
        <v/>
      </c>
      <c r="P156" s="35" t="str">
        <f>使用レシピ!Q156</f>
        <v/>
      </c>
    </row>
    <row r="157" spans="1:16" ht="19.5" customHeight="1" x14ac:dyDescent="0.4">
      <c r="A157" s="40" t="str">
        <f>使用レシピ!C157</f>
        <v/>
      </c>
      <c r="B157" s="41" t="str">
        <f>IF($A157="","",SUMIF(テンプレート!$B:$B,製造アイテム数!$D157,テンプレート!$C:$C))</f>
        <v/>
      </c>
      <c r="C157" s="35" t="str">
        <f t="shared" si="2"/>
        <v/>
      </c>
      <c r="D157" s="2" t="str">
        <f>使用レシピ!E157</f>
        <v/>
      </c>
      <c r="E157" s="20" t="str">
        <f>使用レシピ!F157</f>
        <v/>
      </c>
      <c r="F157" s="12" t="str">
        <f>使用レシピ!G157</f>
        <v/>
      </c>
      <c r="G157" s="12" t="str">
        <f>使用レシピ!H157</f>
        <v/>
      </c>
      <c r="H157" s="12" t="str">
        <f>使用レシピ!I157</f>
        <v/>
      </c>
      <c r="I157" s="35" t="str">
        <f>使用レシピ!J157</f>
        <v/>
      </c>
      <c r="J157" s="20" t="str">
        <f>使用レシピ!K157</f>
        <v/>
      </c>
      <c r="K157" s="12" t="str">
        <f>使用レシピ!L157</f>
        <v/>
      </c>
      <c r="L157" s="12" t="str">
        <f>使用レシピ!M157</f>
        <v/>
      </c>
      <c r="M157" s="12" t="str">
        <f>使用レシピ!N157</f>
        <v/>
      </c>
      <c r="N157" s="12" t="str">
        <f>使用レシピ!O157</f>
        <v/>
      </c>
      <c r="O157" s="12" t="str">
        <f>使用レシピ!P157</f>
        <v/>
      </c>
      <c r="P157" s="35" t="str">
        <f>使用レシピ!Q157</f>
        <v/>
      </c>
    </row>
    <row r="158" spans="1:16" ht="19.5" customHeight="1" x14ac:dyDescent="0.4">
      <c r="A158" s="40" t="str">
        <f>使用レシピ!C158</f>
        <v/>
      </c>
      <c r="B158" s="41" t="str">
        <f>IF($A158="","",SUMIF(テンプレート!$B:$B,製造アイテム数!$D158,テンプレート!$C:$C))</f>
        <v/>
      </c>
      <c r="C158" s="35" t="str">
        <f t="shared" si="2"/>
        <v/>
      </c>
      <c r="D158" s="2" t="str">
        <f>使用レシピ!E158</f>
        <v/>
      </c>
      <c r="E158" s="20" t="str">
        <f>使用レシピ!F158</f>
        <v/>
      </c>
      <c r="F158" s="12" t="str">
        <f>使用レシピ!G158</f>
        <v/>
      </c>
      <c r="G158" s="12" t="str">
        <f>使用レシピ!H158</f>
        <v/>
      </c>
      <c r="H158" s="12" t="str">
        <f>使用レシピ!I158</f>
        <v/>
      </c>
      <c r="I158" s="35" t="str">
        <f>使用レシピ!J158</f>
        <v/>
      </c>
      <c r="J158" s="20" t="str">
        <f>使用レシピ!K158</f>
        <v/>
      </c>
      <c r="K158" s="12" t="str">
        <f>使用レシピ!L158</f>
        <v/>
      </c>
      <c r="L158" s="12" t="str">
        <f>使用レシピ!M158</f>
        <v/>
      </c>
      <c r="M158" s="12" t="str">
        <f>使用レシピ!N158</f>
        <v/>
      </c>
      <c r="N158" s="12" t="str">
        <f>使用レシピ!O158</f>
        <v/>
      </c>
      <c r="O158" s="12" t="str">
        <f>使用レシピ!P158</f>
        <v/>
      </c>
      <c r="P158" s="35" t="str">
        <f>使用レシピ!Q158</f>
        <v/>
      </c>
    </row>
    <row r="159" spans="1:16" ht="19.5" customHeight="1" x14ac:dyDescent="0.4">
      <c r="A159" s="40" t="str">
        <f>使用レシピ!C159</f>
        <v/>
      </c>
      <c r="B159" s="41" t="str">
        <f>IF($A159="","",SUMIF(テンプレート!$B:$B,製造アイテム数!$D159,テンプレート!$C:$C))</f>
        <v/>
      </c>
      <c r="C159" s="35" t="str">
        <f t="shared" si="2"/>
        <v/>
      </c>
      <c r="D159" s="2" t="str">
        <f>使用レシピ!E159</f>
        <v/>
      </c>
      <c r="E159" s="20" t="str">
        <f>使用レシピ!F159</f>
        <v/>
      </c>
      <c r="F159" s="12" t="str">
        <f>使用レシピ!G159</f>
        <v/>
      </c>
      <c r="G159" s="12" t="str">
        <f>使用レシピ!H159</f>
        <v/>
      </c>
      <c r="H159" s="12" t="str">
        <f>使用レシピ!I159</f>
        <v/>
      </c>
      <c r="I159" s="35" t="str">
        <f>使用レシピ!J159</f>
        <v/>
      </c>
      <c r="J159" s="20" t="str">
        <f>使用レシピ!K159</f>
        <v/>
      </c>
      <c r="K159" s="12" t="str">
        <f>使用レシピ!L159</f>
        <v/>
      </c>
      <c r="L159" s="12" t="str">
        <f>使用レシピ!M159</f>
        <v/>
      </c>
      <c r="M159" s="12" t="str">
        <f>使用レシピ!N159</f>
        <v/>
      </c>
      <c r="N159" s="12" t="str">
        <f>使用レシピ!O159</f>
        <v/>
      </c>
      <c r="O159" s="12" t="str">
        <f>使用レシピ!P159</f>
        <v/>
      </c>
      <c r="P159" s="35" t="str">
        <f>使用レシピ!Q159</f>
        <v/>
      </c>
    </row>
    <row r="160" spans="1:16" ht="19.5" customHeight="1" x14ac:dyDescent="0.4">
      <c r="A160" s="40" t="str">
        <f>使用レシピ!C160</f>
        <v/>
      </c>
      <c r="B160" s="41" t="str">
        <f>IF($A160="","",SUMIF(テンプレート!$B:$B,製造アイテム数!$D160,テンプレート!$C:$C))</f>
        <v/>
      </c>
      <c r="C160" s="35" t="str">
        <f t="shared" si="2"/>
        <v/>
      </c>
      <c r="D160" s="2" t="str">
        <f>使用レシピ!E160</f>
        <v/>
      </c>
      <c r="E160" s="20" t="str">
        <f>使用レシピ!F160</f>
        <v/>
      </c>
      <c r="F160" s="12" t="str">
        <f>使用レシピ!G160</f>
        <v/>
      </c>
      <c r="G160" s="12" t="str">
        <f>使用レシピ!H160</f>
        <v/>
      </c>
      <c r="H160" s="12" t="str">
        <f>使用レシピ!I160</f>
        <v/>
      </c>
      <c r="I160" s="35" t="str">
        <f>使用レシピ!J160</f>
        <v/>
      </c>
      <c r="J160" s="20" t="str">
        <f>使用レシピ!K160</f>
        <v/>
      </c>
      <c r="K160" s="12" t="str">
        <f>使用レシピ!L160</f>
        <v/>
      </c>
      <c r="L160" s="12" t="str">
        <f>使用レシピ!M160</f>
        <v/>
      </c>
      <c r="M160" s="12" t="str">
        <f>使用レシピ!N160</f>
        <v/>
      </c>
      <c r="N160" s="12" t="str">
        <f>使用レシピ!O160</f>
        <v/>
      </c>
      <c r="O160" s="12" t="str">
        <f>使用レシピ!P160</f>
        <v/>
      </c>
      <c r="P160" s="35" t="str">
        <f>使用レシピ!Q160</f>
        <v/>
      </c>
    </row>
    <row r="161" spans="1:16" ht="19.5" customHeight="1" x14ac:dyDescent="0.4">
      <c r="A161" s="40" t="str">
        <f>使用レシピ!C161</f>
        <v/>
      </c>
      <c r="B161" s="41" t="str">
        <f>IF($A161="","",SUMIF(テンプレート!$B:$B,製造アイテム数!$D161,テンプレート!$C:$C))</f>
        <v/>
      </c>
      <c r="C161" s="35" t="str">
        <f t="shared" si="2"/>
        <v/>
      </c>
      <c r="D161" s="2" t="str">
        <f>使用レシピ!E161</f>
        <v/>
      </c>
      <c r="E161" s="20" t="str">
        <f>使用レシピ!F161</f>
        <v/>
      </c>
      <c r="F161" s="12" t="str">
        <f>使用レシピ!G161</f>
        <v/>
      </c>
      <c r="G161" s="12" t="str">
        <f>使用レシピ!H161</f>
        <v/>
      </c>
      <c r="H161" s="12" t="str">
        <f>使用レシピ!I161</f>
        <v/>
      </c>
      <c r="I161" s="35" t="str">
        <f>使用レシピ!J161</f>
        <v/>
      </c>
      <c r="J161" s="20" t="str">
        <f>使用レシピ!K161</f>
        <v/>
      </c>
      <c r="K161" s="12" t="str">
        <f>使用レシピ!L161</f>
        <v/>
      </c>
      <c r="L161" s="12" t="str">
        <f>使用レシピ!M161</f>
        <v/>
      </c>
      <c r="M161" s="12" t="str">
        <f>使用レシピ!N161</f>
        <v/>
      </c>
      <c r="N161" s="12" t="str">
        <f>使用レシピ!O161</f>
        <v/>
      </c>
      <c r="O161" s="12" t="str">
        <f>使用レシピ!P161</f>
        <v/>
      </c>
      <c r="P161" s="35" t="str">
        <f>使用レシピ!Q161</f>
        <v/>
      </c>
    </row>
    <row r="162" spans="1:16" ht="19.5" customHeight="1" x14ac:dyDescent="0.4">
      <c r="A162" s="40" t="str">
        <f>使用レシピ!C162</f>
        <v/>
      </c>
      <c r="B162" s="41" t="str">
        <f>IF($A162="","",SUMIF(テンプレート!$B:$B,製造アイテム数!$D162,テンプレート!$C:$C))</f>
        <v/>
      </c>
      <c r="C162" s="35" t="str">
        <f t="shared" si="2"/>
        <v/>
      </c>
      <c r="D162" s="2" t="str">
        <f>使用レシピ!E162</f>
        <v/>
      </c>
      <c r="E162" s="20" t="str">
        <f>使用レシピ!F162</f>
        <v/>
      </c>
      <c r="F162" s="12" t="str">
        <f>使用レシピ!G162</f>
        <v/>
      </c>
      <c r="G162" s="12" t="str">
        <f>使用レシピ!H162</f>
        <v/>
      </c>
      <c r="H162" s="12" t="str">
        <f>使用レシピ!I162</f>
        <v/>
      </c>
      <c r="I162" s="35" t="str">
        <f>使用レシピ!J162</f>
        <v/>
      </c>
      <c r="J162" s="20" t="str">
        <f>使用レシピ!K162</f>
        <v/>
      </c>
      <c r="K162" s="12" t="str">
        <f>使用レシピ!L162</f>
        <v/>
      </c>
      <c r="L162" s="12" t="str">
        <f>使用レシピ!M162</f>
        <v/>
      </c>
      <c r="M162" s="12" t="str">
        <f>使用レシピ!N162</f>
        <v/>
      </c>
      <c r="N162" s="12" t="str">
        <f>使用レシピ!O162</f>
        <v/>
      </c>
      <c r="O162" s="12" t="str">
        <f>使用レシピ!P162</f>
        <v/>
      </c>
      <c r="P162" s="35" t="str">
        <f>使用レシピ!Q162</f>
        <v/>
      </c>
    </row>
    <row r="163" spans="1:16" ht="19.5" customHeight="1" x14ac:dyDescent="0.4">
      <c r="A163" s="40" t="str">
        <f>使用レシピ!C163</f>
        <v/>
      </c>
      <c r="B163" s="41" t="str">
        <f>IF($A163="","",SUMIF(テンプレート!$B:$B,製造アイテム数!$D163,テンプレート!$C:$C))</f>
        <v/>
      </c>
      <c r="C163" s="35" t="str">
        <f t="shared" si="2"/>
        <v/>
      </c>
      <c r="D163" s="2" t="str">
        <f>使用レシピ!E163</f>
        <v/>
      </c>
      <c r="E163" s="20" t="str">
        <f>使用レシピ!F163</f>
        <v/>
      </c>
      <c r="F163" s="12" t="str">
        <f>使用レシピ!G163</f>
        <v/>
      </c>
      <c r="G163" s="12" t="str">
        <f>使用レシピ!H163</f>
        <v/>
      </c>
      <c r="H163" s="12" t="str">
        <f>使用レシピ!I163</f>
        <v/>
      </c>
      <c r="I163" s="35" t="str">
        <f>使用レシピ!J163</f>
        <v/>
      </c>
      <c r="J163" s="20" t="str">
        <f>使用レシピ!K163</f>
        <v/>
      </c>
      <c r="K163" s="12" t="str">
        <f>使用レシピ!L163</f>
        <v/>
      </c>
      <c r="L163" s="12" t="str">
        <f>使用レシピ!M163</f>
        <v/>
      </c>
      <c r="M163" s="12" t="str">
        <f>使用レシピ!N163</f>
        <v/>
      </c>
      <c r="N163" s="12" t="str">
        <f>使用レシピ!O163</f>
        <v/>
      </c>
      <c r="O163" s="12" t="str">
        <f>使用レシピ!P163</f>
        <v/>
      </c>
      <c r="P163" s="35" t="str">
        <f>使用レシピ!Q163</f>
        <v/>
      </c>
    </row>
    <row r="164" spans="1:16" ht="19.5" customHeight="1" x14ac:dyDescent="0.4">
      <c r="A164" s="40" t="str">
        <f>使用レシピ!C164</f>
        <v/>
      </c>
      <c r="B164" s="41" t="str">
        <f>IF($A164="","",SUMIF(テンプレート!$B:$B,製造アイテム数!$D164,テンプレート!$C:$C))</f>
        <v/>
      </c>
      <c r="C164" s="35" t="str">
        <f t="shared" si="2"/>
        <v/>
      </c>
      <c r="D164" s="2" t="str">
        <f>使用レシピ!E164</f>
        <v/>
      </c>
      <c r="E164" s="20" t="str">
        <f>使用レシピ!F164</f>
        <v/>
      </c>
      <c r="F164" s="12" t="str">
        <f>使用レシピ!G164</f>
        <v/>
      </c>
      <c r="G164" s="12" t="str">
        <f>使用レシピ!H164</f>
        <v/>
      </c>
      <c r="H164" s="12" t="str">
        <f>使用レシピ!I164</f>
        <v/>
      </c>
      <c r="I164" s="35" t="str">
        <f>使用レシピ!J164</f>
        <v/>
      </c>
      <c r="J164" s="20" t="str">
        <f>使用レシピ!K164</f>
        <v/>
      </c>
      <c r="K164" s="12" t="str">
        <f>使用レシピ!L164</f>
        <v/>
      </c>
      <c r="L164" s="12" t="str">
        <f>使用レシピ!M164</f>
        <v/>
      </c>
      <c r="M164" s="12" t="str">
        <f>使用レシピ!N164</f>
        <v/>
      </c>
      <c r="N164" s="12" t="str">
        <f>使用レシピ!O164</f>
        <v/>
      </c>
      <c r="O164" s="12" t="str">
        <f>使用レシピ!P164</f>
        <v/>
      </c>
      <c r="P164" s="35" t="str">
        <f>使用レシピ!Q164</f>
        <v/>
      </c>
    </row>
    <row r="165" spans="1:16" ht="19.5" customHeight="1" x14ac:dyDescent="0.4">
      <c r="A165" s="40" t="str">
        <f>使用レシピ!C165</f>
        <v/>
      </c>
      <c r="B165" s="41" t="str">
        <f>IF($A165="","",SUMIF(テンプレート!$B:$B,製造アイテム数!$D165,テンプレート!$C:$C))</f>
        <v/>
      </c>
      <c r="C165" s="35" t="str">
        <f t="shared" si="2"/>
        <v/>
      </c>
      <c r="D165" s="2" t="str">
        <f>使用レシピ!E165</f>
        <v/>
      </c>
      <c r="E165" s="20" t="str">
        <f>使用レシピ!F165</f>
        <v/>
      </c>
      <c r="F165" s="12" t="str">
        <f>使用レシピ!G165</f>
        <v/>
      </c>
      <c r="G165" s="12" t="str">
        <f>使用レシピ!H165</f>
        <v/>
      </c>
      <c r="H165" s="12" t="str">
        <f>使用レシピ!I165</f>
        <v/>
      </c>
      <c r="I165" s="35" t="str">
        <f>使用レシピ!J165</f>
        <v/>
      </c>
      <c r="J165" s="20" t="str">
        <f>使用レシピ!K165</f>
        <v/>
      </c>
      <c r="K165" s="12" t="str">
        <f>使用レシピ!L165</f>
        <v/>
      </c>
      <c r="L165" s="12" t="str">
        <f>使用レシピ!M165</f>
        <v/>
      </c>
      <c r="M165" s="12" t="str">
        <f>使用レシピ!N165</f>
        <v/>
      </c>
      <c r="N165" s="12" t="str">
        <f>使用レシピ!O165</f>
        <v/>
      </c>
      <c r="O165" s="12" t="str">
        <f>使用レシピ!P165</f>
        <v/>
      </c>
      <c r="P165" s="35" t="str">
        <f>使用レシピ!Q165</f>
        <v/>
      </c>
    </row>
    <row r="166" spans="1:16" ht="19.5" customHeight="1" x14ac:dyDescent="0.4">
      <c r="A166" s="40" t="str">
        <f>使用レシピ!C166</f>
        <v/>
      </c>
      <c r="B166" s="41" t="str">
        <f>IF($A166="","",SUMIF(テンプレート!$B:$B,製造アイテム数!$D166,テンプレート!$C:$C))</f>
        <v/>
      </c>
      <c r="C166" s="35" t="str">
        <f t="shared" si="2"/>
        <v/>
      </c>
      <c r="D166" s="2" t="str">
        <f>使用レシピ!E166</f>
        <v/>
      </c>
      <c r="E166" s="20" t="str">
        <f>使用レシピ!F166</f>
        <v/>
      </c>
      <c r="F166" s="12" t="str">
        <f>使用レシピ!G166</f>
        <v/>
      </c>
      <c r="G166" s="12" t="str">
        <f>使用レシピ!H166</f>
        <v/>
      </c>
      <c r="H166" s="12" t="str">
        <f>使用レシピ!I166</f>
        <v/>
      </c>
      <c r="I166" s="35" t="str">
        <f>使用レシピ!J166</f>
        <v/>
      </c>
      <c r="J166" s="20" t="str">
        <f>使用レシピ!K166</f>
        <v/>
      </c>
      <c r="K166" s="12" t="str">
        <f>使用レシピ!L166</f>
        <v/>
      </c>
      <c r="L166" s="12" t="str">
        <f>使用レシピ!M166</f>
        <v/>
      </c>
      <c r="M166" s="12" t="str">
        <f>使用レシピ!N166</f>
        <v/>
      </c>
      <c r="N166" s="12" t="str">
        <f>使用レシピ!O166</f>
        <v/>
      </c>
      <c r="O166" s="12" t="str">
        <f>使用レシピ!P166</f>
        <v/>
      </c>
      <c r="P166" s="35" t="str">
        <f>使用レシピ!Q166</f>
        <v/>
      </c>
    </row>
    <row r="167" spans="1:16" ht="19.5" customHeight="1" x14ac:dyDescent="0.4">
      <c r="A167" s="40" t="str">
        <f>使用レシピ!C167</f>
        <v/>
      </c>
      <c r="B167" s="41" t="str">
        <f>IF($A167="","",SUMIF(テンプレート!$B:$B,製造アイテム数!$D167,テンプレート!$C:$C))</f>
        <v/>
      </c>
      <c r="C167" s="35" t="str">
        <f t="shared" si="2"/>
        <v/>
      </c>
      <c r="D167" s="2" t="str">
        <f>使用レシピ!E167</f>
        <v/>
      </c>
      <c r="E167" s="20" t="str">
        <f>使用レシピ!F167</f>
        <v/>
      </c>
      <c r="F167" s="12" t="str">
        <f>使用レシピ!G167</f>
        <v/>
      </c>
      <c r="G167" s="12" t="str">
        <f>使用レシピ!H167</f>
        <v/>
      </c>
      <c r="H167" s="12" t="str">
        <f>使用レシピ!I167</f>
        <v/>
      </c>
      <c r="I167" s="35" t="str">
        <f>使用レシピ!J167</f>
        <v/>
      </c>
      <c r="J167" s="20" t="str">
        <f>使用レシピ!K167</f>
        <v/>
      </c>
      <c r="K167" s="12" t="str">
        <f>使用レシピ!L167</f>
        <v/>
      </c>
      <c r="L167" s="12" t="str">
        <f>使用レシピ!M167</f>
        <v/>
      </c>
      <c r="M167" s="12" t="str">
        <f>使用レシピ!N167</f>
        <v/>
      </c>
      <c r="N167" s="12" t="str">
        <f>使用レシピ!O167</f>
        <v/>
      </c>
      <c r="O167" s="12" t="str">
        <f>使用レシピ!P167</f>
        <v/>
      </c>
      <c r="P167" s="35" t="str">
        <f>使用レシピ!Q167</f>
        <v/>
      </c>
    </row>
    <row r="168" spans="1:16" ht="19.5" customHeight="1" x14ac:dyDescent="0.4">
      <c r="A168" s="40" t="str">
        <f>使用レシピ!C168</f>
        <v/>
      </c>
      <c r="B168" s="41" t="str">
        <f>IF($A168="","",SUMIF(テンプレート!$B:$B,製造アイテム数!$D168,テンプレート!$C:$C))</f>
        <v/>
      </c>
      <c r="C168" s="35" t="str">
        <f t="shared" si="2"/>
        <v/>
      </c>
      <c r="D168" s="2" t="str">
        <f>使用レシピ!E168</f>
        <v/>
      </c>
      <c r="E168" s="20" t="str">
        <f>使用レシピ!F168</f>
        <v/>
      </c>
      <c r="F168" s="12" t="str">
        <f>使用レシピ!G168</f>
        <v/>
      </c>
      <c r="G168" s="12" t="str">
        <f>使用レシピ!H168</f>
        <v/>
      </c>
      <c r="H168" s="12" t="str">
        <f>使用レシピ!I168</f>
        <v/>
      </c>
      <c r="I168" s="35" t="str">
        <f>使用レシピ!J168</f>
        <v/>
      </c>
      <c r="J168" s="20" t="str">
        <f>使用レシピ!K168</f>
        <v/>
      </c>
      <c r="K168" s="12" t="str">
        <f>使用レシピ!L168</f>
        <v/>
      </c>
      <c r="L168" s="12" t="str">
        <f>使用レシピ!M168</f>
        <v/>
      </c>
      <c r="M168" s="12" t="str">
        <f>使用レシピ!N168</f>
        <v/>
      </c>
      <c r="N168" s="12" t="str">
        <f>使用レシピ!O168</f>
        <v/>
      </c>
      <c r="O168" s="12" t="str">
        <f>使用レシピ!P168</f>
        <v/>
      </c>
      <c r="P168" s="35" t="str">
        <f>使用レシピ!Q168</f>
        <v/>
      </c>
    </row>
    <row r="169" spans="1:16" ht="19.5" customHeight="1" x14ac:dyDescent="0.4">
      <c r="A169" s="40" t="str">
        <f>使用レシピ!C169</f>
        <v/>
      </c>
      <c r="B169" s="41" t="str">
        <f>IF($A169="","",SUMIF(テンプレート!$B:$B,製造アイテム数!$D169,テンプレート!$C:$C))</f>
        <v/>
      </c>
      <c r="C169" s="35" t="str">
        <f t="shared" si="2"/>
        <v/>
      </c>
      <c r="D169" s="2" t="str">
        <f>使用レシピ!E169</f>
        <v/>
      </c>
      <c r="E169" s="20" t="str">
        <f>使用レシピ!F169</f>
        <v/>
      </c>
      <c r="F169" s="12" t="str">
        <f>使用レシピ!G169</f>
        <v/>
      </c>
      <c r="G169" s="12" t="str">
        <f>使用レシピ!H169</f>
        <v/>
      </c>
      <c r="H169" s="12" t="str">
        <f>使用レシピ!I169</f>
        <v/>
      </c>
      <c r="I169" s="35" t="str">
        <f>使用レシピ!J169</f>
        <v/>
      </c>
      <c r="J169" s="20" t="str">
        <f>使用レシピ!K169</f>
        <v/>
      </c>
      <c r="K169" s="12" t="str">
        <f>使用レシピ!L169</f>
        <v/>
      </c>
      <c r="L169" s="12" t="str">
        <f>使用レシピ!M169</f>
        <v/>
      </c>
      <c r="M169" s="12" t="str">
        <f>使用レシピ!N169</f>
        <v/>
      </c>
      <c r="N169" s="12" t="str">
        <f>使用レシピ!O169</f>
        <v/>
      </c>
      <c r="O169" s="12" t="str">
        <f>使用レシピ!P169</f>
        <v/>
      </c>
      <c r="P169" s="35" t="str">
        <f>使用レシピ!Q169</f>
        <v/>
      </c>
    </row>
    <row r="170" spans="1:16" ht="19.5" customHeight="1" x14ac:dyDescent="0.4">
      <c r="A170" s="40" t="str">
        <f>使用レシピ!C170</f>
        <v/>
      </c>
      <c r="B170" s="41" t="str">
        <f>IF($A170="","",SUMIF(テンプレート!$B:$B,製造アイテム数!$D170,テンプレート!$C:$C))</f>
        <v/>
      </c>
      <c r="C170" s="35" t="str">
        <f t="shared" si="2"/>
        <v/>
      </c>
      <c r="D170" s="2" t="str">
        <f>使用レシピ!E170</f>
        <v/>
      </c>
      <c r="E170" s="20" t="str">
        <f>使用レシピ!F170</f>
        <v/>
      </c>
      <c r="F170" s="12" t="str">
        <f>使用レシピ!G170</f>
        <v/>
      </c>
      <c r="G170" s="12" t="str">
        <f>使用レシピ!H170</f>
        <v/>
      </c>
      <c r="H170" s="12" t="str">
        <f>使用レシピ!I170</f>
        <v/>
      </c>
      <c r="I170" s="35" t="str">
        <f>使用レシピ!J170</f>
        <v/>
      </c>
      <c r="J170" s="20" t="str">
        <f>使用レシピ!K170</f>
        <v/>
      </c>
      <c r="K170" s="12" t="str">
        <f>使用レシピ!L170</f>
        <v/>
      </c>
      <c r="L170" s="12" t="str">
        <f>使用レシピ!M170</f>
        <v/>
      </c>
      <c r="M170" s="12" t="str">
        <f>使用レシピ!N170</f>
        <v/>
      </c>
      <c r="N170" s="12" t="str">
        <f>使用レシピ!O170</f>
        <v/>
      </c>
      <c r="O170" s="12" t="str">
        <f>使用レシピ!P170</f>
        <v/>
      </c>
      <c r="P170" s="35" t="str">
        <f>使用レシピ!Q170</f>
        <v/>
      </c>
    </row>
    <row r="171" spans="1:16" ht="19.5" customHeight="1" x14ac:dyDescent="0.4">
      <c r="A171" s="40" t="str">
        <f>使用レシピ!C171</f>
        <v/>
      </c>
      <c r="B171" s="41" t="str">
        <f>IF($A171="","",SUMIF(テンプレート!$B:$B,製造アイテム数!$D171,テンプレート!$C:$C))</f>
        <v/>
      </c>
      <c r="C171" s="35" t="str">
        <f t="shared" si="2"/>
        <v/>
      </c>
      <c r="D171" s="2" t="str">
        <f>使用レシピ!E171</f>
        <v/>
      </c>
      <c r="E171" s="20" t="str">
        <f>使用レシピ!F171</f>
        <v/>
      </c>
      <c r="F171" s="12" t="str">
        <f>使用レシピ!G171</f>
        <v/>
      </c>
      <c r="G171" s="12" t="str">
        <f>使用レシピ!H171</f>
        <v/>
      </c>
      <c r="H171" s="12" t="str">
        <f>使用レシピ!I171</f>
        <v/>
      </c>
      <c r="I171" s="35" t="str">
        <f>使用レシピ!J171</f>
        <v/>
      </c>
      <c r="J171" s="20" t="str">
        <f>使用レシピ!K171</f>
        <v/>
      </c>
      <c r="K171" s="12" t="str">
        <f>使用レシピ!L171</f>
        <v/>
      </c>
      <c r="L171" s="12" t="str">
        <f>使用レシピ!M171</f>
        <v/>
      </c>
      <c r="M171" s="12" t="str">
        <f>使用レシピ!N171</f>
        <v/>
      </c>
      <c r="N171" s="12" t="str">
        <f>使用レシピ!O171</f>
        <v/>
      </c>
      <c r="O171" s="12" t="str">
        <f>使用レシピ!P171</f>
        <v/>
      </c>
      <c r="P171" s="35" t="str">
        <f>使用レシピ!Q171</f>
        <v/>
      </c>
    </row>
    <row r="172" spans="1:16" ht="19.5" customHeight="1" x14ac:dyDescent="0.4">
      <c r="A172" s="40" t="str">
        <f>使用レシピ!C172</f>
        <v/>
      </c>
      <c r="B172" s="41" t="str">
        <f>IF($A172="","",SUMIF(テンプレート!$B:$B,製造アイテム数!$D172,テンプレート!$C:$C))</f>
        <v/>
      </c>
      <c r="C172" s="35" t="str">
        <f t="shared" si="2"/>
        <v/>
      </c>
      <c r="D172" s="2" t="str">
        <f>使用レシピ!E172</f>
        <v/>
      </c>
      <c r="E172" s="20" t="str">
        <f>使用レシピ!F172</f>
        <v/>
      </c>
      <c r="F172" s="12" t="str">
        <f>使用レシピ!G172</f>
        <v/>
      </c>
      <c r="G172" s="12" t="str">
        <f>使用レシピ!H172</f>
        <v/>
      </c>
      <c r="H172" s="12" t="str">
        <f>使用レシピ!I172</f>
        <v/>
      </c>
      <c r="I172" s="35" t="str">
        <f>使用レシピ!J172</f>
        <v/>
      </c>
      <c r="J172" s="20" t="str">
        <f>使用レシピ!K172</f>
        <v/>
      </c>
      <c r="K172" s="12" t="str">
        <f>使用レシピ!L172</f>
        <v/>
      </c>
      <c r="L172" s="12" t="str">
        <f>使用レシピ!M172</f>
        <v/>
      </c>
      <c r="M172" s="12" t="str">
        <f>使用レシピ!N172</f>
        <v/>
      </c>
      <c r="N172" s="12" t="str">
        <f>使用レシピ!O172</f>
        <v/>
      </c>
      <c r="O172" s="12" t="str">
        <f>使用レシピ!P172</f>
        <v/>
      </c>
      <c r="P172" s="35" t="str">
        <f>使用レシピ!Q172</f>
        <v/>
      </c>
    </row>
    <row r="173" spans="1:16" ht="19.5" customHeight="1" x14ac:dyDescent="0.4">
      <c r="A173" s="40" t="str">
        <f>使用レシピ!C173</f>
        <v/>
      </c>
      <c r="B173" s="41" t="str">
        <f>IF($A173="","",SUMIF(テンプレート!$B:$B,製造アイテム数!$D173,テンプレート!$C:$C))</f>
        <v/>
      </c>
      <c r="C173" s="35" t="str">
        <f t="shared" si="2"/>
        <v/>
      </c>
      <c r="D173" s="2" t="str">
        <f>使用レシピ!E173</f>
        <v/>
      </c>
      <c r="E173" s="20" t="str">
        <f>使用レシピ!F173</f>
        <v/>
      </c>
      <c r="F173" s="12" t="str">
        <f>使用レシピ!G173</f>
        <v/>
      </c>
      <c r="G173" s="12" t="str">
        <f>使用レシピ!H173</f>
        <v/>
      </c>
      <c r="H173" s="12" t="str">
        <f>使用レシピ!I173</f>
        <v/>
      </c>
      <c r="I173" s="35" t="str">
        <f>使用レシピ!J173</f>
        <v/>
      </c>
      <c r="J173" s="20" t="str">
        <f>使用レシピ!K173</f>
        <v/>
      </c>
      <c r="K173" s="12" t="str">
        <f>使用レシピ!L173</f>
        <v/>
      </c>
      <c r="L173" s="12" t="str">
        <f>使用レシピ!M173</f>
        <v/>
      </c>
      <c r="M173" s="12" t="str">
        <f>使用レシピ!N173</f>
        <v/>
      </c>
      <c r="N173" s="12" t="str">
        <f>使用レシピ!O173</f>
        <v/>
      </c>
      <c r="O173" s="12" t="str">
        <f>使用レシピ!P173</f>
        <v/>
      </c>
      <c r="P173" s="35" t="str">
        <f>使用レシピ!Q173</f>
        <v/>
      </c>
    </row>
    <row r="174" spans="1:16" ht="19.5" customHeight="1" x14ac:dyDescent="0.4">
      <c r="A174" s="40" t="str">
        <f>使用レシピ!C174</f>
        <v/>
      </c>
      <c r="B174" s="41" t="str">
        <f>IF($A174="","",SUMIF(テンプレート!$B:$B,製造アイテム数!$D174,テンプレート!$C:$C))</f>
        <v/>
      </c>
      <c r="C174" s="35" t="str">
        <f t="shared" si="2"/>
        <v/>
      </c>
      <c r="D174" s="2" t="str">
        <f>使用レシピ!E174</f>
        <v/>
      </c>
      <c r="E174" s="20" t="str">
        <f>使用レシピ!F174</f>
        <v/>
      </c>
      <c r="F174" s="12" t="str">
        <f>使用レシピ!G174</f>
        <v/>
      </c>
      <c r="G174" s="12" t="str">
        <f>使用レシピ!H174</f>
        <v/>
      </c>
      <c r="H174" s="12" t="str">
        <f>使用レシピ!I174</f>
        <v/>
      </c>
      <c r="I174" s="35" t="str">
        <f>使用レシピ!J174</f>
        <v/>
      </c>
      <c r="J174" s="20" t="str">
        <f>使用レシピ!K174</f>
        <v/>
      </c>
      <c r="K174" s="12" t="str">
        <f>使用レシピ!L174</f>
        <v/>
      </c>
      <c r="L174" s="12" t="str">
        <f>使用レシピ!M174</f>
        <v/>
      </c>
      <c r="M174" s="12" t="str">
        <f>使用レシピ!N174</f>
        <v/>
      </c>
      <c r="N174" s="12" t="str">
        <f>使用レシピ!O174</f>
        <v/>
      </c>
      <c r="O174" s="12" t="str">
        <f>使用レシピ!P174</f>
        <v/>
      </c>
      <c r="P174" s="35" t="str">
        <f>使用レシピ!Q174</f>
        <v/>
      </c>
    </row>
    <row r="175" spans="1:16" ht="19.5" customHeight="1" x14ac:dyDescent="0.4">
      <c r="A175" s="40" t="str">
        <f>使用レシピ!C175</f>
        <v/>
      </c>
      <c r="B175" s="41" t="str">
        <f>IF($A175="","",SUMIF(テンプレート!$B:$B,製造アイテム数!$D175,テンプレート!$C:$C))</f>
        <v/>
      </c>
      <c r="C175" s="35" t="str">
        <f t="shared" si="2"/>
        <v/>
      </c>
      <c r="D175" s="2" t="str">
        <f>使用レシピ!E175</f>
        <v/>
      </c>
      <c r="E175" s="20" t="str">
        <f>使用レシピ!F175</f>
        <v/>
      </c>
      <c r="F175" s="12" t="str">
        <f>使用レシピ!G175</f>
        <v/>
      </c>
      <c r="G175" s="12" t="str">
        <f>使用レシピ!H175</f>
        <v/>
      </c>
      <c r="H175" s="12" t="str">
        <f>使用レシピ!I175</f>
        <v/>
      </c>
      <c r="I175" s="35" t="str">
        <f>使用レシピ!J175</f>
        <v/>
      </c>
      <c r="J175" s="20" t="str">
        <f>使用レシピ!K175</f>
        <v/>
      </c>
      <c r="K175" s="12" t="str">
        <f>使用レシピ!L175</f>
        <v/>
      </c>
      <c r="L175" s="12" t="str">
        <f>使用レシピ!M175</f>
        <v/>
      </c>
      <c r="M175" s="12" t="str">
        <f>使用レシピ!N175</f>
        <v/>
      </c>
      <c r="N175" s="12" t="str">
        <f>使用レシピ!O175</f>
        <v/>
      </c>
      <c r="O175" s="12" t="str">
        <f>使用レシピ!P175</f>
        <v/>
      </c>
      <c r="P175" s="35" t="str">
        <f>使用レシピ!Q175</f>
        <v/>
      </c>
    </row>
    <row r="176" spans="1:16" ht="19.5" customHeight="1" x14ac:dyDescent="0.4">
      <c r="A176" s="40" t="str">
        <f>使用レシピ!C176</f>
        <v/>
      </c>
      <c r="B176" s="41" t="str">
        <f>IF($A176="","",SUMIF(テンプレート!$B:$B,製造アイテム数!$D176,テンプレート!$C:$C))</f>
        <v/>
      </c>
      <c r="C176" s="35" t="str">
        <f t="shared" si="2"/>
        <v/>
      </c>
      <c r="D176" s="2" t="str">
        <f>使用レシピ!E176</f>
        <v/>
      </c>
      <c r="E176" s="20" t="str">
        <f>使用レシピ!F176</f>
        <v/>
      </c>
      <c r="F176" s="12" t="str">
        <f>使用レシピ!G176</f>
        <v/>
      </c>
      <c r="G176" s="12" t="str">
        <f>使用レシピ!H176</f>
        <v/>
      </c>
      <c r="H176" s="12" t="str">
        <f>使用レシピ!I176</f>
        <v/>
      </c>
      <c r="I176" s="35" t="str">
        <f>使用レシピ!J176</f>
        <v/>
      </c>
      <c r="J176" s="20" t="str">
        <f>使用レシピ!K176</f>
        <v/>
      </c>
      <c r="K176" s="12" t="str">
        <f>使用レシピ!L176</f>
        <v/>
      </c>
      <c r="L176" s="12" t="str">
        <f>使用レシピ!M176</f>
        <v/>
      </c>
      <c r="M176" s="12" t="str">
        <f>使用レシピ!N176</f>
        <v/>
      </c>
      <c r="N176" s="12" t="str">
        <f>使用レシピ!O176</f>
        <v/>
      </c>
      <c r="O176" s="12" t="str">
        <f>使用レシピ!P176</f>
        <v/>
      </c>
      <c r="P176" s="35" t="str">
        <f>使用レシピ!Q176</f>
        <v/>
      </c>
    </row>
    <row r="177" spans="1:16" ht="19.5" customHeight="1" x14ac:dyDescent="0.4">
      <c r="A177" s="40" t="str">
        <f>使用レシピ!C177</f>
        <v/>
      </c>
      <c r="B177" s="41" t="str">
        <f>IF($A177="","",SUMIF(テンプレート!$B:$B,製造アイテム数!$D177,テンプレート!$C:$C))</f>
        <v/>
      </c>
      <c r="C177" s="35" t="str">
        <f t="shared" si="2"/>
        <v/>
      </c>
      <c r="D177" s="2" t="str">
        <f>使用レシピ!E177</f>
        <v/>
      </c>
      <c r="E177" s="20" t="str">
        <f>使用レシピ!F177</f>
        <v/>
      </c>
      <c r="F177" s="12" t="str">
        <f>使用レシピ!G177</f>
        <v/>
      </c>
      <c r="G177" s="12" t="str">
        <f>使用レシピ!H177</f>
        <v/>
      </c>
      <c r="H177" s="12" t="str">
        <f>使用レシピ!I177</f>
        <v/>
      </c>
      <c r="I177" s="35" t="str">
        <f>使用レシピ!J177</f>
        <v/>
      </c>
      <c r="J177" s="20" t="str">
        <f>使用レシピ!K177</f>
        <v/>
      </c>
      <c r="K177" s="12" t="str">
        <f>使用レシピ!L177</f>
        <v/>
      </c>
      <c r="L177" s="12" t="str">
        <f>使用レシピ!M177</f>
        <v/>
      </c>
      <c r="M177" s="12" t="str">
        <f>使用レシピ!N177</f>
        <v/>
      </c>
      <c r="N177" s="12" t="str">
        <f>使用レシピ!O177</f>
        <v/>
      </c>
      <c r="O177" s="12" t="str">
        <f>使用レシピ!P177</f>
        <v/>
      </c>
      <c r="P177" s="35" t="str">
        <f>使用レシピ!Q177</f>
        <v/>
      </c>
    </row>
    <row r="178" spans="1:16" ht="19.5" customHeight="1" x14ac:dyDescent="0.4">
      <c r="A178" s="40" t="str">
        <f>使用レシピ!C178</f>
        <v/>
      </c>
      <c r="B178" s="41" t="str">
        <f>IF($A178="","",SUMIF(テンプレート!$B:$B,製造アイテム数!$D178,テンプレート!$C:$C))</f>
        <v/>
      </c>
      <c r="C178" s="35" t="str">
        <f t="shared" si="2"/>
        <v/>
      </c>
      <c r="D178" s="2" t="str">
        <f>使用レシピ!E178</f>
        <v/>
      </c>
      <c r="E178" s="20" t="str">
        <f>使用レシピ!F178</f>
        <v/>
      </c>
      <c r="F178" s="12" t="str">
        <f>使用レシピ!G178</f>
        <v/>
      </c>
      <c r="G178" s="12" t="str">
        <f>使用レシピ!H178</f>
        <v/>
      </c>
      <c r="H178" s="12" t="str">
        <f>使用レシピ!I178</f>
        <v/>
      </c>
      <c r="I178" s="35" t="str">
        <f>使用レシピ!J178</f>
        <v/>
      </c>
      <c r="J178" s="20" t="str">
        <f>使用レシピ!K178</f>
        <v/>
      </c>
      <c r="K178" s="12" t="str">
        <f>使用レシピ!L178</f>
        <v/>
      </c>
      <c r="L178" s="12" t="str">
        <f>使用レシピ!M178</f>
        <v/>
      </c>
      <c r="M178" s="12" t="str">
        <f>使用レシピ!N178</f>
        <v/>
      </c>
      <c r="N178" s="12" t="str">
        <f>使用レシピ!O178</f>
        <v/>
      </c>
      <c r="O178" s="12" t="str">
        <f>使用レシピ!P178</f>
        <v/>
      </c>
      <c r="P178" s="35" t="str">
        <f>使用レシピ!Q178</f>
        <v/>
      </c>
    </row>
    <row r="179" spans="1:16" ht="19.5" customHeight="1" x14ac:dyDescent="0.4">
      <c r="A179" s="40" t="str">
        <f>使用レシピ!C179</f>
        <v/>
      </c>
      <c r="B179" s="41" t="str">
        <f>IF($A179="","",SUMIF(テンプレート!$B:$B,製造アイテム数!$D179,テンプレート!$C:$C))</f>
        <v/>
      </c>
      <c r="C179" s="35" t="str">
        <f t="shared" si="2"/>
        <v/>
      </c>
      <c r="D179" s="2" t="str">
        <f>使用レシピ!E179</f>
        <v/>
      </c>
      <c r="E179" s="20" t="str">
        <f>使用レシピ!F179</f>
        <v/>
      </c>
      <c r="F179" s="12" t="str">
        <f>使用レシピ!G179</f>
        <v/>
      </c>
      <c r="G179" s="12" t="str">
        <f>使用レシピ!H179</f>
        <v/>
      </c>
      <c r="H179" s="12" t="str">
        <f>使用レシピ!I179</f>
        <v/>
      </c>
      <c r="I179" s="35" t="str">
        <f>使用レシピ!J179</f>
        <v/>
      </c>
      <c r="J179" s="20" t="str">
        <f>使用レシピ!K179</f>
        <v/>
      </c>
      <c r="K179" s="12" t="str">
        <f>使用レシピ!L179</f>
        <v/>
      </c>
      <c r="L179" s="12" t="str">
        <f>使用レシピ!M179</f>
        <v/>
      </c>
      <c r="M179" s="12" t="str">
        <f>使用レシピ!N179</f>
        <v/>
      </c>
      <c r="N179" s="12" t="str">
        <f>使用レシピ!O179</f>
        <v/>
      </c>
      <c r="O179" s="12" t="str">
        <f>使用レシピ!P179</f>
        <v/>
      </c>
      <c r="P179" s="35" t="str">
        <f>使用レシピ!Q179</f>
        <v/>
      </c>
    </row>
    <row r="180" spans="1:16" ht="19.5" customHeight="1" x14ac:dyDescent="0.4">
      <c r="A180" s="40" t="str">
        <f>使用レシピ!C180</f>
        <v/>
      </c>
      <c r="B180" s="41" t="str">
        <f>IF($A180="","",SUMIF(テンプレート!$B:$B,製造アイテム数!$D180,テンプレート!$C:$C))</f>
        <v/>
      </c>
      <c r="C180" s="35" t="str">
        <f t="shared" si="2"/>
        <v/>
      </c>
      <c r="D180" s="2" t="str">
        <f>使用レシピ!E180</f>
        <v/>
      </c>
      <c r="E180" s="20" t="str">
        <f>使用レシピ!F180</f>
        <v/>
      </c>
      <c r="F180" s="12" t="str">
        <f>使用レシピ!G180</f>
        <v/>
      </c>
      <c r="G180" s="12" t="str">
        <f>使用レシピ!H180</f>
        <v/>
      </c>
      <c r="H180" s="12" t="str">
        <f>使用レシピ!I180</f>
        <v/>
      </c>
      <c r="I180" s="35" t="str">
        <f>使用レシピ!J180</f>
        <v/>
      </c>
      <c r="J180" s="20" t="str">
        <f>使用レシピ!K180</f>
        <v/>
      </c>
      <c r="K180" s="12" t="str">
        <f>使用レシピ!L180</f>
        <v/>
      </c>
      <c r="L180" s="12" t="str">
        <f>使用レシピ!M180</f>
        <v/>
      </c>
      <c r="M180" s="12" t="str">
        <f>使用レシピ!N180</f>
        <v/>
      </c>
      <c r="N180" s="12" t="str">
        <f>使用レシピ!O180</f>
        <v/>
      </c>
      <c r="O180" s="12" t="str">
        <f>使用レシピ!P180</f>
        <v/>
      </c>
      <c r="P180" s="35" t="str">
        <f>使用レシピ!Q180</f>
        <v/>
      </c>
    </row>
    <row r="181" spans="1:16" ht="19.5" customHeight="1" x14ac:dyDescent="0.4">
      <c r="A181" s="40" t="str">
        <f>使用レシピ!C181</f>
        <v/>
      </c>
      <c r="B181" s="41" t="str">
        <f>IF($A181="","",SUMIF(テンプレート!$B:$B,製造アイテム数!$D181,テンプレート!$C:$C))</f>
        <v/>
      </c>
      <c r="C181" s="35" t="str">
        <f t="shared" si="2"/>
        <v/>
      </c>
      <c r="D181" s="2" t="str">
        <f>使用レシピ!E181</f>
        <v/>
      </c>
      <c r="E181" s="20" t="str">
        <f>使用レシピ!F181</f>
        <v/>
      </c>
      <c r="F181" s="12" t="str">
        <f>使用レシピ!G181</f>
        <v/>
      </c>
      <c r="G181" s="12" t="str">
        <f>使用レシピ!H181</f>
        <v/>
      </c>
      <c r="H181" s="12" t="str">
        <f>使用レシピ!I181</f>
        <v/>
      </c>
      <c r="I181" s="35" t="str">
        <f>使用レシピ!J181</f>
        <v/>
      </c>
      <c r="J181" s="20" t="str">
        <f>使用レシピ!K181</f>
        <v/>
      </c>
      <c r="K181" s="12" t="str">
        <f>使用レシピ!L181</f>
        <v/>
      </c>
      <c r="L181" s="12" t="str">
        <f>使用レシピ!M181</f>
        <v/>
      </c>
      <c r="M181" s="12" t="str">
        <f>使用レシピ!N181</f>
        <v/>
      </c>
      <c r="N181" s="12" t="str">
        <f>使用レシピ!O181</f>
        <v/>
      </c>
      <c r="O181" s="12" t="str">
        <f>使用レシピ!P181</f>
        <v/>
      </c>
      <c r="P181" s="35" t="str">
        <f>使用レシピ!Q181</f>
        <v/>
      </c>
    </row>
    <row r="182" spans="1:16" ht="19.5" customHeight="1" x14ac:dyDescent="0.4">
      <c r="A182" s="40" t="str">
        <f>使用レシピ!C182</f>
        <v/>
      </c>
      <c r="B182" s="41" t="str">
        <f>IF($A182="","",SUMIF(テンプレート!$B:$B,製造アイテム数!$D182,テンプレート!$C:$C))</f>
        <v/>
      </c>
      <c r="C182" s="35" t="str">
        <f t="shared" si="2"/>
        <v/>
      </c>
      <c r="D182" s="2" t="str">
        <f>使用レシピ!E182</f>
        <v/>
      </c>
      <c r="E182" s="20" t="str">
        <f>使用レシピ!F182</f>
        <v/>
      </c>
      <c r="F182" s="12" t="str">
        <f>使用レシピ!G182</f>
        <v/>
      </c>
      <c r="G182" s="12" t="str">
        <f>使用レシピ!H182</f>
        <v/>
      </c>
      <c r="H182" s="12" t="str">
        <f>使用レシピ!I182</f>
        <v/>
      </c>
      <c r="I182" s="35" t="str">
        <f>使用レシピ!J182</f>
        <v/>
      </c>
      <c r="J182" s="20" t="str">
        <f>使用レシピ!K182</f>
        <v/>
      </c>
      <c r="K182" s="12" t="str">
        <f>使用レシピ!L182</f>
        <v/>
      </c>
      <c r="L182" s="12" t="str">
        <f>使用レシピ!M182</f>
        <v/>
      </c>
      <c r="M182" s="12" t="str">
        <f>使用レシピ!N182</f>
        <v/>
      </c>
      <c r="N182" s="12" t="str">
        <f>使用レシピ!O182</f>
        <v/>
      </c>
      <c r="O182" s="12" t="str">
        <f>使用レシピ!P182</f>
        <v/>
      </c>
      <c r="P182" s="35" t="str">
        <f>使用レシピ!Q182</f>
        <v/>
      </c>
    </row>
    <row r="183" spans="1:16" ht="19.5" customHeight="1" x14ac:dyDescent="0.4">
      <c r="A183" s="40" t="str">
        <f>使用レシピ!C183</f>
        <v/>
      </c>
      <c r="B183" s="41" t="str">
        <f>IF($A183="","",SUMIF(テンプレート!$B:$B,製造アイテム数!$D183,テンプレート!$C:$C))</f>
        <v/>
      </c>
      <c r="C183" s="35" t="str">
        <f t="shared" si="2"/>
        <v/>
      </c>
      <c r="D183" s="2" t="str">
        <f>使用レシピ!E183</f>
        <v/>
      </c>
      <c r="E183" s="20" t="str">
        <f>使用レシピ!F183</f>
        <v/>
      </c>
      <c r="F183" s="12" t="str">
        <f>使用レシピ!G183</f>
        <v/>
      </c>
      <c r="G183" s="12" t="str">
        <f>使用レシピ!H183</f>
        <v/>
      </c>
      <c r="H183" s="12" t="str">
        <f>使用レシピ!I183</f>
        <v/>
      </c>
      <c r="I183" s="35" t="str">
        <f>使用レシピ!J183</f>
        <v/>
      </c>
      <c r="J183" s="20" t="str">
        <f>使用レシピ!K183</f>
        <v/>
      </c>
      <c r="K183" s="12" t="str">
        <f>使用レシピ!L183</f>
        <v/>
      </c>
      <c r="L183" s="12" t="str">
        <f>使用レシピ!M183</f>
        <v/>
      </c>
      <c r="M183" s="12" t="str">
        <f>使用レシピ!N183</f>
        <v/>
      </c>
      <c r="N183" s="12" t="str">
        <f>使用レシピ!O183</f>
        <v/>
      </c>
      <c r="O183" s="12" t="str">
        <f>使用レシピ!P183</f>
        <v/>
      </c>
      <c r="P183" s="35" t="str">
        <f>使用レシピ!Q183</f>
        <v/>
      </c>
    </row>
    <row r="184" spans="1:16" ht="19.5" customHeight="1" x14ac:dyDescent="0.4">
      <c r="A184" s="40" t="str">
        <f>使用レシピ!C184</f>
        <v/>
      </c>
      <c r="B184" s="41" t="str">
        <f>IF($A184="","",SUMIF(テンプレート!$B:$B,製造アイテム数!$D184,テンプレート!$C:$C))</f>
        <v/>
      </c>
      <c r="C184" s="35" t="str">
        <f t="shared" si="2"/>
        <v/>
      </c>
      <c r="D184" s="2" t="str">
        <f>使用レシピ!E184</f>
        <v/>
      </c>
      <c r="E184" s="20" t="str">
        <f>使用レシピ!F184</f>
        <v/>
      </c>
      <c r="F184" s="12" t="str">
        <f>使用レシピ!G184</f>
        <v/>
      </c>
      <c r="G184" s="12" t="str">
        <f>使用レシピ!H184</f>
        <v/>
      </c>
      <c r="H184" s="12" t="str">
        <f>使用レシピ!I184</f>
        <v/>
      </c>
      <c r="I184" s="35" t="str">
        <f>使用レシピ!J184</f>
        <v/>
      </c>
      <c r="J184" s="20" t="str">
        <f>使用レシピ!K184</f>
        <v/>
      </c>
      <c r="K184" s="12" t="str">
        <f>使用レシピ!L184</f>
        <v/>
      </c>
      <c r="L184" s="12" t="str">
        <f>使用レシピ!M184</f>
        <v/>
      </c>
      <c r="M184" s="12" t="str">
        <f>使用レシピ!N184</f>
        <v/>
      </c>
      <c r="N184" s="12" t="str">
        <f>使用レシピ!O184</f>
        <v/>
      </c>
      <c r="O184" s="12" t="str">
        <f>使用レシピ!P184</f>
        <v/>
      </c>
      <c r="P184" s="35" t="str">
        <f>使用レシピ!Q184</f>
        <v/>
      </c>
    </row>
    <row r="185" spans="1:16" ht="19.5" customHeight="1" x14ac:dyDescent="0.4">
      <c r="A185" s="40" t="str">
        <f>使用レシピ!C185</f>
        <v/>
      </c>
      <c r="B185" s="41" t="str">
        <f>IF($A185="","",SUMIF(テンプレート!$B:$B,製造アイテム数!$D185,テンプレート!$C:$C))</f>
        <v/>
      </c>
      <c r="C185" s="35" t="str">
        <f t="shared" si="2"/>
        <v/>
      </c>
      <c r="D185" s="2" t="str">
        <f>使用レシピ!E185</f>
        <v/>
      </c>
      <c r="E185" s="20" t="str">
        <f>使用レシピ!F185</f>
        <v/>
      </c>
      <c r="F185" s="12" t="str">
        <f>使用レシピ!G185</f>
        <v/>
      </c>
      <c r="G185" s="12" t="str">
        <f>使用レシピ!H185</f>
        <v/>
      </c>
      <c r="H185" s="12" t="str">
        <f>使用レシピ!I185</f>
        <v/>
      </c>
      <c r="I185" s="35" t="str">
        <f>使用レシピ!J185</f>
        <v/>
      </c>
      <c r="J185" s="20" t="str">
        <f>使用レシピ!K185</f>
        <v/>
      </c>
      <c r="K185" s="12" t="str">
        <f>使用レシピ!L185</f>
        <v/>
      </c>
      <c r="L185" s="12" t="str">
        <f>使用レシピ!M185</f>
        <v/>
      </c>
      <c r="M185" s="12" t="str">
        <f>使用レシピ!N185</f>
        <v/>
      </c>
      <c r="N185" s="12" t="str">
        <f>使用レシピ!O185</f>
        <v/>
      </c>
      <c r="O185" s="12" t="str">
        <f>使用レシピ!P185</f>
        <v/>
      </c>
      <c r="P185" s="35" t="str">
        <f>使用レシピ!Q185</f>
        <v/>
      </c>
    </row>
    <row r="186" spans="1:16" ht="19.5" customHeight="1" x14ac:dyDescent="0.4">
      <c r="A186" s="40" t="str">
        <f>使用レシピ!C186</f>
        <v/>
      </c>
      <c r="B186" s="41" t="str">
        <f>IF($A186="","",SUMIF(テンプレート!$B:$B,製造アイテム数!$D186,テンプレート!$C:$C))</f>
        <v/>
      </c>
      <c r="C186" s="35" t="str">
        <f t="shared" si="2"/>
        <v/>
      </c>
      <c r="D186" s="2" t="str">
        <f>使用レシピ!E186</f>
        <v/>
      </c>
      <c r="E186" s="20" t="str">
        <f>使用レシピ!F186</f>
        <v/>
      </c>
      <c r="F186" s="12" t="str">
        <f>使用レシピ!G186</f>
        <v/>
      </c>
      <c r="G186" s="12" t="str">
        <f>使用レシピ!H186</f>
        <v/>
      </c>
      <c r="H186" s="12" t="str">
        <f>使用レシピ!I186</f>
        <v/>
      </c>
      <c r="I186" s="35" t="str">
        <f>使用レシピ!J186</f>
        <v/>
      </c>
      <c r="J186" s="20" t="str">
        <f>使用レシピ!K186</f>
        <v/>
      </c>
      <c r="K186" s="12" t="str">
        <f>使用レシピ!L186</f>
        <v/>
      </c>
      <c r="L186" s="12" t="str">
        <f>使用レシピ!M186</f>
        <v/>
      </c>
      <c r="M186" s="12" t="str">
        <f>使用レシピ!N186</f>
        <v/>
      </c>
      <c r="N186" s="12" t="str">
        <f>使用レシピ!O186</f>
        <v/>
      </c>
      <c r="O186" s="12" t="str">
        <f>使用レシピ!P186</f>
        <v/>
      </c>
      <c r="P186" s="35" t="str">
        <f>使用レシピ!Q186</f>
        <v/>
      </c>
    </row>
    <row r="187" spans="1:16" ht="19.5" customHeight="1" x14ac:dyDescent="0.4">
      <c r="A187" s="40" t="str">
        <f>使用レシピ!C187</f>
        <v/>
      </c>
      <c r="B187" s="41" t="str">
        <f>IF($A187="","",SUMIF(テンプレート!$B:$B,製造アイテム数!$D187,テンプレート!$C:$C))</f>
        <v/>
      </c>
      <c r="C187" s="35" t="str">
        <f t="shared" si="2"/>
        <v/>
      </c>
      <c r="D187" s="2" t="str">
        <f>使用レシピ!E187</f>
        <v/>
      </c>
      <c r="E187" s="20" t="str">
        <f>使用レシピ!F187</f>
        <v/>
      </c>
      <c r="F187" s="12" t="str">
        <f>使用レシピ!G187</f>
        <v/>
      </c>
      <c r="G187" s="12" t="str">
        <f>使用レシピ!H187</f>
        <v/>
      </c>
      <c r="H187" s="12" t="str">
        <f>使用レシピ!I187</f>
        <v/>
      </c>
      <c r="I187" s="35" t="str">
        <f>使用レシピ!J187</f>
        <v/>
      </c>
      <c r="J187" s="20" t="str">
        <f>使用レシピ!K187</f>
        <v/>
      </c>
      <c r="K187" s="12" t="str">
        <f>使用レシピ!L187</f>
        <v/>
      </c>
      <c r="L187" s="12" t="str">
        <f>使用レシピ!M187</f>
        <v/>
      </c>
      <c r="M187" s="12" t="str">
        <f>使用レシピ!N187</f>
        <v/>
      </c>
      <c r="N187" s="12" t="str">
        <f>使用レシピ!O187</f>
        <v/>
      </c>
      <c r="O187" s="12" t="str">
        <f>使用レシピ!P187</f>
        <v/>
      </c>
      <c r="P187" s="35" t="str">
        <f>使用レシピ!Q187</f>
        <v/>
      </c>
    </row>
    <row r="188" spans="1:16" ht="19.5" customHeight="1" x14ac:dyDescent="0.4">
      <c r="A188" s="40" t="str">
        <f>使用レシピ!C188</f>
        <v/>
      </c>
      <c r="B188" s="41" t="str">
        <f>IF($A188="","",SUMIF(テンプレート!$B:$B,製造アイテム数!$D188,テンプレート!$C:$C))</f>
        <v/>
      </c>
      <c r="C188" s="35" t="str">
        <f t="shared" si="2"/>
        <v/>
      </c>
      <c r="D188" s="2" t="str">
        <f>使用レシピ!E188</f>
        <v/>
      </c>
      <c r="E188" s="20" t="str">
        <f>使用レシピ!F188</f>
        <v/>
      </c>
      <c r="F188" s="12" t="str">
        <f>使用レシピ!G188</f>
        <v/>
      </c>
      <c r="G188" s="12" t="str">
        <f>使用レシピ!H188</f>
        <v/>
      </c>
      <c r="H188" s="12" t="str">
        <f>使用レシピ!I188</f>
        <v/>
      </c>
      <c r="I188" s="35" t="str">
        <f>使用レシピ!J188</f>
        <v/>
      </c>
      <c r="J188" s="20" t="str">
        <f>使用レシピ!K188</f>
        <v/>
      </c>
      <c r="K188" s="12" t="str">
        <f>使用レシピ!L188</f>
        <v/>
      </c>
      <c r="L188" s="12" t="str">
        <f>使用レシピ!M188</f>
        <v/>
      </c>
      <c r="M188" s="12" t="str">
        <f>使用レシピ!N188</f>
        <v/>
      </c>
      <c r="N188" s="12" t="str">
        <f>使用レシピ!O188</f>
        <v/>
      </c>
      <c r="O188" s="12" t="str">
        <f>使用レシピ!P188</f>
        <v/>
      </c>
      <c r="P188" s="35" t="str">
        <f>使用レシピ!Q188</f>
        <v/>
      </c>
    </row>
    <row r="189" spans="1:16" ht="19.5" customHeight="1" x14ac:dyDescent="0.4">
      <c r="A189" s="40" t="str">
        <f>使用レシピ!C189</f>
        <v/>
      </c>
      <c r="B189" s="41" t="str">
        <f>IF($A189="","",SUMIF(テンプレート!$B:$B,製造アイテム数!$D189,テンプレート!$C:$C))</f>
        <v/>
      </c>
      <c r="C189" s="35" t="str">
        <f t="shared" si="2"/>
        <v/>
      </c>
      <c r="D189" s="2" t="str">
        <f>使用レシピ!E189</f>
        <v/>
      </c>
      <c r="E189" s="20" t="str">
        <f>使用レシピ!F189</f>
        <v/>
      </c>
      <c r="F189" s="12" t="str">
        <f>使用レシピ!G189</f>
        <v/>
      </c>
      <c r="G189" s="12" t="str">
        <f>使用レシピ!H189</f>
        <v/>
      </c>
      <c r="H189" s="12" t="str">
        <f>使用レシピ!I189</f>
        <v/>
      </c>
      <c r="I189" s="35" t="str">
        <f>使用レシピ!J189</f>
        <v/>
      </c>
      <c r="J189" s="20" t="str">
        <f>使用レシピ!K189</f>
        <v/>
      </c>
      <c r="K189" s="12" t="str">
        <f>使用レシピ!L189</f>
        <v/>
      </c>
      <c r="L189" s="12" t="str">
        <f>使用レシピ!M189</f>
        <v/>
      </c>
      <c r="M189" s="12" t="str">
        <f>使用レシピ!N189</f>
        <v/>
      </c>
      <c r="N189" s="12" t="str">
        <f>使用レシピ!O189</f>
        <v/>
      </c>
      <c r="O189" s="12" t="str">
        <f>使用レシピ!P189</f>
        <v/>
      </c>
      <c r="P189" s="35" t="str">
        <f>使用レシピ!Q189</f>
        <v/>
      </c>
    </row>
    <row r="190" spans="1:16" ht="19.5" customHeight="1" x14ac:dyDescent="0.4">
      <c r="A190" s="40" t="str">
        <f>使用レシピ!C190</f>
        <v/>
      </c>
      <c r="B190" s="41" t="str">
        <f>IF($A190="","",SUMIF(テンプレート!$B:$B,製造アイテム数!$D190,テンプレート!$C:$C))</f>
        <v/>
      </c>
      <c r="C190" s="35" t="str">
        <f t="shared" si="2"/>
        <v/>
      </c>
      <c r="D190" s="2" t="str">
        <f>使用レシピ!E190</f>
        <v/>
      </c>
      <c r="E190" s="20" t="str">
        <f>使用レシピ!F190</f>
        <v/>
      </c>
      <c r="F190" s="12" t="str">
        <f>使用レシピ!G190</f>
        <v/>
      </c>
      <c r="G190" s="12" t="str">
        <f>使用レシピ!H190</f>
        <v/>
      </c>
      <c r="H190" s="12" t="str">
        <f>使用レシピ!I190</f>
        <v/>
      </c>
      <c r="I190" s="35" t="str">
        <f>使用レシピ!J190</f>
        <v/>
      </c>
      <c r="J190" s="20" t="str">
        <f>使用レシピ!K190</f>
        <v/>
      </c>
      <c r="K190" s="12" t="str">
        <f>使用レシピ!L190</f>
        <v/>
      </c>
      <c r="L190" s="12" t="str">
        <f>使用レシピ!M190</f>
        <v/>
      </c>
      <c r="M190" s="12" t="str">
        <f>使用レシピ!N190</f>
        <v/>
      </c>
      <c r="N190" s="12" t="str">
        <f>使用レシピ!O190</f>
        <v/>
      </c>
      <c r="O190" s="12" t="str">
        <f>使用レシピ!P190</f>
        <v/>
      </c>
      <c r="P190" s="35" t="str">
        <f>使用レシピ!Q190</f>
        <v/>
      </c>
    </row>
    <row r="191" spans="1:16" ht="19.5" customHeight="1" x14ac:dyDescent="0.4">
      <c r="A191" s="40" t="str">
        <f>使用レシピ!C191</f>
        <v/>
      </c>
      <c r="B191" s="41" t="str">
        <f>IF($A191="","",SUMIF(テンプレート!$B:$B,製造アイテム数!$D191,テンプレート!$C:$C))</f>
        <v/>
      </c>
      <c r="C191" s="35" t="str">
        <f t="shared" si="2"/>
        <v/>
      </c>
      <c r="D191" s="2" t="str">
        <f>使用レシピ!E191</f>
        <v/>
      </c>
      <c r="E191" s="20" t="str">
        <f>使用レシピ!F191</f>
        <v/>
      </c>
      <c r="F191" s="12" t="str">
        <f>使用レシピ!G191</f>
        <v/>
      </c>
      <c r="G191" s="12" t="str">
        <f>使用レシピ!H191</f>
        <v/>
      </c>
      <c r="H191" s="12" t="str">
        <f>使用レシピ!I191</f>
        <v/>
      </c>
      <c r="I191" s="35" t="str">
        <f>使用レシピ!J191</f>
        <v/>
      </c>
      <c r="J191" s="20" t="str">
        <f>使用レシピ!K191</f>
        <v/>
      </c>
      <c r="K191" s="12" t="str">
        <f>使用レシピ!L191</f>
        <v/>
      </c>
      <c r="L191" s="12" t="str">
        <f>使用レシピ!M191</f>
        <v/>
      </c>
      <c r="M191" s="12" t="str">
        <f>使用レシピ!N191</f>
        <v/>
      </c>
      <c r="N191" s="12" t="str">
        <f>使用レシピ!O191</f>
        <v/>
      </c>
      <c r="O191" s="12" t="str">
        <f>使用レシピ!P191</f>
        <v/>
      </c>
      <c r="P191" s="35" t="str">
        <f>使用レシピ!Q191</f>
        <v/>
      </c>
    </row>
    <row r="192" spans="1:16" ht="19.5" customHeight="1" x14ac:dyDescent="0.4">
      <c r="A192" s="40" t="str">
        <f>使用レシピ!C192</f>
        <v/>
      </c>
      <c r="B192" s="41" t="str">
        <f>IF($A192="","",SUMIF(テンプレート!$B:$B,製造アイテム数!$D192,テンプレート!$C:$C))</f>
        <v/>
      </c>
      <c r="C192" s="35" t="str">
        <f t="shared" si="2"/>
        <v/>
      </c>
      <c r="D192" s="2" t="str">
        <f>使用レシピ!E192</f>
        <v/>
      </c>
      <c r="E192" s="20" t="str">
        <f>使用レシピ!F192</f>
        <v/>
      </c>
      <c r="F192" s="12" t="str">
        <f>使用レシピ!G192</f>
        <v/>
      </c>
      <c r="G192" s="12" t="str">
        <f>使用レシピ!H192</f>
        <v/>
      </c>
      <c r="H192" s="12" t="str">
        <f>使用レシピ!I192</f>
        <v/>
      </c>
      <c r="I192" s="35" t="str">
        <f>使用レシピ!J192</f>
        <v/>
      </c>
      <c r="J192" s="20" t="str">
        <f>使用レシピ!K192</f>
        <v/>
      </c>
      <c r="K192" s="12" t="str">
        <f>使用レシピ!L192</f>
        <v/>
      </c>
      <c r="L192" s="12" t="str">
        <f>使用レシピ!M192</f>
        <v/>
      </c>
      <c r="M192" s="12" t="str">
        <f>使用レシピ!N192</f>
        <v/>
      </c>
      <c r="N192" s="12" t="str">
        <f>使用レシピ!O192</f>
        <v/>
      </c>
      <c r="O192" s="12" t="str">
        <f>使用レシピ!P192</f>
        <v/>
      </c>
      <c r="P192" s="35" t="str">
        <f>使用レシピ!Q192</f>
        <v/>
      </c>
    </row>
    <row r="193" spans="1:16" ht="19.5" customHeight="1" x14ac:dyDescent="0.4">
      <c r="A193" s="40" t="str">
        <f>使用レシピ!C193</f>
        <v/>
      </c>
      <c r="B193" s="41" t="str">
        <f>IF($A193="","",SUMIF(テンプレート!$B:$B,製造アイテム数!$D193,テンプレート!$C:$C))</f>
        <v/>
      </c>
      <c r="C193" s="35" t="str">
        <f t="shared" si="2"/>
        <v/>
      </c>
      <c r="D193" s="2" t="str">
        <f>使用レシピ!E193</f>
        <v/>
      </c>
      <c r="E193" s="20" t="str">
        <f>使用レシピ!F193</f>
        <v/>
      </c>
      <c r="F193" s="12" t="str">
        <f>使用レシピ!G193</f>
        <v/>
      </c>
      <c r="G193" s="12" t="str">
        <f>使用レシピ!H193</f>
        <v/>
      </c>
      <c r="H193" s="12" t="str">
        <f>使用レシピ!I193</f>
        <v/>
      </c>
      <c r="I193" s="35" t="str">
        <f>使用レシピ!J193</f>
        <v/>
      </c>
      <c r="J193" s="20" t="str">
        <f>使用レシピ!K193</f>
        <v/>
      </c>
      <c r="K193" s="12" t="str">
        <f>使用レシピ!L193</f>
        <v/>
      </c>
      <c r="L193" s="12" t="str">
        <f>使用レシピ!M193</f>
        <v/>
      </c>
      <c r="M193" s="12" t="str">
        <f>使用レシピ!N193</f>
        <v/>
      </c>
      <c r="N193" s="12" t="str">
        <f>使用レシピ!O193</f>
        <v/>
      </c>
      <c r="O193" s="12" t="str">
        <f>使用レシピ!P193</f>
        <v/>
      </c>
      <c r="P193" s="35" t="str">
        <f>使用レシピ!Q193</f>
        <v/>
      </c>
    </row>
    <row r="194" spans="1:16" ht="19.5" customHeight="1" x14ac:dyDescent="0.4">
      <c r="A194" s="40" t="str">
        <f>使用レシピ!C194</f>
        <v/>
      </c>
      <c r="B194" s="41" t="str">
        <f>IF($A194="","",SUMIF(テンプレート!$B:$B,製造アイテム数!$D194,テンプレート!$C:$C))</f>
        <v/>
      </c>
      <c r="C194" s="35" t="str">
        <f t="shared" si="2"/>
        <v/>
      </c>
      <c r="D194" s="2" t="str">
        <f>使用レシピ!E194</f>
        <v/>
      </c>
      <c r="E194" s="20" t="str">
        <f>使用レシピ!F194</f>
        <v/>
      </c>
      <c r="F194" s="12" t="str">
        <f>使用レシピ!G194</f>
        <v/>
      </c>
      <c r="G194" s="12" t="str">
        <f>使用レシピ!H194</f>
        <v/>
      </c>
      <c r="H194" s="12" t="str">
        <f>使用レシピ!I194</f>
        <v/>
      </c>
      <c r="I194" s="35" t="str">
        <f>使用レシピ!J194</f>
        <v/>
      </c>
      <c r="J194" s="20" t="str">
        <f>使用レシピ!K194</f>
        <v/>
      </c>
      <c r="K194" s="12" t="str">
        <f>使用レシピ!L194</f>
        <v/>
      </c>
      <c r="L194" s="12" t="str">
        <f>使用レシピ!M194</f>
        <v/>
      </c>
      <c r="M194" s="12" t="str">
        <f>使用レシピ!N194</f>
        <v/>
      </c>
      <c r="N194" s="12" t="str">
        <f>使用レシピ!O194</f>
        <v/>
      </c>
      <c r="O194" s="12" t="str">
        <f>使用レシピ!P194</f>
        <v/>
      </c>
      <c r="P194" s="35" t="str">
        <f>使用レシピ!Q194</f>
        <v/>
      </c>
    </row>
    <row r="195" spans="1:16" ht="19.5" customHeight="1" x14ac:dyDescent="0.4">
      <c r="A195" s="40" t="str">
        <f>使用レシピ!C195</f>
        <v/>
      </c>
      <c r="B195" s="41" t="str">
        <f>IF($A195="","",SUMIF(テンプレート!$B:$B,製造アイテム数!$D195,テンプレート!$C:$C))</f>
        <v/>
      </c>
      <c r="C195" s="35" t="str">
        <f t="shared" ref="C195:C200" si="3">IFERROR(ROUNDUP(B195/P195,0),"")</f>
        <v/>
      </c>
      <c r="D195" s="2" t="str">
        <f>使用レシピ!E195</f>
        <v/>
      </c>
      <c r="E195" s="20" t="str">
        <f>使用レシピ!F195</f>
        <v/>
      </c>
      <c r="F195" s="12" t="str">
        <f>使用レシピ!G195</f>
        <v/>
      </c>
      <c r="G195" s="12" t="str">
        <f>使用レシピ!H195</f>
        <v/>
      </c>
      <c r="H195" s="12" t="str">
        <f>使用レシピ!I195</f>
        <v/>
      </c>
      <c r="I195" s="35" t="str">
        <f>使用レシピ!J195</f>
        <v/>
      </c>
      <c r="J195" s="20" t="str">
        <f>使用レシピ!K195</f>
        <v/>
      </c>
      <c r="K195" s="12" t="str">
        <f>使用レシピ!L195</f>
        <v/>
      </c>
      <c r="L195" s="12" t="str">
        <f>使用レシピ!M195</f>
        <v/>
      </c>
      <c r="M195" s="12" t="str">
        <f>使用レシピ!N195</f>
        <v/>
      </c>
      <c r="N195" s="12" t="str">
        <f>使用レシピ!O195</f>
        <v/>
      </c>
      <c r="O195" s="12" t="str">
        <f>使用レシピ!P195</f>
        <v/>
      </c>
      <c r="P195" s="35" t="str">
        <f>使用レシピ!Q195</f>
        <v/>
      </c>
    </row>
    <row r="196" spans="1:16" ht="19.5" customHeight="1" x14ac:dyDescent="0.4">
      <c r="A196" s="40" t="str">
        <f>使用レシピ!C196</f>
        <v/>
      </c>
      <c r="B196" s="41" t="str">
        <f>IF($A196="","",SUMIF(テンプレート!$B:$B,製造アイテム数!$D196,テンプレート!$C:$C))</f>
        <v/>
      </c>
      <c r="C196" s="35" t="str">
        <f t="shared" si="3"/>
        <v/>
      </c>
      <c r="D196" s="2" t="str">
        <f>使用レシピ!E196</f>
        <v/>
      </c>
      <c r="E196" s="20" t="str">
        <f>使用レシピ!F196</f>
        <v/>
      </c>
      <c r="F196" s="12" t="str">
        <f>使用レシピ!G196</f>
        <v/>
      </c>
      <c r="G196" s="12" t="str">
        <f>使用レシピ!H196</f>
        <v/>
      </c>
      <c r="H196" s="12" t="str">
        <f>使用レシピ!I196</f>
        <v/>
      </c>
      <c r="I196" s="35" t="str">
        <f>使用レシピ!J196</f>
        <v/>
      </c>
      <c r="J196" s="20" t="str">
        <f>使用レシピ!K196</f>
        <v/>
      </c>
      <c r="K196" s="12" t="str">
        <f>使用レシピ!L196</f>
        <v/>
      </c>
      <c r="L196" s="12" t="str">
        <f>使用レシピ!M196</f>
        <v/>
      </c>
      <c r="M196" s="12" t="str">
        <f>使用レシピ!N196</f>
        <v/>
      </c>
      <c r="N196" s="12" t="str">
        <f>使用レシピ!O196</f>
        <v/>
      </c>
      <c r="O196" s="12" t="str">
        <f>使用レシピ!P196</f>
        <v/>
      </c>
      <c r="P196" s="35" t="str">
        <f>使用レシピ!Q196</f>
        <v/>
      </c>
    </row>
    <row r="197" spans="1:16" ht="19.5" customHeight="1" x14ac:dyDescent="0.4">
      <c r="A197" s="40" t="str">
        <f>使用レシピ!C197</f>
        <v/>
      </c>
      <c r="B197" s="41" t="str">
        <f>IF($A197="","",SUMIF(テンプレート!$B:$B,製造アイテム数!$D197,テンプレート!$C:$C))</f>
        <v/>
      </c>
      <c r="C197" s="35" t="str">
        <f t="shared" si="3"/>
        <v/>
      </c>
      <c r="D197" s="2" t="str">
        <f>使用レシピ!E197</f>
        <v/>
      </c>
      <c r="E197" s="20" t="str">
        <f>使用レシピ!F197</f>
        <v/>
      </c>
      <c r="F197" s="12" t="str">
        <f>使用レシピ!G197</f>
        <v/>
      </c>
      <c r="G197" s="12" t="str">
        <f>使用レシピ!H197</f>
        <v/>
      </c>
      <c r="H197" s="12" t="str">
        <f>使用レシピ!I197</f>
        <v/>
      </c>
      <c r="I197" s="35" t="str">
        <f>使用レシピ!J197</f>
        <v/>
      </c>
      <c r="J197" s="20" t="str">
        <f>使用レシピ!K197</f>
        <v/>
      </c>
      <c r="K197" s="12" t="str">
        <f>使用レシピ!L197</f>
        <v/>
      </c>
      <c r="L197" s="12" t="str">
        <f>使用レシピ!M197</f>
        <v/>
      </c>
      <c r="M197" s="12" t="str">
        <f>使用レシピ!N197</f>
        <v/>
      </c>
      <c r="N197" s="12" t="str">
        <f>使用レシピ!O197</f>
        <v/>
      </c>
      <c r="O197" s="12" t="str">
        <f>使用レシピ!P197</f>
        <v/>
      </c>
      <c r="P197" s="35" t="str">
        <f>使用レシピ!Q197</f>
        <v/>
      </c>
    </row>
    <row r="198" spans="1:16" ht="19.5" customHeight="1" x14ac:dyDescent="0.4">
      <c r="A198" s="40" t="str">
        <f>使用レシピ!C198</f>
        <v/>
      </c>
      <c r="B198" s="41" t="str">
        <f>IF($A198="","",SUMIF(テンプレート!$B:$B,製造アイテム数!$D198,テンプレート!$C:$C))</f>
        <v/>
      </c>
      <c r="C198" s="35" t="str">
        <f t="shared" si="3"/>
        <v/>
      </c>
      <c r="D198" s="2" t="str">
        <f>使用レシピ!E198</f>
        <v/>
      </c>
      <c r="E198" s="20" t="str">
        <f>使用レシピ!F198</f>
        <v/>
      </c>
      <c r="F198" s="12" t="str">
        <f>使用レシピ!G198</f>
        <v/>
      </c>
      <c r="G198" s="12" t="str">
        <f>使用レシピ!H198</f>
        <v/>
      </c>
      <c r="H198" s="12" t="str">
        <f>使用レシピ!I198</f>
        <v/>
      </c>
      <c r="I198" s="35" t="str">
        <f>使用レシピ!J198</f>
        <v/>
      </c>
      <c r="J198" s="20" t="str">
        <f>使用レシピ!K198</f>
        <v/>
      </c>
      <c r="K198" s="12" t="str">
        <f>使用レシピ!L198</f>
        <v/>
      </c>
      <c r="L198" s="12" t="str">
        <f>使用レシピ!M198</f>
        <v/>
      </c>
      <c r="M198" s="12" t="str">
        <f>使用レシピ!N198</f>
        <v/>
      </c>
      <c r="N198" s="12" t="str">
        <f>使用レシピ!O198</f>
        <v/>
      </c>
      <c r="O198" s="12" t="str">
        <f>使用レシピ!P198</f>
        <v/>
      </c>
      <c r="P198" s="35" t="str">
        <f>使用レシピ!Q198</f>
        <v/>
      </c>
    </row>
    <row r="199" spans="1:16" ht="19.5" customHeight="1" x14ac:dyDescent="0.4">
      <c r="A199" s="40" t="str">
        <f>使用レシピ!C199</f>
        <v/>
      </c>
      <c r="B199" s="41" t="str">
        <f>IF($A199="","",SUMIF(テンプレート!$B:$B,製造アイテム数!$D199,テンプレート!$C:$C))</f>
        <v/>
      </c>
      <c r="C199" s="35" t="str">
        <f t="shared" si="3"/>
        <v/>
      </c>
      <c r="D199" s="2" t="str">
        <f>使用レシピ!E199</f>
        <v/>
      </c>
      <c r="E199" s="20" t="str">
        <f>使用レシピ!F199</f>
        <v/>
      </c>
      <c r="F199" s="12" t="str">
        <f>使用レシピ!G199</f>
        <v/>
      </c>
      <c r="G199" s="12" t="str">
        <f>使用レシピ!H199</f>
        <v/>
      </c>
      <c r="H199" s="12" t="str">
        <f>使用レシピ!I199</f>
        <v/>
      </c>
      <c r="I199" s="35" t="str">
        <f>使用レシピ!J199</f>
        <v/>
      </c>
      <c r="J199" s="20" t="str">
        <f>使用レシピ!K199</f>
        <v/>
      </c>
      <c r="K199" s="12" t="str">
        <f>使用レシピ!L199</f>
        <v/>
      </c>
      <c r="L199" s="12" t="str">
        <f>使用レシピ!M199</f>
        <v/>
      </c>
      <c r="M199" s="12" t="str">
        <f>使用レシピ!N199</f>
        <v/>
      </c>
      <c r="N199" s="12" t="str">
        <f>使用レシピ!O199</f>
        <v/>
      </c>
      <c r="O199" s="12" t="str">
        <f>使用レシピ!P199</f>
        <v/>
      </c>
      <c r="P199" s="35" t="str">
        <f>使用レシピ!Q199</f>
        <v/>
      </c>
    </row>
    <row r="200" spans="1:16" ht="19.5" customHeight="1" x14ac:dyDescent="0.4">
      <c r="A200" s="40" t="str">
        <f>使用レシピ!C200</f>
        <v/>
      </c>
      <c r="B200" s="41" t="str">
        <f>IF($A200="","",SUMIF(テンプレート!$B:$B,製造アイテム数!$D200,テンプレート!$C:$C))</f>
        <v/>
      </c>
      <c r="C200" s="35" t="str">
        <f t="shared" si="3"/>
        <v/>
      </c>
      <c r="D200" s="2" t="str">
        <f>使用レシピ!E200</f>
        <v/>
      </c>
      <c r="E200" s="20" t="str">
        <f>使用レシピ!F200</f>
        <v/>
      </c>
      <c r="F200" s="12" t="str">
        <f>使用レシピ!G200</f>
        <v/>
      </c>
      <c r="G200" s="12" t="str">
        <f>使用レシピ!H200</f>
        <v/>
      </c>
      <c r="H200" s="12" t="str">
        <f>使用レシピ!I200</f>
        <v/>
      </c>
      <c r="I200" s="35" t="str">
        <f>使用レシピ!J200</f>
        <v/>
      </c>
      <c r="J200" s="20" t="str">
        <f>使用レシピ!K200</f>
        <v/>
      </c>
      <c r="K200" s="12" t="str">
        <f>使用レシピ!L200</f>
        <v/>
      </c>
      <c r="L200" s="12" t="str">
        <f>使用レシピ!M200</f>
        <v/>
      </c>
      <c r="M200" s="12" t="str">
        <f>使用レシピ!N200</f>
        <v/>
      </c>
      <c r="N200" s="12" t="str">
        <f>使用レシピ!O200</f>
        <v/>
      </c>
      <c r="O200" s="12" t="str">
        <f>使用レシピ!P200</f>
        <v/>
      </c>
      <c r="P200" s="35" t="str">
        <f>使用レシピ!Q200</f>
        <v/>
      </c>
    </row>
  </sheetData>
  <autoFilter ref="A1:P200" xr:uid="{A5D2FD6E-6BE6-4607-B926-4FE32EA4B92B}"/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CF2B01-4B10-40DC-ABD0-75D865849229}">
  <sheetPr codeName="Sheet2"/>
  <dimension ref="A1:T300"/>
  <sheetViews>
    <sheetView topLeftCell="A7" zoomScale="85" zoomScaleNormal="85" workbookViewId="0">
      <selection activeCell="B8" sqref="B8"/>
    </sheetView>
  </sheetViews>
  <sheetFormatPr defaultRowHeight="19.5" x14ac:dyDescent="0.4"/>
  <cols>
    <col min="1" max="1" width="20.5" style="79" customWidth="1"/>
    <col min="2" max="2" width="27.75" style="59" bestFit="1" customWidth="1"/>
    <col min="3" max="3" width="13" style="72" customWidth="1"/>
    <col min="4" max="4" width="25" style="60" customWidth="1"/>
    <col min="5" max="5" width="6.375" style="62" customWidth="1"/>
    <col min="6" max="6" width="25" style="60" customWidth="1"/>
    <col min="7" max="7" width="6.375" style="62" customWidth="1"/>
    <col min="8" max="8" width="25" style="60" customWidth="1"/>
    <col min="9" max="9" width="6.375" style="62" customWidth="1"/>
    <col min="10" max="10" width="25" style="60" customWidth="1"/>
    <col min="11" max="11" width="6.375" style="62" customWidth="1"/>
    <col min="12" max="12" width="25" style="74" customWidth="1"/>
    <col min="13" max="13" width="6.375" style="62" customWidth="1"/>
    <col min="14" max="14" width="5.5" style="60" customWidth="1"/>
    <col min="15" max="18" width="5.5" style="61" customWidth="1"/>
    <col min="19" max="19" width="5.5" style="62" customWidth="1"/>
    <col min="20" max="20" width="9.75" style="75" customWidth="1"/>
  </cols>
  <sheetData>
    <row r="1" spans="1:20" s="1" customFormat="1" ht="18.75" customHeight="1" x14ac:dyDescent="0.4">
      <c r="A1" s="76" t="s">
        <v>2</v>
      </c>
      <c r="B1" s="46" t="s">
        <v>0</v>
      </c>
      <c r="C1" s="69" t="s">
        <v>3</v>
      </c>
      <c r="D1" s="49" t="s">
        <v>10</v>
      </c>
      <c r="E1" s="52"/>
      <c r="F1" s="52"/>
      <c r="G1" s="52"/>
      <c r="H1" s="52"/>
      <c r="I1" s="52"/>
      <c r="J1" s="52"/>
      <c r="K1" s="53"/>
      <c r="L1" s="46" t="s">
        <v>4</v>
      </c>
      <c r="M1" s="54"/>
      <c r="N1" s="49" t="s">
        <v>1</v>
      </c>
      <c r="O1" s="52"/>
      <c r="P1" s="52"/>
      <c r="Q1" s="52"/>
      <c r="R1" s="52"/>
      <c r="S1" s="53"/>
      <c r="T1" s="57" t="s">
        <v>66</v>
      </c>
    </row>
    <row r="2" spans="1:20" s="1" customFormat="1" ht="18.75" customHeight="1" x14ac:dyDescent="0.4">
      <c r="A2" s="77"/>
      <c r="B2" s="47"/>
      <c r="C2" s="70"/>
      <c r="D2" s="44">
        <v>1</v>
      </c>
      <c r="E2" s="55"/>
      <c r="F2" s="44">
        <v>2</v>
      </c>
      <c r="G2" s="55"/>
      <c r="H2" s="44">
        <v>3</v>
      </c>
      <c r="I2" s="55"/>
      <c r="J2" s="44">
        <v>4</v>
      </c>
      <c r="K2" s="55"/>
      <c r="L2" s="47"/>
      <c r="M2" s="56"/>
      <c r="N2" s="44" t="s">
        <v>5</v>
      </c>
      <c r="O2" s="64" t="s">
        <v>10</v>
      </c>
      <c r="P2" s="64"/>
      <c r="Q2" s="64"/>
      <c r="R2" s="64"/>
      <c r="S2" s="55" t="s">
        <v>306</v>
      </c>
      <c r="T2" s="50"/>
    </row>
    <row r="3" spans="1:20" s="1" customFormat="1" ht="18.75" customHeight="1" thickBot="1" x14ac:dyDescent="0.45">
      <c r="A3" s="78"/>
      <c r="B3" s="48"/>
      <c r="C3" s="71"/>
      <c r="D3" s="65" t="s">
        <v>19</v>
      </c>
      <c r="E3" s="66" t="s">
        <v>305</v>
      </c>
      <c r="F3" s="65" t="s">
        <v>19</v>
      </c>
      <c r="G3" s="66" t="s">
        <v>305</v>
      </c>
      <c r="H3" s="65" t="s">
        <v>19</v>
      </c>
      <c r="I3" s="66" t="s">
        <v>305</v>
      </c>
      <c r="J3" s="65" t="s">
        <v>19</v>
      </c>
      <c r="K3" s="66" t="s">
        <v>305</v>
      </c>
      <c r="L3" s="73" t="s">
        <v>19</v>
      </c>
      <c r="M3" s="66" t="s">
        <v>305</v>
      </c>
      <c r="N3" s="45"/>
      <c r="O3" s="67">
        <v>1</v>
      </c>
      <c r="P3" s="67">
        <v>2</v>
      </c>
      <c r="Q3" s="67">
        <v>3</v>
      </c>
      <c r="R3" s="67">
        <v>4</v>
      </c>
      <c r="S3" s="68"/>
      <c r="T3" s="51"/>
    </row>
    <row r="4" spans="1:20" x14ac:dyDescent="0.4">
      <c r="A4" s="79">
        <v>1</v>
      </c>
      <c r="B4" s="58" t="s">
        <v>321</v>
      </c>
      <c r="C4" s="72">
        <v>600</v>
      </c>
      <c r="D4" s="60" t="s">
        <v>322</v>
      </c>
      <c r="E4" s="62">
        <v>600</v>
      </c>
      <c r="F4" s="60" t="s">
        <v>323</v>
      </c>
      <c r="G4" s="62">
        <v>37.5</v>
      </c>
      <c r="L4" s="74" t="s">
        <v>320</v>
      </c>
      <c r="M4" s="62">
        <v>75</v>
      </c>
      <c r="N4" s="60">
        <v>16</v>
      </c>
      <c r="O4" s="61">
        <v>16</v>
      </c>
      <c r="P4" s="61">
        <v>1</v>
      </c>
      <c r="T4" s="75">
        <v>40</v>
      </c>
    </row>
    <row r="5" spans="1:20" x14ac:dyDescent="0.4">
      <c r="A5" s="79">
        <v>11</v>
      </c>
      <c r="B5" s="58" t="s">
        <v>322</v>
      </c>
      <c r="C5" s="72">
        <v>600</v>
      </c>
      <c r="D5" s="60" t="s">
        <v>325</v>
      </c>
      <c r="E5" s="62">
        <v>400</v>
      </c>
      <c r="F5" s="60" t="s">
        <v>316</v>
      </c>
      <c r="G5" s="62">
        <v>300</v>
      </c>
      <c r="H5" s="60" t="s">
        <v>318</v>
      </c>
      <c r="I5" s="62">
        <v>400</v>
      </c>
      <c r="J5" s="60" t="s">
        <v>315</v>
      </c>
      <c r="K5" s="62">
        <v>200</v>
      </c>
      <c r="L5" s="74" t="s">
        <v>320</v>
      </c>
      <c r="M5" s="62">
        <v>100</v>
      </c>
      <c r="N5" s="60">
        <v>6</v>
      </c>
      <c r="O5" s="61">
        <v>4</v>
      </c>
      <c r="P5" s="61">
        <v>3</v>
      </c>
      <c r="Q5" s="61">
        <v>4</v>
      </c>
      <c r="R5" s="61">
        <v>2</v>
      </c>
      <c r="T5" s="75">
        <v>150</v>
      </c>
    </row>
    <row r="6" spans="1:20" x14ac:dyDescent="0.4">
      <c r="A6" s="79">
        <v>12</v>
      </c>
      <c r="B6" s="58" t="s">
        <v>323</v>
      </c>
      <c r="C6" s="72">
        <v>37.5</v>
      </c>
      <c r="D6" s="60" t="s">
        <v>324</v>
      </c>
      <c r="E6" s="62">
        <v>75</v>
      </c>
      <c r="F6" s="60" t="s">
        <v>311</v>
      </c>
      <c r="G6" s="62">
        <v>75</v>
      </c>
      <c r="H6" s="60" t="s">
        <v>319</v>
      </c>
      <c r="I6" s="62">
        <v>450</v>
      </c>
      <c r="J6" s="60" t="s">
        <v>310</v>
      </c>
      <c r="K6" s="62">
        <v>450</v>
      </c>
      <c r="L6" s="74" t="s">
        <v>309</v>
      </c>
      <c r="M6" s="62">
        <v>450</v>
      </c>
      <c r="N6" s="60">
        <v>1</v>
      </c>
      <c r="O6" s="61">
        <v>2</v>
      </c>
      <c r="P6" s="61">
        <v>2</v>
      </c>
      <c r="Q6" s="61">
        <v>12</v>
      </c>
      <c r="R6" s="61">
        <v>12</v>
      </c>
      <c r="T6" s="75">
        <v>5</v>
      </c>
    </row>
    <row r="7" spans="1:20" x14ac:dyDescent="0.4">
      <c r="A7" s="79">
        <v>111</v>
      </c>
      <c r="B7" s="58" t="s">
        <v>325</v>
      </c>
      <c r="C7" s="72">
        <v>400</v>
      </c>
      <c r="D7" s="60" t="s">
        <v>225</v>
      </c>
      <c r="E7" s="62">
        <v>600</v>
      </c>
      <c r="L7" s="74" t="s">
        <v>308</v>
      </c>
      <c r="M7" s="62">
        <v>300</v>
      </c>
      <c r="N7" s="60">
        <v>4</v>
      </c>
      <c r="O7" s="61">
        <v>6</v>
      </c>
      <c r="T7" s="75">
        <v>40</v>
      </c>
    </row>
    <row r="8" spans="1:20" x14ac:dyDescent="0.4">
      <c r="A8" s="79">
        <v>112</v>
      </c>
      <c r="B8" s="58" t="s">
        <v>316</v>
      </c>
      <c r="C8" s="72">
        <v>300</v>
      </c>
      <c r="N8" s="60">
        <v>1</v>
      </c>
      <c r="T8" s="75">
        <v>600</v>
      </c>
    </row>
    <row r="9" spans="1:20" x14ac:dyDescent="0.4">
      <c r="A9" s="79">
        <v>113</v>
      </c>
      <c r="B9" s="58" t="s">
        <v>318</v>
      </c>
      <c r="C9" s="72">
        <v>400</v>
      </c>
      <c r="N9" s="60">
        <v>1</v>
      </c>
      <c r="T9" s="75">
        <v>1200</v>
      </c>
    </row>
    <row r="10" spans="1:20" x14ac:dyDescent="0.4">
      <c r="A10" s="79">
        <v>114</v>
      </c>
      <c r="B10" s="58" t="s">
        <v>315</v>
      </c>
      <c r="C10" s="72">
        <v>200</v>
      </c>
      <c r="N10" s="60">
        <v>1</v>
      </c>
      <c r="T10" s="75">
        <v>1200</v>
      </c>
    </row>
    <row r="11" spans="1:20" x14ac:dyDescent="0.4">
      <c r="A11" s="79">
        <v>121</v>
      </c>
      <c r="B11" s="58" t="s">
        <v>324</v>
      </c>
      <c r="C11" s="72">
        <v>75</v>
      </c>
      <c r="D11" s="60" t="s">
        <v>313</v>
      </c>
      <c r="E11" s="62">
        <v>150</v>
      </c>
      <c r="N11" s="60">
        <v>1</v>
      </c>
      <c r="O11" s="61">
        <v>2</v>
      </c>
      <c r="T11" s="75">
        <v>6</v>
      </c>
    </row>
    <row r="12" spans="1:20" x14ac:dyDescent="0.4">
      <c r="A12" s="79">
        <v>122</v>
      </c>
      <c r="B12" s="58" t="s">
        <v>311</v>
      </c>
      <c r="C12" s="72">
        <v>75</v>
      </c>
      <c r="D12" s="60" t="s">
        <v>313</v>
      </c>
      <c r="E12" s="62">
        <v>75</v>
      </c>
      <c r="F12" s="60" t="s">
        <v>309</v>
      </c>
      <c r="G12" s="62">
        <v>375</v>
      </c>
      <c r="N12" s="60">
        <v>1</v>
      </c>
      <c r="O12" s="61">
        <v>1</v>
      </c>
      <c r="P12" s="61">
        <v>5</v>
      </c>
      <c r="T12" s="75">
        <v>30</v>
      </c>
    </row>
    <row r="13" spans="1:20" x14ac:dyDescent="0.4">
      <c r="A13" s="79">
        <v>123</v>
      </c>
      <c r="B13" s="58" t="s">
        <v>319</v>
      </c>
      <c r="C13" s="72">
        <v>450</v>
      </c>
      <c r="D13" s="60" t="s">
        <v>317</v>
      </c>
      <c r="E13" s="62">
        <v>578.57403564453125</v>
      </c>
      <c r="F13" s="60" t="s">
        <v>307</v>
      </c>
      <c r="G13" s="62">
        <v>321.43002319335938</v>
      </c>
      <c r="N13" s="60">
        <v>7</v>
      </c>
      <c r="O13" s="61">
        <v>9</v>
      </c>
      <c r="P13" s="61">
        <v>5</v>
      </c>
      <c r="T13" s="75">
        <v>52.5</v>
      </c>
    </row>
    <row r="14" spans="1:20" x14ac:dyDescent="0.4">
      <c r="A14" s="79">
        <v>124</v>
      </c>
      <c r="B14" s="58" t="s">
        <v>310</v>
      </c>
      <c r="C14" s="72">
        <v>450</v>
      </c>
      <c r="N14" s="60">
        <v>10</v>
      </c>
      <c r="T14" s="75">
        <v>200</v>
      </c>
    </row>
    <row r="15" spans="1:20" x14ac:dyDescent="0.4">
      <c r="A15" s="79">
        <v>1111</v>
      </c>
      <c r="B15" s="58" t="s">
        <v>225</v>
      </c>
      <c r="C15" s="72">
        <v>600</v>
      </c>
      <c r="N15" s="60">
        <v>1</v>
      </c>
      <c r="T15" s="75">
        <v>600</v>
      </c>
    </row>
    <row r="16" spans="1:20" x14ac:dyDescent="0.4">
      <c r="A16" s="79">
        <v>1211</v>
      </c>
      <c r="B16" s="58" t="s">
        <v>313</v>
      </c>
      <c r="C16" s="72">
        <v>150</v>
      </c>
      <c r="D16" s="60" t="s">
        <v>315</v>
      </c>
      <c r="E16" s="62">
        <v>3000</v>
      </c>
      <c r="N16" s="60">
        <v>1</v>
      </c>
      <c r="O16" s="61">
        <v>20</v>
      </c>
      <c r="T16" s="75">
        <v>30</v>
      </c>
    </row>
    <row r="17" spans="1:20" x14ac:dyDescent="0.4">
      <c r="A17" s="79">
        <v>1221</v>
      </c>
      <c r="B17" s="58" t="s">
        <v>313</v>
      </c>
      <c r="C17" s="72">
        <v>75</v>
      </c>
      <c r="D17" s="60" t="s">
        <v>315</v>
      </c>
      <c r="E17" s="62">
        <v>1500</v>
      </c>
      <c r="N17" s="60">
        <v>1</v>
      </c>
      <c r="O17" s="61">
        <v>20</v>
      </c>
      <c r="T17" s="75">
        <v>30</v>
      </c>
    </row>
    <row r="18" spans="1:20" x14ac:dyDescent="0.4">
      <c r="A18" s="79">
        <v>1222</v>
      </c>
      <c r="B18" s="58" t="s">
        <v>309</v>
      </c>
      <c r="C18" s="72">
        <v>375</v>
      </c>
      <c r="D18" s="60" t="s">
        <v>312</v>
      </c>
      <c r="E18" s="62">
        <v>187.5</v>
      </c>
      <c r="N18" s="60">
        <v>10</v>
      </c>
      <c r="O18" s="61">
        <v>5</v>
      </c>
      <c r="T18" s="75">
        <v>100</v>
      </c>
    </row>
    <row r="19" spans="1:20" x14ac:dyDescent="0.4">
      <c r="A19" s="79">
        <v>1231</v>
      </c>
      <c r="B19" s="58" t="s">
        <v>317</v>
      </c>
      <c r="C19" s="72">
        <v>578.57403564453125</v>
      </c>
      <c r="N19" s="60">
        <v>1</v>
      </c>
      <c r="T19" s="75">
        <v>1200</v>
      </c>
    </row>
    <row r="20" spans="1:20" x14ac:dyDescent="0.4">
      <c r="A20" s="79">
        <v>1232</v>
      </c>
      <c r="B20" s="58" t="s">
        <v>307</v>
      </c>
      <c r="C20" s="72">
        <v>321.43002319335938</v>
      </c>
      <c r="N20" s="60">
        <v>1</v>
      </c>
      <c r="T20" s="75">
        <v>120</v>
      </c>
    </row>
    <row r="21" spans="1:20" x14ac:dyDescent="0.4">
      <c r="A21" s="79">
        <v>12111</v>
      </c>
      <c r="B21" s="58" t="s">
        <v>315</v>
      </c>
      <c r="C21" s="72">
        <v>3000</v>
      </c>
      <c r="N21" s="60">
        <v>1</v>
      </c>
      <c r="T21" s="75">
        <v>1200</v>
      </c>
    </row>
    <row r="22" spans="1:20" x14ac:dyDescent="0.4">
      <c r="A22" s="79">
        <v>12211</v>
      </c>
      <c r="B22" s="58" t="s">
        <v>315</v>
      </c>
      <c r="C22" s="72">
        <v>1500</v>
      </c>
      <c r="N22" s="60">
        <v>1</v>
      </c>
      <c r="T22" s="75">
        <v>1200</v>
      </c>
    </row>
    <row r="23" spans="1:20" x14ac:dyDescent="0.4">
      <c r="A23" s="79">
        <v>12221</v>
      </c>
      <c r="B23" s="58" t="s">
        <v>312</v>
      </c>
      <c r="C23" s="72">
        <v>187.5</v>
      </c>
      <c r="D23" s="60" t="s">
        <v>314</v>
      </c>
      <c r="E23" s="62">
        <v>750</v>
      </c>
      <c r="N23" s="60">
        <v>1</v>
      </c>
      <c r="O23" s="61">
        <v>4</v>
      </c>
      <c r="T23" s="75">
        <v>30</v>
      </c>
    </row>
    <row r="24" spans="1:20" x14ac:dyDescent="0.4">
      <c r="A24" s="79">
        <v>122211</v>
      </c>
      <c r="B24" s="58" t="s">
        <v>314</v>
      </c>
      <c r="C24" s="72">
        <v>750</v>
      </c>
      <c r="N24" s="60">
        <v>1</v>
      </c>
      <c r="T24" s="75">
        <v>1200</v>
      </c>
    </row>
    <row r="25" spans="1:20" x14ac:dyDescent="0.4">
      <c r="B25" s="58"/>
    </row>
    <row r="26" spans="1:20" x14ac:dyDescent="0.4">
      <c r="B26" s="58"/>
    </row>
    <row r="27" spans="1:20" x14ac:dyDescent="0.4">
      <c r="B27" s="58"/>
    </row>
    <row r="28" spans="1:20" x14ac:dyDescent="0.4">
      <c r="B28" s="58"/>
    </row>
    <row r="29" spans="1:20" x14ac:dyDescent="0.4">
      <c r="B29" s="58"/>
    </row>
    <row r="30" spans="1:20" x14ac:dyDescent="0.4">
      <c r="B30" s="58"/>
    </row>
    <row r="31" spans="1:20" x14ac:dyDescent="0.4">
      <c r="B31" s="58"/>
    </row>
    <row r="32" spans="1:20" x14ac:dyDescent="0.4">
      <c r="B32" s="58"/>
    </row>
    <row r="33" spans="2:4" x14ac:dyDescent="0.4">
      <c r="B33" s="58"/>
    </row>
    <row r="34" spans="2:4" x14ac:dyDescent="0.4">
      <c r="B34" s="58"/>
    </row>
    <row r="35" spans="2:4" x14ac:dyDescent="0.4">
      <c r="B35" s="58"/>
    </row>
    <row r="36" spans="2:4" x14ac:dyDescent="0.4">
      <c r="B36" s="58"/>
    </row>
    <row r="37" spans="2:4" x14ac:dyDescent="0.4">
      <c r="B37" s="58"/>
    </row>
    <row r="38" spans="2:4" x14ac:dyDescent="0.4">
      <c r="B38" s="58"/>
    </row>
    <row r="39" spans="2:4" x14ac:dyDescent="0.4">
      <c r="B39" s="58"/>
    </row>
    <row r="40" spans="2:4" x14ac:dyDescent="0.4">
      <c r="B40" s="58"/>
      <c r="D40" s="63"/>
    </row>
    <row r="41" spans="2:4" x14ac:dyDescent="0.4">
      <c r="B41" s="58"/>
    </row>
    <row r="42" spans="2:4" x14ac:dyDescent="0.4">
      <c r="B42" s="58"/>
    </row>
    <row r="43" spans="2:4" x14ac:dyDescent="0.4">
      <c r="B43" s="58"/>
    </row>
    <row r="44" spans="2:4" x14ac:dyDescent="0.4">
      <c r="B44" s="58"/>
    </row>
    <row r="45" spans="2:4" x14ac:dyDescent="0.4">
      <c r="B45" s="58"/>
    </row>
    <row r="46" spans="2:4" x14ac:dyDescent="0.4">
      <c r="B46" s="58"/>
    </row>
    <row r="47" spans="2:4" x14ac:dyDescent="0.4">
      <c r="B47" s="58"/>
    </row>
    <row r="48" spans="2:4" x14ac:dyDescent="0.4">
      <c r="B48" s="58"/>
    </row>
    <row r="49" spans="2:2" x14ac:dyDescent="0.4">
      <c r="B49" s="58"/>
    </row>
    <row r="50" spans="2:2" x14ac:dyDescent="0.4">
      <c r="B50" s="58"/>
    </row>
    <row r="51" spans="2:2" x14ac:dyDescent="0.4">
      <c r="B51" s="58"/>
    </row>
    <row r="52" spans="2:2" x14ac:dyDescent="0.4">
      <c r="B52" s="58"/>
    </row>
    <row r="53" spans="2:2" x14ac:dyDescent="0.4">
      <c r="B53" s="58"/>
    </row>
    <row r="54" spans="2:2" x14ac:dyDescent="0.4">
      <c r="B54" s="58"/>
    </row>
    <row r="55" spans="2:2" x14ac:dyDescent="0.4">
      <c r="B55" s="58"/>
    </row>
    <row r="56" spans="2:2" x14ac:dyDescent="0.4">
      <c r="B56" s="58"/>
    </row>
    <row r="57" spans="2:2" x14ac:dyDescent="0.4">
      <c r="B57" s="58"/>
    </row>
    <row r="58" spans="2:2" x14ac:dyDescent="0.4">
      <c r="B58" s="58"/>
    </row>
    <row r="59" spans="2:2" x14ac:dyDescent="0.4">
      <c r="B59" s="58"/>
    </row>
    <row r="60" spans="2:2" x14ac:dyDescent="0.4">
      <c r="B60" s="58"/>
    </row>
    <row r="61" spans="2:2" x14ac:dyDescent="0.4">
      <c r="B61" s="58"/>
    </row>
    <row r="62" spans="2:2" x14ac:dyDescent="0.4">
      <c r="B62" s="58"/>
    </row>
    <row r="63" spans="2:2" x14ac:dyDescent="0.4">
      <c r="B63" s="58"/>
    </row>
    <row r="64" spans="2:2" x14ac:dyDescent="0.4">
      <c r="B64" s="58"/>
    </row>
    <row r="65" spans="2:2" x14ac:dyDescent="0.4">
      <c r="B65" s="58"/>
    </row>
    <row r="66" spans="2:2" x14ac:dyDescent="0.4">
      <c r="B66" s="58"/>
    </row>
    <row r="67" spans="2:2" x14ac:dyDescent="0.4">
      <c r="B67" s="58"/>
    </row>
    <row r="68" spans="2:2" x14ac:dyDescent="0.4">
      <c r="B68" s="58"/>
    </row>
    <row r="69" spans="2:2" x14ac:dyDescent="0.4">
      <c r="B69" s="58"/>
    </row>
    <row r="70" spans="2:2" x14ac:dyDescent="0.4">
      <c r="B70" s="58"/>
    </row>
    <row r="71" spans="2:2" x14ac:dyDescent="0.4">
      <c r="B71" s="58"/>
    </row>
    <row r="72" spans="2:2" x14ac:dyDescent="0.4">
      <c r="B72" s="58"/>
    </row>
    <row r="73" spans="2:2" x14ac:dyDescent="0.4">
      <c r="B73" s="58"/>
    </row>
    <row r="74" spans="2:2" x14ac:dyDescent="0.4">
      <c r="B74" s="58"/>
    </row>
    <row r="75" spans="2:2" x14ac:dyDescent="0.4">
      <c r="B75" s="58"/>
    </row>
    <row r="76" spans="2:2" x14ac:dyDescent="0.4">
      <c r="B76" s="58"/>
    </row>
    <row r="77" spans="2:2" x14ac:dyDescent="0.4">
      <c r="B77" s="58"/>
    </row>
    <row r="78" spans="2:2" x14ac:dyDescent="0.4">
      <c r="B78" s="58"/>
    </row>
    <row r="79" spans="2:2" x14ac:dyDescent="0.4">
      <c r="B79" s="58"/>
    </row>
    <row r="80" spans="2:2" x14ac:dyDescent="0.4">
      <c r="B80" s="58"/>
    </row>
    <row r="81" spans="2:2" x14ac:dyDescent="0.4">
      <c r="B81" s="58"/>
    </row>
    <row r="82" spans="2:2" x14ac:dyDescent="0.4">
      <c r="B82" s="58"/>
    </row>
    <row r="83" spans="2:2" x14ac:dyDescent="0.4">
      <c r="B83" s="58"/>
    </row>
    <row r="84" spans="2:2" x14ac:dyDescent="0.4">
      <c r="B84" s="58"/>
    </row>
    <row r="85" spans="2:2" x14ac:dyDescent="0.4">
      <c r="B85" s="58"/>
    </row>
    <row r="86" spans="2:2" x14ac:dyDescent="0.4">
      <c r="B86" s="58"/>
    </row>
    <row r="87" spans="2:2" x14ac:dyDescent="0.4">
      <c r="B87" s="58"/>
    </row>
    <row r="88" spans="2:2" x14ac:dyDescent="0.4">
      <c r="B88" s="58"/>
    </row>
    <row r="89" spans="2:2" x14ac:dyDescent="0.4">
      <c r="B89" s="58"/>
    </row>
    <row r="90" spans="2:2" x14ac:dyDescent="0.4">
      <c r="B90" s="58"/>
    </row>
    <row r="91" spans="2:2" x14ac:dyDescent="0.4">
      <c r="B91" s="58"/>
    </row>
    <row r="92" spans="2:2" x14ac:dyDescent="0.4">
      <c r="B92" s="58"/>
    </row>
    <row r="93" spans="2:2" x14ac:dyDescent="0.4">
      <c r="B93" s="58"/>
    </row>
    <row r="94" spans="2:2" x14ac:dyDescent="0.4">
      <c r="B94" s="58"/>
    </row>
    <row r="95" spans="2:2" x14ac:dyDescent="0.4">
      <c r="B95" s="58"/>
    </row>
    <row r="96" spans="2:2" x14ac:dyDescent="0.4">
      <c r="B96" s="58"/>
    </row>
    <row r="97" spans="2:2" x14ac:dyDescent="0.4">
      <c r="B97" s="58"/>
    </row>
    <row r="98" spans="2:2" x14ac:dyDescent="0.4">
      <c r="B98" s="58"/>
    </row>
    <row r="99" spans="2:2" x14ac:dyDescent="0.4">
      <c r="B99" s="58"/>
    </row>
    <row r="100" spans="2:2" x14ac:dyDescent="0.4">
      <c r="B100" s="58"/>
    </row>
    <row r="101" spans="2:2" x14ac:dyDescent="0.4">
      <c r="B101" s="58"/>
    </row>
    <row r="102" spans="2:2" x14ac:dyDescent="0.4">
      <c r="B102" s="58"/>
    </row>
    <row r="103" spans="2:2" x14ac:dyDescent="0.4">
      <c r="B103" s="58"/>
    </row>
    <row r="104" spans="2:2" x14ac:dyDescent="0.4">
      <c r="B104" s="58"/>
    </row>
    <row r="105" spans="2:2" x14ac:dyDescent="0.4">
      <c r="B105" s="58"/>
    </row>
    <row r="106" spans="2:2" x14ac:dyDescent="0.4">
      <c r="B106" s="58"/>
    </row>
    <row r="107" spans="2:2" x14ac:dyDescent="0.4">
      <c r="B107" s="58"/>
    </row>
    <row r="108" spans="2:2" x14ac:dyDescent="0.4">
      <c r="B108" s="58"/>
    </row>
    <row r="109" spans="2:2" x14ac:dyDescent="0.4">
      <c r="B109" s="58"/>
    </row>
    <row r="110" spans="2:2" x14ac:dyDescent="0.4">
      <c r="B110" s="58"/>
    </row>
    <row r="111" spans="2:2" x14ac:dyDescent="0.4">
      <c r="B111" s="58"/>
    </row>
    <row r="112" spans="2:2" x14ac:dyDescent="0.4">
      <c r="B112" s="58"/>
    </row>
    <row r="113" spans="2:2" x14ac:dyDescent="0.4">
      <c r="B113" s="58"/>
    </row>
    <row r="114" spans="2:2" x14ac:dyDescent="0.4">
      <c r="B114" s="58"/>
    </row>
    <row r="115" spans="2:2" x14ac:dyDescent="0.4">
      <c r="B115" s="58"/>
    </row>
    <row r="116" spans="2:2" x14ac:dyDescent="0.4">
      <c r="B116" s="58"/>
    </row>
    <row r="117" spans="2:2" x14ac:dyDescent="0.4">
      <c r="B117" s="58"/>
    </row>
    <row r="118" spans="2:2" x14ac:dyDescent="0.4">
      <c r="B118" s="58"/>
    </row>
    <row r="119" spans="2:2" x14ac:dyDescent="0.4">
      <c r="B119" s="58"/>
    </row>
    <row r="120" spans="2:2" x14ac:dyDescent="0.4">
      <c r="B120" s="58"/>
    </row>
    <row r="121" spans="2:2" x14ac:dyDescent="0.4">
      <c r="B121" s="58"/>
    </row>
    <row r="122" spans="2:2" x14ac:dyDescent="0.4">
      <c r="B122" s="58"/>
    </row>
    <row r="123" spans="2:2" x14ac:dyDescent="0.4">
      <c r="B123" s="58"/>
    </row>
    <row r="124" spans="2:2" x14ac:dyDescent="0.4">
      <c r="B124" s="58"/>
    </row>
    <row r="125" spans="2:2" x14ac:dyDescent="0.4">
      <c r="B125" s="58"/>
    </row>
    <row r="126" spans="2:2" x14ac:dyDescent="0.4">
      <c r="B126" s="58"/>
    </row>
    <row r="127" spans="2:2" x14ac:dyDescent="0.4">
      <c r="B127" s="58"/>
    </row>
    <row r="128" spans="2:2" x14ac:dyDescent="0.4">
      <c r="B128" s="58"/>
    </row>
    <row r="129" spans="2:2" x14ac:dyDescent="0.4">
      <c r="B129" s="58"/>
    </row>
    <row r="130" spans="2:2" x14ac:dyDescent="0.4">
      <c r="B130" s="58"/>
    </row>
    <row r="131" spans="2:2" x14ac:dyDescent="0.4">
      <c r="B131" s="58"/>
    </row>
    <row r="132" spans="2:2" x14ac:dyDescent="0.4">
      <c r="B132" s="58"/>
    </row>
    <row r="133" spans="2:2" x14ac:dyDescent="0.4">
      <c r="B133" s="58"/>
    </row>
    <row r="134" spans="2:2" x14ac:dyDescent="0.4">
      <c r="B134" s="58"/>
    </row>
    <row r="135" spans="2:2" x14ac:dyDescent="0.4">
      <c r="B135" s="58"/>
    </row>
    <row r="136" spans="2:2" x14ac:dyDescent="0.4">
      <c r="B136" s="58"/>
    </row>
    <row r="137" spans="2:2" x14ac:dyDescent="0.4">
      <c r="B137" s="58"/>
    </row>
    <row r="138" spans="2:2" x14ac:dyDescent="0.4">
      <c r="B138" s="58"/>
    </row>
    <row r="139" spans="2:2" x14ac:dyDescent="0.4">
      <c r="B139" s="58"/>
    </row>
    <row r="140" spans="2:2" x14ac:dyDescent="0.4">
      <c r="B140" s="58"/>
    </row>
    <row r="141" spans="2:2" x14ac:dyDescent="0.4">
      <c r="B141" s="58"/>
    </row>
    <row r="142" spans="2:2" x14ac:dyDescent="0.4">
      <c r="B142" s="58"/>
    </row>
    <row r="143" spans="2:2" x14ac:dyDescent="0.4">
      <c r="B143" s="58"/>
    </row>
    <row r="144" spans="2:2" x14ac:dyDescent="0.4">
      <c r="B144" s="58"/>
    </row>
    <row r="145" spans="2:2" x14ac:dyDescent="0.4">
      <c r="B145" s="58"/>
    </row>
    <row r="146" spans="2:2" x14ac:dyDescent="0.4">
      <c r="B146" s="58"/>
    </row>
    <row r="147" spans="2:2" x14ac:dyDescent="0.4">
      <c r="B147" s="58"/>
    </row>
    <row r="148" spans="2:2" x14ac:dyDescent="0.4">
      <c r="B148" s="58"/>
    </row>
    <row r="149" spans="2:2" x14ac:dyDescent="0.4">
      <c r="B149" s="58"/>
    </row>
    <row r="150" spans="2:2" x14ac:dyDescent="0.4">
      <c r="B150" s="58"/>
    </row>
    <row r="151" spans="2:2" x14ac:dyDescent="0.4">
      <c r="B151" s="58"/>
    </row>
    <row r="152" spans="2:2" x14ac:dyDescent="0.4">
      <c r="B152" s="58"/>
    </row>
    <row r="153" spans="2:2" x14ac:dyDescent="0.4">
      <c r="B153" s="58"/>
    </row>
    <row r="154" spans="2:2" x14ac:dyDescent="0.4">
      <c r="B154" s="58"/>
    </row>
    <row r="155" spans="2:2" x14ac:dyDescent="0.4">
      <c r="B155" s="58"/>
    </row>
    <row r="156" spans="2:2" x14ac:dyDescent="0.4">
      <c r="B156" s="58"/>
    </row>
    <row r="157" spans="2:2" x14ac:dyDescent="0.4">
      <c r="B157" s="58"/>
    </row>
    <row r="158" spans="2:2" x14ac:dyDescent="0.4">
      <c r="B158" s="58"/>
    </row>
    <row r="159" spans="2:2" x14ac:dyDescent="0.4">
      <c r="B159" s="58"/>
    </row>
    <row r="160" spans="2:2" x14ac:dyDescent="0.4">
      <c r="B160" s="58"/>
    </row>
    <row r="161" spans="2:2" x14ac:dyDescent="0.4">
      <c r="B161" s="58"/>
    </row>
    <row r="162" spans="2:2" x14ac:dyDescent="0.4">
      <c r="B162" s="58"/>
    </row>
    <row r="163" spans="2:2" x14ac:dyDescent="0.4">
      <c r="B163" s="58"/>
    </row>
    <row r="164" spans="2:2" x14ac:dyDescent="0.4">
      <c r="B164" s="58"/>
    </row>
    <row r="165" spans="2:2" x14ac:dyDescent="0.4">
      <c r="B165" s="58"/>
    </row>
    <row r="166" spans="2:2" x14ac:dyDescent="0.4">
      <c r="B166" s="58"/>
    </row>
    <row r="167" spans="2:2" x14ac:dyDescent="0.4">
      <c r="B167" s="58"/>
    </row>
    <row r="168" spans="2:2" x14ac:dyDescent="0.4">
      <c r="B168" s="58"/>
    </row>
    <row r="169" spans="2:2" x14ac:dyDescent="0.4">
      <c r="B169" s="58"/>
    </row>
    <row r="170" spans="2:2" x14ac:dyDescent="0.4">
      <c r="B170" s="58"/>
    </row>
    <row r="171" spans="2:2" x14ac:dyDescent="0.4">
      <c r="B171" s="58"/>
    </row>
    <row r="172" spans="2:2" x14ac:dyDescent="0.4">
      <c r="B172" s="58"/>
    </row>
    <row r="173" spans="2:2" x14ac:dyDescent="0.4">
      <c r="B173" s="58"/>
    </row>
    <row r="174" spans="2:2" x14ac:dyDescent="0.4">
      <c r="B174" s="58"/>
    </row>
    <row r="175" spans="2:2" x14ac:dyDescent="0.4">
      <c r="B175" s="58"/>
    </row>
    <row r="176" spans="2:2" x14ac:dyDescent="0.4">
      <c r="B176" s="58"/>
    </row>
    <row r="177" spans="2:2" x14ac:dyDescent="0.4">
      <c r="B177" s="58"/>
    </row>
    <row r="178" spans="2:2" x14ac:dyDescent="0.4">
      <c r="B178" s="58"/>
    </row>
    <row r="179" spans="2:2" x14ac:dyDescent="0.4">
      <c r="B179" s="58"/>
    </row>
    <row r="180" spans="2:2" x14ac:dyDescent="0.4">
      <c r="B180" s="58"/>
    </row>
    <row r="181" spans="2:2" x14ac:dyDescent="0.4">
      <c r="B181" s="58"/>
    </row>
    <row r="182" spans="2:2" x14ac:dyDescent="0.4">
      <c r="B182" s="58"/>
    </row>
    <row r="183" spans="2:2" x14ac:dyDescent="0.4">
      <c r="B183" s="58"/>
    </row>
    <row r="184" spans="2:2" x14ac:dyDescent="0.4">
      <c r="B184" s="58"/>
    </row>
    <row r="185" spans="2:2" x14ac:dyDescent="0.4">
      <c r="B185" s="58"/>
    </row>
    <row r="186" spans="2:2" x14ac:dyDescent="0.4">
      <c r="B186" s="58"/>
    </row>
    <row r="187" spans="2:2" x14ac:dyDescent="0.4">
      <c r="B187" s="58"/>
    </row>
    <row r="188" spans="2:2" x14ac:dyDescent="0.4">
      <c r="B188" s="58"/>
    </row>
    <row r="189" spans="2:2" x14ac:dyDescent="0.4">
      <c r="B189" s="58"/>
    </row>
    <row r="190" spans="2:2" x14ac:dyDescent="0.4">
      <c r="B190" s="58"/>
    </row>
    <row r="191" spans="2:2" x14ac:dyDescent="0.4">
      <c r="B191" s="58"/>
    </row>
    <row r="192" spans="2:2" x14ac:dyDescent="0.4">
      <c r="B192" s="58"/>
    </row>
    <row r="193" spans="2:2" x14ac:dyDescent="0.4">
      <c r="B193" s="58"/>
    </row>
    <row r="194" spans="2:2" x14ac:dyDescent="0.4">
      <c r="B194" s="58"/>
    </row>
    <row r="195" spans="2:2" x14ac:dyDescent="0.4">
      <c r="B195" s="58"/>
    </row>
    <row r="196" spans="2:2" x14ac:dyDescent="0.4">
      <c r="B196" s="58"/>
    </row>
    <row r="197" spans="2:2" x14ac:dyDescent="0.4">
      <c r="B197" s="58"/>
    </row>
    <row r="198" spans="2:2" x14ac:dyDescent="0.4">
      <c r="B198" s="58"/>
    </row>
    <row r="199" spans="2:2" x14ac:dyDescent="0.4">
      <c r="B199" s="58"/>
    </row>
    <row r="200" spans="2:2" x14ac:dyDescent="0.4">
      <c r="B200" s="58"/>
    </row>
    <row r="201" spans="2:2" x14ac:dyDescent="0.4">
      <c r="B201" s="58"/>
    </row>
    <row r="202" spans="2:2" x14ac:dyDescent="0.4">
      <c r="B202" s="58"/>
    </row>
    <row r="203" spans="2:2" x14ac:dyDescent="0.4">
      <c r="B203" s="58"/>
    </row>
    <row r="204" spans="2:2" x14ac:dyDescent="0.4">
      <c r="B204" s="58"/>
    </row>
    <row r="205" spans="2:2" x14ac:dyDescent="0.4">
      <c r="B205" s="58"/>
    </row>
    <row r="206" spans="2:2" x14ac:dyDescent="0.4">
      <c r="B206" s="58"/>
    </row>
    <row r="207" spans="2:2" x14ac:dyDescent="0.4">
      <c r="B207" s="58"/>
    </row>
    <row r="208" spans="2:2" x14ac:dyDescent="0.4">
      <c r="B208" s="58"/>
    </row>
    <row r="209" spans="2:2" x14ac:dyDescent="0.4">
      <c r="B209" s="58"/>
    </row>
    <row r="210" spans="2:2" x14ac:dyDescent="0.4">
      <c r="B210" s="58"/>
    </row>
    <row r="211" spans="2:2" x14ac:dyDescent="0.4">
      <c r="B211" s="58"/>
    </row>
    <row r="212" spans="2:2" x14ac:dyDescent="0.4">
      <c r="B212" s="58"/>
    </row>
    <row r="213" spans="2:2" x14ac:dyDescent="0.4">
      <c r="B213" s="58"/>
    </row>
    <row r="214" spans="2:2" x14ac:dyDescent="0.4">
      <c r="B214" s="58"/>
    </row>
    <row r="215" spans="2:2" x14ac:dyDescent="0.4">
      <c r="B215" s="58"/>
    </row>
    <row r="216" spans="2:2" x14ac:dyDescent="0.4">
      <c r="B216" s="58"/>
    </row>
    <row r="217" spans="2:2" x14ac:dyDescent="0.4">
      <c r="B217" s="58"/>
    </row>
    <row r="218" spans="2:2" x14ac:dyDescent="0.4">
      <c r="B218" s="58"/>
    </row>
    <row r="219" spans="2:2" x14ac:dyDescent="0.4">
      <c r="B219" s="58"/>
    </row>
    <row r="220" spans="2:2" x14ac:dyDescent="0.4">
      <c r="B220" s="58"/>
    </row>
    <row r="221" spans="2:2" x14ac:dyDescent="0.4">
      <c r="B221" s="58"/>
    </row>
    <row r="222" spans="2:2" x14ac:dyDescent="0.4">
      <c r="B222" s="58"/>
    </row>
    <row r="223" spans="2:2" x14ac:dyDescent="0.4">
      <c r="B223" s="58"/>
    </row>
    <row r="224" spans="2:2" x14ac:dyDescent="0.4">
      <c r="B224" s="58"/>
    </row>
    <row r="225" spans="2:2" x14ac:dyDescent="0.4">
      <c r="B225" s="58"/>
    </row>
    <row r="226" spans="2:2" x14ac:dyDescent="0.4">
      <c r="B226" s="58"/>
    </row>
    <row r="227" spans="2:2" x14ac:dyDescent="0.4">
      <c r="B227" s="58"/>
    </row>
    <row r="228" spans="2:2" x14ac:dyDescent="0.4">
      <c r="B228" s="58"/>
    </row>
    <row r="229" spans="2:2" x14ac:dyDescent="0.4">
      <c r="B229" s="58"/>
    </row>
    <row r="230" spans="2:2" x14ac:dyDescent="0.4">
      <c r="B230" s="58"/>
    </row>
    <row r="231" spans="2:2" x14ac:dyDescent="0.4">
      <c r="B231" s="58"/>
    </row>
    <row r="232" spans="2:2" x14ac:dyDescent="0.4">
      <c r="B232" s="58"/>
    </row>
    <row r="233" spans="2:2" x14ac:dyDescent="0.4">
      <c r="B233" s="58"/>
    </row>
    <row r="234" spans="2:2" x14ac:dyDescent="0.4">
      <c r="B234" s="58"/>
    </row>
    <row r="235" spans="2:2" x14ac:dyDescent="0.4">
      <c r="B235" s="58"/>
    </row>
    <row r="236" spans="2:2" x14ac:dyDescent="0.4">
      <c r="B236" s="58"/>
    </row>
    <row r="237" spans="2:2" x14ac:dyDescent="0.4">
      <c r="B237" s="58"/>
    </row>
    <row r="238" spans="2:2" x14ac:dyDescent="0.4">
      <c r="B238" s="58"/>
    </row>
    <row r="239" spans="2:2" x14ac:dyDescent="0.4">
      <c r="B239" s="58"/>
    </row>
    <row r="240" spans="2:2" x14ac:dyDescent="0.4">
      <c r="B240" s="58"/>
    </row>
    <row r="241" spans="2:2" x14ac:dyDescent="0.4">
      <c r="B241" s="58"/>
    </row>
    <row r="242" spans="2:2" x14ac:dyDescent="0.4">
      <c r="B242" s="58"/>
    </row>
    <row r="243" spans="2:2" x14ac:dyDescent="0.4">
      <c r="B243" s="58"/>
    </row>
    <row r="244" spans="2:2" x14ac:dyDescent="0.4">
      <c r="B244" s="58"/>
    </row>
    <row r="245" spans="2:2" x14ac:dyDescent="0.4">
      <c r="B245" s="58"/>
    </row>
    <row r="246" spans="2:2" x14ac:dyDescent="0.4">
      <c r="B246" s="58"/>
    </row>
    <row r="247" spans="2:2" x14ac:dyDescent="0.4">
      <c r="B247" s="58"/>
    </row>
    <row r="248" spans="2:2" x14ac:dyDescent="0.4">
      <c r="B248" s="58"/>
    </row>
    <row r="249" spans="2:2" x14ac:dyDescent="0.4">
      <c r="B249" s="58"/>
    </row>
    <row r="250" spans="2:2" x14ac:dyDescent="0.4">
      <c r="B250" s="58"/>
    </row>
    <row r="251" spans="2:2" x14ac:dyDescent="0.4">
      <c r="B251" s="58"/>
    </row>
    <row r="252" spans="2:2" x14ac:dyDescent="0.4">
      <c r="B252" s="58"/>
    </row>
    <row r="253" spans="2:2" x14ac:dyDescent="0.4">
      <c r="B253" s="58"/>
    </row>
    <row r="254" spans="2:2" x14ac:dyDescent="0.4">
      <c r="B254" s="58"/>
    </row>
    <row r="255" spans="2:2" x14ac:dyDescent="0.4">
      <c r="B255" s="58"/>
    </row>
    <row r="256" spans="2:2" x14ac:dyDescent="0.4">
      <c r="B256" s="58"/>
    </row>
    <row r="257" spans="2:2" x14ac:dyDescent="0.4">
      <c r="B257" s="58"/>
    </row>
    <row r="258" spans="2:2" x14ac:dyDescent="0.4">
      <c r="B258" s="58"/>
    </row>
    <row r="259" spans="2:2" x14ac:dyDescent="0.4">
      <c r="B259" s="58"/>
    </row>
    <row r="260" spans="2:2" x14ac:dyDescent="0.4">
      <c r="B260" s="58"/>
    </row>
    <row r="261" spans="2:2" x14ac:dyDescent="0.4">
      <c r="B261" s="58"/>
    </row>
    <row r="262" spans="2:2" x14ac:dyDescent="0.4">
      <c r="B262" s="58"/>
    </row>
    <row r="263" spans="2:2" x14ac:dyDescent="0.4">
      <c r="B263" s="58"/>
    </row>
    <row r="264" spans="2:2" x14ac:dyDescent="0.4">
      <c r="B264" s="58"/>
    </row>
    <row r="265" spans="2:2" x14ac:dyDescent="0.4">
      <c r="B265" s="58"/>
    </row>
    <row r="266" spans="2:2" x14ac:dyDescent="0.4">
      <c r="B266" s="58"/>
    </row>
    <row r="267" spans="2:2" x14ac:dyDescent="0.4">
      <c r="B267" s="58"/>
    </row>
    <row r="268" spans="2:2" x14ac:dyDescent="0.4">
      <c r="B268" s="58"/>
    </row>
    <row r="269" spans="2:2" x14ac:dyDescent="0.4">
      <c r="B269" s="58"/>
    </row>
    <row r="270" spans="2:2" x14ac:dyDescent="0.4">
      <c r="B270" s="58"/>
    </row>
    <row r="271" spans="2:2" x14ac:dyDescent="0.4">
      <c r="B271" s="58"/>
    </row>
    <row r="272" spans="2:2" x14ac:dyDescent="0.4">
      <c r="B272" s="58"/>
    </row>
    <row r="273" spans="2:2" x14ac:dyDescent="0.4">
      <c r="B273" s="58"/>
    </row>
    <row r="274" spans="2:2" x14ac:dyDescent="0.4">
      <c r="B274" s="58"/>
    </row>
    <row r="275" spans="2:2" x14ac:dyDescent="0.4">
      <c r="B275" s="58"/>
    </row>
    <row r="276" spans="2:2" x14ac:dyDescent="0.4">
      <c r="B276" s="58"/>
    </row>
    <row r="277" spans="2:2" x14ac:dyDescent="0.4">
      <c r="B277" s="58"/>
    </row>
    <row r="278" spans="2:2" x14ac:dyDescent="0.4">
      <c r="B278" s="58"/>
    </row>
    <row r="279" spans="2:2" x14ac:dyDescent="0.4">
      <c r="B279" s="58"/>
    </row>
    <row r="280" spans="2:2" x14ac:dyDescent="0.4">
      <c r="B280" s="58"/>
    </row>
    <row r="281" spans="2:2" x14ac:dyDescent="0.4">
      <c r="B281" s="58"/>
    </row>
    <row r="282" spans="2:2" x14ac:dyDescent="0.4">
      <c r="B282" s="58"/>
    </row>
    <row r="283" spans="2:2" x14ac:dyDescent="0.4">
      <c r="B283" s="58"/>
    </row>
    <row r="284" spans="2:2" x14ac:dyDescent="0.4">
      <c r="B284" s="58"/>
    </row>
    <row r="285" spans="2:2" x14ac:dyDescent="0.4">
      <c r="B285" s="58"/>
    </row>
    <row r="286" spans="2:2" x14ac:dyDescent="0.4">
      <c r="B286" s="58"/>
    </row>
    <row r="287" spans="2:2" x14ac:dyDescent="0.4">
      <c r="B287" s="58"/>
    </row>
    <row r="288" spans="2:2" x14ac:dyDescent="0.4">
      <c r="B288" s="58"/>
    </row>
    <row r="289" spans="2:2" x14ac:dyDescent="0.4">
      <c r="B289" s="58"/>
    </row>
    <row r="290" spans="2:2" x14ac:dyDescent="0.4">
      <c r="B290" s="58"/>
    </row>
    <row r="291" spans="2:2" x14ac:dyDescent="0.4">
      <c r="B291" s="58"/>
    </row>
    <row r="292" spans="2:2" x14ac:dyDescent="0.4">
      <c r="B292" s="58"/>
    </row>
    <row r="293" spans="2:2" x14ac:dyDescent="0.4">
      <c r="B293" s="58"/>
    </row>
    <row r="294" spans="2:2" x14ac:dyDescent="0.4">
      <c r="B294" s="58"/>
    </row>
    <row r="295" spans="2:2" x14ac:dyDescent="0.4">
      <c r="B295" s="58"/>
    </row>
    <row r="296" spans="2:2" x14ac:dyDescent="0.4">
      <c r="B296" s="58"/>
    </row>
    <row r="297" spans="2:2" x14ac:dyDescent="0.4">
      <c r="B297" s="58"/>
    </row>
    <row r="298" spans="2:2" x14ac:dyDescent="0.4">
      <c r="B298" s="58"/>
    </row>
    <row r="299" spans="2:2" x14ac:dyDescent="0.4">
      <c r="B299" s="58"/>
    </row>
    <row r="300" spans="2:2" x14ac:dyDescent="0.4">
      <c r="B300" s="58"/>
    </row>
  </sheetData>
  <mergeCells count="14">
    <mergeCell ref="D2:E2"/>
    <mergeCell ref="L1:M2"/>
    <mergeCell ref="J2:K2"/>
    <mergeCell ref="H2:I2"/>
    <mergeCell ref="F2:G2"/>
    <mergeCell ref="B1:B3"/>
    <mergeCell ref="A1:A3"/>
    <mergeCell ref="N2:N3"/>
    <mergeCell ref="N1:S1"/>
    <mergeCell ref="O2:R2"/>
    <mergeCell ref="S2:S3"/>
    <mergeCell ref="C1:C3"/>
    <mergeCell ref="D1:K1"/>
    <mergeCell ref="T1:T3"/>
  </mergeCells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D7247-C8D6-4E4A-988B-63E241256ECD}">
  <sheetPr codeName="Sheet4"/>
  <dimension ref="A1:Q200"/>
  <sheetViews>
    <sheetView workbookViewId="0">
      <pane ySplit="1" topLeftCell="A125" activePane="bottomLeft" state="frozen"/>
      <selection pane="bottomLeft" activeCell="A138" sqref="A138"/>
    </sheetView>
  </sheetViews>
  <sheetFormatPr defaultRowHeight="18.75" x14ac:dyDescent="0.4"/>
  <cols>
    <col min="1" max="1" width="10" style="34" customWidth="1"/>
    <col min="2" max="2" width="7.5" style="12" customWidth="1"/>
    <col min="3" max="3" width="7.375" style="11" customWidth="1"/>
    <col min="4" max="4" width="5.375" style="12" customWidth="1"/>
    <col min="5" max="5" width="29.375" style="12" bestFit="1" customWidth="1"/>
    <col min="6" max="10" width="13.875" style="12" customWidth="1"/>
    <col min="11" max="16" width="5.75" style="12" customWidth="1"/>
    <col min="17" max="17" width="5.75" style="35" customWidth="1"/>
  </cols>
  <sheetData>
    <row r="1" spans="1:17" ht="19.5" thickBot="1" x14ac:dyDescent="0.45">
      <c r="A1" s="33" t="s">
        <v>17</v>
      </c>
      <c r="B1" s="28" t="s">
        <v>16</v>
      </c>
      <c r="C1" s="32" t="s">
        <v>18</v>
      </c>
      <c r="D1" s="28" t="s">
        <v>298</v>
      </c>
      <c r="E1" s="29" t="s">
        <v>19</v>
      </c>
      <c r="F1" s="9" t="s">
        <v>20</v>
      </c>
      <c r="G1" s="9" t="s">
        <v>21</v>
      </c>
      <c r="H1" s="9" t="s">
        <v>22</v>
      </c>
      <c r="I1" s="9" t="s">
        <v>23</v>
      </c>
      <c r="J1" s="9" t="s">
        <v>24</v>
      </c>
      <c r="K1" s="9" t="s">
        <v>83</v>
      </c>
      <c r="L1" s="9" t="s">
        <v>84</v>
      </c>
      <c r="M1" s="9" t="s">
        <v>85</v>
      </c>
      <c r="N1" s="9" t="s">
        <v>86</v>
      </c>
      <c r="O1" s="9" t="s">
        <v>87</v>
      </c>
      <c r="P1" s="9" t="s">
        <v>88</v>
      </c>
      <c r="Q1" s="30" t="s">
        <v>66</v>
      </c>
    </row>
    <row r="2" spans="1:17" x14ac:dyDescent="0.4">
      <c r="A2" s="34">
        <v>2</v>
      </c>
      <c r="B2" s="12">
        <f>IF(E2="","",COUNTIF(レシピ一覧!$D$2:$D$500,使用レシピ!E2))</f>
        <v>5</v>
      </c>
      <c r="C2" s="18" t="str">
        <f>IF(ISNUMBER(D2),D2 &amp; RIGHT("00"&amp;A2,2),"")</f>
        <v>102</v>
      </c>
      <c r="D2" s="31">
        <f>IF(COUNTIF(レシピ一覧!$B:$B,ROW()-1),ROW()-1,"")</f>
        <v>1</v>
      </c>
      <c r="E2" s="27" t="str">
        <f>IFERROR( INDEX(レシピ一覧!$D:$D,MATCH(使用レシピ!$D2,レシピ一覧!$B:$B,0))&amp;"","")</f>
        <v>鉄のインゴット</v>
      </c>
      <c r="F2" s="12" t="str">
        <f>IF($C2 = "","",INDEX(レシピ一覧!E:E,MATCH(使用レシピ!$C2,レシピ一覧!$A:$A,0))) &amp;""</f>
        <v>鉄鉱石</v>
      </c>
      <c r="G2" s="12" t="str">
        <f>IF($C2 = "","",INDEX(レシピ一覧!F:F,MATCH(使用レシピ!$C2,レシピ一覧!$A:$A,0))) &amp;""</f>
        <v>水</v>
      </c>
      <c r="H2" s="12" t="str">
        <f>IF($C2 = "","",INDEX(レシピ一覧!G:G,MATCH(使用レシピ!$C2,レシピ一覧!$A:$A,0))) &amp;""</f>
        <v/>
      </c>
      <c r="I2" s="12" t="str">
        <f>IF($C2 = "","",INDEX(レシピ一覧!H:H,MATCH(使用レシピ!$C2,レシピ一覧!$A:$A,0))) &amp;""</f>
        <v/>
      </c>
      <c r="J2" s="12" t="str">
        <f>IF($C2 = "","",INDEX(レシピ一覧!I:I,MATCH(使用レシピ!$C2,レシピ一覧!$A:$A,0))) &amp;""</f>
        <v/>
      </c>
      <c r="K2" s="12">
        <f>IFERROR((IF($C2 = "","",INDEX(レシピ一覧!J:J,MATCH(使用レシピ!$C2,レシピ一覧!$A:$A,0)))&amp;"")*1,"")</f>
        <v>7</v>
      </c>
      <c r="L2" s="12">
        <f>IFERROR((IF($C2 = "","",INDEX(レシピ一覧!K:K,MATCH(使用レシピ!$C2,レシピ一覧!$A:$A,0)))&amp;"")*1,"")</f>
        <v>4</v>
      </c>
      <c r="M2" s="12" t="str">
        <f>IFERROR((IF($C2 = "","",INDEX(レシピ一覧!L:L,MATCH(使用レシピ!$C2,レシピ一覧!$A:$A,0)))&amp;"")*1,"")</f>
        <v/>
      </c>
      <c r="N2" s="12" t="str">
        <f>IFERROR((IF($C2 = "","",INDEX(レシピ一覧!M:M,MATCH(使用レシピ!$C2,レシピ一覧!$A:$A,0)))&amp;"")*1,"")</f>
        <v/>
      </c>
      <c r="O2" s="12" t="str">
        <f>IFERROR((IF($C2 = "","",INDEX(レシピ一覧!N:N,MATCH(使用レシピ!$C2,レシピ一覧!$A:$A,0)))&amp;"")*1,"")</f>
        <v/>
      </c>
      <c r="P2" s="12">
        <f>IFERROR((IF($C2 = "","",INDEX(レシピ一覧!O:O,MATCH(使用レシピ!$C2,レシピ一覧!$A:$A,0)))&amp;"")*1,"")</f>
        <v>13</v>
      </c>
      <c r="Q2" s="35">
        <f>IFERROR((IF($C2 = "","",INDEX(レシピ一覧!P:P,MATCH(使用レシピ!$C2,レシピ一覧!$A:$A,0)))&amp;"")*1,"")</f>
        <v>65</v>
      </c>
    </row>
    <row r="3" spans="1:17" x14ac:dyDescent="0.4">
      <c r="A3" s="34">
        <v>1</v>
      </c>
      <c r="B3" s="12">
        <f>IF(E3="","",COUNTIF(レシピ一覧!$D$2:$D$500,使用レシピ!E3))</f>
        <v>2</v>
      </c>
      <c r="C3" s="18" t="str">
        <f t="shared" ref="C3:C66" si="0">IF(ISNUMBER(D3),D3 &amp; RIGHT("00"&amp;A3,2),"")</f>
        <v>201</v>
      </c>
      <c r="D3" s="31">
        <f>IF(COUNTIF(レシピ一覧!$B:$B,ROW()-1),ROW()-1,"")</f>
        <v>2</v>
      </c>
      <c r="E3" s="27" t="str">
        <f>IFERROR( INDEX(レシピ一覧!$D:$D,MATCH(使用レシピ!$D3,レシピ一覧!$B:$B,0))&amp;"","")</f>
        <v>鉄鉱石</v>
      </c>
      <c r="F3" s="12" t="str">
        <f>IF($C3 = "","",INDEX(レシピ一覧!E:E,MATCH(使用レシピ!$C3,レシピ一覧!$A:$A,0))) &amp;""</f>
        <v/>
      </c>
      <c r="G3" s="12" t="str">
        <f>IF($C3 = "","",INDEX(レシピ一覧!F:F,MATCH(使用レシピ!$C3,レシピ一覧!$A:$A,0))) &amp;""</f>
        <v/>
      </c>
      <c r="H3" s="12" t="str">
        <f>IF($C3 = "","",INDEX(レシピ一覧!G:G,MATCH(使用レシピ!$C3,レシピ一覧!$A:$A,0))) &amp;""</f>
        <v/>
      </c>
      <c r="I3" s="12" t="str">
        <f>IF($C3 = "","",INDEX(レシピ一覧!H:H,MATCH(使用レシピ!$C3,レシピ一覧!$A:$A,0))) &amp;""</f>
        <v/>
      </c>
      <c r="J3" s="12" t="str">
        <f>IF($C3 = "","",INDEX(レシピ一覧!I:I,MATCH(使用レシピ!$C3,レシピ一覧!$A:$A,0))) &amp;""</f>
        <v/>
      </c>
      <c r="K3" s="12" t="str">
        <f>IFERROR((IF($C3 = "","",INDEX(レシピ一覧!J:J,MATCH(使用レシピ!$C3,レシピ一覧!$A:$A,0)))&amp;"")*1,"")</f>
        <v/>
      </c>
      <c r="L3" s="12" t="str">
        <f>IFERROR((IF($C3 = "","",INDEX(レシピ一覧!K:K,MATCH(使用レシピ!$C3,レシピ一覧!$A:$A,0)))&amp;"")*1,"")</f>
        <v/>
      </c>
      <c r="M3" s="12" t="str">
        <f>IFERROR((IF($C3 = "","",INDEX(レシピ一覧!L:L,MATCH(使用レシピ!$C3,レシピ一覧!$A:$A,0)))&amp;"")*1,"")</f>
        <v/>
      </c>
      <c r="N3" s="12" t="str">
        <f>IFERROR((IF($C3 = "","",INDEX(レシピ一覧!M:M,MATCH(使用レシピ!$C3,レシピ一覧!$A:$A,0)))&amp;"")*1,"")</f>
        <v/>
      </c>
      <c r="O3" s="12" t="str">
        <f>IFERROR((IF($C3 = "","",INDEX(レシピ一覧!N:N,MATCH(使用レシピ!$C3,レシピ一覧!$A:$A,0)))&amp;"")*1,"")</f>
        <v/>
      </c>
      <c r="P3" s="12">
        <f>IFERROR((IF($C3 = "","",INDEX(レシピ一覧!O:O,MATCH(使用レシピ!$C3,レシピ一覧!$A:$A,0)))&amp;"")*1,"")</f>
        <v>1</v>
      </c>
      <c r="Q3" s="35">
        <f>IFERROR((IF($C3 = "","",INDEX(レシピ一覧!P:P,MATCH(使用レシピ!$C3,レシピ一覧!$A:$A,0)))&amp;"")*1,"")</f>
        <v>1200</v>
      </c>
    </row>
    <row r="4" spans="1:17" x14ac:dyDescent="0.4">
      <c r="A4" s="34">
        <v>1</v>
      </c>
      <c r="B4" s="12">
        <f>IF(E4="","",COUNTIF(レシピ一覧!$D$2:$D$500,使用レシピ!E4))</f>
        <v>3</v>
      </c>
      <c r="C4" s="18" t="str">
        <f t="shared" si="0"/>
        <v>301</v>
      </c>
      <c r="D4" s="31">
        <f>IF(COUNTIF(レシピ一覧!$B:$B,ROW()-1),ROW()-1,"")</f>
        <v>3</v>
      </c>
      <c r="E4" s="27" t="str">
        <f>IFERROR( INDEX(レシピ一覧!$D:$D,MATCH(使用レシピ!$D4,レシピ一覧!$B:$B,0))&amp;"","")</f>
        <v>鉄板</v>
      </c>
      <c r="F4" s="12" t="str">
        <f>IF($C4 = "","",INDEX(レシピ一覧!E:E,MATCH(使用レシピ!$C4,レシピ一覧!$A:$A,0))) &amp;""</f>
        <v>鉄のインゴット</v>
      </c>
      <c r="G4" s="12" t="str">
        <f>IF($C4 = "","",INDEX(レシピ一覧!F:F,MATCH(使用レシピ!$C4,レシピ一覧!$A:$A,0))) &amp;""</f>
        <v/>
      </c>
      <c r="H4" s="12" t="str">
        <f>IF($C4 = "","",INDEX(レシピ一覧!G:G,MATCH(使用レシピ!$C4,レシピ一覧!$A:$A,0))) &amp;""</f>
        <v/>
      </c>
      <c r="I4" s="12" t="str">
        <f>IF($C4 = "","",INDEX(レシピ一覧!H:H,MATCH(使用レシピ!$C4,レシピ一覧!$A:$A,0))) &amp;""</f>
        <v/>
      </c>
      <c r="J4" s="12" t="str">
        <f>IF($C4 = "","",INDEX(レシピ一覧!I:I,MATCH(使用レシピ!$C4,レシピ一覧!$A:$A,0))) &amp;""</f>
        <v/>
      </c>
      <c r="K4" s="12">
        <f>IFERROR((IF($C4 = "","",INDEX(レシピ一覧!J:J,MATCH(使用レシピ!$C4,レシピ一覧!$A:$A,0)))&amp;"")*1,"")</f>
        <v>3</v>
      </c>
      <c r="L4" s="12" t="str">
        <f>IFERROR((IF($C4 = "","",INDEX(レシピ一覧!K:K,MATCH(使用レシピ!$C4,レシピ一覧!$A:$A,0)))&amp;"")*1,"")</f>
        <v/>
      </c>
      <c r="M4" s="12" t="str">
        <f>IFERROR((IF($C4 = "","",INDEX(レシピ一覧!L:L,MATCH(使用レシピ!$C4,レシピ一覧!$A:$A,0)))&amp;"")*1,"")</f>
        <v/>
      </c>
      <c r="N4" s="12" t="str">
        <f>IFERROR((IF($C4 = "","",INDEX(レシピ一覧!M:M,MATCH(使用レシピ!$C4,レシピ一覧!$A:$A,0)))&amp;"")*1,"")</f>
        <v/>
      </c>
      <c r="O4" s="12" t="str">
        <f>IFERROR((IF($C4 = "","",INDEX(レシピ一覧!N:N,MATCH(使用レシピ!$C4,レシピ一覧!$A:$A,0)))&amp;"")*1,"")</f>
        <v/>
      </c>
      <c r="P4" s="12">
        <f>IFERROR((IF($C4 = "","",INDEX(レシピ一覧!O:O,MATCH(使用レシピ!$C4,レシピ一覧!$A:$A,0)))&amp;"")*1,"")</f>
        <v>2</v>
      </c>
      <c r="Q4" s="35">
        <f>IFERROR((IF($C4 = "","",INDEX(レシピ一覧!P:P,MATCH(使用レシピ!$C4,レシピ一覧!$A:$A,0)))&amp;"")*1,"")</f>
        <v>20</v>
      </c>
    </row>
    <row r="5" spans="1:17" x14ac:dyDescent="0.4">
      <c r="A5" s="34">
        <v>1</v>
      </c>
      <c r="B5" s="12">
        <f>IF(E5="","",COUNTIF(レシピ一覧!$D$2:$D$500,使用レシピ!E5))</f>
        <v>3</v>
      </c>
      <c r="C5" s="18" t="str">
        <f t="shared" si="0"/>
        <v>401</v>
      </c>
      <c r="D5" s="31">
        <f>IF(COUNTIF(レシピ一覧!$B:$B,ROW()-1),ROW()-1,"")</f>
        <v>4</v>
      </c>
      <c r="E5" s="27" t="str">
        <f>IFERROR( INDEX(レシピ一覧!$D:$D,MATCH(使用レシピ!$D5,レシピ一覧!$B:$B,0))&amp;"","")</f>
        <v>鉄のロッド</v>
      </c>
      <c r="F5" s="12" t="str">
        <f>IF($C5 = "","",INDEX(レシピ一覧!E:E,MATCH(使用レシピ!$C5,レシピ一覧!$A:$A,0))) &amp;""</f>
        <v>鉄のインゴット</v>
      </c>
      <c r="G5" s="12" t="str">
        <f>IF($C5 = "","",INDEX(レシピ一覧!F:F,MATCH(使用レシピ!$C5,レシピ一覧!$A:$A,0))) &amp;""</f>
        <v/>
      </c>
      <c r="H5" s="12" t="str">
        <f>IF($C5 = "","",INDEX(レシピ一覧!G:G,MATCH(使用レシピ!$C5,レシピ一覧!$A:$A,0))) &amp;""</f>
        <v/>
      </c>
      <c r="I5" s="12" t="str">
        <f>IF($C5 = "","",INDEX(レシピ一覧!H:H,MATCH(使用レシピ!$C5,レシピ一覧!$A:$A,0))) &amp;""</f>
        <v/>
      </c>
      <c r="J5" s="12" t="str">
        <f>IF($C5 = "","",INDEX(レシピ一覧!I:I,MATCH(使用レシピ!$C5,レシピ一覧!$A:$A,0))) &amp;""</f>
        <v/>
      </c>
      <c r="K5" s="12">
        <f>IFERROR((IF($C5 = "","",INDEX(レシピ一覧!J:J,MATCH(使用レシピ!$C5,レシピ一覧!$A:$A,0)))&amp;"")*1,"")</f>
        <v>1</v>
      </c>
      <c r="L5" s="12" t="str">
        <f>IFERROR((IF($C5 = "","",INDEX(レシピ一覧!K:K,MATCH(使用レシピ!$C5,レシピ一覧!$A:$A,0)))&amp;"")*1,"")</f>
        <v/>
      </c>
      <c r="M5" s="12" t="str">
        <f>IFERROR((IF($C5 = "","",INDEX(レシピ一覧!L:L,MATCH(使用レシピ!$C5,レシピ一覧!$A:$A,0)))&amp;"")*1,"")</f>
        <v/>
      </c>
      <c r="N5" s="12" t="str">
        <f>IFERROR((IF($C5 = "","",INDEX(レシピ一覧!M:M,MATCH(使用レシピ!$C5,レシピ一覧!$A:$A,0)))&amp;"")*1,"")</f>
        <v/>
      </c>
      <c r="O5" s="12" t="str">
        <f>IFERROR((IF($C5 = "","",INDEX(レシピ一覧!N:N,MATCH(使用レシピ!$C5,レシピ一覧!$A:$A,0)))&amp;"")*1,"")</f>
        <v/>
      </c>
      <c r="P5" s="12">
        <f>IFERROR((IF($C5 = "","",INDEX(レシピ一覧!O:O,MATCH(使用レシピ!$C5,レシピ一覧!$A:$A,0)))&amp;"")*1,"")</f>
        <v>1</v>
      </c>
      <c r="Q5" s="35">
        <f>IFERROR((IF($C5 = "","",INDEX(レシピ一覧!P:P,MATCH(使用レシピ!$C5,レシピ一覧!$A:$A,0)))&amp;"")*1,"")</f>
        <v>15</v>
      </c>
    </row>
    <row r="6" spans="1:17" x14ac:dyDescent="0.4">
      <c r="A6" s="34">
        <v>2</v>
      </c>
      <c r="B6" s="12">
        <f>IF(E6="","",COUNTIF(レシピ一覧!$D$2:$D$500,使用レシピ!E6))</f>
        <v>4</v>
      </c>
      <c r="C6" s="18" t="str">
        <f t="shared" si="0"/>
        <v>502</v>
      </c>
      <c r="D6" s="31">
        <f>IF(COUNTIF(レシピ一覧!$B:$B,ROW()-1),ROW()-1,"")</f>
        <v>5</v>
      </c>
      <c r="E6" s="27" t="str">
        <f>IFERROR( INDEX(レシピ一覧!$D:$D,MATCH(使用レシピ!$D6,レシピ一覧!$B:$B,0))&amp;"","")</f>
        <v>強化鉄板</v>
      </c>
      <c r="F6" s="12" t="str">
        <f>IF($C6 = "","",INDEX(レシピ一覧!E:E,MATCH(使用レシピ!$C6,レシピ一覧!$A:$A,0))) &amp;""</f>
        <v>鉄板</v>
      </c>
      <c r="G6" s="12" t="str">
        <f>IF($C6 = "","",INDEX(レシピ一覧!F:F,MATCH(使用レシピ!$C6,レシピ一覧!$A:$A,0))) &amp;""</f>
        <v>ネジ</v>
      </c>
      <c r="H6" s="12" t="str">
        <f>IF($C6 = "","",INDEX(レシピ一覧!G:G,MATCH(使用レシピ!$C6,レシピ一覧!$A:$A,0))) &amp;""</f>
        <v/>
      </c>
      <c r="I6" s="12" t="str">
        <f>IF($C6 = "","",INDEX(レシピ一覧!H:H,MATCH(使用レシピ!$C6,レシピ一覧!$A:$A,0))) &amp;""</f>
        <v/>
      </c>
      <c r="J6" s="12" t="str">
        <f>IF($C6 = "","",INDEX(レシピ一覧!I:I,MATCH(使用レシピ!$C6,レシピ一覧!$A:$A,0))) &amp;""</f>
        <v/>
      </c>
      <c r="K6" s="12">
        <f>IFERROR((IF($C6 = "","",INDEX(レシピ一覧!J:J,MATCH(使用レシピ!$C6,レシピ一覧!$A:$A,0)))&amp;"")*1,"")</f>
        <v>18</v>
      </c>
      <c r="L6" s="12">
        <f>IFERROR((IF($C6 = "","",INDEX(レシピ一覧!K:K,MATCH(使用レシピ!$C6,レシピ一覧!$A:$A,0)))&amp;"")*1,"")</f>
        <v>50</v>
      </c>
      <c r="M6" s="12" t="str">
        <f>IFERROR((IF($C6 = "","",INDEX(レシピ一覧!L:L,MATCH(使用レシピ!$C6,レシピ一覧!$A:$A,0)))&amp;"")*1,"")</f>
        <v/>
      </c>
      <c r="N6" s="12" t="str">
        <f>IFERROR((IF($C6 = "","",INDEX(レシピ一覧!M:M,MATCH(使用レシピ!$C6,レシピ一覧!$A:$A,0)))&amp;"")*1,"")</f>
        <v/>
      </c>
      <c r="O6" s="12" t="str">
        <f>IFERROR((IF($C6 = "","",INDEX(レシピ一覧!N:N,MATCH(使用レシピ!$C6,レシピ一覧!$A:$A,0)))&amp;"")*1,"")</f>
        <v/>
      </c>
      <c r="P6" s="12">
        <f>IFERROR((IF($C6 = "","",INDEX(レシピ一覧!O:O,MATCH(使用レシピ!$C6,レシピ一覧!$A:$A,0)))&amp;"")*1,"")</f>
        <v>3</v>
      </c>
      <c r="Q6" s="35">
        <f>IFERROR((IF($C6 = "","",INDEX(レシピ一覧!P:P,MATCH(使用レシピ!$C6,レシピ一覧!$A:$A,0)))&amp;"")*1,"")</f>
        <v>15</v>
      </c>
    </row>
    <row r="7" spans="1:17" x14ac:dyDescent="0.4">
      <c r="A7" s="34">
        <v>1</v>
      </c>
      <c r="B7" s="12">
        <f>IF(E7="","",COUNTIF(レシピ一覧!$D$2:$D$500,使用レシピ!E7))</f>
        <v>4</v>
      </c>
      <c r="C7" s="18" t="str">
        <f t="shared" si="0"/>
        <v>601</v>
      </c>
      <c r="D7" s="31">
        <f>IF(COUNTIF(レシピ一覧!$B:$B,ROW()-1),ROW()-1,"")</f>
        <v>6</v>
      </c>
      <c r="E7" s="27" t="str">
        <f>IFERROR( INDEX(レシピ一覧!$D:$D,MATCH(使用レシピ!$D7,レシピ一覧!$B:$B,0))&amp;"","")</f>
        <v>ケーブル</v>
      </c>
      <c r="F7" s="12" t="str">
        <f>IF($C7 = "","",INDEX(レシピ一覧!E:E,MATCH(使用レシピ!$C7,レシピ一覧!$A:$A,0))) &amp;""</f>
        <v>ワイヤー</v>
      </c>
      <c r="G7" s="12" t="str">
        <f>IF($C7 = "","",INDEX(レシピ一覧!F:F,MATCH(使用レシピ!$C7,レシピ一覧!$A:$A,0))) &amp;""</f>
        <v/>
      </c>
      <c r="H7" s="12" t="str">
        <f>IF($C7 = "","",INDEX(レシピ一覧!G:G,MATCH(使用レシピ!$C7,レシピ一覧!$A:$A,0))) &amp;""</f>
        <v/>
      </c>
      <c r="I7" s="12" t="str">
        <f>IF($C7 = "","",INDEX(レシピ一覧!H:H,MATCH(使用レシピ!$C7,レシピ一覧!$A:$A,0))) &amp;""</f>
        <v/>
      </c>
      <c r="J7" s="12" t="str">
        <f>IF($C7 = "","",INDEX(レシピ一覧!I:I,MATCH(使用レシピ!$C7,レシピ一覧!$A:$A,0))) &amp;""</f>
        <v/>
      </c>
      <c r="K7" s="12">
        <f>IFERROR((IF($C7 = "","",INDEX(レシピ一覧!J:J,MATCH(使用レシピ!$C7,レシピ一覧!$A:$A,0)))&amp;"")*1,"")</f>
        <v>2</v>
      </c>
      <c r="L7" s="12" t="str">
        <f>IFERROR((IF($C7 = "","",INDEX(レシピ一覧!K:K,MATCH(使用レシピ!$C7,レシピ一覧!$A:$A,0)))&amp;"")*1,"")</f>
        <v/>
      </c>
      <c r="M7" s="12" t="str">
        <f>IFERROR((IF($C7 = "","",INDEX(レシピ一覧!L:L,MATCH(使用レシピ!$C7,レシピ一覧!$A:$A,0)))&amp;"")*1,"")</f>
        <v/>
      </c>
      <c r="N7" s="12" t="str">
        <f>IFERROR((IF($C7 = "","",INDEX(レシピ一覧!M:M,MATCH(使用レシピ!$C7,レシピ一覧!$A:$A,0)))&amp;"")*1,"")</f>
        <v/>
      </c>
      <c r="O7" s="12" t="str">
        <f>IFERROR((IF($C7 = "","",INDEX(レシピ一覧!N:N,MATCH(使用レシピ!$C7,レシピ一覧!$A:$A,0)))&amp;"")*1,"")</f>
        <v/>
      </c>
      <c r="P7" s="12">
        <f>IFERROR((IF($C7 = "","",INDEX(レシピ一覧!O:O,MATCH(使用レシピ!$C7,レシピ一覧!$A:$A,0)))&amp;"")*1,"")</f>
        <v>1</v>
      </c>
      <c r="Q7" s="35">
        <f>IFERROR((IF($C7 = "","",INDEX(レシピ一覧!P:P,MATCH(使用レシピ!$C7,レシピ一覧!$A:$A,0)))&amp;"")*1,"")</f>
        <v>30</v>
      </c>
    </row>
    <row r="8" spans="1:17" x14ac:dyDescent="0.4">
      <c r="A8" s="34">
        <v>1</v>
      </c>
      <c r="B8" s="12">
        <f>IF(E8="","",COUNTIF(レシピ一覧!$D$2:$D$500,使用レシピ!E8))</f>
        <v>4</v>
      </c>
      <c r="C8" s="18" t="str">
        <f t="shared" si="0"/>
        <v>701</v>
      </c>
      <c r="D8" s="31">
        <f>IF(COUNTIF(レシピ一覧!$B:$B,ROW()-1),ROW()-1,"")</f>
        <v>7</v>
      </c>
      <c r="E8" s="27" t="str">
        <f>IFERROR( INDEX(レシピ一覧!$D:$D,MATCH(使用レシピ!$D8,レシピ一覧!$B:$B,0))&amp;"","")</f>
        <v>ワイヤー</v>
      </c>
      <c r="F8" s="12" t="str">
        <f>IF($C8 = "","",INDEX(レシピ一覧!E:E,MATCH(使用レシピ!$C8,レシピ一覧!$A:$A,0))) &amp;""</f>
        <v>銅のインゴット</v>
      </c>
      <c r="G8" s="12" t="str">
        <f>IF($C8 = "","",INDEX(レシピ一覧!F:F,MATCH(使用レシピ!$C8,レシピ一覧!$A:$A,0))) &amp;""</f>
        <v/>
      </c>
      <c r="H8" s="12" t="str">
        <f>IF($C8 = "","",INDEX(レシピ一覧!G:G,MATCH(使用レシピ!$C8,レシピ一覧!$A:$A,0))) &amp;""</f>
        <v/>
      </c>
      <c r="I8" s="12" t="str">
        <f>IF($C8 = "","",INDEX(レシピ一覧!H:H,MATCH(使用レシピ!$C8,レシピ一覧!$A:$A,0))) &amp;""</f>
        <v/>
      </c>
      <c r="J8" s="12" t="str">
        <f>IF($C8 = "","",INDEX(レシピ一覧!I:I,MATCH(使用レシピ!$C8,レシピ一覧!$A:$A,0))) &amp;""</f>
        <v/>
      </c>
      <c r="K8" s="12">
        <f>IFERROR((IF($C8 = "","",INDEX(レシピ一覧!J:J,MATCH(使用レシピ!$C8,レシピ一覧!$A:$A,0)))&amp;"")*1,"")</f>
        <v>1</v>
      </c>
      <c r="L8" s="12" t="str">
        <f>IFERROR((IF($C8 = "","",INDEX(レシピ一覧!K:K,MATCH(使用レシピ!$C8,レシピ一覧!$A:$A,0)))&amp;"")*1,"")</f>
        <v/>
      </c>
      <c r="M8" s="12" t="str">
        <f>IFERROR((IF($C8 = "","",INDEX(レシピ一覧!L:L,MATCH(使用レシピ!$C8,レシピ一覧!$A:$A,0)))&amp;"")*1,"")</f>
        <v/>
      </c>
      <c r="N8" s="12" t="str">
        <f>IFERROR((IF($C8 = "","",INDEX(レシピ一覧!M:M,MATCH(使用レシピ!$C8,レシピ一覧!$A:$A,0)))&amp;"")*1,"")</f>
        <v/>
      </c>
      <c r="O8" s="12" t="str">
        <f>IFERROR((IF($C8 = "","",INDEX(レシピ一覧!N:N,MATCH(使用レシピ!$C8,レシピ一覧!$A:$A,0)))&amp;"")*1,"")</f>
        <v/>
      </c>
      <c r="P8" s="12">
        <f>IFERROR((IF($C8 = "","",INDEX(レシピ一覧!O:O,MATCH(使用レシピ!$C8,レシピ一覧!$A:$A,0)))&amp;"")*1,"")</f>
        <v>2</v>
      </c>
      <c r="Q8" s="35">
        <f>IFERROR((IF($C8 = "","",INDEX(レシピ一覧!P:P,MATCH(使用レシピ!$C8,レシピ一覧!$A:$A,0)))&amp;"")*1,"")</f>
        <v>30</v>
      </c>
    </row>
    <row r="9" spans="1:17" x14ac:dyDescent="0.4">
      <c r="A9" s="34">
        <v>4</v>
      </c>
      <c r="B9" s="12">
        <f>IF(E9="","",COUNTIF(レシピ一覧!$D$2:$D$500,使用レシピ!E9))</f>
        <v>5</v>
      </c>
      <c r="C9" s="18" t="str">
        <f t="shared" si="0"/>
        <v>804</v>
      </c>
      <c r="D9" s="31">
        <f>IF(COUNTIF(レシピ一覧!$B:$B,ROW()-1),ROW()-1,"")</f>
        <v>8</v>
      </c>
      <c r="E9" s="27" t="str">
        <f>IFERROR( INDEX(レシピ一覧!$D:$D,MATCH(使用レシピ!$D9,レシピ一覧!$B:$B,0))&amp;"","")</f>
        <v>銅のインゴット</v>
      </c>
      <c r="F9" s="12" t="str">
        <f>IF($C9 = "","",INDEX(レシピ一覧!E:E,MATCH(使用レシピ!$C9,レシピ一覧!$A:$A,0))) &amp;""</f>
        <v>銅鉱石</v>
      </c>
      <c r="G9" s="12" t="str">
        <f>IF($C9 = "","",INDEX(レシピ一覧!F:F,MATCH(使用レシピ!$C9,レシピ一覧!$A:$A,0))) &amp;""</f>
        <v>水</v>
      </c>
      <c r="H9" s="12" t="str">
        <f>IF($C9 = "","",INDEX(レシピ一覧!G:G,MATCH(使用レシピ!$C9,レシピ一覧!$A:$A,0))) &amp;""</f>
        <v/>
      </c>
      <c r="I9" s="12" t="str">
        <f>IF($C9 = "","",INDEX(レシピ一覧!H:H,MATCH(使用レシピ!$C9,レシピ一覧!$A:$A,0))) &amp;""</f>
        <v/>
      </c>
      <c r="J9" s="12" t="str">
        <f>IF($C9 = "","",INDEX(レシピ一覧!I:I,MATCH(使用レシピ!$C9,レシピ一覧!$A:$A,0))) &amp;""</f>
        <v/>
      </c>
      <c r="K9" s="12">
        <f>IFERROR((IF($C9 = "","",INDEX(レシピ一覧!J:J,MATCH(使用レシピ!$C9,レシピ一覧!$A:$A,0)))&amp;"")*1,"")</f>
        <v>6</v>
      </c>
      <c r="L9" s="12">
        <f>IFERROR((IF($C9 = "","",INDEX(レシピ一覧!K:K,MATCH(使用レシピ!$C9,レシピ一覧!$A:$A,0)))&amp;"")*1,"")</f>
        <v>4</v>
      </c>
      <c r="M9" s="12" t="str">
        <f>IFERROR((IF($C9 = "","",INDEX(レシピ一覧!L:L,MATCH(使用レシピ!$C9,レシピ一覧!$A:$A,0)))&amp;"")*1,"")</f>
        <v/>
      </c>
      <c r="N9" s="12" t="str">
        <f>IFERROR((IF($C9 = "","",INDEX(レシピ一覧!M:M,MATCH(使用レシピ!$C9,レシピ一覧!$A:$A,0)))&amp;"")*1,"")</f>
        <v/>
      </c>
      <c r="O9" s="12" t="str">
        <f>IFERROR((IF($C9 = "","",INDEX(レシピ一覧!N:N,MATCH(使用レシピ!$C9,レシピ一覧!$A:$A,0)))&amp;"")*1,"")</f>
        <v/>
      </c>
      <c r="P9" s="12">
        <f>IFERROR((IF($C9 = "","",INDEX(レシピ一覧!O:O,MATCH(使用レシピ!$C9,レシピ一覧!$A:$A,0)))&amp;"")*1,"")</f>
        <v>15</v>
      </c>
      <c r="Q9" s="35">
        <f>IFERROR((IF($C9 = "","",INDEX(レシピ一覧!P:P,MATCH(使用レシピ!$C9,レシピ一覧!$A:$A,0)))&amp;"")*1,"")</f>
        <v>37.5</v>
      </c>
    </row>
    <row r="10" spans="1:17" x14ac:dyDescent="0.4">
      <c r="A10" s="34">
        <v>1</v>
      </c>
      <c r="B10" s="12">
        <f>IF(E10="","",COUNTIF(レシピ一覧!$D$2:$D$500,使用レシピ!E10))</f>
        <v>3</v>
      </c>
      <c r="C10" s="18" t="str">
        <f t="shared" si="0"/>
        <v>901</v>
      </c>
      <c r="D10" s="31">
        <f>IF(COUNTIF(レシピ一覧!$B:$B,ROW()-1),ROW()-1,"")</f>
        <v>9</v>
      </c>
      <c r="E10" s="27" t="str">
        <f>IFERROR( INDEX(レシピ一覧!$D:$D,MATCH(使用レシピ!$D10,レシピ一覧!$B:$B,0))&amp;"","")</f>
        <v>銅鉱石</v>
      </c>
      <c r="F10" s="12" t="str">
        <f>IF($C10 = "","",INDEX(レシピ一覧!E:E,MATCH(使用レシピ!$C10,レシピ一覧!$A:$A,0))) &amp;""</f>
        <v/>
      </c>
      <c r="G10" s="12" t="str">
        <f>IF($C10 = "","",INDEX(レシピ一覧!F:F,MATCH(使用レシピ!$C10,レシピ一覧!$A:$A,0))) &amp;""</f>
        <v/>
      </c>
      <c r="H10" s="12" t="str">
        <f>IF($C10 = "","",INDEX(レシピ一覧!G:G,MATCH(使用レシピ!$C10,レシピ一覧!$A:$A,0))) &amp;""</f>
        <v/>
      </c>
      <c r="I10" s="12" t="str">
        <f>IF($C10 = "","",INDEX(レシピ一覧!H:H,MATCH(使用レシピ!$C10,レシピ一覧!$A:$A,0))) &amp;""</f>
        <v/>
      </c>
      <c r="J10" s="12" t="str">
        <f>IF($C10 = "","",INDEX(レシピ一覧!I:I,MATCH(使用レシピ!$C10,レシピ一覧!$A:$A,0))) &amp;""</f>
        <v/>
      </c>
      <c r="K10" s="12" t="str">
        <f>IFERROR((IF($C10 = "","",INDEX(レシピ一覧!J:J,MATCH(使用レシピ!$C10,レシピ一覧!$A:$A,0)))&amp;"")*1,"")</f>
        <v/>
      </c>
      <c r="L10" s="12" t="str">
        <f>IFERROR((IF($C10 = "","",INDEX(レシピ一覧!K:K,MATCH(使用レシピ!$C10,レシピ一覧!$A:$A,0)))&amp;"")*1,"")</f>
        <v/>
      </c>
      <c r="M10" s="12" t="str">
        <f>IFERROR((IF($C10 = "","",INDEX(レシピ一覧!L:L,MATCH(使用レシピ!$C10,レシピ一覧!$A:$A,0)))&amp;"")*1,"")</f>
        <v/>
      </c>
      <c r="N10" s="12" t="str">
        <f>IFERROR((IF($C10 = "","",INDEX(レシピ一覧!M:M,MATCH(使用レシピ!$C10,レシピ一覧!$A:$A,0)))&amp;"")*1,"")</f>
        <v/>
      </c>
      <c r="O10" s="12" t="str">
        <f>IFERROR((IF($C10 = "","",INDEX(レシピ一覧!N:N,MATCH(使用レシピ!$C10,レシピ一覧!$A:$A,0)))&amp;"")*1,"")</f>
        <v/>
      </c>
      <c r="P10" s="12">
        <f>IFERROR((IF($C10 = "","",INDEX(レシピ一覧!O:O,MATCH(使用レシピ!$C10,レシピ一覧!$A:$A,0)))&amp;"")*1,"")</f>
        <v>1</v>
      </c>
      <c r="Q10" s="35">
        <f>IFERROR((IF($C10 = "","",INDEX(レシピ一覧!P:P,MATCH(使用レシピ!$C10,レシピ一覧!$A:$A,0)))&amp;"")*1,"")</f>
        <v>1200</v>
      </c>
    </row>
    <row r="11" spans="1:17" x14ac:dyDescent="0.4">
      <c r="A11" s="34">
        <v>3</v>
      </c>
      <c r="B11" s="12">
        <f>IF(E11="","",COUNTIF(レシピ一覧!$D$2:$D$500,使用レシピ!E11))</f>
        <v>4</v>
      </c>
      <c r="C11" s="18" t="str">
        <f t="shared" si="0"/>
        <v>1003</v>
      </c>
      <c r="D11" s="31">
        <f>IF(COUNTIF(レシピ一覧!$B:$B,ROW()-1),ROW()-1,"")</f>
        <v>10</v>
      </c>
      <c r="E11" s="27" t="str">
        <f>IFERROR( INDEX(レシピ一覧!$D:$D,MATCH(使用レシピ!$D11,レシピ一覧!$B:$B,0))&amp;"","")</f>
        <v>コンクリート</v>
      </c>
      <c r="F11" s="12" t="str">
        <f>IF($C11 = "","",INDEX(レシピ一覧!E:E,MATCH(使用レシピ!$C11,レシピ一覧!$A:$A,0))) &amp;""</f>
        <v>石灰岩</v>
      </c>
      <c r="G11" s="12" t="str">
        <f>IF($C11 = "","",INDEX(レシピ一覧!F:F,MATCH(使用レシピ!$C11,レシピ一覧!$A:$A,0))) &amp;""</f>
        <v>水</v>
      </c>
      <c r="H11" s="12" t="str">
        <f>IF($C11 = "","",INDEX(レシピ一覧!G:G,MATCH(使用レシピ!$C11,レシピ一覧!$A:$A,0))) &amp;""</f>
        <v/>
      </c>
      <c r="I11" s="12" t="str">
        <f>IF($C11 = "","",INDEX(レシピ一覧!H:H,MATCH(使用レシピ!$C11,レシピ一覧!$A:$A,0))) &amp;""</f>
        <v/>
      </c>
      <c r="J11" s="12" t="str">
        <f>IF($C11 = "","",INDEX(レシピ一覧!I:I,MATCH(使用レシピ!$C11,レシピ一覧!$A:$A,0))) &amp;""</f>
        <v/>
      </c>
      <c r="K11" s="12">
        <f>IFERROR((IF($C11 = "","",INDEX(レシピ一覧!J:J,MATCH(使用レシピ!$C11,レシピ一覧!$A:$A,0)))&amp;"")*1,"")</f>
        <v>6</v>
      </c>
      <c r="L11" s="12">
        <f>IFERROR((IF($C11 = "","",INDEX(レシピ一覧!K:K,MATCH(使用レシピ!$C11,レシピ一覧!$A:$A,0)))&amp;"")*1,"")</f>
        <v>5</v>
      </c>
      <c r="M11" s="12" t="str">
        <f>IFERROR((IF($C11 = "","",INDEX(レシピ一覧!L:L,MATCH(使用レシピ!$C11,レシピ一覧!$A:$A,0)))&amp;"")*1,"")</f>
        <v/>
      </c>
      <c r="N11" s="12" t="str">
        <f>IFERROR((IF($C11 = "","",INDEX(レシピ一覧!M:M,MATCH(使用レシピ!$C11,レシピ一覧!$A:$A,0)))&amp;"")*1,"")</f>
        <v/>
      </c>
      <c r="O11" s="12" t="str">
        <f>IFERROR((IF($C11 = "","",INDEX(レシピ一覧!N:N,MATCH(使用レシピ!$C11,レシピ一覧!$A:$A,0)))&amp;"")*1,"")</f>
        <v/>
      </c>
      <c r="P11" s="12">
        <f>IFERROR((IF($C11 = "","",INDEX(レシピ一覧!O:O,MATCH(使用レシピ!$C11,レシピ一覧!$A:$A,0)))&amp;"")*1,"")</f>
        <v>4</v>
      </c>
      <c r="Q11" s="35">
        <f>IFERROR((IF($C11 = "","",INDEX(レシピ一覧!P:P,MATCH(使用レシピ!$C11,レシピ一覧!$A:$A,0)))&amp;"")*1,"")</f>
        <v>80</v>
      </c>
    </row>
    <row r="12" spans="1:17" x14ac:dyDescent="0.4">
      <c r="A12" s="34">
        <v>1</v>
      </c>
      <c r="B12" s="12">
        <f>IF(E12="","",COUNTIF(レシピ一覧!$D$2:$D$500,使用レシピ!E12))</f>
        <v>2</v>
      </c>
      <c r="C12" s="18" t="str">
        <f t="shared" si="0"/>
        <v>1101</v>
      </c>
      <c r="D12" s="31">
        <f>IF(COUNTIF(レシピ一覧!$B:$B,ROW()-1),ROW()-1,"")</f>
        <v>11</v>
      </c>
      <c r="E12" s="27" t="str">
        <f>IFERROR( INDEX(レシピ一覧!$D:$D,MATCH(使用レシピ!$D12,レシピ一覧!$B:$B,0))&amp;"","")</f>
        <v>石灰岩</v>
      </c>
      <c r="F12" s="12" t="str">
        <f>IF($C12 = "","",INDEX(レシピ一覧!E:E,MATCH(使用レシピ!$C12,レシピ一覧!$A:$A,0))) &amp;""</f>
        <v/>
      </c>
      <c r="G12" s="12" t="str">
        <f>IF($C12 = "","",INDEX(レシピ一覧!F:F,MATCH(使用レシピ!$C12,レシピ一覧!$A:$A,0))) &amp;""</f>
        <v/>
      </c>
      <c r="H12" s="12" t="str">
        <f>IF($C12 = "","",INDEX(レシピ一覧!G:G,MATCH(使用レシピ!$C12,レシピ一覧!$A:$A,0))) &amp;""</f>
        <v/>
      </c>
      <c r="I12" s="12" t="str">
        <f>IF($C12 = "","",INDEX(レシピ一覧!H:H,MATCH(使用レシピ!$C12,レシピ一覧!$A:$A,0))) &amp;""</f>
        <v/>
      </c>
      <c r="J12" s="12" t="str">
        <f>IF($C12 = "","",INDEX(レシピ一覧!I:I,MATCH(使用レシピ!$C12,レシピ一覧!$A:$A,0))) &amp;""</f>
        <v/>
      </c>
      <c r="K12" s="12" t="str">
        <f>IFERROR((IF($C12 = "","",INDEX(レシピ一覧!J:J,MATCH(使用レシピ!$C12,レシピ一覧!$A:$A,0)))&amp;"")*1,"")</f>
        <v/>
      </c>
      <c r="L12" s="12" t="str">
        <f>IFERROR((IF($C12 = "","",INDEX(レシピ一覧!K:K,MATCH(使用レシピ!$C12,レシピ一覧!$A:$A,0)))&amp;"")*1,"")</f>
        <v/>
      </c>
      <c r="M12" s="12" t="str">
        <f>IFERROR((IF($C12 = "","",INDEX(レシピ一覧!L:L,MATCH(使用レシピ!$C12,レシピ一覧!$A:$A,0)))&amp;"")*1,"")</f>
        <v/>
      </c>
      <c r="N12" s="12" t="str">
        <f>IFERROR((IF($C12 = "","",INDEX(レシピ一覧!M:M,MATCH(使用レシピ!$C12,レシピ一覧!$A:$A,0)))&amp;"")*1,"")</f>
        <v/>
      </c>
      <c r="O12" s="12" t="str">
        <f>IFERROR((IF($C12 = "","",INDEX(レシピ一覧!N:N,MATCH(使用レシピ!$C12,レシピ一覧!$A:$A,0)))&amp;"")*1,"")</f>
        <v/>
      </c>
      <c r="P12" s="12">
        <f>IFERROR((IF($C12 = "","",INDEX(レシピ一覧!O:O,MATCH(使用レシピ!$C12,レシピ一覧!$A:$A,0)))&amp;"")*1,"")</f>
        <v>1</v>
      </c>
      <c r="Q12" s="35">
        <f>IFERROR((IF($C12 = "","",INDEX(レシピ一覧!P:P,MATCH(使用レシピ!$C12,レシピ一覧!$A:$A,0)))&amp;"")*1,"")</f>
        <v>1200</v>
      </c>
    </row>
    <row r="13" spans="1:17" x14ac:dyDescent="0.4">
      <c r="A13" s="34">
        <v>2</v>
      </c>
      <c r="B13" s="12">
        <f>IF(E13="","",COUNTIF(レシピ一覧!$D$2:$D$500,使用レシピ!E13))</f>
        <v>3</v>
      </c>
      <c r="C13" s="18" t="str">
        <f t="shared" si="0"/>
        <v>1202</v>
      </c>
      <c r="D13" s="31">
        <f>IF(COUNTIF(レシピ一覧!$B:$B,ROW()-1),ROW()-1,"")</f>
        <v>12</v>
      </c>
      <c r="E13" s="27" t="str">
        <f>IFERROR( INDEX(レシピ一覧!$D:$D,MATCH(使用レシピ!$D13,レシピ一覧!$B:$B,0))&amp;"","")</f>
        <v>ネジ</v>
      </c>
      <c r="F13" s="12" t="str">
        <f>IF($C13 = "","",INDEX(レシピ一覧!E:E,MATCH(使用レシピ!$C13,レシピ一覧!$A:$A,0))) &amp;""</f>
        <v>鋼梁</v>
      </c>
      <c r="G13" s="12" t="str">
        <f>IF($C13 = "","",INDEX(レシピ一覧!F:F,MATCH(使用レシピ!$C13,レシピ一覧!$A:$A,0))) &amp;""</f>
        <v/>
      </c>
      <c r="H13" s="12" t="str">
        <f>IF($C13 = "","",INDEX(レシピ一覧!G:G,MATCH(使用レシピ!$C13,レシピ一覧!$A:$A,0))) &amp;""</f>
        <v/>
      </c>
      <c r="I13" s="12" t="str">
        <f>IF($C13 = "","",INDEX(レシピ一覧!H:H,MATCH(使用レシピ!$C13,レシピ一覧!$A:$A,0))) &amp;""</f>
        <v/>
      </c>
      <c r="J13" s="12" t="str">
        <f>IF($C13 = "","",INDEX(レシピ一覧!I:I,MATCH(使用レシピ!$C13,レシピ一覧!$A:$A,0))) &amp;""</f>
        <v/>
      </c>
      <c r="K13" s="12">
        <f>IFERROR((IF($C13 = "","",INDEX(レシピ一覧!J:J,MATCH(使用レシピ!$C13,レシピ一覧!$A:$A,0)))&amp;"")*1,"")</f>
        <v>1</v>
      </c>
      <c r="L13" s="12" t="str">
        <f>IFERROR((IF($C13 = "","",INDEX(レシピ一覧!K:K,MATCH(使用レシピ!$C13,レシピ一覧!$A:$A,0)))&amp;"")*1,"")</f>
        <v/>
      </c>
      <c r="M13" s="12" t="str">
        <f>IFERROR((IF($C13 = "","",INDEX(レシピ一覧!L:L,MATCH(使用レシピ!$C13,レシピ一覧!$A:$A,0)))&amp;"")*1,"")</f>
        <v/>
      </c>
      <c r="N13" s="12" t="str">
        <f>IFERROR((IF($C13 = "","",INDEX(レシピ一覧!M:M,MATCH(使用レシピ!$C13,レシピ一覧!$A:$A,0)))&amp;"")*1,"")</f>
        <v/>
      </c>
      <c r="O13" s="12" t="str">
        <f>IFERROR((IF($C13 = "","",INDEX(レシピ一覧!N:N,MATCH(使用レシピ!$C13,レシピ一覧!$A:$A,0)))&amp;"")*1,"")</f>
        <v/>
      </c>
      <c r="P13" s="12">
        <f>IFERROR((IF($C13 = "","",INDEX(レシピ一覧!O:O,MATCH(使用レシピ!$C13,レシピ一覧!$A:$A,0)))&amp;"")*1,"")</f>
        <v>52</v>
      </c>
      <c r="Q13" s="35">
        <f>IFERROR((IF($C13 = "","",INDEX(レシピ一覧!P:P,MATCH(使用レシピ!$C13,レシピ一覧!$A:$A,0)))&amp;"")*1,"")</f>
        <v>260</v>
      </c>
    </row>
    <row r="14" spans="1:17" x14ac:dyDescent="0.4">
      <c r="A14" s="34">
        <v>1</v>
      </c>
      <c r="B14" s="12">
        <f>IF(E14="","",COUNTIF(レシピ一覧!$D$2:$D$500,使用レシピ!E14))</f>
        <v>4</v>
      </c>
      <c r="C14" s="18" t="str">
        <f t="shared" si="0"/>
        <v>1301</v>
      </c>
      <c r="D14" s="31">
        <f>IF(COUNTIF(レシピ一覧!$B:$B,ROW()-1),ROW()-1,"")</f>
        <v>13</v>
      </c>
      <c r="E14" s="27" t="str">
        <f>IFERROR( INDEX(レシピ一覧!$D:$D,MATCH(使用レシピ!$D14,レシピ一覧!$B:$B,0))&amp;"","")</f>
        <v>バイオマス</v>
      </c>
      <c r="F14" s="12" t="str">
        <f>IF($C14 = "","",INDEX(レシピ一覧!E:E,MATCH(使用レシピ!$C14,レシピ一覧!$A:$A,0))) &amp;""</f>
        <v>木</v>
      </c>
      <c r="G14" s="12" t="str">
        <f>IF($C14 = "","",INDEX(レシピ一覧!F:F,MATCH(使用レシピ!$C14,レシピ一覧!$A:$A,0))) &amp;""</f>
        <v/>
      </c>
      <c r="H14" s="12" t="str">
        <f>IF($C14 = "","",INDEX(レシピ一覧!G:G,MATCH(使用レシピ!$C14,レシピ一覧!$A:$A,0))) &amp;""</f>
        <v/>
      </c>
      <c r="I14" s="12" t="str">
        <f>IF($C14 = "","",INDEX(レシピ一覧!H:H,MATCH(使用レシピ!$C14,レシピ一覧!$A:$A,0))) &amp;""</f>
        <v/>
      </c>
      <c r="J14" s="12" t="str">
        <f>IF($C14 = "","",INDEX(レシピ一覧!I:I,MATCH(使用レシピ!$C14,レシピ一覧!$A:$A,0))) &amp;""</f>
        <v/>
      </c>
      <c r="K14" s="12">
        <f>IFERROR((IF($C14 = "","",INDEX(レシピ一覧!J:J,MATCH(使用レシピ!$C14,レシピ一覧!$A:$A,0)))&amp;"")*1,"")</f>
        <v>4</v>
      </c>
      <c r="L14" s="12" t="str">
        <f>IFERROR((IF($C14 = "","",INDEX(レシピ一覧!K:K,MATCH(使用レシピ!$C14,レシピ一覧!$A:$A,0)))&amp;"")*1,"")</f>
        <v/>
      </c>
      <c r="M14" s="12" t="str">
        <f>IFERROR((IF($C14 = "","",INDEX(レシピ一覧!L:L,MATCH(使用レシピ!$C14,レシピ一覧!$A:$A,0)))&amp;"")*1,"")</f>
        <v/>
      </c>
      <c r="N14" s="12" t="str">
        <f>IFERROR((IF($C14 = "","",INDEX(レシピ一覧!M:M,MATCH(使用レシピ!$C14,レシピ一覧!$A:$A,0)))&amp;"")*1,"")</f>
        <v/>
      </c>
      <c r="O14" s="12" t="str">
        <f>IFERROR((IF($C14 = "","",INDEX(レシピ一覧!N:N,MATCH(使用レシピ!$C14,レシピ一覧!$A:$A,0)))&amp;"")*1,"")</f>
        <v/>
      </c>
      <c r="P14" s="12">
        <f>IFERROR((IF($C14 = "","",INDEX(レシピ一覧!O:O,MATCH(使用レシピ!$C14,レシピ一覧!$A:$A,0)))&amp;"")*1,"")</f>
        <v>20</v>
      </c>
      <c r="Q14" s="35">
        <f>IFERROR((IF($C14 = "","",INDEX(レシピ一覧!P:P,MATCH(使用レシピ!$C14,レシピ一覧!$A:$A,0)))&amp;"")*1,"")</f>
        <v>300</v>
      </c>
    </row>
    <row r="15" spans="1:17" x14ac:dyDescent="0.4">
      <c r="A15" s="34">
        <v>1</v>
      </c>
      <c r="B15" s="12">
        <f>IF(E15="","",COUNTIF(レシピ一覧!$D$2:$D$500,使用レシピ!E15))</f>
        <v>1</v>
      </c>
      <c r="C15" s="18" t="str">
        <f t="shared" si="0"/>
        <v>1401</v>
      </c>
      <c r="D15" s="31">
        <f>IF(COUNTIF(レシピ一覧!$B:$B,ROW()-1),ROW()-1,"")</f>
        <v>14</v>
      </c>
      <c r="E15" s="27" t="str">
        <f>IFERROR( INDEX(レシピ一覧!$D:$D,MATCH(使用レシピ!$D15,レシピ一覧!$B:$B,0))&amp;"","")</f>
        <v>木</v>
      </c>
      <c r="F15" s="12" t="str">
        <f>IF($C15 = "","",INDEX(レシピ一覧!E:E,MATCH(使用レシピ!$C15,レシピ一覧!$A:$A,0))) &amp;""</f>
        <v/>
      </c>
      <c r="G15" s="12" t="str">
        <f>IF($C15 = "","",INDEX(レシピ一覧!F:F,MATCH(使用レシピ!$C15,レシピ一覧!$A:$A,0))) &amp;""</f>
        <v/>
      </c>
      <c r="H15" s="12" t="str">
        <f>IF($C15 = "","",INDEX(レシピ一覧!G:G,MATCH(使用レシピ!$C15,レシピ一覧!$A:$A,0))) &amp;""</f>
        <v/>
      </c>
      <c r="I15" s="12" t="str">
        <f>IF($C15 = "","",INDEX(レシピ一覧!H:H,MATCH(使用レシピ!$C15,レシピ一覧!$A:$A,0))) &amp;""</f>
        <v/>
      </c>
      <c r="J15" s="12" t="str">
        <f>IF($C15 = "","",INDEX(レシピ一覧!I:I,MATCH(使用レシピ!$C15,レシピ一覧!$A:$A,0))) &amp;""</f>
        <v/>
      </c>
      <c r="K15" s="12" t="str">
        <f>IFERROR((IF($C15 = "","",INDEX(レシピ一覧!J:J,MATCH(使用レシピ!$C15,レシピ一覧!$A:$A,0)))&amp;"")*1,"")</f>
        <v/>
      </c>
      <c r="L15" s="12" t="str">
        <f>IFERROR((IF($C15 = "","",INDEX(レシピ一覧!K:K,MATCH(使用レシピ!$C15,レシピ一覧!$A:$A,0)))&amp;"")*1,"")</f>
        <v/>
      </c>
      <c r="M15" s="12" t="str">
        <f>IFERROR((IF($C15 = "","",INDEX(レシピ一覧!L:L,MATCH(使用レシピ!$C15,レシピ一覧!$A:$A,0)))&amp;"")*1,"")</f>
        <v/>
      </c>
      <c r="N15" s="12" t="str">
        <f>IFERROR((IF($C15 = "","",INDEX(レシピ一覧!M:M,MATCH(使用レシピ!$C15,レシピ一覧!$A:$A,0)))&amp;"")*1,"")</f>
        <v/>
      </c>
      <c r="O15" s="12" t="str">
        <f>IFERROR((IF($C15 = "","",INDEX(レシピ一覧!N:N,MATCH(使用レシピ!$C15,レシピ一覧!$A:$A,0)))&amp;"")*1,"")</f>
        <v/>
      </c>
      <c r="P15" s="12">
        <f>IFERROR((IF($C15 = "","",INDEX(レシピ一覧!O:O,MATCH(使用レシピ!$C15,レシピ一覧!$A:$A,0)))&amp;"")*1,"")</f>
        <v>1</v>
      </c>
      <c r="Q15" s="35">
        <f>IFERROR((IF($C15 = "","",INDEX(レシピ一覧!P:P,MATCH(使用レシピ!$C15,レシピ一覧!$A:$A,0)))&amp;"")*1,"")</f>
        <v>1</v>
      </c>
    </row>
    <row r="16" spans="1:17" x14ac:dyDescent="0.4">
      <c r="A16" s="34">
        <v>1</v>
      </c>
      <c r="B16" s="12">
        <f>IF(E16="","",COUNTIF(レシピ一覧!$D$2:$D$500,使用レシピ!E16))</f>
        <v>1</v>
      </c>
      <c r="C16" s="18" t="str">
        <f t="shared" si="0"/>
        <v>1501</v>
      </c>
      <c r="D16" s="31">
        <f>IF(COUNTIF(レシピ一覧!$B:$B,ROW()-1),ROW()-1,"")</f>
        <v>15</v>
      </c>
      <c r="E16" s="27" t="str">
        <f>IFERROR( INDEX(レシピ一覧!$D:$D,MATCH(使用レシピ!$D16,レシピ一覧!$B:$B,0))&amp;"","")</f>
        <v>葉</v>
      </c>
      <c r="F16" s="12" t="str">
        <f>IF($C16 = "","",INDEX(レシピ一覧!E:E,MATCH(使用レシピ!$C16,レシピ一覧!$A:$A,0))) &amp;""</f>
        <v/>
      </c>
      <c r="G16" s="12" t="str">
        <f>IF($C16 = "","",INDEX(レシピ一覧!F:F,MATCH(使用レシピ!$C16,レシピ一覧!$A:$A,0))) &amp;""</f>
        <v/>
      </c>
      <c r="H16" s="12" t="str">
        <f>IF($C16 = "","",INDEX(レシピ一覧!G:G,MATCH(使用レシピ!$C16,レシピ一覧!$A:$A,0))) &amp;""</f>
        <v/>
      </c>
      <c r="I16" s="12" t="str">
        <f>IF($C16 = "","",INDEX(レシピ一覧!H:H,MATCH(使用レシピ!$C16,レシピ一覧!$A:$A,0))) &amp;""</f>
        <v/>
      </c>
      <c r="J16" s="12" t="str">
        <f>IF($C16 = "","",INDEX(レシピ一覧!I:I,MATCH(使用レシピ!$C16,レシピ一覧!$A:$A,0))) &amp;""</f>
        <v/>
      </c>
      <c r="K16" s="12" t="str">
        <f>IFERROR((IF($C16 = "","",INDEX(レシピ一覧!J:J,MATCH(使用レシピ!$C16,レシピ一覧!$A:$A,0)))&amp;"")*1,"")</f>
        <v/>
      </c>
      <c r="L16" s="12" t="str">
        <f>IFERROR((IF($C16 = "","",INDEX(レシピ一覧!K:K,MATCH(使用レシピ!$C16,レシピ一覧!$A:$A,0)))&amp;"")*1,"")</f>
        <v/>
      </c>
      <c r="M16" s="12" t="str">
        <f>IFERROR((IF($C16 = "","",INDEX(レシピ一覧!L:L,MATCH(使用レシピ!$C16,レシピ一覧!$A:$A,0)))&amp;"")*1,"")</f>
        <v/>
      </c>
      <c r="N16" s="12" t="str">
        <f>IFERROR((IF($C16 = "","",INDEX(レシピ一覧!M:M,MATCH(使用レシピ!$C16,レシピ一覧!$A:$A,0)))&amp;"")*1,"")</f>
        <v/>
      </c>
      <c r="O16" s="12" t="str">
        <f>IFERROR((IF($C16 = "","",INDEX(レシピ一覧!N:N,MATCH(使用レシピ!$C16,レシピ一覧!$A:$A,0)))&amp;"")*1,"")</f>
        <v/>
      </c>
      <c r="P16" s="12">
        <f>IFERROR((IF($C16 = "","",INDEX(レシピ一覧!O:O,MATCH(使用レシピ!$C16,レシピ一覧!$A:$A,0)))&amp;"")*1,"")</f>
        <v>1</v>
      </c>
      <c r="Q16" s="35">
        <f>IFERROR((IF($C16 = "","",INDEX(レシピ一覧!P:P,MATCH(使用レシピ!$C16,レシピ一覧!$A:$A,0)))&amp;"")*1,"")</f>
        <v>1</v>
      </c>
    </row>
    <row r="17" spans="1:17" x14ac:dyDescent="0.4">
      <c r="A17" s="34">
        <v>1</v>
      </c>
      <c r="B17" s="12">
        <f>IF(E17="","",COUNTIF(レシピ一覧!$D$2:$D$500,使用レシピ!E17))</f>
        <v>4</v>
      </c>
      <c r="C17" s="18" t="str">
        <f t="shared" si="0"/>
        <v>1601</v>
      </c>
      <c r="D17" s="31">
        <f>IF(COUNTIF(レシピ一覧!$B:$B,ROW()-1),ROW()-1,"")</f>
        <v>16</v>
      </c>
      <c r="E17" s="27" t="str">
        <f>IFERROR( INDEX(レシピ一覧!$D:$D,MATCH(使用レシピ!$D17,レシピ一覧!$B:$B,0))&amp;"","")</f>
        <v>エイリアンのタンパク質</v>
      </c>
      <c r="F17" s="12" t="str">
        <f>IF($C17 = "","",INDEX(レシピ一覧!E:E,MATCH(使用レシピ!$C17,レシピ一覧!$A:$A,0))) &amp;""</f>
        <v>ホッグの遺骸</v>
      </c>
      <c r="G17" s="12" t="str">
        <f>IF($C17 = "","",INDEX(レシピ一覧!F:F,MATCH(使用レシピ!$C17,レシピ一覧!$A:$A,0))) &amp;""</f>
        <v/>
      </c>
      <c r="H17" s="12" t="str">
        <f>IF($C17 = "","",INDEX(レシピ一覧!G:G,MATCH(使用レシピ!$C17,レシピ一覧!$A:$A,0))) &amp;""</f>
        <v/>
      </c>
      <c r="I17" s="12" t="str">
        <f>IF($C17 = "","",INDEX(レシピ一覧!H:H,MATCH(使用レシピ!$C17,レシピ一覧!$A:$A,0))) &amp;""</f>
        <v/>
      </c>
      <c r="J17" s="12" t="str">
        <f>IF($C17 = "","",INDEX(レシピ一覧!I:I,MATCH(使用レシピ!$C17,レシピ一覧!$A:$A,0))) &amp;""</f>
        <v/>
      </c>
      <c r="K17" s="12">
        <f>IFERROR((IF($C17 = "","",INDEX(レシピ一覧!J:J,MATCH(使用レシピ!$C17,レシピ一覧!$A:$A,0)))&amp;"")*1,"")</f>
        <v>1</v>
      </c>
      <c r="L17" s="12" t="str">
        <f>IFERROR((IF($C17 = "","",INDEX(レシピ一覧!K:K,MATCH(使用レシピ!$C17,レシピ一覧!$A:$A,0)))&amp;"")*1,"")</f>
        <v/>
      </c>
      <c r="M17" s="12" t="str">
        <f>IFERROR((IF($C17 = "","",INDEX(レシピ一覧!L:L,MATCH(使用レシピ!$C17,レシピ一覧!$A:$A,0)))&amp;"")*1,"")</f>
        <v/>
      </c>
      <c r="N17" s="12" t="str">
        <f>IFERROR((IF($C17 = "","",INDEX(レシピ一覧!M:M,MATCH(使用レシピ!$C17,レシピ一覧!$A:$A,0)))&amp;"")*1,"")</f>
        <v/>
      </c>
      <c r="O17" s="12" t="str">
        <f>IFERROR((IF($C17 = "","",INDEX(レシピ一覧!N:N,MATCH(使用レシピ!$C17,レシピ一覧!$A:$A,0)))&amp;"")*1,"")</f>
        <v/>
      </c>
      <c r="P17" s="12">
        <f>IFERROR((IF($C17 = "","",INDEX(レシピ一覧!O:O,MATCH(使用レシピ!$C17,レシピ一覧!$A:$A,0)))&amp;"")*1,"")</f>
        <v>1</v>
      </c>
      <c r="Q17" s="35">
        <f>IFERROR((IF($C17 = "","",INDEX(レシピ一覧!P:P,MATCH(使用レシピ!$C17,レシピ一覧!$A:$A,0)))&amp;"")*1,"")</f>
        <v>20</v>
      </c>
    </row>
    <row r="18" spans="1:17" x14ac:dyDescent="0.4">
      <c r="A18" s="34">
        <v>1</v>
      </c>
      <c r="B18" s="12">
        <f>IF(E18="","",COUNTIF(レシピ一覧!$D$2:$D$500,使用レシピ!E18))</f>
        <v>1</v>
      </c>
      <c r="C18" s="18" t="str">
        <f t="shared" si="0"/>
        <v>1701</v>
      </c>
      <c r="D18" s="31">
        <f>IF(COUNTIF(レシピ一覧!$B:$B,ROW()-1),ROW()-1,"")</f>
        <v>17</v>
      </c>
      <c r="E18" s="27" t="str">
        <f>IFERROR( INDEX(レシピ一覧!$D:$D,MATCH(使用レシピ!$D18,レシピ一覧!$B:$B,0))&amp;"","")</f>
        <v>ホッグの遺骸</v>
      </c>
      <c r="F18" s="12" t="str">
        <f>IF($C18 = "","",INDEX(レシピ一覧!E:E,MATCH(使用レシピ!$C18,レシピ一覧!$A:$A,0))) &amp;""</f>
        <v/>
      </c>
      <c r="G18" s="12" t="str">
        <f>IF($C18 = "","",INDEX(レシピ一覧!F:F,MATCH(使用レシピ!$C18,レシピ一覧!$A:$A,0))) &amp;""</f>
        <v/>
      </c>
      <c r="H18" s="12" t="str">
        <f>IF($C18 = "","",INDEX(レシピ一覧!G:G,MATCH(使用レシピ!$C18,レシピ一覧!$A:$A,0))) &amp;""</f>
        <v/>
      </c>
      <c r="I18" s="12" t="str">
        <f>IF($C18 = "","",INDEX(レシピ一覧!H:H,MATCH(使用レシピ!$C18,レシピ一覧!$A:$A,0))) &amp;""</f>
        <v/>
      </c>
      <c r="J18" s="12" t="str">
        <f>IF($C18 = "","",INDEX(レシピ一覧!I:I,MATCH(使用レシピ!$C18,レシピ一覧!$A:$A,0))) &amp;""</f>
        <v/>
      </c>
      <c r="K18" s="12" t="str">
        <f>IFERROR((IF($C18 = "","",INDEX(レシピ一覧!J:J,MATCH(使用レシピ!$C18,レシピ一覧!$A:$A,0)))&amp;"")*1,"")</f>
        <v/>
      </c>
      <c r="L18" s="12" t="str">
        <f>IFERROR((IF($C18 = "","",INDEX(レシピ一覧!K:K,MATCH(使用レシピ!$C18,レシピ一覧!$A:$A,0)))&amp;"")*1,"")</f>
        <v/>
      </c>
      <c r="M18" s="12" t="str">
        <f>IFERROR((IF($C18 = "","",INDEX(レシピ一覧!L:L,MATCH(使用レシピ!$C18,レシピ一覧!$A:$A,0)))&amp;"")*1,"")</f>
        <v/>
      </c>
      <c r="N18" s="12" t="str">
        <f>IFERROR((IF($C18 = "","",INDEX(レシピ一覧!M:M,MATCH(使用レシピ!$C18,レシピ一覧!$A:$A,0)))&amp;"")*1,"")</f>
        <v/>
      </c>
      <c r="O18" s="12" t="str">
        <f>IFERROR((IF($C18 = "","",INDEX(レシピ一覧!N:N,MATCH(使用レシピ!$C18,レシピ一覧!$A:$A,0)))&amp;"")*1,"")</f>
        <v/>
      </c>
      <c r="P18" s="12">
        <f>IFERROR((IF($C18 = "","",INDEX(レシピ一覧!O:O,MATCH(使用レシピ!$C18,レシピ一覧!$A:$A,0)))&amp;"")*1,"")</f>
        <v>1</v>
      </c>
      <c r="Q18" s="35">
        <f>IFERROR((IF($C18 = "","",INDEX(レシピ一覧!P:P,MATCH(使用レシピ!$C18,レシピ一覧!$A:$A,0)))&amp;"")*1,"")</f>
        <v>1</v>
      </c>
    </row>
    <row r="19" spans="1:17" x14ac:dyDescent="0.4">
      <c r="A19" s="34">
        <v>1</v>
      </c>
      <c r="B19" s="12">
        <f>IF(E19="","",COUNTIF(レシピ一覧!$D$2:$D$500,使用レシピ!E19))</f>
        <v>1</v>
      </c>
      <c r="C19" s="18" t="str">
        <f t="shared" si="0"/>
        <v>1801</v>
      </c>
      <c r="D19" s="31">
        <f>IF(COUNTIF(レシピ一覧!$B:$B,ROW()-1),ROW()-1,"")</f>
        <v>18</v>
      </c>
      <c r="E19" s="27" t="str">
        <f>IFERROR( INDEX(レシピ一覧!$D:$D,MATCH(使用レシピ!$D19,レシピ一覧!$B:$B,0))&amp;"","")</f>
        <v>スピッターの遺骸</v>
      </c>
      <c r="F19" s="12" t="str">
        <f>IF($C19 = "","",INDEX(レシピ一覧!E:E,MATCH(使用レシピ!$C19,レシピ一覧!$A:$A,0))) &amp;""</f>
        <v/>
      </c>
      <c r="G19" s="12" t="str">
        <f>IF($C19 = "","",INDEX(レシピ一覧!F:F,MATCH(使用レシピ!$C19,レシピ一覧!$A:$A,0))) &amp;""</f>
        <v/>
      </c>
      <c r="H19" s="12" t="str">
        <f>IF($C19 = "","",INDEX(レシピ一覧!G:G,MATCH(使用レシピ!$C19,レシピ一覧!$A:$A,0))) &amp;""</f>
        <v/>
      </c>
      <c r="I19" s="12" t="str">
        <f>IF($C19 = "","",INDEX(レシピ一覧!H:H,MATCH(使用レシピ!$C19,レシピ一覧!$A:$A,0))) &amp;""</f>
        <v/>
      </c>
      <c r="J19" s="12" t="str">
        <f>IF($C19 = "","",INDEX(レシピ一覧!I:I,MATCH(使用レシピ!$C19,レシピ一覧!$A:$A,0))) &amp;""</f>
        <v/>
      </c>
      <c r="K19" s="12" t="str">
        <f>IFERROR((IF($C19 = "","",INDEX(レシピ一覧!J:J,MATCH(使用レシピ!$C19,レシピ一覧!$A:$A,0)))&amp;"")*1,"")</f>
        <v/>
      </c>
      <c r="L19" s="12" t="str">
        <f>IFERROR((IF($C19 = "","",INDEX(レシピ一覧!K:K,MATCH(使用レシピ!$C19,レシピ一覧!$A:$A,0)))&amp;"")*1,"")</f>
        <v/>
      </c>
      <c r="M19" s="12" t="str">
        <f>IFERROR((IF($C19 = "","",INDEX(レシピ一覧!L:L,MATCH(使用レシピ!$C19,レシピ一覧!$A:$A,0)))&amp;"")*1,"")</f>
        <v/>
      </c>
      <c r="N19" s="12" t="str">
        <f>IFERROR((IF($C19 = "","",INDEX(レシピ一覧!M:M,MATCH(使用レシピ!$C19,レシピ一覧!$A:$A,0)))&amp;"")*1,"")</f>
        <v/>
      </c>
      <c r="O19" s="12" t="str">
        <f>IFERROR((IF($C19 = "","",INDEX(レシピ一覧!N:N,MATCH(使用レシピ!$C19,レシピ一覧!$A:$A,0)))&amp;"")*1,"")</f>
        <v/>
      </c>
      <c r="P19" s="12">
        <f>IFERROR((IF($C19 = "","",INDEX(レシピ一覧!O:O,MATCH(使用レシピ!$C19,レシピ一覧!$A:$A,0)))&amp;"")*1,"")</f>
        <v>1</v>
      </c>
      <c r="Q19" s="35">
        <f>IFERROR((IF($C19 = "","",INDEX(レシピ一覧!P:P,MATCH(使用レシピ!$C19,レシピ一覧!$A:$A,0)))&amp;"")*1,"")</f>
        <v>1</v>
      </c>
    </row>
    <row r="20" spans="1:17" x14ac:dyDescent="0.4">
      <c r="A20" s="34">
        <v>1</v>
      </c>
      <c r="B20" s="12">
        <f>IF(E20="","",COUNTIF(レシピ一覧!$D$2:$D$500,使用レシピ!E20))</f>
        <v>1</v>
      </c>
      <c r="C20" s="18" t="str">
        <f t="shared" si="0"/>
        <v>1901</v>
      </c>
      <c r="D20" s="31">
        <f>IF(COUNTIF(レシピ一覧!$B:$B,ROW()-1),ROW()-1,"")</f>
        <v>19</v>
      </c>
      <c r="E20" s="27" t="str">
        <f>IFERROR( INDEX(レシピ一覧!$D:$D,MATCH(使用レシピ!$D20,レシピ一覧!$B:$B,0))&amp;"","")</f>
        <v>ハッチャーの遺骸</v>
      </c>
      <c r="F20" s="12" t="str">
        <f>IF($C20 = "","",INDEX(レシピ一覧!E:E,MATCH(使用レシピ!$C20,レシピ一覧!$A:$A,0))) &amp;""</f>
        <v/>
      </c>
      <c r="G20" s="12" t="str">
        <f>IF($C20 = "","",INDEX(レシピ一覧!F:F,MATCH(使用レシピ!$C20,レシピ一覧!$A:$A,0))) &amp;""</f>
        <v/>
      </c>
      <c r="H20" s="12" t="str">
        <f>IF($C20 = "","",INDEX(レシピ一覧!G:G,MATCH(使用レシピ!$C20,レシピ一覧!$A:$A,0))) &amp;""</f>
        <v/>
      </c>
      <c r="I20" s="12" t="str">
        <f>IF($C20 = "","",INDEX(レシピ一覧!H:H,MATCH(使用レシピ!$C20,レシピ一覧!$A:$A,0))) &amp;""</f>
        <v/>
      </c>
      <c r="J20" s="12" t="str">
        <f>IF($C20 = "","",INDEX(レシピ一覧!I:I,MATCH(使用レシピ!$C20,レシピ一覧!$A:$A,0))) &amp;""</f>
        <v/>
      </c>
      <c r="K20" s="12" t="str">
        <f>IFERROR((IF($C20 = "","",INDEX(レシピ一覧!J:J,MATCH(使用レシピ!$C20,レシピ一覧!$A:$A,0)))&amp;"")*1,"")</f>
        <v/>
      </c>
      <c r="L20" s="12" t="str">
        <f>IFERROR((IF($C20 = "","",INDEX(レシピ一覧!K:K,MATCH(使用レシピ!$C20,レシピ一覧!$A:$A,0)))&amp;"")*1,"")</f>
        <v/>
      </c>
      <c r="M20" s="12" t="str">
        <f>IFERROR((IF($C20 = "","",INDEX(レシピ一覧!L:L,MATCH(使用レシピ!$C20,レシピ一覧!$A:$A,0)))&amp;"")*1,"")</f>
        <v/>
      </c>
      <c r="N20" s="12" t="str">
        <f>IFERROR((IF($C20 = "","",INDEX(レシピ一覧!M:M,MATCH(使用レシピ!$C20,レシピ一覧!$A:$A,0)))&amp;"")*1,"")</f>
        <v/>
      </c>
      <c r="O20" s="12" t="str">
        <f>IFERROR((IF($C20 = "","",INDEX(レシピ一覧!N:N,MATCH(使用レシピ!$C20,レシピ一覧!$A:$A,0)))&amp;"")*1,"")</f>
        <v/>
      </c>
      <c r="P20" s="12">
        <f>IFERROR((IF($C20 = "","",INDEX(レシピ一覧!O:O,MATCH(使用レシピ!$C20,レシピ一覧!$A:$A,0)))&amp;"")*1,"")</f>
        <v>1</v>
      </c>
      <c r="Q20" s="35">
        <f>IFERROR((IF($C20 = "","",INDEX(レシピ一覧!P:P,MATCH(使用レシピ!$C20,レシピ一覧!$A:$A,0)))&amp;"")*1,"")</f>
        <v>1</v>
      </c>
    </row>
    <row r="21" spans="1:17" x14ac:dyDescent="0.4">
      <c r="A21" s="34">
        <v>1</v>
      </c>
      <c r="B21" s="12">
        <f>IF(E21="","",COUNTIF(レシピ一覧!$D$2:$D$500,使用レシピ!E21))</f>
        <v>1</v>
      </c>
      <c r="C21" s="18" t="str">
        <f t="shared" si="0"/>
        <v>2001</v>
      </c>
      <c r="D21" s="31">
        <f>IF(COUNTIF(レシピ一覧!$B:$B,ROW()-1),ROW()-1,"")</f>
        <v>20</v>
      </c>
      <c r="E21" s="27" t="str">
        <f>IFERROR( INDEX(レシピ一覧!$D:$D,MATCH(使用レシピ!$D21,レシピ一覧!$B:$B,0))&amp;"","")</f>
        <v>スティンガーの遺骸</v>
      </c>
      <c r="F21" s="12" t="str">
        <f>IF($C21 = "","",INDEX(レシピ一覧!E:E,MATCH(使用レシピ!$C21,レシピ一覧!$A:$A,0))) &amp;""</f>
        <v/>
      </c>
      <c r="G21" s="12" t="str">
        <f>IF($C21 = "","",INDEX(レシピ一覧!F:F,MATCH(使用レシピ!$C21,レシピ一覧!$A:$A,0))) &amp;""</f>
        <v/>
      </c>
      <c r="H21" s="12" t="str">
        <f>IF($C21 = "","",INDEX(レシピ一覧!G:G,MATCH(使用レシピ!$C21,レシピ一覧!$A:$A,0))) &amp;""</f>
        <v/>
      </c>
      <c r="I21" s="12" t="str">
        <f>IF($C21 = "","",INDEX(レシピ一覧!H:H,MATCH(使用レシピ!$C21,レシピ一覧!$A:$A,0))) &amp;""</f>
        <v/>
      </c>
      <c r="J21" s="12" t="str">
        <f>IF($C21 = "","",INDEX(レシピ一覧!I:I,MATCH(使用レシピ!$C21,レシピ一覧!$A:$A,0))) &amp;""</f>
        <v/>
      </c>
      <c r="K21" s="12" t="str">
        <f>IFERROR((IF($C21 = "","",INDEX(レシピ一覧!J:J,MATCH(使用レシピ!$C21,レシピ一覧!$A:$A,0)))&amp;"")*1,"")</f>
        <v/>
      </c>
      <c r="L21" s="12" t="str">
        <f>IFERROR((IF($C21 = "","",INDEX(レシピ一覧!K:K,MATCH(使用レシピ!$C21,レシピ一覧!$A:$A,0)))&amp;"")*1,"")</f>
        <v/>
      </c>
      <c r="M21" s="12" t="str">
        <f>IFERROR((IF($C21 = "","",INDEX(レシピ一覧!L:L,MATCH(使用レシピ!$C21,レシピ一覧!$A:$A,0)))&amp;"")*1,"")</f>
        <v/>
      </c>
      <c r="N21" s="12" t="str">
        <f>IFERROR((IF($C21 = "","",INDEX(レシピ一覧!M:M,MATCH(使用レシピ!$C21,レシピ一覧!$A:$A,0)))&amp;"")*1,"")</f>
        <v/>
      </c>
      <c r="O21" s="12" t="str">
        <f>IFERROR((IF($C21 = "","",INDEX(レシピ一覧!N:N,MATCH(使用レシピ!$C21,レシピ一覧!$A:$A,0)))&amp;"")*1,"")</f>
        <v/>
      </c>
      <c r="P21" s="12">
        <f>IFERROR((IF($C21 = "","",INDEX(レシピ一覧!O:O,MATCH(使用レシピ!$C21,レシピ一覧!$A:$A,0)))&amp;"")*1,"")</f>
        <v>1</v>
      </c>
      <c r="Q21" s="35">
        <f>IFERROR((IF($C21 = "","",INDEX(レシピ一覧!P:P,MATCH(使用レシピ!$C21,レシピ一覧!$A:$A,0)))&amp;"")*1,"")</f>
        <v>1</v>
      </c>
    </row>
    <row r="22" spans="1:17" x14ac:dyDescent="0.4">
      <c r="A22" s="34">
        <v>4</v>
      </c>
      <c r="B22" s="12">
        <f>IF(E22="","",COUNTIF(レシピ一覧!$D$2:$D$500,使用レシピ!E22))</f>
        <v>4</v>
      </c>
      <c r="C22" s="18" t="str">
        <f t="shared" si="0"/>
        <v>2104</v>
      </c>
      <c r="D22" s="31">
        <f>IF(COUNTIF(レシピ一覧!$B:$B,ROW()-1),ROW()-1,"")</f>
        <v>21</v>
      </c>
      <c r="E22" s="27" t="str">
        <f>IFERROR( INDEX(レシピ一覧!$D:$D,MATCH(使用レシピ!$D22,レシピ一覧!$B:$B,0))&amp;"","")</f>
        <v>パワー・シャード</v>
      </c>
      <c r="F22" s="12" t="str">
        <f>IF($C22 = "","",INDEX(レシピ一覧!E:E,MATCH(使用レシピ!$C22,レシピ一覧!$A:$A,0))) &amp;""</f>
        <v>時の結晶</v>
      </c>
      <c r="G22" s="12" t="str">
        <f>IF($C22 = "","",INDEX(レシピ一覧!F:F,MATCH(使用レシピ!$C22,レシピ一覧!$A:$A,0))) &amp;""</f>
        <v>ダークマターの結晶</v>
      </c>
      <c r="H22" s="12" t="str">
        <f>IF($C22 = "","",INDEX(レシピ一覧!G:G,MATCH(使用レシピ!$C22,レシピ一覧!$A:$A,0))) &amp;""</f>
        <v>石英結晶</v>
      </c>
      <c r="I22" s="12" t="str">
        <f>IF($C22 = "","",INDEX(レシピ一覧!H:H,MATCH(使用レシピ!$C22,レシピ一覧!$A:$A,0))) &amp;""</f>
        <v>励起フォトニック物質</v>
      </c>
      <c r="J22" s="12" t="str">
        <f>IF($C22 = "","",INDEX(レシピ一覧!I:I,MATCH(使用レシピ!$C22,レシピ一覧!$A:$A,0))) &amp;""</f>
        <v>ダークマターの残留物</v>
      </c>
      <c r="K22" s="12">
        <f>IFERROR((IF($C22 = "","",INDEX(レシピ一覧!J:J,MATCH(使用レシピ!$C22,レシピ一覧!$A:$A,0)))&amp;"")*1,"")</f>
        <v>2</v>
      </c>
      <c r="L22" s="12">
        <f>IFERROR((IF($C22 = "","",INDEX(レシピ一覧!K:K,MATCH(使用レシピ!$C22,レシピ一覧!$A:$A,0)))&amp;"")*1,"")</f>
        <v>2</v>
      </c>
      <c r="M22" s="12">
        <f>IFERROR((IF($C22 = "","",INDEX(レシピ一覧!L:L,MATCH(使用レシピ!$C22,レシピ一覧!$A:$A,0)))&amp;"")*1,"")</f>
        <v>12</v>
      </c>
      <c r="N22" s="12">
        <f>IFERROR((IF($C22 = "","",INDEX(レシピ一覧!M:M,MATCH(使用レシピ!$C22,レシピ一覧!$A:$A,0)))&amp;"")*1,"")</f>
        <v>12</v>
      </c>
      <c r="O22" s="12">
        <f>IFERROR((IF($C22 = "","",INDEX(レシピ一覧!N:N,MATCH(使用レシピ!$C22,レシピ一覧!$A:$A,0)))&amp;"")*1,"")</f>
        <v>12</v>
      </c>
      <c r="P22" s="12">
        <f>IFERROR((IF($C22 = "","",INDEX(レシピ一覧!O:O,MATCH(使用レシピ!$C22,レシピ一覧!$A:$A,0)))&amp;"")*1,"")</f>
        <v>1</v>
      </c>
      <c r="Q22" s="35">
        <f>IFERROR((IF($C22 = "","",INDEX(レシピ一覧!P:P,MATCH(使用レシピ!$C22,レシピ一覧!$A:$A,0)))&amp;"")*1,"")</f>
        <v>5</v>
      </c>
    </row>
    <row r="23" spans="1:17" x14ac:dyDescent="0.4">
      <c r="A23" s="34">
        <v>1</v>
      </c>
      <c r="B23" s="12">
        <f>IF(E23="","",COUNTIF(レシピ一覧!$D$2:$D$500,使用レシピ!E23))</f>
        <v>1</v>
      </c>
      <c r="C23" s="18" t="str">
        <f t="shared" si="0"/>
        <v>2201</v>
      </c>
      <c r="D23" s="31">
        <f>IF(COUNTIF(レシピ一覧!$B:$B,ROW()-1),ROW()-1,"")</f>
        <v>22</v>
      </c>
      <c r="E23" s="27" t="str">
        <f>IFERROR( INDEX(レシピ一覧!$D:$D,MATCH(使用レシピ!$D23,レシピ一覧!$B:$B,0))&amp;"","")</f>
        <v>青のパワー・スラッグ</v>
      </c>
      <c r="F23" s="12" t="str">
        <f>IF($C23 = "","",INDEX(レシピ一覧!E:E,MATCH(使用レシピ!$C23,レシピ一覧!$A:$A,0))) &amp;""</f>
        <v/>
      </c>
      <c r="G23" s="12" t="str">
        <f>IF($C23 = "","",INDEX(レシピ一覧!F:F,MATCH(使用レシピ!$C23,レシピ一覧!$A:$A,0))) &amp;""</f>
        <v/>
      </c>
      <c r="H23" s="12" t="str">
        <f>IF($C23 = "","",INDEX(レシピ一覧!G:G,MATCH(使用レシピ!$C23,レシピ一覧!$A:$A,0))) &amp;""</f>
        <v/>
      </c>
      <c r="I23" s="12" t="str">
        <f>IF($C23 = "","",INDEX(レシピ一覧!H:H,MATCH(使用レシピ!$C23,レシピ一覧!$A:$A,0))) &amp;""</f>
        <v/>
      </c>
      <c r="J23" s="12" t="str">
        <f>IF($C23 = "","",INDEX(レシピ一覧!I:I,MATCH(使用レシピ!$C23,レシピ一覧!$A:$A,0))) &amp;""</f>
        <v/>
      </c>
      <c r="K23" s="12" t="str">
        <f>IFERROR((IF($C23 = "","",INDEX(レシピ一覧!J:J,MATCH(使用レシピ!$C23,レシピ一覧!$A:$A,0)))&amp;"")*1,"")</f>
        <v/>
      </c>
      <c r="L23" s="12" t="str">
        <f>IFERROR((IF($C23 = "","",INDEX(レシピ一覧!K:K,MATCH(使用レシピ!$C23,レシピ一覧!$A:$A,0)))&amp;"")*1,"")</f>
        <v/>
      </c>
      <c r="M23" s="12" t="str">
        <f>IFERROR((IF($C23 = "","",INDEX(レシピ一覧!L:L,MATCH(使用レシピ!$C23,レシピ一覧!$A:$A,0)))&amp;"")*1,"")</f>
        <v/>
      </c>
      <c r="N23" s="12" t="str">
        <f>IFERROR((IF($C23 = "","",INDEX(レシピ一覧!M:M,MATCH(使用レシピ!$C23,レシピ一覧!$A:$A,0)))&amp;"")*1,"")</f>
        <v/>
      </c>
      <c r="O23" s="12" t="str">
        <f>IFERROR((IF($C23 = "","",INDEX(レシピ一覧!N:N,MATCH(使用レシピ!$C23,レシピ一覧!$A:$A,0)))&amp;"")*1,"")</f>
        <v/>
      </c>
      <c r="P23" s="12">
        <f>IFERROR((IF($C23 = "","",INDEX(レシピ一覧!O:O,MATCH(使用レシピ!$C23,レシピ一覧!$A:$A,0)))&amp;"")*1,"")</f>
        <v>1</v>
      </c>
      <c r="Q23" s="35">
        <f>IFERROR((IF($C23 = "","",INDEX(レシピ一覧!P:P,MATCH(使用レシピ!$C23,レシピ一覧!$A:$A,0)))&amp;"")*1,"")</f>
        <v>1</v>
      </c>
    </row>
    <row r="24" spans="1:17" x14ac:dyDescent="0.4">
      <c r="A24" s="34">
        <v>1</v>
      </c>
      <c r="B24" s="12">
        <f>IF(E24="","",COUNTIF(レシピ一覧!$D$2:$D$500,使用レシピ!E24))</f>
        <v>1</v>
      </c>
      <c r="C24" s="18" t="str">
        <f t="shared" si="0"/>
        <v>2301</v>
      </c>
      <c r="D24" s="31">
        <f>IF(COUNTIF(レシピ一覧!$B:$B,ROW()-1),ROW()-1,"")</f>
        <v>23</v>
      </c>
      <c r="E24" s="27" t="str">
        <f>IFERROR( INDEX(レシピ一覧!$D:$D,MATCH(使用レシピ!$D24,レシピ一覧!$B:$B,0))&amp;"","")</f>
        <v>黄のパワー・スラッグ</v>
      </c>
      <c r="F24" s="12" t="str">
        <f>IF($C24 = "","",INDEX(レシピ一覧!E:E,MATCH(使用レシピ!$C24,レシピ一覧!$A:$A,0))) &amp;""</f>
        <v/>
      </c>
      <c r="G24" s="12" t="str">
        <f>IF($C24 = "","",INDEX(レシピ一覧!F:F,MATCH(使用レシピ!$C24,レシピ一覧!$A:$A,0))) &amp;""</f>
        <v/>
      </c>
      <c r="H24" s="12" t="str">
        <f>IF($C24 = "","",INDEX(レシピ一覧!G:G,MATCH(使用レシピ!$C24,レシピ一覧!$A:$A,0))) &amp;""</f>
        <v/>
      </c>
      <c r="I24" s="12" t="str">
        <f>IF($C24 = "","",INDEX(レシピ一覧!H:H,MATCH(使用レシピ!$C24,レシピ一覧!$A:$A,0))) &amp;""</f>
        <v/>
      </c>
      <c r="J24" s="12" t="str">
        <f>IF($C24 = "","",INDEX(レシピ一覧!I:I,MATCH(使用レシピ!$C24,レシピ一覧!$A:$A,0))) &amp;""</f>
        <v/>
      </c>
      <c r="K24" s="12" t="str">
        <f>IFERROR((IF($C24 = "","",INDEX(レシピ一覧!J:J,MATCH(使用レシピ!$C24,レシピ一覧!$A:$A,0)))&amp;"")*1,"")</f>
        <v/>
      </c>
      <c r="L24" s="12" t="str">
        <f>IFERROR((IF($C24 = "","",INDEX(レシピ一覧!K:K,MATCH(使用レシピ!$C24,レシピ一覧!$A:$A,0)))&amp;"")*1,"")</f>
        <v/>
      </c>
      <c r="M24" s="12" t="str">
        <f>IFERROR((IF($C24 = "","",INDEX(レシピ一覧!L:L,MATCH(使用レシピ!$C24,レシピ一覧!$A:$A,0)))&amp;"")*1,"")</f>
        <v/>
      </c>
      <c r="N24" s="12" t="str">
        <f>IFERROR((IF($C24 = "","",INDEX(レシピ一覧!M:M,MATCH(使用レシピ!$C24,レシピ一覧!$A:$A,0)))&amp;"")*1,"")</f>
        <v/>
      </c>
      <c r="O24" s="12" t="str">
        <f>IFERROR((IF($C24 = "","",INDEX(レシピ一覧!N:N,MATCH(使用レシピ!$C24,レシピ一覧!$A:$A,0)))&amp;"")*1,"")</f>
        <v/>
      </c>
      <c r="P24" s="12">
        <f>IFERROR((IF($C24 = "","",INDEX(レシピ一覧!O:O,MATCH(使用レシピ!$C24,レシピ一覧!$A:$A,0)))&amp;"")*1,"")</f>
        <v>1</v>
      </c>
      <c r="Q24" s="35">
        <f>IFERROR((IF($C24 = "","",INDEX(レシピ一覧!P:P,MATCH(使用レシピ!$C24,レシピ一覧!$A:$A,0)))&amp;"")*1,"")</f>
        <v>1</v>
      </c>
    </row>
    <row r="25" spans="1:17" x14ac:dyDescent="0.4">
      <c r="A25" s="34">
        <v>1</v>
      </c>
      <c r="B25" s="12">
        <f>IF(E25="","",COUNTIF(レシピ一覧!$D$2:$D$500,使用レシピ!E25))</f>
        <v>1</v>
      </c>
      <c r="C25" s="18" t="str">
        <f t="shared" si="0"/>
        <v>2401</v>
      </c>
      <c r="D25" s="31">
        <f>IF(COUNTIF(レシピ一覧!$B:$B,ROW()-1),ROW()-1,"")</f>
        <v>24</v>
      </c>
      <c r="E25" s="27" t="str">
        <f>IFERROR( INDEX(レシピ一覧!$D:$D,MATCH(使用レシピ!$D25,レシピ一覧!$B:$B,0))&amp;"","")</f>
        <v>紫のパワー・スラッグ</v>
      </c>
      <c r="F25" s="12" t="str">
        <f>IF($C25 = "","",INDEX(レシピ一覧!E:E,MATCH(使用レシピ!$C25,レシピ一覧!$A:$A,0))) &amp;""</f>
        <v/>
      </c>
      <c r="G25" s="12" t="str">
        <f>IF($C25 = "","",INDEX(レシピ一覧!F:F,MATCH(使用レシピ!$C25,レシピ一覧!$A:$A,0))) &amp;""</f>
        <v/>
      </c>
      <c r="H25" s="12" t="str">
        <f>IF($C25 = "","",INDEX(レシピ一覧!G:G,MATCH(使用レシピ!$C25,レシピ一覧!$A:$A,0))) &amp;""</f>
        <v/>
      </c>
      <c r="I25" s="12" t="str">
        <f>IF($C25 = "","",INDEX(レシピ一覧!H:H,MATCH(使用レシピ!$C25,レシピ一覧!$A:$A,0))) &amp;""</f>
        <v/>
      </c>
      <c r="J25" s="12" t="str">
        <f>IF($C25 = "","",INDEX(レシピ一覧!I:I,MATCH(使用レシピ!$C25,レシピ一覧!$A:$A,0))) &amp;""</f>
        <v/>
      </c>
      <c r="K25" s="12" t="str">
        <f>IFERROR((IF($C25 = "","",INDEX(レシピ一覧!J:J,MATCH(使用レシピ!$C25,レシピ一覧!$A:$A,0)))&amp;"")*1,"")</f>
        <v/>
      </c>
      <c r="L25" s="12" t="str">
        <f>IFERROR((IF($C25 = "","",INDEX(レシピ一覧!K:K,MATCH(使用レシピ!$C25,レシピ一覧!$A:$A,0)))&amp;"")*1,"")</f>
        <v/>
      </c>
      <c r="M25" s="12" t="str">
        <f>IFERROR((IF($C25 = "","",INDEX(レシピ一覧!L:L,MATCH(使用レシピ!$C25,レシピ一覧!$A:$A,0)))&amp;"")*1,"")</f>
        <v/>
      </c>
      <c r="N25" s="12" t="str">
        <f>IFERROR((IF($C25 = "","",INDEX(レシピ一覧!M:M,MATCH(使用レシピ!$C25,レシピ一覧!$A:$A,0)))&amp;"")*1,"")</f>
        <v/>
      </c>
      <c r="O25" s="12" t="str">
        <f>IFERROR((IF($C25 = "","",INDEX(レシピ一覧!N:N,MATCH(使用レシピ!$C25,レシピ一覧!$A:$A,0)))&amp;"")*1,"")</f>
        <v/>
      </c>
      <c r="P25" s="12">
        <f>IFERROR((IF($C25 = "","",INDEX(レシピ一覧!O:O,MATCH(使用レシピ!$C25,レシピ一覧!$A:$A,0)))&amp;"")*1,"")</f>
        <v>1</v>
      </c>
      <c r="Q25" s="35">
        <f>IFERROR((IF($C25 = "","",INDEX(レシピ一覧!P:P,MATCH(使用レシピ!$C25,レシピ一覧!$A:$A,0)))&amp;"")*1,"")</f>
        <v>1</v>
      </c>
    </row>
    <row r="26" spans="1:17" x14ac:dyDescent="0.4">
      <c r="A26" s="34">
        <v>1</v>
      </c>
      <c r="B26" s="12">
        <f>IF(E26="","",COUNTIF(レシピ一覧!$D$2:$D$500,使用レシピ!E26))</f>
        <v>1</v>
      </c>
      <c r="C26" s="18" t="str">
        <f t="shared" si="0"/>
        <v>2501</v>
      </c>
      <c r="D26" s="31">
        <f>IF(COUNTIF(レシピ一覧!$B:$B,ROW()-1),ROW()-1,"")</f>
        <v>25</v>
      </c>
      <c r="E26" s="27" t="str">
        <f>IFERROR( INDEX(レシピ一覧!$D:$D,MATCH(使用レシピ!$D26,レシピ一覧!$B:$B,0))&amp;"","")</f>
        <v>固体バイオ燃料</v>
      </c>
      <c r="F26" s="12" t="str">
        <f>IF($C26 = "","",INDEX(レシピ一覧!E:E,MATCH(使用レシピ!$C26,レシピ一覧!$A:$A,0))) &amp;""</f>
        <v>バイオマス</v>
      </c>
      <c r="G26" s="12" t="str">
        <f>IF($C26 = "","",INDEX(レシピ一覧!F:F,MATCH(使用レシピ!$C26,レシピ一覧!$A:$A,0))) &amp;""</f>
        <v/>
      </c>
      <c r="H26" s="12" t="str">
        <f>IF($C26 = "","",INDEX(レシピ一覧!G:G,MATCH(使用レシピ!$C26,レシピ一覧!$A:$A,0))) &amp;""</f>
        <v/>
      </c>
      <c r="I26" s="12" t="str">
        <f>IF($C26 = "","",INDEX(レシピ一覧!H:H,MATCH(使用レシピ!$C26,レシピ一覧!$A:$A,0))) &amp;""</f>
        <v/>
      </c>
      <c r="J26" s="12" t="str">
        <f>IF($C26 = "","",INDEX(レシピ一覧!I:I,MATCH(使用レシピ!$C26,レシピ一覧!$A:$A,0))) &amp;""</f>
        <v/>
      </c>
      <c r="K26" s="12">
        <f>IFERROR((IF($C26 = "","",INDEX(レシピ一覧!J:J,MATCH(使用レシピ!$C26,レシピ一覧!$A:$A,0)))&amp;"")*1,"")</f>
        <v>8</v>
      </c>
      <c r="L26" s="12" t="str">
        <f>IFERROR((IF($C26 = "","",INDEX(レシピ一覧!K:K,MATCH(使用レシピ!$C26,レシピ一覧!$A:$A,0)))&amp;"")*1,"")</f>
        <v/>
      </c>
      <c r="M26" s="12" t="str">
        <f>IFERROR((IF($C26 = "","",INDEX(レシピ一覧!L:L,MATCH(使用レシピ!$C26,レシピ一覧!$A:$A,0)))&amp;"")*1,"")</f>
        <v/>
      </c>
      <c r="N26" s="12" t="str">
        <f>IFERROR((IF($C26 = "","",INDEX(レシピ一覧!M:M,MATCH(使用レシピ!$C26,レシピ一覧!$A:$A,0)))&amp;"")*1,"")</f>
        <v/>
      </c>
      <c r="O26" s="12" t="str">
        <f>IFERROR((IF($C26 = "","",INDEX(レシピ一覧!N:N,MATCH(使用レシピ!$C26,レシピ一覧!$A:$A,0)))&amp;"")*1,"")</f>
        <v/>
      </c>
      <c r="P26" s="12">
        <f>IFERROR((IF($C26 = "","",INDEX(レシピ一覧!O:O,MATCH(使用レシピ!$C26,レシピ一覧!$A:$A,0)))&amp;"")*1,"")</f>
        <v>4</v>
      </c>
      <c r="Q26" s="35">
        <f>IFERROR((IF($C26 = "","",INDEX(レシピ一覧!P:P,MATCH(使用レシピ!$C26,レシピ一覧!$A:$A,0)))&amp;"")*1,"")</f>
        <v>60</v>
      </c>
    </row>
    <row r="27" spans="1:17" x14ac:dyDescent="0.4">
      <c r="A27" s="34">
        <v>1</v>
      </c>
      <c r="B27" s="12">
        <f>IF(E27="","",COUNTIF(レシピ一覧!$D$2:$D$500,使用レシピ!E27))</f>
        <v>3</v>
      </c>
      <c r="C27" s="18" t="str">
        <f t="shared" si="0"/>
        <v>2601</v>
      </c>
      <c r="D27" s="31">
        <f>IF(COUNTIF(レシピ一覧!$B:$B,ROW()-1),ROW()-1,"")</f>
        <v>26</v>
      </c>
      <c r="E27" s="27" t="str">
        <f>IFERROR( INDEX(レシピ一覧!$D:$D,MATCH(使用レシピ!$D27,レシピ一覧!$B:$B,0))&amp;"","")</f>
        <v>ローター</v>
      </c>
      <c r="F27" s="12" t="str">
        <f>IF($C27 = "","",INDEX(レシピ一覧!E:E,MATCH(使用レシピ!$C27,レシピ一覧!$A:$A,0))) &amp;""</f>
        <v>鉄のロッド</v>
      </c>
      <c r="G27" s="12" t="str">
        <f>IF($C27 = "","",INDEX(レシピ一覧!F:F,MATCH(使用レシピ!$C27,レシピ一覧!$A:$A,0))) &amp;""</f>
        <v>ネジ</v>
      </c>
      <c r="H27" s="12" t="str">
        <f>IF($C27 = "","",INDEX(レシピ一覧!G:G,MATCH(使用レシピ!$C27,レシピ一覧!$A:$A,0))) &amp;""</f>
        <v/>
      </c>
      <c r="I27" s="12" t="str">
        <f>IF($C27 = "","",INDEX(レシピ一覧!H:H,MATCH(使用レシピ!$C27,レシピ一覧!$A:$A,0))) &amp;""</f>
        <v/>
      </c>
      <c r="J27" s="12" t="str">
        <f>IF($C27 = "","",INDEX(レシピ一覧!I:I,MATCH(使用レシピ!$C27,レシピ一覧!$A:$A,0))) &amp;""</f>
        <v/>
      </c>
      <c r="K27" s="12">
        <f>IFERROR((IF($C27 = "","",INDEX(レシピ一覧!J:J,MATCH(使用レシピ!$C27,レシピ一覧!$A:$A,0)))&amp;"")*1,"")</f>
        <v>5</v>
      </c>
      <c r="L27" s="12">
        <f>IFERROR((IF($C27 = "","",INDEX(レシピ一覧!K:K,MATCH(使用レシピ!$C27,レシピ一覧!$A:$A,0)))&amp;"")*1,"")</f>
        <v>25</v>
      </c>
      <c r="M27" s="12" t="str">
        <f>IFERROR((IF($C27 = "","",INDEX(レシピ一覧!L:L,MATCH(使用レシピ!$C27,レシピ一覧!$A:$A,0)))&amp;"")*1,"")</f>
        <v/>
      </c>
      <c r="N27" s="12" t="str">
        <f>IFERROR((IF($C27 = "","",INDEX(レシピ一覧!M:M,MATCH(使用レシピ!$C27,レシピ一覧!$A:$A,0)))&amp;"")*1,"")</f>
        <v/>
      </c>
      <c r="O27" s="12" t="str">
        <f>IFERROR((IF($C27 = "","",INDEX(レシピ一覧!N:N,MATCH(使用レシピ!$C27,レシピ一覧!$A:$A,0)))&amp;"")*1,"")</f>
        <v/>
      </c>
      <c r="P27" s="12">
        <f>IFERROR((IF($C27 = "","",INDEX(レシピ一覧!O:O,MATCH(使用レシピ!$C27,レシピ一覧!$A:$A,0)))&amp;"")*1,"")</f>
        <v>1</v>
      </c>
      <c r="Q27" s="35">
        <f>IFERROR((IF($C27 = "","",INDEX(レシピ一覧!P:P,MATCH(使用レシピ!$C27,レシピ一覧!$A:$A,0)))&amp;"")*1,"")</f>
        <v>4</v>
      </c>
    </row>
    <row r="28" spans="1:17" x14ac:dyDescent="0.4">
      <c r="A28" s="34">
        <v>2</v>
      </c>
      <c r="B28" s="12">
        <f>IF(E28="","",COUNTIF(レシピ一覧!$D$2:$D$500,使用レシピ!E28))</f>
        <v>2</v>
      </c>
      <c r="C28" s="18" t="str">
        <f t="shared" si="0"/>
        <v>2702</v>
      </c>
      <c r="D28" s="31">
        <f>IF(COUNTIF(レシピ一覧!$B:$B,ROW()-1),ROW()-1,"")</f>
        <v>27</v>
      </c>
      <c r="E28" s="27" t="str">
        <f>IFERROR( INDEX(レシピ一覧!$D:$D,MATCH(使用レシピ!$D28,レシピ一覧!$B:$B,0))&amp;"","")</f>
        <v>銅板</v>
      </c>
      <c r="F28" s="12" t="str">
        <f>IF($C28 = "","",INDEX(レシピ一覧!E:E,MATCH(使用レシピ!$C28,レシピ一覧!$A:$A,0))) &amp;""</f>
        <v>銅のインゴット</v>
      </c>
      <c r="G28" s="12" t="str">
        <f>IF($C28 = "","",INDEX(レシピ一覧!F:F,MATCH(使用レシピ!$C28,レシピ一覧!$A:$A,0))) &amp;""</f>
        <v>水</v>
      </c>
      <c r="H28" s="12" t="str">
        <f>IF($C28 = "","",INDEX(レシピ一覧!G:G,MATCH(使用レシピ!$C28,レシピ一覧!$A:$A,0))) &amp;""</f>
        <v/>
      </c>
      <c r="I28" s="12" t="str">
        <f>IF($C28 = "","",INDEX(レシピ一覧!H:H,MATCH(使用レシピ!$C28,レシピ一覧!$A:$A,0))) &amp;""</f>
        <v/>
      </c>
      <c r="J28" s="12" t="str">
        <f>IF($C28 = "","",INDEX(レシピ一覧!I:I,MATCH(使用レシピ!$C28,レシピ一覧!$A:$A,0))) &amp;""</f>
        <v/>
      </c>
      <c r="K28" s="12">
        <f>IFERROR((IF($C28 = "","",INDEX(レシピ一覧!J:J,MATCH(使用レシピ!$C28,レシピ一覧!$A:$A,0)))&amp;"")*1,"")</f>
        <v>3</v>
      </c>
      <c r="L28" s="12">
        <f>IFERROR((IF($C28 = "","",INDEX(レシピ一覧!K:K,MATCH(使用レシピ!$C28,レシピ一覧!$A:$A,0)))&amp;"")*1,"")</f>
        <v>3</v>
      </c>
      <c r="M28" s="12" t="str">
        <f>IFERROR((IF($C28 = "","",INDEX(レシピ一覧!L:L,MATCH(使用レシピ!$C28,レシピ一覧!$A:$A,0)))&amp;"")*1,"")</f>
        <v/>
      </c>
      <c r="N28" s="12" t="str">
        <f>IFERROR((IF($C28 = "","",INDEX(レシピ一覧!M:M,MATCH(使用レシピ!$C28,レシピ一覧!$A:$A,0)))&amp;"")*1,"")</f>
        <v/>
      </c>
      <c r="O28" s="12" t="str">
        <f>IFERROR((IF($C28 = "","",INDEX(レシピ一覧!N:N,MATCH(使用レシピ!$C28,レシピ一覧!$A:$A,0)))&amp;"")*1,"")</f>
        <v/>
      </c>
      <c r="P28" s="12">
        <f>IFERROR((IF($C28 = "","",INDEX(レシピ一覧!O:O,MATCH(使用レシピ!$C28,レシピ一覧!$A:$A,0)))&amp;"")*1,"")</f>
        <v>3</v>
      </c>
      <c r="Q28" s="35">
        <f>IFERROR((IF($C28 = "","",INDEX(レシピ一覧!P:P,MATCH(使用レシピ!$C28,レシピ一覧!$A:$A,0)))&amp;"")*1,"")</f>
        <v>22.5</v>
      </c>
    </row>
    <row r="29" spans="1:17" x14ac:dyDescent="0.4">
      <c r="A29" s="34">
        <v>2</v>
      </c>
      <c r="B29" s="12">
        <f>IF(E29="","",COUNTIF(レシピ一覧!$D$2:$D$500,使用レシピ!E29))</f>
        <v>3</v>
      </c>
      <c r="C29" s="18" t="str">
        <f t="shared" si="0"/>
        <v>2802</v>
      </c>
      <c r="D29" s="31">
        <f>IF(COUNTIF(レシピ一覧!$B:$B,ROW()-1),ROW()-1,"")</f>
        <v>28</v>
      </c>
      <c r="E29" s="27" t="str">
        <f>IFERROR( INDEX(レシピ一覧!$D:$D,MATCH(使用レシピ!$D29,レシピ一覧!$B:$B,0))&amp;"","")</f>
        <v>モジュラー・フレーム</v>
      </c>
      <c r="F29" s="12" t="str">
        <f>IF($C29 = "","",INDEX(レシピ一覧!E:E,MATCH(使用レシピ!$C29,レシピ一覧!$A:$A,0))) &amp;""</f>
        <v>強化鉄板</v>
      </c>
      <c r="G29" s="12" t="str">
        <f>IF($C29 = "","",INDEX(レシピ一覧!F:F,MATCH(使用レシピ!$C29,レシピ一覧!$A:$A,0))) &amp;""</f>
        <v>ネジ</v>
      </c>
      <c r="H29" s="12" t="str">
        <f>IF($C29 = "","",INDEX(レシピ一覧!G:G,MATCH(使用レシピ!$C29,レシピ一覧!$A:$A,0))) &amp;""</f>
        <v/>
      </c>
      <c r="I29" s="12" t="str">
        <f>IF($C29 = "","",INDEX(レシピ一覧!H:H,MATCH(使用レシピ!$C29,レシピ一覧!$A:$A,0))) &amp;""</f>
        <v/>
      </c>
      <c r="J29" s="12" t="str">
        <f>IF($C29 = "","",INDEX(レシピ一覧!I:I,MATCH(使用レシピ!$C29,レシピ一覧!$A:$A,0))) &amp;""</f>
        <v/>
      </c>
      <c r="K29" s="12">
        <f>IFERROR((IF($C29 = "","",INDEX(レシピ一覧!J:J,MATCH(使用レシピ!$C29,レシピ一覧!$A:$A,0)))&amp;"")*1,"")</f>
        <v>3</v>
      </c>
      <c r="L29" s="12">
        <f>IFERROR((IF($C29 = "","",INDEX(レシピ一覧!K:K,MATCH(使用レシピ!$C29,レシピ一覧!$A:$A,0)))&amp;"")*1,"")</f>
        <v>56</v>
      </c>
      <c r="M29" s="12" t="str">
        <f>IFERROR((IF($C29 = "","",INDEX(レシピ一覧!L:L,MATCH(使用レシピ!$C29,レシピ一覧!$A:$A,0)))&amp;"")*1,"")</f>
        <v/>
      </c>
      <c r="N29" s="12" t="str">
        <f>IFERROR((IF($C29 = "","",INDEX(レシピ一覧!M:M,MATCH(使用レシピ!$C29,レシピ一覧!$A:$A,0)))&amp;"")*1,"")</f>
        <v/>
      </c>
      <c r="O29" s="12" t="str">
        <f>IFERROR((IF($C29 = "","",INDEX(レシピ一覧!N:N,MATCH(使用レシピ!$C29,レシピ一覧!$A:$A,0)))&amp;"")*1,"")</f>
        <v/>
      </c>
      <c r="P29" s="12">
        <f>IFERROR((IF($C29 = "","",INDEX(レシピ一覧!O:O,MATCH(使用レシピ!$C29,レシピ一覧!$A:$A,0)))&amp;"")*1,"")</f>
        <v>2</v>
      </c>
      <c r="Q29" s="35">
        <f>IFERROR((IF($C29 = "","",INDEX(レシピ一覧!P:P,MATCH(使用レシピ!$C29,レシピ一覧!$A:$A,0)))&amp;"")*1,"")</f>
        <v>5</v>
      </c>
    </row>
    <row r="30" spans="1:17" x14ac:dyDescent="0.4">
      <c r="A30" s="34">
        <v>1</v>
      </c>
      <c r="B30" s="12">
        <f>IF(E30="","",COUNTIF(レシピ一覧!$D$2:$D$500,使用レシピ!E30))</f>
        <v>2</v>
      </c>
      <c r="C30" s="18" t="str">
        <f t="shared" si="0"/>
        <v>2901</v>
      </c>
      <c r="D30" s="31">
        <f>IF(COUNTIF(レシピ一覧!$B:$B,ROW()-1),ROW()-1,"")</f>
        <v>29</v>
      </c>
      <c r="E30" s="27" t="str">
        <f>IFERROR( INDEX(レシピ一覧!$D:$D,MATCH(使用レシピ!$D30,レシピ一覧!$B:$B,0))&amp;"","")</f>
        <v>スマート・プレート</v>
      </c>
      <c r="F30" s="12" t="str">
        <f>IF($C30 = "","",INDEX(レシピ一覧!E:E,MATCH(使用レシピ!$C30,レシピ一覧!$A:$A,0))) &amp;""</f>
        <v>強化鉄板</v>
      </c>
      <c r="G30" s="12" t="str">
        <f>IF($C30 = "","",INDEX(レシピ一覧!F:F,MATCH(使用レシピ!$C30,レシピ一覧!$A:$A,0))) &amp;""</f>
        <v>ローター</v>
      </c>
      <c r="H30" s="12" t="str">
        <f>IF($C30 = "","",INDEX(レシピ一覧!G:G,MATCH(使用レシピ!$C30,レシピ一覧!$A:$A,0))) &amp;""</f>
        <v/>
      </c>
      <c r="I30" s="12" t="str">
        <f>IF($C30 = "","",INDEX(レシピ一覧!H:H,MATCH(使用レシピ!$C30,レシピ一覧!$A:$A,0))) &amp;""</f>
        <v/>
      </c>
      <c r="J30" s="12" t="str">
        <f>IF($C30 = "","",INDEX(レシピ一覧!I:I,MATCH(使用レシピ!$C30,レシピ一覧!$A:$A,0))) &amp;""</f>
        <v/>
      </c>
      <c r="K30" s="12">
        <f>IFERROR((IF($C30 = "","",INDEX(レシピ一覧!J:J,MATCH(使用レシピ!$C30,レシピ一覧!$A:$A,0)))&amp;"")*1,"")</f>
        <v>1</v>
      </c>
      <c r="L30" s="12">
        <f>IFERROR((IF($C30 = "","",INDEX(レシピ一覧!K:K,MATCH(使用レシピ!$C30,レシピ一覧!$A:$A,0)))&amp;"")*1,"")</f>
        <v>1</v>
      </c>
      <c r="M30" s="12" t="str">
        <f>IFERROR((IF($C30 = "","",INDEX(レシピ一覧!L:L,MATCH(使用レシピ!$C30,レシピ一覧!$A:$A,0)))&amp;"")*1,"")</f>
        <v/>
      </c>
      <c r="N30" s="12" t="str">
        <f>IFERROR((IF($C30 = "","",INDEX(レシピ一覧!M:M,MATCH(使用レシピ!$C30,レシピ一覧!$A:$A,0)))&amp;"")*1,"")</f>
        <v/>
      </c>
      <c r="O30" s="12" t="str">
        <f>IFERROR((IF($C30 = "","",INDEX(レシピ一覧!N:N,MATCH(使用レシピ!$C30,レシピ一覧!$A:$A,0)))&amp;"")*1,"")</f>
        <v/>
      </c>
      <c r="P30" s="12">
        <f>IFERROR((IF($C30 = "","",INDEX(レシピ一覧!O:O,MATCH(使用レシピ!$C30,レシピ一覧!$A:$A,0)))&amp;"")*1,"")</f>
        <v>1</v>
      </c>
      <c r="Q30" s="35">
        <f>IFERROR((IF($C30 = "","",INDEX(レシピ一覧!P:P,MATCH(使用レシピ!$C30,レシピ一覧!$A:$A,0)))&amp;"")*1,"")</f>
        <v>2</v>
      </c>
    </row>
    <row r="31" spans="1:17" x14ac:dyDescent="0.4">
      <c r="A31" s="34">
        <v>1</v>
      </c>
      <c r="B31" s="12">
        <f>IF(E31="","",COUNTIF(レシピ一覧!$D$2:$D$500,使用レシピ!E31))</f>
        <v>2</v>
      </c>
      <c r="C31" s="18" t="str">
        <f t="shared" si="0"/>
        <v>3001</v>
      </c>
      <c r="D31" s="31">
        <f>IF(COUNTIF(レシピ一覧!$B:$B,ROW()-1),ROW()-1,"")</f>
        <v>30</v>
      </c>
      <c r="E31" s="27" t="str">
        <f>IFERROR( INDEX(レシピ一覧!$D:$D,MATCH(使用レシピ!$D31,レシピ一覧!$B:$B,0))&amp;"","")</f>
        <v>黒色火薬</v>
      </c>
      <c r="F31" s="12" t="str">
        <f>IF($C31 = "","",INDEX(レシピ一覧!E:E,MATCH(使用レシピ!$C31,レシピ一覧!$A:$A,0))) &amp;""</f>
        <v>石炭</v>
      </c>
      <c r="G31" s="12" t="str">
        <f>IF($C31 = "","",INDEX(レシピ一覧!F:F,MATCH(使用レシピ!$C31,レシピ一覧!$A:$A,0))) &amp;""</f>
        <v>硫黄</v>
      </c>
      <c r="H31" s="12" t="str">
        <f>IF($C31 = "","",INDEX(レシピ一覧!G:G,MATCH(使用レシピ!$C31,レシピ一覧!$A:$A,0))) &amp;""</f>
        <v/>
      </c>
      <c r="I31" s="12" t="str">
        <f>IF($C31 = "","",INDEX(レシピ一覧!H:H,MATCH(使用レシピ!$C31,レシピ一覧!$A:$A,0))) &amp;""</f>
        <v/>
      </c>
      <c r="J31" s="12" t="str">
        <f>IF($C31 = "","",INDEX(レシピ一覧!I:I,MATCH(使用レシピ!$C31,レシピ一覧!$A:$A,0))) &amp;""</f>
        <v/>
      </c>
      <c r="K31" s="12">
        <f>IFERROR((IF($C31 = "","",INDEX(レシピ一覧!J:J,MATCH(使用レシピ!$C31,レシピ一覧!$A:$A,0)))&amp;"")*1,"")</f>
        <v>1</v>
      </c>
      <c r="L31" s="12">
        <f>IFERROR((IF($C31 = "","",INDEX(レシピ一覧!K:K,MATCH(使用レシピ!$C31,レシピ一覧!$A:$A,0)))&amp;"")*1,"")</f>
        <v>1</v>
      </c>
      <c r="M31" s="12" t="str">
        <f>IFERROR((IF($C31 = "","",INDEX(レシピ一覧!L:L,MATCH(使用レシピ!$C31,レシピ一覧!$A:$A,0)))&amp;"")*1,"")</f>
        <v/>
      </c>
      <c r="N31" s="12" t="str">
        <f>IFERROR((IF($C31 = "","",INDEX(レシピ一覧!M:M,MATCH(使用レシピ!$C31,レシピ一覧!$A:$A,0)))&amp;"")*1,"")</f>
        <v/>
      </c>
      <c r="O31" s="12" t="str">
        <f>IFERROR((IF($C31 = "","",INDEX(レシピ一覧!N:N,MATCH(使用レシピ!$C31,レシピ一覧!$A:$A,0)))&amp;"")*1,"")</f>
        <v/>
      </c>
      <c r="P31" s="12">
        <f>IFERROR((IF($C31 = "","",INDEX(レシピ一覧!O:O,MATCH(使用レシピ!$C31,レシピ一覧!$A:$A,0)))&amp;"")*1,"")</f>
        <v>2</v>
      </c>
      <c r="Q31" s="35">
        <f>IFERROR((IF($C31 = "","",INDEX(レシピ一覧!P:P,MATCH(使用レシピ!$C31,レシピ一覧!$A:$A,0)))&amp;"")*1,"")</f>
        <v>30</v>
      </c>
    </row>
    <row r="32" spans="1:17" x14ac:dyDescent="0.4">
      <c r="A32" s="34">
        <v>1</v>
      </c>
      <c r="B32" s="12">
        <f>IF(E32="","",COUNTIF(レシピ一覧!$D$2:$D$500,使用レシピ!E32))</f>
        <v>5</v>
      </c>
      <c r="C32" s="18" t="str">
        <f t="shared" si="0"/>
        <v>3101</v>
      </c>
      <c r="D32" s="31">
        <f>IF(COUNTIF(レシピ一覧!$B:$B,ROW()-1),ROW()-1,"")</f>
        <v>31</v>
      </c>
      <c r="E32" s="27" t="str">
        <f>IFERROR( INDEX(レシピ一覧!$D:$D,MATCH(使用レシピ!$D32,レシピ一覧!$B:$B,0))&amp;"","")</f>
        <v>石炭</v>
      </c>
      <c r="F32" s="12" t="str">
        <f>IF($C32 = "","",INDEX(レシピ一覧!E:E,MATCH(使用レシピ!$C32,レシピ一覧!$A:$A,0))) &amp;""</f>
        <v/>
      </c>
      <c r="G32" s="12" t="str">
        <f>IF($C32 = "","",INDEX(レシピ一覧!F:F,MATCH(使用レシピ!$C32,レシピ一覧!$A:$A,0))) &amp;""</f>
        <v/>
      </c>
      <c r="H32" s="12" t="str">
        <f>IF($C32 = "","",INDEX(レシピ一覧!G:G,MATCH(使用レシピ!$C32,レシピ一覧!$A:$A,0))) &amp;""</f>
        <v/>
      </c>
      <c r="I32" s="12" t="str">
        <f>IF($C32 = "","",INDEX(レシピ一覧!H:H,MATCH(使用レシピ!$C32,レシピ一覧!$A:$A,0))) &amp;""</f>
        <v/>
      </c>
      <c r="J32" s="12" t="str">
        <f>IF($C32 = "","",INDEX(レシピ一覧!I:I,MATCH(使用レシピ!$C32,レシピ一覧!$A:$A,0))) &amp;""</f>
        <v/>
      </c>
      <c r="K32" s="12" t="str">
        <f>IFERROR((IF($C32 = "","",INDEX(レシピ一覧!J:J,MATCH(使用レシピ!$C32,レシピ一覧!$A:$A,0)))&amp;"")*1,"")</f>
        <v/>
      </c>
      <c r="L32" s="12" t="str">
        <f>IFERROR((IF($C32 = "","",INDEX(レシピ一覧!K:K,MATCH(使用レシピ!$C32,レシピ一覧!$A:$A,0)))&amp;"")*1,"")</f>
        <v/>
      </c>
      <c r="M32" s="12" t="str">
        <f>IFERROR((IF($C32 = "","",INDEX(レシピ一覧!L:L,MATCH(使用レシピ!$C32,レシピ一覧!$A:$A,0)))&amp;"")*1,"")</f>
        <v/>
      </c>
      <c r="N32" s="12" t="str">
        <f>IFERROR((IF($C32 = "","",INDEX(レシピ一覧!M:M,MATCH(使用レシピ!$C32,レシピ一覧!$A:$A,0)))&amp;"")*1,"")</f>
        <v/>
      </c>
      <c r="O32" s="12" t="str">
        <f>IFERROR((IF($C32 = "","",INDEX(レシピ一覧!N:N,MATCH(使用レシピ!$C32,レシピ一覧!$A:$A,0)))&amp;"")*1,"")</f>
        <v/>
      </c>
      <c r="P32" s="12">
        <f>IFERROR((IF($C32 = "","",INDEX(レシピ一覧!O:O,MATCH(使用レシピ!$C32,レシピ一覧!$A:$A,0)))&amp;"")*1,"")</f>
        <v>1</v>
      </c>
      <c r="Q32" s="35">
        <f>IFERROR((IF($C32 = "","",INDEX(レシピ一覧!P:P,MATCH(使用レシピ!$C32,レシピ一覧!$A:$A,0)))&amp;"")*1,"")</f>
        <v>1200</v>
      </c>
    </row>
    <row r="33" spans="1:17" x14ac:dyDescent="0.4">
      <c r="A33" s="34">
        <v>1</v>
      </c>
      <c r="B33" s="12">
        <f>IF(E33="","",COUNTIF(レシピ一覧!$D$2:$D$500,使用レシピ!E33))</f>
        <v>3</v>
      </c>
      <c r="C33" s="18" t="str">
        <f t="shared" si="0"/>
        <v>3201</v>
      </c>
      <c r="D33" s="31">
        <f>IF(COUNTIF(レシピ一覧!$B:$B,ROW()-1),ROW()-1,"")</f>
        <v>32</v>
      </c>
      <c r="E33" s="27" t="str">
        <f>IFERROR( INDEX(レシピ一覧!$D:$D,MATCH(使用レシピ!$D33,レシピ一覧!$B:$B,0))&amp;"","")</f>
        <v>硫黄</v>
      </c>
      <c r="F33" s="12" t="str">
        <f>IF($C33 = "","",INDEX(レシピ一覧!E:E,MATCH(使用レシピ!$C33,レシピ一覧!$A:$A,0))) &amp;""</f>
        <v/>
      </c>
      <c r="G33" s="12" t="str">
        <f>IF($C33 = "","",INDEX(レシピ一覧!F:F,MATCH(使用レシピ!$C33,レシピ一覧!$A:$A,0))) &amp;""</f>
        <v/>
      </c>
      <c r="H33" s="12" t="str">
        <f>IF($C33 = "","",INDEX(レシピ一覧!G:G,MATCH(使用レシピ!$C33,レシピ一覧!$A:$A,0))) &amp;""</f>
        <v/>
      </c>
      <c r="I33" s="12" t="str">
        <f>IF($C33 = "","",INDEX(レシピ一覧!H:H,MATCH(使用レシピ!$C33,レシピ一覧!$A:$A,0))) &amp;""</f>
        <v/>
      </c>
      <c r="J33" s="12" t="str">
        <f>IF($C33 = "","",INDEX(レシピ一覧!I:I,MATCH(使用レシピ!$C33,レシピ一覧!$A:$A,0))) &amp;""</f>
        <v/>
      </c>
      <c r="K33" s="12" t="str">
        <f>IFERROR((IF($C33 = "","",INDEX(レシピ一覧!J:J,MATCH(使用レシピ!$C33,レシピ一覧!$A:$A,0)))&amp;"")*1,"")</f>
        <v/>
      </c>
      <c r="L33" s="12" t="str">
        <f>IFERROR((IF($C33 = "","",INDEX(レシピ一覧!K:K,MATCH(使用レシピ!$C33,レシピ一覧!$A:$A,0)))&amp;"")*1,"")</f>
        <v/>
      </c>
      <c r="M33" s="12" t="str">
        <f>IFERROR((IF($C33 = "","",INDEX(レシピ一覧!L:L,MATCH(使用レシピ!$C33,レシピ一覧!$A:$A,0)))&amp;"")*1,"")</f>
        <v/>
      </c>
      <c r="N33" s="12" t="str">
        <f>IFERROR((IF($C33 = "","",INDEX(レシピ一覧!M:M,MATCH(使用レシピ!$C33,レシピ一覧!$A:$A,0)))&amp;"")*1,"")</f>
        <v/>
      </c>
      <c r="O33" s="12" t="str">
        <f>IFERROR((IF($C33 = "","",INDEX(レシピ一覧!N:N,MATCH(使用レシピ!$C33,レシピ一覧!$A:$A,0)))&amp;"")*1,"")</f>
        <v/>
      </c>
      <c r="P33" s="12">
        <f>IFERROR((IF($C33 = "","",INDEX(レシピ一覧!O:O,MATCH(使用レシピ!$C33,レシピ一覧!$A:$A,0)))&amp;"")*1,"")</f>
        <v>1</v>
      </c>
      <c r="Q33" s="35">
        <f>IFERROR((IF($C33 = "","",INDEX(レシピ一覧!P:P,MATCH(使用レシピ!$C33,レシピ一覧!$A:$A,0)))&amp;"")*1,"")</f>
        <v>1200</v>
      </c>
    </row>
    <row r="34" spans="1:17" x14ac:dyDescent="0.4">
      <c r="A34" s="34">
        <v>2</v>
      </c>
      <c r="B34" s="12">
        <f>IF(E34="","",COUNTIF(レシピ一覧!$D$2:$D$500,使用レシピ!E34))</f>
        <v>4</v>
      </c>
      <c r="C34" s="18" t="str">
        <f t="shared" si="0"/>
        <v>3302</v>
      </c>
      <c r="D34" s="31">
        <f>IF(COUNTIF(レシピ一覧!$B:$B,ROW()-1),ROW()-1,"")</f>
        <v>33</v>
      </c>
      <c r="E34" s="27" t="str">
        <f>IFERROR( INDEX(レシピ一覧!$D:$D,MATCH(使用レシピ!$D34,レシピ一覧!$B:$B,0))&amp;"","")</f>
        <v>カテリウムのインゴット</v>
      </c>
      <c r="F34" s="12" t="str">
        <f>IF($C34 = "","",INDEX(レシピ一覧!E:E,MATCH(使用レシピ!$C34,レシピ一覧!$A:$A,0))) &amp;""</f>
        <v>カテリウム鉱石</v>
      </c>
      <c r="G34" s="12" t="str">
        <f>IF($C34 = "","",INDEX(レシピ一覧!F:F,MATCH(使用レシピ!$C34,レシピ一覧!$A:$A,0))) &amp;""</f>
        <v>水</v>
      </c>
      <c r="H34" s="12" t="str">
        <f>IF($C34 = "","",INDEX(レシピ一覧!G:G,MATCH(使用レシピ!$C34,レシピ一覧!$A:$A,0))) &amp;""</f>
        <v/>
      </c>
      <c r="I34" s="12" t="str">
        <f>IF($C34 = "","",INDEX(レシピ一覧!H:H,MATCH(使用レシピ!$C34,レシピ一覧!$A:$A,0))) &amp;""</f>
        <v/>
      </c>
      <c r="J34" s="12" t="str">
        <f>IF($C34 = "","",INDEX(レシピ一覧!I:I,MATCH(使用レシピ!$C34,レシピ一覧!$A:$A,0))) &amp;""</f>
        <v/>
      </c>
      <c r="K34" s="12">
        <f>IFERROR((IF($C34 = "","",INDEX(レシピ一覧!J:J,MATCH(使用レシピ!$C34,レシピ一覧!$A:$A,0)))&amp;"")*1,"")</f>
        <v>2</v>
      </c>
      <c r="L34" s="12">
        <f>IFERROR((IF($C34 = "","",INDEX(レシピ一覧!K:K,MATCH(使用レシピ!$C34,レシピ一覧!$A:$A,0)))&amp;"")*1,"")</f>
        <v>2</v>
      </c>
      <c r="M34" s="12" t="str">
        <f>IFERROR((IF($C34 = "","",INDEX(レシピ一覧!L:L,MATCH(使用レシピ!$C34,レシピ一覧!$A:$A,0)))&amp;"")*1,"")</f>
        <v/>
      </c>
      <c r="N34" s="12" t="str">
        <f>IFERROR((IF($C34 = "","",INDEX(レシピ一覧!M:M,MATCH(使用レシピ!$C34,レシピ一覧!$A:$A,0)))&amp;"")*1,"")</f>
        <v/>
      </c>
      <c r="O34" s="12" t="str">
        <f>IFERROR((IF($C34 = "","",INDEX(レシピ一覧!N:N,MATCH(使用レシピ!$C34,レシピ一覧!$A:$A,0)))&amp;"")*1,"")</f>
        <v/>
      </c>
      <c r="P34" s="12">
        <f>IFERROR((IF($C34 = "","",INDEX(レシピ一覧!O:O,MATCH(使用レシピ!$C34,レシピ一覧!$A:$A,0)))&amp;"")*1,"")</f>
        <v>1</v>
      </c>
      <c r="Q34" s="35">
        <f>IFERROR((IF($C34 = "","",INDEX(レシピ一覧!P:P,MATCH(使用レシピ!$C34,レシピ一覧!$A:$A,0)))&amp;"")*1,"")</f>
        <v>12</v>
      </c>
    </row>
    <row r="35" spans="1:17" x14ac:dyDescent="0.4">
      <c r="A35" s="34">
        <v>1</v>
      </c>
      <c r="B35" s="12">
        <f>IF(E35="","",COUNTIF(レシピ一覧!$D$2:$D$500,使用レシピ!E35))</f>
        <v>3</v>
      </c>
      <c r="C35" s="18" t="str">
        <f t="shared" si="0"/>
        <v>3401</v>
      </c>
      <c r="D35" s="31">
        <f>IF(COUNTIF(レシピ一覧!$B:$B,ROW()-1),ROW()-1,"")</f>
        <v>34</v>
      </c>
      <c r="E35" s="27" t="str">
        <f>IFERROR( INDEX(レシピ一覧!$D:$D,MATCH(使用レシピ!$D35,レシピ一覧!$B:$B,0))&amp;"","")</f>
        <v>カテリウム鉱石</v>
      </c>
      <c r="F35" s="12" t="str">
        <f>IF($C35 = "","",INDEX(レシピ一覧!E:E,MATCH(使用レシピ!$C35,レシピ一覧!$A:$A,0))) &amp;""</f>
        <v/>
      </c>
      <c r="G35" s="12" t="str">
        <f>IF($C35 = "","",INDEX(レシピ一覧!F:F,MATCH(使用レシピ!$C35,レシピ一覧!$A:$A,0))) &amp;""</f>
        <v/>
      </c>
      <c r="H35" s="12" t="str">
        <f>IF($C35 = "","",INDEX(レシピ一覧!G:G,MATCH(使用レシピ!$C35,レシピ一覧!$A:$A,0))) &amp;""</f>
        <v/>
      </c>
      <c r="I35" s="12" t="str">
        <f>IF($C35 = "","",INDEX(レシピ一覧!H:H,MATCH(使用レシピ!$C35,レシピ一覧!$A:$A,0))) &amp;""</f>
        <v/>
      </c>
      <c r="J35" s="12" t="str">
        <f>IF($C35 = "","",INDEX(レシピ一覧!I:I,MATCH(使用レシピ!$C35,レシピ一覧!$A:$A,0))) &amp;""</f>
        <v/>
      </c>
      <c r="K35" s="12" t="str">
        <f>IFERROR((IF($C35 = "","",INDEX(レシピ一覧!J:J,MATCH(使用レシピ!$C35,レシピ一覧!$A:$A,0)))&amp;"")*1,"")</f>
        <v/>
      </c>
      <c r="L35" s="12" t="str">
        <f>IFERROR((IF($C35 = "","",INDEX(レシピ一覧!K:K,MATCH(使用レシピ!$C35,レシピ一覧!$A:$A,0)))&amp;"")*1,"")</f>
        <v/>
      </c>
      <c r="M35" s="12" t="str">
        <f>IFERROR((IF($C35 = "","",INDEX(レシピ一覧!L:L,MATCH(使用レシピ!$C35,レシピ一覧!$A:$A,0)))&amp;"")*1,"")</f>
        <v/>
      </c>
      <c r="N35" s="12" t="str">
        <f>IFERROR((IF($C35 = "","",INDEX(レシピ一覧!M:M,MATCH(使用レシピ!$C35,レシピ一覧!$A:$A,0)))&amp;"")*1,"")</f>
        <v/>
      </c>
      <c r="O35" s="12" t="str">
        <f>IFERROR((IF($C35 = "","",INDEX(レシピ一覧!N:N,MATCH(使用レシピ!$C35,レシピ一覧!$A:$A,0)))&amp;"")*1,"")</f>
        <v/>
      </c>
      <c r="P35" s="12">
        <f>IFERROR((IF($C35 = "","",INDEX(レシピ一覧!O:O,MATCH(使用レシピ!$C35,レシピ一覧!$A:$A,0)))&amp;"")*1,"")</f>
        <v>1</v>
      </c>
      <c r="Q35" s="35">
        <f>IFERROR((IF($C35 = "","",INDEX(レシピ一覧!P:P,MATCH(使用レシピ!$C35,レシピ一覧!$A:$A,0)))&amp;"")*1,"")</f>
        <v>1200</v>
      </c>
    </row>
    <row r="36" spans="1:17" x14ac:dyDescent="0.4">
      <c r="A36" s="34">
        <v>2</v>
      </c>
      <c r="B36" s="12">
        <f>IF(E36="","",COUNTIF(レシピ一覧!$D$2:$D$500,使用レシピ!E36))</f>
        <v>2</v>
      </c>
      <c r="C36" s="18" t="str">
        <f t="shared" si="0"/>
        <v>3502</v>
      </c>
      <c r="D36" s="31">
        <f>IF(COUNTIF(レシピ一覧!$B:$B,ROW()-1),ROW()-1,"")</f>
        <v>35</v>
      </c>
      <c r="E36" s="27" t="str">
        <f>IFERROR( INDEX(レシピ一覧!$D:$D,MATCH(使用レシピ!$D36,レシピ一覧!$B:$B,0))&amp;"","")</f>
        <v>クイックワイヤー</v>
      </c>
      <c r="F36" s="12" t="str">
        <f>IF($C36 = "","",INDEX(レシピ一覧!E:E,MATCH(使用レシピ!$C36,レシピ一覧!$A:$A,0))) &amp;""</f>
        <v>カテリウムのインゴット</v>
      </c>
      <c r="G36" s="12" t="str">
        <f>IF($C36 = "","",INDEX(レシピ一覧!F:F,MATCH(使用レシピ!$C36,レシピ一覧!$A:$A,0))) &amp;""</f>
        <v>銅のインゴット</v>
      </c>
      <c r="H36" s="12" t="str">
        <f>IF($C36 = "","",INDEX(レシピ一覧!G:G,MATCH(使用レシピ!$C36,レシピ一覧!$A:$A,0))) &amp;""</f>
        <v/>
      </c>
      <c r="I36" s="12" t="str">
        <f>IF($C36 = "","",INDEX(レシピ一覧!H:H,MATCH(使用レシピ!$C36,レシピ一覧!$A:$A,0))) &amp;""</f>
        <v/>
      </c>
      <c r="J36" s="12" t="str">
        <f>IF($C36 = "","",INDEX(レシピ一覧!I:I,MATCH(使用レシピ!$C36,レシピ一覧!$A:$A,0))) &amp;""</f>
        <v/>
      </c>
      <c r="K36" s="12">
        <f>IFERROR((IF($C36 = "","",INDEX(レシピ一覧!J:J,MATCH(使用レシピ!$C36,レシピ一覧!$A:$A,0)))&amp;"")*1,"")</f>
        <v>1</v>
      </c>
      <c r="L36" s="12">
        <f>IFERROR((IF($C36 = "","",INDEX(レシピ一覧!K:K,MATCH(使用レシピ!$C36,レシピ一覧!$A:$A,0)))&amp;"")*1,"")</f>
        <v>5</v>
      </c>
      <c r="M36" s="12" t="str">
        <f>IFERROR((IF($C36 = "","",INDEX(レシピ一覧!L:L,MATCH(使用レシピ!$C36,レシピ一覧!$A:$A,0)))&amp;"")*1,"")</f>
        <v/>
      </c>
      <c r="N36" s="12" t="str">
        <f>IFERROR((IF($C36 = "","",INDEX(レシピ一覧!M:M,MATCH(使用レシピ!$C36,レシピ一覧!$A:$A,0)))&amp;"")*1,"")</f>
        <v/>
      </c>
      <c r="O36" s="12" t="str">
        <f>IFERROR((IF($C36 = "","",INDEX(レシピ一覧!N:N,MATCH(使用レシピ!$C36,レシピ一覧!$A:$A,0)))&amp;"")*1,"")</f>
        <v/>
      </c>
      <c r="P36" s="12">
        <f>IFERROR((IF($C36 = "","",INDEX(レシピ一覧!O:O,MATCH(使用レシピ!$C36,レシピ一覧!$A:$A,0)))&amp;"")*1,"")</f>
        <v>12</v>
      </c>
      <c r="Q36" s="35">
        <f>IFERROR((IF($C36 = "","",INDEX(レシピ一覧!P:P,MATCH(使用レシピ!$C36,レシピ一覧!$A:$A,0)))&amp;"")*1,"")</f>
        <v>90</v>
      </c>
    </row>
    <row r="37" spans="1:17" x14ac:dyDescent="0.4">
      <c r="A37" s="34">
        <v>4</v>
      </c>
      <c r="B37" s="12">
        <f>IF(E37="","",COUNTIF(レシピ一覧!$D$2:$D$500,使用レシピ!E37))</f>
        <v>4</v>
      </c>
      <c r="C37" s="18" t="str">
        <f t="shared" si="0"/>
        <v>3604</v>
      </c>
      <c r="D37" s="31">
        <f>IF(COUNTIF(レシピ一覧!$B:$B,ROW()-1),ROW()-1,"")</f>
        <v>36</v>
      </c>
      <c r="E37" s="27" t="str">
        <f>IFERROR( INDEX(レシピ一覧!$D:$D,MATCH(使用レシピ!$D37,レシピ一覧!$B:$B,0))&amp;"","")</f>
        <v>鋼鉄のインゴット</v>
      </c>
      <c r="F37" s="12" t="str">
        <f>IF($C37 = "","",INDEX(レシピ一覧!E:E,MATCH(使用レシピ!$C37,レシピ一覧!$A:$A,0))) &amp;""</f>
        <v>鉄のインゴット</v>
      </c>
      <c r="G37" s="12" t="str">
        <f>IF($C37 = "","",INDEX(レシピ一覧!F:F,MATCH(使用レシピ!$C37,レシピ一覧!$A:$A,0))) &amp;""</f>
        <v>石炭</v>
      </c>
      <c r="H37" s="12" t="str">
        <f>IF($C37 = "","",INDEX(レシピ一覧!G:G,MATCH(使用レシピ!$C37,レシピ一覧!$A:$A,0))) &amp;""</f>
        <v/>
      </c>
      <c r="I37" s="12" t="str">
        <f>IF($C37 = "","",INDEX(レシピ一覧!H:H,MATCH(使用レシピ!$C37,レシピ一覧!$A:$A,0))) &amp;""</f>
        <v/>
      </c>
      <c r="J37" s="12" t="str">
        <f>IF($C37 = "","",INDEX(レシピ一覧!I:I,MATCH(使用レシピ!$C37,レシピ一覧!$A:$A,0))) &amp;""</f>
        <v/>
      </c>
      <c r="K37" s="12">
        <f>IFERROR((IF($C37 = "","",INDEX(レシピ一覧!J:J,MATCH(使用レシピ!$C37,レシピ一覧!$A:$A,0)))&amp;"")*1,"")</f>
        <v>2</v>
      </c>
      <c r="L37" s="12">
        <f>IFERROR((IF($C37 = "","",INDEX(レシピ一覧!K:K,MATCH(使用レシピ!$C37,レシピ一覧!$A:$A,0)))&amp;"")*1,"")</f>
        <v>2</v>
      </c>
      <c r="M37" s="12" t="str">
        <f>IFERROR((IF($C37 = "","",INDEX(レシピ一覧!L:L,MATCH(使用レシピ!$C37,レシピ一覧!$A:$A,0)))&amp;"")*1,"")</f>
        <v/>
      </c>
      <c r="N37" s="12" t="str">
        <f>IFERROR((IF($C37 = "","",INDEX(レシピ一覧!M:M,MATCH(使用レシピ!$C37,レシピ一覧!$A:$A,0)))&amp;"")*1,"")</f>
        <v/>
      </c>
      <c r="O37" s="12" t="str">
        <f>IFERROR((IF($C37 = "","",INDEX(レシピ一覧!N:N,MATCH(使用レシピ!$C37,レシピ一覧!$A:$A,0)))&amp;"")*1,"")</f>
        <v/>
      </c>
      <c r="P37" s="12">
        <f>IFERROR((IF($C37 = "","",INDEX(レシピ一覧!O:O,MATCH(使用レシピ!$C37,レシピ一覧!$A:$A,0)))&amp;"")*1,"")</f>
        <v>3</v>
      </c>
      <c r="Q37" s="35">
        <f>IFERROR((IF($C37 = "","",INDEX(レシピ一覧!P:P,MATCH(使用レシピ!$C37,レシピ一覧!$A:$A,0)))&amp;"")*1,"")</f>
        <v>60</v>
      </c>
    </row>
    <row r="38" spans="1:17" x14ac:dyDescent="0.4">
      <c r="A38" s="34">
        <v>2</v>
      </c>
      <c r="B38" s="12">
        <f>IF(E38="","",COUNTIF(レシピ一覧!$D$2:$D$500,使用レシピ!E38))</f>
        <v>3</v>
      </c>
      <c r="C38" s="18" t="str">
        <f t="shared" si="0"/>
        <v>3702</v>
      </c>
      <c r="D38" s="31">
        <f>IF(COUNTIF(レシピ一覧!$B:$B,ROW()-1),ROW()-1,"")</f>
        <v>37</v>
      </c>
      <c r="E38" s="27" t="str">
        <f>IFERROR( INDEX(レシピ一覧!$D:$D,MATCH(使用レシピ!$D38,レシピ一覧!$B:$B,0))&amp;"","")</f>
        <v>鋼梁</v>
      </c>
      <c r="F38" s="12" t="str">
        <f>IF($C38 = "","",INDEX(レシピ一覧!E:E,MATCH(使用レシピ!$C38,レシピ一覧!$A:$A,0))) &amp;""</f>
        <v>鋼鉄のインゴット</v>
      </c>
      <c r="G38" s="12" t="str">
        <f>IF($C38 = "","",INDEX(レシピ一覧!F:F,MATCH(使用レシピ!$C38,レシピ一覧!$A:$A,0))) &amp;""</f>
        <v>コンクリート</v>
      </c>
      <c r="H38" s="12" t="str">
        <f>IF($C38 = "","",INDEX(レシピ一覧!G:G,MATCH(使用レシピ!$C38,レシピ一覧!$A:$A,0))) &amp;""</f>
        <v/>
      </c>
      <c r="I38" s="12" t="str">
        <f>IF($C38 = "","",INDEX(レシピ一覧!H:H,MATCH(使用レシピ!$C38,レシピ一覧!$A:$A,0))) &amp;""</f>
        <v/>
      </c>
      <c r="J38" s="12" t="str">
        <f>IF($C38 = "","",INDEX(レシピ一覧!I:I,MATCH(使用レシピ!$C38,レシピ一覧!$A:$A,0))) &amp;""</f>
        <v/>
      </c>
      <c r="K38" s="12">
        <f>IFERROR((IF($C38 = "","",INDEX(レシピ一覧!J:J,MATCH(使用レシピ!$C38,レシピ一覧!$A:$A,0)))&amp;"")*1,"")</f>
        <v>24</v>
      </c>
      <c r="L38" s="12">
        <f>IFERROR((IF($C38 = "","",INDEX(レシピ一覧!K:K,MATCH(使用レシピ!$C38,レシピ一覧!$A:$A,0)))&amp;"")*1,"")</f>
        <v>16</v>
      </c>
      <c r="M38" s="12" t="str">
        <f>IFERROR((IF($C38 = "","",INDEX(レシピ一覧!L:L,MATCH(使用レシピ!$C38,レシピ一覧!$A:$A,0)))&amp;"")*1,"")</f>
        <v/>
      </c>
      <c r="N38" s="12" t="str">
        <f>IFERROR((IF($C38 = "","",INDEX(レシピ一覧!M:M,MATCH(使用レシピ!$C38,レシピ一覧!$A:$A,0)))&amp;"")*1,"")</f>
        <v/>
      </c>
      <c r="O38" s="12" t="str">
        <f>IFERROR((IF($C38 = "","",INDEX(レシピ一覧!N:N,MATCH(使用レシピ!$C38,レシピ一覧!$A:$A,0)))&amp;"")*1,"")</f>
        <v/>
      </c>
      <c r="P38" s="12">
        <f>IFERROR((IF($C38 = "","",INDEX(レシピ一覧!O:O,MATCH(使用レシピ!$C38,レシピ一覧!$A:$A,0)))&amp;"")*1,"")</f>
        <v>9</v>
      </c>
      <c r="Q38" s="35">
        <f>IFERROR((IF($C38 = "","",INDEX(レシピ一覧!P:P,MATCH(使用レシピ!$C38,レシピ一覧!$A:$A,0)))&amp;"")*1,"")</f>
        <v>45</v>
      </c>
    </row>
    <row r="39" spans="1:17" x14ac:dyDescent="0.4">
      <c r="A39" s="34">
        <v>3</v>
      </c>
      <c r="B39" s="12">
        <f>IF(E39="","",COUNTIF(レシピ一覧!$D$2:$D$500,使用レシピ!E39))</f>
        <v>3</v>
      </c>
      <c r="C39" s="18" t="str">
        <f t="shared" si="0"/>
        <v>3803</v>
      </c>
      <c r="D39" s="31">
        <f>IF(COUNTIF(レシピ一覧!$B:$B,ROW()-1),ROW()-1,"")</f>
        <v>38</v>
      </c>
      <c r="E39" s="27" t="str">
        <f>IFERROR( INDEX(レシピ一覧!$D:$D,MATCH(使用レシピ!$D39,レシピ一覧!$B:$B,0))&amp;"","")</f>
        <v>鋼管</v>
      </c>
      <c r="F39" s="12" t="str">
        <f>IF($C39 = "","",INDEX(レシピ一覧!E:E,MATCH(使用レシピ!$C39,レシピ一覧!$A:$A,0))) &amp;""</f>
        <v>鋼鉄のインゴット</v>
      </c>
      <c r="G39" s="12" t="str">
        <f>IF($C39 = "","",INDEX(レシピ一覧!F:F,MATCH(使用レシピ!$C39,レシピ一覧!$A:$A,0))) &amp;""</f>
        <v>コンクリート</v>
      </c>
      <c r="H39" s="12" t="str">
        <f>IF($C39 = "","",INDEX(レシピ一覧!G:G,MATCH(使用レシピ!$C39,レシピ一覧!$A:$A,0))) &amp;""</f>
        <v/>
      </c>
      <c r="I39" s="12" t="str">
        <f>IF($C39 = "","",INDEX(レシピ一覧!H:H,MATCH(使用レシピ!$C39,レシピ一覧!$A:$A,0))) &amp;""</f>
        <v/>
      </c>
      <c r="J39" s="12" t="str">
        <f>IF($C39 = "","",INDEX(レシピ一覧!I:I,MATCH(使用レシピ!$C39,レシピ一覧!$A:$A,0))) &amp;""</f>
        <v/>
      </c>
      <c r="K39" s="12">
        <f>IFERROR((IF($C39 = "","",INDEX(レシピ一覧!J:J,MATCH(使用レシピ!$C39,レシピ一覧!$A:$A,0)))&amp;"")*1,"")</f>
        <v>5</v>
      </c>
      <c r="L39" s="12">
        <f>IFERROR((IF($C39 = "","",INDEX(レシピ一覧!K:K,MATCH(使用レシピ!$C39,レシピ一覧!$A:$A,0)))&amp;"")*1,"")</f>
        <v>3</v>
      </c>
      <c r="M39" s="12" t="str">
        <f>IFERROR((IF($C39 = "","",INDEX(レシピ一覧!L:L,MATCH(使用レシピ!$C39,レシピ一覧!$A:$A,0)))&amp;"")*1,"")</f>
        <v/>
      </c>
      <c r="N39" s="12" t="str">
        <f>IFERROR((IF($C39 = "","",INDEX(レシピ一覧!M:M,MATCH(使用レシピ!$C39,レシピ一覧!$A:$A,0)))&amp;"")*1,"")</f>
        <v/>
      </c>
      <c r="O39" s="12" t="str">
        <f>IFERROR((IF($C39 = "","",INDEX(レシピ一覧!N:N,MATCH(使用レシピ!$C39,レシピ一覧!$A:$A,0)))&amp;"")*1,"")</f>
        <v/>
      </c>
      <c r="P39" s="12">
        <f>IFERROR((IF($C39 = "","",INDEX(レシピ一覧!O:O,MATCH(使用レシピ!$C39,レシピ一覧!$A:$A,0)))&amp;"")*1,"")</f>
        <v>5</v>
      </c>
      <c r="Q39" s="35">
        <f>IFERROR((IF($C39 = "","",INDEX(レシピ一覧!P:P,MATCH(使用レシピ!$C39,レシピ一覧!$A:$A,0)))&amp;"")*1,"")</f>
        <v>50</v>
      </c>
    </row>
    <row r="40" spans="1:17" x14ac:dyDescent="0.4">
      <c r="A40" s="34">
        <v>1</v>
      </c>
      <c r="B40" s="12">
        <f>IF(E40="","",COUNTIF(レシピ一覧!$D$2:$D$500,使用レシピ!E40))</f>
        <v>2</v>
      </c>
      <c r="C40" s="18" t="str">
        <f t="shared" si="0"/>
        <v>3901</v>
      </c>
      <c r="D40" s="31">
        <f>IF(COUNTIF(レシピ一覧!$B:$B,ROW()-1),ROW()-1,"")</f>
        <v>39</v>
      </c>
      <c r="E40" s="27" t="str">
        <f>IFERROR( INDEX(レシピ一覧!$D:$D,MATCH(使用レシピ!$D40,レシピ一覧!$B:$B,0))&amp;"","")</f>
        <v>多目的フレームワーク</v>
      </c>
      <c r="F40" s="12" t="str">
        <f>IF($C40 = "","",INDEX(レシピ一覧!E:E,MATCH(使用レシピ!$C40,レシピ一覧!$A:$A,0))) &amp;""</f>
        <v>モジュラー・フレーム</v>
      </c>
      <c r="G40" s="12" t="str">
        <f>IF($C40 = "","",INDEX(レシピ一覧!F:F,MATCH(使用レシピ!$C40,レシピ一覧!$A:$A,0))) &amp;""</f>
        <v>鋼梁</v>
      </c>
      <c r="H40" s="12" t="str">
        <f>IF($C40 = "","",INDEX(レシピ一覧!G:G,MATCH(使用レシピ!$C40,レシピ一覧!$A:$A,0))) &amp;""</f>
        <v/>
      </c>
      <c r="I40" s="12" t="str">
        <f>IF($C40 = "","",INDEX(レシピ一覧!H:H,MATCH(使用レシピ!$C40,レシピ一覧!$A:$A,0))) &amp;""</f>
        <v/>
      </c>
      <c r="J40" s="12" t="str">
        <f>IF($C40 = "","",INDEX(レシピ一覧!I:I,MATCH(使用レシピ!$C40,レシピ一覧!$A:$A,0))) &amp;""</f>
        <v/>
      </c>
      <c r="K40" s="12">
        <f>IFERROR((IF($C40 = "","",INDEX(レシピ一覧!J:J,MATCH(使用レシピ!$C40,レシピ一覧!$A:$A,0)))&amp;"")*1,"")</f>
        <v>1</v>
      </c>
      <c r="L40" s="12">
        <f>IFERROR((IF($C40 = "","",INDEX(レシピ一覧!K:K,MATCH(使用レシピ!$C40,レシピ一覧!$A:$A,0)))&amp;"")*1,"")</f>
        <v>12</v>
      </c>
      <c r="M40" s="12" t="str">
        <f>IFERROR((IF($C40 = "","",INDEX(レシピ一覧!L:L,MATCH(使用レシピ!$C40,レシピ一覧!$A:$A,0)))&amp;"")*1,"")</f>
        <v/>
      </c>
      <c r="N40" s="12" t="str">
        <f>IFERROR((IF($C40 = "","",INDEX(レシピ一覧!M:M,MATCH(使用レシピ!$C40,レシピ一覧!$A:$A,0)))&amp;"")*1,"")</f>
        <v/>
      </c>
      <c r="O40" s="12" t="str">
        <f>IFERROR((IF($C40 = "","",INDEX(レシピ一覧!N:N,MATCH(使用レシピ!$C40,レシピ一覧!$A:$A,0)))&amp;"")*1,"")</f>
        <v/>
      </c>
      <c r="P40" s="12">
        <f>IFERROR((IF($C40 = "","",INDEX(レシピ一覧!O:O,MATCH(使用レシピ!$C40,レシピ一覧!$A:$A,0)))&amp;"")*1,"")</f>
        <v>2</v>
      </c>
      <c r="Q40" s="35">
        <f>IFERROR((IF($C40 = "","",INDEX(レシピ一覧!P:P,MATCH(使用レシピ!$C40,レシピ一覧!$A:$A,0)))&amp;"")*1,"")</f>
        <v>5</v>
      </c>
    </row>
    <row r="41" spans="1:17" x14ac:dyDescent="0.4">
      <c r="A41" s="34">
        <v>1</v>
      </c>
      <c r="B41" s="12">
        <f>IF(E41="","",COUNTIF(レシピ一覧!$D$2:$D$500,使用レシピ!E41))</f>
        <v>1</v>
      </c>
      <c r="C41" s="18" t="str">
        <f t="shared" si="0"/>
        <v>4001</v>
      </c>
      <c r="D41" s="31">
        <f>IF(COUNTIF(レシピ一覧!$B:$B,ROW()-1),ROW()-1,"")</f>
        <v>40</v>
      </c>
      <c r="E41" s="27" t="str">
        <f>IFERROR( INDEX(レシピ一覧!$D:$D,MATCH(使用レシピ!$D41,レシピ一覧!$B:$B,0))&amp;"","")</f>
        <v>活性SAM</v>
      </c>
      <c r="F41" s="12" t="str">
        <f>IF($C41 = "","",INDEX(レシピ一覧!E:E,MATCH(使用レシピ!$C41,レシピ一覧!$A:$A,0))) &amp;""</f>
        <v>SAM</v>
      </c>
      <c r="G41" s="12" t="str">
        <f>IF($C41 = "","",INDEX(レシピ一覧!F:F,MATCH(使用レシピ!$C41,レシピ一覧!$A:$A,0))) &amp;""</f>
        <v/>
      </c>
      <c r="H41" s="12" t="str">
        <f>IF($C41 = "","",INDEX(レシピ一覧!G:G,MATCH(使用レシピ!$C41,レシピ一覧!$A:$A,0))) &amp;""</f>
        <v/>
      </c>
      <c r="I41" s="12" t="str">
        <f>IF($C41 = "","",INDEX(レシピ一覧!H:H,MATCH(使用レシピ!$C41,レシピ一覧!$A:$A,0))) &amp;""</f>
        <v/>
      </c>
      <c r="J41" s="12" t="str">
        <f>IF($C41 = "","",INDEX(レシピ一覧!I:I,MATCH(使用レシピ!$C41,レシピ一覧!$A:$A,0))) &amp;""</f>
        <v/>
      </c>
      <c r="K41" s="12">
        <f>IFERROR((IF($C41 = "","",INDEX(レシピ一覧!J:J,MATCH(使用レシピ!$C41,レシピ一覧!$A:$A,0)))&amp;"")*1,"")</f>
        <v>4</v>
      </c>
      <c r="L41" s="12" t="str">
        <f>IFERROR((IF($C41 = "","",INDEX(レシピ一覧!K:K,MATCH(使用レシピ!$C41,レシピ一覧!$A:$A,0)))&amp;"")*1,"")</f>
        <v/>
      </c>
      <c r="M41" s="12" t="str">
        <f>IFERROR((IF($C41 = "","",INDEX(レシピ一覧!L:L,MATCH(使用レシピ!$C41,レシピ一覧!$A:$A,0)))&amp;"")*1,"")</f>
        <v/>
      </c>
      <c r="N41" s="12" t="str">
        <f>IFERROR((IF($C41 = "","",INDEX(レシピ一覧!M:M,MATCH(使用レシピ!$C41,レシピ一覧!$A:$A,0)))&amp;"")*1,"")</f>
        <v/>
      </c>
      <c r="O41" s="12" t="str">
        <f>IFERROR((IF($C41 = "","",INDEX(レシピ一覧!N:N,MATCH(使用レシピ!$C41,レシピ一覧!$A:$A,0)))&amp;"")*1,"")</f>
        <v/>
      </c>
      <c r="P41" s="12">
        <f>IFERROR((IF($C41 = "","",INDEX(レシピ一覧!O:O,MATCH(使用レシピ!$C41,レシピ一覧!$A:$A,0)))&amp;"")*1,"")</f>
        <v>1</v>
      </c>
      <c r="Q41" s="35">
        <f>IFERROR((IF($C41 = "","",INDEX(レシピ一覧!P:P,MATCH(使用レシピ!$C41,レシピ一覧!$A:$A,0)))&amp;"")*1,"")</f>
        <v>30</v>
      </c>
    </row>
    <row r="42" spans="1:17" x14ac:dyDescent="0.4">
      <c r="A42" s="34">
        <v>1</v>
      </c>
      <c r="B42" s="12">
        <f>IF(E42="","",COUNTIF(レシピ一覧!$D$2:$D$500,使用レシピ!E42))</f>
        <v>1</v>
      </c>
      <c r="C42" s="18" t="str">
        <f t="shared" si="0"/>
        <v>4101</v>
      </c>
      <c r="D42" s="31">
        <f>IF(COUNTIF(レシピ一覧!$B:$B,ROW()-1),ROW()-1,"")</f>
        <v>41</v>
      </c>
      <c r="E42" s="27" t="str">
        <f>IFERROR( INDEX(レシピ一覧!$D:$D,MATCH(使用レシピ!$D42,レシピ一覧!$B:$B,0))&amp;"","")</f>
        <v>SAM</v>
      </c>
      <c r="F42" s="12" t="str">
        <f>IF($C42 = "","",INDEX(レシピ一覧!E:E,MATCH(使用レシピ!$C42,レシピ一覧!$A:$A,0))) &amp;""</f>
        <v/>
      </c>
      <c r="G42" s="12" t="str">
        <f>IF($C42 = "","",INDEX(レシピ一覧!F:F,MATCH(使用レシピ!$C42,レシピ一覧!$A:$A,0))) &amp;""</f>
        <v/>
      </c>
      <c r="H42" s="12" t="str">
        <f>IF($C42 = "","",INDEX(レシピ一覧!G:G,MATCH(使用レシピ!$C42,レシピ一覧!$A:$A,0))) &amp;""</f>
        <v/>
      </c>
      <c r="I42" s="12" t="str">
        <f>IF($C42 = "","",INDEX(レシピ一覧!H:H,MATCH(使用レシピ!$C42,レシピ一覧!$A:$A,0))) &amp;""</f>
        <v/>
      </c>
      <c r="J42" s="12" t="str">
        <f>IF($C42 = "","",INDEX(レシピ一覧!I:I,MATCH(使用レシピ!$C42,レシピ一覧!$A:$A,0))) &amp;""</f>
        <v/>
      </c>
      <c r="K42" s="12" t="str">
        <f>IFERROR((IF($C42 = "","",INDEX(レシピ一覧!J:J,MATCH(使用レシピ!$C42,レシピ一覧!$A:$A,0)))&amp;"")*1,"")</f>
        <v/>
      </c>
      <c r="L42" s="12" t="str">
        <f>IFERROR((IF($C42 = "","",INDEX(レシピ一覧!K:K,MATCH(使用レシピ!$C42,レシピ一覧!$A:$A,0)))&amp;"")*1,"")</f>
        <v/>
      </c>
      <c r="M42" s="12" t="str">
        <f>IFERROR((IF($C42 = "","",INDEX(レシピ一覧!L:L,MATCH(使用レシピ!$C42,レシピ一覧!$A:$A,0)))&amp;"")*1,"")</f>
        <v/>
      </c>
      <c r="N42" s="12" t="str">
        <f>IFERROR((IF($C42 = "","",INDEX(レシピ一覧!M:M,MATCH(使用レシピ!$C42,レシピ一覧!$A:$A,0)))&amp;"")*1,"")</f>
        <v/>
      </c>
      <c r="O42" s="12" t="str">
        <f>IFERROR((IF($C42 = "","",INDEX(レシピ一覧!N:N,MATCH(使用レシピ!$C42,レシピ一覧!$A:$A,0)))&amp;"")*1,"")</f>
        <v/>
      </c>
      <c r="P42" s="12">
        <f>IFERROR((IF($C42 = "","",INDEX(レシピ一覧!O:O,MATCH(使用レシピ!$C42,レシピ一覧!$A:$A,0)))&amp;"")*1,"")</f>
        <v>1</v>
      </c>
      <c r="Q42" s="35">
        <f>IFERROR((IF($C42 = "","",INDEX(レシピ一覧!P:P,MATCH(使用レシピ!$C42,レシピ一覧!$A:$A,0)))&amp;"")*1,"")</f>
        <v>1200</v>
      </c>
    </row>
    <row r="43" spans="1:17" x14ac:dyDescent="0.4">
      <c r="A43" s="34">
        <v>2</v>
      </c>
      <c r="B43" s="12">
        <f>IF(E43="","",COUNTIF(レシピ一覧!$D$2:$D$500,使用レシピ!E43))</f>
        <v>2</v>
      </c>
      <c r="C43" s="18" t="str">
        <f t="shared" si="0"/>
        <v>4202</v>
      </c>
      <c r="D43" s="31">
        <f>IF(COUNTIF(レシピ一覧!$B:$B,ROW()-1),ROW()-1,"")</f>
        <v>42</v>
      </c>
      <c r="E43" s="27" t="str">
        <f>IFERROR( INDEX(レシピ一覧!$D:$D,MATCH(使用レシピ!$D43,レシピ一覧!$B:$B,0))&amp;"","")</f>
        <v>コンクリート被覆型鋼梁</v>
      </c>
      <c r="F43" s="12" t="str">
        <f>IF($C43 = "","",INDEX(レシピ一覧!E:E,MATCH(使用レシピ!$C43,レシピ一覧!$A:$A,0))) &amp;""</f>
        <v>鋼管</v>
      </c>
      <c r="G43" s="12" t="str">
        <f>IF($C43 = "","",INDEX(レシピ一覧!F:F,MATCH(使用レシピ!$C43,レシピ一覧!$A:$A,0))) &amp;""</f>
        <v>コンクリート</v>
      </c>
      <c r="H43" s="12" t="str">
        <f>IF($C43 = "","",INDEX(レシピ一覧!G:G,MATCH(使用レシピ!$C43,レシピ一覧!$A:$A,0))) &amp;""</f>
        <v/>
      </c>
      <c r="I43" s="12" t="str">
        <f>IF($C43 = "","",INDEX(レシピ一覧!H:H,MATCH(使用レシピ!$C43,レシピ一覧!$A:$A,0))) &amp;""</f>
        <v/>
      </c>
      <c r="J43" s="12" t="str">
        <f>IF($C43 = "","",INDEX(レシピ一覧!I:I,MATCH(使用レシピ!$C43,レシピ一覧!$A:$A,0))) &amp;""</f>
        <v/>
      </c>
      <c r="K43" s="12">
        <f>IFERROR((IF($C43 = "","",INDEX(レシピ一覧!J:J,MATCH(使用レシピ!$C43,レシピ一覧!$A:$A,0)))&amp;"")*1,"")</f>
        <v>6</v>
      </c>
      <c r="L43" s="12">
        <f>IFERROR((IF($C43 = "","",INDEX(レシピ一覧!K:K,MATCH(使用レシピ!$C43,レシピ一覧!$A:$A,0)))&amp;"")*1,"")</f>
        <v>5</v>
      </c>
      <c r="M43" s="12" t="str">
        <f>IFERROR((IF($C43 = "","",INDEX(レシピ一覧!L:L,MATCH(使用レシピ!$C43,レシピ一覧!$A:$A,0)))&amp;"")*1,"")</f>
        <v/>
      </c>
      <c r="N43" s="12" t="str">
        <f>IFERROR((IF($C43 = "","",INDEX(レシピ一覧!M:M,MATCH(使用レシピ!$C43,レシピ一覧!$A:$A,0)))&amp;"")*1,"")</f>
        <v/>
      </c>
      <c r="O43" s="12" t="str">
        <f>IFERROR((IF($C43 = "","",INDEX(レシピ一覧!N:N,MATCH(使用レシピ!$C43,レシピ一覧!$A:$A,0)))&amp;"")*1,"")</f>
        <v/>
      </c>
      <c r="P43" s="12">
        <f>IFERROR((IF($C43 = "","",INDEX(レシピ一覧!O:O,MATCH(使用レシピ!$C43,レシピ一覧!$A:$A,0)))&amp;"")*1,"")</f>
        <v>1</v>
      </c>
      <c r="Q43" s="35">
        <f>IFERROR((IF($C43 = "","",INDEX(レシピ一覧!P:P,MATCH(使用レシピ!$C43,レシピ一覧!$A:$A,0)))&amp;"")*1,"")</f>
        <v>4</v>
      </c>
    </row>
    <row r="44" spans="1:17" x14ac:dyDescent="0.4">
      <c r="A44" s="34">
        <v>1</v>
      </c>
      <c r="B44" s="12">
        <f>IF(E44="","",COUNTIF(レシピ一覧!$D$2:$D$500,使用レシピ!E44))</f>
        <v>2</v>
      </c>
      <c r="C44" s="18" t="str">
        <f t="shared" si="0"/>
        <v>4301</v>
      </c>
      <c r="D44" s="31">
        <f>IF(COUNTIF(レシピ一覧!$B:$B,ROW()-1),ROW()-1,"")</f>
        <v>43</v>
      </c>
      <c r="E44" s="27" t="str">
        <f>IFERROR( INDEX(レシピ一覧!$D:$D,MATCH(使用レシピ!$D44,レシピ一覧!$B:$B,0))&amp;"","")</f>
        <v>固定子</v>
      </c>
      <c r="F44" s="12" t="str">
        <f>IF($C44 = "","",INDEX(レシピ一覧!E:E,MATCH(使用レシピ!$C44,レシピ一覧!$A:$A,0))) &amp;""</f>
        <v>鋼管</v>
      </c>
      <c r="G44" s="12" t="str">
        <f>IF($C44 = "","",INDEX(レシピ一覧!F:F,MATCH(使用レシピ!$C44,レシピ一覧!$A:$A,0))) &amp;""</f>
        <v>ワイヤー</v>
      </c>
      <c r="H44" s="12" t="str">
        <f>IF($C44 = "","",INDEX(レシピ一覧!G:G,MATCH(使用レシピ!$C44,レシピ一覧!$A:$A,0))) &amp;""</f>
        <v/>
      </c>
      <c r="I44" s="12" t="str">
        <f>IF($C44 = "","",INDEX(レシピ一覧!H:H,MATCH(使用レシピ!$C44,レシピ一覧!$A:$A,0))) &amp;""</f>
        <v/>
      </c>
      <c r="J44" s="12" t="str">
        <f>IF($C44 = "","",INDEX(レシピ一覧!I:I,MATCH(使用レシピ!$C44,レシピ一覧!$A:$A,0))) &amp;""</f>
        <v/>
      </c>
      <c r="K44" s="12">
        <f>IFERROR((IF($C44 = "","",INDEX(レシピ一覧!J:J,MATCH(使用レシピ!$C44,レシピ一覧!$A:$A,0)))&amp;"")*1,"")</f>
        <v>3</v>
      </c>
      <c r="L44" s="12">
        <f>IFERROR((IF($C44 = "","",INDEX(レシピ一覧!K:K,MATCH(使用レシピ!$C44,レシピ一覧!$A:$A,0)))&amp;"")*1,"")</f>
        <v>8</v>
      </c>
      <c r="M44" s="12" t="str">
        <f>IFERROR((IF($C44 = "","",INDEX(レシピ一覧!L:L,MATCH(使用レシピ!$C44,レシピ一覧!$A:$A,0)))&amp;"")*1,"")</f>
        <v/>
      </c>
      <c r="N44" s="12" t="str">
        <f>IFERROR((IF($C44 = "","",INDEX(レシピ一覧!M:M,MATCH(使用レシピ!$C44,レシピ一覧!$A:$A,0)))&amp;"")*1,"")</f>
        <v/>
      </c>
      <c r="O44" s="12" t="str">
        <f>IFERROR((IF($C44 = "","",INDEX(レシピ一覧!N:N,MATCH(使用レシピ!$C44,レシピ一覧!$A:$A,0)))&amp;"")*1,"")</f>
        <v/>
      </c>
      <c r="P44" s="12">
        <f>IFERROR((IF($C44 = "","",INDEX(レシピ一覧!O:O,MATCH(使用レシピ!$C44,レシピ一覧!$A:$A,0)))&amp;"")*1,"")</f>
        <v>1</v>
      </c>
      <c r="Q44" s="35">
        <f>IFERROR((IF($C44 = "","",INDEX(レシピ一覧!P:P,MATCH(使用レシピ!$C44,レシピ一覧!$A:$A,0)))&amp;"")*1,"")</f>
        <v>5</v>
      </c>
    </row>
    <row r="45" spans="1:17" x14ac:dyDescent="0.4">
      <c r="A45" s="34">
        <v>1</v>
      </c>
      <c r="B45" s="12">
        <f>IF(E45="","",COUNTIF(レシピ一覧!$D$2:$D$500,使用レシピ!E45))</f>
        <v>3</v>
      </c>
      <c r="C45" s="18" t="str">
        <f t="shared" si="0"/>
        <v>4401</v>
      </c>
      <c r="D45" s="31">
        <f>IF(COUNTIF(レシピ一覧!$B:$B,ROW()-1),ROW()-1,"")</f>
        <v>44</v>
      </c>
      <c r="E45" s="27" t="str">
        <f>IFERROR( INDEX(レシピ一覧!$D:$D,MATCH(使用レシピ!$D45,レシピ一覧!$B:$B,0))&amp;"","")</f>
        <v>モーター</v>
      </c>
      <c r="F45" s="12" t="str">
        <f>IF($C45 = "","",INDEX(レシピ一覧!E:E,MATCH(使用レシピ!$C45,レシピ一覧!$A:$A,0))) &amp;""</f>
        <v>ローター</v>
      </c>
      <c r="G45" s="12" t="str">
        <f>IF($C45 = "","",INDEX(レシピ一覧!F:F,MATCH(使用レシピ!$C45,レシピ一覧!$A:$A,0))) &amp;""</f>
        <v>固定子</v>
      </c>
      <c r="H45" s="12" t="str">
        <f>IF($C45 = "","",INDEX(レシピ一覧!G:G,MATCH(使用レシピ!$C45,レシピ一覧!$A:$A,0))) &amp;""</f>
        <v/>
      </c>
      <c r="I45" s="12" t="str">
        <f>IF($C45 = "","",INDEX(レシピ一覧!H:H,MATCH(使用レシピ!$C45,レシピ一覧!$A:$A,0))) &amp;""</f>
        <v/>
      </c>
      <c r="J45" s="12" t="str">
        <f>IF($C45 = "","",INDEX(レシピ一覧!I:I,MATCH(使用レシピ!$C45,レシピ一覧!$A:$A,0))) &amp;""</f>
        <v/>
      </c>
      <c r="K45" s="12">
        <f>IFERROR((IF($C45 = "","",INDEX(レシピ一覧!J:J,MATCH(使用レシピ!$C45,レシピ一覧!$A:$A,0)))&amp;"")*1,"")</f>
        <v>2</v>
      </c>
      <c r="L45" s="12">
        <f>IFERROR((IF($C45 = "","",INDEX(レシピ一覧!K:K,MATCH(使用レシピ!$C45,レシピ一覧!$A:$A,0)))&amp;"")*1,"")</f>
        <v>2</v>
      </c>
      <c r="M45" s="12" t="str">
        <f>IFERROR((IF($C45 = "","",INDEX(レシピ一覧!L:L,MATCH(使用レシピ!$C45,レシピ一覧!$A:$A,0)))&amp;"")*1,"")</f>
        <v/>
      </c>
      <c r="N45" s="12" t="str">
        <f>IFERROR((IF($C45 = "","",INDEX(レシピ一覧!M:M,MATCH(使用レシピ!$C45,レシピ一覧!$A:$A,0)))&amp;"")*1,"")</f>
        <v/>
      </c>
      <c r="O45" s="12" t="str">
        <f>IFERROR((IF($C45 = "","",INDEX(レシピ一覧!N:N,MATCH(使用レシピ!$C45,レシピ一覧!$A:$A,0)))&amp;"")*1,"")</f>
        <v/>
      </c>
      <c r="P45" s="12">
        <f>IFERROR((IF($C45 = "","",INDEX(レシピ一覧!O:O,MATCH(使用レシピ!$C45,レシピ一覧!$A:$A,0)))&amp;"")*1,"")</f>
        <v>1</v>
      </c>
      <c r="Q45" s="35">
        <f>IFERROR((IF($C45 = "","",INDEX(レシピ一覧!P:P,MATCH(使用レシピ!$C45,レシピ一覧!$A:$A,0)))&amp;"")*1,"")</f>
        <v>5</v>
      </c>
    </row>
    <row r="46" spans="1:17" x14ac:dyDescent="0.4">
      <c r="A46" s="34">
        <v>1</v>
      </c>
      <c r="B46" s="12">
        <f>IF(E46="","",COUNTIF(レシピ一覧!$D$2:$D$500,使用レシピ!E46))</f>
        <v>2</v>
      </c>
      <c r="C46" s="18" t="str">
        <f t="shared" si="0"/>
        <v>4501</v>
      </c>
      <c r="D46" s="31">
        <f>IF(COUNTIF(レシピ一覧!$B:$B,ROW()-1),ROW()-1,"")</f>
        <v>45</v>
      </c>
      <c r="E46" s="27" t="str">
        <f>IFERROR( INDEX(レシピ一覧!$D:$D,MATCH(使用レシピ!$D46,レシピ一覧!$B:$B,0))&amp;"","")</f>
        <v>自動ワイヤー</v>
      </c>
      <c r="F46" s="12" t="str">
        <f>IF($C46 = "","",INDEX(レシピ一覧!E:E,MATCH(使用レシピ!$C46,レシピ一覧!$A:$A,0))) &amp;""</f>
        <v>固定子</v>
      </c>
      <c r="G46" s="12" t="str">
        <f>IF($C46 = "","",INDEX(レシピ一覧!F:F,MATCH(使用レシピ!$C46,レシピ一覧!$A:$A,0))) &amp;""</f>
        <v>ケーブル</v>
      </c>
      <c r="H46" s="12" t="str">
        <f>IF($C46 = "","",INDEX(レシピ一覧!G:G,MATCH(使用レシピ!$C46,レシピ一覧!$A:$A,0))) &amp;""</f>
        <v/>
      </c>
      <c r="I46" s="12" t="str">
        <f>IF($C46 = "","",INDEX(レシピ一覧!H:H,MATCH(使用レシピ!$C46,レシピ一覧!$A:$A,0))) &amp;""</f>
        <v/>
      </c>
      <c r="J46" s="12" t="str">
        <f>IF($C46 = "","",INDEX(レシピ一覧!I:I,MATCH(使用レシピ!$C46,レシピ一覧!$A:$A,0))) &amp;""</f>
        <v/>
      </c>
      <c r="K46" s="12">
        <f>IFERROR((IF($C46 = "","",INDEX(レシピ一覧!J:J,MATCH(使用レシピ!$C46,レシピ一覧!$A:$A,0)))&amp;"")*1,"")</f>
        <v>1</v>
      </c>
      <c r="L46" s="12">
        <f>IFERROR((IF($C46 = "","",INDEX(レシピ一覧!K:K,MATCH(使用レシピ!$C46,レシピ一覧!$A:$A,0)))&amp;"")*1,"")</f>
        <v>20</v>
      </c>
      <c r="M46" s="12" t="str">
        <f>IFERROR((IF($C46 = "","",INDEX(レシピ一覧!L:L,MATCH(使用レシピ!$C46,レシピ一覧!$A:$A,0)))&amp;"")*1,"")</f>
        <v/>
      </c>
      <c r="N46" s="12" t="str">
        <f>IFERROR((IF($C46 = "","",INDEX(レシピ一覧!M:M,MATCH(使用レシピ!$C46,レシピ一覧!$A:$A,0)))&amp;"")*1,"")</f>
        <v/>
      </c>
      <c r="O46" s="12" t="str">
        <f>IFERROR((IF($C46 = "","",INDEX(レシピ一覧!N:N,MATCH(使用レシピ!$C46,レシピ一覧!$A:$A,0)))&amp;"")*1,"")</f>
        <v/>
      </c>
      <c r="P46" s="12">
        <f>IFERROR((IF($C46 = "","",INDEX(レシピ一覧!O:O,MATCH(使用レシピ!$C46,レシピ一覧!$A:$A,0)))&amp;"")*1,"")</f>
        <v>1</v>
      </c>
      <c r="Q46" s="35">
        <f>IFERROR((IF($C46 = "","",INDEX(レシピ一覧!P:P,MATCH(使用レシピ!$C46,レシピ一覧!$A:$A,0)))&amp;"")*1,"")</f>
        <v>2.5</v>
      </c>
    </row>
    <row r="47" spans="1:17" x14ac:dyDescent="0.4">
      <c r="A47" s="34">
        <v>1</v>
      </c>
      <c r="B47" s="12">
        <f>IF(E47="","",COUNTIF(レシピ一覧!$D$2:$D$500,使用レシピ!E47))</f>
        <v>1</v>
      </c>
      <c r="C47" s="18" t="str">
        <f t="shared" si="0"/>
        <v>4601</v>
      </c>
      <c r="D47" s="31">
        <f>IF(COUNTIF(レシピ一覧!$B:$B,ROW()-1),ROW()-1,"")</f>
        <v>46</v>
      </c>
      <c r="E47" s="27" t="str">
        <f>IFERROR( INDEX(レシピ一覧!$D:$D,MATCH(使用レシピ!$D47,レシピ一覧!$B:$B,0))&amp;"","")</f>
        <v>SAM変動機</v>
      </c>
      <c r="F47" s="12" t="str">
        <f>IF($C47 = "","",INDEX(レシピ一覧!E:E,MATCH(使用レシピ!$C47,レシピ一覧!$A:$A,0))) &amp;""</f>
        <v>活性SAM</v>
      </c>
      <c r="G47" s="12" t="str">
        <f>IF($C47 = "","",INDEX(レシピ一覧!F:F,MATCH(使用レシピ!$C47,レシピ一覧!$A:$A,0))) &amp;""</f>
        <v>ワイヤー</v>
      </c>
      <c r="H47" s="12" t="str">
        <f>IF($C47 = "","",INDEX(レシピ一覧!G:G,MATCH(使用レシピ!$C47,レシピ一覧!$A:$A,0))) &amp;""</f>
        <v>鋼管</v>
      </c>
      <c r="I47" s="12" t="str">
        <f>IF($C47 = "","",INDEX(レシピ一覧!H:H,MATCH(使用レシピ!$C47,レシピ一覧!$A:$A,0))) &amp;""</f>
        <v/>
      </c>
      <c r="J47" s="12" t="str">
        <f>IF($C47 = "","",INDEX(レシピ一覧!I:I,MATCH(使用レシピ!$C47,レシピ一覧!$A:$A,0))) &amp;""</f>
        <v/>
      </c>
      <c r="K47" s="12">
        <f>IFERROR((IF($C47 = "","",INDEX(レシピ一覧!J:J,MATCH(使用レシピ!$C47,レシピ一覧!$A:$A,0)))&amp;"")*1,"")</f>
        <v>6</v>
      </c>
      <c r="L47" s="12">
        <f>IFERROR((IF($C47 = "","",INDEX(レシピ一覧!K:K,MATCH(使用レシピ!$C47,レシピ一覧!$A:$A,0)))&amp;"")*1,"")</f>
        <v>5</v>
      </c>
      <c r="M47" s="12">
        <f>IFERROR((IF($C47 = "","",INDEX(レシピ一覧!L:L,MATCH(使用レシピ!$C47,レシピ一覧!$A:$A,0)))&amp;"")*1,"")</f>
        <v>3</v>
      </c>
      <c r="N47" s="12" t="str">
        <f>IFERROR((IF($C47 = "","",INDEX(レシピ一覧!M:M,MATCH(使用レシピ!$C47,レシピ一覧!$A:$A,0)))&amp;"")*1,"")</f>
        <v/>
      </c>
      <c r="O47" s="12" t="str">
        <f>IFERROR((IF($C47 = "","",INDEX(レシピ一覧!N:N,MATCH(使用レシピ!$C47,レシピ一覧!$A:$A,0)))&amp;"")*1,"")</f>
        <v/>
      </c>
      <c r="P47" s="12">
        <f>IFERROR((IF($C47 = "","",INDEX(レシピ一覧!O:O,MATCH(使用レシピ!$C47,レシピ一覧!$A:$A,0)))&amp;"")*1,"")</f>
        <v>1</v>
      </c>
      <c r="Q47" s="35">
        <f>IFERROR((IF($C47 = "","",INDEX(レシピ一覧!P:P,MATCH(使用レシピ!$C47,レシピ一覧!$A:$A,0)))&amp;"")*1,"")</f>
        <v>10</v>
      </c>
    </row>
    <row r="48" spans="1:17" x14ac:dyDescent="0.4">
      <c r="A48" s="34">
        <v>2</v>
      </c>
      <c r="B48" s="12">
        <f>IF(E48="","",COUNTIF(レシピ一覧!$D$2:$D$500,使用レシピ!E48))</f>
        <v>4</v>
      </c>
      <c r="C48" s="18" t="str">
        <f t="shared" si="0"/>
        <v>4702</v>
      </c>
      <c r="D48" s="31">
        <f>IF(COUNTIF(レシピ一覧!$B:$B,ROW()-1),ROW()-1,"")</f>
        <v>47</v>
      </c>
      <c r="E48" s="27" t="str">
        <f>IFERROR( INDEX(レシピ一覧!$D:$D,MATCH(使用レシピ!$D48,レシピ一覧!$B:$B,0))&amp;"","")</f>
        <v>石英結晶</v>
      </c>
      <c r="F48" s="12" t="str">
        <f>IF($C48 = "","",INDEX(レシピ一覧!E:E,MATCH(使用レシピ!$C48,レシピ一覧!$A:$A,0))) &amp;""</f>
        <v>未加工石英</v>
      </c>
      <c r="G48" s="12" t="str">
        <f>IF($C48 = "","",INDEX(レシピ一覧!F:F,MATCH(使用レシピ!$C48,レシピ一覧!$A:$A,0))) &amp;""</f>
        <v>水</v>
      </c>
      <c r="H48" s="12" t="str">
        <f>IF($C48 = "","",INDEX(レシピ一覧!G:G,MATCH(使用レシピ!$C48,レシピ一覧!$A:$A,0))) &amp;""</f>
        <v/>
      </c>
      <c r="I48" s="12" t="str">
        <f>IF($C48 = "","",INDEX(レシピ一覧!H:H,MATCH(使用レシピ!$C48,レシピ一覧!$A:$A,0))) &amp;""</f>
        <v/>
      </c>
      <c r="J48" s="12" t="str">
        <f>IF($C48 = "","",INDEX(レシピ一覧!I:I,MATCH(使用レシピ!$C48,レシピ一覧!$A:$A,0))) &amp;""</f>
        <v/>
      </c>
      <c r="K48" s="12">
        <f>IFERROR((IF($C48 = "","",INDEX(レシピ一覧!J:J,MATCH(使用レシピ!$C48,レシピ一覧!$A:$A,0)))&amp;"")*1,"")</f>
        <v>9</v>
      </c>
      <c r="L48" s="12">
        <f>IFERROR((IF($C48 = "","",INDEX(レシピ一覧!K:K,MATCH(使用レシピ!$C48,レシピ一覧!$A:$A,0)))&amp;"")*1,"")</f>
        <v>5</v>
      </c>
      <c r="M48" s="12" t="str">
        <f>IFERROR((IF($C48 = "","",INDEX(レシピ一覧!L:L,MATCH(使用レシピ!$C48,レシピ一覧!$A:$A,0)))&amp;"")*1,"")</f>
        <v/>
      </c>
      <c r="N48" s="12" t="str">
        <f>IFERROR((IF($C48 = "","",INDEX(レシピ一覧!M:M,MATCH(使用レシピ!$C48,レシピ一覧!$A:$A,0)))&amp;"")*1,"")</f>
        <v/>
      </c>
      <c r="O48" s="12" t="str">
        <f>IFERROR((IF($C48 = "","",INDEX(レシピ一覧!N:N,MATCH(使用レシピ!$C48,レシピ一覧!$A:$A,0)))&amp;"")*1,"")</f>
        <v/>
      </c>
      <c r="P48" s="12">
        <f>IFERROR((IF($C48 = "","",INDEX(レシピ一覧!O:O,MATCH(使用レシピ!$C48,レシピ一覧!$A:$A,0)))&amp;"")*1,"")</f>
        <v>7</v>
      </c>
      <c r="Q48" s="35">
        <f>IFERROR((IF($C48 = "","",INDEX(レシピ一覧!P:P,MATCH(使用レシピ!$C48,レシピ一覧!$A:$A,0)))&amp;"")*1,"")</f>
        <v>52.5</v>
      </c>
    </row>
    <row r="49" spans="1:17" x14ac:dyDescent="0.4">
      <c r="A49" s="34">
        <v>1</v>
      </c>
      <c r="B49" s="12">
        <f>IF(E49="","",COUNTIF(レシピ一覧!$D$2:$D$500,使用レシピ!E49))</f>
        <v>3</v>
      </c>
      <c r="C49" s="18" t="str">
        <f t="shared" si="0"/>
        <v>4801</v>
      </c>
      <c r="D49" s="31">
        <f>IF(COUNTIF(レシピ一覧!$B:$B,ROW()-1),ROW()-1,"")</f>
        <v>48</v>
      </c>
      <c r="E49" s="27" t="str">
        <f>IFERROR( INDEX(レシピ一覧!$D:$D,MATCH(使用レシピ!$D49,レシピ一覧!$B:$B,0))&amp;"","")</f>
        <v>未加工石英</v>
      </c>
      <c r="F49" s="12" t="str">
        <f>IF($C49 = "","",INDEX(レシピ一覧!E:E,MATCH(使用レシピ!$C49,レシピ一覧!$A:$A,0))) &amp;""</f>
        <v/>
      </c>
      <c r="G49" s="12" t="str">
        <f>IF($C49 = "","",INDEX(レシピ一覧!F:F,MATCH(使用レシピ!$C49,レシピ一覧!$A:$A,0))) &amp;""</f>
        <v/>
      </c>
      <c r="H49" s="12" t="str">
        <f>IF($C49 = "","",INDEX(レシピ一覧!G:G,MATCH(使用レシピ!$C49,レシピ一覧!$A:$A,0))) &amp;""</f>
        <v/>
      </c>
      <c r="I49" s="12" t="str">
        <f>IF($C49 = "","",INDEX(レシピ一覧!H:H,MATCH(使用レシピ!$C49,レシピ一覧!$A:$A,0))) &amp;""</f>
        <v/>
      </c>
      <c r="J49" s="12" t="str">
        <f>IF($C49 = "","",INDEX(レシピ一覧!I:I,MATCH(使用レシピ!$C49,レシピ一覧!$A:$A,0))) &amp;""</f>
        <v/>
      </c>
      <c r="K49" s="12" t="str">
        <f>IFERROR((IF($C49 = "","",INDEX(レシピ一覧!J:J,MATCH(使用レシピ!$C49,レシピ一覧!$A:$A,0)))&amp;"")*1,"")</f>
        <v/>
      </c>
      <c r="L49" s="12" t="str">
        <f>IFERROR((IF($C49 = "","",INDEX(レシピ一覧!K:K,MATCH(使用レシピ!$C49,レシピ一覧!$A:$A,0)))&amp;"")*1,"")</f>
        <v/>
      </c>
      <c r="M49" s="12" t="str">
        <f>IFERROR((IF($C49 = "","",INDEX(レシピ一覧!L:L,MATCH(使用レシピ!$C49,レシピ一覧!$A:$A,0)))&amp;"")*1,"")</f>
        <v/>
      </c>
      <c r="N49" s="12" t="str">
        <f>IFERROR((IF($C49 = "","",INDEX(レシピ一覧!M:M,MATCH(使用レシピ!$C49,レシピ一覧!$A:$A,0)))&amp;"")*1,"")</f>
        <v/>
      </c>
      <c r="O49" s="12" t="str">
        <f>IFERROR((IF($C49 = "","",INDEX(レシピ一覧!N:N,MATCH(使用レシピ!$C49,レシピ一覧!$A:$A,0)))&amp;"")*1,"")</f>
        <v/>
      </c>
      <c r="P49" s="12">
        <f>IFERROR((IF($C49 = "","",INDEX(レシピ一覧!O:O,MATCH(使用レシピ!$C49,レシピ一覧!$A:$A,0)))&amp;"")*1,"")</f>
        <v>1</v>
      </c>
      <c r="Q49" s="35">
        <f>IFERROR((IF($C49 = "","",INDEX(レシピ一覧!P:P,MATCH(使用レシピ!$C49,レシピ一覧!$A:$A,0)))&amp;"")*1,"")</f>
        <v>1200</v>
      </c>
    </row>
    <row r="50" spans="1:17" x14ac:dyDescent="0.4">
      <c r="A50" s="34">
        <v>1</v>
      </c>
      <c r="B50" s="12">
        <f>IF(E50="","",COUNTIF(レシピ一覧!$D$2:$D$500,使用レシピ!E50))</f>
        <v>1</v>
      </c>
      <c r="C50" s="18" t="str">
        <f t="shared" si="0"/>
        <v>4901</v>
      </c>
      <c r="D50" s="31">
        <f>IF(COUNTIF(レシピ一覧!$B:$B,ROW()-1),ROW()-1,"")</f>
        <v>49</v>
      </c>
      <c r="E50" s="27" t="str">
        <f>IFERROR( INDEX(レシピ一覧!$D:$D,MATCH(使用レシピ!$D50,レシピ一覧!$B:$B,0))&amp;"","")</f>
        <v>ノーベリスク</v>
      </c>
      <c r="F50" s="12" t="str">
        <f>IF($C50 = "","",INDEX(レシピ一覧!E:E,MATCH(使用レシピ!$C50,レシピ一覧!$A:$A,0))) &amp;""</f>
        <v>黒色火薬</v>
      </c>
      <c r="G50" s="12" t="str">
        <f>IF($C50 = "","",INDEX(レシピ一覧!F:F,MATCH(使用レシピ!$C50,レシピ一覧!$A:$A,0))) &amp;""</f>
        <v>鋼管</v>
      </c>
      <c r="H50" s="12" t="str">
        <f>IF($C50 = "","",INDEX(レシピ一覧!G:G,MATCH(使用レシピ!$C50,レシピ一覧!$A:$A,0))) &amp;""</f>
        <v/>
      </c>
      <c r="I50" s="12" t="str">
        <f>IF($C50 = "","",INDEX(レシピ一覧!H:H,MATCH(使用レシピ!$C50,レシピ一覧!$A:$A,0))) &amp;""</f>
        <v/>
      </c>
      <c r="J50" s="12" t="str">
        <f>IF($C50 = "","",INDEX(レシピ一覧!I:I,MATCH(使用レシピ!$C50,レシピ一覧!$A:$A,0))) &amp;""</f>
        <v/>
      </c>
      <c r="K50" s="12">
        <f>IFERROR((IF($C50 = "","",INDEX(レシピ一覧!J:J,MATCH(使用レシピ!$C50,レシピ一覧!$A:$A,0)))&amp;"")*1,"")</f>
        <v>2</v>
      </c>
      <c r="L50" s="12">
        <f>IFERROR((IF($C50 = "","",INDEX(レシピ一覧!K:K,MATCH(使用レシピ!$C50,レシピ一覧!$A:$A,0)))&amp;"")*1,"")</f>
        <v>2</v>
      </c>
      <c r="M50" s="12" t="str">
        <f>IFERROR((IF($C50 = "","",INDEX(レシピ一覧!L:L,MATCH(使用レシピ!$C50,レシピ一覧!$A:$A,0)))&amp;"")*1,"")</f>
        <v/>
      </c>
      <c r="N50" s="12" t="str">
        <f>IFERROR((IF($C50 = "","",INDEX(レシピ一覧!M:M,MATCH(使用レシピ!$C50,レシピ一覧!$A:$A,0)))&amp;"")*1,"")</f>
        <v/>
      </c>
      <c r="O50" s="12" t="str">
        <f>IFERROR((IF($C50 = "","",INDEX(レシピ一覧!N:N,MATCH(使用レシピ!$C50,レシピ一覧!$A:$A,0)))&amp;"")*1,"")</f>
        <v/>
      </c>
      <c r="P50" s="12">
        <f>IFERROR((IF($C50 = "","",INDEX(レシピ一覧!O:O,MATCH(使用レシピ!$C50,レシピ一覧!$A:$A,0)))&amp;"")*1,"")</f>
        <v>1</v>
      </c>
      <c r="Q50" s="35">
        <f>IFERROR((IF($C50 = "","",INDEX(レシピ一覧!P:P,MATCH(使用レシピ!$C50,レシピ一覧!$A:$A,0)))&amp;"")*1,"")</f>
        <v>10</v>
      </c>
    </row>
    <row r="51" spans="1:17" x14ac:dyDescent="0.4">
      <c r="A51" s="34">
        <v>1</v>
      </c>
      <c r="B51" s="12">
        <f>IF(E51="","",COUNTIF(レシピ一覧!$D$2:$D$500,使用レシピ!E51))</f>
        <v>2</v>
      </c>
      <c r="C51" s="18" t="str">
        <f t="shared" si="0"/>
        <v>5001</v>
      </c>
      <c r="D51" s="31">
        <f>IF(COUNTIF(レシピ一覧!$B:$B,ROW()-1),ROW()-1,"")</f>
        <v>50</v>
      </c>
      <c r="E51" s="27" t="str">
        <f>IFERROR( INDEX(レシピ一覧!$D:$D,MATCH(使用レシピ!$D51,レシピ一覧!$B:$B,0))&amp;"","")</f>
        <v>AIリミッター</v>
      </c>
      <c r="F51" s="12" t="str">
        <f>IF($C51 = "","",INDEX(レシピ一覧!E:E,MATCH(使用レシピ!$C51,レシピ一覧!$A:$A,0))) &amp;""</f>
        <v>銅板</v>
      </c>
      <c r="G51" s="12" t="str">
        <f>IF($C51 = "","",INDEX(レシピ一覧!F:F,MATCH(使用レシピ!$C51,レシピ一覧!$A:$A,0))) &amp;""</f>
        <v>クイックワイヤー</v>
      </c>
      <c r="H51" s="12" t="str">
        <f>IF($C51 = "","",INDEX(レシピ一覧!G:G,MATCH(使用レシピ!$C51,レシピ一覧!$A:$A,0))) &amp;""</f>
        <v/>
      </c>
      <c r="I51" s="12" t="str">
        <f>IF($C51 = "","",INDEX(レシピ一覧!H:H,MATCH(使用レシピ!$C51,レシピ一覧!$A:$A,0))) &amp;""</f>
        <v/>
      </c>
      <c r="J51" s="12" t="str">
        <f>IF($C51 = "","",INDEX(レシピ一覧!I:I,MATCH(使用レシピ!$C51,レシピ一覧!$A:$A,0))) &amp;""</f>
        <v/>
      </c>
      <c r="K51" s="12">
        <f>IFERROR((IF($C51 = "","",INDEX(レシピ一覧!J:J,MATCH(使用レシピ!$C51,レシピ一覧!$A:$A,0)))&amp;"")*1,"")</f>
        <v>5</v>
      </c>
      <c r="L51" s="12">
        <f>IFERROR((IF($C51 = "","",INDEX(レシピ一覧!K:K,MATCH(使用レシピ!$C51,レシピ一覧!$A:$A,0)))&amp;"")*1,"")</f>
        <v>20</v>
      </c>
      <c r="M51" s="12" t="str">
        <f>IFERROR((IF($C51 = "","",INDEX(レシピ一覧!L:L,MATCH(使用レシピ!$C51,レシピ一覧!$A:$A,0)))&amp;"")*1,"")</f>
        <v/>
      </c>
      <c r="N51" s="12" t="str">
        <f>IFERROR((IF($C51 = "","",INDEX(レシピ一覧!M:M,MATCH(使用レシピ!$C51,レシピ一覧!$A:$A,0)))&amp;"")*1,"")</f>
        <v/>
      </c>
      <c r="O51" s="12" t="str">
        <f>IFERROR((IF($C51 = "","",INDEX(レシピ一覧!N:N,MATCH(使用レシピ!$C51,レシピ一覧!$A:$A,0)))&amp;"")*1,"")</f>
        <v/>
      </c>
      <c r="P51" s="12">
        <f>IFERROR((IF($C51 = "","",INDEX(レシピ一覧!O:O,MATCH(使用レシピ!$C51,レシピ一覧!$A:$A,0)))&amp;"")*1,"")</f>
        <v>1</v>
      </c>
      <c r="Q51" s="35">
        <f>IFERROR((IF($C51 = "","",INDEX(レシピ一覧!P:P,MATCH(使用レシピ!$C51,レシピ一覧!$A:$A,0)))&amp;"")*1,"")</f>
        <v>5</v>
      </c>
    </row>
    <row r="52" spans="1:17" x14ac:dyDescent="0.4">
      <c r="A52" s="34">
        <v>1</v>
      </c>
      <c r="B52" s="12">
        <f>IF(E52="","",COUNTIF(レシピ一覧!$D$2:$D$500,使用レシピ!E52))</f>
        <v>1</v>
      </c>
      <c r="C52" s="18" t="str">
        <f t="shared" si="0"/>
        <v>5101</v>
      </c>
      <c r="D52" s="31">
        <f>IF(COUNTIF(レシピ一覧!$B:$B,ROW()-1),ROW()-1,"")</f>
        <v>51</v>
      </c>
      <c r="E52" s="27" t="str">
        <f>IFERROR( INDEX(レシピ一覧!$D:$D,MATCH(使用レシピ!$D52,レシピ一覧!$B:$B,0))&amp;"","")</f>
        <v>石油コークス</v>
      </c>
      <c r="F52" s="12" t="str">
        <f>IF($C52 = "","",INDEX(レシピ一覧!E:E,MATCH(使用レシピ!$C52,レシピ一覧!$A:$A,0))) &amp;""</f>
        <v>廃重油</v>
      </c>
      <c r="G52" s="12" t="str">
        <f>IF($C52 = "","",INDEX(レシピ一覧!F:F,MATCH(使用レシピ!$C52,レシピ一覧!$A:$A,0))) &amp;""</f>
        <v/>
      </c>
      <c r="H52" s="12" t="str">
        <f>IF($C52 = "","",INDEX(レシピ一覧!G:G,MATCH(使用レシピ!$C52,レシピ一覧!$A:$A,0))) &amp;""</f>
        <v/>
      </c>
      <c r="I52" s="12" t="str">
        <f>IF($C52 = "","",INDEX(レシピ一覧!H:H,MATCH(使用レシピ!$C52,レシピ一覧!$A:$A,0))) &amp;""</f>
        <v/>
      </c>
      <c r="J52" s="12" t="str">
        <f>IF($C52 = "","",INDEX(レシピ一覧!I:I,MATCH(使用レシピ!$C52,レシピ一覧!$A:$A,0))) &amp;""</f>
        <v/>
      </c>
      <c r="K52" s="12">
        <f>IFERROR((IF($C52 = "","",INDEX(レシピ一覧!J:J,MATCH(使用レシピ!$C52,レシピ一覧!$A:$A,0)))&amp;"")*1,"")</f>
        <v>4</v>
      </c>
      <c r="L52" s="12" t="str">
        <f>IFERROR((IF($C52 = "","",INDEX(レシピ一覧!K:K,MATCH(使用レシピ!$C52,レシピ一覧!$A:$A,0)))&amp;"")*1,"")</f>
        <v/>
      </c>
      <c r="M52" s="12" t="str">
        <f>IFERROR((IF($C52 = "","",INDEX(レシピ一覧!L:L,MATCH(使用レシピ!$C52,レシピ一覧!$A:$A,0)))&amp;"")*1,"")</f>
        <v/>
      </c>
      <c r="N52" s="12" t="str">
        <f>IFERROR((IF($C52 = "","",INDEX(レシピ一覧!M:M,MATCH(使用レシピ!$C52,レシピ一覧!$A:$A,0)))&amp;"")*1,"")</f>
        <v/>
      </c>
      <c r="O52" s="12" t="str">
        <f>IFERROR((IF($C52 = "","",INDEX(レシピ一覧!N:N,MATCH(使用レシピ!$C52,レシピ一覧!$A:$A,0)))&amp;"")*1,"")</f>
        <v/>
      </c>
      <c r="P52" s="12">
        <f>IFERROR((IF($C52 = "","",INDEX(レシピ一覧!O:O,MATCH(使用レシピ!$C52,レシピ一覧!$A:$A,0)))&amp;"")*1,"")</f>
        <v>12</v>
      </c>
      <c r="Q52" s="35">
        <f>IFERROR((IF($C52 = "","",INDEX(レシピ一覧!P:P,MATCH(使用レシピ!$C52,レシピ一覧!$A:$A,0)))&amp;"")*1,"")</f>
        <v>120</v>
      </c>
    </row>
    <row r="53" spans="1:17" x14ac:dyDescent="0.4">
      <c r="A53" s="34">
        <v>1</v>
      </c>
      <c r="B53" s="12">
        <f>IF(E53="","",COUNTIF(レシピ一覧!$D$2:$D$500,使用レシピ!E53))</f>
        <v>5</v>
      </c>
      <c r="C53" s="18" t="str">
        <f t="shared" si="0"/>
        <v>5201</v>
      </c>
      <c r="D53" s="31">
        <f>IF(COUNTIF(レシピ一覧!$B:$B,ROW()-1),ROW()-1,"")</f>
        <v>52</v>
      </c>
      <c r="E53" s="27" t="str">
        <f>IFERROR( INDEX(レシピ一覧!$D:$D,MATCH(使用レシピ!$D53,レシピ一覧!$B:$B,0))&amp;"","")</f>
        <v>廃重油</v>
      </c>
      <c r="F53" s="12" t="str">
        <f>IF($C53 = "","",INDEX(レシピ一覧!E:E,MATCH(使用レシピ!$C53,レシピ一覧!$A:$A,0))) &amp;""</f>
        <v>原油</v>
      </c>
      <c r="G53" s="12" t="str">
        <f>IF($C53 = "","",INDEX(レシピ一覧!F:F,MATCH(使用レシピ!$C53,レシピ一覧!$A:$A,0))) &amp;""</f>
        <v/>
      </c>
      <c r="H53" s="12" t="str">
        <f>IF($C53 = "","",INDEX(レシピ一覧!G:G,MATCH(使用レシピ!$C53,レシピ一覧!$A:$A,0))) &amp;""</f>
        <v/>
      </c>
      <c r="I53" s="12" t="str">
        <f>IF($C53 = "","",INDEX(レシピ一覧!H:H,MATCH(使用レシピ!$C53,レシピ一覧!$A:$A,0))) &amp;""</f>
        <v/>
      </c>
      <c r="J53" s="12" t="str">
        <f>IF($C53 = "","",INDEX(レシピ一覧!I:I,MATCH(使用レシピ!$C53,レシピ一覧!$A:$A,0))) &amp;""</f>
        <v>合成樹脂</v>
      </c>
      <c r="K53" s="12">
        <f>IFERROR((IF($C53 = "","",INDEX(レシピ一覧!J:J,MATCH(使用レシピ!$C53,レシピ一覧!$A:$A,0)))&amp;"")*1,"")</f>
        <v>3</v>
      </c>
      <c r="L53" s="12" t="str">
        <f>IFERROR((IF($C53 = "","",INDEX(レシピ一覧!K:K,MATCH(使用レシピ!$C53,レシピ一覧!$A:$A,0)))&amp;"")*1,"")</f>
        <v/>
      </c>
      <c r="M53" s="12" t="str">
        <f>IFERROR((IF($C53 = "","",INDEX(レシピ一覧!L:L,MATCH(使用レシピ!$C53,レシピ一覧!$A:$A,0)))&amp;"")*1,"")</f>
        <v/>
      </c>
      <c r="N53" s="12" t="str">
        <f>IFERROR((IF($C53 = "","",INDEX(レシピ一覧!M:M,MATCH(使用レシピ!$C53,レシピ一覧!$A:$A,0)))&amp;"")*1,"")</f>
        <v/>
      </c>
      <c r="O53" s="12">
        <f>IFERROR((IF($C53 = "","",INDEX(レシピ一覧!N:N,MATCH(使用レシピ!$C53,レシピ一覧!$A:$A,0)))&amp;"")*1,"")</f>
        <v>2</v>
      </c>
      <c r="P53" s="12">
        <f>IFERROR((IF($C53 = "","",INDEX(レシピ一覧!O:O,MATCH(使用レシピ!$C53,レシピ一覧!$A:$A,0)))&amp;"")*1,"")</f>
        <v>4</v>
      </c>
      <c r="Q53" s="35">
        <f>IFERROR((IF($C53 = "","",INDEX(レシピ一覧!P:P,MATCH(使用レシピ!$C53,レシピ一覧!$A:$A,0)))&amp;"")*1,"")</f>
        <v>40</v>
      </c>
    </row>
    <row r="54" spans="1:17" x14ac:dyDescent="0.4">
      <c r="A54" s="34">
        <v>1</v>
      </c>
      <c r="B54" s="12">
        <f>IF(E54="","",COUNTIF(レシピ一覧!$D$2:$D$500,使用レシピ!E54))</f>
        <v>4</v>
      </c>
      <c r="C54" s="18" t="str">
        <f t="shared" si="0"/>
        <v>5301</v>
      </c>
      <c r="D54" s="31">
        <f>IF(COUNTIF(レシピ一覧!$B:$B,ROW()-1),ROW()-1,"")</f>
        <v>53</v>
      </c>
      <c r="E54" s="27" t="str">
        <f>IFERROR( INDEX(レシピ一覧!$D:$D,MATCH(使用レシピ!$D54,レシピ一覧!$B:$B,0))&amp;"","")</f>
        <v>回路基板</v>
      </c>
      <c r="F54" s="12" t="str">
        <f>IF($C54 = "","",INDEX(レシピ一覧!E:E,MATCH(使用レシピ!$C54,レシピ一覧!$A:$A,0))) &amp;""</f>
        <v>銅板</v>
      </c>
      <c r="G54" s="12" t="str">
        <f>IF($C54 = "","",INDEX(レシピ一覧!F:F,MATCH(使用レシピ!$C54,レシピ一覧!$A:$A,0))) &amp;""</f>
        <v>プラスチック</v>
      </c>
      <c r="H54" s="12" t="str">
        <f>IF($C54 = "","",INDEX(レシピ一覧!G:G,MATCH(使用レシピ!$C54,レシピ一覧!$A:$A,0))) &amp;""</f>
        <v/>
      </c>
      <c r="I54" s="12" t="str">
        <f>IF($C54 = "","",INDEX(レシピ一覧!H:H,MATCH(使用レシピ!$C54,レシピ一覧!$A:$A,0))) &amp;""</f>
        <v/>
      </c>
      <c r="J54" s="12" t="str">
        <f>IF($C54 = "","",INDEX(レシピ一覧!I:I,MATCH(使用レシピ!$C54,レシピ一覧!$A:$A,0))) &amp;""</f>
        <v/>
      </c>
      <c r="K54" s="12">
        <f>IFERROR((IF($C54 = "","",INDEX(レシピ一覧!J:J,MATCH(使用レシピ!$C54,レシピ一覧!$A:$A,0)))&amp;"")*1,"")</f>
        <v>2</v>
      </c>
      <c r="L54" s="12">
        <f>IFERROR((IF($C54 = "","",INDEX(レシピ一覧!K:K,MATCH(使用レシピ!$C54,レシピ一覧!$A:$A,0)))&amp;"")*1,"")</f>
        <v>4</v>
      </c>
      <c r="M54" s="12" t="str">
        <f>IFERROR((IF($C54 = "","",INDEX(レシピ一覧!L:L,MATCH(使用レシピ!$C54,レシピ一覧!$A:$A,0)))&amp;"")*1,"")</f>
        <v/>
      </c>
      <c r="N54" s="12" t="str">
        <f>IFERROR((IF($C54 = "","",INDEX(レシピ一覧!M:M,MATCH(使用レシピ!$C54,レシピ一覧!$A:$A,0)))&amp;"")*1,"")</f>
        <v/>
      </c>
      <c r="O54" s="12" t="str">
        <f>IFERROR((IF($C54 = "","",INDEX(レシピ一覧!N:N,MATCH(使用レシピ!$C54,レシピ一覧!$A:$A,0)))&amp;"")*1,"")</f>
        <v/>
      </c>
      <c r="P54" s="12">
        <f>IFERROR((IF($C54 = "","",INDEX(レシピ一覧!O:O,MATCH(使用レシピ!$C54,レシピ一覧!$A:$A,0)))&amp;"")*1,"")</f>
        <v>1</v>
      </c>
      <c r="Q54" s="35">
        <f>IFERROR((IF($C54 = "","",INDEX(レシピ一覧!P:P,MATCH(使用レシピ!$C54,レシピ一覧!$A:$A,0)))&amp;"")*1,"")</f>
        <v>7.5</v>
      </c>
    </row>
    <row r="55" spans="1:17" x14ac:dyDescent="0.4">
      <c r="A55" s="34">
        <v>1</v>
      </c>
      <c r="B55" s="12">
        <f>IF(E55="","",COUNTIF(レシピ一覧!$D$2:$D$500,使用レシピ!E55))</f>
        <v>3</v>
      </c>
      <c r="C55" s="18" t="str">
        <f t="shared" si="0"/>
        <v>5401</v>
      </c>
      <c r="D55" s="31">
        <f>IF(COUNTIF(レシピ一覧!$B:$B,ROW()-1),ROW()-1,"")</f>
        <v>54</v>
      </c>
      <c r="E55" s="27" t="str">
        <f>IFERROR( INDEX(レシピ一覧!$D:$D,MATCH(使用レシピ!$D55,レシピ一覧!$B:$B,0))&amp;"","")</f>
        <v>プラスチック</v>
      </c>
      <c r="F55" s="12" t="str">
        <f>IF($C55 = "","",INDEX(レシピ一覧!E:E,MATCH(使用レシピ!$C55,レシピ一覧!$A:$A,0))) &amp;""</f>
        <v>原油</v>
      </c>
      <c r="G55" s="12" t="str">
        <f>IF($C55 = "","",INDEX(レシピ一覧!F:F,MATCH(使用レシピ!$C55,レシピ一覧!$A:$A,0))) &amp;""</f>
        <v/>
      </c>
      <c r="H55" s="12" t="str">
        <f>IF($C55 = "","",INDEX(レシピ一覧!G:G,MATCH(使用レシピ!$C55,レシピ一覧!$A:$A,0))) &amp;""</f>
        <v/>
      </c>
      <c r="I55" s="12" t="str">
        <f>IF($C55 = "","",INDEX(レシピ一覧!H:H,MATCH(使用レシピ!$C55,レシピ一覧!$A:$A,0))) &amp;""</f>
        <v/>
      </c>
      <c r="J55" s="12" t="str">
        <f>IF($C55 = "","",INDEX(レシピ一覧!I:I,MATCH(使用レシピ!$C55,レシピ一覧!$A:$A,0))) &amp;""</f>
        <v>廃重油</v>
      </c>
      <c r="K55" s="12">
        <f>IFERROR((IF($C55 = "","",INDEX(レシピ一覧!J:J,MATCH(使用レシピ!$C55,レシピ一覧!$A:$A,0)))&amp;"")*1,"")</f>
        <v>3</v>
      </c>
      <c r="L55" s="12" t="str">
        <f>IFERROR((IF($C55 = "","",INDEX(レシピ一覧!K:K,MATCH(使用レシピ!$C55,レシピ一覧!$A:$A,0)))&amp;"")*1,"")</f>
        <v/>
      </c>
      <c r="M55" s="12" t="str">
        <f>IFERROR((IF($C55 = "","",INDEX(レシピ一覧!L:L,MATCH(使用レシピ!$C55,レシピ一覧!$A:$A,0)))&amp;"")*1,"")</f>
        <v/>
      </c>
      <c r="N55" s="12" t="str">
        <f>IFERROR((IF($C55 = "","",INDEX(レシピ一覧!M:M,MATCH(使用レシピ!$C55,レシピ一覧!$A:$A,0)))&amp;"")*1,"")</f>
        <v/>
      </c>
      <c r="O55" s="12">
        <f>IFERROR((IF($C55 = "","",INDEX(レシピ一覧!N:N,MATCH(使用レシピ!$C55,レシピ一覧!$A:$A,0)))&amp;"")*1,"")</f>
        <v>1</v>
      </c>
      <c r="P55" s="12">
        <f>IFERROR((IF($C55 = "","",INDEX(レシピ一覧!O:O,MATCH(使用レシピ!$C55,レシピ一覧!$A:$A,0)))&amp;"")*1,"")</f>
        <v>2</v>
      </c>
      <c r="Q55" s="35">
        <f>IFERROR((IF($C55 = "","",INDEX(レシピ一覧!P:P,MATCH(使用レシピ!$C55,レシピ一覧!$A:$A,0)))&amp;"")*1,"")</f>
        <v>20</v>
      </c>
    </row>
    <row r="56" spans="1:17" x14ac:dyDescent="0.4">
      <c r="A56" s="34">
        <v>3</v>
      </c>
      <c r="B56" s="12">
        <f>IF(E56="","",COUNTIF(レシピ一覧!$D$2:$D$500,使用レシピ!E56))</f>
        <v>3</v>
      </c>
      <c r="C56" s="18" t="str">
        <f t="shared" si="0"/>
        <v>5503</v>
      </c>
      <c r="D56" s="31">
        <f>IF(COUNTIF(レシピ一覧!$B:$B,ROW()-1),ROW()-1,"")</f>
        <v>55</v>
      </c>
      <c r="E56" s="27" t="str">
        <f>IFERROR( INDEX(レシピ一覧!$D:$D,MATCH(使用レシピ!$D56,レシピ一覧!$B:$B,0))&amp;"","")</f>
        <v>合成樹脂</v>
      </c>
      <c r="F56" s="12" t="str">
        <f>IF($C56 = "","",INDEX(レシピ一覧!E:E,MATCH(使用レシピ!$C56,レシピ一覧!$A:$A,0))) &amp;""</f>
        <v>原油</v>
      </c>
      <c r="G56" s="12" t="str">
        <f>IF($C56 = "","",INDEX(レシピ一覧!F:F,MATCH(使用レシピ!$C56,レシピ一覧!$A:$A,0))) &amp;""</f>
        <v/>
      </c>
      <c r="H56" s="12" t="str">
        <f>IF($C56 = "","",INDEX(レシピ一覧!G:G,MATCH(使用レシピ!$C56,レシピ一覧!$A:$A,0))) &amp;""</f>
        <v/>
      </c>
      <c r="I56" s="12" t="str">
        <f>IF($C56 = "","",INDEX(レシピ一覧!H:H,MATCH(使用レシピ!$C56,レシピ一覧!$A:$A,0))) &amp;""</f>
        <v/>
      </c>
      <c r="J56" s="12" t="str">
        <f>IF($C56 = "","",INDEX(レシピ一覧!I:I,MATCH(使用レシピ!$C56,レシピ一覧!$A:$A,0))) &amp;""</f>
        <v>廃重油</v>
      </c>
      <c r="K56" s="12">
        <f>IFERROR((IF($C56 = "","",INDEX(レシピ一覧!J:J,MATCH(使用レシピ!$C56,レシピ一覧!$A:$A,0)))&amp;"")*1,"")</f>
        <v>6</v>
      </c>
      <c r="L56" s="12" t="str">
        <f>IFERROR((IF($C56 = "","",INDEX(レシピ一覧!K:K,MATCH(使用レシピ!$C56,レシピ一覧!$A:$A,0)))&amp;"")*1,"")</f>
        <v/>
      </c>
      <c r="M56" s="12" t="str">
        <f>IFERROR((IF($C56 = "","",INDEX(レシピ一覧!L:L,MATCH(使用レシピ!$C56,レシピ一覧!$A:$A,0)))&amp;"")*1,"")</f>
        <v/>
      </c>
      <c r="N56" s="12" t="str">
        <f>IFERROR((IF($C56 = "","",INDEX(レシピ一覧!M:M,MATCH(使用レシピ!$C56,レシピ一覧!$A:$A,0)))&amp;"")*1,"")</f>
        <v/>
      </c>
      <c r="O56" s="12">
        <f>IFERROR((IF($C56 = "","",INDEX(レシピ一覧!N:N,MATCH(使用レシピ!$C56,レシピ一覧!$A:$A,0)))&amp;"")*1,"")</f>
        <v>2</v>
      </c>
      <c r="P56" s="12">
        <f>IFERROR((IF($C56 = "","",INDEX(レシピ一覧!O:O,MATCH(使用レシピ!$C56,レシピ一覧!$A:$A,0)))&amp;"")*1,"")</f>
        <v>13</v>
      </c>
      <c r="Q56" s="35">
        <f>IFERROR((IF($C56 = "","",INDEX(レシピ一覧!P:P,MATCH(使用レシピ!$C56,レシピ一覧!$A:$A,0)))&amp;"")*1,"")</f>
        <v>130</v>
      </c>
    </row>
    <row r="57" spans="1:17" x14ac:dyDescent="0.4">
      <c r="A57" s="34">
        <v>1</v>
      </c>
      <c r="B57" s="12">
        <f>IF(E57="","",COUNTIF(レシピ一覧!$D$2:$D$500,使用レシピ!E57))</f>
        <v>9</v>
      </c>
      <c r="C57" s="18" t="str">
        <f t="shared" si="0"/>
        <v>5601</v>
      </c>
      <c r="D57" s="31">
        <f>IF(COUNTIF(レシピ一覧!$B:$B,ROW()-1),ROW()-1,"")</f>
        <v>56</v>
      </c>
      <c r="E57" s="27" t="str">
        <f>IFERROR( INDEX(レシピ一覧!$D:$D,MATCH(使用レシピ!$D57,レシピ一覧!$B:$B,0))&amp;"","")</f>
        <v>水</v>
      </c>
      <c r="F57" s="12" t="str">
        <f>IF($C57 = "","",INDEX(レシピ一覧!E:E,MATCH(使用レシピ!$C57,レシピ一覧!$A:$A,0))) &amp;""</f>
        <v/>
      </c>
      <c r="G57" s="12" t="str">
        <f>IF($C57 = "","",INDEX(レシピ一覧!F:F,MATCH(使用レシピ!$C57,レシピ一覧!$A:$A,0))) &amp;""</f>
        <v/>
      </c>
      <c r="H57" s="12" t="str">
        <f>IF($C57 = "","",INDEX(レシピ一覧!G:G,MATCH(使用レシピ!$C57,レシピ一覧!$A:$A,0))) &amp;""</f>
        <v/>
      </c>
      <c r="I57" s="12" t="str">
        <f>IF($C57 = "","",INDEX(レシピ一覧!H:H,MATCH(使用レシピ!$C57,レシピ一覧!$A:$A,0))) &amp;""</f>
        <v/>
      </c>
      <c r="J57" s="12" t="str">
        <f>IF($C57 = "","",INDEX(レシピ一覧!I:I,MATCH(使用レシピ!$C57,レシピ一覧!$A:$A,0))) &amp;""</f>
        <v/>
      </c>
      <c r="K57" s="12" t="str">
        <f>IFERROR((IF($C57 = "","",INDEX(レシピ一覧!J:J,MATCH(使用レシピ!$C57,レシピ一覧!$A:$A,0)))&amp;"")*1,"")</f>
        <v/>
      </c>
      <c r="L57" s="12" t="str">
        <f>IFERROR((IF($C57 = "","",INDEX(レシピ一覧!K:K,MATCH(使用レシピ!$C57,レシピ一覧!$A:$A,0)))&amp;"")*1,"")</f>
        <v/>
      </c>
      <c r="M57" s="12" t="str">
        <f>IFERROR((IF($C57 = "","",INDEX(レシピ一覧!L:L,MATCH(使用レシピ!$C57,レシピ一覧!$A:$A,0)))&amp;"")*1,"")</f>
        <v/>
      </c>
      <c r="N57" s="12" t="str">
        <f>IFERROR((IF($C57 = "","",INDEX(レシピ一覧!M:M,MATCH(使用レシピ!$C57,レシピ一覧!$A:$A,0)))&amp;"")*1,"")</f>
        <v/>
      </c>
      <c r="O57" s="12" t="str">
        <f>IFERROR((IF($C57 = "","",INDEX(レシピ一覧!N:N,MATCH(使用レシピ!$C57,レシピ一覧!$A:$A,0)))&amp;"")*1,"")</f>
        <v/>
      </c>
      <c r="P57" s="12">
        <f>IFERROR((IF($C57 = "","",INDEX(レシピ一覧!O:O,MATCH(使用レシピ!$C57,レシピ一覧!$A:$A,0)))&amp;"")*1,"")</f>
        <v>1</v>
      </c>
      <c r="Q57" s="35">
        <f>IFERROR((IF($C57 = "","",INDEX(レシピ一覧!P:P,MATCH(使用レシピ!$C57,レシピ一覧!$A:$A,0)))&amp;"")*1,"")</f>
        <v>120</v>
      </c>
    </row>
    <row r="58" spans="1:17" x14ac:dyDescent="0.4">
      <c r="A58" s="34">
        <v>1</v>
      </c>
      <c r="B58" s="12">
        <f>IF(E58="","",COUNTIF(レシピ一覧!$D$2:$D$500,使用レシピ!E58))</f>
        <v>3</v>
      </c>
      <c r="C58" s="18" t="str">
        <f t="shared" si="0"/>
        <v>5701</v>
      </c>
      <c r="D58" s="31">
        <f>IF(COUNTIF(レシピ一覧!$B:$B,ROW()-1),ROW()-1,"")</f>
        <v>57</v>
      </c>
      <c r="E58" s="27" t="str">
        <f>IFERROR( INDEX(レシピ一覧!$D:$D,MATCH(使用レシピ!$D58,レシピ一覧!$B:$B,0))&amp;"","")</f>
        <v>ゴム</v>
      </c>
      <c r="F58" s="12" t="str">
        <f>IF($C58 = "","",INDEX(レシピ一覧!E:E,MATCH(使用レシピ!$C58,レシピ一覧!$A:$A,0))) &amp;""</f>
        <v>原油</v>
      </c>
      <c r="G58" s="12" t="str">
        <f>IF($C58 = "","",INDEX(レシピ一覧!F:F,MATCH(使用レシピ!$C58,レシピ一覧!$A:$A,0))) &amp;""</f>
        <v/>
      </c>
      <c r="H58" s="12" t="str">
        <f>IF($C58 = "","",INDEX(レシピ一覧!G:G,MATCH(使用レシピ!$C58,レシピ一覧!$A:$A,0))) &amp;""</f>
        <v/>
      </c>
      <c r="I58" s="12" t="str">
        <f>IF($C58 = "","",INDEX(レシピ一覧!H:H,MATCH(使用レシピ!$C58,レシピ一覧!$A:$A,0))) &amp;""</f>
        <v/>
      </c>
      <c r="J58" s="12" t="str">
        <f>IF($C58 = "","",INDEX(レシピ一覧!I:I,MATCH(使用レシピ!$C58,レシピ一覧!$A:$A,0))) &amp;""</f>
        <v>廃重油</v>
      </c>
      <c r="K58" s="12">
        <f>IFERROR((IF($C58 = "","",INDEX(レシピ一覧!J:J,MATCH(使用レシピ!$C58,レシピ一覧!$A:$A,0)))&amp;"")*1,"")</f>
        <v>3</v>
      </c>
      <c r="L58" s="12" t="str">
        <f>IFERROR((IF($C58 = "","",INDEX(レシピ一覧!K:K,MATCH(使用レシピ!$C58,レシピ一覧!$A:$A,0)))&amp;"")*1,"")</f>
        <v/>
      </c>
      <c r="M58" s="12" t="str">
        <f>IFERROR((IF($C58 = "","",INDEX(レシピ一覧!L:L,MATCH(使用レシピ!$C58,レシピ一覧!$A:$A,0)))&amp;"")*1,"")</f>
        <v/>
      </c>
      <c r="N58" s="12" t="str">
        <f>IFERROR((IF($C58 = "","",INDEX(レシピ一覧!M:M,MATCH(使用レシピ!$C58,レシピ一覧!$A:$A,0)))&amp;"")*1,"")</f>
        <v/>
      </c>
      <c r="O58" s="12">
        <f>IFERROR((IF($C58 = "","",INDEX(レシピ一覧!N:N,MATCH(使用レシピ!$C58,レシピ一覧!$A:$A,0)))&amp;"")*1,"")</f>
        <v>2</v>
      </c>
      <c r="P58" s="12">
        <f>IFERROR((IF($C58 = "","",INDEX(レシピ一覧!O:O,MATCH(使用レシピ!$C58,レシピ一覧!$A:$A,0)))&amp;"")*1,"")</f>
        <v>2</v>
      </c>
      <c r="Q58" s="35">
        <f>IFERROR((IF($C58 = "","",INDEX(レシピ一覧!P:P,MATCH(使用レシピ!$C58,レシピ一覧!$A:$A,0)))&amp;"")*1,"")</f>
        <v>20</v>
      </c>
    </row>
    <row r="59" spans="1:17" x14ac:dyDescent="0.4">
      <c r="A59" s="34">
        <v>1</v>
      </c>
      <c r="B59" s="12">
        <f>IF(E59="","",COUNTIF(レシピ一覧!$D$2:$D$500,使用レシピ!E59))</f>
        <v>4</v>
      </c>
      <c r="C59" s="18" t="str">
        <f t="shared" si="0"/>
        <v>5801</v>
      </c>
      <c r="D59" s="31">
        <f>IF(COUNTIF(レシピ一覧!$B:$B,ROW()-1),ROW()-1,"")</f>
        <v>58</v>
      </c>
      <c r="E59" s="27" t="str">
        <f>IFERROR( INDEX(レシピ一覧!$D:$D,MATCH(使用レシピ!$D59,レシピ一覧!$B:$B,0))&amp;"","")</f>
        <v>燃料</v>
      </c>
      <c r="F59" s="12" t="str">
        <f>IF($C59 = "","",INDEX(レシピ一覧!E:E,MATCH(使用レシピ!$C59,レシピ一覧!$A:$A,0))) &amp;""</f>
        <v>原油</v>
      </c>
      <c r="G59" s="12" t="str">
        <f>IF($C59 = "","",INDEX(レシピ一覧!F:F,MATCH(使用レシピ!$C59,レシピ一覧!$A:$A,0))) &amp;""</f>
        <v/>
      </c>
      <c r="H59" s="12" t="str">
        <f>IF($C59 = "","",INDEX(レシピ一覧!G:G,MATCH(使用レシピ!$C59,レシピ一覧!$A:$A,0))) &amp;""</f>
        <v/>
      </c>
      <c r="I59" s="12" t="str">
        <f>IF($C59 = "","",INDEX(レシピ一覧!H:H,MATCH(使用レシピ!$C59,レシピ一覧!$A:$A,0))) &amp;""</f>
        <v/>
      </c>
      <c r="J59" s="12" t="str">
        <f>IF($C59 = "","",INDEX(レシピ一覧!I:I,MATCH(使用レシピ!$C59,レシピ一覧!$A:$A,0))) &amp;""</f>
        <v>合成樹脂</v>
      </c>
      <c r="K59" s="12">
        <f>IFERROR((IF($C59 = "","",INDEX(レシピ一覧!J:J,MATCH(使用レシピ!$C59,レシピ一覧!$A:$A,0)))&amp;"")*1,"")</f>
        <v>6</v>
      </c>
      <c r="L59" s="12" t="str">
        <f>IFERROR((IF($C59 = "","",INDEX(レシピ一覧!K:K,MATCH(使用レシピ!$C59,レシピ一覧!$A:$A,0)))&amp;"")*1,"")</f>
        <v/>
      </c>
      <c r="M59" s="12" t="str">
        <f>IFERROR((IF($C59 = "","",INDEX(レシピ一覧!L:L,MATCH(使用レシピ!$C59,レシピ一覧!$A:$A,0)))&amp;"")*1,"")</f>
        <v/>
      </c>
      <c r="N59" s="12" t="str">
        <f>IFERROR((IF($C59 = "","",INDEX(レシピ一覧!M:M,MATCH(使用レシピ!$C59,レシピ一覧!$A:$A,0)))&amp;"")*1,"")</f>
        <v/>
      </c>
      <c r="O59" s="12">
        <f>IFERROR((IF($C59 = "","",INDEX(レシピ一覧!N:N,MATCH(使用レシピ!$C59,レシピ一覧!$A:$A,0)))&amp;"")*1,"")</f>
        <v>3</v>
      </c>
      <c r="P59" s="12">
        <f>IFERROR((IF($C59 = "","",INDEX(レシピ一覧!O:O,MATCH(使用レシピ!$C59,レシピ一覧!$A:$A,0)))&amp;"")*1,"")</f>
        <v>4</v>
      </c>
      <c r="Q59" s="35">
        <f>IFERROR((IF($C59 = "","",INDEX(レシピ一覧!P:P,MATCH(使用レシピ!$C59,レシピ一覧!$A:$A,0)))&amp;"")*1,"")</f>
        <v>40</v>
      </c>
    </row>
    <row r="60" spans="1:17" x14ac:dyDescent="0.4">
      <c r="A60" s="34">
        <v>1</v>
      </c>
      <c r="B60" s="12">
        <f>IF(E60="","",COUNTIF(レシピ一覧!$D$2:$D$500,使用レシピ!E60))</f>
        <v>2</v>
      </c>
      <c r="C60" s="18" t="str">
        <f t="shared" si="0"/>
        <v>5901</v>
      </c>
      <c r="D60" s="31">
        <f>IF(COUNTIF(レシピ一覧!$B:$B,ROW()-1),ROW()-1,"")</f>
        <v>59</v>
      </c>
      <c r="E60" s="27" t="str">
        <f>IFERROR( INDEX(レシピ一覧!$D:$D,MATCH(使用レシピ!$D60,レシピ一覧!$B:$B,0))&amp;"","")</f>
        <v>原油</v>
      </c>
      <c r="F60" s="12" t="str">
        <f>IF($C60 = "","",INDEX(レシピ一覧!E:E,MATCH(使用レシピ!$C60,レシピ一覧!$A:$A,0))) &amp;""</f>
        <v/>
      </c>
      <c r="G60" s="12" t="str">
        <f>IF($C60 = "","",INDEX(レシピ一覧!F:F,MATCH(使用レシピ!$C60,レシピ一覧!$A:$A,0))) &amp;""</f>
        <v/>
      </c>
      <c r="H60" s="12" t="str">
        <f>IF($C60 = "","",INDEX(レシピ一覧!G:G,MATCH(使用レシピ!$C60,レシピ一覧!$A:$A,0))) &amp;""</f>
        <v/>
      </c>
      <c r="I60" s="12" t="str">
        <f>IF($C60 = "","",INDEX(レシピ一覧!H:H,MATCH(使用レシピ!$C60,レシピ一覧!$A:$A,0))) &amp;""</f>
        <v/>
      </c>
      <c r="J60" s="12" t="str">
        <f>IF($C60 = "","",INDEX(レシピ一覧!I:I,MATCH(使用レシピ!$C60,レシピ一覧!$A:$A,0))) &amp;""</f>
        <v/>
      </c>
      <c r="K60" s="12" t="str">
        <f>IFERROR((IF($C60 = "","",INDEX(レシピ一覧!J:J,MATCH(使用レシピ!$C60,レシピ一覧!$A:$A,0)))&amp;"")*1,"")</f>
        <v/>
      </c>
      <c r="L60" s="12" t="str">
        <f>IFERROR((IF($C60 = "","",INDEX(レシピ一覧!K:K,MATCH(使用レシピ!$C60,レシピ一覧!$A:$A,0)))&amp;"")*1,"")</f>
        <v/>
      </c>
      <c r="M60" s="12" t="str">
        <f>IFERROR((IF($C60 = "","",INDEX(レシピ一覧!L:L,MATCH(使用レシピ!$C60,レシピ一覧!$A:$A,0)))&amp;"")*1,"")</f>
        <v/>
      </c>
      <c r="N60" s="12" t="str">
        <f>IFERROR((IF($C60 = "","",INDEX(レシピ一覧!M:M,MATCH(使用レシピ!$C60,レシピ一覧!$A:$A,0)))&amp;"")*1,"")</f>
        <v/>
      </c>
      <c r="O60" s="12" t="str">
        <f>IFERROR((IF($C60 = "","",INDEX(レシピ一覧!N:N,MATCH(使用レシピ!$C60,レシピ一覧!$A:$A,0)))&amp;"")*1,"")</f>
        <v/>
      </c>
      <c r="P60" s="12">
        <f>IFERROR((IF($C60 = "","",INDEX(レシピ一覧!O:O,MATCH(使用レシピ!$C60,レシピ一覧!$A:$A,0)))&amp;"")*1,"")</f>
        <v>1</v>
      </c>
      <c r="Q60" s="35">
        <f>IFERROR((IF($C60 = "","",INDEX(レシピ一覧!P:P,MATCH(使用レシピ!$C60,レシピ一覧!$A:$A,0)))&amp;"")*1,"")</f>
        <v>600</v>
      </c>
    </row>
    <row r="61" spans="1:17" x14ac:dyDescent="0.4">
      <c r="A61" s="34">
        <v>1</v>
      </c>
      <c r="B61" s="12">
        <f>IF(E61="","",COUNTIF(レシピ一覧!$D$2:$D$500,使用レシピ!E61))</f>
        <v>4</v>
      </c>
      <c r="C61" s="18" t="str">
        <f t="shared" si="0"/>
        <v>6001</v>
      </c>
      <c r="D61" s="31">
        <f>IF(COUNTIF(レシピ一覧!$B:$B,ROW()-1),ROW()-1,"")</f>
        <v>60</v>
      </c>
      <c r="E61" s="27" t="str">
        <f>IFERROR( INDEX(レシピ一覧!$D:$D,MATCH(使用レシピ!$D61,レシピ一覧!$B:$B,0))&amp;"","")</f>
        <v>シリカ</v>
      </c>
      <c r="F61" s="12" t="str">
        <f>IF($C61 = "","",INDEX(レシピ一覧!E:E,MATCH(使用レシピ!$C61,レシピ一覧!$A:$A,0))) &amp;""</f>
        <v>未加工石英</v>
      </c>
      <c r="G61" s="12" t="str">
        <f>IF($C61 = "","",INDEX(レシピ一覧!F:F,MATCH(使用レシピ!$C61,レシピ一覧!$A:$A,0))) &amp;""</f>
        <v/>
      </c>
      <c r="H61" s="12" t="str">
        <f>IF($C61 = "","",INDEX(レシピ一覧!G:G,MATCH(使用レシピ!$C61,レシピ一覧!$A:$A,0))) &amp;""</f>
        <v/>
      </c>
      <c r="I61" s="12" t="str">
        <f>IF($C61 = "","",INDEX(レシピ一覧!H:H,MATCH(使用レシピ!$C61,レシピ一覧!$A:$A,0))) &amp;""</f>
        <v/>
      </c>
      <c r="J61" s="12" t="str">
        <f>IF($C61 = "","",INDEX(レシピ一覧!I:I,MATCH(使用レシピ!$C61,レシピ一覧!$A:$A,0))) &amp;""</f>
        <v/>
      </c>
      <c r="K61" s="12">
        <f>IFERROR((IF($C61 = "","",INDEX(レシピ一覧!J:J,MATCH(使用レシピ!$C61,レシピ一覧!$A:$A,0)))&amp;"")*1,"")</f>
        <v>3</v>
      </c>
      <c r="L61" s="12" t="str">
        <f>IFERROR((IF($C61 = "","",INDEX(レシピ一覧!K:K,MATCH(使用レシピ!$C61,レシピ一覧!$A:$A,0)))&amp;"")*1,"")</f>
        <v/>
      </c>
      <c r="M61" s="12" t="str">
        <f>IFERROR((IF($C61 = "","",INDEX(レシピ一覧!L:L,MATCH(使用レシピ!$C61,レシピ一覧!$A:$A,0)))&amp;"")*1,"")</f>
        <v/>
      </c>
      <c r="N61" s="12" t="str">
        <f>IFERROR((IF($C61 = "","",INDEX(レシピ一覧!M:M,MATCH(使用レシピ!$C61,レシピ一覧!$A:$A,0)))&amp;"")*1,"")</f>
        <v/>
      </c>
      <c r="O61" s="12" t="str">
        <f>IFERROR((IF($C61 = "","",INDEX(レシピ一覧!N:N,MATCH(使用レシピ!$C61,レシピ一覧!$A:$A,0)))&amp;"")*1,"")</f>
        <v/>
      </c>
      <c r="P61" s="12">
        <f>IFERROR((IF($C61 = "","",INDEX(レシピ一覧!O:O,MATCH(使用レシピ!$C61,レシピ一覧!$A:$A,0)))&amp;"")*1,"")</f>
        <v>5</v>
      </c>
      <c r="Q61" s="35">
        <f>IFERROR((IF($C61 = "","",INDEX(レシピ一覧!P:P,MATCH(使用レシピ!$C61,レシピ一覧!$A:$A,0)))&amp;"")*1,"")</f>
        <v>37.5</v>
      </c>
    </row>
    <row r="62" spans="1:17" x14ac:dyDescent="0.4">
      <c r="A62" s="34">
        <v>1</v>
      </c>
      <c r="B62" s="12">
        <f>IF(E62="","",COUNTIF(レシピ一覧!$D$2:$D$500,使用レシピ!E62))</f>
        <v>2</v>
      </c>
      <c r="C62" s="18" t="str">
        <f t="shared" si="0"/>
        <v>6101</v>
      </c>
      <c r="D62" s="31">
        <f>IF(COUNTIF(レシピ一覧!$B:$B,ROW()-1),ROW()-1,"")</f>
        <v>61</v>
      </c>
      <c r="E62" s="27" t="str">
        <f>IFERROR( INDEX(レシピ一覧!$D:$D,MATCH(使用レシピ!$D62,レシピ一覧!$B:$B,0))&amp;"","")</f>
        <v>水晶発振器</v>
      </c>
      <c r="F62" s="12" t="str">
        <f>IF($C62 = "","",INDEX(レシピ一覧!E:E,MATCH(使用レシピ!$C62,レシピ一覧!$A:$A,0))) &amp;""</f>
        <v>石英結晶</v>
      </c>
      <c r="G62" s="12" t="str">
        <f>IF($C62 = "","",INDEX(レシピ一覧!F:F,MATCH(使用レシピ!$C62,レシピ一覧!$A:$A,0))) &amp;""</f>
        <v>ケーブル</v>
      </c>
      <c r="H62" s="12" t="str">
        <f>IF($C62 = "","",INDEX(レシピ一覧!G:G,MATCH(使用レシピ!$C62,レシピ一覧!$A:$A,0))) &amp;""</f>
        <v>強化鉄板</v>
      </c>
      <c r="I62" s="12" t="str">
        <f>IF($C62 = "","",INDEX(レシピ一覧!H:H,MATCH(使用レシピ!$C62,レシピ一覧!$A:$A,0))) &amp;""</f>
        <v/>
      </c>
      <c r="J62" s="12" t="str">
        <f>IF($C62 = "","",INDEX(レシピ一覧!I:I,MATCH(使用レシピ!$C62,レシピ一覧!$A:$A,0))) &amp;""</f>
        <v/>
      </c>
      <c r="K62" s="12">
        <f>IFERROR((IF($C62 = "","",INDEX(レシピ一覧!J:J,MATCH(使用レシピ!$C62,レシピ一覧!$A:$A,0)))&amp;"")*1,"")</f>
        <v>36</v>
      </c>
      <c r="L62" s="12">
        <f>IFERROR((IF($C62 = "","",INDEX(レシピ一覧!K:K,MATCH(使用レシピ!$C62,レシピ一覧!$A:$A,0)))&amp;"")*1,"")</f>
        <v>28</v>
      </c>
      <c r="M62" s="12">
        <f>IFERROR((IF($C62 = "","",INDEX(レシピ一覧!L:L,MATCH(使用レシピ!$C62,レシピ一覧!$A:$A,0)))&amp;"")*1,"")</f>
        <v>5</v>
      </c>
      <c r="N62" s="12" t="str">
        <f>IFERROR((IF($C62 = "","",INDEX(レシピ一覧!M:M,MATCH(使用レシピ!$C62,レシピ一覧!$A:$A,0)))&amp;"")*1,"")</f>
        <v/>
      </c>
      <c r="O62" s="12" t="str">
        <f>IFERROR((IF($C62 = "","",INDEX(レシピ一覧!N:N,MATCH(使用レシピ!$C62,レシピ一覧!$A:$A,0)))&amp;"")*1,"")</f>
        <v/>
      </c>
      <c r="P62" s="12">
        <f>IFERROR((IF($C62 = "","",INDEX(レシピ一覧!O:O,MATCH(使用レシピ!$C62,レシピ一覧!$A:$A,0)))&amp;"")*1,"")</f>
        <v>2</v>
      </c>
      <c r="Q62" s="35">
        <f>IFERROR((IF($C62 = "","",INDEX(レシピ一覧!P:P,MATCH(使用レシピ!$C62,レシピ一覧!$A:$A,0)))&amp;"")*1,"")</f>
        <v>1</v>
      </c>
    </row>
    <row r="63" spans="1:17" x14ac:dyDescent="0.4">
      <c r="A63" s="34">
        <v>1</v>
      </c>
      <c r="B63" s="12">
        <f>IF(E63="","",COUNTIF(レシピ一覧!$D$2:$D$500,使用レシピ!E63))</f>
        <v>11</v>
      </c>
      <c r="C63" s="18" t="str">
        <f t="shared" si="0"/>
        <v>6201</v>
      </c>
      <c r="D63" s="31">
        <f>IF(COUNTIF(レシピ一覧!$B:$B,ROW()-1),ROW()-1,"")</f>
        <v>62</v>
      </c>
      <c r="E63" s="27" t="str">
        <f>IFERROR( INDEX(レシピ一覧!$D:$D,MATCH(使用レシピ!$D63,レシピ一覧!$B:$B,0))&amp;"","")</f>
        <v>空の容器</v>
      </c>
      <c r="F63" s="12" t="str">
        <f>IF($C63 = "","",INDEX(レシピ一覧!E:E,MATCH(使用レシピ!$C63,レシピ一覧!$A:$A,0))) &amp;""</f>
        <v>プラスチック</v>
      </c>
      <c r="G63" s="12" t="str">
        <f>IF($C63 = "","",INDEX(レシピ一覧!F:F,MATCH(使用レシピ!$C63,レシピ一覧!$A:$A,0))) &amp;""</f>
        <v/>
      </c>
      <c r="H63" s="12" t="str">
        <f>IF($C63 = "","",INDEX(レシピ一覧!G:G,MATCH(使用レシピ!$C63,レシピ一覧!$A:$A,0))) &amp;""</f>
        <v/>
      </c>
      <c r="I63" s="12" t="str">
        <f>IF($C63 = "","",INDEX(レシピ一覧!H:H,MATCH(使用レシピ!$C63,レシピ一覧!$A:$A,0))) &amp;""</f>
        <v/>
      </c>
      <c r="J63" s="12" t="str">
        <f>IF($C63 = "","",INDEX(レシピ一覧!I:I,MATCH(使用レシピ!$C63,レシピ一覧!$A:$A,0))) &amp;""</f>
        <v/>
      </c>
      <c r="K63" s="12">
        <f>IFERROR((IF($C63 = "","",INDEX(レシピ一覧!J:J,MATCH(使用レシピ!$C63,レシピ一覧!$A:$A,0)))&amp;"")*1,"")</f>
        <v>2</v>
      </c>
      <c r="L63" s="12" t="str">
        <f>IFERROR((IF($C63 = "","",INDEX(レシピ一覧!K:K,MATCH(使用レシピ!$C63,レシピ一覧!$A:$A,0)))&amp;"")*1,"")</f>
        <v/>
      </c>
      <c r="M63" s="12" t="str">
        <f>IFERROR((IF($C63 = "","",INDEX(レシピ一覧!L:L,MATCH(使用レシピ!$C63,レシピ一覧!$A:$A,0)))&amp;"")*1,"")</f>
        <v/>
      </c>
      <c r="N63" s="12" t="str">
        <f>IFERROR((IF($C63 = "","",INDEX(レシピ一覧!M:M,MATCH(使用レシピ!$C63,レシピ一覧!$A:$A,0)))&amp;"")*1,"")</f>
        <v/>
      </c>
      <c r="O63" s="12" t="str">
        <f>IFERROR((IF($C63 = "","",INDEX(レシピ一覧!N:N,MATCH(使用レシピ!$C63,レシピ一覧!$A:$A,0)))&amp;"")*1,"")</f>
        <v/>
      </c>
      <c r="P63" s="12">
        <f>IFERROR((IF($C63 = "","",INDEX(レシピ一覧!O:O,MATCH(使用レシピ!$C63,レシピ一覧!$A:$A,0)))&amp;"")*1,"")</f>
        <v>4</v>
      </c>
      <c r="Q63" s="35">
        <f>IFERROR((IF($C63 = "","",INDEX(レシピ一覧!P:P,MATCH(使用レシピ!$C63,レシピ一覧!$A:$A,0)))&amp;"")*1,"")</f>
        <v>60</v>
      </c>
    </row>
    <row r="64" spans="1:17" x14ac:dyDescent="0.4">
      <c r="A64" s="34">
        <v>1</v>
      </c>
      <c r="B64" s="12">
        <f>IF(E64="","",COUNTIF(レシピ一覧!$D$2:$D$500,使用レシピ!E64))</f>
        <v>1</v>
      </c>
      <c r="C64" s="18" t="str">
        <f t="shared" si="0"/>
        <v>6301</v>
      </c>
      <c r="D64" s="31">
        <f>IF(COUNTIF(レシピ一覧!$B:$B,ROW()-1),ROW()-1,"")</f>
        <v>63</v>
      </c>
      <c r="E64" s="27" t="str">
        <f>IFERROR( INDEX(レシピ一覧!$D:$D,MATCH(使用レシピ!$D64,レシピ一覧!$B:$B,0))&amp;"","")</f>
        <v>包装済み水</v>
      </c>
      <c r="F64" s="12" t="str">
        <f>IF($C64 = "","",INDEX(レシピ一覧!E:E,MATCH(使用レシピ!$C64,レシピ一覧!$A:$A,0))) &amp;""</f>
        <v>空の容器</v>
      </c>
      <c r="G64" s="12" t="str">
        <f>IF($C64 = "","",INDEX(レシピ一覧!F:F,MATCH(使用レシピ!$C64,レシピ一覧!$A:$A,0))) &amp;""</f>
        <v>水</v>
      </c>
      <c r="H64" s="12" t="str">
        <f>IF($C64 = "","",INDEX(レシピ一覧!G:G,MATCH(使用レシピ!$C64,レシピ一覧!$A:$A,0))) &amp;""</f>
        <v/>
      </c>
      <c r="I64" s="12" t="str">
        <f>IF($C64 = "","",INDEX(レシピ一覧!H:H,MATCH(使用レシピ!$C64,レシピ一覧!$A:$A,0))) &amp;""</f>
        <v/>
      </c>
      <c r="J64" s="12" t="str">
        <f>IF($C64 = "","",INDEX(レシピ一覧!I:I,MATCH(使用レシピ!$C64,レシピ一覧!$A:$A,0))) &amp;""</f>
        <v/>
      </c>
      <c r="K64" s="12">
        <f>IFERROR((IF($C64 = "","",INDEX(レシピ一覧!J:J,MATCH(使用レシピ!$C64,レシピ一覧!$A:$A,0)))&amp;"")*1,"")</f>
        <v>2</v>
      </c>
      <c r="L64" s="12">
        <f>IFERROR((IF($C64 = "","",INDEX(レシピ一覧!K:K,MATCH(使用レシピ!$C64,レシピ一覧!$A:$A,0)))&amp;"")*1,"")</f>
        <v>2</v>
      </c>
      <c r="M64" s="12" t="str">
        <f>IFERROR((IF($C64 = "","",INDEX(レシピ一覧!L:L,MATCH(使用レシピ!$C64,レシピ一覧!$A:$A,0)))&amp;"")*1,"")</f>
        <v/>
      </c>
      <c r="N64" s="12" t="str">
        <f>IFERROR((IF($C64 = "","",INDEX(レシピ一覧!M:M,MATCH(使用レシピ!$C64,レシピ一覧!$A:$A,0)))&amp;"")*1,"")</f>
        <v/>
      </c>
      <c r="O64" s="12" t="str">
        <f>IFERROR((IF($C64 = "","",INDEX(レシピ一覧!N:N,MATCH(使用レシピ!$C64,レシピ一覧!$A:$A,0)))&amp;"")*1,"")</f>
        <v/>
      </c>
      <c r="P64" s="12">
        <f>IFERROR((IF($C64 = "","",INDEX(レシピ一覧!O:O,MATCH(使用レシピ!$C64,レシピ一覧!$A:$A,0)))&amp;"")*1,"")</f>
        <v>2</v>
      </c>
      <c r="Q64" s="35">
        <f>IFERROR((IF($C64 = "","",INDEX(レシピ一覧!P:P,MATCH(使用レシピ!$C64,レシピ一覧!$A:$A,0)))&amp;"")*1,"")</f>
        <v>60</v>
      </c>
    </row>
    <row r="65" spans="1:17" x14ac:dyDescent="0.4">
      <c r="A65" s="34">
        <v>1</v>
      </c>
      <c r="B65" s="12">
        <f>IF(E65="","",COUNTIF(レシピ一覧!$D$2:$D$500,使用レシピ!E65))</f>
        <v>1</v>
      </c>
      <c r="C65" s="18" t="str">
        <f t="shared" si="0"/>
        <v>6401</v>
      </c>
      <c r="D65" s="31">
        <f>IF(COUNTIF(レシピ一覧!$B:$B,ROW()-1),ROW()-1,"")</f>
        <v>64</v>
      </c>
      <c r="E65" s="27" t="str">
        <f>IFERROR( INDEX(レシピ一覧!$D:$D,MATCH(使用レシピ!$D65,レシピ一覧!$B:$B,0))&amp;"","")</f>
        <v>包装済み原油</v>
      </c>
      <c r="F65" s="12" t="str">
        <f>IF($C65 = "","",INDEX(レシピ一覧!E:E,MATCH(使用レシピ!$C65,レシピ一覧!$A:$A,0))) &amp;""</f>
        <v>空の容器</v>
      </c>
      <c r="G65" s="12" t="str">
        <f>IF($C65 = "","",INDEX(レシピ一覧!F:F,MATCH(使用レシピ!$C65,レシピ一覧!$A:$A,0))) &amp;""</f>
        <v>原油</v>
      </c>
      <c r="H65" s="12" t="str">
        <f>IF($C65 = "","",INDEX(レシピ一覧!G:G,MATCH(使用レシピ!$C65,レシピ一覧!$A:$A,0))) &amp;""</f>
        <v/>
      </c>
      <c r="I65" s="12" t="str">
        <f>IF($C65 = "","",INDEX(レシピ一覧!H:H,MATCH(使用レシピ!$C65,レシピ一覧!$A:$A,0))) &amp;""</f>
        <v/>
      </c>
      <c r="J65" s="12" t="str">
        <f>IF($C65 = "","",INDEX(レシピ一覧!I:I,MATCH(使用レシピ!$C65,レシピ一覧!$A:$A,0))) &amp;""</f>
        <v/>
      </c>
      <c r="K65" s="12">
        <f>IFERROR((IF($C65 = "","",INDEX(レシピ一覧!J:J,MATCH(使用レシピ!$C65,レシピ一覧!$A:$A,0)))&amp;"")*1,"")</f>
        <v>2</v>
      </c>
      <c r="L65" s="12">
        <f>IFERROR((IF($C65 = "","",INDEX(レシピ一覧!K:K,MATCH(使用レシピ!$C65,レシピ一覧!$A:$A,0)))&amp;"")*1,"")</f>
        <v>2</v>
      </c>
      <c r="M65" s="12" t="str">
        <f>IFERROR((IF($C65 = "","",INDEX(レシピ一覧!L:L,MATCH(使用レシピ!$C65,レシピ一覧!$A:$A,0)))&amp;"")*1,"")</f>
        <v/>
      </c>
      <c r="N65" s="12" t="str">
        <f>IFERROR((IF($C65 = "","",INDEX(レシピ一覧!M:M,MATCH(使用レシピ!$C65,レシピ一覧!$A:$A,0)))&amp;"")*1,"")</f>
        <v/>
      </c>
      <c r="O65" s="12" t="str">
        <f>IFERROR((IF($C65 = "","",INDEX(レシピ一覧!N:N,MATCH(使用レシピ!$C65,レシピ一覧!$A:$A,0)))&amp;"")*1,"")</f>
        <v/>
      </c>
      <c r="P65" s="12">
        <f>IFERROR((IF($C65 = "","",INDEX(レシピ一覧!O:O,MATCH(使用レシピ!$C65,レシピ一覧!$A:$A,0)))&amp;"")*1,"")</f>
        <v>2</v>
      </c>
      <c r="Q65" s="35">
        <f>IFERROR((IF($C65 = "","",INDEX(レシピ一覧!P:P,MATCH(使用レシピ!$C65,レシピ一覧!$A:$A,0)))&amp;"")*1,"")</f>
        <v>30</v>
      </c>
    </row>
    <row r="66" spans="1:17" x14ac:dyDescent="0.4">
      <c r="A66" s="34">
        <v>1</v>
      </c>
      <c r="B66" s="12">
        <f>IF(E66="","",COUNTIF(レシピ一覧!$D$2:$D$500,使用レシピ!E66))</f>
        <v>2</v>
      </c>
      <c r="C66" s="18" t="str">
        <f t="shared" si="0"/>
        <v>6501</v>
      </c>
      <c r="D66" s="31">
        <f>IF(COUNTIF(レシピ一覧!$B:$B,ROW()-1),ROW()-1,"")</f>
        <v>65</v>
      </c>
      <c r="E66" s="27" t="str">
        <f>IFERROR( INDEX(レシピ一覧!$D:$D,MATCH(使用レシピ!$D66,レシピ一覧!$B:$B,0))&amp;"","")</f>
        <v>包装済み燃料</v>
      </c>
      <c r="F66" s="12" t="str">
        <f>IF($C66 = "","",INDEX(レシピ一覧!E:E,MATCH(使用レシピ!$C66,レシピ一覧!$A:$A,0))) &amp;""</f>
        <v>空の容器</v>
      </c>
      <c r="G66" s="12" t="str">
        <f>IF($C66 = "","",INDEX(レシピ一覧!F:F,MATCH(使用レシピ!$C66,レシピ一覧!$A:$A,0))) &amp;""</f>
        <v>燃料</v>
      </c>
      <c r="H66" s="12" t="str">
        <f>IF($C66 = "","",INDEX(レシピ一覧!G:G,MATCH(使用レシピ!$C66,レシピ一覧!$A:$A,0))) &amp;""</f>
        <v/>
      </c>
      <c r="I66" s="12" t="str">
        <f>IF($C66 = "","",INDEX(レシピ一覧!H:H,MATCH(使用レシピ!$C66,レシピ一覧!$A:$A,0))) &amp;""</f>
        <v/>
      </c>
      <c r="J66" s="12" t="str">
        <f>IF($C66 = "","",INDEX(レシピ一覧!I:I,MATCH(使用レシピ!$C66,レシピ一覧!$A:$A,0))) &amp;""</f>
        <v/>
      </c>
      <c r="K66" s="12">
        <f>IFERROR((IF($C66 = "","",INDEX(レシピ一覧!J:J,MATCH(使用レシピ!$C66,レシピ一覧!$A:$A,0)))&amp;"")*1,"")</f>
        <v>2</v>
      </c>
      <c r="L66" s="12">
        <f>IFERROR((IF($C66 = "","",INDEX(レシピ一覧!K:K,MATCH(使用レシピ!$C66,レシピ一覧!$A:$A,0)))&amp;"")*1,"")</f>
        <v>2</v>
      </c>
      <c r="M66" s="12" t="str">
        <f>IFERROR((IF($C66 = "","",INDEX(レシピ一覧!L:L,MATCH(使用レシピ!$C66,レシピ一覧!$A:$A,0)))&amp;"")*1,"")</f>
        <v/>
      </c>
      <c r="N66" s="12" t="str">
        <f>IFERROR((IF($C66 = "","",INDEX(レシピ一覧!M:M,MATCH(使用レシピ!$C66,レシピ一覧!$A:$A,0)))&amp;"")*1,"")</f>
        <v/>
      </c>
      <c r="O66" s="12" t="str">
        <f>IFERROR((IF($C66 = "","",INDEX(レシピ一覧!N:N,MATCH(使用レシピ!$C66,レシピ一覧!$A:$A,0)))&amp;"")*1,"")</f>
        <v/>
      </c>
      <c r="P66" s="12">
        <f>IFERROR((IF($C66 = "","",INDEX(レシピ一覧!O:O,MATCH(使用レシピ!$C66,レシピ一覧!$A:$A,0)))&amp;"")*1,"")</f>
        <v>2</v>
      </c>
      <c r="Q66" s="35">
        <f>IFERROR((IF($C66 = "","",INDEX(レシピ一覧!P:P,MATCH(使用レシピ!$C66,レシピ一覧!$A:$A,0)))&amp;"")*1,"")</f>
        <v>40</v>
      </c>
    </row>
    <row r="67" spans="1:17" x14ac:dyDescent="0.4">
      <c r="A67" s="34">
        <v>1</v>
      </c>
      <c r="B67" s="12">
        <f>IF(E67="","",COUNTIF(レシピ一覧!$D$2:$D$500,使用レシピ!E67))</f>
        <v>1</v>
      </c>
      <c r="C67" s="18" t="str">
        <f t="shared" ref="C67:C130" si="1">IF(ISNUMBER(D67),D67 &amp; RIGHT("00"&amp;A67,2),"")</f>
        <v>6601</v>
      </c>
      <c r="D67" s="31">
        <f>IF(COUNTIF(レシピ一覧!$B:$B,ROW()-1),ROW()-1,"")</f>
        <v>66</v>
      </c>
      <c r="E67" s="27" t="str">
        <f>IFERROR( INDEX(レシピ一覧!$D:$D,MATCH(使用レシピ!$D67,レシピ一覧!$B:$B,0))&amp;"","")</f>
        <v>包装済み廃重油</v>
      </c>
      <c r="F67" s="12" t="str">
        <f>IF($C67 = "","",INDEX(レシピ一覧!E:E,MATCH(使用レシピ!$C67,レシピ一覧!$A:$A,0))) &amp;""</f>
        <v>空の容器</v>
      </c>
      <c r="G67" s="12" t="str">
        <f>IF($C67 = "","",INDEX(レシピ一覧!F:F,MATCH(使用レシピ!$C67,レシピ一覧!$A:$A,0))) &amp;""</f>
        <v>廃重油</v>
      </c>
      <c r="H67" s="12" t="str">
        <f>IF($C67 = "","",INDEX(レシピ一覧!G:G,MATCH(使用レシピ!$C67,レシピ一覧!$A:$A,0))) &amp;""</f>
        <v/>
      </c>
      <c r="I67" s="12" t="str">
        <f>IF($C67 = "","",INDEX(レシピ一覧!H:H,MATCH(使用レシピ!$C67,レシピ一覧!$A:$A,0))) &amp;""</f>
        <v/>
      </c>
      <c r="J67" s="12" t="str">
        <f>IF($C67 = "","",INDEX(レシピ一覧!I:I,MATCH(使用レシピ!$C67,レシピ一覧!$A:$A,0))) &amp;""</f>
        <v/>
      </c>
      <c r="K67" s="12">
        <f>IFERROR((IF($C67 = "","",INDEX(レシピ一覧!J:J,MATCH(使用レシピ!$C67,レシピ一覧!$A:$A,0)))&amp;"")*1,"")</f>
        <v>2</v>
      </c>
      <c r="L67" s="12">
        <f>IFERROR((IF($C67 = "","",INDEX(レシピ一覧!K:K,MATCH(使用レシピ!$C67,レシピ一覧!$A:$A,0)))&amp;"")*1,"")</f>
        <v>2</v>
      </c>
      <c r="M67" s="12" t="str">
        <f>IFERROR((IF($C67 = "","",INDEX(レシピ一覧!L:L,MATCH(使用レシピ!$C67,レシピ一覧!$A:$A,0)))&amp;"")*1,"")</f>
        <v/>
      </c>
      <c r="N67" s="12" t="str">
        <f>IFERROR((IF($C67 = "","",INDEX(レシピ一覧!M:M,MATCH(使用レシピ!$C67,レシピ一覧!$A:$A,0)))&amp;"")*1,"")</f>
        <v/>
      </c>
      <c r="O67" s="12" t="str">
        <f>IFERROR((IF($C67 = "","",INDEX(レシピ一覧!N:N,MATCH(使用レシピ!$C67,レシピ一覧!$A:$A,0)))&amp;"")*1,"")</f>
        <v/>
      </c>
      <c r="P67" s="12">
        <f>IFERROR((IF($C67 = "","",INDEX(レシピ一覧!O:O,MATCH(使用レシピ!$C67,レシピ一覧!$A:$A,0)))&amp;"")*1,"")</f>
        <v>2</v>
      </c>
      <c r="Q67" s="35">
        <f>IFERROR((IF($C67 = "","",INDEX(レシピ一覧!P:P,MATCH(使用レシピ!$C67,レシピ一覧!$A:$A,0)))&amp;"")*1,"")</f>
        <v>30</v>
      </c>
    </row>
    <row r="68" spans="1:17" x14ac:dyDescent="0.4">
      <c r="A68" s="34">
        <v>1</v>
      </c>
      <c r="B68" s="12">
        <f>IF(E68="","",COUNTIF(レシピ一覧!$D$2:$D$500,使用レシピ!E68))</f>
        <v>1</v>
      </c>
      <c r="C68" s="18" t="str">
        <f t="shared" si="1"/>
        <v>6701</v>
      </c>
      <c r="D68" s="31">
        <f>IF(COUNTIF(レシピ一覧!$B:$B,ROW()-1),ROW()-1,"")</f>
        <v>67</v>
      </c>
      <c r="E68" s="27" t="str">
        <f>IFERROR( INDEX(レシピ一覧!$D:$D,MATCH(使用レシピ!$D68,レシピ一覧!$B:$B,0))&amp;"","")</f>
        <v>包装済み液体バイオ燃料</v>
      </c>
      <c r="F68" s="12" t="str">
        <f>IF($C68 = "","",INDEX(レシピ一覧!E:E,MATCH(使用レシピ!$C68,レシピ一覧!$A:$A,0))) &amp;""</f>
        <v>空の容器</v>
      </c>
      <c r="G68" s="12" t="str">
        <f>IF($C68 = "","",INDEX(レシピ一覧!F:F,MATCH(使用レシピ!$C68,レシピ一覧!$A:$A,0))) &amp;""</f>
        <v>液体バイオ燃料</v>
      </c>
      <c r="H68" s="12" t="str">
        <f>IF($C68 = "","",INDEX(レシピ一覧!G:G,MATCH(使用レシピ!$C68,レシピ一覧!$A:$A,0))) &amp;""</f>
        <v/>
      </c>
      <c r="I68" s="12" t="str">
        <f>IF($C68 = "","",INDEX(レシピ一覧!H:H,MATCH(使用レシピ!$C68,レシピ一覧!$A:$A,0))) &amp;""</f>
        <v/>
      </c>
      <c r="J68" s="12" t="str">
        <f>IF($C68 = "","",INDEX(レシピ一覧!I:I,MATCH(使用レシピ!$C68,レシピ一覧!$A:$A,0))) &amp;""</f>
        <v/>
      </c>
      <c r="K68" s="12">
        <f>IFERROR((IF($C68 = "","",INDEX(レシピ一覧!J:J,MATCH(使用レシピ!$C68,レシピ一覧!$A:$A,0)))&amp;"")*1,"")</f>
        <v>2</v>
      </c>
      <c r="L68" s="12">
        <f>IFERROR((IF($C68 = "","",INDEX(レシピ一覧!K:K,MATCH(使用レシピ!$C68,レシピ一覧!$A:$A,0)))&amp;"")*1,"")</f>
        <v>2</v>
      </c>
      <c r="M68" s="12" t="str">
        <f>IFERROR((IF($C68 = "","",INDEX(レシピ一覧!L:L,MATCH(使用レシピ!$C68,レシピ一覧!$A:$A,0)))&amp;"")*1,"")</f>
        <v/>
      </c>
      <c r="N68" s="12" t="str">
        <f>IFERROR((IF($C68 = "","",INDEX(レシピ一覧!M:M,MATCH(使用レシピ!$C68,レシピ一覧!$A:$A,0)))&amp;"")*1,"")</f>
        <v/>
      </c>
      <c r="O68" s="12" t="str">
        <f>IFERROR((IF($C68 = "","",INDEX(レシピ一覧!N:N,MATCH(使用レシピ!$C68,レシピ一覧!$A:$A,0)))&amp;"")*1,"")</f>
        <v/>
      </c>
      <c r="P68" s="12">
        <f>IFERROR((IF($C68 = "","",INDEX(レシピ一覧!O:O,MATCH(使用レシピ!$C68,レシピ一覧!$A:$A,0)))&amp;"")*1,"")</f>
        <v>2</v>
      </c>
      <c r="Q68" s="35">
        <f>IFERROR((IF($C68 = "","",INDEX(レシピ一覧!P:P,MATCH(使用レシピ!$C68,レシピ一覧!$A:$A,0)))&amp;"")*1,"")</f>
        <v>40</v>
      </c>
    </row>
    <row r="69" spans="1:17" x14ac:dyDescent="0.4">
      <c r="A69" s="34">
        <v>1</v>
      </c>
      <c r="B69" s="12">
        <f>IF(E69="","",COUNTIF(レシピ一覧!$D$2:$D$500,使用レシピ!E69))</f>
        <v>2</v>
      </c>
      <c r="C69" s="18" t="str">
        <f t="shared" si="1"/>
        <v>6801</v>
      </c>
      <c r="D69" s="31">
        <f>IF(COUNTIF(レシピ一覧!$B:$B,ROW()-1),ROW()-1,"")</f>
        <v>68</v>
      </c>
      <c r="E69" s="27" t="str">
        <f>IFERROR( INDEX(レシピ一覧!$D:$D,MATCH(使用レシピ!$D69,レシピ一覧!$B:$B,0))&amp;"","")</f>
        <v>液体バイオ燃料</v>
      </c>
      <c r="F69" s="12" t="str">
        <f>IF($C69 = "","",INDEX(レシピ一覧!E:E,MATCH(使用レシピ!$C69,レシピ一覧!$A:$A,0))) &amp;""</f>
        <v>固体バイオ燃料</v>
      </c>
      <c r="G69" s="12" t="str">
        <f>IF($C69 = "","",INDEX(レシピ一覧!F:F,MATCH(使用レシピ!$C69,レシピ一覧!$A:$A,0))) &amp;""</f>
        <v>水</v>
      </c>
      <c r="H69" s="12" t="str">
        <f>IF($C69 = "","",INDEX(レシピ一覧!G:G,MATCH(使用レシピ!$C69,レシピ一覧!$A:$A,0))) &amp;""</f>
        <v/>
      </c>
      <c r="I69" s="12" t="str">
        <f>IF($C69 = "","",INDEX(レシピ一覧!H:H,MATCH(使用レシピ!$C69,レシピ一覧!$A:$A,0))) &amp;""</f>
        <v/>
      </c>
      <c r="J69" s="12" t="str">
        <f>IF($C69 = "","",INDEX(レシピ一覧!I:I,MATCH(使用レシピ!$C69,レシピ一覧!$A:$A,0))) &amp;""</f>
        <v/>
      </c>
      <c r="K69" s="12">
        <f>IFERROR((IF($C69 = "","",INDEX(レシピ一覧!J:J,MATCH(使用レシピ!$C69,レシピ一覧!$A:$A,0)))&amp;"")*1,"")</f>
        <v>6</v>
      </c>
      <c r="L69" s="12">
        <f>IFERROR((IF($C69 = "","",INDEX(レシピ一覧!K:K,MATCH(使用レシピ!$C69,レシピ一覧!$A:$A,0)))&amp;"")*1,"")</f>
        <v>3</v>
      </c>
      <c r="M69" s="12" t="str">
        <f>IFERROR((IF($C69 = "","",INDEX(レシピ一覧!L:L,MATCH(使用レシピ!$C69,レシピ一覧!$A:$A,0)))&amp;"")*1,"")</f>
        <v/>
      </c>
      <c r="N69" s="12" t="str">
        <f>IFERROR((IF($C69 = "","",INDEX(レシピ一覧!M:M,MATCH(使用レシピ!$C69,レシピ一覧!$A:$A,0)))&amp;"")*1,"")</f>
        <v/>
      </c>
      <c r="O69" s="12" t="str">
        <f>IFERROR((IF($C69 = "","",INDEX(レシピ一覧!N:N,MATCH(使用レシピ!$C69,レシピ一覧!$A:$A,0)))&amp;"")*1,"")</f>
        <v/>
      </c>
      <c r="P69" s="12">
        <f>IFERROR((IF($C69 = "","",INDEX(レシピ一覧!O:O,MATCH(使用レシピ!$C69,レシピ一覧!$A:$A,0)))&amp;"")*1,"")</f>
        <v>4</v>
      </c>
      <c r="Q69" s="35">
        <f>IFERROR((IF($C69 = "","",INDEX(レシピ一覧!P:P,MATCH(使用レシピ!$C69,レシピ一覧!$A:$A,0)))&amp;"")*1,"")</f>
        <v>60</v>
      </c>
    </row>
    <row r="70" spans="1:17" x14ac:dyDescent="0.4">
      <c r="A70" s="34">
        <v>1</v>
      </c>
      <c r="B70" s="12">
        <f>IF(E70="","",COUNTIF(レシピ一覧!$D$2:$D$500,使用レシピ!E70))</f>
        <v>5</v>
      </c>
      <c r="C70" s="18" t="str">
        <f t="shared" si="1"/>
        <v>6901</v>
      </c>
      <c r="D70" s="31">
        <f>IF(COUNTIF(レシピ一覧!$B:$B,ROW()-1),ROW()-1,"")</f>
        <v>69</v>
      </c>
      <c r="E70" s="27" t="str">
        <f>IFERROR( INDEX(レシピ一覧!$D:$D,MATCH(使用レシピ!$D70,レシピ一覧!$B:$B,0))&amp;"","")</f>
        <v>圧縮石炭</v>
      </c>
      <c r="F70" s="12" t="str">
        <f>IF($C70 = "","",INDEX(レシピ一覧!E:E,MATCH(使用レシピ!$C70,レシピ一覧!$A:$A,0))) &amp;""</f>
        <v>石炭</v>
      </c>
      <c r="G70" s="12" t="str">
        <f>IF($C70 = "","",INDEX(レシピ一覧!F:F,MATCH(使用レシピ!$C70,レシピ一覧!$A:$A,0))) &amp;""</f>
        <v>硫黄</v>
      </c>
      <c r="H70" s="12" t="str">
        <f>IF($C70 = "","",INDEX(レシピ一覧!G:G,MATCH(使用レシピ!$C70,レシピ一覧!$A:$A,0))) &amp;""</f>
        <v/>
      </c>
      <c r="I70" s="12" t="str">
        <f>IF($C70 = "","",INDEX(レシピ一覧!H:H,MATCH(使用レシピ!$C70,レシピ一覧!$A:$A,0))) &amp;""</f>
        <v/>
      </c>
      <c r="J70" s="12" t="str">
        <f>IF($C70 = "","",INDEX(レシピ一覧!I:I,MATCH(使用レシピ!$C70,レシピ一覧!$A:$A,0))) &amp;""</f>
        <v/>
      </c>
      <c r="K70" s="12">
        <f>IFERROR((IF($C70 = "","",INDEX(レシピ一覧!J:J,MATCH(使用レシピ!$C70,レシピ一覧!$A:$A,0)))&amp;"")*1,"")</f>
        <v>5</v>
      </c>
      <c r="L70" s="12">
        <f>IFERROR((IF($C70 = "","",INDEX(レシピ一覧!K:K,MATCH(使用レシピ!$C70,レシピ一覧!$A:$A,0)))&amp;"")*1,"")</f>
        <v>5</v>
      </c>
      <c r="M70" s="12" t="str">
        <f>IFERROR((IF($C70 = "","",INDEX(レシピ一覧!L:L,MATCH(使用レシピ!$C70,レシピ一覧!$A:$A,0)))&amp;"")*1,"")</f>
        <v/>
      </c>
      <c r="N70" s="12" t="str">
        <f>IFERROR((IF($C70 = "","",INDEX(レシピ一覧!M:M,MATCH(使用レシピ!$C70,レシピ一覧!$A:$A,0)))&amp;"")*1,"")</f>
        <v/>
      </c>
      <c r="O70" s="12" t="str">
        <f>IFERROR((IF($C70 = "","",INDEX(レシピ一覧!N:N,MATCH(使用レシピ!$C70,レシピ一覧!$A:$A,0)))&amp;"")*1,"")</f>
        <v/>
      </c>
      <c r="P70" s="12">
        <f>IFERROR((IF($C70 = "","",INDEX(レシピ一覧!O:O,MATCH(使用レシピ!$C70,レシピ一覧!$A:$A,0)))&amp;"")*1,"")</f>
        <v>5</v>
      </c>
      <c r="Q70" s="35">
        <f>IFERROR((IF($C70 = "","",INDEX(レシピ一覧!P:P,MATCH(使用レシピ!$C70,レシピ一覧!$A:$A,0)))&amp;"")*1,"")</f>
        <v>25</v>
      </c>
    </row>
    <row r="71" spans="1:17" x14ac:dyDescent="0.4">
      <c r="A71" s="34">
        <v>1</v>
      </c>
      <c r="B71" s="12">
        <f>IF(E71="","",COUNTIF(レシピ一覧!$D$2:$D$500,使用レシピ!E71))</f>
        <v>3</v>
      </c>
      <c r="C71" s="18" t="str">
        <f t="shared" si="1"/>
        <v>7001</v>
      </c>
      <c r="D71" s="31">
        <f>IF(COUNTIF(レシピ一覧!$B:$B,ROW()-1),ROW()-1,"")</f>
        <v>70</v>
      </c>
      <c r="E71" s="27" t="str">
        <f>IFERROR( INDEX(レシピ一覧!$D:$D,MATCH(使用レシピ!$D71,レシピ一覧!$B:$B,0))&amp;"","")</f>
        <v>コンピューター</v>
      </c>
      <c r="F71" s="12" t="str">
        <f>IF($C71 = "","",INDEX(レシピ一覧!E:E,MATCH(使用レシピ!$C71,レシピ一覧!$A:$A,0))) &amp;""</f>
        <v>回路基板</v>
      </c>
      <c r="G71" s="12" t="str">
        <f>IF($C71 = "","",INDEX(レシピ一覧!F:F,MATCH(使用レシピ!$C71,レシピ一覧!$A:$A,0))) &amp;""</f>
        <v>ケーブル</v>
      </c>
      <c r="H71" s="12" t="str">
        <f>IF($C71 = "","",INDEX(レシピ一覧!G:G,MATCH(使用レシピ!$C71,レシピ一覧!$A:$A,0))) &amp;""</f>
        <v>プラスチック</v>
      </c>
      <c r="I71" s="12" t="str">
        <f>IF($C71 = "","",INDEX(レシピ一覧!H:H,MATCH(使用レシピ!$C71,レシピ一覧!$A:$A,0))) &amp;""</f>
        <v/>
      </c>
      <c r="J71" s="12" t="str">
        <f>IF($C71 = "","",INDEX(レシピ一覧!I:I,MATCH(使用レシピ!$C71,レシピ一覧!$A:$A,0))) &amp;""</f>
        <v/>
      </c>
      <c r="K71" s="12">
        <f>IFERROR((IF($C71 = "","",INDEX(レシピ一覧!J:J,MATCH(使用レシピ!$C71,レシピ一覧!$A:$A,0)))&amp;"")*1,"")</f>
        <v>4</v>
      </c>
      <c r="L71" s="12">
        <f>IFERROR((IF($C71 = "","",INDEX(レシピ一覧!K:K,MATCH(使用レシピ!$C71,レシピ一覧!$A:$A,0)))&amp;"")*1,"")</f>
        <v>8</v>
      </c>
      <c r="M71" s="12">
        <f>IFERROR((IF($C71 = "","",INDEX(レシピ一覧!L:L,MATCH(使用レシピ!$C71,レシピ一覧!$A:$A,0)))&amp;"")*1,"")</f>
        <v>16</v>
      </c>
      <c r="N71" s="12" t="str">
        <f>IFERROR((IF($C71 = "","",INDEX(レシピ一覧!M:M,MATCH(使用レシピ!$C71,レシピ一覧!$A:$A,0)))&amp;"")*1,"")</f>
        <v/>
      </c>
      <c r="O71" s="12" t="str">
        <f>IFERROR((IF($C71 = "","",INDEX(レシピ一覧!N:N,MATCH(使用レシピ!$C71,レシピ一覧!$A:$A,0)))&amp;"")*1,"")</f>
        <v/>
      </c>
      <c r="P71" s="12">
        <f>IFERROR((IF($C71 = "","",INDEX(レシピ一覧!O:O,MATCH(使用レシピ!$C71,レシピ一覧!$A:$A,0)))&amp;"")*1,"")</f>
        <v>1</v>
      </c>
      <c r="Q71" s="35">
        <f>IFERROR((IF($C71 = "","",INDEX(レシピ一覧!P:P,MATCH(使用レシピ!$C71,レシピ一覧!$A:$A,0)))&amp;"")*1,"")</f>
        <v>2.5</v>
      </c>
    </row>
    <row r="72" spans="1:17" x14ac:dyDescent="0.4">
      <c r="A72" s="34">
        <v>1</v>
      </c>
      <c r="B72" s="12">
        <f>IF(E72="","",COUNTIF(レシピ一覧!$D$2:$D$500,使用レシピ!E72))</f>
        <v>3</v>
      </c>
      <c r="C72" s="18" t="str">
        <f t="shared" si="1"/>
        <v>7101</v>
      </c>
      <c r="D72" s="31">
        <f>IF(COUNTIF(レシピ一覧!$B:$B,ROW()-1),ROW()-1,"")</f>
        <v>71</v>
      </c>
      <c r="E72" s="27" t="str">
        <f>IFERROR( INDEX(レシピ一覧!$D:$D,MATCH(使用レシピ!$D72,レシピ一覧!$B:$B,0))&amp;"","")</f>
        <v>ヘビー・モジュラー・フレーム</v>
      </c>
      <c r="F72" s="12" t="str">
        <f>IF($C72 = "","",INDEX(レシピ一覧!E:E,MATCH(使用レシピ!$C72,レシピ一覧!$A:$A,0))) &amp;""</f>
        <v>モジュラー・フレーム</v>
      </c>
      <c r="G72" s="12" t="str">
        <f>IF($C72 = "","",INDEX(レシピ一覧!F:F,MATCH(使用レシピ!$C72,レシピ一覧!$A:$A,0))) &amp;""</f>
        <v>鋼管</v>
      </c>
      <c r="H72" s="12" t="str">
        <f>IF($C72 = "","",INDEX(レシピ一覧!G:G,MATCH(使用レシピ!$C72,レシピ一覧!$A:$A,0))) &amp;""</f>
        <v>コンクリート被覆型鋼梁</v>
      </c>
      <c r="I72" s="12" t="str">
        <f>IF($C72 = "","",INDEX(レシピ一覧!H:H,MATCH(使用レシピ!$C72,レシピ一覧!$A:$A,0))) &amp;""</f>
        <v>ネジ</v>
      </c>
      <c r="J72" s="12" t="str">
        <f>IF($C72 = "","",INDEX(レシピ一覧!I:I,MATCH(使用レシピ!$C72,レシピ一覧!$A:$A,0))) &amp;""</f>
        <v/>
      </c>
      <c r="K72" s="12">
        <f>IFERROR((IF($C72 = "","",INDEX(レシピ一覧!J:J,MATCH(使用レシピ!$C72,レシピ一覧!$A:$A,0)))&amp;"")*1,"")</f>
        <v>5</v>
      </c>
      <c r="L72" s="12">
        <f>IFERROR((IF($C72 = "","",INDEX(レシピ一覧!K:K,MATCH(使用レシピ!$C72,レシピ一覧!$A:$A,0)))&amp;"")*1,"")</f>
        <v>20</v>
      </c>
      <c r="M72" s="12">
        <f>IFERROR((IF($C72 = "","",INDEX(レシピ一覧!L:L,MATCH(使用レシピ!$C72,レシピ一覧!$A:$A,0)))&amp;"")*1,"")</f>
        <v>5</v>
      </c>
      <c r="N72" s="12">
        <f>IFERROR((IF($C72 = "","",INDEX(レシピ一覧!M:M,MATCH(使用レシピ!$C72,レシピ一覧!$A:$A,0)))&amp;"")*1,"")</f>
        <v>120</v>
      </c>
      <c r="O72" s="12" t="str">
        <f>IFERROR((IF($C72 = "","",INDEX(レシピ一覧!N:N,MATCH(使用レシピ!$C72,レシピ一覧!$A:$A,0)))&amp;"")*1,"")</f>
        <v/>
      </c>
      <c r="P72" s="12">
        <f>IFERROR((IF($C72 = "","",INDEX(レシピ一覧!O:O,MATCH(使用レシピ!$C72,レシピ一覧!$A:$A,0)))&amp;"")*1,"")</f>
        <v>1</v>
      </c>
      <c r="Q72" s="35">
        <f>IFERROR((IF($C72 = "","",INDEX(レシピ一覧!P:P,MATCH(使用レシピ!$C72,レシピ一覧!$A:$A,0)))&amp;"")*1,"")</f>
        <v>2</v>
      </c>
    </row>
    <row r="73" spans="1:17" x14ac:dyDescent="0.4">
      <c r="A73" s="34">
        <v>1</v>
      </c>
      <c r="B73" s="12">
        <f>IF(E73="","",COUNTIF(レシピ一覧!$D$2:$D$500,使用レシピ!E73))</f>
        <v>1</v>
      </c>
      <c r="C73" s="18" t="str">
        <f t="shared" si="1"/>
        <v>7201</v>
      </c>
      <c r="D73" s="31">
        <f>IF(COUNTIF(レシピ一覧!$B:$B,ROW()-1),ROW()-1,"")</f>
        <v>72</v>
      </c>
      <c r="E73" s="27" t="str">
        <f>IFERROR( INDEX(レシピ一覧!$D:$D,MATCH(使用レシピ!$D73,レシピ一覧!$B:$B,0))&amp;"","")</f>
        <v>モジュラーエンジン</v>
      </c>
      <c r="F73" s="12" t="str">
        <f>IF($C73 = "","",INDEX(レシピ一覧!E:E,MATCH(使用レシピ!$C73,レシピ一覧!$A:$A,0))) &amp;""</f>
        <v>モーター</v>
      </c>
      <c r="G73" s="12" t="str">
        <f>IF($C73 = "","",INDEX(レシピ一覧!F:F,MATCH(使用レシピ!$C73,レシピ一覧!$A:$A,0))) &amp;""</f>
        <v>ゴム</v>
      </c>
      <c r="H73" s="12" t="str">
        <f>IF($C73 = "","",INDEX(レシピ一覧!G:G,MATCH(使用レシピ!$C73,レシピ一覧!$A:$A,0))) &amp;""</f>
        <v>スマート・プレート</v>
      </c>
      <c r="I73" s="12" t="str">
        <f>IF($C73 = "","",INDEX(レシピ一覧!H:H,MATCH(使用レシピ!$C73,レシピ一覧!$A:$A,0))) &amp;""</f>
        <v/>
      </c>
      <c r="J73" s="12" t="str">
        <f>IF($C73 = "","",INDEX(レシピ一覧!I:I,MATCH(使用レシピ!$C73,レシピ一覧!$A:$A,0))) &amp;""</f>
        <v/>
      </c>
      <c r="K73" s="12">
        <f>IFERROR((IF($C73 = "","",INDEX(レシピ一覧!J:J,MATCH(使用レシピ!$C73,レシピ一覧!$A:$A,0)))&amp;"")*1,"")</f>
        <v>2</v>
      </c>
      <c r="L73" s="12">
        <f>IFERROR((IF($C73 = "","",INDEX(レシピ一覧!K:K,MATCH(使用レシピ!$C73,レシピ一覧!$A:$A,0)))&amp;"")*1,"")</f>
        <v>15</v>
      </c>
      <c r="M73" s="12">
        <f>IFERROR((IF($C73 = "","",INDEX(レシピ一覧!L:L,MATCH(使用レシピ!$C73,レシピ一覧!$A:$A,0)))&amp;"")*1,"")</f>
        <v>2</v>
      </c>
      <c r="N73" s="12" t="str">
        <f>IFERROR((IF($C73 = "","",INDEX(レシピ一覧!M:M,MATCH(使用レシピ!$C73,レシピ一覧!$A:$A,0)))&amp;"")*1,"")</f>
        <v/>
      </c>
      <c r="O73" s="12" t="str">
        <f>IFERROR((IF($C73 = "","",INDEX(レシピ一覧!N:N,MATCH(使用レシピ!$C73,レシピ一覧!$A:$A,0)))&amp;"")*1,"")</f>
        <v/>
      </c>
      <c r="P73" s="12">
        <f>IFERROR((IF($C73 = "","",INDEX(レシピ一覧!O:O,MATCH(使用レシピ!$C73,レシピ一覧!$A:$A,0)))&amp;"")*1,"")</f>
        <v>1</v>
      </c>
      <c r="Q73" s="35">
        <f>IFERROR((IF($C73 = "","",INDEX(レシピ一覧!P:P,MATCH(使用レシピ!$C73,レシピ一覧!$A:$A,0)))&amp;"")*1,"")</f>
        <v>1</v>
      </c>
    </row>
    <row r="74" spans="1:17" x14ac:dyDescent="0.4">
      <c r="A74" s="34">
        <v>1</v>
      </c>
      <c r="B74" s="12">
        <f>IF(E74="","",COUNTIF(レシピ一覧!$D$2:$D$500,使用レシピ!E74))</f>
        <v>1</v>
      </c>
      <c r="C74" s="18" t="str">
        <f t="shared" si="1"/>
        <v>7301</v>
      </c>
      <c r="D74" s="31">
        <f>IF(COUNTIF(レシピ一覧!$B:$B,ROW()-1),ROW()-1,"")</f>
        <v>73</v>
      </c>
      <c r="E74" s="27" t="str">
        <f>IFERROR( INDEX(レシピ一覧!$D:$D,MATCH(使用レシピ!$D74,レシピ一覧!$B:$B,0))&amp;"","")</f>
        <v>自律制御ユニット</v>
      </c>
      <c r="F74" s="12" t="str">
        <f>IF($C74 = "","",INDEX(レシピ一覧!E:E,MATCH(使用レシピ!$C74,レシピ一覧!$A:$A,0))) &amp;""</f>
        <v>自動ワイヤー</v>
      </c>
      <c r="G74" s="12" t="str">
        <f>IF($C74 = "","",INDEX(レシピ一覧!F:F,MATCH(使用レシピ!$C74,レシピ一覧!$A:$A,0))) &amp;""</f>
        <v>回路基板</v>
      </c>
      <c r="H74" s="12" t="str">
        <f>IF($C74 = "","",INDEX(レシピ一覧!G:G,MATCH(使用レシピ!$C74,レシピ一覧!$A:$A,0))) &amp;""</f>
        <v>ヘビー・モジュラー・フレーム</v>
      </c>
      <c r="I74" s="12" t="str">
        <f>IF($C74 = "","",INDEX(レシピ一覧!H:H,MATCH(使用レシピ!$C74,レシピ一覧!$A:$A,0))) &amp;""</f>
        <v>コンピューター</v>
      </c>
      <c r="J74" s="12" t="str">
        <f>IF($C74 = "","",INDEX(レシピ一覧!I:I,MATCH(使用レシピ!$C74,レシピ一覧!$A:$A,0))) &amp;""</f>
        <v/>
      </c>
      <c r="K74" s="12">
        <f>IFERROR((IF($C74 = "","",INDEX(レシピ一覧!J:J,MATCH(使用レシピ!$C74,レシピ一覧!$A:$A,0)))&amp;"")*1,"")</f>
        <v>5</v>
      </c>
      <c r="L74" s="12">
        <f>IFERROR((IF($C74 = "","",INDEX(レシピ一覧!K:K,MATCH(使用レシピ!$C74,レシピ一覧!$A:$A,0)))&amp;"")*1,"")</f>
        <v>5</v>
      </c>
      <c r="M74" s="12">
        <f>IFERROR((IF($C74 = "","",INDEX(レシピ一覧!L:L,MATCH(使用レシピ!$C74,レシピ一覧!$A:$A,0)))&amp;"")*1,"")</f>
        <v>1</v>
      </c>
      <c r="N74" s="12">
        <f>IFERROR((IF($C74 = "","",INDEX(レシピ一覧!M:M,MATCH(使用レシピ!$C74,レシピ一覧!$A:$A,0)))&amp;"")*1,"")</f>
        <v>2</v>
      </c>
      <c r="O74" s="12" t="str">
        <f>IFERROR((IF($C74 = "","",INDEX(レシピ一覧!N:N,MATCH(使用レシピ!$C74,レシピ一覧!$A:$A,0)))&amp;"")*1,"")</f>
        <v/>
      </c>
      <c r="P74" s="12">
        <f>IFERROR((IF($C74 = "","",INDEX(レシピ一覧!O:O,MATCH(使用レシピ!$C74,レシピ一覧!$A:$A,0)))&amp;"")*1,"")</f>
        <v>1</v>
      </c>
      <c r="Q74" s="35">
        <f>IFERROR((IF($C74 = "","",INDEX(レシピ一覧!P:P,MATCH(使用レシピ!$C74,レシピ一覧!$A:$A,0)))&amp;"")*1,"")</f>
        <v>1</v>
      </c>
    </row>
    <row r="75" spans="1:17" x14ac:dyDescent="0.4">
      <c r="A75" s="34">
        <v>1</v>
      </c>
      <c r="B75" s="12">
        <f>IF(E75="","",COUNTIF(レシピ一覧!$D$2:$D$500,使用レシピ!E75))</f>
        <v>1</v>
      </c>
      <c r="C75" s="18" t="str">
        <f t="shared" si="1"/>
        <v>7401</v>
      </c>
      <c r="D75" s="31">
        <f>IF(COUNTIF(レシピ一覧!$B:$B,ROW()-1),ROW()-1,"")</f>
        <v>74</v>
      </c>
      <c r="E75" s="27" t="str">
        <f>IFERROR( INDEX(レシピ一覧!$D:$D,MATCH(使用レシピ!$D75,レシピ一覧!$B:$B,0))&amp;"","")</f>
        <v>菌糸</v>
      </c>
      <c r="F75" s="12" t="str">
        <f>IF($C75 = "","",INDEX(レシピ一覧!E:E,MATCH(使用レシピ!$C75,レシピ一覧!$A:$A,0))) &amp;""</f>
        <v/>
      </c>
      <c r="G75" s="12" t="str">
        <f>IF($C75 = "","",INDEX(レシピ一覧!F:F,MATCH(使用レシピ!$C75,レシピ一覧!$A:$A,0))) &amp;""</f>
        <v/>
      </c>
      <c r="H75" s="12" t="str">
        <f>IF($C75 = "","",INDEX(レシピ一覧!G:G,MATCH(使用レシピ!$C75,レシピ一覧!$A:$A,0))) &amp;""</f>
        <v/>
      </c>
      <c r="I75" s="12" t="str">
        <f>IF($C75 = "","",INDEX(レシピ一覧!H:H,MATCH(使用レシピ!$C75,レシピ一覧!$A:$A,0))) &amp;""</f>
        <v/>
      </c>
      <c r="J75" s="12" t="str">
        <f>IF($C75 = "","",INDEX(レシピ一覧!I:I,MATCH(使用レシピ!$C75,レシピ一覧!$A:$A,0))) &amp;""</f>
        <v/>
      </c>
      <c r="K75" s="12" t="str">
        <f>IFERROR((IF($C75 = "","",INDEX(レシピ一覧!J:J,MATCH(使用レシピ!$C75,レシピ一覧!$A:$A,0)))&amp;"")*1,"")</f>
        <v/>
      </c>
      <c r="L75" s="12" t="str">
        <f>IFERROR((IF($C75 = "","",INDEX(レシピ一覧!K:K,MATCH(使用レシピ!$C75,レシピ一覧!$A:$A,0)))&amp;"")*1,"")</f>
        <v/>
      </c>
      <c r="M75" s="12" t="str">
        <f>IFERROR((IF($C75 = "","",INDEX(レシピ一覧!L:L,MATCH(使用レシピ!$C75,レシピ一覧!$A:$A,0)))&amp;"")*1,"")</f>
        <v/>
      </c>
      <c r="N75" s="12" t="str">
        <f>IFERROR((IF($C75 = "","",INDEX(レシピ一覧!M:M,MATCH(使用レシピ!$C75,レシピ一覧!$A:$A,0)))&amp;"")*1,"")</f>
        <v/>
      </c>
      <c r="O75" s="12" t="str">
        <f>IFERROR((IF($C75 = "","",INDEX(レシピ一覧!N:N,MATCH(使用レシピ!$C75,レシピ一覧!$A:$A,0)))&amp;"")*1,"")</f>
        <v/>
      </c>
      <c r="P75" s="12">
        <f>IFERROR((IF($C75 = "","",INDEX(レシピ一覧!O:O,MATCH(使用レシピ!$C75,レシピ一覧!$A:$A,0)))&amp;"")*1,"")</f>
        <v>1</v>
      </c>
      <c r="Q75" s="35">
        <f>IFERROR((IF($C75 = "","",INDEX(レシピ一覧!P:P,MATCH(使用レシピ!$C75,レシピ一覧!$A:$A,0)))&amp;"")*1,"")</f>
        <v>1</v>
      </c>
    </row>
    <row r="76" spans="1:17" x14ac:dyDescent="0.4">
      <c r="A76" s="34">
        <v>1</v>
      </c>
      <c r="B76" s="12">
        <f>IF(E76="","",COUNTIF(レシピ一覧!$D$2:$D$500,使用レシピ!E76))</f>
        <v>2</v>
      </c>
      <c r="C76" s="18" t="str">
        <f t="shared" si="1"/>
        <v>7501</v>
      </c>
      <c r="D76" s="31">
        <f>IF(COUNTIF(レシピ一覧!$B:$B,ROW()-1),ROW()-1,"")</f>
        <v>75</v>
      </c>
      <c r="E76" s="27" t="str">
        <f>IFERROR( INDEX(レシピ一覧!$D:$D,MATCH(使用レシピ!$D76,レシピ一覧!$B:$B,0))&amp;"","")</f>
        <v>布地</v>
      </c>
      <c r="F76" s="12" t="str">
        <f>IF($C76 = "","",INDEX(レシピ一覧!E:E,MATCH(使用レシピ!$C76,レシピ一覧!$A:$A,0))) &amp;""</f>
        <v>菌糸</v>
      </c>
      <c r="G76" s="12" t="str">
        <f>IF($C76 = "","",INDEX(レシピ一覧!F:F,MATCH(使用レシピ!$C76,レシピ一覧!$A:$A,0))) &amp;""</f>
        <v>バイオマス</v>
      </c>
      <c r="H76" s="12" t="str">
        <f>IF($C76 = "","",INDEX(レシピ一覧!G:G,MATCH(使用レシピ!$C76,レシピ一覧!$A:$A,0))) &amp;""</f>
        <v/>
      </c>
      <c r="I76" s="12" t="str">
        <f>IF($C76 = "","",INDEX(レシピ一覧!H:H,MATCH(使用レシピ!$C76,レシピ一覧!$A:$A,0))) &amp;""</f>
        <v/>
      </c>
      <c r="J76" s="12" t="str">
        <f>IF($C76 = "","",INDEX(レシピ一覧!I:I,MATCH(使用レシピ!$C76,レシピ一覧!$A:$A,0))) &amp;""</f>
        <v/>
      </c>
      <c r="K76" s="12">
        <f>IFERROR((IF($C76 = "","",INDEX(レシピ一覧!J:J,MATCH(使用レシピ!$C76,レシピ一覧!$A:$A,0)))&amp;"")*1,"")</f>
        <v>1</v>
      </c>
      <c r="L76" s="12">
        <f>IFERROR((IF($C76 = "","",INDEX(レシピ一覧!K:K,MATCH(使用レシピ!$C76,レシピ一覧!$A:$A,0)))&amp;"")*1,"")</f>
        <v>5</v>
      </c>
      <c r="M76" s="12" t="str">
        <f>IFERROR((IF($C76 = "","",INDEX(レシピ一覧!L:L,MATCH(使用レシピ!$C76,レシピ一覧!$A:$A,0)))&amp;"")*1,"")</f>
        <v/>
      </c>
      <c r="N76" s="12" t="str">
        <f>IFERROR((IF($C76 = "","",INDEX(レシピ一覧!M:M,MATCH(使用レシピ!$C76,レシピ一覧!$A:$A,0)))&amp;"")*1,"")</f>
        <v/>
      </c>
      <c r="O76" s="12" t="str">
        <f>IFERROR((IF($C76 = "","",INDEX(レシピ一覧!N:N,MATCH(使用レシピ!$C76,レシピ一覧!$A:$A,0)))&amp;"")*1,"")</f>
        <v/>
      </c>
      <c r="P76" s="12">
        <f>IFERROR((IF($C76 = "","",INDEX(レシピ一覧!O:O,MATCH(使用レシピ!$C76,レシピ一覧!$A:$A,0)))&amp;"")*1,"")</f>
        <v>1</v>
      </c>
      <c r="Q76" s="35">
        <f>IFERROR((IF($C76 = "","",INDEX(レシピ一覧!P:P,MATCH(使用レシピ!$C76,レシピ一覧!$A:$A,0)))&amp;"")*1,"")</f>
        <v>15</v>
      </c>
    </row>
    <row r="77" spans="1:17" x14ac:dyDescent="0.4">
      <c r="A77" s="34">
        <v>1</v>
      </c>
      <c r="B77" s="12">
        <f>IF(E77="","",COUNTIF(レシピ一覧!$D$2:$D$500,使用レシピ!E77))</f>
        <v>1</v>
      </c>
      <c r="C77" s="18" t="str">
        <f t="shared" si="1"/>
        <v>7601</v>
      </c>
      <c r="D77" s="31">
        <f>IF(COUNTIF(レシピ一覧!$B:$B,ROW()-1),ROW()-1,"")</f>
        <v>76</v>
      </c>
      <c r="E77" s="27" t="str">
        <f>IFERROR( INDEX(レシピ一覧!$D:$D,MATCH(使用レシピ!$D77,レシピ一覧!$B:$B,0))&amp;"","")</f>
        <v>ガスフィルター</v>
      </c>
      <c r="F77" s="12" t="str">
        <f>IF($C77 = "","",INDEX(レシピ一覧!E:E,MATCH(使用レシピ!$C77,レシピ一覧!$A:$A,0))) &amp;""</f>
        <v>布地</v>
      </c>
      <c r="G77" s="12" t="str">
        <f>IF($C77 = "","",INDEX(レシピ一覧!F:F,MATCH(使用レシピ!$C77,レシピ一覧!$A:$A,0))) &amp;""</f>
        <v>石炭</v>
      </c>
      <c r="H77" s="12" t="str">
        <f>IF($C77 = "","",INDEX(レシピ一覧!G:G,MATCH(使用レシピ!$C77,レシピ一覧!$A:$A,0))) &amp;""</f>
        <v>鉄板</v>
      </c>
      <c r="I77" s="12" t="str">
        <f>IF($C77 = "","",INDEX(レシピ一覧!H:H,MATCH(使用レシピ!$C77,レシピ一覧!$A:$A,0))) &amp;""</f>
        <v/>
      </c>
      <c r="J77" s="12" t="str">
        <f>IF($C77 = "","",INDEX(レシピ一覧!I:I,MATCH(使用レシピ!$C77,レシピ一覧!$A:$A,0))) &amp;""</f>
        <v/>
      </c>
      <c r="K77" s="12">
        <f>IFERROR((IF($C77 = "","",INDEX(レシピ一覧!J:J,MATCH(使用レシピ!$C77,レシピ一覧!$A:$A,0)))&amp;"")*1,"")</f>
        <v>2</v>
      </c>
      <c r="L77" s="12">
        <f>IFERROR((IF($C77 = "","",INDEX(レシピ一覧!K:K,MATCH(使用レシピ!$C77,レシピ一覧!$A:$A,0)))&amp;"")*1,"")</f>
        <v>4</v>
      </c>
      <c r="M77" s="12">
        <f>IFERROR((IF($C77 = "","",INDEX(レシピ一覧!L:L,MATCH(使用レシピ!$C77,レシピ一覧!$A:$A,0)))&amp;"")*1,"")</f>
        <v>2</v>
      </c>
      <c r="N77" s="12" t="str">
        <f>IFERROR((IF($C77 = "","",INDEX(レシピ一覧!M:M,MATCH(使用レシピ!$C77,レシピ一覧!$A:$A,0)))&amp;"")*1,"")</f>
        <v/>
      </c>
      <c r="O77" s="12" t="str">
        <f>IFERROR((IF($C77 = "","",INDEX(レシピ一覧!N:N,MATCH(使用レシピ!$C77,レシピ一覧!$A:$A,0)))&amp;"")*1,"")</f>
        <v/>
      </c>
      <c r="P77" s="12">
        <f>IFERROR((IF($C77 = "","",INDEX(レシピ一覧!O:O,MATCH(使用レシピ!$C77,レシピ一覧!$A:$A,0)))&amp;"")*1,"")</f>
        <v>1</v>
      </c>
      <c r="Q77" s="35">
        <f>IFERROR((IF($C77 = "","",INDEX(レシピ一覧!P:P,MATCH(使用レシピ!$C77,レシピ一覧!$A:$A,0)))&amp;"")*1,"")</f>
        <v>7.5</v>
      </c>
    </row>
    <row r="78" spans="1:17" x14ac:dyDescent="0.4">
      <c r="A78" s="34">
        <v>1</v>
      </c>
      <c r="B78" s="12">
        <f>IF(E78="","",COUNTIF(レシピ一覧!$D$2:$D$500,使用レシピ!E78))</f>
        <v>1</v>
      </c>
      <c r="C78" s="18" t="str">
        <f t="shared" si="1"/>
        <v>7701</v>
      </c>
      <c r="D78" s="31">
        <f>IF(COUNTIF(レシピ一覧!$B:$B,ROW()-1),ROW()-1,"")</f>
        <v>77</v>
      </c>
      <c r="E78" s="27" t="str">
        <f>IFERROR( INDEX(レシピ一覧!$D:$D,MATCH(使用レシピ!$D78,レシピ一覧!$B:$B,0))&amp;"","")</f>
        <v>エイリアンのDNAカプセル</v>
      </c>
      <c r="F78" s="12" t="str">
        <f>IF($C78 = "","",INDEX(レシピ一覧!E:E,MATCH(使用レシピ!$C78,レシピ一覧!$A:$A,0))) &amp;""</f>
        <v>エイリアンのタンパク質</v>
      </c>
      <c r="G78" s="12" t="str">
        <f>IF($C78 = "","",INDEX(レシピ一覧!F:F,MATCH(使用レシピ!$C78,レシピ一覧!$A:$A,0))) &amp;""</f>
        <v/>
      </c>
      <c r="H78" s="12" t="str">
        <f>IF($C78 = "","",INDEX(レシピ一覧!G:G,MATCH(使用レシピ!$C78,レシピ一覧!$A:$A,0))) &amp;""</f>
        <v/>
      </c>
      <c r="I78" s="12" t="str">
        <f>IF($C78 = "","",INDEX(レシピ一覧!H:H,MATCH(使用レシピ!$C78,レシピ一覧!$A:$A,0))) &amp;""</f>
        <v/>
      </c>
      <c r="J78" s="12" t="str">
        <f>IF($C78 = "","",INDEX(レシピ一覧!I:I,MATCH(使用レシピ!$C78,レシピ一覧!$A:$A,0))) &amp;""</f>
        <v/>
      </c>
      <c r="K78" s="12">
        <f>IFERROR((IF($C78 = "","",INDEX(レシピ一覧!J:J,MATCH(使用レシピ!$C78,レシピ一覧!$A:$A,0)))&amp;"")*1,"")</f>
        <v>1</v>
      </c>
      <c r="L78" s="12" t="str">
        <f>IFERROR((IF($C78 = "","",INDEX(レシピ一覧!K:K,MATCH(使用レシピ!$C78,レシピ一覧!$A:$A,0)))&amp;"")*1,"")</f>
        <v/>
      </c>
      <c r="M78" s="12" t="str">
        <f>IFERROR((IF($C78 = "","",INDEX(レシピ一覧!L:L,MATCH(使用レシピ!$C78,レシピ一覧!$A:$A,0)))&amp;"")*1,"")</f>
        <v/>
      </c>
      <c r="N78" s="12" t="str">
        <f>IFERROR((IF($C78 = "","",INDEX(レシピ一覧!M:M,MATCH(使用レシピ!$C78,レシピ一覧!$A:$A,0)))&amp;"")*1,"")</f>
        <v/>
      </c>
      <c r="O78" s="12" t="str">
        <f>IFERROR((IF($C78 = "","",INDEX(レシピ一覧!N:N,MATCH(使用レシピ!$C78,レシピ一覧!$A:$A,0)))&amp;"")*1,"")</f>
        <v/>
      </c>
      <c r="P78" s="12">
        <f>IFERROR((IF($C78 = "","",INDEX(レシピ一覧!O:O,MATCH(使用レシピ!$C78,レシピ一覧!$A:$A,0)))&amp;"")*1,"")</f>
        <v>1</v>
      </c>
      <c r="Q78" s="35">
        <f>IFERROR((IF($C78 = "","",INDEX(レシピ一覧!P:P,MATCH(使用レシピ!$C78,レシピ一覧!$A:$A,0)))&amp;"")*1,"")</f>
        <v>10</v>
      </c>
    </row>
    <row r="79" spans="1:17" x14ac:dyDescent="0.4">
      <c r="A79" s="34">
        <v>1</v>
      </c>
      <c r="B79" s="12">
        <f>IF(E79="","",COUNTIF(レシピ一覧!$D$2:$D$500,使用レシピ!E79))</f>
        <v>2</v>
      </c>
      <c r="C79" s="18" t="str">
        <f t="shared" si="1"/>
        <v>7801</v>
      </c>
      <c r="D79" s="31">
        <f>IF(COUNTIF(レシピ一覧!$B:$B,ROW()-1),ROW()-1,"")</f>
        <v>78</v>
      </c>
      <c r="E79" s="27" t="str">
        <f>IFERROR( INDEX(レシピ一覧!$D:$D,MATCH(使用レシピ!$D79,レシピ一覧!$B:$B,0))&amp;"","")</f>
        <v>高速コネクター</v>
      </c>
      <c r="F79" s="12" t="str">
        <f>IF($C79 = "","",INDEX(レシピ一覧!E:E,MATCH(使用レシピ!$C79,レシピ一覧!$A:$A,0))) &amp;""</f>
        <v>クイックワイヤー</v>
      </c>
      <c r="G79" s="12" t="str">
        <f>IF($C79 = "","",INDEX(レシピ一覧!F:F,MATCH(使用レシピ!$C79,レシピ一覧!$A:$A,0))) &amp;""</f>
        <v>ケーブル</v>
      </c>
      <c r="H79" s="12" t="str">
        <f>IF($C79 = "","",INDEX(レシピ一覧!G:G,MATCH(使用レシピ!$C79,レシピ一覧!$A:$A,0))) &amp;""</f>
        <v>回路基板</v>
      </c>
      <c r="I79" s="12" t="str">
        <f>IF($C79 = "","",INDEX(レシピ一覧!H:H,MATCH(使用レシピ!$C79,レシピ一覧!$A:$A,0))) &amp;""</f>
        <v/>
      </c>
      <c r="J79" s="12" t="str">
        <f>IF($C79 = "","",INDEX(レシピ一覧!I:I,MATCH(使用レシピ!$C79,レシピ一覧!$A:$A,0))) &amp;""</f>
        <v/>
      </c>
      <c r="K79" s="12">
        <f>IFERROR((IF($C79 = "","",INDEX(レシピ一覧!J:J,MATCH(使用レシピ!$C79,レシピ一覧!$A:$A,0)))&amp;"")*1,"")</f>
        <v>56</v>
      </c>
      <c r="L79" s="12">
        <f>IFERROR((IF($C79 = "","",INDEX(レシピ一覧!K:K,MATCH(使用レシピ!$C79,レシピ一覧!$A:$A,0)))&amp;"")*1,"")</f>
        <v>10</v>
      </c>
      <c r="M79" s="12">
        <f>IFERROR((IF($C79 = "","",INDEX(レシピ一覧!L:L,MATCH(使用レシピ!$C79,レシピ一覧!$A:$A,0)))&amp;"")*1,"")</f>
        <v>1</v>
      </c>
      <c r="N79" s="12" t="str">
        <f>IFERROR((IF($C79 = "","",INDEX(レシピ一覧!M:M,MATCH(使用レシピ!$C79,レシピ一覧!$A:$A,0)))&amp;"")*1,"")</f>
        <v/>
      </c>
      <c r="O79" s="12" t="str">
        <f>IFERROR((IF($C79 = "","",INDEX(レシピ一覧!N:N,MATCH(使用レシピ!$C79,レシピ一覧!$A:$A,0)))&amp;"")*1,"")</f>
        <v/>
      </c>
      <c r="P79" s="12">
        <f>IFERROR((IF($C79 = "","",INDEX(レシピ一覧!O:O,MATCH(使用レシピ!$C79,レシピ一覧!$A:$A,0)))&amp;"")*1,"")</f>
        <v>1</v>
      </c>
      <c r="Q79" s="35">
        <f>IFERROR((IF($C79 = "","",INDEX(レシピ一覧!P:P,MATCH(使用レシピ!$C79,レシピ一覧!$A:$A,0)))&amp;"")*1,"")</f>
        <v>3.75</v>
      </c>
    </row>
    <row r="80" spans="1:17" x14ac:dyDescent="0.4">
      <c r="A80" s="34">
        <v>1</v>
      </c>
      <c r="B80" s="12">
        <f>IF(E80="","",COUNTIF(レシピ一覧!$D$2:$D$500,使用レシピ!E80))</f>
        <v>1</v>
      </c>
      <c r="C80" s="18" t="str">
        <f t="shared" si="1"/>
        <v>7901</v>
      </c>
      <c r="D80" s="31">
        <f>IF(COUNTIF(レシピ一覧!$B:$B,ROW()-1),ROW()-1,"")</f>
        <v>79</v>
      </c>
      <c r="E80" s="27" t="str">
        <f>IFERROR( INDEX(レシピ一覧!$D:$D,MATCH(使用レシピ!$D80,レシピ一覧!$B:$B,0))&amp;"","")</f>
        <v>無煙火薬</v>
      </c>
      <c r="F80" s="12" t="str">
        <f>IF($C80 = "","",INDEX(レシピ一覧!E:E,MATCH(使用レシピ!$C80,レシピ一覧!$A:$A,0))) &amp;""</f>
        <v>黒色火薬</v>
      </c>
      <c r="G80" s="12" t="str">
        <f>IF($C80 = "","",INDEX(レシピ一覧!F:F,MATCH(使用レシピ!$C80,レシピ一覧!$A:$A,0))) &amp;""</f>
        <v>廃重油</v>
      </c>
      <c r="H80" s="12" t="str">
        <f>IF($C80 = "","",INDEX(レシピ一覧!G:G,MATCH(使用レシピ!$C80,レシピ一覧!$A:$A,0))) &amp;""</f>
        <v/>
      </c>
      <c r="I80" s="12" t="str">
        <f>IF($C80 = "","",INDEX(レシピ一覧!H:H,MATCH(使用レシピ!$C80,レシピ一覧!$A:$A,0))) &amp;""</f>
        <v/>
      </c>
      <c r="J80" s="12" t="str">
        <f>IF($C80 = "","",INDEX(レシピ一覧!I:I,MATCH(使用レシピ!$C80,レシピ一覧!$A:$A,0))) &amp;""</f>
        <v/>
      </c>
      <c r="K80" s="12">
        <f>IFERROR((IF($C80 = "","",INDEX(レシピ一覧!J:J,MATCH(使用レシピ!$C80,レシピ一覧!$A:$A,0)))&amp;"")*1,"")</f>
        <v>2</v>
      </c>
      <c r="L80" s="12">
        <f>IFERROR((IF($C80 = "","",INDEX(レシピ一覧!K:K,MATCH(使用レシピ!$C80,レシピ一覧!$A:$A,0)))&amp;"")*1,"")</f>
        <v>1</v>
      </c>
      <c r="M80" s="12" t="str">
        <f>IFERROR((IF($C80 = "","",INDEX(レシピ一覧!L:L,MATCH(使用レシピ!$C80,レシピ一覧!$A:$A,0)))&amp;"")*1,"")</f>
        <v/>
      </c>
      <c r="N80" s="12" t="str">
        <f>IFERROR((IF($C80 = "","",INDEX(レシピ一覧!M:M,MATCH(使用レシピ!$C80,レシピ一覧!$A:$A,0)))&amp;"")*1,"")</f>
        <v/>
      </c>
      <c r="O80" s="12" t="str">
        <f>IFERROR((IF($C80 = "","",INDEX(レシピ一覧!N:N,MATCH(使用レシピ!$C80,レシピ一覧!$A:$A,0)))&amp;"")*1,"")</f>
        <v/>
      </c>
      <c r="P80" s="12">
        <f>IFERROR((IF($C80 = "","",INDEX(レシピ一覧!O:O,MATCH(使用レシピ!$C80,レシピ一覧!$A:$A,0)))&amp;"")*1,"")</f>
        <v>2</v>
      </c>
      <c r="Q80" s="35">
        <f>IFERROR((IF($C80 = "","",INDEX(レシピ一覧!P:P,MATCH(使用レシピ!$C80,レシピ一覧!$A:$A,0)))&amp;"")*1,"")</f>
        <v>20</v>
      </c>
    </row>
    <row r="81" spans="1:17" x14ac:dyDescent="0.4">
      <c r="A81" s="34">
        <v>1</v>
      </c>
      <c r="B81" s="12">
        <f>IF(E81="","",COUNTIF(レシピ一覧!$D$2:$D$500,使用レシピ!E81))</f>
        <v>3</v>
      </c>
      <c r="C81" s="18" t="str">
        <f t="shared" si="1"/>
        <v>8001</v>
      </c>
      <c r="D81" s="31">
        <f>IF(COUNTIF(レシピ一覧!$B:$B,ROW()-1),ROW()-1,"")</f>
        <v>80</v>
      </c>
      <c r="E81" s="27" t="str">
        <f>IFERROR( INDEX(レシピ一覧!$D:$D,MATCH(使用レシピ!$D81,レシピ一覧!$B:$B,0))&amp;"","")</f>
        <v>アルミナ溶液</v>
      </c>
      <c r="F81" s="12" t="str">
        <f>IF($C81 = "","",INDEX(レシピ一覧!E:E,MATCH(使用レシピ!$C81,レシピ一覧!$A:$A,0))) &amp;""</f>
        <v>ボーキサイト</v>
      </c>
      <c r="G81" s="12" t="str">
        <f>IF($C81 = "","",INDEX(レシピ一覧!F:F,MATCH(使用レシピ!$C81,レシピ一覧!$A:$A,0))) &amp;""</f>
        <v>水</v>
      </c>
      <c r="H81" s="12" t="str">
        <f>IF($C81 = "","",INDEX(レシピ一覧!G:G,MATCH(使用レシピ!$C81,レシピ一覧!$A:$A,0))) &amp;""</f>
        <v/>
      </c>
      <c r="I81" s="12" t="str">
        <f>IF($C81 = "","",INDEX(レシピ一覧!H:H,MATCH(使用レシピ!$C81,レシピ一覧!$A:$A,0))) &amp;""</f>
        <v/>
      </c>
      <c r="J81" s="12" t="str">
        <f>IF($C81 = "","",INDEX(レシピ一覧!I:I,MATCH(使用レシピ!$C81,レシピ一覧!$A:$A,0))) &amp;""</f>
        <v>シリカ</v>
      </c>
      <c r="K81" s="12">
        <f>IFERROR((IF($C81 = "","",INDEX(レシピ一覧!J:J,MATCH(使用レシピ!$C81,レシピ一覧!$A:$A,0)))&amp;"")*1,"")</f>
        <v>12</v>
      </c>
      <c r="L81" s="12">
        <f>IFERROR((IF($C81 = "","",INDEX(レシピ一覧!K:K,MATCH(使用レシピ!$C81,レシピ一覧!$A:$A,0)))&amp;"")*1,"")</f>
        <v>18</v>
      </c>
      <c r="M81" s="12" t="str">
        <f>IFERROR((IF($C81 = "","",INDEX(レシピ一覧!L:L,MATCH(使用レシピ!$C81,レシピ一覧!$A:$A,0)))&amp;"")*1,"")</f>
        <v/>
      </c>
      <c r="N81" s="12" t="str">
        <f>IFERROR((IF($C81 = "","",INDEX(レシピ一覧!M:M,MATCH(使用レシピ!$C81,レシピ一覧!$A:$A,0)))&amp;"")*1,"")</f>
        <v/>
      </c>
      <c r="O81" s="12">
        <f>IFERROR((IF($C81 = "","",INDEX(レシピ一覧!N:N,MATCH(使用レシピ!$C81,レシピ一覧!$A:$A,0)))&amp;"")*1,"")</f>
        <v>5</v>
      </c>
      <c r="P81" s="12">
        <f>IFERROR((IF($C81 = "","",INDEX(レシピ一覧!O:O,MATCH(使用レシピ!$C81,レシピ一覧!$A:$A,0)))&amp;"")*1,"")</f>
        <v>12</v>
      </c>
      <c r="Q81" s="35">
        <f>IFERROR((IF($C81 = "","",INDEX(レシピ一覧!P:P,MATCH(使用レシピ!$C81,レシピ一覧!$A:$A,0)))&amp;"")*1,"")</f>
        <v>120</v>
      </c>
    </row>
    <row r="82" spans="1:17" x14ac:dyDescent="0.4">
      <c r="A82" s="34">
        <v>1</v>
      </c>
      <c r="B82" s="12">
        <f>IF(E82="","",COUNTIF(レシピ一覧!$D$2:$D$500,使用レシピ!E82))</f>
        <v>3</v>
      </c>
      <c r="C82" s="18" t="str">
        <f t="shared" si="1"/>
        <v>8101</v>
      </c>
      <c r="D82" s="31">
        <f>IF(COUNTIF(レシピ一覧!$B:$B,ROW()-1),ROW()-1,"")</f>
        <v>81</v>
      </c>
      <c r="E82" s="27" t="str">
        <f>IFERROR( INDEX(レシピ一覧!$D:$D,MATCH(使用レシピ!$D82,レシピ一覧!$B:$B,0))&amp;"","")</f>
        <v>ボーキサイト</v>
      </c>
      <c r="F82" s="12" t="str">
        <f>IF($C82 = "","",INDEX(レシピ一覧!E:E,MATCH(使用レシピ!$C82,レシピ一覧!$A:$A,0))) &amp;""</f>
        <v/>
      </c>
      <c r="G82" s="12" t="str">
        <f>IF($C82 = "","",INDEX(レシピ一覧!F:F,MATCH(使用レシピ!$C82,レシピ一覧!$A:$A,0))) &amp;""</f>
        <v/>
      </c>
      <c r="H82" s="12" t="str">
        <f>IF($C82 = "","",INDEX(レシピ一覧!G:G,MATCH(使用レシピ!$C82,レシピ一覧!$A:$A,0))) &amp;""</f>
        <v/>
      </c>
      <c r="I82" s="12" t="str">
        <f>IF($C82 = "","",INDEX(レシピ一覧!H:H,MATCH(使用レシピ!$C82,レシピ一覧!$A:$A,0))) &amp;""</f>
        <v/>
      </c>
      <c r="J82" s="12" t="str">
        <f>IF($C82 = "","",INDEX(レシピ一覧!I:I,MATCH(使用レシピ!$C82,レシピ一覧!$A:$A,0))) &amp;""</f>
        <v/>
      </c>
      <c r="K82" s="12" t="str">
        <f>IFERROR((IF($C82 = "","",INDEX(レシピ一覧!J:J,MATCH(使用レシピ!$C82,レシピ一覧!$A:$A,0)))&amp;"")*1,"")</f>
        <v/>
      </c>
      <c r="L82" s="12" t="str">
        <f>IFERROR((IF($C82 = "","",INDEX(レシピ一覧!K:K,MATCH(使用レシピ!$C82,レシピ一覧!$A:$A,0)))&amp;"")*1,"")</f>
        <v/>
      </c>
      <c r="M82" s="12" t="str">
        <f>IFERROR((IF($C82 = "","",INDEX(レシピ一覧!L:L,MATCH(使用レシピ!$C82,レシピ一覧!$A:$A,0)))&amp;"")*1,"")</f>
        <v/>
      </c>
      <c r="N82" s="12" t="str">
        <f>IFERROR((IF($C82 = "","",INDEX(レシピ一覧!M:M,MATCH(使用レシピ!$C82,レシピ一覧!$A:$A,0)))&amp;"")*1,"")</f>
        <v/>
      </c>
      <c r="O82" s="12" t="str">
        <f>IFERROR((IF($C82 = "","",INDEX(レシピ一覧!N:N,MATCH(使用レシピ!$C82,レシピ一覧!$A:$A,0)))&amp;"")*1,"")</f>
        <v/>
      </c>
      <c r="P82" s="12">
        <f>IFERROR((IF($C82 = "","",INDEX(レシピ一覧!O:O,MATCH(使用レシピ!$C82,レシピ一覧!$A:$A,0)))&amp;"")*1,"")</f>
        <v>1</v>
      </c>
      <c r="Q82" s="35">
        <f>IFERROR((IF($C82 = "","",INDEX(レシピ一覧!P:P,MATCH(使用レシピ!$C82,レシピ一覧!$A:$A,0)))&amp;"")*1,"")</f>
        <v>1200</v>
      </c>
    </row>
    <row r="83" spans="1:17" x14ac:dyDescent="0.4">
      <c r="A83" s="34">
        <v>1</v>
      </c>
      <c r="B83" s="12">
        <f>IF(E83="","",COUNTIF(レシピ一覧!$D$2:$D$500,使用レシピ!E83))</f>
        <v>1</v>
      </c>
      <c r="C83" s="18" t="str">
        <f t="shared" si="1"/>
        <v>8201</v>
      </c>
      <c r="D83" s="31">
        <f>IF(COUNTIF(レシピ一覧!$B:$B,ROW()-1),ROW()-1,"")</f>
        <v>82</v>
      </c>
      <c r="E83" s="27" t="str">
        <f>IFERROR( INDEX(レシピ一覧!$D:$D,MATCH(使用レシピ!$D83,レシピ一覧!$B:$B,0))&amp;"","")</f>
        <v>包装済みアルミナ溶液</v>
      </c>
      <c r="F83" s="12" t="str">
        <f>IF($C83 = "","",INDEX(レシピ一覧!E:E,MATCH(使用レシピ!$C83,レシピ一覧!$A:$A,0))) &amp;""</f>
        <v>空の容器</v>
      </c>
      <c r="G83" s="12" t="str">
        <f>IF($C83 = "","",INDEX(レシピ一覧!F:F,MATCH(使用レシピ!$C83,レシピ一覧!$A:$A,0))) &amp;""</f>
        <v>アルミナ溶液</v>
      </c>
      <c r="H83" s="12" t="str">
        <f>IF($C83 = "","",INDEX(レシピ一覧!G:G,MATCH(使用レシピ!$C83,レシピ一覧!$A:$A,0))) &amp;""</f>
        <v/>
      </c>
      <c r="I83" s="12" t="str">
        <f>IF($C83 = "","",INDEX(レシピ一覧!H:H,MATCH(使用レシピ!$C83,レシピ一覧!$A:$A,0))) &amp;""</f>
        <v/>
      </c>
      <c r="J83" s="12" t="str">
        <f>IF($C83 = "","",INDEX(レシピ一覧!I:I,MATCH(使用レシピ!$C83,レシピ一覧!$A:$A,0))) &amp;""</f>
        <v/>
      </c>
      <c r="K83" s="12">
        <f>IFERROR((IF($C83 = "","",INDEX(レシピ一覧!J:J,MATCH(使用レシピ!$C83,レシピ一覧!$A:$A,0)))&amp;"")*1,"")</f>
        <v>2</v>
      </c>
      <c r="L83" s="12">
        <f>IFERROR((IF($C83 = "","",INDEX(レシピ一覧!K:K,MATCH(使用レシピ!$C83,レシピ一覧!$A:$A,0)))&amp;"")*1,"")</f>
        <v>2</v>
      </c>
      <c r="M83" s="12" t="str">
        <f>IFERROR((IF($C83 = "","",INDEX(レシピ一覧!L:L,MATCH(使用レシピ!$C83,レシピ一覧!$A:$A,0)))&amp;"")*1,"")</f>
        <v/>
      </c>
      <c r="N83" s="12" t="str">
        <f>IFERROR((IF($C83 = "","",INDEX(レシピ一覧!M:M,MATCH(使用レシピ!$C83,レシピ一覧!$A:$A,0)))&amp;"")*1,"")</f>
        <v/>
      </c>
      <c r="O83" s="12" t="str">
        <f>IFERROR((IF($C83 = "","",INDEX(レシピ一覧!N:N,MATCH(使用レシピ!$C83,レシピ一覧!$A:$A,0)))&amp;"")*1,"")</f>
        <v/>
      </c>
      <c r="P83" s="12">
        <f>IFERROR((IF($C83 = "","",INDEX(レシピ一覧!O:O,MATCH(使用レシピ!$C83,レシピ一覧!$A:$A,0)))&amp;"")*1,"")</f>
        <v>2</v>
      </c>
      <c r="Q83" s="35">
        <f>IFERROR((IF($C83 = "","",INDEX(レシピ一覧!P:P,MATCH(使用レシピ!$C83,レシピ一覧!$A:$A,0)))&amp;"")*1,"")</f>
        <v>120</v>
      </c>
    </row>
    <row r="84" spans="1:17" x14ac:dyDescent="0.4">
      <c r="A84" s="34">
        <v>1</v>
      </c>
      <c r="B84" s="12">
        <f>IF(E84="","",COUNTIF(レシピ一覧!$D$2:$D$500,使用レシピ!E84))</f>
        <v>3</v>
      </c>
      <c r="C84" s="18" t="str">
        <f t="shared" si="1"/>
        <v>8301</v>
      </c>
      <c r="D84" s="31">
        <f>IF(COUNTIF(レシピ一覧!$B:$B,ROW()-1),ROW()-1,"")</f>
        <v>83</v>
      </c>
      <c r="E84" s="27" t="str">
        <f>IFERROR( INDEX(レシピ一覧!$D:$D,MATCH(使用レシピ!$D84,レシピ一覧!$B:$B,0))&amp;"","")</f>
        <v>アルミのスクラップ</v>
      </c>
      <c r="F84" s="12" t="str">
        <f>IF($C84 = "","",INDEX(レシピ一覧!E:E,MATCH(使用レシピ!$C84,レシピ一覧!$A:$A,0))) &amp;""</f>
        <v>アルミナ溶液</v>
      </c>
      <c r="G84" s="12" t="str">
        <f>IF($C84 = "","",INDEX(レシピ一覧!F:F,MATCH(使用レシピ!$C84,レシピ一覧!$A:$A,0))) &amp;""</f>
        <v>石炭</v>
      </c>
      <c r="H84" s="12" t="str">
        <f>IF($C84 = "","",INDEX(レシピ一覧!G:G,MATCH(使用レシピ!$C84,レシピ一覧!$A:$A,0))) &amp;""</f>
        <v/>
      </c>
      <c r="I84" s="12" t="str">
        <f>IF($C84 = "","",INDEX(レシピ一覧!H:H,MATCH(使用レシピ!$C84,レシピ一覧!$A:$A,0))) &amp;""</f>
        <v/>
      </c>
      <c r="J84" s="12" t="str">
        <f>IF($C84 = "","",INDEX(レシピ一覧!I:I,MATCH(使用レシピ!$C84,レシピ一覧!$A:$A,0))) &amp;""</f>
        <v>水</v>
      </c>
      <c r="K84" s="12">
        <f>IFERROR((IF($C84 = "","",INDEX(レシピ一覧!J:J,MATCH(使用レシピ!$C84,レシピ一覧!$A:$A,0)))&amp;"")*1,"")</f>
        <v>4</v>
      </c>
      <c r="L84" s="12">
        <f>IFERROR((IF($C84 = "","",INDEX(レシピ一覧!K:K,MATCH(使用レシピ!$C84,レシピ一覧!$A:$A,0)))&amp;"")*1,"")</f>
        <v>2</v>
      </c>
      <c r="M84" s="12" t="str">
        <f>IFERROR((IF($C84 = "","",INDEX(レシピ一覧!L:L,MATCH(使用レシピ!$C84,レシピ一覧!$A:$A,0)))&amp;"")*1,"")</f>
        <v/>
      </c>
      <c r="N84" s="12" t="str">
        <f>IFERROR((IF($C84 = "","",INDEX(レシピ一覧!M:M,MATCH(使用レシピ!$C84,レシピ一覧!$A:$A,0)))&amp;"")*1,"")</f>
        <v/>
      </c>
      <c r="O84" s="12">
        <f>IFERROR((IF($C84 = "","",INDEX(レシピ一覧!N:N,MATCH(使用レシピ!$C84,レシピ一覧!$A:$A,0)))&amp;"")*1,"")</f>
        <v>2</v>
      </c>
      <c r="P84" s="12">
        <f>IFERROR((IF($C84 = "","",INDEX(レシピ一覧!O:O,MATCH(使用レシピ!$C84,レシピ一覧!$A:$A,0)))&amp;"")*1,"")</f>
        <v>6</v>
      </c>
      <c r="Q84" s="35">
        <f>IFERROR((IF($C84 = "","",INDEX(レシピ一覧!P:P,MATCH(使用レシピ!$C84,レシピ一覧!$A:$A,0)))&amp;"")*1,"")</f>
        <v>360</v>
      </c>
    </row>
    <row r="85" spans="1:17" x14ac:dyDescent="0.4">
      <c r="A85" s="34">
        <v>1</v>
      </c>
      <c r="B85" s="12">
        <f>IF(E85="","",COUNTIF(レシピ一覧!$D$2:$D$500,使用レシピ!E85))</f>
        <v>2</v>
      </c>
      <c r="C85" s="18" t="str">
        <f t="shared" si="1"/>
        <v>8401</v>
      </c>
      <c r="D85" s="31">
        <f>IF(COUNTIF(レシピ一覧!$B:$B,ROW()-1),ROW()-1,"")</f>
        <v>84</v>
      </c>
      <c r="E85" s="27" t="str">
        <f>IFERROR( INDEX(レシピ一覧!$D:$D,MATCH(使用レシピ!$D85,レシピ一覧!$B:$B,0))&amp;"","")</f>
        <v>アルミのインゴット</v>
      </c>
      <c r="F85" s="12" t="str">
        <f>IF($C85 = "","",INDEX(レシピ一覧!E:E,MATCH(使用レシピ!$C85,レシピ一覧!$A:$A,0))) &amp;""</f>
        <v>アルミのスクラップ</v>
      </c>
      <c r="G85" s="12" t="str">
        <f>IF($C85 = "","",INDEX(レシピ一覧!F:F,MATCH(使用レシピ!$C85,レシピ一覧!$A:$A,0))) &amp;""</f>
        <v>シリカ</v>
      </c>
      <c r="H85" s="12" t="str">
        <f>IF($C85 = "","",INDEX(レシピ一覧!G:G,MATCH(使用レシピ!$C85,レシピ一覧!$A:$A,0))) &amp;""</f>
        <v/>
      </c>
      <c r="I85" s="12" t="str">
        <f>IF($C85 = "","",INDEX(レシピ一覧!H:H,MATCH(使用レシピ!$C85,レシピ一覧!$A:$A,0))) &amp;""</f>
        <v/>
      </c>
      <c r="J85" s="12" t="str">
        <f>IF($C85 = "","",INDEX(レシピ一覧!I:I,MATCH(使用レシピ!$C85,レシピ一覧!$A:$A,0))) &amp;""</f>
        <v/>
      </c>
      <c r="K85" s="12">
        <f>IFERROR((IF($C85 = "","",INDEX(レシピ一覧!J:J,MATCH(使用レシピ!$C85,レシピ一覧!$A:$A,0)))&amp;"")*1,"")</f>
        <v>6</v>
      </c>
      <c r="L85" s="12">
        <f>IFERROR((IF($C85 = "","",INDEX(レシピ一覧!K:K,MATCH(使用レシピ!$C85,レシピ一覧!$A:$A,0)))&amp;"")*1,"")</f>
        <v>5</v>
      </c>
      <c r="M85" s="12" t="str">
        <f>IFERROR((IF($C85 = "","",INDEX(レシピ一覧!L:L,MATCH(使用レシピ!$C85,レシピ一覧!$A:$A,0)))&amp;"")*1,"")</f>
        <v/>
      </c>
      <c r="N85" s="12" t="str">
        <f>IFERROR((IF($C85 = "","",INDEX(レシピ一覧!M:M,MATCH(使用レシピ!$C85,レシピ一覧!$A:$A,0)))&amp;"")*1,"")</f>
        <v/>
      </c>
      <c r="O85" s="12" t="str">
        <f>IFERROR((IF($C85 = "","",INDEX(レシピ一覧!N:N,MATCH(使用レシピ!$C85,レシピ一覧!$A:$A,0)))&amp;"")*1,"")</f>
        <v/>
      </c>
      <c r="P85" s="12">
        <f>IFERROR((IF($C85 = "","",INDEX(レシピ一覧!O:O,MATCH(使用レシピ!$C85,レシピ一覧!$A:$A,0)))&amp;"")*1,"")</f>
        <v>4</v>
      </c>
      <c r="Q85" s="35">
        <f>IFERROR((IF($C85 = "","",INDEX(レシピ一覧!P:P,MATCH(使用レシピ!$C85,レシピ一覧!$A:$A,0)))&amp;"")*1,"")</f>
        <v>60</v>
      </c>
    </row>
    <row r="86" spans="1:17" x14ac:dyDescent="0.4">
      <c r="A86" s="34">
        <v>1</v>
      </c>
      <c r="B86" s="12">
        <f>IF(E86="","",COUNTIF(レシピ一覧!$D$2:$D$500,使用レシピ!E86))</f>
        <v>1</v>
      </c>
      <c r="C86" s="18" t="str">
        <f t="shared" si="1"/>
        <v>8501</v>
      </c>
      <c r="D86" s="31">
        <f>IF(COUNTIF(レシピ一覧!$B:$B,ROW()-1),ROW()-1,"")</f>
        <v>85</v>
      </c>
      <c r="E86" s="27" t="str">
        <f>IFERROR( INDEX(レシピ一覧!$D:$D,MATCH(使用レシピ!$D86,レシピ一覧!$B:$B,0))&amp;"","")</f>
        <v>アルクラッド・アルミシート</v>
      </c>
      <c r="F86" s="12" t="str">
        <f>IF($C86 = "","",INDEX(レシピ一覧!E:E,MATCH(使用レシピ!$C86,レシピ一覧!$A:$A,0))) &amp;""</f>
        <v>アルミのインゴット</v>
      </c>
      <c r="G86" s="12" t="str">
        <f>IF($C86 = "","",INDEX(レシピ一覧!F:F,MATCH(使用レシピ!$C86,レシピ一覧!$A:$A,0))) &amp;""</f>
        <v>銅のインゴット</v>
      </c>
      <c r="H86" s="12" t="str">
        <f>IF($C86 = "","",INDEX(レシピ一覧!G:G,MATCH(使用レシピ!$C86,レシピ一覧!$A:$A,0))) &amp;""</f>
        <v/>
      </c>
      <c r="I86" s="12" t="str">
        <f>IF($C86 = "","",INDEX(レシピ一覧!H:H,MATCH(使用レシピ!$C86,レシピ一覧!$A:$A,0))) &amp;""</f>
        <v/>
      </c>
      <c r="J86" s="12" t="str">
        <f>IF($C86 = "","",INDEX(レシピ一覧!I:I,MATCH(使用レシピ!$C86,レシピ一覧!$A:$A,0))) &amp;""</f>
        <v/>
      </c>
      <c r="K86" s="12">
        <f>IFERROR((IF($C86 = "","",INDEX(レシピ一覧!J:J,MATCH(使用レシピ!$C86,レシピ一覧!$A:$A,0)))&amp;"")*1,"")</f>
        <v>3</v>
      </c>
      <c r="L86" s="12">
        <f>IFERROR((IF($C86 = "","",INDEX(レシピ一覧!K:K,MATCH(使用レシピ!$C86,レシピ一覧!$A:$A,0)))&amp;"")*1,"")</f>
        <v>1</v>
      </c>
      <c r="M86" s="12" t="str">
        <f>IFERROR((IF($C86 = "","",INDEX(レシピ一覧!L:L,MATCH(使用レシピ!$C86,レシピ一覧!$A:$A,0)))&amp;"")*1,"")</f>
        <v/>
      </c>
      <c r="N86" s="12" t="str">
        <f>IFERROR((IF($C86 = "","",INDEX(レシピ一覧!M:M,MATCH(使用レシピ!$C86,レシピ一覧!$A:$A,0)))&amp;"")*1,"")</f>
        <v/>
      </c>
      <c r="O86" s="12" t="str">
        <f>IFERROR((IF($C86 = "","",INDEX(レシピ一覧!N:N,MATCH(使用レシピ!$C86,レシピ一覧!$A:$A,0)))&amp;"")*1,"")</f>
        <v/>
      </c>
      <c r="P86" s="12">
        <f>IFERROR((IF($C86 = "","",INDEX(レシピ一覧!O:O,MATCH(使用レシピ!$C86,レシピ一覧!$A:$A,0)))&amp;"")*1,"")</f>
        <v>3</v>
      </c>
      <c r="Q86" s="35">
        <f>IFERROR((IF($C86 = "","",INDEX(レシピ一覧!P:P,MATCH(使用レシピ!$C86,レシピ一覧!$A:$A,0)))&amp;"")*1,"")</f>
        <v>30</v>
      </c>
    </row>
    <row r="87" spans="1:17" x14ac:dyDescent="0.4">
      <c r="A87" s="34">
        <v>1</v>
      </c>
      <c r="B87" s="12">
        <f>IF(E87="","",COUNTIF(レシピ一覧!$D$2:$D$500,使用レシピ!E87))</f>
        <v>2</v>
      </c>
      <c r="C87" s="18" t="str">
        <f t="shared" si="1"/>
        <v>8601</v>
      </c>
      <c r="D87" s="31">
        <f>IF(COUNTIF(レシピ一覧!$B:$B,ROW()-1),ROW()-1,"")</f>
        <v>86</v>
      </c>
      <c r="E87" s="27" t="str">
        <f>IFERROR( INDEX(レシピ一覧!$D:$D,MATCH(使用レシピ!$D87,レシピ一覧!$B:$B,0))&amp;"","")</f>
        <v>アルミ筐体</v>
      </c>
      <c r="F87" s="12" t="str">
        <f>IF($C87 = "","",INDEX(レシピ一覧!E:E,MATCH(使用レシピ!$C87,レシピ一覧!$A:$A,0))) &amp;""</f>
        <v>アルミのインゴット</v>
      </c>
      <c r="G87" s="12" t="str">
        <f>IF($C87 = "","",INDEX(レシピ一覧!F:F,MATCH(使用レシピ!$C87,レシピ一覧!$A:$A,0))) &amp;""</f>
        <v/>
      </c>
      <c r="H87" s="12" t="str">
        <f>IF($C87 = "","",INDEX(レシピ一覧!G:G,MATCH(使用レシピ!$C87,レシピ一覧!$A:$A,0))) &amp;""</f>
        <v/>
      </c>
      <c r="I87" s="12" t="str">
        <f>IF($C87 = "","",INDEX(レシピ一覧!H:H,MATCH(使用レシピ!$C87,レシピ一覧!$A:$A,0))) &amp;""</f>
        <v/>
      </c>
      <c r="J87" s="12" t="str">
        <f>IF($C87 = "","",INDEX(レシピ一覧!I:I,MATCH(使用レシピ!$C87,レシピ一覧!$A:$A,0))) &amp;""</f>
        <v/>
      </c>
      <c r="K87" s="12">
        <f>IFERROR((IF($C87 = "","",INDEX(レシピ一覧!J:J,MATCH(使用レシピ!$C87,レシピ一覧!$A:$A,0)))&amp;"")*1,"")</f>
        <v>3</v>
      </c>
      <c r="L87" s="12" t="str">
        <f>IFERROR((IF($C87 = "","",INDEX(レシピ一覧!K:K,MATCH(使用レシピ!$C87,レシピ一覧!$A:$A,0)))&amp;"")*1,"")</f>
        <v/>
      </c>
      <c r="M87" s="12" t="str">
        <f>IFERROR((IF($C87 = "","",INDEX(レシピ一覧!L:L,MATCH(使用レシピ!$C87,レシピ一覧!$A:$A,0)))&amp;"")*1,"")</f>
        <v/>
      </c>
      <c r="N87" s="12" t="str">
        <f>IFERROR((IF($C87 = "","",INDEX(レシピ一覧!M:M,MATCH(使用レシピ!$C87,レシピ一覧!$A:$A,0)))&amp;"")*1,"")</f>
        <v/>
      </c>
      <c r="O87" s="12" t="str">
        <f>IFERROR((IF($C87 = "","",INDEX(レシピ一覧!N:N,MATCH(使用レシピ!$C87,レシピ一覧!$A:$A,0)))&amp;"")*1,"")</f>
        <v/>
      </c>
      <c r="P87" s="12">
        <f>IFERROR((IF($C87 = "","",INDEX(レシピ一覧!O:O,MATCH(使用レシピ!$C87,レシピ一覧!$A:$A,0)))&amp;"")*1,"")</f>
        <v>2</v>
      </c>
      <c r="Q87" s="35">
        <f>IFERROR((IF($C87 = "","",INDEX(レシピ一覧!P:P,MATCH(使用レシピ!$C87,レシピ一覧!$A:$A,0)))&amp;"")*1,"")</f>
        <v>60</v>
      </c>
    </row>
    <row r="88" spans="1:17" x14ac:dyDescent="0.4">
      <c r="A88" s="34">
        <v>1</v>
      </c>
      <c r="B88" s="12">
        <f>IF(E88="","",COUNTIF(レシピ一覧!$D$2:$D$500,使用レシピ!E88))</f>
        <v>4</v>
      </c>
      <c r="C88" s="18" t="str">
        <f t="shared" si="1"/>
        <v>8701</v>
      </c>
      <c r="D88" s="31">
        <f>IF(COUNTIF(レシピ一覧!$B:$B,ROW()-1),ROW()-1,"")</f>
        <v>87</v>
      </c>
      <c r="E88" s="27" t="str">
        <f>IFERROR( INDEX(レシピ一覧!$D:$D,MATCH(使用レシピ!$D88,レシピ一覧!$B:$B,0))&amp;"","")</f>
        <v>ターボ燃料</v>
      </c>
      <c r="F88" s="12" t="str">
        <f>IF($C88 = "","",INDEX(レシピ一覧!E:E,MATCH(使用レシピ!$C88,レシピ一覧!$A:$A,0))) &amp;""</f>
        <v>燃料</v>
      </c>
      <c r="G88" s="12" t="str">
        <f>IF($C88 = "","",INDEX(レシピ一覧!F:F,MATCH(使用レシピ!$C88,レシピ一覧!$A:$A,0))) &amp;""</f>
        <v>圧縮石炭</v>
      </c>
      <c r="H88" s="12" t="str">
        <f>IF($C88 = "","",INDEX(レシピ一覧!G:G,MATCH(使用レシピ!$C88,レシピ一覧!$A:$A,0))) &amp;""</f>
        <v/>
      </c>
      <c r="I88" s="12" t="str">
        <f>IF($C88 = "","",INDEX(レシピ一覧!H:H,MATCH(使用レシピ!$C88,レシピ一覧!$A:$A,0))) &amp;""</f>
        <v/>
      </c>
      <c r="J88" s="12" t="str">
        <f>IF($C88 = "","",INDEX(レシピ一覧!I:I,MATCH(使用レシピ!$C88,レシピ一覧!$A:$A,0))) &amp;""</f>
        <v/>
      </c>
      <c r="K88" s="12">
        <f>IFERROR((IF($C88 = "","",INDEX(レシピ一覧!J:J,MATCH(使用レシピ!$C88,レシピ一覧!$A:$A,0)))&amp;"")*1,"")</f>
        <v>6</v>
      </c>
      <c r="L88" s="12">
        <f>IFERROR((IF($C88 = "","",INDEX(レシピ一覧!K:K,MATCH(使用レシピ!$C88,レシピ一覧!$A:$A,0)))&amp;"")*1,"")</f>
        <v>4</v>
      </c>
      <c r="M88" s="12" t="str">
        <f>IFERROR((IF($C88 = "","",INDEX(レシピ一覧!L:L,MATCH(使用レシピ!$C88,レシピ一覧!$A:$A,0)))&amp;"")*1,"")</f>
        <v/>
      </c>
      <c r="N88" s="12" t="str">
        <f>IFERROR((IF($C88 = "","",INDEX(レシピ一覧!M:M,MATCH(使用レシピ!$C88,レシピ一覧!$A:$A,0)))&amp;"")*1,"")</f>
        <v/>
      </c>
      <c r="O88" s="12" t="str">
        <f>IFERROR((IF($C88 = "","",INDEX(レシピ一覧!N:N,MATCH(使用レシピ!$C88,レシピ一覧!$A:$A,0)))&amp;"")*1,"")</f>
        <v/>
      </c>
      <c r="P88" s="12">
        <f>IFERROR((IF($C88 = "","",INDEX(レシピ一覧!O:O,MATCH(使用レシピ!$C88,レシピ一覧!$A:$A,0)))&amp;"")*1,"")</f>
        <v>5</v>
      </c>
      <c r="Q88" s="35">
        <f>IFERROR((IF($C88 = "","",INDEX(レシピ一覧!P:P,MATCH(使用レシピ!$C88,レシピ一覧!$A:$A,0)))&amp;"")*1,"")</f>
        <v>18.75</v>
      </c>
    </row>
    <row r="89" spans="1:17" x14ac:dyDescent="0.4">
      <c r="A89" s="34">
        <v>1</v>
      </c>
      <c r="B89" s="12">
        <f>IF(E89="","",COUNTIF(レシピ一覧!$D$2:$D$500,使用レシピ!E89))</f>
        <v>1</v>
      </c>
      <c r="C89" s="18" t="str">
        <f t="shared" si="1"/>
        <v>8801</v>
      </c>
      <c r="D89" s="31">
        <f>IF(COUNTIF(レシピ一覧!$B:$B,ROW()-1),ROW()-1,"")</f>
        <v>88</v>
      </c>
      <c r="E89" s="27" t="str">
        <f>IFERROR( INDEX(レシピ一覧!$D:$D,MATCH(使用レシピ!$D89,レシピ一覧!$B:$B,0))&amp;"","")</f>
        <v>容器入りターボ燃料</v>
      </c>
      <c r="F89" s="12" t="str">
        <f>IF($C89 = "","",INDEX(レシピ一覧!E:E,MATCH(使用レシピ!$C89,レシピ一覧!$A:$A,0))) &amp;""</f>
        <v>空の容器</v>
      </c>
      <c r="G89" s="12" t="str">
        <f>IF($C89 = "","",INDEX(レシピ一覧!F:F,MATCH(使用レシピ!$C89,レシピ一覧!$A:$A,0))) &amp;""</f>
        <v>廃重油</v>
      </c>
      <c r="H89" s="12" t="str">
        <f>IF($C89 = "","",INDEX(レシピ一覧!G:G,MATCH(使用レシピ!$C89,レシピ一覧!$A:$A,0))) &amp;""</f>
        <v/>
      </c>
      <c r="I89" s="12" t="str">
        <f>IF($C89 = "","",INDEX(レシピ一覧!H:H,MATCH(使用レシピ!$C89,レシピ一覧!$A:$A,0))) &amp;""</f>
        <v/>
      </c>
      <c r="J89" s="12" t="str">
        <f>IF($C89 = "","",INDEX(レシピ一覧!I:I,MATCH(使用レシピ!$C89,レシピ一覧!$A:$A,0))) &amp;""</f>
        <v/>
      </c>
      <c r="K89" s="12">
        <f>IFERROR((IF($C89 = "","",INDEX(レシピ一覧!J:J,MATCH(使用レシピ!$C89,レシピ一覧!$A:$A,0)))&amp;"")*1,"")</f>
        <v>2</v>
      </c>
      <c r="L89" s="12">
        <f>IFERROR((IF($C89 = "","",INDEX(レシピ一覧!K:K,MATCH(使用レシピ!$C89,レシピ一覧!$A:$A,0)))&amp;"")*1,"")</f>
        <v>2</v>
      </c>
      <c r="M89" s="12" t="str">
        <f>IFERROR((IF($C89 = "","",INDEX(レシピ一覧!L:L,MATCH(使用レシピ!$C89,レシピ一覧!$A:$A,0)))&amp;"")*1,"")</f>
        <v/>
      </c>
      <c r="N89" s="12" t="str">
        <f>IFERROR((IF($C89 = "","",INDEX(レシピ一覧!M:M,MATCH(使用レシピ!$C89,レシピ一覧!$A:$A,0)))&amp;"")*1,"")</f>
        <v/>
      </c>
      <c r="O89" s="12" t="str">
        <f>IFERROR((IF($C89 = "","",INDEX(レシピ一覧!N:N,MATCH(使用レシピ!$C89,レシピ一覧!$A:$A,0)))&amp;"")*1,"")</f>
        <v/>
      </c>
      <c r="P89" s="12">
        <f>IFERROR((IF($C89 = "","",INDEX(レシピ一覧!O:O,MATCH(使用レシピ!$C89,レシピ一覧!$A:$A,0)))&amp;"")*1,"")</f>
        <v>2</v>
      </c>
      <c r="Q89" s="35">
        <f>IFERROR((IF($C89 = "","",INDEX(レシピ一覧!P:P,MATCH(使用レシピ!$C89,レシピ一覧!$A:$A,0)))&amp;"")*1,"")</f>
        <v>20</v>
      </c>
    </row>
    <row r="90" spans="1:17" x14ac:dyDescent="0.4">
      <c r="A90" s="34">
        <v>1</v>
      </c>
      <c r="B90" s="12">
        <f>IF(E90="","",COUNTIF(レシピ一覧!$D$2:$D$500,使用レシピ!E90))</f>
        <v>1</v>
      </c>
      <c r="C90" s="18" t="str">
        <f t="shared" si="1"/>
        <v>8901</v>
      </c>
      <c r="D90" s="31">
        <f>IF(COUNTIF(レシピ一覧!$B:$B,ROW()-1),ROW()-1,"")</f>
        <v>89</v>
      </c>
      <c r="E90" s="27" t="str">
        <f>IFERROR( INDEX(レシピ一覧!$D:$D,MATCH(使用レシピ!$D90,レシピ一覧!$B:$B,0))&amp;"","")</f>
        <v>鉄筋</v>
      </c>
      <c r="F90" s="12" t="str">
        <f>IF($C90 = "","",INDEX(レシピ一覧!E:E,MATCH(使用レシピ!$C90,レシピ一覧!$A:$A,0))) &amp;""</f>
        <v>鉄のロッド</v>
      </c>
      <c r="G90" s="12" t="str">
        <f>IF($C90 = "","",INDEX(レシピ一覧!F:F,MATCH(使用レシピ!$C90,レシピ一覧!$A:$A,0))) &amp;""</f>
        <v/>
      </c>
      <c r="H90" s="12" t="str">
        <f>IF($C90 = "","",INDEX(レシピ一覧!G:G,MATCH(使用レシピ!$C90,レシピ一覧!$A:$A,0))) &amp;""</f>
        <v/>
      </c>
      <c r="I90" s="12" t="str">
        <f>IF($C90 = "","",INDEX(レシピ一覧!H:H,MATCH(使用レシピ!$C90,レシピ一覧!$A:$A,0))) &amp;""</f>
        <v/>
      </c>
      <c r="J90" s="12" t="str">
        <f>IF($C90 = "","",INDEX(レシピ一覧!I:I,MATCH(使用レシピ!$C90,レシピ一覧!$A:$A,0))) &amp;""</f>
        <v/>
      </c>
      <c r="K90" s="12">
        <f>IFERROR((IF($C90 = "","",INDEX(レシピ一覧!J:J,MATCH(使用レシピ!$C90,レシピ一覧!$A:$A,0)))&amp;"")*1,"")</f>
        <v>1</v>
      </c>
      <c r="L90" s="12" t="str">
        <f>IFERROR((IF($C90 = "","",INDEX(レシピ一覧!K:K,MATCH(使用レシピ!$C90,レシピ一覧!$A:$A,0)))&amp;"")*1,"")</f>
        <v/>
      </c>
      <c r="M90" s="12" t="str">
        <f>IFERROR((IF($C90 = "","",INDEX(レシピ一覧!L:L,MATCH(使用レシピ!$C90,レシピ一覧!$A:$A,0)))&amp;"")*1,"")</f>
        <v/>
      </c>
      <c r="N90" s="12" t="str">
        <f>IFERROR((IF($C90 = "","",INDEX(レシピ一覧!M:M,MATCH(使用レシピ!$C90,レシピ一覧!$A:$A,0)))&amp;"")*1,"")</f>
        <v/>
      </c>
      <c r="O90" s="12" t="str">
        <f>IFERROR((IF($C90 = "","",INDEX(レシピ一覧!N:N,MATCH(使用レシピ!$C90,レシピ一覧!$A:$A,0)))&amp;"")*1,"")</f>
        <v/>
      </c>
      <c r="P90" s="12">
        <f>IFERROR((IF($C90 = "","",INDEX(レシピ一覧!O:O,MATCH(使用レシピ!$C90,レシピ一覧!$A:$A,0)))&amp;"")*1,"")</f>
        <v>1</v>
      </c>
      <c r="Q90" s="35">
        <f>IFERROR((IF($C90 = "","",INDEX(レシピ一覧!P:P,MATCH(使用レシピ!$C90,レシピ一覧!$A:$A,0)))&amp;"")*1,"")</f>
        <v>15</v>
      </c>
    </row>
    <row r="91" spans="1:17" x14ac:dyDescent="0.4">
      <c r="A91" s="34">
        <v>1</v>
      </c>
      <c r="B91" s="12">
        <f>IF(E91="","",COUNTIF(レシピ一覧!$D$2:$D$500,使用レシピ!E91))</f>
        <v>3</v>
      </c>
      <c r="C91" s="18" t="str">
        <f t="shared" si="1"/>
        <v>9001</v>
      </c>
      <c r="D91" s="31">
        <f>IF(COUNTIF(レシピ一覧!$B:$B,ROW()-1),ROW()-1,"")</f>
        <v>90</v>
      </c>
      <c r="E91" s="27" t="str">
        <f>IFERROR( INDEX(レシピ一覧!$D:$D,MATCH(使用レシピ!$D91,レシピ一覧!$B:$B,0))&amp;"","")</f>
        <v>硫酸</v>
      </c>
      <c r="F91" s="12" t="str">
        <f>IF($C91 = "","",INDEX(レシピ一覧!E:E,MATCH(使用レシピ!$C91,レシピ一覧!$A:$A,0))) &amp;""</f>
        <v>硫黄</v>
      </c>
      <c r="G91" s="12" t="str">
        <f>IF($C91 = "","",INDEX(レシピ一覧!F:F,MATCH(使用レシピ!$C91,レシピ一覧!$A:$A,0))) &amp;""</f>
        <v>水</v>
      </c>
      <c r="H91" s="12" t="str">
        <f>IF($C91 = "","",INDEX(レシピ一覧!G:G,MATCH(使用レシピ!$C91,レシピ一覧!$A:$A,0))) &amp;""</f>
        <v/>
      </c>
      <c r="I91" s="12" t="str">
        <f>IF($C91 = "","",INDEX(レシピ一覧!H:H,MATCH(使用レシピ!$C91,レシピ一覧!$A:$A,0))) &amp;""</f>
        <v/>
      </c>
      <c r="J91" s="12" t="str">
        <f>IF($C91 = "","",INDEX(レシピ一覧!I:I,MATCH(使用レシピ!$C91,レシピ一覧!$A:$A,0))) &amp;""</f>
        <v/>
      </c>
      <c r="K91" s="12">
        <f>IFERROR((IF($C91 = "","",INDEX(レシピ一覧!J:J,MATCH(使用レシピ!$C91,レシピ一覧!$A:$A,0)))&amp;"")*1,"")</f>
        <v>5</v>
      </c>
      <c r="L91" s="12">
        <f>IFERROR((IF($C91 = "","",INDEX(レシピ一覧!K:K,MATCH(使用レシピ!$C91,レシピ一覧!$A:$A,0)))&amp;"")*1,"")</f>
        <v>5</v>
      </c>
      <c r="M91" s="12" t="str">
        <f>IFERROR((IF($C91 = "","",INDEX(レシピ一覧!L:L,MATCH(使用レシピ!$C91,レシピ一覧!$A:$A,0)))&amp;"")*1,"")</f>
        <v/>
      </c>
      <c r="N91" s="12" t="str">
        <f>IFERROR((IF($C91 = "","",INDEX(レシピ一覧!M:M,MATCH(使用レシピ!$C91,レシピ一覧!$A:$A,0)))&amp;"")*1,"")</f>
        <v/>
      </c>
      <c r="O91" s="12" t="str">
        <f>IFERROR((IF($C91 = "","",INDEX(レシピ一覧!N:N,MATCH(使用レシピ!$C91,レシピ一覧!$A:$A,0)))&amp;"")*1,"")</f>
        <v/>
      </c>
      <c r="P91" s="12">
        <f>IFERROR((IF($C91 = "","",INDEX(レシピ一覧!O:O,MATCH(使用レシピ!$C91,レシピ一覧!$A:$A,0)))&amp;"")*1,"")</f>
        <v>5</v>
      </c>
      <c r="Q91" s="35">
        <f>IFERROR((IF($C91 = "","",INDEX(レシピ一覧!P:P,MATCH(使用レシピ!$C91,レシピ一覧!$A:$A,0)))&amp;"")*1,"")</f>
        <v>50</v>
      </c>
    </row>
    <row r="92" spans="1:17" x14ac:dyDescent="0.4">
      <c r="A92" s="34">
        <v>1</v>
      </c>
      <c r="B92" s="12">
        <f>IF(E92="","",COUNTIF(レシピ一覧!$D$2:$D$500,使用レシピ!E92))</f>
        <v>1</v>
      </c>
      <c r="C92" s="18" t="str">
        <f t="shared" si="1"/>
        <v>9101</v>
      </c>
      <c r="D92" s="31">
        <f>IF(COUNTIF(レシピ一覧!$B:$B,ROW()-1),ROW()-1,"")</f>
        <v>91</v>
      </c>
      <c r="E92" s="27" t="str">
        <f>IFERROR( INDEX(レシピ一覧!$D:$D,MATCH(使用レシピ!$D92,レシピ一覧!$B:$B,0))&amp;"","")</f>
        <v>包装済み硫酸</v>
      </c>
      <c r="F92" s="12" t="str">
        <f>IF($C92 = "","",INDEX(レシピ一覧!E:E,MATCH(使用レシピ!$C92,レシピ一覧!$A:$A,0))) &amp;""</f>
        <v>空の容器</v>
      </c>
      <c r="G92" s="12" t="str">
        <f>IF($C92 = "","",INDEX(レシピ一覧!F:F,MATCH(使用レシピ!$C92,レシピ一覧!$A:$A,0))) &amp;""</f>
        <v>硫酸</v>
      </c>
      <c r="H92" s="12" t="str">
        <f>IF($C92 = "","",INDEX(レシピ一覧!G:G,MATCH(使用レシピ!$C92,レシピ一覧!$A:$A,0))) &amp;""</f>
        <v/>
      </c>
      <c r="I92" s="12" t="str">
        <f>IF($C92 = "","",INDEX(レシピ一覧!H:H,MATCH(使用レシピ!$C92,レシピ一覧!$A:$A,0))) &amp;""</f>
        <v/>
      </c>
      <c r="J92" s="12" t="str">
        <f>IF($C92 = "","",INDEX(レシピ一覧!I:I,MATCH(使用レシピ!$C92,レシピ一覧!$A:$A,0))) &amp;""</f>
        <v/>
      </c>
      <c r="K92" s="12">
        <f>IFERROR((IF($C92 = "","",INDEX(レシピ一覧!J:J,MATCH(使用レシピ!$C92,レシピ一覧!$A:$A,0)))&amp;"")*1,"")</f>
        <v>2</v>
      </c>
      <c r="L92" s="12">
        <f>IFERROR((IF($C92 = "","",INDEX(レシピ一覧!K:K,MATCH(使用レシピ!$C92,レシピ一覧!$A:$A,0)))&amp;"")*1,"")</f>
        <v>2</v>
      </c>
      <c r="M92" s="12" t="str">
        <f>IFERROR((IF($C92 = "","",INDEX(レシピ一覧!L:L,MATCH(使用レシピ!$C92,レシピ一覧!$A:$A,0)))&amp;"")*1,"")</f>
        <v/>
      </c>
      <c r="N92" s="12" t="str">
        <f>IFERROR((IF($C92 = "","",INDEX(レシピ一覧!M:M,MATCH(使用レシピ!$C92,レシピ一覧!$A:$A,0)))&amp;"")*1,"")</f>
        <v/>
      </c>
      <c r="O92" s="12" t="str">
        <f>IFERROR((IF($C92 = "","",INDEX(レシピ一覧!N:N,MATCH(使用レシピ!$C92,レシピ一覧!$A:$A,0)))&amp;"")*1,"")</f>
        <v/>
      </c>
      <c r="P92" s="12">
        <f>IFERROR((IF($C92 = "","",INDEX(レシピ一覧!O:O,MATCH(使用レシピ!$C92,レシピ一覧!$A:$A,0)))&amp;"")*1,"")</f>
        <v>2</v>
      </c>
      <c r="Q92" s="35">
        <f>IFERROR((IF($C92 = "","",INDEX(レシピ一覧!P:P,MATCH(使用レシピ!$C92,レシピ一覧!$A:$A,0)))&amp;"")*1,"")</f>
        <v>40</v>
      </c>
    </row>
    <row r="93" spans="1:17" x14ac:dyDescent="0.4">
      <c r="A93" s="34">
        <v>1</v>
      </c>
      <c r="B93" s="12">
        <f>IF(E93="","",COUNTIF(レシピ一覧!$D$2:$D$500,使用レシピ!E93))</f>
        <v>2</v>
      </c>
      <c r="C93" s="18" t="str">
        <f t="shared" si="1"/>
        <v>9201</v>
      </c>
      <c r="D93" s="31">
        <f>IF(COUNTIF(レシピ一覧!$B:$B,ROW()-1),ROW()-1,"")</f>
        <v>92</v>
      </c>
      <c r="E93" s="27" t="str">
        <f>IFERROR( INDEX(レシピ一覧!$D:$D,MATCH(使用レシピ!$D93,レシピ一覧!$B:$B,0))&amp;"","")</f>
        <v>バッテリー</v>
      </c>
      <c r="F93" s="12" t="str">
        <f>IF($C93 = "","",INDEX(レシピ一覧!E:E,MATCH(使用レシピ!$C93,レシピ一覧!$A:$A,0))) &amp;""</f>
        <v>硫酸</v>
      </c>
      <c r="G93" s="12" t="str">
        <f>IF($C93 = "","",INDEX(レシピ一覧!F:F,MATCH(使用レシピ!$C93,レシピ一覧!$A:$A,0))) &amp;""</f>
        <v>アルミナ溶液</v>
      </c>
      <c r="H93" s="12" t="str">
        <f>IF($C93 = "","",INDEX(レシピ一覧!G:G,MATCH(使用レシピ!$C93,レシピ一覧!$A:$A,0))) &amp;""</f>
        <v>アルミ筐体</v>
      </c>
      <c r="I93" s="12" t="str">
        <f>IF($C93 = "","",INDEX(レシピ一覧!H:H,MATCH(使用レシピ!$C93,レシピ一覧!$A:$A,0))) &amp;""</f>
        <v/>
      </c>
      <c r="J93" s="12" t="str">
        <f>IF($C93 = "","",INDEX(レシピ一覧!I:I,MATCH(使用レシピ!$C93,レシピ一覧!$A:$A,0))) &amp;""</f>
        <v>水</v>
      </c>
      <c r="K93" s="12">
        <f>IFERROR((IF($C93 = "","",INDEX(レシピ一覧!J:J,MATCH(使用レシピ!$C93,レシピ一覧!$A:$A,0)))&amp;"")*1,"")</f>
        <v>2.5</v>
      </c>
      <c r="L93" s="12">
        <f>IFERROR((IF($C93 = "","",INDEX(レシピ一覧!K:K,MATCH(使用レシピ!$C93,レシピ一覧!$A:$A,0)))&amp;"")*1,"")</f>
        <v>2</v>
      </c>
      <c r="M93" s="12">
        <f>IFERROR((IF($C93 = "","",INDEX(レシピ一覧!L:L,MATCH(使用レシピ!$C93,レシピ一覧!$A:$A,0)))&amp;"")*1,"")</f>
        <v>1</v>
      </c>
      <c r="N93" s="12" t="str">
        <f>IFERROR((IF($C93 = "","",INDEX(レシピ一覧!M:M,MATCH(使用レシピ!$C93,レシピ一覧!$A:$A,0)))&amp;"")*1,"")</f>
        <v/>
      </c>
      <c r="O93" s="12">
        <f>IFERROR((IF($C93 = "","",INDEX(レシピ一覧!N:N,MATCH(使用レシピ!$C93,レシピ一覧!$A:$A,0)))&amp;"")*1,"")</f>
        <v>1.5</v>
      </c>
      <c r="P93" s="12">
        <f>IFERROR((IF($C93 = "","",INDEX(レシピ一覧!O:O,MATCH(使用レシピ!$C93,レシピ一覧!$A:$A,0)))&amp;"")*1,"")</f>
        <v>1</v>
      </c>
      <c r="Q93" s="35">
        <f>IFERROR((IF($C93 = "","",INDEX(レシピ一覧!P:P,MATCH(使用レシピ!$C93,レシピ一覧!$A:$A,0)))&amp;"")*1,"")</f>
        <v>20</v>
      </c>
    </row>
    <row r="94" spans="1:17" x14ac:dyDescent="0.4">
      <c r="A94" s="34">
        <v>1</v>
      </c>
      <c r="B94" s="12">
        <f>IF(E94="","",COUNTIF(レシピ一覧!$D$2:$D$500,使用レシピ!E94))</f>
        <v>3</v>
      </c>
      <c r="C94" s="18" t="str">
        <f t="shared" si="1"/>
        <v>9301</v>
      </c>
      <c r="D94" s="31">
        <f>IF(COUNTIF(レシピ一覧!$B:$B,ROW()-1),ROW()-1,"")</f>
        <v>93</v>
      </c>
      <c r="E94" s="27" t="str">
        <f>IFERROR( INDEX(レシピ一覧!$D:$D,MATCH(使用レシピ!$D94,レシピ一覧!$B:$B,0))&amp;"","")</f>
        <v>無線制御ユニット</v>
      </c>
      <c r="F94" s="12" t="str">
        <f>IF($C94 = "","",INDEX(レシピ一覧!E:E,MATCH(使用レシピ!$C94,レシピ一覧!$A:$A,0))) &amp;""</f>
        <v>アルミ筐体</v>
      </c>
      <c r="G94" s="12" t="str">
        <f>IF($C94 = "","",INDEX(レシピ一覧!F:F,MATCH(使用レシピ!$C94,レシピ一覧!$A:$A,0))) &amp;""</f>
        <v>水晶発振器</v>
      </c>
      <c r="H94" s="12" t="str">
        <f>IF($C94 = "","",INDEX(レシピ一覧!G:G,MATCH(使用レシピ!$C94,レシピ一覧!$A:$A,0))) &amp;""</f>
        <v>コンピューター</v>
      </c>
      <c r="I94" s="12" t="str">
        <f>IF($C94 = "","",INDEX(レシピ一覧!H:H,MATCH(使用レシピ!$C94,レシピ一覧!$A:$A,0))) &amp;""</f>
        <v/>
      </c>
      <c r="J94" s="12" t="str">
        <f>IF($C94 = "","",INDEX(レシピ一覧!I:I,MATCH(使用レシピ!$C94,レシピ一覧!$A:$A,0))) &amp;""</f>
        <v/>
      </c>
      <c r="K94" s="12">
        <f>IFERROR((IF($C94 = "","",INDEX(レシピ一覧!J:J,MATCH(使用レシピ!$C94,レシピ一覧!$A:$A,0)))&amp;"")*1,"")</f>
        <v>32</v>
      </c>
      <c r="L94" s="12">
        <f>IFERROR((IF($C94 = "","",INDEX(レシピ一覧!K:K,MATCH(使用レシピ!$C94,レシピ一覧!$A:$A,0)))&amp;"")*1,"")</f>
        <v>1</v>
      </c>
      <c r="M94" s="12">
        <f>IFERROR((IF($C94 = "","",INDEX(レシピ一覧!L:L,MATCH(使用レシピ!$C94,レシピ一覧!$A:$A,0)))&amp;"")*1,"")</f>
        <v>2</v>
      </c>
      <c r="N94" s="12" t="str">
        <f>IFERROR((IF($C94 = "","",INDEX(レシピ一覧!M:M,MATCH(使用レシピ!$C94,レシピ一覧!$A:$A,0)))&amp;"")*1,"")</f>
        <v/>
      </c>
      <c r="O94" s="12" t="str">
        <f>IFERROR((IF($C94 = "","",INDEX(レシピ一覧!N:N,MATCH(使用レシピ!$C94,レシピ一覧!$A:$A,0)))&amp;"")*1,"")</f>
        <v/>
      </c>
      <c r="P94" s="12">
        <f>IFERROR((IF($C94 = "","",INDEX(レシピ一覧!O:O,MATCH(使用レシピ!$C94,レシピ一覧!$A:$A,0)))&amp;"")*1,"")</f>
        <v>2</v>
      </c>
      <c r="Q94" s="35">
        <f>IFERROR((IF($C94 = "","",INDEX(レシピ一覧!P:P,MATCH(使用レシピ!$C94,レシピ一覧!$A:$A,0)))&amp;"")*1,"")</f>
        <v>2.5</v>
      </c>
    </row>
    <row r="95" spans="1:17" x14ac:dyDescent="0.4">
      <c r="A95" s="34">
        <v>1</v>
      </c>
      <c r="B95" s="12">
        <f>IF(E95="","",COUNTIF(レシピ一覧!$D$2:$D$500,使用レシピ!E95))</f>
        <v>3</v>
      </c>
      <c r="C95" s="18" t="str">
        <f t="shared" si="1"/>
        <v>9401</v>
      </c>
      <c r="D95" s="31">
        <f>IF(COUNTIF(レシピ一覧!$B:$B,ROW()-1),ROW()-1,"")</f>
        <v>94</v>
      </c>
      <c r="E95" s="27" t="str">
        <f>IFERROR( INDEX(レシピ一覧!$D:$D,MATCH(使用レシピ!$D95,レシピ一覧!$B:$B,0))&amp;"","")</f>
        <v>スーパーコンピューター</v>
      </c>
      <c r="F95" s="12" t="str">
        <f>IF($C95 = "","",INDEX(レシピ一覧!E:E,MATCH(使用レシピ!$C95,レシピ一覧!$A:$A,0))) &amp;""</f>
        <v>コンピューター</v>
      </c>
      <c r="G95" s="12" t="str">
        <f>IF($C95 = "","",INDEX(レシピ一覧!F:F,MATCH(使用レシピ!$C95,レシピ一覧!$A:$A,0))) &amp;""</f>
        <v>電磁制御棒</v>
      </c>
      <c r="H95" s="12" t="str">
        <f>IF($C95 = "","",INDEX(レシピ一覧!G:G,MATCH(使用レシピ!$C95,レシピ一覧!$A:$A,0))) &amp;""</f>
        <v>バッテリー</v>
      </c>
      <c r="I95" s="12" t="str">
        <f>IF($C95 = "","",INDEX(レシピ一覧!H:H,MATCH(使用レシピ!$C95,レシピ一覧!$A:$A,0))) &amp;""</f>
        <v>ワイヤー</v>
      </c>
      <c r="J95" s="12" t="str">
        <f>IF($C95 = "","",INDEX(レシピ一覧!I:I,MATCH(使用レシピ!$C95,レシピ一覧!$A:$A,0))) &amp;""</f>
        <v/>
      </c>
      <c r="K95" s="12">
        <f>IFERROR((IF($C95 = "","",INDEX(レシピ一覧!J:J,MATCH(使用レシピ!$C95,レシピ一覧!$A:$A,0)))&amp;"")*1,"")</f>
        <v>3</v>
      </c>
      <c r="L95" s="12">
        <f>IFERROR((IF($C95 = "","",INDEX(レシピ一覧!K:K,MATCH(使用レシピ!$C95,レシピ一覧!$A:$A,0)))&amp;"")*1,"")</f>
        <v>1</v>
      </c>
      <c r="M95" s="12">
        <f>IFERROR((IF($C95 = "","",INDEX(レシピ一覧!L:L,MATCH(使用レシピ!$C95,レシピ一覧!$A:$A,0)))&amp;"")*1,"")</f>
        <v>10</v>
      </c>
      <c r="N95" s="12">
        <f>IFERROR((IF($C95 = "","",INDEX(レシピ一覧!M:M,MATCH(使用レシピ!$C95,レシピ一覧!$A:$A,0)))&amp;"")*1,"")</f>
        <v>25</v>
      </c>
      <c r="O95" s="12" t="str">
        <f>IFERROR((IF($C95 = "","",INDEX(レシピ一覧!N:N,MATCH(使用レシピ!$C95,レシピ一覧!$A:$A,0)))&amp;"")*1,"")</f>
        <v/>
      </c>
      <c r="P95" s="12">
        <f>IFERROR((IF($C95 = "","",INDEX(レシピ一覧!O:O,MATCH(使用レシピ!$C95,レシピ一覧!$A:$A,0)))&amp;"")*1,"")</f>
        <v>1</v>
      </c>
      <c r="Q95" s="35">
        <f>IFERROR((IF($C95 = "","",INDEX(レシピ一覧!P:P,MATCH(使用レシピ!$C95,レシピ一覧!$A:$A,0)))&amp;"")*1,"")</f>
        <v>2.4</v>
      </c>
    </row>
    <row r="96" spans="1:17" x14ac:dyDescent="0.4">
      <c r="A96" s="34">
        <v>1</v>
      </c>
      <c r="B96" s="12">
        <f>IF(E96="","",COUNTIF(レシピ一覧!$D$2:$D$500,使用レシピ!E96))</f>
        <v>1</v>
      </c>
      <c r="C96" s="18" t="str">
        <f t="shared" si="1"/>
        <v>9501</v>
      </c>
      <c r="D96" s="31">
        <f>IF(COUNTIF(レシピ一覧!$B:$B,ROW()-1),ROW()-1,"")</f>
        <v>95</v>
      </c>
      <c r="E96" s="27" t="str">
        <f>IFERROR( INDEX(レシピ一覧!$D:$D,MATCH(使用レシピ!$D96,レシピ一覧!$B:$B,0))&amp;"","")</f>
        <v>組立指揮システム</v>
      </c>
      <c r="F96" s="12" t="str">
        <f>IF($C96 = "","",INDEX(レシピ一覧!E:E,MATCH(使用レシピ!$C96,レシピ一覧!$A:$A,0))) &amp;""</f>
        <v>自律制御ユニット</v>
      </c>
      <c r="G96" s="12" t="str">
        <f>IF($C96 = "","",INDEX(レシピ一覧!F:F,MATCH(使用レシピ!$C96,レシピ一覧!$A:$A,0))) &amp;""</f>
        <v>スーパーコンピューター</v>
      </c>
      <c r="H96" s="12" t="str">
        <f>IF($C96 = "","",INDEX(レシピ一覧!G:G,MATCH(使用レシピ!$C96,レシピ一覧!$A:$A,0))) &amp;""</f>
        <v/>
      </c>
      <c r="I96" s="12" t="str">
        <f>IF($C96 = "","",INDEX(レシピ一覧!H:H,MATCH(使用レシピ!$C96,レシピ一覧!$A:$A,0))) &amp;""</f>
        <v/>
      </c>
      <c r="J96" s="12" t="str">
        <f>IF($C96 = "","",INDEX(レシピ一覧!I:I,MATCH(使用レシピ!$C96,レシピ一覧!$A:$A,0))) &amp;""</f>
        <v/>
      </c>
      <c r="K96" s="12">
        <f>IFERROR((IF($C96 = "","",INDEX(レシピ一覧!J:J,MATCH(使用レシピ!$C96,レシピ一覧!$A:$A,0)))&amp;"")*1,"")</f>
        <v>2</v>
      </c>
      <c r="L96" s="12">
        <f>IFERROR((IF($C96 = "","",INDEX(レシピ一覧!K:K,MATCH(使用レシピ!$C96,レシピ一覧!$A:$A,0)))&amp;"")*1,"")</f>
        <v>1</v>
      </c>
      <c r="M96" s="12" t="str">
        <f>IFERROR((IF($C96 = "","",INDEX(レシピ一覧!L:L,MATCH(使用レシピ!$C96,レシピ一覧!$A:$A,0)))&amp;"")*1,"")</f>
        <v/>
      </c>
      <c r="N96" s="12" t="str">
        <f>IFERROR((IF($C96 = "","",INDEX(レシピ一覧!M:M,MATCH(使用レシピ!$C96,レシピ一覧!$A:$A,0)))&amp;"")*1,"")</f>
        <v/>
      </c>
      <c r="O96" s="12" t="str">
        <f>IFERROR((IF($C96 = "","",INDEX(レシピ一覧!N:N,MATCH(使用レシピ!$C96,レシピ一覧!$A:$A,0)))&amp;"")*1,"")</f>
        <v/>
      </c>
      <c r="P96" s="12">
        <f>IFERROR((IF($C96 = "","",INDEX(レシピ一覧!O:O,MATCH(使用レシピ!$C96,レシピ一覧!$A:$A,0)))&amp;"")*1,"")</f>
        <v>1</v>
      </c>
      <c r="Q96" s="35">
        <f>IFERROR((IF($C96 = "","",INDEX(レシピ一覧!P:P,MATCH(使用レシピ!$C96,レシピ一覧!$A:$A,0)))&amp;"")*1,"")</f>
        <v>0.75</v>
      </c>
    </row>
    <row r="97" spans="1:17" x14ac:dyDescent="0.4">
      <c r="A97" s="34">
        <v>1</v>
      </c>
      <c r="B97" s="12">
        <f>IF(E97="","",COUNTIF(レシピ一覧!$D$2:$D$500,使用レシピ!E97))</f>
        <v>1</v>
      </c>
      <c r="C97" s="18" t="str">
        <f t="shared" si="1"/>
        <v>9601</v>
      </c>
      <c r="D97" s="31">
        <f>IF(COUNTIF(レシピ一覧!$B:$B,ROW()-1),ROW()-1,"")</f>
        <v>96</v>
      </c>
      <c r="E97" s="27" t="str">
        <f>IFERROR( INDEX(レシピ一覧!$D:$D,MATCH(使用レシピ!$D97,レシピ一覧!$B:$B,0))&amp;"","")</f>
        <v>ヨウ素充填フィルター</v>
      </c>
      <c r="F97" s="12" t="str">
        <f>IF($C97 = "","",INDEX(レシピ一覧!E:E,MATCH(使用レシピ!$C97,レシピ一覧!$A:$A,0))) &amp;""</f>
        <v>ガスフィルター</v>
      </c>
      <c r="G97" s="12" t="str">
        <f>IF($C97 = "","",INDEX(レシピ一覧!F:F,MATCH(使用レシピ!$C97,レシピ一覧!$A:$A,0))) &amp;""</f>
        <v>クイックワイヤー</v>
      </c>
      <c r="H97" s="12" t="str">
        <f>IF($C97 = "","",INDEX(レシピ一覧!G:G,MATCH(使用レシピ!$C97,レシピ一覧!$A:$A,0))) &amp;""</f>
        <v>アルミ筐体</v>
      </c>
      <c r="I97" s="12" t="str">
        <f>IF($C97 = "","",INDEX(レシピ一覧!H:H,MATCH(使用レシピ!$C97,レシピ一覧!$A:$A,0))) &amp;""</f>
        <v/>
      </c>
      <c r="J97" s="12" t="str">
        <f>IF($C97 = "","",INDEX(レシピ一覧!I:I,MATCH(使用レシピ!$C97,レシピ一覧!$A:$A,0))) &amp;""</f>
        <v/>
      </c>
      <c r="K97" s="12">
        <f>IFERROR((IF($C97 = "","",INDEX(レシピ一覧!J:J,MATCH(使用レシピ!$C97,レシピ一覧!$A:$A,0)))&amp;"")*1,"")</f>
        <v>1</v>
      </c>
      <c r="L97" s="12">
        <f>IFERROR((IF($C97 = "","",INDEX(レシピ一覧!K:K,MATCH(使用レシピ!$C97,レシピ一覧!$A:$A,0)))&amp;"")*1,"")</f>
        <v>8</v>
      </c>
      <c r="M97" s="12">
        <f>IFERROR((IF($C97 = "","",INDEX(レシピ一覧!L:L,MATCH(使用レシピ!$C97,レシピ一覧!$A:$A,0)))&amp;"")*1,"")</f>
        <v>1</v>
      </c>
      <c r="N97" s="12" t="str">
        <f>IFERROR((IF($C97 = "","",INDEX(レシピ一覧!M:M,MATCH(使用レシピ!$C97,レシピ一覧!$A:$A,0)))&amp;"")*1,"")</f>
        <v/>
      </c>
      <c r="O97" s="12" t="str">
        <f>IFERROR((IF($C97 = "","",INDEX(レシピ一覧!N:N,MATCH(使用レシピ!$C97,レシピ一覧!$A:$A,0)))&amp;"")*1,"")</f>
        <v/>
      </c>
      <c r="P97" s="12">
        <f>IFERROR((IF($C97 = "","",INDEX(レシピ一覧!O:O,MATCH(使用レシピ!$C97,レシピ一覧!$A:$A,0)))&amp;"")*1,"")</f>
        <v>1</v>
      </c>
      <c r="Q97" s="35">
        <f>IFERROR((IF($C97 = "","",INDEX(レシピ一覧!P:P,MATCH(使用レシピ!$C97,レシピ一覧!$A:$A,0)))&amp;"")*1,"")</f>
        <v>3.75</v>
      </c>
    </row>
    <row r="98" spans="1:17" x14ac:dyDescent="0.4">
      <c r="A98" s="34">
        <v>1</v>
      </c>
      <c r="B98" s="12">
        <f>IF(E98="","",COUNTIF(レシピ一覧!$D$2:$D$500,使用レシピ!E98))</f>
        <v>5</v>
      </c>
      <c r="C98" s="18" t="str">
        <f t="shared" si="1"/>
        <v>9701</v>
      </c>
      <c r="D98" s="31">
        <f>IF(COUNTIF(レシピ一覧!$B:$B,ROW()-1),ROW()-1,"")</f>
        <v>97</v>
      </c>
      <c r="E98" s="27" t="str">
        <f>IFERROR( INDEX(レシピ一覧!$D:$D,MATCH(使用レシピ!$D98,レシピ一覧!$B:$B,0))&amp;"","")</f>
        <v>空の液体タンク</v>
      </c>
      <c r="F98" s="12" t="str">
        <f>IF($C98 = "","",INDEX(レシピ一覧!E:E,MATCH(使用レシピ!$C98,レシピ一覧!$A:$A,0))) &amp;""</f>
        <v>アルミのインゴット</v>
      </c>
      <c r="G98" s="12" t="str">
        <f>IF($C98 = "","",INDEX(レシピ一覧!F:F,MATCH(使用レシピ!$C98,レシピ一覧!$A:$A,0))) &amp;""</f>
        <v/>
      </c>
      <c r="H98" s="12" t="str">
        <f>IF($C98 = "","",INDEX(レシピ一覧!G:G,MATCH(使用レシピ!$C98,レシピ一覧!$A:$A,0))) &amp;""</f>
        <v/>
      </c>
      <c r="I98" s="12" t="str">
        <f>IF($C98 = "","",INDEX(レシピ一覧!H:H,MATCH(使用レシピ!$C98,レシピ一覧!$A:$A,0))) &amp;""</f>
        <v/>
      </c>
      <c r="J98" s="12" t="str">
        <f>IF($C98 = "","",INDEX(レシピ一覧!I:I,MATCH(使用レシピ!$C98,レシピ一覧!$A:$A,0))) &amp;""</f>
        <v/>
      </c>
      <c r="K98" s="12">
        <f>IFERROR((IF($C98 = "","",INDEX(レシピ一覧!J:J,MATCH(使用レシピ!$C98,レシピ一覧!$A:$A,0)))&amp;"")*1,"")</f>
        <v>1</v>
      </c>
      <c r="L98" s="12" t="str">
        <f>IFERROR((IF($C98 = "","",INDEX(レシピ一覧!K:K,MATCH(使用レシピ!$C98,レシピ一覧!$A:$A,0)))&amp;"")*1,"")</f>
        <v/>
      </c>
      <c r="M98" s="12" t="str">
        <f>IFERROR((IF($C98 = "","",INDEX(レシピ一覧!L:L,MATCH(使用レシピ!$C98,レシピ一覧!$A:$A,0)))&amp;"")*1,"")</f>
        <v/>
      </c>
      <c r="N98" s="12" t="str">
        <f>IFERROR((IF($C98 = "","",INDEX(レシピ一覧!M:M,MATCH(使用レシピ!$C98,レシピ一覧!$A:$A,0)))&amp;"")*1,"")</f>
        <v/>
      </c>
      <c r="O98" s="12" t="str">
        <f>IFERROR((IF($C98 = "","",INDEX(レシピ一覧!N:N,MATCH(使用レシピ!$C98,レシピ一覧!$A:$A,0)))&amp;"")*1,"")</f>
        <v/>
      </c>
      <c r="P98" s="12">
        <f>IFERROR((IF($C98 = "","",INDEX(レシピ一覧!O:O,MATCH(使用レシピ!$C98,レシピ一覧!$A:$A,0)))&amp;"")*1,"")</f>
        <v>1</v>
      </c>
      <c r="Q98" s="35">
        <f>IFERROR((IF($C98 = "","",INDEX(レシピ一覧!P:P,MATCH(使用レシピ!$C98,レシピ一覧!$A:$A,0)))&amp;"")*1,"")</f>
        <v>60</v>
      </c>
    </row>
    <row r="99" spans="1:17" x14ac:dyDescent="0.4">
      <c r="A99" s="34">
        <v>1</v>
      </c>
      <c r="B99" s="12">
        <f>IF(E99="","",COUNTIF(レシピ一覧!$D$2:$D$500,使用レシピ!E99))</f>
        <v>1</v>
      </c>
      <c r="C99" s="18" t="str">
        <f t="shared" si="1"/>
        <v>9801</v>
      </c>
      <c r="D99" s="31">
        <f>IF(COUNTIF(レシピ一覧!$B:$B,ROW()-1),ROW()-1,"")</f>
        <v>98</v>
      </c>
      <c r="E99" s="27" t="str">
        <f>IFERROR( INDEX(レシピ一覧!$D:$D,MATCH(使用レシピ!$D99,レシピ一覧!$B:$B,0))&amp;"","")</f>
        <v>包装済み窒素ガス</v>
      </c>
      <c r="F99" s="12" t="str">
        <f>IF($C99 = "","",INDEX(レシピ一覧!E:E,MATCH(使用レシピ!$C99,レシピ一覧!$A:$A,0))) &amp;""</f>
        <v>窒素ガス</v>
      </c>
      <c r="G99" s="12" t="str">
        <f>IF($C99 = "","",INDEX(レシピ一覧!F:F,MATCH(使用レシピ!$C99,レシピ一覧!$A:$A,0))) &amp;""</f>
        <v>空の液体タンク</v>
      </c>
      <c r="H99" s="12" t="str">
        <f>IF($C99 = "","",INDEX(レシピ一覧!G:G,MATCH(使用レシピ!$C99,レシピ一覧!$A:$A,0))) &amp;""</f>
        <v/>
      </c>
      <c r="I99" s="12" t="str">
        <f>IF($C99 = "","",INDEX(レシピ一覧!H:H,MATCH(使用レシピ!$C99,レシピ一覧!$A:$A,0))) &amp;""</f>
        <v/>
      </c>
      <c r="J99" s="12" t="str">
        <f>IF($C99 = "","",INDEX(レシピ一覧!I:I,MATCH(使用レシピ!$C99,レシピ一覧!$A:$A,0))) &amp;""</f>
        <v/>
      </c>
      <c r="K99" s="12">
        <f>IFERROR((IF($C99 = "","",INDEX(レシピ一覧!J:J,MATCH(使用レシピ!$C99,レシピ一覧!$A:$A,0)))&amp;"")*1,"")</f>
        <v>4</v>
      </c>
      <c r="L99" s="12">
        <f>IFERROR((IF($C99 = "","",INDEX(レシピ一覧!K:K,MATCH(使用レシピ!$C99,レシピ一覧!$A:$A,0)))&amp;"")*1,"")</f>
        <v>1</v>
      </c>
      <c r="M99" s="12" t="str">
        <f>IFERROR((IF($C99 = "","",INDEX(レシピ一覧!L:L,MATCH(使用レシピ!$C99,レシピ一覧!$A:$A,0)))&amp;"")*1,"")</f>
        <v/>
      </c>
      <c r="N99" s="12" t="str">
        <f>IFERROR((IF($C99 = "","",INDEX(レシピ一覧!M:M,MATCH(使用レシピ!$C99,レシピ一覧!$A:$A,0)))&amp;"")*1,"")</f>
        <v/>
      </c>
      <c r="O99" s="12" t="str">
        <f>IFERROR((IF($C99 = "","",INDEX(レシピ一覧!N:N,MATCH(使用レシピ!$C99,レシピ一覧!$A:$A,0)))&amp;"")*1,"")</f>
        <v/>
      </c>
      <c r="P99" s="12">
        <f>IFERROR((IF($C99 = "","",INDEX(レシピ一覧!O:O,MATCH(使用レシピ!$C99,レシピ一覧!$A:$A,0)))&amp;"")*1,"")</f>
        <v>1</v>
      </c>
      <c r="Q99" s="35">
        <f>IFERROR((IF($C99 = "","",INDEX(レシピ一覧!P:P,MATCH(使用レシピ!$C99,レシピ一覧!$A:$A,0)))&amp;"")*1,"")</f>
        <v>60</v>
      </c>
    </row>
    <row r="100" spans="1:17" x14ac:dyDescent="0.4">
      <c r="A100" s="34">
        <v>1</v>
      </c>
      <c r="B100" s="12">
        <f>IF(E100="","",COUNTIF(レシピ一覧!$D$2:$D$500,使用レシピ!E100))</f>
        <v>3</v>
      </c>
      <c r="C100" s="18" t="str">
        <f t="shared" si="1"/>
        <v>9901</v>
      </c>
      <c r="D100" s="31">
        <f>IF(COUNTIF(レシピ一覧!$B:$B,ROW()-1),ROW()-1,"")</f>
        <v>99</v>
      </c>
      <c r="E100" s="27" t="str">
        <f>IFERROR( INDEX(レシピ一覧!$D:$D,MATCH(使用レシピ!$D100,レシピ一覧!$B:$B,0))&amp;"","")</f>
        <v>窒素ガス</v>
      </c>
      <c r="F100" s="12" t="str">
        <f>IF($C100 = "","",INDEX(レシピ一覧!E:E,MATCH(使用レシピ!$C100,レシピ一覧!$A:$A,0))) &amp;""</f>
        <v/>
      </c>
      <c r="G100" s="12" t="str">
        <f>IF($C100 = "","",INDEX(レシピ一覧!F:F,MATCH(使用レシピ!$C100,レシピ一覧!$A:$A,0))) &amp;""</f>
        <v/>
      </c>
      <c r="H100" s="12" t="str">
        <f>IF($C100 = "","",INDEX(レシピ一覧!G:G,MATCH(使用レシピ!$C100,レシピ一覧!$A:$A,0))) &amp;""</f>
        <v/>
      </c>
      <c r="I100" s="12" t="str">
        <f>IF($C100 = "","",INDEX(レシピ一覧!H:H,MATCH(使用レシピ!$C100,レシピ一覧!$A:$A,0))) &amp;""</f>
        <v/>
      </c>
      <c r="J100" s="12" t="str">
        <f>IF($C100 = "","",INDEX(レシピ一覧!I:I,MATCH(使用レシピ!$C100,レシピ一覧!$A:$A,0))) &amp;""</f>
        <v/>
      </c>
      <c r="K100" s="12" t="str">
        <f>IFERROR((IF($C100 = "","",INDEX(レシピ一覧!J:J,MATCH(使用レシピ!$C100,レシピ一覧!$A:$A,0)))&amp;"")*1,"")</f>
        <v/>
      </c>
      <c r="L100" s="12" t="str">
        <f>IFERROR((IF($C100 = "","",INDEX(レシピ一覧!K:K,MATCH(使用レシピ!$C100,レシピ一覧!$A:$A,0)))&amp;"")*1,"")</f>
        <v/>
      </c>
      <c r="M100" s="12" t="str">
        <f>IFERROR((IF($C100 = "","",INDEX(レシピ一覧!L:L,MATCH(使用レシピ!$C100,レシピ一覧!$A:$A,0)))&amp;"")*1,"")</f>
        <v/>
      </c>
      <c r="N100" s="12" t="str">
        <f>IFERROR((IF($C100 = "","",INDEX(レシピ一覧!M:M,MATCH(使用レシピ!$C100,レシピ一覧!$A:$A,0)))&amp;"")*1,"")</f>
        <v/>
      </c>
      <c r="O100" s="12" t="str">
        <f>IFERROR((IF($C100 = "","",INDEX(レシピ一覧!N:N,MATCH(使用レシピ!$C100,レシピ一覧!$A:$A,0)))&amp;"")*1,"")</f>
        <v/>
      </c>
      <c r="P100" s="12">
        <f>IFERROR((IF($C100 = "","",INDEX(レシピ一覧!O:O,MATCH(使用レシピ!$C100,レシピ一覧!$A:$A,0)))&amp;"")*1,"")</f>
        <v>1</v>
      </c>
      <c r="Q100" s="35">
        <f>IFERROR((IF($C100 = "","",INDEX(レシピ一覧!P:P,MATCH(使用レシピ!$C100,レシピ一覧!$A:$A,0)))&amp;"")*1,"")</f>
        <v>600</v>
      </c>
    </row>
    <row r="101" spans="1:17" x14ac:dyDescent="0.4">
      <c r="A101" s="34">
        <v>1</v>
      </c>
      <c r="B101" s="12">
        <f>IF(E101="","",COUNTIF(レシピ一覧!$D$2:$D$500,使用レシピ!E101))</f>
        <v>2</v>
      </c>
      <c r="C101" s="18" t="str">
        <f t="shared" si="1"/>
        <v>10001</v>
      </c>
      <c r="D101" s="31">
        <f>IF(COUNTIF(レシピ一覧!$B:$B,ROW()-1),ROW()-1,"")</f>
        <v>100</v>
      </c>
      <c r="E101" s="27" t="str">
        <f>IFERROR( INDEX(レシピ一覧!$D:$D,MATCH(使用レシピ!$D101,レシピ一覧!$B:$B,0))&amp;"","")</f>
        <v>ヒートシンク</v>
      </c>
      <c r="F101" s="12" t="str">
        <f>IF($C101 = "","",INDEX(レシピ一覧!E:E,MATCH(使用レシピ!$C101,レシピ一覧!$A:$A,0))) &amp;""</f>
        <v>アルクラッド・アルミシート</v>
      </c>
      <c r="G101" s="12" t="str">
        <f>IF($C101 = "","",INDEX(レシピ一覧!F:F,MATCH(使用レシピ!$C101,レシピ一覧!$A:$A,0))) &amp;""</f>
        <v>銅板</v>
      </c>
      <c r="H101" s="12" t="str">
        <f>IF($C101 = "","",INDEX(レシピ一覧!G:G,MATCH(使用レシピ!$C101,レシピ一覧!$A:$A,0))) &amp;""</f>
        <v/>
      </c>
      <c r="I101" s="12" t="str">
        <f>IF($C101 = "","",INDEX(レシピ一覧!H:H,MATCH(使用レシピ!$C101,レシピ一覧!$A:$A,0))) &amp;""</f>
        <v/>
      </c>
      <c r="J101" s="12" t="str">
        <f>IF($C101 = "","",INDEX(レシピ一覧!I:I,MATCH(使用レシピ!$C101,レシピ一覧!$A:$A,0))) &amp;""</f>
        <v/>
      </c>
      <c r="K101" s="12">
        <f>IFERROR((IF($C101 = "","",INDEX(レシピ一覧!J:J,MATCH(使用レシピ!$C101,レシピ一覧!$A:$A,0)))&amp;"")*1,"")</f>
        <v>5</v>
      </c>
      <c r="L101" s="12">
        <f>IFERROR((IF($C101 = "","",INDEX(レシピ一覧!K:K,MATCH(使用レシピ!$C101,レシピ一覧!$A:$A,0)))&amp;"")*1,"")</f>
        <v>3</v>
      </c>
      <c r="M101" s="12" t="str">
        <f>IFERROR((IF($C101 = "","",INDEX(レシピ一覧!L:L,MATCH(使用レシピ!$C101,レシピ一覧!$A:$A,0)))&amp;"")*1,"")</f>
        <v/>
      </c>
      <c r="N101" s="12" t="str">
        <f>IFERROR((IF($C101 = "","",INDEX(レシピ一覧!M:M,MATCH(使用レシピ!$C101,レシピ一覧!$A:$A,0)))&amp;"")*1,"")</f>
        <v/>
      </c>
      <c r="O101" s="12" t="str">
        <f>IFERROR((IF($C101 = "","",INDEX(レシピ一覧!N:N,MATCH(使用レシピ!$C101,レシピ一覧!$A:$A,0)))&amp;"")*1,"")</f>
        <v/>
      </c>
      <c r="P101" s="12">
        <f>IFERROR((IF($C101 = "","",INDEX(レシピ一覧!O:O,MATCH(使用レシピ!$C101,レシピ一覧!$A:$A,0)))&amp;"")*1,"")</f>
        <v>1</v>
      </c>
      <c r="Q101" s="35">
        <f>IFERROR((IF($C101 = "","",INDEX(レシピ一覧!P:P,MATCH(使用レシピ!$C101,レシピ一覧!$A:$A,0)))&amp;"")*1,"")</f>
        <v>7.5</v>
      </c>
    </row>
    <row r="102" spans="1:17" x14ac:dyDescent="0.4">
      <c r="A102" s="34">
        <v>1</v>
      </c>
      <c r="B102" s="12">
        <f>IF(E102="","",COUNTIF(レシピ一覧!$D$2:$D$500,使用レシピ!E102))</f>
        <v>2</v>
      </c>
      <c r="C102" s="18" t="str">
        <f t="shared" si="1"/>
        <v>10101</v>
      </c>
      <c r="D102" s="31">
        <f>IF(COUNTIF(レシピ一覧!$B:$B,ROW()-1),ROW()-1,"")</f>
        <v>101</v>
      </c>
      <c r="E102" s="27" t="str">
        <f>IFERROR( INDEX(レシピ一覧!$D:$D,MATCH(使用レシピ!$D102,レシピ一覧!$B:$B,0))&amp;"","")</f>
        <v>冷却システム</v>
      </c>
      <c r="F102" s="12" t="str">
        <f>IF($C102 = "","",INDEX(レシピ一覧!E:E,MATCH(使用レシピ!$C102,レシピ一覧!$A:$A,0))) &amp;""</f>
        <v>ヒートシンク</v>
      </c>
      <c r="G102" s="12" t="str">
        <f>IF($C102 = "","",INDEX(レシピ一覧!F:F,MATCH(使用レシピ!$C102,レシピ一覧!$A:$A,0))) &amp;""</f>
        <v>ゴム</v>
      </c>
      <c r="H102" s="12" t="str">
        <f>IF($C102 = "","",INDEX(レシピ一覧!G:G,MATCH(使用レシピ!$C102,レシピ一覧!$A:$A,0))) &amp;""</f>
        <v>水</v>
      </c>
      <c r="I102" s="12" t="str">
        <f>IF($C102 = "","",INDEX(レシピ一覧!H:H,MATCH(使用レシピ!$C102,レシピ一覧!$A:$A,0))) &amp;""</f>
        <v>窒素ガス</v>
      </c>
      <c r="J102" s="12" t="str">
        <f>IF($C102 = "","",INDEX(レシピ一覧!I:I,MATCH(使用レシピ!$C102,レシピ一覧!$A:$A,0))) &amp;""</f>
        <v/>
      </c>
      <c r="K102" s="12">
        <f>IFERROR((IF($C102 = "","",INDEX(レシピ一覧!J:J,MATCH(使用レシピ!$C102,レシピ一覧!$A:$A,0)))&amp;"")*1,"")</f>
        <v>2</v>
      </c>
      <c r="L102" s="12">
        <f>IFERROR((IF($C102 = "","",INDEX(レシピ一覧!K:K,MATCH(使用レシピ!$C102,レシピ一覧!$A:$A,0)))&amp;"")*1,"")</f>
        <v>2</v>
      </c>
      <c r="M102" s="12">
        <f>IFERROR((IF($C102 = "","",INDEX(レシピ一覧!L:L,MATCH(使用レシピ!$C102,レシピ一覧!$A:$A,0)))&amp;"")*1,"")</f>
        <v>5</v>
      </c>
      <c r="N102" s="12">
        <f>IFERROR((IF($C102 = "","",INDEX(レシピ一覧!M:M,MATCH(使用レシピ!$C102,レシピ一覧!$A:$A,0)))&amp;"")*1,"")</f>
        <v>25</v>
      </c>
      <c r="O102" s="12" t="str">
        <f>IFERROR((IF($C102 = "","",INDEX(レシピ一覧!N:N,MATCH(使用レシピ!$C102,レシピ一覧!$A:$A,0)))&amp;"")*1,"")</f>
        <v/>
      </c>
      <c r="P102" s="12">
        <f>IFERROR((IF($C102 = "","",INDEX(レシピ一覧!O:O,MATCH(使用レシピ!$C102,レシピ一覧!$A:$A,0)))&amp;"")*1,"")</f>
        <v>1</v>
      </c>
      <c r="Q102" s="35">
        <f>IFERROR((IF($C102 = "","",INDEX(レシピ一覧!P:P,MATCH(使用レシピ!$C102,レシピ一覧!$A:$A,0)))&amp;"")*1,"")</f>
        <v>6</v>
      </c>
    </row>
    <row r="103" spans="1:17" x14ac:dyDescent="0.4">
      <c r="A103" s="34">
        <v>1</v>
      </c>
      <c r="B103" s="12">
        <f>IF(E103="","",COUNTIF(レシピ一覧!$D$2:$D$500,使用レシピ!E103))</f>
        <v>2</v>
      </c>
      <c r="C103" s="18" t="str">
        <f t="shared" si="1"/>
        <v>10201</v>
      </c>
      <c r="D103" s="31">
        <f>IF(COUNTIF(レシピ一覧!$B:$B,ROW()-1),ROW()-1,"")</f>
        <v>102</v>
      </c>
      <c r="E103" s="27" t="str">
        <f>IFERROR( INDEX(レシピ一覧!$D:$D,MATCH(使用レシピ!$D103,レシピ一覧!$B:$B,0))&amp;"","")</f>
        <v>溶融モジュラー・フレーム</v>
      </c>
      <c r="F103" s="12" t="str">
        <f>IF($C103 = "","",INDEX(レシピ一覧!E:E,MATCH(使用レシピ!$C103,レシピ一覧!$A:$A,0))) &amp;""</f>
        <v>ヘビー・モジュラー・フレーム</v>
      </c>
      <c r="G103" s="12" t="str">
        <f>IF($C103 = "","",INDEX(レシピ一覧!F:F,MATCH(使用レシピ!$C103,レシピ一覧!$A:$A,0))) &amp;""</f>
        <v>アルミ筐体</v>
      </c>
      <c r="H103" s="12" t="str">
        <f>IF($C103 = "","",INDEX(レシピ一覧!G:G,MATCH(使用レシピ!$C103,レシピ一覧!$A:$A,0))) &amp;""</f>
        <v>窒素ガス</v>
      </c>
      <c r="I103" s="12" t="str">
        <f>IF($C103 = "","",INDEX(レシピ一覧!H:H,MATCH(使用レシピ!$C103,レシピ一覧!$A:$A,0))) &amp;""</f>
        <v/>
      </c>
      <c r="J103" s="12" t="str">
        <f>IF($C103 = "","",INDEX(レシピ一覧!I:I,MATCH(使用レシピ!$C103,レシピ一覧!$A:$A,0))) &amp;""</f>
        <v/>
      </c>
      <c r="K103" s="12">
        <f>IFERROR((IF($C103 = "","",INDEX(レシピ一覧!J:J,MATCH(使用レシピ!$C103,レシピ一覧!$A:$A,0)))&amp;"")*1,"")</f>
        <v>1</v>
      </c>
      <c r="L103" s="12">
        <f>IFERROR((IF($C103 = "","",INDEX(レシピ一覧!K:K,MATCH(使用レシピ!$C103,レシピ一覧!$A:$A,0)))&amp;"")*1,"")</f>
        <v>50</v>
      </c>
      <c r="M103" s="12">
        <f>IFERROR((IF($C103 = "","",INDEX(レシピ一覧!L:L,MATCH(使用レシピ!$C103,レシピ一覧!$A:$A,0)))&amp;"")*1,"")</f>
        <v>25</v>
      </c>
      <c r="N103" s="12" t="str">
        <f>IFERROR((IF($C103 = "","",INDEX(レシピ一覧!M:M,MATCH(使用レシピ!$C103,レシピ一覧!$A:$A,0)))&amp;"")*1,"")</f>
        <v/>
      </c>
      <c r="O103" s="12" t="str">
        <f>IFERROR((IF($C103 = "","",INDEX(レシピ一覧!N:N,MATCH(使用レシピ!$C103,レシピ一覧!$A:$A,0)))&amp;"")*1,"")</f>
        <v/>
      </c>
      <c r="P103" s="12">
        <f>IFERROR((IF($C103 = "","",INDEX(レシピ一覧!O:O,MATCH(使用レシピ!$C103,レシピ一覧!$A:$A,0)))&amp;"")*1,"")</f>
        <v>1</v>
      </c>
      <c r="Q103" s="35">
        <f>IFERROR((IF($C103 = "","",INDEX(レシピ一覧!P:P,MATCH(使用レシピ!$C103,レシピ一覧!$A:$A,0)))&amp;"")*1,"")</f>
        <v>1.5</v>
      </c>
    </row>
    <row r="104" spans="1:17" x14ac:dyDescent="0.4">
      <c r="A104" s="34">
        <v>1</v>
      </c>
      <c r="B104" s="12">
        <f>IF(E104="","",COUNTIF(レシピ一覧!$D$2:$D$500,使用レシピ!E104))</f>
        <v>1</v>
      </c>
      <c r="C104" s="18" t="str">
        <f t="shared" si="1"/>
        <v>10301</v>
      </c>
      <c r="D104" s="31">
        <f>IF(COUNTIF(レシピ一覧!$B:$B,ROW()-1),ROW()-1,"")</f>
        <v>103</v>
      </c>
      <c r="E104" s="27" t="str">
        <f>IFERROR( INDEX(レシピ一覧!$D:$D,MATCH(使用レシピ!$D104,レシピ一覧!$B:$B,0))&amp;"","")</f>
        <v>溶解シリカ</v>
      </c>
      <c r="F104" s="12" t="str">
        <f>IF($C104 = "","",INDEX(レシピ一覧!E:E,MATCH(使用レシピ!$C104,レシピ一覧!$A:$A,0))) &amp;""</f>
        <v>未加工石英</v>
      </c>
      <c r="G104" s="12" t="str">
        <f>IF($C104 = "","",INDEX(レシピ一覧!F:F,MATCH(使用レシピ!$C104,レシピ一覧!$A:$A,0))) &amp;""</f>
        <v>硝酸</v>
      </c>
      <c r="H104" s="12" t="str">
        <f>IF($C104 = "","",INDEX(レシピ一覧!G:G,MATCH(使用レシピ!$C104,レシピ一覧!$A:$A,0))) &amp;""</f>
        <v/>
      </c>
      <c r="I104" s="12" t="str">
        <f>IF($C104 = "","",INDEX(レシピ一覧!H:H,MATCH(使用レシピ!$C104,レシピ一覧!$A:$A,0))) &amp;""</f>
        <v/>
      </c>
      <c r="J104" s="12" t="str">
        <f>IF($C104 = "","",INDEX(レシピ一覧!I:I,MATCH(使用レシピ!$C104,レシピ一覧!$A:$A,0))) &amp;""</f>
        <v>石英結晶</v>
      </c>
      <c r="K104" s="12">
        <f>IFERROR((IF($C104 = "","",INDEX(レシピ一覧!J:J,MATCH(使用レシピ!$C104,レシピ一覧!$A:$A,0)))&amp;"")*1,"")</f>
        <v>24</v>
      </c>
      <c r="L104" s="12">
        <f>IFERROR((IF($C104 = "","",INDEX(レシピ一覧!K:K,MATCH(使用レシピ!$C104,レシピ一覧!$A:$A,0)))&amp;"")*1,"")</f>
        <v>2</v>
      </c>
      <c r="M104" s="12" t="str">
        <f>IFERROR((IF($C104 = "","",INDEX(レシピ一覧!L:L,MATCH(使用レシピ!$C104,レシピ一覧!$A:$A,0)))&amp;"")*1,"")</f>
        <v/>
      </c>
      <c r="N104" s="12" t="str">
        <f>IFERROR((IF($C104 = "","",INDEX(レシピ一覧!M:M,MATCH(使用レシピ!$C104,レシピ一覧!$A:$A,0)))&amp;"")*1,"")</f>
        <v/>
      </c>
      <c r="O104" s="12">
        <f>IFERROR((IF($C104 = "","",INDEX(レシピ一覧!N:N,MATCH(使用レシピ!$C104,レシピ一覧!$A:$A,0)))&amp;"")*1,"")</f>
        <v>15</v>
      </c>
      <c r="P104" s="12">
        <f>IFERROR((IF($C104 = "","",INDEX(レシピ一覧!O:O,MATCH(使用レシピ!$C104,レシピ一覧!$A:$A,0)))&amp;"")*1,"")</f>
        <v>12</v>
      </c>
      <c r="Q104" s="35">
        <f>IFERROR((IF($C104 = "","",INDEX(レシピ一覧!P:P,MATCH(使用レシピ!$C104,レシピ一覧!$A:$A,0)))&amp;"")*1,"")</f>
        <v>60</v>
      </c>
    </row>
    <row r="105" spans="1:17" x14ac:dyDescent="0.4">
      <c r="A105" s="34">
        <v>1</v>
      </c>
      <c r="B105" s="12">
        <f>IF(E105="","",COUNTIF(レシピ一覧!$D$2:$D$500,使用レシピ!E105))</f>
        <v>2</v>
      </c>
      <c r="C105" s="18" t="str">
        <f t="shared" si="1"/>
        <v>10401</v>
      </c>
      <c r="D105" s="31">
        <f>IF(COUNTIF(レシピ一覧!$B:$B,ROW()-1),ROW()-1,"")</f>
        <v>104</v>
      </c>
      <c r="E105" s="27" t="str">
        <f>IFERROR( INDEX(レシピ一覧!$D:$D,MATCH(使用レシピ!$D105,レシピ一覧!$B:$B,0))&amp;"","")</f>
        <v>硝酸</v>
      </c>
      <c r="F105" s="12" t="str">
        <f>IF($C105 = "","",INDEX(レシピ一覧!E:E,MATCH(使用レシピ!$C105,レシピ一覧!$A:$A,0))) &amp;""</f>
        <v>窒素ガス</v>
      </c>
      <c r="G105" s="12" t="str">
        <f>IF($C105 = "","",INDEX(レシピ一覧!F:F,MATCH(使用レシピ!$C105,レシピ一覧!$A:$A,0))) &amp;""</f>
        <v>水</v>
      </c>
      <c r="H105" s="12" t="str">
        <f>IF($C105 = "","",INDEX(レシピ一覧!G:G,MATCH(使用レシピ!$C105,レシピ一覧!$A:$A,0))) &amp;""</f>
        <v>鉄板</v>
      </c>
      <c r="I105" s="12" t="str">
        <f>IF($C105 = "","",INDEX(レシピ一覧!H:H,MATCH(使用レシピ!$C105,レシピ一覧!$A:$A,0))) &amp;""</f>
        <v/>
      </c>
      <c r="J105" s="12" t="str">
        <f>IF($C105 = "","",INDEX(レシピ一覧!I:I,MATCH(使用レシピ!$C105,レシピ一覧!$A:$A,0))) &amp;""</f>
        <v/>
      </c>
      <c r="K105" s="12">
        <f>IFERROR((IF($C105 = "","",INDEX(レシピ一覧!J:J,MATCH(使用レシピ!$C105,レシピ一覧!$A:$A,0)))&amp;"")*1,"")</f>
        <v>12</v>
      </c>
      <c r="L105" s="12">
        <f>IFERROR((IF($C105 = "","",INDEX(レシピ一覧!K:K,MATCH(使用レシピ!$C105,レシピ一覧!$A:$A,0)))&amp;"")*1,"")</f>
        <v>3</v>
      </c>
      <c r="M105" s="12">
        <f>IFERROR((IF($C105 = "","",INDEX(レシピ一覧!L:L,MATCH(使用レシピ!$C105,レシピ一覧!$A:$A,0)))&amp;"")*1,"")</f>
        <v>1</v>
      </c>
      <c r="N105" s="12" t="str">
        <f>IFERROR((IF($C105 = "","",INDEX(レシピ一覧!M:M,MATCH(使用レシピ!$C105,レシピ一覧!$A:$A,0)))&amp;"")*1,"")</f>
        <v/>
      </c>
      <c r="O105" s="12" t="str">
        <f>IFERROR((IF($C105 = "","",INDEX(レシピ一覧!N:N,MATCH(使用レシピ!$C105,レシピ一覧!$A:$A,0)))&amp;"")*1,"")</f>
        <v/>
      </c>
      <c r="P105" s="12">
        <f>IFERROR((IF($C105 = "","",INDEX(レシピ一覧!O:O,MATCH(使用レシピ!$C105,レシピ一覧!$A:$A,0)))&amp;"")*1,"")</f>
        <v>3</v>
      </c>
      <c r="Q105" s="35">
        <f>IFERROR((IF($C105 = "","",INDEX(レシピ一覧!P:P,MATCH(使用レシピ!$C105,レシピ一覧!$A:$A,0)))&amp;"")*1,"")</f>
        <v>30</v>
      </c>
    </row>
    <row r="106" spans="1:17" x14ac:dyDescent="0.4">
      <c r="A106" s="34">
        <v>1</v>
      </c>
      <c r="B106" s="12">
        <f>IF(E106="","",COUNTIF(レシピ一覧!$D$2:$D$500,使用レシピ!E106))</f>
        <v>3</v>
      </c>
      <c r="C106" s="18" t="str">
        <f t="shared" si="1"/>
        <v>10501</v>
      </c>
      <c r="D106" s="31">
        <f>IF(COUNTIF(レシピ一覧!$B:$B,ROW()-1),ROW()-1,"")</f>
        <v>105</v>
      </c>
      <c r="E106" s="27" t="str">
        <f>IFERROR( INDEX(レシピ一覧!$D:$D,MATCH(使用レシピ!$D106,レシピ一覧!$B:$B,0))&amp;"","")</f>
        <v>ターボ・モーター</v>
      </c>
      <c r="F106" s="12" t="str">
        <f>IF($C106 = "","",INDEX(レシピ一覧!E:E,MATCH(使用レシピ!$C106,レシピ一覧!$A:$A,0))) &amp;""</f>
        <v>冷却システム</v>
      </c>
      <c r="G106" s="12" t="str">
        <f>IF($C106 = "","",INDEX(レシピ一覧!F:F,MATCH(使用レシピ!$C106,レシピ一覧!$A:$A,0))) &amp;""</f>
        <v>無線制御ユニット</v>
      </c>
      <c r="H106" s="12" t="str">
        <f>IF($C106 = "","",INDEX(レシピ一覧!G:G,MATCH(使用レシピ!$C106,レシピ一覧!$A:$A,0))) &amp;""</f>
        <v>モーター</v>
      </c>
      <c r="I106" s="12" t="str">
        <f>IF($C106 = "","",INDEX(レシピ一覧!H:H,MATCH(使用レシピ!$C106,レシピ一覧!$A:$A,0))) &amp;""</f>
        <v>ゴム</v>
      </c>
      <c r="J106" s="12" t="str">
        <f>IF($C106 = "","",INDEX(レシピ一覧!I:I,MATCH(使用レシピ!$C106,レシピ一覧!$A:$A,0))) &amp;""</f>
        <v/>
      </c>
      <c r="K106" s="12">
        <f>IFERROR((IF($C106 = "","",INDEX(レシピ一覧!J:J,MATCH(使用レシピ!$C106,レシピ一覧!$A:$A,0)))&amp;"")*1,"")</f>
        <v>4</v>
      </c>
      <c r="L106" s="12">
        <f>IFERROR((IF($C106 = "","",INDEX(レシピ一覧!K:K,MATCH(使用レシピ!$C106,レシピ一覧!$A:$A,0)))&amp;"")*1,"")</f>
        <v>2</v>
      </c>
      <c r="M106" s="12">
        <f>IFERROR((IF($C106 = "","",INDEX(レシピ一覧!L:L,MATCH(使用レシピ!$C106,レシピ一覧!$A:$A,0)))&amp;"")*1,"")</f>
        <v>4</v>
      </c>
      <c r="N106" s="12">
        <f>IFERROR((IF($C106 = "","",INDEX(レシピ一覧!M:M,MATCH(使用レシピ!$C106,レシピ一覧!$A:$A,0)))&amp;"")*1,"")</f>
        <v>24</v>
      </c>
      <c r="O106" s="12" t="str">
        <f>IFERROR((IF($C106 = "","",INDEX(レシピ一覧!N:N,MATCH(使用レシピ!$C106,レシピ一覧!$A:$A,0)))&amp;"")*1,"")</f>
        <v/>
      </c>
      <c r="P106" s="12">
        <f>IFERROR((IF($C106 = "","",INDEX(レシピ一覧!O:O,MATCH(使用レシピ!$C106,レシピ一覧!$A:$A,0)))&amp;"")*1,"")</f>
        <v>1</v>
      </c>
      <c r="Q106" s="35">
        <f>IFERROR((IF($C106 = "","",INDEX(レシピ一覧!P:P,MATCH(使用レシピ!$C106,レシピ一覧!$A:$A,0)))&amp;"")*1,"")</f>
        <v>1.875</v>
      </c>
    </row>
    <row r="107" spans="1:17" x14ac:dyDescent="0.4">
      <c r="A107" s="34">
        <v>1</v>
      </c>
      <c r="B107" s="12">
        <f>IF(E107="","",COUNTIF(レシピ一覧!$D$2:$D$500,使用レシピ!E107))</f>
        <v>1</v>
      </c>
      <c r="C107" s="18" t="str">
        <f t="shared" si="1"/>
        <v>10601</v>
      </c>
      <c r="D107" s="31">
        <f>IF(COUNTIF(レシピ一覧!$B:$B,ROW()-1),ROW()-1,"")</f>
        <v>106</v>
      </c>
      <c r="E107" s="27" t="str">
        <f>IFERROR( INDEX(レシピ一覧!$D:$D,MATCH(使用レシピ!$D107,レシピ一覧!$B:$B,0))&amp;"","")</f>
        <v>熱推進型ロケット</v>
      </c>
      <c r="F107" s="12" t="str">
        <f>IF($C107 = "","",INDEX(レシピ一覧!E:E,MATCH(使用レシピ!$C107,レシピ一覧!$A:$A,0))) &amp;""</f>
        <v>モジュラーエンジン</v>
      </c>
      <c r="G107" s="12" t="str">
        <f>IF($C107 = "","",INDEX(レシピ一覧!F:F,MATCH(使用レシピ!$C107,レシピ一覧!$A:$A,0))) &amp;""</f>
        <v>ターボ・モーター</v>
      </c>
      <c r="H107" s="12" t="str">
        <f>IF($C107 = "","",INDEX(レシピ一覧!G:G,MATCH(使用レシピ!$C107,レシピ一覧!$A:$A,0))) &amp;""</f>
        <v>冷却システム</v>
      </c>
      <c r="I107" s="12" t="str">
        <f>IF($C107 = "","",INDEX(レシピ一覧!H:H,MATCH(使用レシピ!$C107,レシピ一覧!$A:$A,0))) &amp;""</f>
        <v>溶融モジュラー・フレーム</v>
      </c>
      <c r="J107" s="12" t="str">
        <f>IF($C107 = "","",INDEX(レシピ一覧!I:I,MATCH(使用レシピ!$C107,レシピ一覧!$A:$A,0))) &amp;""</f>
        <v/>
      </c>
      <c r="K107" s="12">
        <f>IFERROR((IF($C107 = "","",INDEX(レシピ一覧!J:J,MATCH(使用レシピ!$C107,レシピ一覧!$A:$A,0)))&amp;"")*1,"")</f>
        <v>5</v>
      </c>
      <c r="L107" s="12">
        <f>IFERROR((IF($C107 = "","",INDEX(レシピ一覧!K:K,MATCH(使用レシピ!$C107,レシピ一覧!$A:$A,0)))&amp;"")*1,"")</f>
        <v>2</v>
      </c>
      <c r="M107" s="12">
        <f>IFERROR((IF($C107 = "","",INDEX(レシピ一覧!L:L,MATCH(使用レシピ!$C107,レシピ一覧!$A:$A,0)))&amp;"")*1,"")</f>
        <v>6</v>
      </c>
      <c r="N107" s="12">
        <f>IFERROR((IF($C107 = "","",INDEX(レシピ一覧!M:M,MATCH(使用レシピ!$C107,レシピ一覧!$A:$A,0)))&amp;"")*1,"")</f>
        <v>2</v>
      </c>
      <c r="O107" s="12" t="str">
        <f>IFERROR((IF($C107 = "","",INDEX(レシピ一覧!N:N,MATCH(使用レシピ!$C107,レシピ一覧!$A:$A,0)))&amp;"")*1,"")</f>
        <v/>
      </c>
      <c r="P107" s="12">
        <f>IFERROR((IF($C107 = "","",INDEX(レシピ一覧!O:O,MATCH(使用レシピ!$C107,レシピ一覧!$A:$A,0)))&amp;"")*1,"")</f>
        <v>2</v>
      </c>
      <c r="Q107" s="35">
        <f>IFERROR((IF($C107 = "","",INDEX(レシピ一覧!P:P,MATCH(使用レシピ!$C107,レシピ一覧!$A:$A,0)))&amp;"")*1,"")</f>
        <v>1</v>
      </c>
    </row>
    <row r="108" spans="1:17" x14ac:dyDescent="0.4">
      <c r="A108" s="34">
        <v>2</v>
      </c>
      <c r="B108" s="12">
        <f>IF(E108="","",COUNTIF(レシピ一覧!$D$2:$D$500,使用レシピ!E108))</f>
        <v>2</v>
      </c>
      <c r="C108" s="18" t="str">
        <f t="shared" si="1"/>
        <v>10702</v>
      </c>
      <c r="D108" s="31">
        <f>IF(COUNTIF(レシピ一覧!$B:$B,ROW()-1),ROW()-1,"")</f>
        <v>107</v>
      </c>
      <c r="E108" s="27" t="str">
        <f>IFERROR( INDEX(レシピ一覧!$D:$D,MATCH(使用レシピ!$D108,レシピ一覧!$B:$B,0))&amp;"","")</f>
        <v>被覆型ウラン・セル</v>
      </c>
      <c r="F108" s="12" t="str">
        <f>IF($C108 = "","",INDEX(レシピ一覧!E:E,MATCH(使用レシピ!$C108,レシピ一覧!$A:$A,0))) &amp;""</f>
        <v>ウラン</v>
      </c>
      <c r="G108" s="12" t="str">
        <f>IF($C108 = "","",INDEX(レシピ一覧!F:F,MATCH(使用レシピ!$C108,レシピ一覧!$A:$A,0))) &amp;""</f>
        <v>シリカ</v>
      </c>
      <c r="H108" s="12" t="str">
        <f>IF($C108 = "","",INDEX(レシピ一覧!G:G,MATCH(使用レシピ!$C108,レシピ一覧!$A:$A,0))) &amp;""</f>
        <v>硫黄</v>
      </c>
      <c r="I108" s="12" t="str">
        <f>IF($C108 = "","",INDEX(レシピ一覧!H:H,MATCH(使用レシピ!$C108,レシピ一覧!$A:$A,0))) &amp;""</f>
        <v>クイックワイヤー</v>
      </c>
      <c r="J108" s="12" t="str">
        <f>IF($C108 = "","",INDEX(レシピ一覧!I:I,MATCH(使用レシピ!$C108,レシピ一覧!$A:$A,0))) &amp;""</f>
        <v/>
      </c>
      <c r="K108" s="12">
        <f>IFERROR((IF($C108 = "","",INDEX(レシピ一覧!J:J,MATCH(使用レシピ!$C108,レシピ一覧!$A:$A,0)))&amp;"")*1,"")</f>
        <v>5</v>
      </c>
      <c r="L108" s="12">
        <f>IFERROR((IF($C108 = "","",INDEX(レシピ一覧!K:K,MATCH(使用レシピ!$C108,レシピ一覧!$A:$A,0)))&amp;"")*1,"")</f>
        <v>3</v>
      </c>
      <c r="M108" s="12">
        <f>IFERROR((IF($C108 = "","",INDEX(レシピ一覧!L:L,MATCH(使用レシピ!$C108,レシピ一覧!$A:$A,0)))&amp;"")*1,"")</f>
        <v>5</v>
      </c>
      <c r="N108" s="12">
        <f>IFERROR((IF($C108 = "","",INDEX(レシピ一覧!M:M,MATCH(使用レシピ!$C108,レシピ一覧!$A:$A,0)))&amp;"")*1,"")</f>
        <v>15</v>
      </c>
      <c r="O108" s="12" t="str">
        <f>IFERROR((IF($C108 = "","",INDEX(レシピ一覧!N:N,MATCH(使用レシピ!$C108,レシピ一覧!$A:$A,0)))&amp;"")*1,"")</f>
        <v/>
      </c>
      <c r="P108" s="12">
        <f>IFERROR((IF($C108 = "","",INDEX(レシピ一覧!O:O,MATCH(使用レシピ!$C108,レシピ一覧!$A:$A,0)))&amp;"")*1,"")</f>
        <v>4</v>
      </c>
      <c r="Q108" s="35">
        <f>IFERROR((IF($C108 = "","",INDEX(レシピ一覧!P:P,MATCH(使用レシピ!$C108,レシピ一覧!$A:$A,0)))&amp;"")*1,"")</f>
        <v>20</v>
      </c>
    </row>
    <row r="109" spans="1:17" x14ac:dyDescent="0.4">
      <c r="A109" s="34">
        <v>1</v>
      </c>
      <c r="B109" s="12">
        <f>IF(E109="","",COUNTIF(レシピ一覧!$D$2:$D$500,使用レシピ!E109))</f>
        <v>2</v>
      </c>
      <c r="C109" s="18" t="str">
        <f t="shared" si="1"/>
        <v>10801</v>
      </c>
      <c r="D109" s="31">
        <f>IF(COUNTIF(レシピ一覧!$B:$B,ROW()-1),ROW()-1,"")</f>
        <v>108</v>
      </c>
      <c r="E109" s="27" t="str">
        <f>IFERROR( INDEX(レシピ一覧!$D:$D,MATCH(使用レシピ!$D109,レシピ一覧!$B:$B,0))&amp;"","")</f>
        <v>ウラン</v>
      </c>
      <c r="F109" s="12" t="str">
        <f>IF($C109 = "","",INDEX(レシピ一覧!E:E,MATCH(使用レシピ!$C109,レシピ一覧!$A:$A,0))) &amp;""</f>
        <v/>
      </c>
      <c r="G109" s="12" t="str">
        <f>IF($C109 = "","",INDEX(レシピ一覧!F:F,MATCH(使用レシピ!$C109,レシピ一覧!$A:$A,0))) &amp;""</f>
        <v/>
      </c>
      <c r="H109" s="12" t="str">
        <f>IF($C109 = "","",INDEX(レシピ一覧!G:G,MATCH(使用レシピ!$C109,レシピ一覧!$A:$A,0))) &amp;""</f>
        <v/>
      </c>
      <c r="I109" s="12" t="str">
        <f>IF($C109 = "","",INDEX(レシピ一覧!H:H,MATCH(使用レシピ!$C109,レシピ一覧!$A:$A,0))) &amp;""</f>
        <v/>
      </c>
      <c r="J109" s="12" t="str">
        <f>IF($C109 = "","",INDEX(レシピ一覧!I:I,MATCH(使用レシピ!$C109,レシピ一覧!$A:$A,0))) &amp;""</f>
        <v/>
      </c>
      <c r="K109" s="12" t="str">
        <f>IFERROR((IF($C109 = "","",INDEX(レシピ一覧!J:J,MATCH(使用レシピ!$C109,レシピ一覧!$A:$A,0)))&amp;"")*1,"")</f>
        <v/>
      </c>
      <c r="L109" s="12" t="str">
        <f>IFERROR((IF($C109 = "","",INDEX(レシピ一覧!K:K,MATCH(使用レシピ!$C109,レシピ一覧!$A:$A,0)))&amp;"")*1,"")</f>
        <v/>
      </c>
      <c r="M109" s="12" t="str">
        <f>IFERROR((IF($C109 = "","",INDEX(レシピ一覧!L:L,MATCH(使用レシピ!$C109,レシピ一覧!$A:$A,0)))&amp;"")*1,"")</f>
        <v/>
      </c>
      <c r="N109" s="12" t="str">
        <f>IFERROR((IF($C109 = "","",INDEX(レシピ一覧!M:M,MATCH(使用レシピ!$C109,レシピ一覧!$A:$A,0)))&amp;"")*1,"")</f>
        <v/>
      </c>
      <c r="O109" s="12" t="str">
        <f>IFERROR((IF($C109 = "","",INDEX(レシピ一覧!N:N,MATCH(使用レシピ!$C109,レシピ一覧!$A:$A,0)))&amp;"")*1,"")</f>
        <v/>
      </c>
      <c r="P109" s="12">
        <f>IFERROR((IF($C109 = "","",INDEX(レシピ一覧!O:O,MATCH(使用レシピ!$C109,レシピ一覧!$A:$A,0)))&amp;"")*1,"")</f>
        <v>1</v>
      </c>
      <c r="Q109" s="35">
        <f>IFERROR((IF($C109 = "","",INDEX(レシピ一覧!P:P,MATCH(使用レシピ!$C109,レシピ一覧!$A:$A,0)))&amp;"")*1,"")</f>
        <v>1200</v>
      </c>
    </row>
    <row r="110" spans="1:17" x14ac:dyDescent="0.4">
      <c r="A110" s="34">
        <v>1</v>
      </c>
      <c r="B110" s="12">
        <f>IF(E110="","",COUNTIF(レシピ一覧!$D$2:$D$500,使用レシピ!E110))</f>
        <v>2</v>
      </c>
      <c r="C110" s="18" t="str">
        <f t="shared" si="1"/>
        <v>10901</v>
      </c>
      <c r="D110" s="31">
        <f>IF(COUNTIF(レシピ一覧!$B:$B,ROW()-1),ROW()-1,"")</f>
        <v>109</v>
      </c>
      <c r="E110" s="27" t="str">
        <f>IFERROR( INDEX(レシピ一覧!$D:$D,MATCH(使用レシピ!$D110,レシピ一覧!$B:$B,0))&amp;"","")</f>
        <v>電磁制御棒</v>
      </c>
      <c r="F110" s="12" t="str">
        <f>IF($C110 = "","",INDEX(レシピ一覧!E:E,MATCH(使用レシピ!$C110,レシピ一覧!$A:$A,0))) &amp;""</f>
        <v>固定子</v>
      </c>
      <c r="G110" s="12" t="str">
        <f>IF($C110 = "","",INDEX(レシピ一覧!F:F,MATCH(使用レシピ!$C110,レシピ一覧!$A:$A,0))) &amp;""</f>
        <v>AIリミッター</v>
      </c>
      <c r="H110" s="12" t="str">
        <f>IF($C110 = "","",INDEX(レシピ一覧!G:G,MATCH(使用レシピ!$C110,レシピ一覧!$A:$A,0))) &amp;""</f>
        <v/>
      </c>
      <c r="I110" s="12" t="str">
        <f>IF($C110 = "","",INDEX(レシピ一覧!H:H,MATCH(使用レシピ!$C110,レシピ一覧!$A:$A,0))) &amp;""</f>
        <v/>
      </c>
      <c r="J110" s="12" t="str">
        <f>IF($C110 = "","",INDEX(レシピ一覧!I:I,MATCH(使用レシピ!$C110,レシピ一覧!$A:$A,0))) &amp;""</f>
        <v/>
      </c>
      <c r="K110" s="12">
        <f>IFERROR((IF($C110 = "","",INDEX(レシピ一覧!J:J,MATCH(使用レシピ!$C110,レシピ一覧!$A:$A,0)))&amp;"")*1,"")</f>
        <v>3</v>
      </c>
      <c r="L110" s="12">
        <f>IFERROR((IF($C110 = "","",INDEX(レシピ一覧!K:K,MATCH(使用レシピ!$C110,レシピ一覧!$A:$A,0)))&amp;"")*1,"")</f>
        <v>2</v>
      </c>
      <c r="M110" s="12" t="str">
        <f>IFERROR((IF($C110 = "","",INDEX(レシピ一覧!L:L,MATCH(使用レシピ!$C110,レシピ一覧!$A:$A,0)))&amp;"")*1,"")</f>
        <v/>
      </c>
      <c r="N110" s="12" t="str">
        <f>IFERROR((IF($C110 = "","",INDEX(レシピ一覧!M:M,MATCH(使用レシピ!$C110,レシピ一覧!$A:$A,0)))&amp;"")*1,"")</f>
        <v/>
      </c>
      <c r="O110" s="12" t="str">
        <f>IFERROR((IF($C110 = "","",INDEX(レシピ一覧!N:N,MATCH(使用レシピ!$C110,レシピ一覧!$A:$A,0)))&amp;"")*1,"")</f>
        <v/>
      </c>
      <c r="P110" s="12">
        <f>IFERROR((IF($C110 = "","",INDEX(レシピ一覧!O:O,MATCH(使用レシピ!$C110,レシピ一覧!$A:$A,0)))&amp;"")*1,"")</f>
        <v>2</v>
      </c>
      <c r="Q110" s="35">
        <f>IFERROR((IF($C110 = "","",INDEX(レシピ一覧!P:P,MATCH(使用レシピ!$C110,レシピ一覧!$A:$A,0)))&amp;"")*1,"")</f>
        <v>4</v>
      </c>
    </row>
    <row r="111" spans="1:17" x14ac:dyDescent="0.4">
      <c r="A111" s="34">
        <v>2</v>
      </c>
      <c r="B111" s="12">
        <f>IF(E111="","",COUNTIF(レシピ一覧!$D$2:$D$500,使用レシピ!E111))</f>
        <v>2</v>
      </c>
      <c r="C111" s="18" t="str">
        <f t="shared" si="1"/>
        <v>11002</v>
      </c>
      <c r="D111" s="31">
        <f>IF(COUNTIF(レシピ一覧!$B:$B,ROW()-1),ROW()-1,"")</f>
        <v>110</v>
      </c>
      <c r="E111" s="27" t="str">
        <f>IFERROR( INDEX(レシピ一覧!$D:$D,MATCH(使用レシピ!$D111,レシピ一覧!$B:$B,0))&amp;"","")</f>
        <v>ウラン燃料棒</v>
      </c>
      <c r="F111" s="12" t="str">
        <f>IF($C111 = "","",INDEX(レシピ一覧!E:E,MATCH(使用レシピ!$C111,レシピ一覧!$A:$A,0))) &amp;""</f>
        <v>被覆型ウラン・セル</v>
      </c>
      <c r="G111" s="12" t="str">
        <f>IF($C111 = "","",INDEX(レシピ一覧!F:F,MATCH(使用レシピ!$C111,レシピ一覧!$A:$A,0))) &amp;""</f>
        <v>電磁制御棒</v>
      </c>
      <c r="H111" s="12" t="str">
        <f>IF($C111 = "","",INDEX(レシピ一覧!G:G,MATCH(使用レシピ!$C111,レシピ一覧!$A:$A,0))) &amp;""</f>
        <v>水晶発振器</v>
      </c>
      <c r="I111" s="12" t="str">
        <f>IF($C111 = "","",INDEX(レシピ一覧!H:H,MATCH(使用レシピ!$C111,レシピ一覧!$A:$A,0))) &amp;""</f>
        <v>ローター</v>
      </c>
      <c r="J111" s="12" t="str">
        <f>IF($C111 = "","",INDEX(レシピ一覧!I:I,MATCH(使用レシピ!$C111,レシピ一覧!$A:$A,0))) &amp;""</f>
        <v/>
      </c>
      <c r="K111" s="12">
        <f>IFERROR((IF($C111 = "","",INDEX(レシピ一覧!J:J,MATCH(使用レシピ!$C111,レシピ一覧!$A:$A,0)))&amp;"")*1,"")</f>
        <v>100</v>
      </c>
      <c r="L111" s="12">
        <f>IFERROR((IF($C111 = "","",INDEX(レシピ一覧!K:K,MATCH(使用レシピ!$C111,レシピ一覧!$A:$A,0)))&amp;"")*1,"")</f>
        <v>10</v>
      </c>
      <c r="M111" s="12">
        <f>IFERROR((IF($C111 = "","",INDEX(レシピ一覧!L:L,MATCH(使用レシピ!$C111,レシピ一覧!$A:$A,0)))&amp;"")*1,"")</f>
        <v>3</v>
      </c>
      <c r="N111" s="12">
        <f>IFERROR((IF($C111 = "","",INDEX(レシピ一覧!M:M,MATCH(使用レシピ!$C111,レシピ一覧!$A:$A,0)))&amp;"")*1,"")</f>
        <v>10</v>
      </c>
      <c r="O111" s="12" t="str">
        <f>IFERROR((IF($C111 = "","",INDEX(レシピ一覧!N:N,MATCH(使用レシピ!$C111,レシピ一覧!$A:$A,0)))&amp;"")*1,"")</f>
        <v/>
      </c>
      <c r="P111" s="12">
        <f>IFERROR((IF($C111 = "","",INDEX(レシピ一覧!O:O,MATCH(使用レシピ!$C111,レシピ一覧!$A:$A,0)))&amp;"")*1,"")</f>
        <v>3</v>
      </c>
      <c r="Q111" s="35">
        <f>IFERROR((IF($C111 = "","",INDEX(レシピ一覧!P:P,MATCH(使用レシピ!$C111,レシピ一覧!$A:$A,0)))&amp;"")*1,"")</f>
        <v>0.6</v>
      </c>
    </row>
    <row r="112" spans="1:17" x14ac:dyDescent="0.4">
      <c r="A112" s="34">
        <v>1</v>
      </c>
      <c r="B112" s="12">
        <f>IF(E112="","",COUNTIF(レシピ一覧!$D$2:$D$500,使用レシピ!E112))</f>
        <v>1</v>
      </c>
      <c r="C112" s="18" t="str">
        <f t="shared" si="1"/>
        <v>11101</v>
      </c>
      <c r="D112" s="31">
        <f>IF(COUNTIF(レシピ一覧!$B:$B,ROW()-1),ROW()-1,"")</f>
        <v>111</v>
      </c>
      <c r="E112" s="27" t="str">
        <f>IFERROR( INDEX(レシピ一覧!$D:$D,MATCH(使用レシピ!$D112,レシピ一覧!$B:$B,0))&amp;"","")</f>
        <v>磁界発生装置</v>
      </c>
      <c r="F112" s="12" t="str">
        <f>IF($C112 = "","",INDEX(レシピ一覧!E:E,MATCH(使用レシピ!$C112,レシピ一覧!$A:$A,0))) &amp;""</f>
        <v>多目的フレームワーク</v>
      </c>
      <c r="G112" s="12" t="str">
        <f>IF($C112 = "","",INDEX(レシピ一覧!F:F,MATCH(使用レシピ!$C112,レシピ一覧!$A:$A,0))) &amp;""</f>
        <v>電磁制御棒</v>
      </c>
      <c r="H112" s="12" t="str">
        <f>IF($C112 = "","",INDEX(レシピ一覧!G:G,MATCH(使用レシピ!$C112,レシピ一覧!$A:$A,0))) &amp;""</f>
        <v/>
      </c>
      <c r="I112" s="12" t="str">
        <f>IF($C112 = "","",INDEX(レシピ一覧!H:H,MATCH(使用レシピ!$C112,レシピ一覧!$A:$A,0))) &amp;""</f>
        <v/>
      </c>
      <c r="J112" s="12" t="str">
        <f>IF($C112 = "","",INDEX(レシピ一覧!I:I,MATCH(使用レシピ!$C112,レシピ一覧!$A:$A,0))) &amp;""</f>
        <v/>
      </c>
      <c r="K112" s="12">
        <f>IFERROR((IF($C112 = "","",INDEX(レシピ一覧!J:J,MATCH(使用レシピ!$C112,レシピ一覧!$A:$A,0)))&amp;"")*1,"")</f>
        <v>5</v>
      </c>
      <c r="L112" s="12">
        <f>IFERROR((IF($C112 = "","",INDEX(レシピ一覧!K:K,MATCH(使用レシピ!$C112,レシピ一覧!$A:$A,0)))&amp;"")*1,"")</f>
        <v>2</v>
      </c>
      <c r="M112" s="12" t="str">
        <f>IFERROR((IF($C112 = "","",INDEX(レシピ一覧!L:L,MATCH(使用レシピ!$C112,レシピ一覧!$A:$A,0)))&amp;"")*1,"")</f>
        <v/>
      </c>
      <c r="N112" s="12" t="str">
        <f>IFERROR((IF($C112 = "","",INDEX(レシピ一覧!M:M,MATCH(使用レシピ!$C112,レシピ一覧!$A:$A,0)))&amp;"")*1,"")</f>
        <v/>
      </c>
      <c r="O112" s="12" t="str">
        <f>IFERROR((IF($C112 = "","",INDEX(レシピ一覧!N:N,MATCH(使用レシピ!$C112,レシピ一覧!$A:$A,0)))&amp;"")*1,"")</f>
        <v/>
      </c>
      <c r="P112" s="12">
        <f>IFERROR((IF($C112 = "","",INDEX(レシピ一覧!O:O,MATCH(使用レシピ!$C112,レシピ一覧!$A:$A,0)))&amp;"")*1,"")</f>
        <v>2</v>
      </c>
      <c r="Q112" s="35">
        <f>IFERROR((IF($C112 = "","",INDEX(レシピ一覧!P:P,MATCH(使用レシピ!$C112,レシピ一覧!$A:$A,0)))&amp;"")*1,"")</f>
        <v>1</v>
      </c>
    </row>
    <row r="113" spans="1:17" x14ac:dyDescent="0.4">
      <c r="A113" s="34">
        <v>1</v>
      </c>
      <c r="B113" s="12">
        <f>IF(E113="","",COUNTIF(レシピ一覧!$D$2:$D$500,使用レシピ!E113))</f>
        <v>1</v>
      </c>
      <c r="C113" s="18" t="str">
        <f t="shared" si="1"/>
        <v>11201</v>
      </c>
      <c r="D113" s="31">
        <f>IF(COUNTIF(レシピ一覧!$B:$B,ROW()-1),ROW()-1,"")</f>
        <v>112</v>
      </c>
      <c r="E113" s="27" t="str">
        <f>IFERROR( INDEX(レシピ一覧!$D:$D,MATCH(使用レシピ!$D113,レシピ一覧!$B:$B,0))&amp;"","")</f>
        <v>容器入り硝酸</v>
      </c>
      <c r="F113" s="12" t="str">
        <f>IF($C113 = "","",INDEX(レシピ一覧!E:E,MATCH(使用レシピ!$C113,レシピ一覧!$A:$A,0))) &amp;""</f>
        <v>硝酸</v>
      </c>
      <c r="G113" s="12" t="str">
        <f>IF($C113 = "","",INDEX(レシピ一覧!F:F,MATCH(使用レシピ!$C113,レシピ一覧!$A:$A,0))) &amp;""</f>
        <v>空の液体タンク</v>
      </c>
      <c r="H113" s="12" t="str">
        <f>IF($C113 = "","",INDEX(レシピ一覧!G:G,MATCH(使用レシピ!$C113,レシピ一覧!$A:$A,0))) &amp;""</f>
        <v/>
      </c>
      <c r="I113" s="12" t="str">
        <f>IF($C113 = "","",INDEX(レシピ一覧!H:H,MATCH(使用レシピ!$C113,レシピ一覧!$A:$A,0))) &amp;""</f>
        <v/>
      </c>
      <c r="J113" s="12" t="str">
        <f>IF($C113 = "","",INDEX(レシピ一覧!I:I,MATCH(使用レシピ!$C113,レシピ一覧!$A:$A,0))) &amp;""</f>
        <v/>
      </c>
      <c r="K113" s="12">
        <f>IFERROR((IF($C113 = "","",INDEX(レシピ一覧!J:J,MATCH(使用レシピ!$C113,レシピ一覧!$A:$A,0)))&amp;"")*1,"")</f>
        <v>1</v>
      </c>
      <c r="L113" s="12">
        <f>IFERROR((IF($C113 = "","",INDEX(レシピ一覧!K:K,MATCH(使用レシピ!$C113,レシピ一覧!$A:$A,0)))&amp;"")*1,"")</f>
        <v>1</v>
      </c>
      <c r="M113" s="12" t="str">
        <f>IFERROR((IF($C113 = "","",INDEX(レシピ一覧!L:L,MATCH(使用レシピ!$C113,レシピ一覧!$A:$A,0)))&amp;"")*1,"")</f>
        <v/>
      </c>
      <c r="N113" s="12" t="str">
        <f>IFERROR((IF($C113 = "","",INDEX(レシピ一覧!M:M,MATCH(使用レシピ!$C113,レシピ一覧!$A:$A,0)))&amp;"")*1,"")</f>
        <v/>
      </c>
      <c r="O113" s="12" t="str">
        <f>IFERROR((IF($C113 = "","",INDEX(レシピ一覧!N:N,MATCH(使用レシピ!$C113,レシピ一覧!$A:$A,0)))&amp;"")*1,"")</f>
        <v/>
      </c>
      <c r="P113" s="12">
        <f>IFERROR((IF($C113 = "","",INDEX(レシピ一覧!O:O,MATCH(使用レシピ!$C113,レシピ一覧!$A:$A,0)))&amp;"")*1,"")</f>
        <v>1</v>
      </c>
      <c r="Q113" s="35">
        <f>IFERROR((IF($C113 = "","",INDEX(レシピ一覧!P:P,MATCH(使用レシピ!$C113,レシピ一覧!$A:$A,0)))&amp;"")*1,"")</f>
        <v>30</v>
      </c>
    </row>
    <row r="114" spans="1:17" x14ac:dyDescent="0.4">
      <c r="A114" s="34">
        <v>1</v>
      </c>
      <c r="B114" s="12">
        <f>IF(E114="","",COUNTIF(レシピ一覧!$D$2:$D$500,使用レシピ!E114))</f>
        <v>2</v>
      </c>
      <c r="C114" s="18" t="str">
        <f t="shared" si="1"/>
        <v>11301</v>
      </c>
      <c r="D114" s="31">
        <f>IF(COUNTIF(レシピ一覧!$B:$B,ROW()-1),ROW()-1,"")</f>
        <v>113</v>
      </c>
      <c r="E114" s="27" t="str">
        <f>IFERROR( INDEX(レシピ一覧!$D:$D,MATCH(使用レシピ!$D114,レシピ一覧!$B:$B,0))&amp;"","")</f>
        <v>非核分裂性ウラン</v>
      </c>
      <c r="F114" s="12" t="str">
        <f>IF($C114 = "","",INDEX(レシピ一覧!E:E,MATCH(使用レシピ!$C114,レシピ一覧!$A:$A,0))) &amp;""</f>
        <v>ウラン廃棄物</v>
      </c>
      <c r="G114" s="12" t="str">
        <f>IF($C114 = "","",INDEX(レシピ一覧!F:F,MATCH(使用レシピ!$C114,レシピ一覧!$A:$A,0))) &amp;""</f>
        <v>シリカ</v>
      </c>
      <c r="H114" s="12" t="str">
        <f>IF($C114 = "","",INDEX(レシピ一覧!G:G,MATCH(使用レシピ!$C114,レシピ一覧!$A:$A,0))) &amp;""</f>
        <v>硝酸</v>
      </c>
      <c r="I114" s="12" t="str">
        <f>IF($C114 = "","",INDEX(レシピ一覧!H:H,MATCH(使用レシピ!$C114,レシピ一覧!$A:$A,0))) &amp;""</f>
        <v>硫酸</v>
      </c>
      <c r="J114" s="12" t="str">
        <f>IF($C114 = "","",INDEX(レシピ一覧!I:I,MATCH(使用レシピ!$C114,レシピ一覧!$A:$A,0))) &amp;""</f>
        <v>水</v>
      </c>
      <c r="K114" s="12">
        <f>IFERROR((IF($C114 = "","",INDEX(レシピ一覧!J:J,MATCH(使用レシピ!$C114,レシピ一覧!$A:$A,0)))&amp;"")*1,"")</f>
        <v>15</v>
      </c>
      <c r="L114" s="12">
        <f>IFERROR((IF($C114 = "","",INDEX(レシピ一覧!K:K,MATCH(使用レシピ!$C114,レシピ一覧!$A:$A,0)))&amp;"")*1,"")</f>
        <v>10</v>
      </c>
      <c r="M114" s="12">
        <f>IFERROR((IF($C114 = "","",INDEX(レシピ一覧!L:L,MATCH(使用レシピ!$C114,レシピ一覧!$A:$A,0)))&amp;"")*1,"")</f>
        <v>6</v>
      </c>
      <c r="N114" s="12">
        <f>IFERROR((IF($C114 = "","",INDEX(レシピ一覧!M:M,MATCH(使用レシピ!$C114,レシピ一覧!$A:$A,0)))&amp;"")*1,"")</f>
        <v>6</v>
      </c>
      <c r="O114" s="12">
        <f>IFERROR((IF($C114 = "","",INDEX(レシピ一覧!N:N,MATCH(使用レシピ!$C114,レシピ一覧!$A:$A,0)))&amp;"")*1,"")</f>
        <v>6</v>
      </c>
      <c r="P114" s="12">
        <f>IFERROR((IF($C114 = "","",INDEX(レシピ一覧!O:O,MATCH(使用レシピ!$C114,レシピ一覧!$A:$A,0)))&amp;"")*1,"")</f>
        <v>20</v>
      </c>
      <c r="Q114" s="35">
        <f>IFERROR((IF($C114 = "","",INDEX(レシピ一覧!P:P,MATCH(使用レシピ!$C114,レシピ一覧!$A:$A,0)))&amp;"")*1,"")</f>
        <v>50</v>
      </c>
    </row>
    <row r="115" spans="1:17" x14ac:dyDescent="0.4">
      <c r="A115" s="34">
        <v>1</v>
      </c>
      <c r="B115" s="12">
        <f>IF(E115="","",COUNTIF(レシピ一覧!$D$2:$D$500,使用レシピ!E115))</f>
        <v>1</v>
      </c>
      <c r="C115" s="18" t="str">
        <f t="shared" si="1"/>
        <v>11401</v>
      </c>
      <c r="D115" s="31">
        <f>IF(COUNTIF(レシピ一覧!$B:$B,ROW()-1),ROW()-1,"")</f>
        <v>114</v>
      </c>
      <c r="E115" s="27" t="str">
        <f>IFERROR( INDEX(レシピ一覧!$D:$D,MATCH(使用レシピ!$D115,レシピ一覧!$B:$B,0))&amp;"","")</f>
        <v>ウラン廃棄物</v>
      </c>
      <c r="F115" s="12" t="str">
        <f>IF($C115 = "","",INDEX(レシピ一覧!E:E,MATCH(使用レシピ!$C115,レシピ一覧!$A:$A,0))) &amp;""</f>
        <v>ウラン燃料棒</v>
      </c>
      <c r="G115" s="12" t="str">
        <f>IF($C115 = "","",INDEX(レシピ一覧!F:F,MATCH(使用レシピ!$C115,レシピ一覧!$A:$A,0))) &amp;""</f>
        <v>水</v>
      </c>
      <c r="H115" s="12" t="str">
        <f>IF($C115 = "","",INDEX(レシピ一覧!G:G,MATCH(使用レシピ!$C115,レシピ一覧!$A:$A,0))) &amp;""</f>
        <v/>
      </c>
      <c r="I115" s="12" t="str">
        <f>IF($C115 = "","",INDEX(レシピ一覧!H:H,MATCH(使用レシピ!$C115,レシピ一覧!$A:$A,0))) &amp;""</f>
        <v/>
      </c>
      <c r="J115" s="12" t="str">
        <f>IF($C115 = "","",INDEX(レシピ一覧!I:I,MATCH(使用レシピ!$C115,レシピ一覧!$A:$A,0))) &amp;""</f>
        <v/>
      </c>
      <c r="K115" s="12">
        <f>IFERROR((IF($C115 = "","",INDEX(レシピ一覧!J:J,MATCH(使用レシピ!$C115,レシピ一覧!$A:$A,0)))&amp;"")*1,"")</f>
        <v>1</v>
      </c>
      <c r="L115" s="12">
        <f>IFERROR((IF($C115 = "","",INDEX(レシピ一覧!K:K,MATCH(使用レシピ!$C115,レシピ一覧!$A:$A,0)))&amp;"")*1,"")</f>
        <v>1200</v>
      </c>
      <c r="M115" s="12" t="str">
        <f>IFERROR((IF($C115 = "","",INDEX(レシピ一覧!L:L,MATCH(使用レシピ!$C115,レシピ一覧!$A:$A,0)))&amp;"")*1,"")</f>
        <v/>
      </c>
      <c r="N115" s="12" t="str">
        <f>IFERROR((IF($C115 = "","",INDEX(レシピ一覧!M:M,MATCH(使用レシピ!$C115,レシピ一覧!$A:$A,0)))&amp;"")*1,"")</f>
        <v/>
      </c>
      <c r="O115" s="12" t="str">
        <f>IFERROR((IF($C115 = "","",INDEX(レシピ一覧!N:N,MATCH(使用レシピ!$C115,レシピ一覧!$A:$A,0)))&amp;"")*1,"")</f>
        <v/>
      </c>
      <c r="P115" s="12">
        <f>IFERROR((IF($C115 = "","",INDEX(レシピ一覧!O:O,MATCH(使用レシピ!$C115,レシピ一覧!$A:$A,0)))&amp;"")*1,"")</f>
        <v>50</v>
      </c>
      <c r="Q115" s="35">
        <f>IFERROR((IF($C115 = "","",INDEX(レシピ一覧!P:P,MATCH(使用レシピ!$C115,レシピ一覧!$A:$A,0)))&amp;"")*1,"")</f>
        <v>10</v>
      </c>
    </row>
    <row r="116" spans="1:17" x14ac:dyDescent="0.4">
      <c r="A116" s="34">
        <v>1</v>
      </c>
      <c r="B116" s="12">
        <f>IF(E116="","",COUNTIF(レシピ一覧!$D$2:$D$500,使用レシピ!E116))</f>
        <v>1</v>
      </c>
      <c r="C116" s="18" t="str">
        <f t="shared" si="1"/>
        <v>11501</v>
      </c>
      <c r="D116" s="31">
        <f>IF(COUNTIF(レシピ一覧!$B:$B,ROW()-1),ROW()-1,"")</f>
        <v>115</v>
      </c>
      <c r="E116" s="27" t="str">
        <f>IFERROR( INDEX(レシピ一覧!$D:$D,MATCH(使用レシピ!$D116,レシピ一覧!$B:$B,0))&amp;"","")</f>
        <v>プルトニウム・ペレット</v>
      </c>
      <c r="F116" s="12" t="str">
        <f>IF($C116 = "","",INDEX(レシピ一覧!E:E,MATCH(使用レシピ!$C116,レシピ一覧!$A:$A,0))) &amp;""</f>
        <v>非核分裂性ウラン</v>
      </c>
      <c r="G116" s="12" t="str">
        <f>IF($C116 = "","",INDEX(レシピ一覧!F:F,MATCH(使用レシピ!$C116,レシピ一覧!$A:$A,0))) &amp;""</f>
        <v>ウラン廃棄物</v>
      </c>
      <c r="H116" s="12" t="str">
        <f>IF($C116 = "","",INDEX(レシピ一覧!G:G,MATCH(使用レシピ!$C116,レシピ一覧!$A:$A,0))) &amp;""</f>
        <v/>
      </c>
      <c r="I116" s="12" t="str">
        <f>IF($C116 = "","",INDEX(レシピ一覧!H:H,MATCH(使用レシピ!$C116,レシピ一覧!$A:$A,0))) &amp;""</f>
        <v/>
      </c>
      <c r="J116" s="12" t="str">
        <f>IF($C116 = "","",INDEX(レシピ一覧!I:I,MATCH(使用レシピ!$C116,レシピ一覧!$A:$A,0))) &amp;""</f>
        <v/>
      </c>
      <c r="K116" s="12">
        <f>IFERROR((IF($C116 = "","",INDEX(レシピ一覧!J:J,MATCH(使用レシピ!$C116,レシピ一覧!$A:$A,0)))&amp;"")*1,"")</f>
        <v>100</v>
      </c>
      <c r="L116" s="12">
        <f>IFERROR((IF($C116 = "","",INDEX(レシピ一覧!K:K,MATCH(使用レシピ!$C116,レシピ一覧!$A:$A,0)))&amp;"")*1,"")</f>
        <v>25</v>
      </c>
      <c r="M116" s="12" t="str">
        <f>IFERROR((IF($C116 = "","",INDEX(レシピ一覧!L:L,MATCH(使用レシピ!$C116,レシピ一覧!$A:$A,0)))&amp;"")*1,"")</f>
        <v/>
      </c>
      <c r="N116" s="12" t="str">
        <f>IFERROR((IF($C116 = "","",INDEX(レシピ一覧!M:M,MATCH(使用レシピ!$C116,レシピ一覧!$A:$A,0)))&amp;"")*1,"")</f>
        <v/>
      </c>
      <c r="O116" s="12" t="str">
        <f>IFERROR((IF($C116 = "","",INDEX(レシピ一覧!N:N,MATCH(使用レシピ!$C116,レシピ一覧!$A:$A,0)))&amp;"")*1,"")</f>
        <v/>
      </c>
      <c r="P116" s="12">
        <f>IFERROR((IF($C116 = "","",INDEX(レシピ一覧!O:O,MATCH(使用レシピ!$C116,レシピ一覧!$A:$A,0)))&amp;"")*1,"")</f>
        <v>30</v>
      </c>
      <c r="Q116" s="35">
        <f>IFERROR((IF($C116 = "","",INDEX(レシピ一覧!P:P,MATCH(使用レシピ!$C116,レシピ一覧!$A:$A,0)))&amp;"")*1,"")</f>
        <v>30</v>
      </c>
    </row>
    <row r="117" spans="1:17" x14ac:dyDescent="0.4">
      <c r="A117" s="34">
        <v>2</v>
      </c>
      <c r="B117" s="12">
        <f>IF(E117="","",COUNTIF(レシピ一覧!$D$2:$D$500,使用レシピ!E117))</f>
        <v>2</v>
      </c>
      <c r="C117" s="18" t="str">
        <f t="shared" si="1"/>
        <v>11602</v>
      </c>
      <c r="D117" s="31">
        <f>IF(COUNTIF(レシピ一覧!$B:$B,ROW()-1),ROW()-1,"")</f>
        <v>116</v>
      </c>
      <c r="E117" s="27" t="str">
        <f>IFERROR( INDEX(レシピ一覧!$D:$D,MATCH(使用レシピ!$D117,レシピ一覧!$B:$B,0))&amp;"","")</f>
        <v>被覆型プルトニウム・セル</v>
      </c>
      <c r="F117" s="12" t="str">
        <f>IF($C117 = "","",INDEX(レシピ一覧!E:E,MATCH(使用レシピ!$C117,レシピ一覧!$A:$A,0))) &amp;""</f>
        <v>非核分裂性ウラン</v>
      </c>
      <c r="G117" s="12" t="str">
        <f>IF($C117 = "","",INDEX(レシピ一覧!F:F,MATCH(使用レシピ!$C117,レシピ一覧!$A:$A,0))) &amp;""</f>
        <v>アルミ筐体</v>
      </c>
      <c r="H117" s="12" t="str">
        <f>IF($C117 = "","",INDEX(レシピ一覧!G:G,MATCH(使用レシピ!$C117,レシピ一覧!$A:$A,0))) &amp;""</f>
        <v/>
      </c>
      <c r="I117" s="12" t="str">
        <f>IF($C117 = "","",INDEX(レシピ一覧!H:H,MATCH(使用レシピ!$C117,レシピ一覧!$A:$A,0))) &amp;""</f>
        <v/>
      </c>
      <c r="J117" s="12" t="str">
        <f>IF($C117 = "","",INDEX(レシピ一覧!I:I,MATCH(使用レシピ!$C117,レシピ一覧!$A:$A,0))) &amp;""</f>
        <v/>
      </c>
      <c r="K117" s="12">
        <f>IFERROR((IF($C117 = "","",INDEX(レシピ一覧!J:J,MATCH(使用レシピ!$C117,レシピ一覧!$A:$A,0)))&amp;"")*1,"")</f>
        <v>150</v>
      </c>
      <c r="L117" s="12">
        <f>IFERROR((IF($C117 = "","",INDEX(レシピ一覧!K:K,MATCH(使用レシピ!$C117,レシピ一覧!$A:$A,0)))&amp;"")*1,"")</f>
        <v>20</v>
      </c>
      <c r="M117" s="12" t="str">
        <f>IFERROR((IF($C117 = "","",INDEX(レシピ一覧!L:L,MATCH(使用レシピ!$C117,レシピ一覧!$A:$A,0)))&amp;"")*1,"")</f>
        <v/>
      </c>
      <c r="N117" s="12" t="str">
        <f>IFERROR((IF($C117 = "","",INDEX(レシピ一覧!M:M,MATCH(使用レシピ!$C117,レシピ一覧!$A:$A,0)))&amp;"")*1,"")</f>
        <v/>
      </c>
      <c r="O117" s="12" t="str">
        <f>IFERROR((IF($C117 = "","",INDEX(レシピ一覧!N:N,MATCH(使用レシピ!$C117,レシピ一覧!$A:$A,0)))&amp;"")*1,"")</f>
        <v/>
      </c>
      <c r="P117" s="12">
        <f>IFERROR((IF($C117 = "","",INDEX(レシピ一覧!O:O,MATCH(使用レシピ!$C117,レシピ一覧!$A:$A,0)))&amp;"")*1,"")</f>
        <v>20</v>
      </c>
      <c r="Q117" s="35">
        <f>IFERROR((IF($C117 = "","",INDEX(レシピ一覧!P:P,MATCH(使用レシピ!$C117,レシピ一覧!$A:$A,0)))&amp;"")*1,"")</f>
        <v>10</v>
      </c>
    </row>
    <row r="118" spans="1:17" x14ac:dyDescent="0.4">
      <c r="A118" s="34">
        <v>2</v>
      </c>
      <c r="B118" s="12">
        <f>IF(E118="","",COUNTIF(レシピ一覧!$D$2:$D$500,使用レシピ!E118))</f>
        <v>2</v>
      </c>
      <c r="C118" s="18" t="str">
        <f t="shared" si="1"/>
        <v>11702</v>
      </c>
      <c r="D118" s="31">
        <f>IF(COUNTIF(レシピ一覧!$B:$B,ROW()-1),ROW()-1,"")</f>
        <v>117</v>
      </c>
      <c r="E118" s="27" t="str">
        <f>IFERROR( INDEX(レシピ一覧!$D:$D,MATCH(使用レシピ!$D118,レシピ一覧!$B:$B,0))&amp;"","")</f>
        <v>プルトニウム燃料棒</v>
      </c>
      <c r="F118" s="12" t="str">
        <f>IF($C118 = "","",INDEX(レシピ一覧!E:E,MATCH(使用レシピ!$C118,レシピ一覧!$A:$A,0))) &amp;""</f>
        <v>被覆型プルトニウム・セル</v>
      </c>
      <c r="G118" s="12" t="str">
        <f>IF($C118 = "","",INDEX(レシピ一覧!F:F,MATCH(使用レシピ!$C118,レシピ一覧!$A:$A,0))) &amp;""</f>
        <v>圧力変換キューブ</v>
      </c>
      <c r="H118" s="12" t="str">
        <f>IF($C118 = "","",INDEX(レシピ一覧!G:G,MATCH(使用レシピ!$C118,レシピ一覧!$A:$A,0))) &amp;""</f>
        <v/>
      </c>
      <c r="I118" s="12" t="str">
        <f>IF($C118 = "","",INDEX(レシピ一覧!H:H,MATCH(使用レシピ!$C118,レシピ一覧!$A:$A,0))) &amp;""</f>
        <v/>
      </c>
      <c r="J118" s="12" t="str">
        <f>IF($C118 = "","",INDEX(レシピ一覧!I:I,MATCH(使用レシピ!$C118,レシピ一覧!$A:$A,0))) &amp;""</f>
        <v/>
      </c>
      <c r="K118" s="12">
        <f>IFERROR((IF($C118 = "","",INDEX(レシピ一覧!J:J,MATCH(使用レシピ!$C118,レシピ一覧!$A:$A,0)))&amp;"")*1,"")</f>
        <v>20</v>
      </c>
      <c r="L118" s="12">
        <f>IFERROR((IF($C118 = "","",INDEX(レシピ一覧!K:K,MATCH(使用レシピ!$C118,レシピ一覧!$A:$A,0)))&amp;"")*1,"")</f>
        <v>1</v>
      </c>
      <c r="M118" s="12" t="str">
        <f>IFERROR((IF($C118 = "","",INDEX(レシピ一覧!L:L,MATCH(使用レシピ!$C118,レシピ一覧!$A:$A,0)))&amp;"")*1,"")</f>
        <v/>
      </c>
      <c r="N118" s="12" t="str">
        <f>IFERROR((IF($C118 = "","",INDEX(レシピ一覧!M:M,MATCH(使用レシピ!$C118,レシピ一覧!$A:$A,0)))&amp;"")*1,"")</f>
        <v/>
      </c>
      <c r="O118" s="12" t="str">
        <f>IFERROR((IF($C118 = "","",INDEX(レシピ一覧!N:N,MATCH(使用レシピ!$C118,レシピ一覧!$A:$A,0)))&amp;"")*1,"")</f>
        <v/>
      </c>
      <c r="P118" s="12">
        <f>IFERROR((IF($C118 = "","",INDEX(レシピ一覧!O:O,MATCH(使用レシピ!$C118,レシピ一覧!$A:$A,0)))&amp;"")*1,"")</f>
        <v>1</v>
      </c>
      <c r="Q118" s="35">
        <f>IFERROR((IF($C118 = "","",INDEX(レシピ一覧!P:P,MATCH(使用レシピ!$C118,レシピ一覧!$A:$A,0)))&amp;"")*1,"")</f>
        <v>0.5</v>
      </c>
    </row>
    <row r="119" spans="1:17" x14ac:dyDescent="0.4">
      <c r="A119" s="34">
        <v>1</v>
      </c>
      <c r="B119" s="12">
        <f>IF(E119="","",COUNTIF(レシピ一覧!$D$2:$D$500,使用レシピ!E119))</f>
        <v>1</v>
      </c>
      <c r="C119" s="18" t="str">
        <f t="shared" si="1"/>
        <v>11801</v>
      </c>
      <c r="D119" s="31">
        <f>IF(COUNTIF(レシピ一覧!$B:$B,ROW()-1),ROW()-1,"")</f>
        <v>118</v>
      </c>
      <c r="E119" s="27" t="str">
        <f>IFERROR( INDEX(レシピ一覧!$D:$D,MATCH(使用レシピ!$D119,レシピ一覧!$B:$B,0))&amp;"","")</f>
        <v>銅粉</v>
      </c>
      <c r="F119" s="12" t="str">
        <f>IF($C119 = "","",INDEX(レシピ一覧!E:E,MATCH(使用レシピ!$C119,レシピ一覧!$A:$A,0))) &amp;""</f>
        <v>銅のインゴット</v>
      </c>
      <c r="G119" s="12" t="str">
        <f>IF($C119 = "","",INDEX(レシピ一覧!F:F,MATCH(使用レシピ!$C119,レシピ一覧!$A:$A,0))) &amp;""</f>
        <v/>
      </c>
      <c r="H119" s="12" t="str">
        <f>IF($C119 = "","",INDEX(レシピ一覧!G:G,MATCH(使用レシピ!$C119,レシピ一覧!$A:$A,0))) &amp;""</f>
        <v/>
      </c>
      <c r="I119" s="12" t="str">
        <f>IF($C119 = "","",INDEX(レシピ一覧!H:H,MATCH(使用レシピ!$C119,レシピ一覧!$A:$A,0))) &amp;""</f>
        <v/>
      </c>
      <c r="J119" s="12" t="str">
        <f>IF($C119 = "","",INDEX(レシピ一覧!I:I,MATCH(使用レシピ!$C119,レシピ一覧!$A:$A,0))) &amp;""</f>
        <v/>
      </c>
      <c r="K119" s="12">
        <f>IFERROR((IF($C119 = "","",INDEX(レシピ一覧!J:J,MATCH(使用レシピ!$C119,レシピ一覧!$A:$A,0)))&amp;"")*1,"")</f>
        <v>30</v>
      </c>
      <c r="L119" s="12" t="str">
        <f>IFERROR((IF($C119 = "","",INDEX(レシピ一覧!K:K,MATCH(使用レシピ!$C119,レシピ一覧!$A:$A,0)))&amp;"")*1,"")</f>
        <v/>
      </c>
      <c r="M119" s="12" t="str">
        <f>IFERROR((IF($C119 = "","",INDEX(レシピ一覧!L:L,MATCH(使用レシピ!$C119,レシピ一覧!$A:$A,0)))&amp;"")*1,"")</f>
        <v/>
      </c>
      <c r="N119" s="12" t="str">
        <f>IFERROR((IF($C119 = "","",INDEX(レシピ一覧!M:M,MATCH(使用レシピ!$C119,レシピ一覧!$A:$A,0)))&amp;"")*1,"")</f>
        <v/>
      </c>
      <c r="O119" s="12" t="str">
        <f>IFERROR((IF($C119 = "","",INDEX(レシピ一覧!N:N,MATCH(使用レシピ!$C119,レシピ一覧!$A:$A,0)))&amp;"")*1,"")</f>
        <v/>
      </c>
      <c r="P119" s="12">
        <f>IFERROR((IF($C119 = "","",INDEX(レシピ一覧!O:O,MATCH(使用レシピ!$C119,レシピ一覧!$A:$A,0)))&amp;"")*1,"")</f>
        <v>5</v>
      </c>
      <c r="Q119" s="35">
        <f>IFERROR((IF($C119 = "","",INDEX(レシピ一覧!P:P,MATCH(使用レシピ!$C119,レシピ一覧!$A:$A,0)))&amp;"")*1,"")</f>
        <v>50</v>
      </c>
    </row>
    <row r="120" spans="1:17" x14ac:dyDescent="0.4">
      <c r="A120" s="34">
        <v>1</v>
      </c>
      <c r="B120" s="12">
        <f>IF(E120="","",COUNTIF(レシピ一覧!$D$2:$D$500,使用レシピ!E120))</f>
        <v>1</v>
      </c>
      <c r="C120" s="18" t="str">
        <f t="shared" si="1"/>
        <v>11901</v>
      </c>
      <c r="D120" s="31">
        <f>IF(COUNTIF(レシピ一覧!$B:$B,ROW()-1),ROW()-1,"")</f>
        <v>119</v>
      </c>
      <c r="E120" s="27" t="str">
        <f>IFERROR( INDEX(レシピ一覧!$D:$D,MATCH(使用レシピ!$D120,レシピ一覧!$B:$B,0))&amp;"","")</f>
        <v>圧力変換キューブ</v>
      </c>
      <c r="F120" s="12" t="str">
        <f>IF($C120 = "","",INDEX(レシピ一覧!E:E,MATCH(使用レシピ!$C120,レシピ一覧!$A:$A,0))) &amp;""</f>
        <v>溶融モジュラー・フレーム</v>
      </c>
      <c r="G120" s="12" t="str">
        <f>IF($C120 = "","",INDEX(レシピ一覧!F:F,MATCH(使用レシピ!$C120,レシピ一覧!$A:$A,0))) &amp;""</f>
        <v>無線制御ユニット</v>
      </c>
      <c r="H120" s="12" t="str">
        <f>IF($C120 = "","",INDEX(レシピ一覧!G:G,MATCH(使用レシピ!$C120,レシピ一覧!$A:$A,0))) &amp;""</f>
        <v/>
      </c>
      <c r="I120" s="12" t="str">
        <f>IF($C120 = "","",INDEX(レシピ一覧!H:H,MATCH(使用レシピ!$C120,レシピ一覧!$A:$A,0))) &amp;""</f>
        <v/>
      </c>
      <c r="J120" s="12" t="str">
        <f>IF($C120 = "","",INDEX(レシピ一覧!I:I,MATCH(使用レシピ!$C120,レシピ一覧!$A:$A,0))) &amp;""</f>
        <v/>
      </c>
      <c r="K120" s="12">
        <f>IFERROR((IF($C120 = "","",INDEX(レシピ一覧!J:J,MATCH(使用レシピ!$C120,レシピ一覧!$A:$A,0)))&amp;"")*1,"")</f>
        <v>1</v>
      </c>
      <c r="L120" s="12">
        <f>IFERROR((IF($C120 = "","",INDEX(レシピ一覧!K:K,MATCH(使用レシピ!$C120,レシピ一覧!$A:$A,0)))&amp;"")*1,"")</f>
        <v>2</v>
      </c>
      <c r="M120" s="12" t="str">
        <f>IFERROR((IF($C120 = "","",INDEX(レシピ一覧!L:L,MATCH(使用レシピ!$C120,レシピ一覧!$A:$A,0)))&amp;"")*1,"")</f>
        <v/>
      </c>
      <c r="N120" s="12" t="str">
        <f>IFERROR((IF($C120 = "","",INDEX(レシピ一覧!M:M,MATCH(使用レシピ!$C120,レシピ一覧!$A:$A,0)))&amp;"")*1,"")</f>
        <v/>
      </c>
      <c r="O120" s="12" t="str">
        <f>IFERROR((IF($C120 = "","",INDEX(レシピ一覧!N:N,MATCH(使用レシピ!$C120,レシピ一覧!$A:$A,0)))&amp;"")*1,"")</f>
        <v/>
      </c>
      <c r="P120" s="12">
        <f>IFERROR((IF($C120 = "","",INDEX(レシピ一覧!O:O,MATCH(使用レシピ!$C120,レシピ一覧!$A:$A,0)))&amp;"")*1,"")</f>
        <v>1</v>
      </c>
      <c r="Q120" s="35">
        <f>IFERROR((IF($C120 = "","",INDEX(レシピ一覧!P:P,MATCH(使用レシピ!$C120,レシピ一覧!$A:$A,0)))&amp;"")*1,"")</f>
        <v>1</v>
      </c>
    </row>
    <row r="121" spans="1:17" x14ac:dyDescent="0.4">
      <c r="A121" s="34">
        <v>1</v>
      </c>
      <c r="B121" s="12">
        <f>IF(E121="","",COUNTIF(レシピ一覧!$D$2:$D$500,使用レシピ!E121))</f>
        <v>1</v>
      </c>
      <c r="C121" s="18" t="str">
        <f t="shared" si="1"/>
        <v>12001</v>
      </c>
      <c r="D121" s="31">
        <f>IF(COUNTIF(レシピ一覧!$B:$B,ROW()-1),ROW()-1,"")</f>
        <v>120</v>
      </c>
      <c r="E121" s="27" t="str">
        <f>IFERROR( INDEX(レシピ一覧!$D:$D,MATCH(使用レシピ!$D121,レシピ一覧!$B:$B,0))&amp;"","")</f>
        <v>核パスタ</v>
      </c>
      <c r="F121" s="12" t="str">
        <f>IF($C121 = "","",INDEX(レシピ一覧!E:E,MATCH(使用レシピ!$C121,レシピ一覧!$A:$A,0))) &amp;""</f>
        <v>銅粉</v>
      </c>
      <c r="G121" s="12" t="str">
        <f>IF($C121 = "","",INDEX(レシピ一覧!F:F,MATCH(使用レシピ!$C121,レシピ一覧!$A:$A,0))) &amp;""</f>
        <v>圧力変換キューブ</v>
      </c>
      <c r="H121" s="12" t="str">
        <f>IF($C121 = "","",INDEX(レシピ一覧!G:G,MATCH(使用レシピ!$C121,レシピ一覧!$A:$A,0))) &amp;""</f>
        <v/>
      </c>
      <c r="I121" s="12" t="str">
        <f>IF($C121 = "","",INDEX(レシピ一覧!H:H,MATCH(使用レシピ!$C121,レシピ一覧!$A:$A,0))) &amp;""</f>
        <v/>
      </c>
      <c r="J121" s="12" t="str">
        <f>IF($C121 = "","",INDEX(レシピ一覧!I:I,MATCH(使用レシピ!$C121,レシピ一覧!$A:$A,0))) &amp;""</f>
        <v/>
      </c>
      <c r="K121" s="12">
        <f>IFERROR((IF($C121 = "","",INDEX(レシピ一覧!J:J,MATCH(使用レシピ!$C121,レシピ一覧!$A:$A,0)))&amp;"")*1,"")</f>
        <v>200</v>
      </c>
      <c r="L121" s="12">
        <f>IFERROR((IF($C121 = "","",INDEX(レシピ一覧!K:K,MATCH(使用レシピ!$C121,レシピ一覧!$A:$A,0)))&amp;"")*1,"")</f>
        <v>1</v>
      </c>
      <c r="M121" s="12" t="str">
        <f>IFERROR((IF($C121 = "","",INDEX(レシピ一覧!L:L,MATCH(使用レシピ!$C121,レシピ一覧!$A:$A,0)))&amp;"")*1,"")</f>
        <v/>
      </c>
      <c r="N121" s="12" t="str">
        <f>IFERROR((IF($C121 = "","",INDEX(レシピ一覧!M:M,MATCH(使用レシピ!$C121,レシピ一覧!$A:$A,0)))&amp;"")*1,"")</f>
        <v/>
      </c>
      <c r="O121" s="12" t="str">
        <f>IFERROR((IF($C121 = "","",INDEX(レシピ一覧!N:N,MATCH(使用レシピ!$C121,レシピ一覧!$A:$A,0)))&amp;"")*1,"")</f>
        <v/>
      </c>
      <c r="P121" s="12">
        <f>IFERROR((IF($C121 = "","",INDEX(レシピ一覧!O:O,MATCH(使用レシピ!$C121,レシピ一覧!$A:$A,0)))&amp;"")*1,"")</f>
        <v>1</v>
      </c>
      <c r="Q121" s="35">
        <f>IFERROR((IF($C121 = "","",INDEX(レシピ一覧!P:P,MATCH(使用レシピ!$C121,レシピ一覧!$A:$A,0)))&amp;"")*1,"")</f>
        <v>0.5</v>
      </c>
    </row>
    <row r="122" spans="1:17" x14ac:dyDescent="0.4">
      <c r="A122" s="34">
        <v>1</v>
      </c>
      <c r="B122" s="12">
        <f>IF(E122="","",COUNTIF(レシピ一覧!$D$2:$D$500,使用レシピ!E122))</f>
        <v>3</v>
      </c>
      <c r="C122" s="18" t="str">
        <f t="shared" si="1"/>
        <v>12101</v>
      </c>
      <c r="D122" s="31">
        <f>IF(COUNTIF(レシピ一覧!$B:$B,ROW()-1),ROW()-1,"")</f>
        <v>121</v>
      </c>
      <c r="E122" s="27" t="str">
        <f>IFERROR( INDEX(レシピ一覧!$D:$D,MATCH(使用レシピ!$D122,レシピ一覧!$B:$B,0))&amp;"","")</f>
        <v>FICSITEのインゴット</v>
      </c>
      <c r="F122" s="12" t="str">
        <f>IF($C122 = "","",INDEX(レシピ一覧!E:E,MATCH(使用レシピ!$C122,レシピ一覧!$A:$A,0))) &amp;""</f>
        <v>活性SAM</v>
      </c>
      <c r="G122" s="12" t="str">
        <f>IF($C122 = "","",INDEX(レシピ一覧!F:F,MATCH(使用レシピ!$C122,レシピ一覧!$A:$A,0))) &amp;""</f>
        <v>鉄のインゴット</v>
      </c>
      <c r="H122" s="12" t="str">
        <f>IF($C122 = "","",INDEX(レシピ一覧!G:G,MATCH(使用レシピ!$C122,レシピ一覧!$A:$A,0))) &amp;""</f>
        <v/>
      </c>
      <c r="I122" s="12" t="str">
        <f>IF($C122 = "","",INDEX(レシピ一覧!H:H,MATCH(使用レシピ!$C122,レシピ一覧!$A:$A,0))) &amp;""</f>
        <v/>
      </c>
      <c r="J122" s="12" t="str">
        <f>IF($C122 = "","",INDEX(レシピ一覧!I:I,MATCH(使用レシピ!$C122,レシピ一覧!$A:$A,0))) &amp;""</f>
        <v/>
      </c>
      <c r="K122" s="12">
        <f>IFERROR((IF($C122 = "","",INDEX(レシピ一覧!J:J,MATCH(使用レシピ!$C122,レシピ一覧!$A:$A,0)))&amp;"")*1,"")</f>
        <v>4</v>
      </c>
      <c r="L122" s="12">
        <f>IFERROR((IF($C122 = "","",INDEX(レシピ一覧!K:K,MATCH(使用レシピ!$C122,レシピ一覧!$A:$A,0)))&amp;"")*1,"")</f>
        <v>24</v>
      </c>
      <c r="M122" s="12" t="str">
        <f>IFERROR((IF($C122 = "","",INDEX(レシピ一覧!L:L,MATCH(使用レシピ!$C122,レシピ一覧!$A:$A,0)))&amp;"")*1,"")</f>
        <v/>
      </c>
      <c r="N122" s="12" t="str">
        <f>IFERROR((IF($C122 = "","",INDEX(レシピ一覧!M:M,MATCH(使用レシピ!$C122,レシピ一覧!$A:$A,0)))&amp;"")*1,"")</f>
        <v/>
      </c>
      <c r="O122" s="12" t="str">
        <f>IFERROR((IF($C122 = "","",INDEX(レシピ一覧!N:N,MATCH(使用レシピ!$C122,レシピ一覧!$A:$A,0)))&amp;"")*1,"")</f>
        <v/>
      </c>
      <c r="P122" s="12">
        <f>IFERROR((IF($C122 = "","",INDEX(レシピ一覧!O:O,MATCH(使用レシピ!$C122,レシピ一覧!$A:$A,0)))&amp;"")*1,"")</f>
        <v>1</v>
      </c>
      <c r="Q122" s="35">
        <f>IFERROR((IF($C122 = "","",INDEX(レシピ一覧!P:P,MATCH(使用レシピ!$C122,レシピ一覧!$A:$A,0)))&amp;"")*1,"")</f>
        <v>10</v>
      </c>
    </row>
    <row r="123" spans="1:17" x14ac:dyDescent="0.4">
      <c r="A123" s="34">
        <v>1</v>
      </c>
      <c r="B123" s="12">
        <f>IF(E123="","",COUNTIF(レシピ一覧!$D$2:$D$500,使用レシピ!E123))</f>
        <v>1</v>
      </c>
      <c r="C123" s="18" t="str">
        <f t="shared" si="1"/>
        <v>12201</v>
      </c>
      <c r="D123" s="31">
        <f>IF(COUNTIF(レシピ一覧!$B:$B,ROW()-1),ROW()-1,"")</f>
        <v>122</v>
      </c>
      <c r="E123" s="27" t="str">
        <f>IFERROR( INDEX(レシピ一覧!$D:$D,MATCH(使用レシピ!$D123,レシピ一覧!$B:$B,0))&amp;"","")</f>
        <v>FICSITEの三角板</v>
      </c>
      <c r="F123" s="12" t="str">
        <f>IF($C123 = "","",INDEX(レシピ一覧!E:E,MATCH(使用レシピ!$C123,レシピ一覧!$A:$A,0))) &amp;""</f>
        <v>FICSITEのインゴット</v>
      </c>
      <c r="G123" s="12" t="str">
        <f>IF($C123 = "","",INDEX(レシピ一覧!F:F,MATCH(使用レシピ!$C123,レシピ一覧!$A:$A,0))) &amp;""</f>
        <v/>
      </c>
      <c r="H123" s="12" t="str">
        <f>IF($C123 = "","",INDEX(レシピ一覧!G:G,MATCH(使用レシピ!$C123,レシピ一覧!$A:$A,0))) &amp;""</f>
        <v/>
      </c>
      <c r="I123" s="12" t="str">
        <f>IF($C123 = "","",INDEX(レシピ一覧!H:H,MATCH(使用レシピ!$C123,レシピ一覧!$A:$A,0))) &amp;""</f>
        <v/>
      </c>
      <c r="J123" s="12" t="str">
        <f>IF($C123 = "","",INDEX(レシピ一覧!I:I,MATCH(使用レシピ!$C123,レシピ一覧!$A:$A,0))) &amp;""</f>
        <v/>
      </c>
      <c r="K123" s="12">
        <f>IFERROR((IF($C123 = "","",INDEX(レシピ一覧!J:J,MATCH(使用レシピ!$C123,レシピ一覧!$A:$A,0)))&amp;"")*1,"")</f>
        <v>1</v>
      </c>
      <c r="L123" s="12" t="str">
        <f>IFERROR((IF($C123 = "","",INDEX(レシピ一覧!K:K,MATCH(使用レシピ!$C123,レシピ一覧!$A:$A,0)))&amp;"")*1,"")</f>
        <v/>
      </c>
      <c r="M123" s="12" t="str">
        <f>IFERROR((IF($C123 = "","",INDEX(レシピ一覧!L:L,MATCH(使用レシピ!$C123,レシピ一覧!$A:$A,0)))&amp;"")*1,"")</f>
        <v/>
      </c>
      <c r="N123" s="12" t="str">
        <f>IFERROR((IF($C123 = "","",INDEX(レシピ一覧!M:M,MATCH(使用レシピ!$C123,レシピ一覧!$A:$A,0)))&amp;"")*1,"")</f>
        <v/>
      </c>
      <c r="O123" s="12" t="str">
        <f>IFERROR((IF($C123 = "","",INDEX(レシピ一覧!N:N,MATCH(使用レシピ!$C123,レシピ一覧!$A:$A,0)))&amp;"")*1,"")</f>
        <v/>
      </c>
      <c r="P123" s="12">
        <f>IFERROR((IF($C123 = "","",INDEX(レシピ一覧!O:O,MATCH(使用レシピ!$C123,レシピ一覧!$A:$A,0)))&amp;"")*1,"")</f>
        <v>3</v>
      </c>
      <c r="Q123" s="35">
        <f>IFERROR((IF($C123 = "","",INDEX(レシピ一覧!P:P,MATCH(使用レシピ!$C123,レシピ一覧!$A:$A,0)))&amp;"")*1,"")</f>
        <v>30</v>
      </c>
    </row>
    <row r="124" spans="1:17" x14ac:dyDescent="0.4">
      <c r="A124" s="34">
        <v>1</v>
      </c>
      <c r="B124" s="12">
        <f>IF(E124="","",COUNTIF(レシピ一覧!$D$2:$D$500,使用レシピ!E124))</f>
        <v>6</v>
      </c>
      <c r="C124" s="18" t="str">
        <f t="shared" si="1"/>
        <v>12301</v>
      </c>
      <c r="D124" s="31">
        <f>IF(COUNTIF(レシピ一覧!$B:$B,ROW()-1),ROW()-1,"")</f>
        <v>123</v>
      </c>
      <c r="E124" s="27" t="str">
        <f>IFERROR( INDEX(レシピ一覧!$D:$D,MATCH(使用レシピ!$D124,レシピ一覧!$B:$B,0))&amp;"","")</f>
        <v>ダイヤモンド</v>
      </c>
      <c r="F124" s="12" t="str">
        <f>IF($C124 = "","",INDEX(レシピ一覧!E:E,MATCH(使用レシピ!$C124,レシピ一覧!$A:$A,0))) &amp;""</f>
        <v>石炭</v>
      </c>
      <c r="G124" s="12" t="str">
        <f>IF($C124 = "","",INDEX(レシピ一覧!F:F,MATCH(使用レシピ!$C124,レシピ一覧!$A:$A,0))) &amp;""</f>
        <v/>
      </c>
      <c r="H124" s="12" t="str">
        <f>IF($C124 = "","",INDEX(レシピ一覧!G:G,MATCH(使用レシピ!$C124,レシピ一覧!$A:$A,0))) &amp;""</f>
        <v/>
      </c>
      <c r="I124" s="12" t="str">
        <f>IF($C124 = "","",INDEX(レシピ一覧!H:H,MATCH(使用レシピ!$C124,レシピ一覧!$A:$A,0))) &amp;""</f>
        <v/>
      </c>
      <c r="J124" s="12" t="str">
        <f>IF($C124 = "","",INDEX(レシピ一覧!I:I,MATCH(使用レシピ!$C124,レシピ一覧!$A:$A,0))) &amp;""</f>
        <v/>
      </c>
      <c r="K124" s="12">
        <f>IFERROR((IF($C124 = "","",INDEX(レシピ一覧!J:J,MATCH(使用レシピ!$C124,レシピ一覧!$A:$A,0)))&amp;"")*1,"")</f>
        <v>20</v>
      </c>
      <c r="L124" s="12" t="str">
        <f>IFERROR((IF($C124 = "","",INDEX(レシピ一覧!K:K,MATCH(使用レシピ!$C124,レシピ一覧!$A:$A,0)))&amp;"")*1,"")</f>
        <v/>
      </c>
      <c r="M124" s="12" t="str">
        <f>IFERROR((IF($C124 = "","",INDEX(レシピ一覧!L:L,MATCH(使用レシピ!$C124,レシピ一覧!$A:$A,0)))&amp;"")*1,"")</f>
        <v/>
      </c>
      <c r="N124" s="12" t="str">
        <f>IFERROR((IF($C124 = "","",INDEX(レシピ一覧!M:M,MATCH(使用レシピ!$C124,レシピ一覧!$A:$A,0)))&amp;"")*1,"")</f>
        <v/>
      </c>
      <c r="O124" s="12" t="str">
        <f>IFERROR((IF($C124 = "","",INDEX(レシピ一覧!N:N,MATCH(使用レシピ!$C124,レシピ一覧!$A:$A,0)))&amp;"")*1,"")</f>
        <v/>
      </c>
      <c r="P124" s="12">
        <f>IFERROR((IF($C124 = "","",INDEX(レシピ一覧!O:O,MATCH(使用レシピ!$C124,レシピ一覧!$A:$A,0)))&amp;"")*1,"")</f>
        <v>1</v>
      </c>
      <c r="Q124" s="35">
        <f>IFERROR((IF($C124 = "","",INDEX(レシピ一覧!P:P,MATCH(使用レシピ!$C124,レシピ一覧!$A:$A,0)))&amp;"")*1,"")</f>
        <v>30</v>
      </c>
    </row>
    <row r="125" spans="1:17" x14ac:dyDescent="0.4">
      <c r="A125" s="34">
        <v>1</v>
      </c>
      <c r="B125" s="12">
        <f>IF(E125="","",COUNTIF(レシピ一覧!$D$2:$D$500,使用レシピ!E125))</f>
        <v>1</v>
      </c>
      <c r="C125" s="18" t="str">
        <f t="shared" si="1"/>
        <v>12401</v>
      </c>
      <c r="D125" s="31">
        <f>IF(COUNTIF(レシピ一覧!$B:$B,ROW()-1),ROW()-1,"")</f>
        <v>124</v>
      </c>
      <c r="E125" s="27" t="str">
        <f>IFERROR( INDEX(レシピ一覧!$D:$D,MATCH(使用レシピ!$D125,レシピ一覧!$B:$B,0))&amp;"","")</f>
        <v>時の結晶</v>
      </c>
      <c r="F125" s="12" t="str">
        <f>IF($C125 = "","",INDEX(レシピ一覧!E:E,MATCH(使用レシピ!$C125,レシピ一覧!$A:$A,0))) &amp;""</f>
        <v>ダイヤモンド</v>
      </c>
      <c r="G125" s="12" t="str">
        <f>IF($C125 = "","",INDEX(レシピ一覧!F:F,MATCH(使用レシピ!$C125,レシピ一覧!$A:$A,0))) &amp;""</f>
        <v/>
      </c>
      <c r="H125" s="12" t="str">
        <f>IF($C125 = "","",INDEX(レシピ一覧!G:G,MATCH(使用レシピ!$C125,レシピ一覧!$A:$A,0))) &amp;""</f>
        <v/>
      </c>
      <c r="I125" s="12" t="str">
        <f>IF($C125 = "","",INDEX(レシピ一覧!H:H,MATCH(使用レシピ!$C125,レシピ一覧!$A:$A,0))) &amp;""</f>
        <v/>
      </c>
      <c r="J125" s="12" t="str">
        <f>IF($C125 = "","",INDEX(レシピ一覧!I:I,MATCH(使用レシピ!$C125,レシピ一覧!$A:$A,0))) &amp;""</f>
        <v/>
      </c>
      <c r="K125" s="12">
        <f>IFERROR((IF($C125 = "","",INDEX(レシピ一覧!J:J,MATCH(使用レシピ!$C125,レシピ一覧!$A:$A,0)))&amp;"")*1,"")</f>
        <v>2</v>
      </c>
      <c r="L125" s="12" t="str">
        <f>IFERROR((IF($C125 = "","",INDEX(レシピ一覧!K:K,MATCH(使用レシピ!$C125,レシピ一覧!$A:$A,0)))&amp;"")*1,"")</f>
        <v/>
      </c>
      <c r="M125" s="12" t="str">
        <f>IFERROR((IF($C125 = "","",INDEX(レシピ一覧!L:L,MATCH(使用レシピ!$C125,レシピ一覧!$A:$A,0)))&amp;"")*1,"")</f>
        <v/>
      </c>
      <c r="N125" s="12" t="str">
        <f>IFERROR((IF($C125 = "","",INDEX(レシピ一覧!M:M,MATCH(使用レシピ!$C125,レシピ一覧!$A:$A,0)))&amp;"")*1,"")</f>
        <v/>
      </c>
      <c r="O125" s="12" t="str">
        <f>IFERROR((IF($C125 = "","",INDEX(レシピ一覧!N:N,MATCH(使用レシピ!$C125,レシピ一覧!$A:$A,0)))&amp;"")*1,"")</f>
        <v/>
      </c>
      <c r="P125" s="12">
        <f>IFERROR((IF($C125 = "","",INDEX(レシピ一覧!O:O,MATCH(使用レシピ!$C125,レシピ一覧!$A:$A,0)))&amp;"")*1,"")</f>
        <v>1</v>
      </c>
      <c r="Q125" s="35">
        <f>IFERROR((IF($C125 = "","",INDEX(レシピ一覧!P:P,MATCH(使用レシピ!$C125,レシピ一覧!$A:$A,0)))&amp;"")*1,"")</f>
        <v>6</v>
      </c>
    </row>
    <row r="126" spans="1:17" x14ac:dyDescent="0.4">
      <c r="A126" s="34">
        <v>1</v>
      </c>
      <c r="B126" s="12">
        <f>IF(E126="","",COUNTIF(レシピ一覧!$D$2:$D$500,使用レシピ!E126))</f>
        <v>1</v>
      </c>
      <c r="C126" s="18" t="str">
        <f t="shared" si="1"/>
        <v>12501</v>
      </c>
      <c r="D126" s="31">
        <f>IF(COUNTIF(レシピ一覧!$B:$B,ROW()-1),ROW()-1,"")</f>
        <v>125</v>
      </c>
      <c r="E126" s="27" t="str">
        <f>IFERROR( INDEX(レシピ一覧!$D:$D,MATCH(使用レシピ!$D126,レシピ一覧!$B:$B,0))&amp;"","")</f>
        <v>生化学スカルプター</v>
      </c>
      <c r="F126" s="12" t="str">
        <f>IF($C126 = "","",INDEX(レシピ一覧!E:E,MATCH(使用レシピ!$C126,レシピ一覧!$A:$A,0))) &amp;""</f>
        <v>組立指揮システム</v>
      </c>
      <c r="G126" s="12" t="str">
        <f>IF($C126 = "","",INDEX(レシピ一覧!F:F,MATCH(使用レシピ!$C126,レシピ一覧!$A:$A,0))) &amp;""</f>
        <v>FICSITEの三角板</v>
      </c>
      <c r="H126" s="12" t="str">
        <f>IF($C126 = "","",INDEX(レシピ一覧!G:G,MATCH(使用レシピ!$C126,レシピ一覧!$A:$A,0))) &amp;""</f>
        <v>水</v>
      </c>
      <c r="I126" s="12" t="str">
        <f>IF($C126 = "","",INDEX(レシピ一覧!H:H,MATCH(使用レシピ!$C126,レシピ一覧!$A:$A,0))) &amp;""</f>
        <v/>
      </c>
      <c r="J126" s="12" t="str">
        <f>IF($C126 = "","",INDEX(レシピ一覧!I:I,MATCH(使用レシピ!$C126,レシピ一覧!$A:$A,0))) &amp;""</f>
        <v/>
      </c>
      <c r="K126" s="12">
        <f>IFERROR((IF($C126 = "","",INDEX(レシピ一覧!J:J,MATCH(使用レシピ!$C126,レシピ一覧!$A:$A,0)))&amp;"")*1,"")</f>
        <v>1</v>
      </c>
      <c r="L126" s="12">
        <f>IFERROR((IF($C126 = "","",INDEX(レシピ一覧!K:K,MATCH(使用レシピ!$C126,レシピ一覧!$A:$A,0)))&amp;"")*1,"")</f>
        <v>80</v>
      </c>
      <c r="M126" s="12">
        <f>IFERROR((IF($C126 = "","",INDEX(レシピ一覧!L:L,MATCH(使用レシピ!$C126,レシピ一覧!$A:$A,0)))&amp;"")*1,"")</f>
        <v>20</v>
      </c>
      <c r="N126" s="12" t="str">
        <f>IFERROR((IF($C126 = "","",INDEX(レシピ一覧!M:M,MATCH(使用レシピ!$C126,レシピ一覧!$A:$A,0)))&amp;"")*1,"")</f>
        <v/>
      </c>
      <c r="O126" s="12" t="str">
        <f>IFERROR((IF($C126 = "","",INDEX(レシピ一覧!N:N,MATCH(使用レシピ!$C126,レシピ一覧!$A:$A,0)))&amp;"")*1,"")</f>
        <v/>
      </c>
      <c r="P126" s="12">
        <f>IFERROR((IF($C126 = "","",INDEX(レシピ一覧!O:O,MATCH(使用レシピ!$C126,レシピ一覧!$A:$A,0)))&amp;"")*1,"")</f>
        <v>4</v>
      </c>
      <c r="Q126" s="35">
        <f>IFERROR((IF($C126 = "","",INDEX(レシピ一覧!P:P,MATCH(使用レシピ!$C126,レシピ一覧!$A:$A,0)))&amp;"")*1,"")</f>
        <v>2</v>
      </c>
    </row>
    <row r="127" spans="1:17" x14ac:dyDescent="0.4">
      <c r="A127" s="34">
        <v>1</v>
      </c>
      <c r="B127" s="12">
        <f>IF(E127="","",COUNTIF(レシピ一覧!$D$2:$D$500,使用レシピ!E127))</f>
        <v>1</v>
      </c>
      <c r="C127" s="18" t="str">
        <f t="shared" si="1"/>
        <v>12601</v>
      </c>
      <c r="D127" s="31">
        <f>IF(COUNTIF(レシピ一覧!$B:$B,ROW()-1),ROW()-1,"")</f>
        <v>126</v>
      </c>
      <c r="E127" s="27" t="str">
        <f>IFERROR( INDEX(レシピ一覧!$D:$D,MATCH(使用レシピ!$D127,レシピ一覧!$B:$B,0))&amp;"","")</f>
        <v>励起フォトニック物質</v>
      </c>
      <c r="F127" s="12" t="str">
        <f>IF($C127 = "","",INDEX(レシピ一覧!E:E,MATCH(使用レシピ!$C127,レシピ一覧!$A:$A,0))) &amp;""</f>
        <v/>
      </c>
      <c r="G127" s="12" t="str">
        <f>IF($C127 = "","",INDEX(レシピ一覧!F:F,MATCH(使用レシピ!$C127,レシピ一覧!$A:$A,0))) &amp;""</f>
        <v/>
      </c>
      <c r="H127" s="12" t="str">
        <f>IF($C127 = "","",INDEX(レシピ一覧!G:G,MATCH(使用レシピ!$C127,レシピ一覧!$A:$A,0))) &amp;""</f>
        <v/>
      </c>
      <c r="I127" s="12" t="str">
        <f>IF($C127 = "","",INDEX(レシピ一覧!H:H,MATCH(使用レシピ!$C127,レシピ一覧!$A:$A,0))) &amp;""</f>
        <v/>
      </c>
      <c r="J127" s="12" t="str">
        <f>IF($C127 = "","",INDEX(レシピ一覧!I:I,MATCH(使用レシピ!$C127,レシピ一覧!$A:$A,0))) &amp;""</f>
        <v/>
      </c>
      <c r="K127" s="12" t="str">
        <f>IFERROR((IF($C127 = "","",INDEX(レシピ一覧!J:J,MATCH(使用レシピ!$C127,レシピ一覧!$A:$A,0)))&amp;"")*1,"")</f>
        <v/>
      </c>
      <c r="L127" s="12" t="str">
        <f>IFERROR((IF($C127 = "","",INDEX(レシピ一覧!K:K,MATCH(使用レシピ!$C127,レシピ一覧!$A:$A,0)))&amp;"")*1,"")</f>
        <v/>
      </c>
      <c r="M127" s="12" t="str">
        <f>IFERROR((IF($C127 = "","",INDEX(レシピ一覧!L:L,MATCH(使用レシピ!$C127,レシピ一覧!$A:$A,0)))&amp;"")*1,"")</f>
        <v/>
      </c>
      <c r="N127" s="12" t="str">
        <f>IFERROR((IF($C127 = "","",INDEX(レシピ一覧!M:M,MATCH(使用レシピ!$C127,レシピ一覧!$A:$A,0)))&amp;"")*1,"")</f>
        <v/>
      </c>
      <c r="O127" s="12" t="str">
        <f>IFERROR((IF($C127 = "","",INDEX(レシピ一覧!N:N,MATCH(使用レシピ!$C127,レシピ一覧!$A:$A,0)))&amp;"")*1,"")</f>
        <v/>
      </c>
      <c r="P127" s="12">
        <f>IFERROR((IF($C127 = "","",INDEX(レシピ一覧!O:O,MATCH(使用レシピ!$C127,レシピ一覧!$A:$A,0)))&amp;"")*1,"")</f>
        <v>10</v>
      </c>
      <c r="Q127" s="35">
        <f>IFERROR((IF($C127 = "","",INDEX(レシピ一覧!P:P,MATCH(使用レシピ!$C127,レシピ一覧!$A:$A,0)))&amp;"")*1,"")</f>
        <v>200</v>
      </c>
    </row>
    <row r="128" spans="1:17" x14ac:dyDescent="0.4">
      <c r="A128" s="34">
        <v>1</v>
      </c>
      <c r="B128" s="12">
        <f>IF(E128="","",COUNTIF(レシピ一覧!$D$2:$D$500,使用レシピ!E128))</f>
        <v>7</v>
      </c>
      <c r="C128" s="18" t="str">
        <f t="shared" si="1"/>
        <v>12701</v>
      </c>
      <c r="D128" s="31">
        <f>IF(COUNTIF(レシピ一覧!$B:$B,ROW()-1),ROW()-1,"")</f>
        <v>127</v>
      </c>
      <c r="E128" s="27" t="str">
        <f>IFERROR( INDEX(レシピ一覧!$D:$D,MATCH(使用レシピ!$D128,レシピ一覧!$B:$B,0))&amp;"","")</f>
        <v>ダークマターの残留物</v>
      </c>
      <c r="F128" s="12" t="str">
        <f>IF($C128 = "","",INDEX(レシピ一覧!E:E,MATCH(使用レシピ!$C128,レシピ一覧!$A:$A,0))) &amp;""</f>
        <v>活性SAM</v>
      </c>
      <c r="G128" s="12" t="str">
        <f>IF($C128 = "","",INDEX(レシピ一覧!F:F,MATCH(使用レシピ!$C128,レシピ一覧!$A:$A,0))) &amp;""</f>
        <v/>
      </c>
      <c r="H128" s="12" t="str">
        <f>IF($C128 = "","",INDEX(レシピ一覧!G:G,MATCH(使用レシピ!$C128,レシピ一覧!$A:$A,0))) &amp;""</f>
        <v/>
      </c>
      <c r="I128" s="12" t="str">
        <f>IF($C128 = "","",INDEX(レシピ一覧!H:H,MATCH(使用レシピ!$C128,レシピ一覧!$A:$A,0))) &amp;""</f>
        <v/>
      </c>
      <c r="J128" s="12" t="str">
        <f>IF($C128 = "","",INDEX(レシピ一覧!I:I,MATCH(使用レシピ!$C128,レシピ一覧!$A:$A,0))) &amp;""</f>
        <v/>
      </c>
      <c r="K128" s="12">
        <f>IFERROR((IF($C128 = "","",INDEX(レシピ一覧!J:J,MATCH(使用レシピ!$C128,レシピ一覧!$A:$A,0)))&amp;"")*1,"")</f>
        <v>5</v>
      </c>
      <c r="L128" s="12" t="str">
        <f>IFERROR((IF($C128 = "","",INDEX(レシピ一覧!K:K,MATCH(使用レシピ!$C128,レシピ一覧!$A:$A,0)))&amp;"")*1,"")</f>
        <v/>
      </c>
      <c r="M128" s="12" t="str">
        <f>IFERROR((IF($C128 = "","",INDEX(レシピ一覧!L:L,MATCH(使用レシピ!$C128,レシピ一覧!$A:$A,0)))&amp;"")*1,"")</f>
        <v/>
      </c>
      <c r="N128" s="12" t="str">
        <f>IFERROR((IF($C128 = "","",INDEX(レシピ一覧!M:M,MATCH(使用レシピ!$C128,レシピ一覧!$A:$A,0)))&amp;"")*1,"")</f>
        <v/>
      </c>
      <c r="O128" s="12" t="str">
        <f>IFERROR((IF($C128 = "","",INDEX(レシピ一覧!N:N,MATCH(使用レシピ!$C128,レシピ一覧!$A:$A,0)))&amp;"")*1,"")</f>
        <v/>
      </c>
      <c r="P128" s="12">
        <f>IFERROR((IF($C128 = "","",INDEX(レシピ一覧!O:O,MATCH(使用レシピ!$C128,レシピ一覧!$A:$A,0)))&amp;"")*1,"")</f>
        <v>10</v>
      </c>
      <c r="Q128" s="35">
        <f>IFERROR((IF($C128 = "","",INDEX(レシピ一覧!P:P,MATCH(使用レシピ!$C128,レシピ一覧!$A:$A,0)))&amp;"")*1,"")</f>
        <v>100</v>
      </c>
    </row>
    <row r="129" spans="1:17" x14ac:dyDescent="0.4">
      <c r="A129" s="34">
        <v>1</v>
      </c>
      <c r="B129" s="12">
        <f>IF(E129="","",COUNTIF(レシピ一覧!$D$2:$D$500,使用レシピ!E129))</f>
        <v>3</v>
      </c>
      <c r="C129" s="18" t="str">
        <f t="shared" si="1"/>
        <v>12801</v>
      </c>
      <c r="D129" s="31">
        <f>IF(COUNTIF(レシピ一覧!$B:$B,ROW()-1),ROW()-1,"")</f>
        <v>128</v>
      </c>
      <c r="E129" s="27" t="str">
        <f>IFERROR( INDEX(レシピ一覧!$D:$D,MATCH(使用レシピ!$D129,レシピ一覧!$B:$B,0))&amp;"","")</f>
        <v>ダークマターの結晶</v>
      </c>
      <c r="F129" s="12" t="str">
        <f>IF($C129 = "","",INDEX(レシピ一覧!E:E,MATCH(使用レシピ!$C129,レシピ一覧!$A:$A,0))) &amp;""</f>
        <v>ダイヤモンド</v>
      </c>
      <c r="G129" s="12" t="str">
        <f>IF($C129 = "","",INDEX(レシピ一覧!F:F,MATCH(使用レシピ!$C129,レシピ一覧!$A:$A,0))) &amp;""</f>
        <v>ダークマターの残留物</v>
      </c>
      <c r="H129" s="12" t="str">
        <f>IF($C129 = "","",INDEX(レシピ一覧!G:G,MATCH(使用レシピ!$C129,レシピ一覧!$A:$A,0))) &amp;""</f>
        <v/>
      </c>
      <c r="I129" s="12" t="str">
        <f>IF($C129 = "","",INDEX(レシピ一覧!H:H,MATCH(使用レシピ!$C129,レシピ一覧!$A:$A,0))) &amp;""</f>
        <v/>
      </c>
      <c r="J129" s="12" t="str">
        <f>IF($C129 = "","",INDEX(レシピ一覧!I:I,MATCH(使用レシピ!$C129,レシピ一覧!$A:$A,0))) &amp;""</f>
        <v/>
      </c>
      <c r="K129" s="12">
        <f>IFERROR((IF($C129 = "","",INDEX(レシピ一覧!J:J,MATCH(使用レシピ!$C129,レシピ一覧!$A:$A,0)))&amp;"")*1,"")</f>
        <v>1</v>
      </c>
      <c r="L129" s="12">
        <f>IFERROR((IF($C129 = "","",INDEX(レシピ一覧!K:K,MATCH(使用レシピ!$C129,レシピ一覧!$A:$A,0)))&amp;"")*1,"")</f>
        <v>5</v>
      </c>
      <c r="M129" s="12" t="str">
        <f>IFERROR((IF($C129 = "","",INDEX(レシピ一覧!L:L,MATCH(使用レシピ!$C129,レシピ一覧!$A:$A,0)))&amp;"")*1,"")</f>
        <v/>
      </c>
      <c r="N129" s="12" t="str">
        <f>IFERROR((IF($C129 = "","",INDEX(レシピ一覧!M:M,MATCH(使用レシピ!$C129,レシピ一覧!$A:$A,0)))&amp;"")*1,"")</f>
        <v/>
      </c>
      <c r="O129" s="12" t="str">
        <f>IFERROR((IF($C129 = "","",INDEX(レシピ一覧!N:N,MATCH(使用レシピ!$C129,レシピ一覧!$A:$A,0)))&amp;"")*1,"")</f>
        <v/>
      </c>
      <c r="P129" s="12">
        <f>IFERROR((IF($C129 = "","",INDEX(レシピ一覧!O:O,MATCH(使用レシピ!$C129,レシピ一覧!$A:$A,0)))&amp;"")*1,"")</f>
        <v>1</v>
      </c>
      <c r="Q129" s="35">
        <f>IFERROR((IF($C129 = "","",INDEX(レシピ一覧!P:P,MATCH(使用レシピ!$C129,レシピ一覧!$A:$A,0)))&amp;"")*1,"")</f>
        <v>30</v>
      </c>
    </row>
    <row r="130" spans="1:17" x14ac:dyDescent="0.4">
      <c r="A130" s="34">
        <v>1</v>
      </c>
      <c r="B130" s="12">
        <f>IF(E130="","",COUNTIF(レシピ一覧!$D$2:$D$500,使用レシピ!E130))</f>
        <v>1</v>
      </c>
      <c r="C130" s="18" t="str">
        <f t="shared" si="1"/>
        <v>12901</v>
      </c>
      <c r="D130" s="31">
        <f>IF(COUNTIF(レシピ一覧!$B:$B,ROW()-1),ROW()-1,"")</f>
        <v>129</v>
      </c>
      <c r="E130" s="27" t="str">
        <f>IFERROR( INDEX(レシピ一覧!$D:$D,MATCH(使用レシピ!$D130,レシピ一覧!$B:$B,0))&amp;"","")</f>
        <v>重ね合わせ発振器</v>
      </c>
      <c r="F130" s="12" t="str">
        <f>IF($C130 = "","",INDEX(レシピ一覧!E:E,MATCH(使用レシピ!$C130,レシピ一覧!$A:$A,0))) &amp;""</f>
        <v>ダークマターの結晶</v>
      </c>
      <c r="G130" s="12" t="str">
        <f>IF($C130 = "","",INDEX(レシピ一覧!F:F,MATCH(使用レシピ!$C130,レシピ一覧!$A:$A,0))) &amp;""</f>
        <v>水晶発振器</v>
      </c>
      <c r="H130" s="12" t="str">
        <f>IF($C130 = "","",INDEX(レシピ一覧!G:G,MATCH(使用レシピ!$C130,レシピ一覧!$A:$A,0))) &amp;""</f>
        <v>アルクラッド・アルミシート</v>
      </c>
      <c r="I130" s="12" t="str">
        <f>IF($C130 = "","",INDEX(レシピ一覧!H:H,MATCH(使用レシピ!$C130,レシピ一覧!$A:$A,0))) &amp;""</f>
        <v>励起フォトニック物質</v>
      </c>
      <c r="J130" s="12" t="str">
        <f>IF($C130 = "","",INDEX(レシピ一覧!I:I,MATCH(使用レシピ!$C130,レシピ一覧!$A:$A,0))) &amp;""</f>
        <v>ダークマターの残留物</v>
      </c>
      <c r="K130" s="12">
        <f>IFERROR((IF($C130 = "","",INDEX(レシピ一覧!J:J,MATCH(使用レシピ!$C130,レシピ一覧!$A:$A,0)))&amp;"")*1,"")</f>
        <v>6</v>
      </c>
      <c r="L130" s="12">
        <f>IFERROR((IF($C130 = "","",INDEX(レシピ一覧!K:K,MATCH(使用レシピ!$C130,レシピ一覧!$A:$A,0)))&amp;"")*1,"")</f>
        <v>1</v>
      </c>
      <c r="M130" s="12">
        <f>IFERROR((IF($C130 = "","",INDEX(レシピ一覧!L:L,MATCH(使用レシピ!$C130,レシピ一覧!$A:$A,0)))&amp;"")*1,"")</f>
        <v>9</v>
      </c>
      <c r="N130" s="12">
        <f>IFERROR((IF($C130 = "","",INDEX(レシピ一覧!M:M,MATCH(使用レシピ!$C130,レシピ一覧!$A:$A,0)))&amp;"")*1,"")</f>
        <v>25</v>
      </c>
      <c r="O130" s="12">
        <f>IFERROR((IF($C130 = "","",INDEX(レシピ一覧!N:N,MATCH(使用レシピ!$C130,レシピ一覧!$A:$A,0)))&amp;"")*1,"")</f>
        <v>25</v>
      </c>
      <c r="P130" s="12">
        <f>IFERROR((IF($C130 = "","",INDEX(レシピ一覧!O:O,MATCH(使用レシピ!$C130,レシピ一覧!$A:$A,0)))&amp;"")*1,"")</f>
        <v>1</v>
      </c>
      <c r="Q130" s="35">
        <f>IFERROR((IF($C130 = "","",INDEX(レシピ一覧!P:P,MATCH(使用レシピ!$C130,レシピ一覧!$A:$A,0)))&amp;"")*1,"")</f>
        <v>5</v>
      </c>
    </row>
    <row r="131" spans="1:17" x14ac:dyDescent="0.4">
      <c r="A131" s="34">
        <v>1</v>
      </c>
      <c r="B131" s="12">
        <f>IF(E131="","",COUNTIF(レシピ一覧!$D$2:$D$500,使用レシピ!E131))</f>
        <v>1</v>
      </c>
      <c r="C131" s="18" t="str">
        <f t="shared" ref="C131:C194" si="2">IF(ISNUMBER(D131),D131 &amp; RIGHT("00"&amp;A131,2),"")</f>
        <v>13001</v>
      </c>
      <c r="D131" s="31">
        <f>IF(COUNTIF(レシピ一覧!$B:$B,ROW()-1),ROW()-1,"")</f>
        <v>130</v>
      </c>
      <c r="E131" s="27" t="str">
        <f>IFERROR( INDEX(レシピ一覧!$D:$D,MATCH(使用レシピ!$D131,レシピ一覧!$B:$B,0))&amp;"","")</f>
        <v>ニューラル量子プロセッサー</v>
      </c>
      <c r="F131" s="12" t="str">
        <f>IF($C131 = "","",INDEX(レシピ一覧!E:E,MATCH(使用レシピ!$C131,レシピ一覧!$A:$A,0))) &amp;""</f>
        <v>時の結晶</v>
      </c>
      <c r="G131" s="12" t="str">
        <f>IF($C131 = "","",INDEX(レシピ一覧!F:F,MATCH(使用レシピ!$C131,レシピ一覧!$A:$A,0))) &amp;""</f>
        <v>スーパーコンピューター</v>
      </c>
      <c r="H131" s="12" t="str">
        <f>IF($C131 = "","",INDEX(レシピ一覧!G:G,MATCH(使用レシピ!$C131,レシピ一覧!$A:$A,0))) &amp;""</f>
        <v>FICSITEの三角板</v>
      </c>
      <c r="I131" s="12" t="str">
        <f>IF($C131 = "","",INDEX(レシピ一覧!H:H,MATCH(使用レシピ!$C131,レシピ一覧!$A:$A,0))) &amp;""</f>
        <v>励起フォトニック物質</v>
      </c>
      <c r="J131" s="12" t="str">
        <f>IF($C131 = "","",INDEX(レシピ一覧!I:I,MATCH(使用レシピ!$C131,レシピ一覧!$A:$A,0))) &amp;""</f>
        <v>ダークマターの残留物</v>
      </c>
      <c r="K131" s="12">
        <f>IFERROR((IF($C131 = "","",INDEX(レシピ一覧!J:J,MATCH(使用レシピ!$C131,レシピ一覧!$A:$A,0)))&amp;"")*1,"")</f>
        <v>5</v>
      </c>
      <c r="L131" s="12">
        <f>IFERROR((IF($C131 = "","",INDEX(レシピ一覧!K:K,MATCH(使用レシピ!$C131,レシピ一覧!$A:$A,0)))&amp;"")*1,"")</f>
        <v>1</v>
      </c>
      <c r="M131" s="12">
        <f>IFERROR((IF($C131 = "","",INDEX(レシピ一覧!L:L,MATCH(使用レシピ!$C131,レシピ一覧!$A:$A,0)))&amp;"")*1,"")</f>
        <v>15</v>
      </c>
      <c r="N131" s="12">
        <f>IFERROR((IF($C131 = "","",INDEX(レシピ一覧!M:M,MATCH(使用レシピ!$C131,レシピ一覧!$A:$A,0)))&amp;"")*1,"")</f>
        <v>25</v>
      </c>
      <c r="O131" s="12">
        <f>IFERROR((IF($C131 = "","",INDEX(レシピ一覧!N:N,MATCH(使用レシピ!$C131,レシピ一覧!$A:$A,0)))&amp;"")*1,"")</f>
        <v>25</v>
      </c>
      <c r="P131" s="12">
        <f>IFERROR((IF($C131 = "","",INDEX(レシピ一覧!O:O,MATCH(使用レシピ!$C131,レシピ一覧!$A:$A,0)))&amp;"")*1,"")</f>
        <v>1</v>
      </c>
      <c r="Q131" s="35">
        <f>IFERROR((IF($C131 = "","",INDEX(レシピ一覧!P:P,MATCH(使用レシピ!$C131,レシピ一覧!$A:$A,0)))&amp;"")*1,"")</f>
        <v>3</v>
      </c>
    </row>
    <row r="132" spans="1:17" x14ac:dyDescent="0.4">
      <c r="A132" s="34">
        <v>1</v>
      </c>
      <c r="B132" s="12">
        <f>IF(E132="","",COUNTIF(レシピ一覧!$D$2:$D$500,使用レシピ!E132))</f>
        <v>1</v>
      </c>
      <c r="C132" s="18" t="str">
        <f t="shared" si="2"/>
        <v>13101</v>
      </c>
      <c r="D132" s="31">
        <f>IF(COUNTIF(レシピ一覧!$B:$B,ROW()-1),ROW()-1,"")</f>
        <v>131</v>
      </c>
      <c r="E132" s="27" t="str">
        <f>IFERROR( INDEX(レシピ一覧!$D:$D,MATCH(使用レシピ!$D132,レシピ一覧!$B:$B,0))&amp;"","")</f>
        <v>AI拡張サーバー</v>
      </c>
      <c r="F132" s="12" t="str">
        <f>IF($C132 = "","",INDEX(レシピ一覧!E:E,MATCH(使用レシピ!$C132,レシピ一覧!$A:$A,0))) &amp;""</f>
        <v>磁界発生装置</v>
      </c>
      <c r="G132" s="12" t="str">
        <f>IF($C132 = "","",INDEX(レシピ一覧!F:F,MATCH(使用レシピ!$C132,レシピ一覧!$A:$A,0))) &amp;""</f>
        <v>ニューラル量子プロセッサー</v>
      </c>
      <c r="H132" s="12" t="str">
        <f>IF($C132 = "","",INDEX(レシピ一覧!G:G,MATCH(使用レシピ!$C132,レシピ一覧!$A:$A,0))) &amp;""</f>
        <v>重ね合わせ発振器</v>
      </c>
      <c r="I132" s="12" t="str">
        <f>IF($C132 = "","",INDEX(レシピ一覧!H:H,MATCH(使用レシピ!$C132,レシピ一覧!$A:$A,0))) &amp;""</f>
        <v>励起フォトニック物質</v>
      </c>
      <c r="J132" s="12" t="str">
        <f>IF($C132 = "","",INDEX(レシピ一覧!I:I,MATCH(使用レシピ!$C132,レシピ一覧!$A:$A,0))) &amp;""</f>
        <v>ダークマターの残留物</v>
      </c>
      <c r="K132" s="12">
        <f>IFERROR((IF($C132 = "","",INDEX(レシピ一覧!J:J,MATCH(使用レシピ!$C132,レシピ一覧!$A:$A,0)))&amp;"")*1,"")</f>
        <v>1</v>
      </c>
      <c r="L132" s="12">
        <f>IFERROR((IF($C132 = "","",INDEX(レシピ一覧!K:K,MATCH(使用レシピ!$C132,レシピ一覧!$A:$A,0)))&amp;"")*1,"")</f>
        <v>1</v>
      </c>
      <c r="M132" s="12">
        <f>IFERROR((IF($C132 = "","",INDEX(レシピ一覧!L:L,MATCH(使用レシピ!$C132,レシピ一覧!$A:$A,0)))&amp;"")*1,"")</f>
        <v>1</v>
      </c>
      <c r="N132" s="12">
        <f>IFERROR((IF($C132 = "","",INDEX(レシピ一覧!M:M,MATCH(使用レシピ!$C132,レシピ一覧!$A:$A,0)))&amp;"")*1,"")</f>
        <v>25</v>
      </c>
      <c r="O132" s="12">
        <f>IFERROR((IF($C132 = "","",INDEX(レシピ一覧!N:N,MATCH(使用レシピ!$C132,レシピ一覧!$A:$A,0)))&amp;"")*1,"")</f>
        <v>25</v>
      </c>
      <c r="P132" s="12">
        <f>IFERROR((IF($C132 = "","",INDEX(レシピ一覧!O:O,MATCH(使用レシピ!$C132,レシピ一覧!$A:$A,0)))&amp;"")*1,"")</f>
        <v>1</v>
      </c>
      <c r="Q132" s="35">
        <f>IFERROR((IF($C132 = "","",INDEX(レシピ一覧!P:P,MATCH(使用レシピ!$C132,レシピ一覧!$A:$A,0)))&amp;"")*1,"")</f>
        <v>4</v>
      </c>
    </row>
    <row r="133" spans="1:17" x14ac:dyDescent="0.4">
      <c r="A133" s="34">
        <v>1</v>
      </c>
      <c r="B133" s="12">
        <f>IF(E133="","",COUNTIF(レシピ一覧!$D$2:$D$500,使用レシピ!E133))</f>
        <v>1</v>
      </c>
      <c r="C133" s="18" t="str">
        <f t="shared" si="2"/>
        <v>13201</v>
      </c>
      <c r="D133" s="31">
        <f>IF(COUNTIF(レシピ一覧!$B:$B,ROW()-1),ROW()-1,"")</f>
        <v>132</v>
      </c>
      <c r="E133" s="27" t="str">
        <f>IFERROR( INDEX(レシピ一覧!$D:$D,MATCH(使用レシピ!$D133,レシピ一覧!$B:$B,0))&amp;"","")</f>
        <v>FICSONIUM</v>
      </c>
      <c r="F133" s="12" t="str">
        <f>IF($C133 = "","",INDEX(レシピ一覧!E:E,MATCH(使用レシピ!$C133,レシピ一覧!$A:$A,0))) &amp;""</f>
        <v>プルトニウム廃棄物</v>
      </c>
      <c r="G133" s="12" t="str">
        <f>IF($C133 = "","",INDEX(レシピ一覧!F:F,MATCH(使用レシピ!$C133,レシピ一覧!$A:$A,0))) &amp;""</f>
        <v>シンギュラリティセル</v>
      </c>
      <c r="H133" s="12" t="str">
        <f>IF($C133 = "","",INDEX(レシピ一覧!G:G,MATCH(使用レシピ!$C133,レシピ一覧!$A:$A,0))) &amp;""</f>
        <v>ダークマターの残留物</v>
      </c>
      <c r="I133" s="12" t="str">
        <f>IF($C133 = "","",INDEX(レシピ一覧!H:H,MATCH(使用レシピ!$C133,レシピ一覧!$A:$A,0))) &amp;""</f>
        <v/>
      </c>
      <c r="J133" s="12" t="str">
        <f>IF($C133 = "","",INDEX(レシピ一覧!I:I,MATCH(使用レシピ!$C133,レシピ一覧!$A:$A,0))) &amp;""</f>
        <v/>
      </c>
      <c r="K133" s="12">
        <f>IFERROR((IF($C133 = "","",INDEX(レシピ一覧!J:J,MATCH(使用レシピ!$C133,レシピ一覧!$A:$A,0)))&amp;"")*1,"")</f>
        <v>1</v>
      </c>
      <c r="L133" s="12">
        <f>IFERROR((IF($C133 = "","",INDEX(レシピ一覧!K:K,MATCH(使用レシピ!$C133,レシピ一覧!$A:$A,0)))&amp;"")*1,"")</f>
        <v>1</v>
      </c>
      <c r="M133" s="12">
        <f>IFERROR((IF($C133 = "","",INDEX(レシピ一覧!L:L,MATCH(使用レシピ!$C133,レシピ一覧!$A:$A,0)))&amp;"")*1,"")</f>
        <v>20</v>
      </c>
      <c r="N133" s="12" t="str">
        <f>IFERROR((IF($C133 = "","",INDEX(レシピ一覧!M:M,MATCH(使用レシピ!$C133,レシピ一覧!$A:$A,0)))&amp;"")*1,"")</f>
        <v/>
      </c>
      <c r="O133" s="12" t="str">
        <f>IFERROR((IF($C133 = "","",INDEX(レシピ一覧!N:N,MATCH(使用レシピ!$C133,レシピ一覧!$A:$A,0)))&amp;"")*1,"")</f>
        <v/>
      </c>
      <c r="P133" s="12">
        <f>IFERROR((IF($C133 = "","",INDEX(レシピ一覧!O:O,MATCH(使用レシピ!$C133,レシピ一覧!$A:$A,0)))&amp;"")*1,"")</f>
        <v>1</v>
      </c>
      <c r="Q133" s="35">
        <f>IFERROR((IF($C133 = "","",INDEX(レシピ一覧!P:P,MATCH(使用レシピ!$C133,レシピ一覧!$A:$A,0)))&amp;"")*1,"")</f>
        <v>10</v>
      </c>
    </row>
    <row r="134" spans="1:17" x14ac:dyDescent="0.4">
      <c r="A134" s="34">
        <v>1</v>
      </c>
      <c r="B134" s="12">
        <f>IF(E134="","",COUNTIF(レシピ一覧!$D$2:$D$500,使用レシピ!E134))</f>
        <v>1</v>
      </c>
      <c r="C134" s="18" t="str">
        <f t="shared" si="2"/>
        <v>13301</v>
      </c>
      <c r="D134" s="31">
        <f>IF(COUNTIF(レシピ一覧!$B:$B,ROW()-1),ROW()-1,"")</f>
        <v>133</v>
      </c>
      <c r="E134" s="27" t="str">
        <f>IFERROR( INDEX(レシピ一覧!$D:$D,MATCH(使用レシピ!$D134,レシピ一覧!$B:$B,0))&amp;"","")</f>
        <v>プルトニウム廃棄物</v>
      </c>
      <c r="F134" s="12" t="str">
        <f>IF($C134 = "","",INDEX(レシピ一覧!E:E,MATCH(使用レシピ!$C134,レシピ一覧!$A:$A,0))) &amp;""</f>
        <v>プルトニウム燃料棒</v>
      </c>
      <c r="G134" s="12" t="str">
        <f>IF($C134 = "","",INDEX(レシピ一覧!F:F,MATCH(使用レシピ!$C134,レシピ一覧!$A:$A,0))) &amp;""</f>
        <v>水</v>
      </c>
      <c r="H134" s="12" t="str">
        <f>IF($C134 = "","",INDEX(レシピ一覧!G:G,MATCH(使用レシピ!$C134,レシピ一覧!$A:$A,0))) &amp;""</f>
        <v/>
      </c>
      <c r="I134" s="12" t="str">
        <f>IF($C134 = "","",INDEX(レシピ一覧!H:H,MATCH(使用レシピ!$C134,レシピ一覧!$A:$A,0))) &amp;""</f>
        <v/>
      </c>
      <c r="J134" s="12" t="str">
        <f>IF($C134 = "","",INDEX(レシピ一覧!I:I,MATCH(使用レシピ!$C134,レシピ一覧!$A:$A,0))) &amp;""</f>
        <v/>
      </c>
      <c r="K134" s="12">
        <f>IFERROR((IF($C134 = "","",INDEX(レシピ一覧!J:J,MATCH(使用レシピ!$C134,レシピ一覧!$A:$A,0)))&amp;"")*1,"")</f>
        <v>1</v>
      </c>
      <c r="L134" s="12">
        <f>IFERROR((IF($C134 = "","",INDEX(レシピ一覧!K:K,MATCH(使用レシピ!$C134,レシピ一覧!$A:$A,0)))&amp;"")*1,"")</f>
        <v>2400</v>
      </c>
      <c r="M134" s="12" t="str">
        <f>IFERROR((IF($C134 = "","",INDEX(レシピ一覧!L:L,MATCH(使用レシピ!$C134,レシピ一覧!$A:$A,0)))&amp;"")*1,"")</f>
        <v/>
      </c>
      <c r="N134" s="12" t="str">
        <f>IFERROR((IF($C134 = "","",INDEX(レシピ一覧!M:M,MATCH(使用レシピ!$C134,レシピ一覧!$A:$A,0)))&amp;"")*1,"")</f>
        <v/>
      </c>
      <c r="O134" s="12" t="str">
        <f>IFERROR((IF($C134 = "","",INDEX(レシピ一覧!N:N,MATCH(使用レシピ!$C134,レシピ一覧!$A:$A,0)))&amp;"")*1,"")</f>
        <v/>
      </c>
      <c r="P134" s="12">
        <f>IFERROR((IF($C134 = "","",INDEX(レシピ一覧!O:O,MATCH(使用レシピ!$C134,レシピ一覧!$A:$A,0)))&amp;"")*1,"")</f>
        <v>10</v>
      </c>
      <c r="Q134" s="35">
        <f>IFERROR((IF($C134 = "","",INDEX(レシピ一覧!P:P,MATCH(使用レシピ!$C134,レシピ一覧!$A:$A,0)))&amp;"")*1,"")</f>
        <v>1</v>
      </c>
    </row>
    <row r="135" spans="1:17" x14ac:dyDescent="0.4">
      <c r="A135" s="34">
        <v>1</v>
      </c>
      <c r="B135" s="12">
        <f>IF(E135="","",COUNTIF(レシピ一覧!$D$2:$D$500,使用レシピ!E135))</f>
        <v>1</v>
      </c>
      <c r="C135" s="18" t="str">
        <f t="shared" si="2"/>
        <v>13401</v>
      </c>
      <c r="D135" s="31">
        <f>IF(COUNTIF(レシピ一覧!$B:$B,ROW()-1),ROW()-1,"")</f>
        <v>134</v>
      </c>
      <c r="E135" s="27" t="str">
        <f>IFERROR( INDEX(レシピ一覧!$D:$D,MATCH(使用レシピ!$D135,レシピ一覧!$B:$B,0))&amp;"","")</f>
        <v>シンギュラリティセル</v>
      </c>
      <c r="F135" s="12" t="str">
        <f>IF($C135 = "","",INDEX(レシピ一覧!E:E,MATCH(使用レシピ!$C135,レシピ一覧!$A:$A,0))) &amp;""</f>
        <v>核パスタ</v>
      </c>
      <c r="G135" s="12" t="str">
        <f>IF($C135 = "","",INDEX(レシピ一覧!F:F,MATCH(使用レシピ!$C135,レシピ一覧!$A:$A,0))) &amp;""</f>
        <v>ダークマターの結晶</v>
      </c>
      <c r="H135" s="12" t="str">
        <f>IF($C135 = "","",INDEX(レシピ一覧!G:G,MATCH(使用レシピ!$C135,レシピ一覧!$A:$A,0))) &amp;""</f>
        <v>鉄板</v>
      </c>
      <c r="I135" s="12" t="str">
        <f>IF($C135 = "","",INDEX(レシピ一覧!H:H,MATCH(使用レシピ!$C135,レシピ一覧!$A:$A,0))) &amp;""</f>
        <v>コンクリート</v>
      </c>
      <c r="J135" s="12" t="str">
        <f>IF($C135 = "","",INDEX(レシピ一覧!I:I,MATCH(使用レシピ!$C135,レシピ一覧!$A:$A,0))) &amp;""</f>
        <v/>
      </c>
      <c r="K135" s="12">
        <f>IFERROR((IF($C135 = "","",INDEX(レシピ一覧!J:J,MATCH(使用レシピ!$C135,レシピ一覧!$A:$A,0)))&amp;"")*1,"")</f>
        <v>1</v>
      </c>
      <c r="L135" s="12">
        <f>IFERROR((IF($C135 = "","",INDEX(レシピ一覧!K:K,MATCH(使用レシピ!$C135,レシピ一覧!$A:$A,0)))&amp;"")*1,"")</f>
        <v>20</v>
      </c>
      <c r="M135" s="12">
        <f>IFERROR((IF($C135 = "","",INDEX(レシピ一覧!L:L,MATCH(使用レシピ!$C135,レシピ一覧!$A:$A,0)))&amp;"")*1,"")</f>
        <v>100</v>
      </c>
      <c r="N135" s="12">
        <f>IFERROR((IF($C135 = "","",INDEX(レシピ一覧!M:M,MATCH(使用レシピ!$C135,レシピ一覧!$A:$A,0)))&amp;"")*1,"")</f>
        <v>200</v>
      </c>
      <c r="O135" s="12" t="str">
        <f>IFERROR((IF($C135 = "","",INDEX(レシピ一覧!N:N,MATCH(使用レシピ!$C135,レシピ一覧!$A:$A,0)))&amp;"")*1,"")</f>
        <v/>
      </c>
      <c r="P135" s="12">
        <f>IFERROR((IF($C135 = "","",INDEX(レシピ一覧!O:O,MATCH(使用レシピ!$C135,レシピ一覧!$A:$A,0)))&amp;"")*1,"")</f>
        <v>10</v>
      </c>
      <c r="Q135" s="35">
        <f>IFERROR((IF($C135 = "","",INDEX(レシピ一覧!P:P,MATCH(使用レシピ!$C135,レシピ一覧!$A:$A,0)))&amp;"")*1,"")</f>
        <v>10</v>
      </c>
    </row>
    <row r="136" spans="1:17" x14ac:dyDescent="0.4">
      <c r="A136" s="34">
        <v>1</v>
      </c>
      <c r="B136" s="12">
        <f>IF(E136="","",COUNTIF(レシピ一覧!$D$2:$D$500,使用レシピ!E136))</f>
        <v>1</v>
      </c>
      <c r="C136" s="18" t="str">
        <f t="shared" si="2"/>
        <v>13501</v>
      </c>
      <c r="D136" s="31">
        <f>IF(COUNTIF(レシピ一覧!$B:$B,ROW()-1),ROW()-1,"")</f>
        <v>135</v>
      </c>
      <c r="E136" s="27" t="str">
        <f>IFERROR( INDEX(レシピ一覧!$D:$D,MATCH(使用レシピ!$D136,レシピ一覧!$B:$B,0))&amp;"","")</f>
        <v>FICSONIUM燃料棒</v>
      </c>
      <c r="F136" s="12" t="str">
        <f>IF($C136 = "","",INDEX(レシピ一覧!E:E,MATCH(使用レシピ!$C136,レシピ一覧!$A:$A,0))) &amp;""</f>
        <v>FICSONIUM</v>
      </c>
      <c r="G136" s="12" t="str">
        <f>IF($C136 = "","",INDEX(レシピ一覧!F:F,MATCH(使用レシピ!$C136,レシピ一覧!$A:$A,0))) &amp;""</f>
        <v>電磁制御棒</v>
      </c>
      <c r="H136" s="12" t="str">
        <f>IF($C136 = "","",INDEX(レシピ一覧!G:G,MATCH(使用レシピ!$C136,レシピ一覧!$A:$A,0))) &amp;""</f>
        <v>FICSITEの三角板</v>
      </c>
      <c r="I136" s="12" t="str">
        <f>IF($C136 = "","",INDEX(レシピ一覧!H:H,MATCH(使用レシピ!$C136,レシピ一覧!$A:$A,0))) &amp;""</f>
        <v>励起フォトニック物質</v>
      </c>
      <c r="J136" s="12" t="str">
        <f>IF($C136 = "","",INDEX(レシピ一覧!I:I,MATCH(使用レシピ!$C136,レシピ一覧!$A:$A,0))) &amp;""</f>
        <v>ダークマターの残留物</v>
      </c>
      <c r="K136" s="12">
        <f>IFERROR((IF($C136 = "","",INDEX(レシピ一覧!J:J,MATCH(使用レシピ!$C136,レシピ一覧!$A:$A,0)))&amp;"")*1,"")</f>
        <v>2</v>
      </c>
      <c r="L136" s="12">
        <f>IFERROR((IF($C136 = "","",INDEX(レシピ一覧!K:K,MATCH(使用レシピ!$C136,レシピ一覧!$A:$A,0)))&amp;"")*1,"")</f>
        <v>2</v>
      </c>
      <c r="M136" s="12">
        <f>IFERROR((IF($C136 = "","",INDEX(レシピ一覧!L:L,MATCH(使用レシピ!$C136,レシピ一覧!$A:$A,0)))&amp;"")*1,"")</f>
        <v>40</v>
      </c>
      <c r="N136" s="12">
        <f>IFERROR((IF($C136 = "","",INDEX(レシピ一覧!M:M,MATCH(使用レシピ!$C136,レシピ一覧!$A:$A,0)))&amp;"")*1,"")</f>
        <v>20</v>
      </c>
      <c r="O136" s="12">
        <f>IFERROR((IF($C136 = "","",INDEX(レシピ一覧!N:N,MATCH(使用レシピ!$C136,レシピ一覧!$A:$A,0)))&amp;"")*1,"")</f>
        <v>20</v>
      </c>
      <c r="P136" s="12">
        <f>IFERROR((IF($C136 = "","",INDEX(レシピ一覧!O:O,MATCH(使用レシピ!$C136,レシピ一覧!$A:$A,0)))&amp;"")*1,"")</f>
        <v>1</v>
      </c>
      <c r="Q136" s="35">
        <f>IFERROR((IF($C136 = "","",INDEX(レシピ一覧!P:P,MATCH(使用レシピ!$C136,レシピ一覧!$A:$A,0)))&amp;"")*1,"")</f>
        <v>2.5</v>
      </c>
    </row>
    <row r="137" spans="1:17" x14ac:dyDescent="0.4">
      <c r="A137" s="34">
        <v>1</v>
      </c>
      <c r="B137" s="12">
        <f>IF(E137="","",COUNTIF(レシピ一覧!$D$2:$D$500,使用レシピ!E137))</f>
        <v>1</v>
      </c>
      <c r="C137" s="18" t="str">
        <f t="shared" si="2"/>
        <v>13601</v>
      </c>
      <c r="D137" s="31">
        <f>IF(COUNTIF(レシピ一覧!$B:$B,ROW()-1),ROW()-1,"")</f>
        <v>136</v>
      </c>
      <c r="E137" s="27" t="str">
        <f>IFERROR( INDEX(レシピ一覧!$D:$D,MATCH(使用レシピ!$D137,レシピ一覧!$B:$B,0))&amp;"","")</f>
        <v>弾道ワープドライブ</v>
      </c>
      <c r="F137" s="12" t="str">
        <f>IF($C137 = "","",INDEX(レシピ一覧!E:E,MATCH(使用レシピ!$C137,レシピ一覧!$A:$A,0))) &amp;""</f>
        <v>熱推進型ロケット</v>
      </c>
      <c r="G137" s="12" t="str">
        <f>IF($C137 = "","",INDEX(レシピ一覧!F:F,MATCH(使用レシピ!$C137,レシピ一覧!$A:$A,0))) &amp;""</f>
        <v>シンギュラリティセル</v>
      </c>
      <c r="H137" s="12" t="str">
        <f>IF($C137 = "","",INDEX(レシピ一覧!G:G,MATCH(使用レシピ!$C137,レシピ一覧!$A:$A,0))) &amp;""</f>
        <v>重ね合わせ発振器</v>
      </c>
      <c r="I137" s="12" t="str">
        <f>IF($C137 = "","",INDEX(レシピ一覧!H:H,MATCH(使用レシピ!$C137,レシピ一覧!$A:$A,0))) &amp;""</f>
        <v>ダークマターの結晶</v>
      </c>
      <c r="J137" s="12" t="str">
        <f>IF($C137 = "","",INDEX(レシピ一覧!I:I,MATCH(使用レシピ!$C137,レシピ一覧!$A:$A,0))) &amp;""</f>
        <v/>
      </c>
      <c r="K137" s="12">
        <f>IFERROR((IF($C137 = "","",INDEX(レシピ一覧!J:J,MATCH(使用レシピ!$C137,レシピ一覧!$A:$A,0)))&amp;"")*1,"")</f>
        <v>1</v>
      </c>
      <c r="L137" s="12">
        <f>IFERROR((IF($C137 = "","",INDEX(レシピ一覧!K:K,MATCH(使用レシピ!$C137,レシピ一覧!$A:$A,0)))&amp;"")*1,"")</f>
        <v>5</v>
      </c>
      <c r="M137" s="12">
        <f>IFERROR((IF($C137 = "","",INDEX(レシピ一覧!L:L,MATCH(使用レシピ!$C137,レシピ一覧!$A:$A,0)))&amp;"")*1,"")</f>
        <v>2</v>
      </c>
      <c r="N137" s="12">
        <f>IFERROR((IF($C137 = "","",INDEX(レシピ一覧!M:M,MATCH(使用レシピ!$C137,レシピ一覧!$A:$A,0)))&amp;"")*1,"")</f>
        <v>40</v>
      </c>
      <c r="O137" s="12" t="str">
        <f>IFERROR((IF($C137 = "","",INDEX(レシピ一覧!N:N,MATCH(使用レシピ!$C137,レシピ一覧!$A:$A,0)))&amp;"")*1,"")</f>
        <v/>
      </c>
      <c r="P137" s="12">
        <f>IFERROR((IF($C137 = "","",INDEX(レシピ一覧!O:O,MATCH(使用レシピ!$C137,レシピ一覧!$A:$A,0)))&amp;"")*1,"")</f>
        <v>1</v>
      </c>
      <c r="Q137" s="35">
        <f>IFERROR((IF($C137 = "","",INDEX(レシピ一覧!P:P,MATCH(使用レシピ!$C137,レシピ一覧!$A:$A,0)))&amp;"")*1,"")</f>
        <v>1</v>
      </c>
    </row>
    <row r="138" spans="1:17" x14ac:dyDescent="0.4">
      <c r="A138" s="34">
        <v>3</v>
      </c>
      <c r="B138" s="12">
        <f>IF(E138="","",COUNTIF(レシピ一覧!$D$2:$D$500,使用レシピ!E138))</f>
        <v>3</v>
      </c>
      <c r="C138" s="18" t="str">
        <f t="shared" si="2"/>
        <v>13703</v>
      </c>
      <c r="D138" s="31">
        <f>IF(COUNTIF(レシピ一覧!$B:$B,ROW()-1),ROW()-1,"")</f>
        <v>137</v>
      </c>
      <c r="E138" s="27" t="str">
        <f>IFERROR( INDEX(レシピ一覧!$D:$D,MATCH(使用レシピ!$D138,レシピ一覧!$B:$B,0))&amp;"","")</f>
        <v>ロケット燃料</v>
      </c>
      <c r="F138" s="12" t="str">
        <f>IF($C138 = "","",INDEX(レシピ一覧!E:E,MATCH(使用レシピ!$C138,レシピ一覧!$A:$A,0))) &amp;""</f>
        <v>燃料</v>
      </c>
      <c r="G138" s="12" t="str">
        <f>IF($C138 = "","",INDEX(レシピ一覧!F:F,MATCH(使用レシピ!$C138,レシピ一覧!$A:$A,0))) &amp;""</f>
        <v>窒素ガス</v>
      </c>
      <c r="H138" s="12" t="str">
        <f>IF($C138 = "","",INDEX(レシピ一覧!G:G,MATCH(使用レシピ!$C138,レシピ一覧!$A:$A,0))) &amp;""</f>
        <v>硫黄</v>
      </c>
      <c r="I138" s="12" t="str">
        <f>IF($C138 = "","",INDEX(レシピ一覧!H:H,MATCH(使用レシピ!$C138,レシピ一覧!$A:$A,0))) &amp;""</f>
        <v>石炭</v>
      </c>
      <c r="J138" s="12" t="str">
        <f>IF($C138 = "","",INDEX(レシピ一覧!I:I,MATCH(使用レシピ!$C138,レシピ一覧!$A:$A,0))) &amp;""</f>
        <v>圧縮石炭</v>
      </c>
      <c r="K138" s="12">
        <f>IFERROR((IF($C138 = "","",INDEX(レシピ一覧!J:J,MATCH(使用レシピ!$C138,レシピ一覧!$A:$A,0)))&amp;"")*1,"")</f>
        <v>4</v>
      </c>
      <c r="L138" s="12">
        <f>IFERROR((IF($C138 = "","",INDEX(レシピ一覧!K:K,MATCH(使用レシピ!$C138,レシピ一覧!$A:$A,0)))&amp;"")*1,"")</f>
        <v>3</v>
      </c>
      <c r="M138" s="12">
        <f>IFERROR((IF($C138 = "","",INDEX(レシピ一覧!L:L,MATCH(使用レシピ!$C138,レシピ一覧!$A:$A,0)))&amp;"")*1,"")</f>
        <v>4</v>
      </c>
      <c r="N138" s="12">
        <f>IFERROR((IF($C138 = "","",INDEX(レシピ一覧!M:M,MATCH(使用レシピ!$C138,レシピ一覧!$A:$A,0)))&amp;"")*1,"")</f>
        <v>2</v>
      </c>
      <c r="O138" s="12">
        <f>IFERROR((IF($C138 = "","",INDEX(レシピ一覧!N:N,MATCH(使用レシピ!$C138,レシピ一覧!$A:$A,0)))&amp;"")*1,"")</f>
        <v>1</v>
      </c>
      <c r="P138" s="12">
        <f>IFERROR((IF($C138 = "","",INDEX(レシピ一覧!O:O,MATCH(使用レシピ!$C138,レシピ一覧!$A:$A,0)))&amp;"")*1,"")</f>
        <v>6</v>
      </c>
      <c r="Q138" s="35">
        <f>IFERROR((IF($C138 = "","",INDEX(レシピ一覧!P:P,MATCH(使用レシピ!$C138,レシピ一覧!$A:$A,0)))&amp;"")*1,"")</f>
        <v>150</v>
      </c>
    </row>
    <row r="139" spans="1:17" x14ac:dyDescent="0.4">
      <c r="A139" s="34">
        <v>1</v>
      </c>
      <c r="B139" s="12">
        <f>IF(E139="","",COUNTIF(レシピ一覧!$D$2:$D$500,使用レシピ!E139))</f>
        <v>1</v>
      </c>
      <c r="C139" s="18" t="str">
        <f t="shared" si="2"/>
        <v>13801</v>
      </c>
      <c r="D139" s="31">
        <f>IF(COUNTIF(レシピ一覧!$B:$B,ROW()-1),ROW()-1,"")</f>
        <v>138</v>
      </c>
      <c r="E139" s="27" t="str">
        <f>IFERROR( INDEX(レシピ一覧!$D:$D,MATCH(使用レシピ!$D139,レシピ一覧!$B:$B,0))&amp;"","")</f>
        <v>包装済みロケット燃料</v>
      </c>
      <c r="F139" s="12" t="str">
        <f>IF($C139 = "","",INDEX(レシピ一覧!E:E,MATCH(使用レシピ!$C139,レシピ一覧!$A:$A,0))) &amp;""</f>
        <v>ロケット燃料</v>
      </c>
      <c r="G139" s="12" t="str">
        <f>IF($C139 = "","",INDEX(レシピ一覧!F:F,MATCH(使用レシピ!$C139,レシピ一覧!$A:$A,0))) &amp;""</f>
        <v>空の液体タンク</v>
      </c>
      <c r="H139" s="12" t="str">
        <f>IF($C139 = "","",INDEX(レシピ一覧!G:G,MATCH(使用レシピ!$C139,レシピ一覧!$A:$A,0))) &amp;""</f>
        <v/>
      </c>
      <c r="I139" s="12" t="str">
        <f>IF($C139 = "","",INDEX(レシピ一覧!H:H,MATCH(使用レシピ!$C139,レシピ一覧!$A:$A,0))) &amp;""</f>
        <v/>
      </c>
      <c r="J139" s="12" t="str">
        <f>IF($C139 = "","",INDEX(レシピ一覧!I:I,MATCH(使用レシピ!$C139,レシピ一覧!$A:$A,0))) &amp;""</f>
        <v/>
      </c>
      <c r="K139" s="12">
        <f>IFERROR((IF($C139 = "","",INDEX(レシピ一覧!J:J,MATCH(使用レシピ!$C139,レシピ一覧!$A:$A,0)))&amp;"")*1,"")</f>
        <v>2</v>
      </c>
      <c r="L139" s="12">
        <f>IFERROR((IF($C139 = "","",INDEX(レシピ一覧!K:K,MATCH(使用レシピ!$C139,レシピ一覧!$A:$A,0)))&amp;"")*1,"")</f>
        <v>1</v>
      </c>
      <c r="M139" s="12" t="str">
        <f>IFERROR((IF($C139 = "","",INDEX(レシピ一覧!L:L,MATCH(使用レシピ!$C139,レシピ一覧!$A:$A,0)))&amp;"")*1,"")</f>
        <v/>
      </c>
      <c r="N139" s="12" t="str">
        <f>IFERROR((IF($C139 = "","",INDEX(レシピ一覧!M:M,MATCH(使用レシピ!$C139,レシピ一覧!$A:$A,0)))&amp;"")*1,"")</f>
        <v/>
      </c>
      <c r="O139" s="12" t="str">
        <f>IFERROR((IF($C139 = "","",INDEX(レシピ一覧!N:N,MATCH(使用レシピ!$C139,レシピ一覧!$A:$A,0)))&amp;"")*1,"")</f>
        <v/>
      </c>
      <c r="P139" s="12">
        <f>IFERROR((IF($C139 = "","",INDEX(レシピ一覧!O:O,MATCH(使用レシピ!$C139,レシピ一覧!$A:$A,0)))&amp;"")*1,"")</f>
        <v>1</v>
      </c>
      <c r="Q139" s="35">
        <f>IFERROR((IF($C139 = "","",INDEX(レシピ一覧!P:P,MATCH(使用レシピ!$C139,レシピ一覧!$A:$A,0)))&amp;"")*1,"")</f>
        <v>60</v>
      </c>
    </row>
    <row r="140" spans="1:17" x14ac:dyDescent="0.4">
      <c r="A140" s="34">
        <v>1</v>
      </c>
      <c r="B140" s="12">
        <f>IF(E140="","",COUNTIF(レシピ一覧!$D$2:$D$500,使用レシピ!E140))</f>
        <v>3</v>
      </c>
      <c r="C140" s="18" t="str">
        <f t="shared" si="2"/>
        <v>13901</v>
      </c>
      <c r="D140" s="31">
        <f>IF(COUNTIF(レシピ一覧!$B:$B,ROW()-1),ROW()-1,"")</f>
        <v>139</v>
      </c>
      <c r="E140" s="27" t="str">
        <f>IFERROR( INDEX(レシピ一覧!$D:$D,MATCH(使用レシピ!$D140,レシピ一覧!$B:$B,0))&amp;"","")</f>
        <v>イオン燃料</v>
      </c>
      <c r="F140" s="12" t="str">
        <f>IF($C140 = "","",INDEX(レシピ一覧!E:E,MATCH(使用レシピ!$C140,レシピ一覧!$A:$A,0))) &amp;""</f>
        <v>ロケット燃料</v>
      </c>
      <c r="G140" s="12" t="str">
        <f>IF($C140 = "","",INDEX(レシピ一覧!F:F,MATCH(使用レシピ!$C140,レシピ一覧!$A:$A,0))) &amp;""</f>
        <v>パワー・シャード</v>
      </c>
      <c r="H140" s="12" t="str">
        <f>IF($C140 = "","",INDEX(レシピ一覧!G:G,MATCH(使用レシピ!$C140,レシピ一覧!$A:$A,0))) &amp;""</f>
        <v/>
      </c>
      <c r="I140" s="12" t="str">
        <f>IF($C140 = "","",INDEX(レシピ一覧!H:H,MATCH(使用レシピ!$C140,レシピ一覧!$A:$A,0))) &amp;""</f>
        <v/>
      </c>
      <c r="J140" s="12" t="str">
        <f>IF($C140 = "","",INDEX(レシピ一覧!I:I,MATCH(使用レシピ!$C140,レシピ一覧!$A:$A,0))) &amp;""</f>
        <v>圧縮石炭</v>
      </c>
      <c r="K140" s="12">
        <f>IFERROR((IF($C140 = "","",INDEX(レシピ一覧!J:J,MATCH(使用レシピ!$C140,レシピ一覧!$A:$A,0)))&amp;"")*1,"")</f>
        <v>16</v>
      </c>
      <c r="L140" s="12">
        <f>IFERROR((IF($C140 = "","",INDEX(レシピ一覧!K:K,MATCH(使用レシピ!$C140,レシピ一覧!$A:$A,0)))&amp;"")*1,"")</f>
        <v>1</v>
      </c>
      <c r="M140" s="12" t="str">
        <f>IFERROR((IF($C140 = "","",INDEX(レシピ一覧!L:L,MATCH(使用レシピ!$C140,レシピ一覧!$A:$A,0)))&amp;"")*1,"")</f>
        <v/>
      </c>
      <c r="N140" s="12" t="str">
        <f>IFERROR((IF($C140 = "","",INDEX(レシピ一覧!M:M,MATCH(使用レシピ!$C140,レシピ一覧!$A:$A,0)))&amp;"")*1,"")</f>
        <v/>
      </c>
      <c r="O140" s="12">
        <f>IFERROR((IF($C140 = "","",INDEX(レシピ一覧!N:N,MATCH(使用レシピ!$C140,レシピ一覧!$A:$A,0)))&amp;"")*1,"")</f>
        <v>2</v>
      </c>
      <c r="P140" s="12">
        <f>IFERROR((IF($C140 = "","",INDEX(レシピ一覧!O:O,MATCH(使用レシピ!$C140,レシピ一覧!$A:$A,0)))&amp;"")*1,"")</f>
        <v>16</v>
      </c>
      <c r="Q140" s="35">
        <f>IFERROR((IF($C140 = "","",INDEX(レシピ一覧!P:P,MATCH(使用レシピ!$C140,レシピ一覧!$A:$A,0)))&amp;"")*1,"")</f>
        <v>40</v>
      </c>
    </row>
    <row r="141" spans="1:17" x14ac:dyDescent="0.4">
      <c r="A141" s="34">
        <v>1</v>
      </c>
      <c r="B141" s="12">
        <f>IF(E141="","",COUNTIF(レシピ一覧!$D$2:$D$500,使用レシピ!E141))</f>
        <v>1</v>
      </c>
      <c r="C141" s="18" t="str">
        <f t="shared" si="2"/>
        <v>14001</v>
      </c>
      <c r="D141" s="31">
        <f>IF(COUNTIF(レシピ一覧!$B:$B,ROW()-1),ROW()-1,"")</f>
        <v>140</v>
      </c>
      <c r="E141" s="27" t="str">
        <f>IFERROR( INDEX(レシピ一覧!$D:$D,MATCH(使用レシピ!$D141,レシピ一覧!$B:$B,0))&amp;"","")</f>
        <v>包装済みイオン燃料</v>
      </c>
      <c r="F141" s="12" t="str">
        <f>IF($C141 = "","",INDEX(レシピ一覧!E:E,MATCH(使用レシピ!$C141,レシピ一覧!$A:$A,0))) &amp;""</f>
        <v>イオン燃料</v>
      </c>
      <c r="G141" s="12" t="str">
        <f>IF($C141 = "","",INDEX(レシピ一覧!F:F,MATCH(使用レシピ!$C141,レシピ一覧!$A:$A,0))) &amp;""</f>
        <v>空の液体タンク</v>
      </c>
      <c r="H141" s="12" t="str">
        <f>IF($C141 = "","",INDEX(レシピ一覧!G:G,MATCH(使用レシピ!$C141,レシピ一覧!$A:$A,0))) &amp;""</f>
        <v/>
      </c>
      <c r="I141" s="12" t="str">
        <f>IF($C141 = "","",INDEX(レシピ一覧!H:H,MATCH(使用レシピ!$C141,レシピ一覧!$A:$A,0))) &amp;""</f>
        <v/>
      </c>
      <c r="J141" s="12" t="str">
        <f>IF($C141 = "","",INDEX(レシピ一覧!I:I,MATCH(使用レシピ!$C141,レシピ一覧!$A:$A,0))) &amp;""</f>
        <v/>
      </c>
      <c r="K141" s="12">
        <f>IFERROR((IF($C141 = "","",INDEX(レシピ一覧!J:J,MATCH(使用レシピ!$C141,レシピ一覧!$A:$A,0)))&amp;"")*1,"")</f>
        <v>4</v>
      </c>
      <c r="L141" s="12">
        <f>IFERROR((IF($C141 = "","",INDEX(レシピ一覧!K:K,MATCH(使用レシピ!$C141,レシピ一覧!$A:$A,0)))&amp;"")*1,"")</f>
        <v>2</v>
      </c>
      <c r="M141" s="12" t="str">
        <f>IFERROR((IF($C141 = "","",INDEX(レシピ一覧!L:L,MATCH(使用レシピ!$C141,レシピ一覧!$A:$A,0)))&amp;"")*1,"")</f>
        <v/>
      </c>
      <c r="N141" s="12" t="str">
        <f>IFERROR((IF($C141 = "","",INDEX(レシピ一覧!M:M,MATCH(使用レシピ!$C141,レシピ一覧!$A:$A,0)))&amp;"")*1,"")</f>
        <v/>
      </c>
      <c r="O141" s="12" t="str">
        <f>IFERROR((IF($C141 = "","",INDEX(レシピ一覧!N:N,MATCH(使用レシピ!$C141,レシピ一覧!$A:$A,0)))&amp;"")*1,"")</f>
        <v/>
      </c>
      <c r="P141" s="12">
        <f>IFERROR((IF($C141 = "","",INDEX(レシピ一覧!O:O,MATCH(使用レシピ!$C141,レシピ一覧!$A:$A,0)))&amp;"")*1,"")</f>
        <v>2</v>
      </c>
      <c r="Q141" s="35">
        <f>IFERROR((IF($C141 = "","",INDEX(レシピ一覧!P:P,MATCH(使用レシピ!$C141,レシピ一覧!$A:$A,0)))&amp;"")*1,"")</f>
        <v>40</v>
      </c>
    </row>
    <row r="142" spans="1:17" x14ac:dyDescent="0.4">
      <c r="A142" s="34">
        <v>1</v>
      </c>
      <c r="B142" s="12">
        <f>IF(E142="","",COUNTIF(レシピ一覧!$D$2:$D$500,使用レシピ!E142))</f>
        <v>1</v>
      </c>
      <c r="C142" s="18" t="str">
        <f t="shared" si="2"/>
        <v>14101</v>
      </c>
      <c r="D142" s="31">
        <f>IF(COUNTIF(レシピ一覧!$B:$B,ROW()-1),ROW()-1,"")</f>
        <v>141</v>
      </c>
      <c r="E142" s="27" t="str">
        <f>IFERROR( INDEX(レシピ一覧!$D:$D,MATCH(使用レシピ!$D142,レシピ一覧!$B:$B,0))&amp;"","")</f>
        <v>異星のパワーマトリックス</v>
      </c>
      <c r="F142" s="12" t="str">
        <f>IF($C142 = "","",INDEX(レシピ一覧!E:E,MATCH(使用レシピ!$C142,レシピ一覧!$A:$A,0))) &amp;""</f>
        <v>SAM変動機</v>
      </c>
      <c r="G142" s="12" t="str">
        <f>IF($C142 = "","",INDEX(レシピ一覧!F:F,MATCH(使用レシピ!$C142,レシピ一覧!$A:$A,0))) &amp;""</f>
        <v>パワー・シャード</v>
      </c>
      <c r="H142" s="12" t="str">
        <f>IF($C142 = "","",INDEX(レシピ一覧!G:G,MATCH(使用レシピ!$C142,レシピ一覧!$A:$A,0))) &amp;""</f>
        <v>重ね合わせ発振器</v>
      </c>
      <c r="I142" s="12" t="str">
        <f>IF($C142 = "","",INDEX(レシピ一覧!H:H,MATCH(使用レシピ!$C142,レシピ一覧!$A:$A,0))) &amp;""</f>
        <v>励起フォトニック物質</v>
      </c>
      <c r="J142" s="12" t="str">
        <f>IF($C142 = "","",INDEX(レシピ一覧!I:I,MATCH(使用レシピ!$C142,レシピ一覧!$A:$A,0))) &amp;""</f>
        <v>ダークマターの残留物</v>
      </c>
      <c r="K142" s="12">
        <f>IFERROR((IF($C142 = "","",INDEX(レシピ一覧!J:J,MATCH(使用レシピ!$C142,レシピ一覧!$A:$A,0)))&amp;"")*1,"")</f>
        <v>5</v>
      </c>
      <c r="L142" s="12">
        <f>IFERROR((IF($C142 = "","",INDEX(レシピ一覧!K:K,MATCH(使用レシピ!$C142,レシピ一覧!$A:$A,0)))&amp;"")*1,"")</f>
        <v>3</v>
      </c>
      <c r="M142" s="12">
        <f>IFERROR((IF($C142 = "","",INDEX(レシピ一覧!L:L,MATCH(使用レシピ!$C142,レシピ一覧!$A:$A,0)))&amp;"")*1,"")</f>
        <v>3</v>
      </c>
      <c r="N142" s="12">
        <f>IFERROR((IF($C142 = "","",INDEX(レシピ一覧!M:M,MATCH(使用レシピ!$C142,レシピ一覧!$A:$A,0)))&amp;"")*1,"")</f>
        <v>24</v>
      </c>
      <c r="O142" s="12">
        <f>IFERROR((IF($C142 = "","",INDEX(レシピ一覧!N:N,MATCH(使用レシピ!$C142,レシピ一覧!$A:$A,0)))&amp;"")*1,"")</f>
        <v>24</v>
      </c>
      <c r="P142" s="12">
        <f>IFERROR((IF($C142 = "","",INDEX(レシピ一覧!O:O,MATCH(使用レシピ!$C142,レシピ一覧!$A:$A,0)))&amp;"")*1,"")</f>
        <v>1</v>
      </c>
      <c r="Q142" s="35">
        <f>IFERROR((IF($C142 = "","",INDEX(レシピ一覧!P:P,MATCH(使用レシピ!$C142,レシピ一覧!$A:$A,0)))&amp;"")*1,"")</f>
        <v>2.5</v>
      </c>
    </row>
    <row r="143" spans="1:17" x14ac:dyDescent="0.4">
      <c r="A143" s="34">
        <v>1</v>
      </c>
      <c r="B143" s="12">
        <f>IF(E143="","",COUNTIF(レシピ一覧!$D$2:$D$500,使用レシピ!E143))</f>
        <v>1</v>
      </c>
      <c r="C143" s="18" t="str">
        <f t="shared" si="2"/>
        <v>14201</v>
      </c>
      <c r="D143" s="31">
        <f>IF(COUNTIF(レシピ一覧!$B:$B,ROW()-1),ROW()-1,"")</f>
        <v>142</v>
      </c>
      <c r="E143" s="27" t="str">
        <f>IFERROR( INDEX(レシピ一覧!$D:$D,MATCH(使用レシピ!$D143,レシピ一覧!$B:$B,0))&amp;"","")</f>
        <v>スタン鉄筋</v>
      </c>
      <c r="F143" s="12" t="str">
        <f>IF($C143 = "","",INDEX(レシピ一覧!E:E,MATCH(使用レシピ!$C143,レシピ一覧!$A:$A,0))) &amp;""</f>
        <v>鉄筋</v>
      </c>
      <c r="G143" s="12" t="str">
        <f>IF($C143 = "","",INDEX(レシピ一覧!F:F,MATCH(使用レシピ!$C143,レシピ一覧!$A:$A,0))) &amp;""</f>
        <v>クイックワイヤー</v>
      </c>
      <c r="H143" s="12" t="str">
        <f>IF($C143 = "","",INDEX(レシピ一覧!G:G,MATCH(使用レシピ!$C143,レシピ一覧!$A:$A,0))) &amp;""</f>
        <v/>
      </c>
      <c r="I143" s="12" t="str">
        <f>IF($C143 = "","",INDEX(レシピ一覧!H:H,MATCH(使用レシピ!$C143,レシピ一覧!$A:$A,0))) &amp;""</f>
        <v/>
      </c>
      <c r="J143" s="12" t="str">
        <f>IF($C143 = "","",INDEX(レシピ一覧!I:I,MATCH(使用レシピ!$C143,レシピ一覧!$A:$A,0))) &amp;""</f>
        <v/>
      </c>
      <c r="K143" s="12">
        <f>IFERROR((IF($C143 = "","",INDEX(レシピ一覧!J:J,MATCH(使用レシピ!$C143,レシピ一覧!$A:$A,0)))&amp;"")*1,"")</f>
        <v>1</v>
      </c>
      <c r="L143" s="12">
        <f>IFERROR((IF($C143 = "","",INDEX(レシピ一覧!K:K,MATCH(使用レシピ!$C143,レシピ一覧!$A:$A,0)))&amp;"")*1,"")</f>
        <v>5</v>
      </c>
      <c r="M143" s="12" t="str">
        <f>IFERROR((IF($C143 = "","",INDEX(レシピ一覧!L:L,MATCH(使用レシピ!$C143,レシピ一覧!$A:$A,0)))&amp;"")*1,"")</f>
        <v/>
      </c>
      <c r="N143" s="12" t="str">
        <f>IFERROR((IF($C143 = "","",INDEX(レシピ一覧!M:M,MATCH(使用レシピ!$C143,レシピ一覧!$A:$A,0)))&amp;"")*1,"")</f>
        <v/>
      </c>
      <c r="O143" s="12" t="str">
        <f>IFERROR((IF($C143 = "","",INDEX(レシピ一覧!N:N,MATCH(使用レシピ!$C143,レシピ一覧!$A:$A,0)))&amp;"")*1,"")</f>
        <v/>
      </c>
      <c r="P143" s="12">
        <f>IFERROR((IF($C143 = "","",INDEX(レシピ一覧!O:O,MATCH(使用レシピ!$C143,レシピ一覧!$A:$A,0)))&amp;"")*1,"")</f>
        <v>1</v>
      </c>
      <c r="Q143" s="35">
        <f>IFERROR((IF($C143 = "","",INDEX(レシピ一覧!P:P,MATCH(使用レシピ!$C143,レシピ一覧!$A:$A,0)))&amp;"")*1,"")</f>
        <v>10</v>
      </c>
    </row>
    <row r="144" spans="1:17" x14ac:dyDescent="0.4">
      <c r="A144" s="34">
        <v>1</v>
      </c>
      <c r="B144" s="12">
        <f>IF(E144="","",COUNTIF(レシピ一覧!$D$2:$D$500,使用レシピ!E144))</f>
        <v>1</v>
      </c>
      <c r="C144" s="18" t="str">
        <f t="shared" si="2"/>
        <v>14301</v>
      </c>
      <c r="D144" s="31">
        <f>IF(COUNTIF(レシピ一覧!$B:$B,ROW()-1),ROW()-1,"")</f>
        <v>143</v>
      </c>
      <c r="E144" s="27" t="str">
        <f>IFERROR( INDEX(レシピ一覧!$D:$D,MATCH(使用レシピ!$D144,レシピ一覧!$B:$B,0))&amp;"","")</f>
        <v>ガス・ノーベリスク</v>
      </c>
      <c r="F144" s="12" t="str">
        <f>IF($C144 = "","",INDEX(レシピ一覧!E:E,MATCH(使用レシピ!$C144,レシピ一覧!$A:$A,0))) &amp;""</f>
        <v>ノーベリスク</v>
      </c>
      <c r="G144" s="12" t="str">
        <f>IF($C144 = "","",INDEX(レシピ一覧!F:F,MATCH(使用レシピ!$C144,レシピ一覧!$A:$A,0))) &amp;""</f>
        <v>バイオマス</v>
      </c>
      <c r="H144" s="12" t="str">
        <f>IF($C144 = "","",INDEX(レシピ一覧!G:G,MATCH(使用レシピ!$C144,レシピ一覧!$A:$A,0))) &amp;""</f>
        <v/>
      </c>
      <c r="I144" s="12" t="str">
        <f>IF($C144 = "","",INDEX(レシピ一覧!H:H,MATCH(使用レシピ!$C144,レシピ一覧!$A:$A,0))) &amp;""</f>
        <v/>
      </c>
      <c r="J144" s="12" t="str">
        <f>IF($C144 = "","",INDEX(レシピ一覧!I:I,MATCH(使用レシピ!$C144,レシピ一覧!$A:$A,0))) &amp;""</f>
        <v/>
      </c>
      <c r="K144" s="12">
        <f>IFERROR((IF($C144 = "","",INDEX(レシピ一覧!J:J,MATCH(使用レシピ!$C144,レシピ一覧!$A:$A,0)))&amp;"")*1,"")</f>
        <v>1</v>
      </c>
      <c r="L144" s="12">
        <f>IFERROR((IF($C144 = "","",INDEX(レシピ一覧!K:K,MATCH(使用レシピ!$C144,レシピ一覧!$A:$A,0)))&amp;"")*1,"")</f>
        <v>10</v>
      </c>
      <c r="M144" s="12" t="str">
        <f>IFERROR((IF($C144 = "","",INDEX(レシピ一覧!L:L,MATCH(使用レシピ!$C144,レシピ一覧!$A:$A,0)))&amp;"")*1,"")</f>
        <v/>
      </c>
      <c r="N144" s="12" t="str">
        <f>IFERROR((IF($C144 = "","",INDEX(レシピ一覧!M:M,MATCH(使用レシピ!$C144,レシピ一覧!$A:$A,0)))&amp;"")*1,"")</f>
        <v/>
      </c>
      <c r="O144" s="12" t="str">
        <f>IFERROR((IF($C144 = "","",INDEX(レシピ一覧!N:N,MATCH(使用レシピ!$C144,レシピ一覧!$A:$A,0)))&amp;"")*1,"")</f>
        <v/>
      </c>
      <c r="P144" s="12">
        <f>IFERROR((IF($C144 = "","",INDEX(レシピ一覧!O:O,MATCH(使用レシピ!$C144,レシピ一覧!$A:$A,0)))&amp;"")*1,"")</f>
        <v>1</v>
      </c>
      <c r="Q144" s="35">
        <f>IFERROR((IF($C144 = "","",INDEX(レシピ一覧!P:P,MATCH(使用レシピ!$C144,レシピ一覧!$A:$A,0)))&amp;"")*1,"")</f>
        <v>5</v>
      </c>
    </row>
    <row r="145" spans="1:17" x14ac:dyDescent="0.4">
      <c r="A145" s="34">
        <v>1</v>
      </c>
      <c r="B145" s="12">
        <f>IF(E145="","",COUNTIF(レシピ一覧!$D$2:$D$500,使用レシピ!E145))</f>
        <v>1</v>
      </c>
      <c r="C145" s="18" t="str">
        <f t="shared" si="2"/>
        <v>14401</v>
      </c>
      <c r="D145" s="31">
        <f>IF(COUNTIF(レシピ一覧!$B:$B,ROW()-1),ROW()-1,"")</f>
        <v>144</v>
      </c>
      <c r="E145" s="27" t="str">
        <f>IFERROR( INDEX(レシピ一覧!$D:$D,MATCH(使用レシピ!$D145,レシピ一覧!$B:$B,0))&amp;"","")</f>
        <v>パルス・ノーベリスク</v>
      </c>
      <c r="F145" s="12" t="str">
        <f>IF($C145 = "","",INDEX(レシピ一覧!E:E,MATCH(使用レシピ!$C145,レシピ一覧!$A:$A,0))) &amp;""</f>
        <v>ノーベリスク</v>
      </c>
      <c r="G145" s="12" t="str">
        <f>IF($C145 = "","",INDEX(レシピ一覧!F:F,MATCH(使用レシピ!$C145,レシピ一覧!$A:$A,0))) &amp;""</f>
        <v>水晶発振器</v>
      </c>
      <c r="H145" s="12" t="str">
        <f>IF($C145 = "","",INDEX(レシピ一覧!G:G,MATCH(使用レシピ!$C145,レシピ一覧!$A:$A,0))) &amp;""</f>
        <v/>
      </c>
      <c r="I145" s="12" t="str">
        <f>IF($C145 = "","",INDEX(レシピ一覧!H:H,MATCH(使用レシピ!$C145,レシピ一覧!$A:$A,0))) &amp;""</f>
        <v/>
      </c>
      <c r="J145" s="12" t="str">
        <f>IF($C145 = "","",INDEX(レシピ一覧!I:I,MATCH(使用レシピ!$C145,レシピ一覧!$A:$A,0))) &amp;""</f>
        <v/>
      </c>
      <c r="K145" s="12">
        <f>IFERROR((IF($C145 = "","",INDEX(レシピ一覧!J:J,MATCH(使用レシピ!$C145,レシピ一覧!$A:$A,0)))&amp;"")*1,"")</f>
        <v>5</v>
      </c>
      <c r="L145" s="12">
        <f>IFERROR((IF($C145 = "","",INDEX(レシピ一覧!K:K,MATCH(使用レシピ!$C145,レシピ一覧!$A:$A,0)))&amp;"")*1,"")</f>
        <v>1</v>
      </c>
      <c r="M145" s="12" t="str">
        <f>IFERROR((IF($C145 = "","",INDEX(レシピ一覧!L:L,MATCH(使用レシピ!$C145,レシピ一覧!$A:$A,0)))&amp;"")*1,"")</f>
        <v/>
      </c>
      <c r="N145" s="12" t="str">
        <f>IFERROR((IF($C145 = "","",INDEX(レシピ一覧!M:M,MATCH(使用レシピ!$C145,レシピ一覧!$A:$A,0)))&amp;"")*1,"")</f>
        <v/>
      </c>
      <c r="O145" s="12" t="str">
        <f>IFERROR((IF($C145 = "","",INDEX(レシピ一覧!N:N,MATCH(使用レシピ!$C145,レシピ一覧!$A:$A,0)))&amp;"")*1,"")</f>
        <v/>
      </c>
      <c r="P145" s="12">
        <f>IFERROR((IF($C145 = "","",INDEX(レシピ一覧!O:O,MATCH(使用レシピ!$C145,レシピ一覧!$A:$A,0)))&amp;"")*1,"")</f>
        <v>5</v>
      </c>
      <c r="Q145" s="35">
        <f>IFERROR((IF($C145 = "","",INDEX(レシピ一覧!P:P,MATCH(使用レシピ!$C145,レシピ一覧!$A:$A,0)))&amp;"")*1,"")</f>
        <v>5</v>
      </c>
    </row>
    <row r="146" spans="1:17" x14ac:dyDescent="0.4">
      <c r="A146" s="34">
        <v>1</v>
      </c>
      <c r="B146" s="12">
        <f>IF(E146="","",COUNTIF(レシピ一覧!$D$2:$D$500,使用レシピ!E146))</f>
        <v>1</v>
      </c>
      <c r="C146" s="18" t="str">
        <f t="shared" si="2"/>
        <v>14501</v>
      </c>
      <c r="D146" s="31">
        <f>IF(COUNTIF(レシピ一覧!$B:$B,ROW()-1),ROW()-1,"")</f>
        <v>145</v>
      </c>
      <c r="E146" s="27" t="str">
        <f>IFERROR( INDEX(レシピ一覧!$D:$D,MATCH(使用レシピ!$D146,レシピ一覧!$B:$B,0))&amp;"","")</f>
        <v>破砕鉄筋</v>
      </c>
      <c r="F146" s="12" t="str">
        <f>IF($C146 = "","",INDEX(レシピ一覧!E:E,MATCH(使用レシピ!$C146,レシピ一覧!$A:$A,0))) &amp;""</f>
        <v>鉄筋</v>
      </c>
      <c r="G146" s="12" t="str">
        <f>IF($C146 = "","",INDEX(レシピ一覧!F:F,MATCH(使用レシピ!$C146,レシピ一覧!$A:$A,0))) &amp;""</f>
        <v>石英結晶</v>
      </c>
      <c r="H146" s="12" t="str">
        <f>IF($C146 = "","",INDEX(レシピ一覧!G:G,MATCH(使用レシピ!$C146,レシピ一覧!$A:$A,0))) &amp;""</f>
        <v/>
      </c>
      <c r="I146" s="12" t="str">
        <f>IF($C146 = "","",INDEX(レシピ一覧!H:H,MATCH(使用レシピ!$C146,レシピ一覧!$A:$A,0))) &amp;""</f>
        <v/>
      </c>
      <c r="J146" s="12" t="str">
        <f>IF($C146 = "","",INDEX(レシピ一覧!I:I,MATCH(使用レシピ!$C146,レシピ一覧!$A:$A,0))) &amp;""</f>
        <v/>
      </c>
      <c r="K146" s="12">
        <f>IFERROR((IF($C146 = "","",INDEX(レシピ一覧!J:J,MATCH(使用レシピ!$C146,レシピ一覧!$A:$A,0)))&amp;"")*1,"")</f>
        <v>2</v>
      </c>
      <c r="L146" s="12">
        <f>IFERROR((IF($C146 = "","",INDEX(レシピ一覧!K:K,MATCH(使用レシピ!$C146,レシピ一覧!$A:$A,0)))&amp;"")*1,"")</f>
        <v>3</v>
      </c>
      <c r="M146" s="12" t="str">
        <f>IFERROR((IF($C146 = "","",INDEX(レシピ一覧!L:L,MATCH(使用レシピ!$C146,レシピ一覧!$A:$A,0)))&amp;"")*1,"")</f>
        <v/>
      </c>
      <c r="N146" s="12" t="str">
        <f>IFERROR((IF($C146 = "","",INDEX(レシピ一覧!M:M,MATCH(使用レシピ!$C146,レシピ一覧!$A:$A,0)))&amp;"")*1,"")</f>
        <v/>
      </c>
      <c r="O146" s="12" t="str">
        <f>IFERROR((IF($C146 = "","",INDEX(レシピ一覧!N:N,MATCH(使用レシピ!$C146,レシピ一覧!$A:$A,0)))&amp;"")*1,"")</f>
        <v/>
      </c>
      <c r="P146" s="12">
        <f>IFERROR((IF($C146 = "","",INDEX(レシピ一覧!O:O,MATCH(使用レシピ!$C146,レシピ一覧!$A:$A,0)))&amp;"")*1,"")</f>
        <v>1</v>
      </c>
      <c r="Q146" s="35">
        <f>IFERROR((IF($C146 = "","",INDEX(レシピ一覧!P:P,MATCH(使用レシピ!$C146,レシピ一覧!$A:$A,0)))&amp;"")*1,"")</f>
        <v>5</v>
      </c>
    </row>
    <row r="147" spans="1:17" x14ac:dyDescent="0.4">
      <c r="A147" s="34">
        <v>1</v>
      </c>
      <c r="B147" s="12">
        <f>IF(E147="","",COUNTIF(レシピ一覧!$D$2:$D$500,使用レシピ!E147))</f>
        <v>1</v>
      </c>
      <c r="C147" s="18" t="str">
        <f t="shared" si="2"/>
        <v>14601</v>
      </c>
      <c r="D147" s="31">
        <f>IF(COUNTIF(レシピ一覧!$B:$B,ROW()-1),ROW()-1,"")</f>
        <v>146</v>
      </c>
      <c r="E147" s="27" t="str">
        <f>IFERROR( INDEX(レシピ一覧!$D:$D,MATCH(使用レシピ!$D147,レシピ一覧!$B:$B,0))&amp;"","")</f>
        <v>クラスター・ノーベリスク</v>
      </c>
      <c r="F147" s="12" t="str">
        <f>IF($C147 = "","",INDEX(レシピ一覧!E:E,MATCH(使用レシピ!$C147,レシピ一覧!$A:$A,0))) &amp;""</f>
        <v>ノーベリスク</v>
      </c>
      <c r="G147" s="12" t="str">
        <f>IF($C147 = "","",INDEX(レシピ一覧!F:F,MATCH(使用レシピ!$C147,レシピ一覧!$A:$A,0))) &amp;""</f>
        <v>無煙火薬</v>
      </c>
      <c r="H147" s="12" t="str">
        <f>IF($C147 = "","",INDEX(レシピ一覧!G:G,MATCH(使用レシピ!$C147,レシピ一覧!$A:$A,0))) &amp;""</f>
        <v/>
      </c>
      <c r="I147" s="12" t="str">
        <f>IF($C147 = "","",INDEX(レシピ一覧!H:H,MATCH(使用レシピ!$C147,レシピ一覧!$A:$A,0))) &amp;""</f>
        <v/>
      </c>
      <c r="J147" s="12" t="str">
        <f>IF($C147 = "","",INDEX(レシピ一覧!I:I,MATCH(使用レシピ!$C147,レシピ一覧!$A:$A,0))) &amp;""</f>
        <v/>
      </c>
      <c r="K147" s="12">
        <f>IFERROR((IF($C147 = "","",INDEX(レシピ一覧!J:J,MATCH(使用レシピ!$C147,レシピ一覧!$A:$A,0)))&amp;"")*1,"")</f>
        <v>3</v>
      </c>
      <c r="L147" s="12">
        <f>IFERROR((IF($C147 = "","",INDEX(レシピ一覧!K:K,MATCH(使用レシピ!$C147,レシピ一覧!$A:$A,0)))&amp;"")*1,"")</f>
        <v>4</v>
      </c>
      <c r="M147" s="12" t="str">
        <f>IFERROR((IF($C147 = "","",INDEX(レシピ一覧!L:L,MATCH(使用レシピ!$C147,レシピ一覧!$A:$A,0)))&amp;"")*1,"")</f>
        <v/>
      </c>
      <c r="N147" s="12" t="str">
        <f>IFERROR((IF($C147 = "","",INDEX(レシピ一覧!M:M,MATCH(使用レシピ!$C147,レシピ一覧!$A:$A,0)))&amp;"")*1,"")</f>
        <v/>
      </c>
      <c r="O147" s="12" t="str">
        <f>IFERROR((IF($C147 = "","",INDEX(レシピ一覧!N:N,MATCH(使用レシピ!$C147,レシピ一覧!$A:$A,0)))&amp;"")*1,"")</f>
        <v/>
      </c>
      <c r="P147" s="12">
        <f>IFERROR((IF($C147 = "","",INDEX(レシピ一覧!O:O,MATCH(使用レシピ!$C147,レシピ一覧!$A:$A,0)))&amp;"")*1,"")</f>
        <v>1</v>
      </c>
      <c r="Q147" s="35">
        <f>IFERROR((IF($C147 = "","",INDEX(レシピ一覧!P:P,MATCH(使用レシピ!$C147,レシピ一覧!$A:$A,0)))&amp;"")*1,"")</f>
        <v>2.5</v>
      </c>
    </row>
    <row r="148" spans="1:17" x14ac:dyDescent="0.4">
      <c r="A148" s="34">
        <v>1</v>
      </c>
      <c r="B148" s="12">
        <f>IF(E148="","",COUNTIF(レシピ一覧!$D$2:$D$500,使用レシピ!E148))</f>
        <v>1</v>
      </c>
      <c r="C148" s="18" t="str">
        <f t="shared" si="2"/>
        <v>14701</v>
      </c>
      <c r="D148" s="31">
        <f>IF(COUNTIF(レシピ一覧!$B:$B,ROW()-1),ROW()-1,"")</f>
        <v>147</v>
      </c>
      <c r="E148" s="27" t="str">
        <f>IFERROR( INDEX(レシピ一覧!$D:$D,MATCH(使用レシピ!$D148,レシピ一覧!$B:$B,0))&amp;"","")</f>
        <v>爆砕鉄筋</v>
      </c>
      <c r="F148" s="12" t="str">
        <f>IF($C148 = "","",INDEX(レシピ一覧!E:E,MATCH(使用レシピ!$C148,レシピ一覧!$A:$A,0))) &amp;""</f>
        <v>鉄筋</v>
      </c>
      <c r="G148" s="12" t="str">
        <f>IF($C148 = "","",INDEX(レシピ一覧!F:F,MATCH(使用レシピ!$C148,レシピ一覧!$A:$A,0))) &amp;""</f>
        <v>無煙火薬</v>
      </c>
      <c r="H148" s="12" t="str">
        <f>IF($C148 = "","",INDEX(レシピ一覧!G:G,MATCH(使用レシピ!$C148,レシピ一覧!$A:$A,0))) &amp;""</f>
        <v>鋼管</v>
      </c>
      <c r="I148" s="12" t="str">
        <f>IF($C148 = "","",INDEX(レシピ一覧!H:H,MATCH(使用レシピ!$C148,レシピ一覧!$A:$A,0))) &amp;""</f>
        <v/>
      </c>
      <c r="J148" s="12" t="str">
        <f>IF($C148 = "","",INDEX(レシピ一覧!I:I,MATCH(使用レシピ!$C148,レシピ一覧!$A:$A,0))) &amp;""</f>
        <v/>
      </c>
      <c r="K148" s="12">
        <f>IFERROR((IF($C148 = "","",INDEX(レシピ一覧!J:J,MATCH(使用レシピ!$C148,レシピ一覧!$A:$A,0)))&amp;"")*1,"")</f>
        <v>2</v>
      </c>
      <c r="L148" s="12">
        <f>IFERROR((IF($C148 = "","",INDEX(レシピ一覧!K:K,MATCH(使用レシピ!$C148,レシピ一覧!$A:$A,0)))&amp;"")*1,"")</f>
        <v>2</v>
      </c>
      <c r="M148" s="12">
        <f>IFERROR((IF($C148 = "","",INDEX(レシピ一覧!L:L,MATCH(使用レシピ!$C148,レシピ一覧!$A:$A,0)))&amp;"")*1,"")</f>
        <v>2</v>
      </c>
      <c r="N148" s="12" t="str">
        <f>IFERROR((IF($C148 = "","",INDEX(レシピ一覧!M:M,MATCH(使用レシピ!$C148,レシピ一覧!$A:$A,0)))&amp;"")*1,"")</f>
        <v/>
      </c>
      <c r="O148" s="12" t="str">
        <f>IFERROR((IF($C148 = "","",INDEX(レシピ一覧!N:N,MATCH(使用レシピ!$C148,レシピ一覧!$A:$A,0)))&amp;"")*1,"")</f>
        <v/>
      </c>
      <c r="P148" s="12">
        <f>IFERROR((IF($C148 = "","",INDEX(レシピ一覧!O:O,MATCH(使用レシピ!$C148,レシピ一覧!$A:$A,0)))&amp;"")*1,"")</f>
        <v>1</v>
      </c>
      <c r="Q148" s="35">
        <f>IFERROR((IF($C148 = "","",INDEX(レシピ一覧!P:P,MATCH(使用レシピ!$C148,レシピ一覧!$A:$A,0)))&amp;"")*1,"")</f>
        <v>5</v>
      </c>
    </row>
    <row r="149" spans="1:17" x14ac:dyDescent="0.4">
      <c r="A149" s="34">
        <v>1</v>
      </c>
      <c r="B149" s="12">
        <f>IF(E149="","",COUNTIF(レシピ一覧!$D$2:$D$500,使用レシピ!E149))</f>
        <v>1</v>
      </c>
      <c r="C149" s="18" t="str">
        <f t="shared" si="2"/>
        <v>14801</v>
      </c>
      <c r="D149" s="31">
        <f>IF(COUNTIF(レシピ一覧!$B:$B,ROW()-1),ROW()-1,"")</f>
        <v>148</v>
      </c>
      <c r="E149" s="27" t="str">
        <f>IFERROR( INDEX(レシピ一覧!$D:$D,MATCH(使用レシピ!$D149,レシピ一覧!$B:$B,0))&amp;"","")</f>
        <v>ライフル弾</v>
      </c>
      <c r="F149" s="12" t="str">
        <f>IF($C149 = "","",INDEX(レシピ一覧!E:E,MATCH(使用レシピ!$C149,レシピ一覧!$A:$A,0))) &amp;""</f>
        <v>銅板</v>
      </c>
      <c r="G149" s="12" t="str">
        <f>IF($C149 = "","",INDEX(レシピ一覧!F:F,MATCH(使用レシピ!$C149,レシピ一覧!$A:$A,0))) &amp;""</f>
        <v>無煙火薬</v>
      </c>
      <c r="H149" s="12" t="str">
        <f>IF($C149 = "","",INDEX(レシピ一覧!G:G,MATCH(使用レシピ!$C149,レシピ一覧!$A:$A,0))) &amp;""</f>
        <v/>
      </c>
      <c r="I149" s="12" t="str">
        <f>IF($C149 = "","",INDEX(レシピ一覧!H:H,MATCH(使用レシピ!$C149,レシピ一覧!$A:$A,0))) &amp;""</f>
        <v/>
      </c>
      <c r="J149" s="12" t="str">
        <f>IF($C149 = "","",INDEX(レシピ一覧!I:I,MATCH(使用レシピ!$C149,レシピ一覧!$A:$A,0))) &amp;""</f>
        <v/>
      </c>
      <c r="K149" s="12">
        <f>IFERROR((IF($C149 = "","",INDEX(レシピ一覧!J:J,MATCH(使用レシピ!$C149,レシピ一覧!$A:$A,0)))&amp;"")*1,"")</f>
        <v>3</v>
      </c>
      <c r="L149" s="12">
        <f>IFERROR((IF($C149 = "","",INDEX(レシピ一覧!K:K,MATCH(使用レシピ!$C149,レシピ一覧!$A:$A,0)))&amp;"")*1,"")</f>
        <v>2</v>
      </c>
      <c r="M149" s="12" t="str">
        <f>IFERROR((IF($C149 = "","",INDEX(レシピ一覧!L:L,MATCH(使用レシピ!$C149,レシピ一覧!$A:$A,0)))&amp;"")*1,"")</f>
        <v/>
      </c>
      <c r="N149" s="12" t="str">
        <f>IFERROR((IF($C149 = "","",INDEX(レシピ一覧!M:M,MATCH(使用レシピ!$C149,レシピ一覧!$A:$A,0)))&amp;"")*1,"")</f>
        <v/>
      </c>
      <c r="O149" s="12" t="str">
        <f>IFERROR((IF($C149 = "","",INDEX(レシピ一覧!N:N,MATCH(使用レシピ!$C149,レシピ一覧!$A:$A,0)))&amp;"")*1,"")</f>
        <v/>
      </c>
      <c r="P149" s="12">
        <f>IFERROR((IF($C149 = "","",INDEX(レシピ一覧!O:O,MATCH(使用レシピ!$C149,レシピ一覧!$A:$A,0)))&amp;"")*1,"")</f>
        <v>15</v>
      </c>
      <c r="Q149" s="35">
        <f>IFERROR((IF($C149 = "","",INDEX(レシピ一覧!P:P,MATCH(使用レシピ!$C149,レシピ一覧!$A:$A,0)))&amp;"")*1,"")</f>
        <v>75</v>
      </c>
    </row>
    <row r="150" spans="1:17" x14ac:dyDescent="0.4">
      <c r="A150" s="34">
        <v>1</v>
      </c>
      <c r="B150" s="12">
        <f>IF(E150="","",COUNTIF(レシピ一覧!$D$2:$D$500,使用レシピ!E150))</f>
        <v>2</v>
      </c>
      <c r="C150" s="18" t="str">
        <f t="shared" si="2"/>
        <v>14901</v>
      </c>
      <c r="D150" s="31">
        <f>IF(COUNTIF(レシピ一覧!$B:$B,ROW()-1),ROW()-1,"")</f>
        <v>149</v>
      </c>
      <c r="E150" s="27" t="str">
        <f>IFERROR( INDEX(レシピ一覧!$D:$D,MATCH(使用レシピ!$D150,レシピ一覧!$B:$B,0))&amp;"","")</f>
        <v>ターボライフル弾</v>
      </c>
      <c r="F150" s="12" t="str">
        <f>IF($C150 = "","",INDEX(レシピ一覧!E:E,MATCH(使用レシピ!$C150,レシピ一覧!$A:$A,0))) &amp;""</f>
        <v>ライフル弾</v>
      </c>
      <c r="G150" s="12" t="str">
        <f>IF($C150 = "","",INDEX(レシピ一覧!F:F,MATCH(使用レシピ!$C150,レシピ一覧!$A:$A,0))) &amp;""</f>
        <v>アルミ筐体</v>
      </c>
      <c r="H150" s="12" t="str">
        <f>IF($C150 = "","",INDEX(レシピ一覧!G:G,MATCH(使用レシピ!$C150,レシピ一覧!$A:$A,0))) &amp;""</f>
        <v>ターボ燃料</v>
      </c>
      <c r="I150" s="12" t="str">
        <f>IF($C150 = "","",INDEX(レシピ一覧!H:H,MATCH(使用レシピ!$C150,レシピ一覧!$A:$A,0))) &amp;""</f>
        <v/>
      </c>
      <c r="J150" s="12" t="str">
        <f>IF($C150 = "","",INDEX(レシピ一覧!I:I,MATCH(使用レシピ!$C150,レシピ一覧!$A:$A,0))) &amp;""</f>
        <v/>
      </c>
      <c r="K150" s="12">
        <f>IFERROR((IF($C150 = "","",INDEX(レシピ一覧!J:J,MATCH(使用レシピ!$C150,レシピ一覧!$A:$A,0)))&amp;"")*1,"")</f>
        <v>25</v>
      </c>
      <c r="L150" s="12">
        <f>IFERROR((IF($C150 = "","",INDEX(レシピ一覧!K:K,MATCH(使用レシピ!$C150,レシピ一覧!$A:$A,0)))&amp;"")*1,"")</f>
        <v>3</v>
      </c>
      <c r="M150" s="12">
        <f>IFERROR((IF($C150 = "","",INDEX(レシピ一覧!L:L,MATCH(使用レシピ!$C150,レシピ一覧!$A:$A,0)))&amp;"")*1,"")</f>
        <v>3</v>
      </c>
      <c r="N150" s="12" t="str">
        <f>IFERROR((IF($C150 = "","",INDEX(レシピ一覧!M:M,MATCH(使用レシピ!$C150,レシピ一覧!$A:$A,0)))&amp;"")*1,"")</f>
        <v/>
      </c>
      <c r="O150" s="12" t="str">
        <f>IFERROR((IF($C150 = "","",INDEX(レシピ一覧!N:N,MATCH(使用レシピ!$C150,レシピ一覧!$A:$A,0)))&amp;"")*1,"")</f>
        <v/>
      </c>
      <c r="P150" s="12">
        <f>IFERROR((IF($C150 = "","",INDEX(レシピ一覧!O:O,MATCH(使用レシピ!$C150,レシピ一覧!$A:$A,0)))&amp;"")*1,"")</f>
        <v>50</v>
      </c>
      <c r="Q150" s="35">
        <f>IFERROR((IF($C150 = "","",INDEX(レシピ一覧!P:P,MATCH(使用レシピ!$C150,レシピ一覧!$A:$A,0)))&amp;"")*1,"")</f>
        <v>250</v>
      </c>
    </row>
    <row r="151" spans="1:17" x14ac:dyDescent="0.4">
      <c r="A151" s="34">
        <v>1</v>
      </c>
      <c r="B151" s="12">
        <f>IF(E151="","",COUNTIF(レシピ一覧!$D$2:$D$500,使用レシピ!E151))</f>
        <v>1</v>
      </c>
      <c r="C151" s="18" t="str">
        <f t="shared" si="2"/>
        <v>15001</v>
      </c>
      <c r="D151" s="31">
        <f>IF(COUNTIF(レシピ一覧!$B:$B,ROW()-1),ROW()-1,"")</f>
        <v>150</v>
      </c>
      <c r="E151" s="27" t="str">
        <f>IFERROR( INDEX(レシピ一覧!$D:$D,MATCH(使用レシピ!$D151,レシピ一覧!$B:$B,0))&amp;"","")</f>
        <v>ホーミングライフル弾</v>
      </c>
      <c r="F151" s="12" t="str">
        <f>IF($C151 = "","",INDEX(レシピ一覧!E:E,MATCH(使用レシピ!$C151,レシピ一覧!$A:$A,0))) &amp;""</f>
        <v>ライフル弾</v>
      </c>
      <c r="G151" s="12" t="str">
        <f>IF($C151 = "","",INDEX(レシピ一覧!F:F,MATCH(使用レシピ!$C151,レシピ一覧!$A:$A,0))) &amp;""</f>
        <v>高速コネクター</v>
      </c>
      <c r="H151" s="12" t="str">
        <f>IF($C151 = "","",INDEX(レシピ一覧!G:G,MATCH(使用レシピ!$C151,レシピ一覧!$A:$A,0))) &amp;""</f>
        <v/>
      </c>
      <c r="I151" s="12" t="str">
        <f>IF($C151 = "","",INDEX(レシピ一覧!H:H,MATCH(使用レシピ!$C151,レシピ一覧!$A:$A,0))) &amp;""</f>
        <v/>
      </c>
      <c r="J151" s="12" t="str">
        <f>IF($C151 = "","",INDEX(レシピ一覧!I:I,MATCH(使用レシピ!$C151,レシピ一覧!$A:$A,0))) &amp;""</f>
        <v/>
      </c>
      <c r="K151" s="12">
        <f>IFERROR((IF($C151 = "","",INDEX(レシピ一覧!J:J,MATCH(使用レシピ!$C151,レシピ一覧!$A:$A,0)))&amp;"")*1,"")</f>
        <v>20</v>
      </c>
      <c r="L151" s="12">
        <f>IFERROR((IF($C151 = "","",INDEX(レシピ一覧!K:K,MATCH(使用レシピ!$C151,レシピ一覧!$A:$A,0)))&amp;"")*1,"")</f>
        <v>1</v>
      </c>
      <c r="M151" s="12" t="str">
        <f>IFERROR((IF($C151 = "","",INDEX(レシピ一覧!L:L,MATCH(使用レシピ!$C151,レシピ一覧!$A:$A,0)))&amp;"")*1,"")</f>
        <v/>
      </c>
      <c r="N151" s="12" t="str">
        <f>IFERROR((IF($C151 = "","",INDEX(レシピ一覧!M:M,MATCH(使用レシピ!$C151,レシピ一覧!$A:$A,0)))&amp;"")*1,"")</f>
        <v/>
      </c>
      <c r="O151" s="12" t="str">
        <f>IFERROR((IF($C151 = "","",INDEX(レシピ一覧!N:N,MATCH(使用レシピ!$C151,レシピ一覧!$A:$A,0)))&amp;"")*1,"")</f>
        <v/>
      </c>
      <c r="P151" s="12">
        <f>IFERROR((IF($C151 = "","",INDEX(レシピ一覧!O:O,MATCH(使用レシピ!$C151,レシピ一覧!$A:$A,0)))&amp;"")*1,"")</f>
        <v>10</v>
      </c>
      <c r="Q151" s="35">
        <f>IFERROR((IF($C151 = "","",INDEX(レシピ一覧!P:P,MATCH(使用レシピ!$C151,レシピ一覧!$A:$A,0)))&amp;"")*1,"")</f>
        <v>25</v>
      </c>
    </row>
    <row r="152" spans="1:17" x14ac:dyDescent="0.4">
      <c r="A152" s="34">
        <v>1</v>
      </c>
      <c r="B152" s="12">
        <f>IF(E152="","",COUNTIF(レシピ一覧!$D$2:$D$500,使用レシピ!E152))</f>
        <v>1</v>
      </c>
      <c r="C152" s="18" t="str">
        <f t="shared" si="2"/>
        <v>15101</v>
      </c>
      <c r="D152" s="31">
        <f>IF(COUNTIF(レシピ一覧!$B:$B,ROW()-1),ROW()-1,"")</f>
        <v>151</v>
      </c>
      <c r="E152" s="27" t="str">
        <f>IFERROR( INDEX(レシピ一覧!$D:$D,MATCH(使用レシピ!$D152,レシピ一覧!$B:$B,0))&amp;"","")</f>
        <v>ニューク・ノーベリスク</v>
      </c>
      <c r="F152" s="12" t="str">
        <f>IF($C152 = "","",INDEX(レシピ一覧!E:E,MATCH(使用レシピ!$C152,レシピ一覧!$A:$A,0))) &amp;""</f>
        <v>ノーベリスク</v>
      </c>
      <c r="G152" s="12" t="str">
        <f>IF($C152 = "","",INDEX(レシピ一覧!F:F,MATCH(使用レシピ!$C152,レシピ一覧!$A:$A,0))) &amp;""</f>
        <v>被覆型ウラン・セル</v>
      </c>
      <c r="H152" s="12" t="str">
        <f>IF($C152 = "","",INDEX(レシピ一覧!G:G,MATCH(使用レシピ!$C152,レシピ一覧!$A:$A,0))) &amp;""</f>
        <v>無煙火薬</v>
      </c>
      <c r="I152" s="12" t="str">
        <f>IF($C152 = "","",INDEX(レシピ一覧!H:H,MATCH(使用レシピ!$C152,レシピ一覧!$A:$A,0))) &amp;""</f>
        <v>AIリミッター</v>
      </c>
      <c r="J152" s="12" t="str">
        <f>IF($C152 = "","",INDEX(レシピ一覧!I:I,MATCH(使用レシピ!$C152,レシピ一覧!$A:$A,0))) &amp;""</f>
        <v/>
      </c>
      <c r="K152" s="12">
        <f>IFERROR((IF($C152 = "","",INDEX(レシピ一覧!J:J,MATCH(使用レシピ!$C152,レシピ一覧!$A:$A,0)))&amp;"")*1,"")</f>
        <v>5</v>
      </c>
      <c r="L152" s="12">
        <f>IFERROR((IF($C152 = "","",INDEX(レシピ一覧!K:K,MATCH(使用レシピ!$C152,レシピ一覧!$A:$A,0)))&amp;"")*1,"")</f>
        <v>20</v>
      </c>
      <c r="M152" s="12">
        <f>IFERROR((IF($C152 = "","",INDEX(レシピ一覧!L:L,MATCH(使用レシピ!$C152,レシピ一覧!$A:$A,0)))&amp;"")*1,"")</f>
        <v>10</v>
      </c>
      <c r="N152" s="12">
        <f>IFERROR((IF($C152 = "","",INDEX(レシピ一覧!M:M,MATCH(使用レシピ!$C152,レシピ一覧!$A:$A,0)))&amp;"")*1,"")</f>
        <v>6</v>
      </c>
      <c r="O152" s="12" t="str">
        <f>IFERROR((IF($C152 = "","",INDEX(レシピ一覧!N:N,MATCH(使用レシピ!$C152,レシピ一覧!$A:$A,0)))&amp;"")*1,"")</f>
        <v/>
      </c>
      <c r="P152" s="12">
        <f>IFERROR((IF($C152 = "","",INDEX(レシピ一覧!O:O,MATCH(使用レシピ!$C152,レシピ一覧!$A:$A,0)))&amp;"")*1,"")</f>
        <v>1</v>
      </c>
      <c r="Q152" s="35">
        <f>IFERROR((IF($C152 = "","",INDEX(レシピ一覧!P:P,MATCH(使用レシピ!$C152,レシピ一覧!$A:$A,0)))&amp;"")*1,"")</f>
        <v>0.5</v>
      </c>
    </row>
    <row r="153" spans="1:17" x14ac:dyDescent="0.4">
      <c r="A153" s="34">
        <v>1</v>
      </c>
      <c r="B153" s="12" t="str">
        <f>IF(E153="","",COUNTIF(レシピ一覧!$D$2:$D$500,使用レシピ!E153))</f>
        <v/>
      </c>
      <c r="C153" s="18" t="str">
        <f t="shared" si="2"/>
        <v/>
      </c>
      <c r="D153" s="31" t="str">
        <f>IF(COUNTIF(レシピ一覧!$B:$B,ROW()-1),ROW()-1,"")</f>
        <v/>
      </c>
      <c r="E153" s="27" t="str">
        <f>IFERROR( INDEX(レシピ一覧!$D:$D,MATCH(使用レシピ!$D153,レシピ一覧!$B:$B,0))&amp;"","")</f>
        <v/>
      </c>
      <c r="F153" s="12" t="str">
        <f>IF($C153 = "","",INDEX(レシピ一覧!E:E,MATCH(使用レシピ!$C153,レシピ一覧!$A:$A,0))) &amp;""</f>
        <v/>
      </c>
      <c r="G153" s="12" t="str">
        <f>IF($C153 = "","",INDEX(レシピ一覧!F:F,MATCH(使用レシピ!$C153,レシピ一覧!$A:$A,0))) &amp;""</f>
        <v/>
      </c>
      <c r="H153" s="12" t="str">
        <f>IF($C153 = "","",INDEX(レシピ一覧!G:G,MATCH(使用レシピ!$C153,レシピ一覧!$A:$A,0))) &amp;""</f>
        <v/>
      </c>
      <c r="I153" s="12" t="str">
        <f>IF($C153 = "","",INDEX(レシピ一覧!H:H,MATCH(使用レシピ!$C153,レシピ一覧!$A:$A,0))) &amp;""</f>
        <v/>
      </c>
      <c r="J153" s="12" t="str">
        <f>IF($C153 = "","",INDEX(レシピ一覧!I:I,MATCH(使用レシピ!$C153,レシピ一覧!$A:$A,0))) &amp;""</f>
        <v/>
      </c>
      <c r="K153" s="12" t="str">
        <f>IFERROR((IF($C153 = "","",INDEX(レシピ一覧!J:J,MATCH(使用レシピ!$C153,レシピ一覧!$A:$A,0)))&amp;"")*1,"")</f>
        <v/>
      </c>
      <c r="L153" s="12" t="str">
        <f>IFERROR((IF($C153 = "","",INDEX(レシピ一覧!K:K,MATCH(使用レシピ!$C153,レシピ一覧!$A:$A,0)))&amp;"")*1,"")</f>
        <v/>
      </c>
      <c r="M153" s="12" t="str">
        <f>IFERROR((IF($C153 = "","",INDEX(レシピ一覧!L:L,MATCH(使用レシピ!$C153,レシピ一覧!$A:$A,0)))&amp;"")*1,"")</f>
        <v/>
      </c>
      <c r="N153" s="12" t="str">
        <f>IFERROR((IF($C153 = "","",INDEX(レシピ一覧!M:M,MATCH(使用レシピ!$C153,レシピ一覧!$A:$A,0)))&amp;"")*1,"")</f>
        <v/>
      </c>
      <c r="O153" s="12" t="str">
        <f>IFERROR((IF($C153 = "","",INDEX(レシピ一覧!N:N,MATCH(使用レシピ!$C153,レシピ一覧!$A:$A,0)))&amp;"")*1,"")</f>
        <v/>
      </c>
      <c r="P153" s="12" t="str">
        <f>IFERROR((IF($C153 = "","",INDEX(レシピ一覧!O:O,MATCH(使用レシピ!$C153,レシピ一覧!$A:$A,0)))&amp;"")*1,"")</f>
        <v/>
      </c>
      <c r="Q153" s="35" t="str">
        <f>IFERROR((IF($C153 = "","",INDEX(レシピ一覧!P:P,MATCH(使用レシピ!$C153,レシピ一覧!$A:$A,0)))&amp;"")*1,"")</f>
        <v/>
      </c>
    </row>
    <row r="154" spans="1:17" x14ac:dyDescent="0.4">
      <c r="A154" s="34">
        <v>1</v>
      </c>
      <c r="B154" s="12" t="str">
        <f>IF(E154="","",COUNTIF(レシピ一覧!$D$2:$D$500,使用レシピ!E154))</f>
        <v/>
      </c>
      <c r="C154" s="18" t="str">
        <f t="shared" si="2"/>
        <v/>
      </c>
      <c r="D154" s="31" t="str">
        <f>IF(COUNTIF(レシピ一覧!$B:$B,ROW()-1),ROW()-1,"")</f>
        <v/>
      </c>
      <c r="E154" s="27" t="str">
        <f>IFERROR( INDEX(レシピ一覧!$D:$D,MATCH(使用レシピ!$D154,レシピ一覧!$B:$B,0))&amp;"","")</f>
        <v/>
      </c>
      <c r="F154" s="12" t="str">
        <f>IF($C154 = "","",INDEX(レシピ一覧!E:E,MATCH(使用レシピ!$C154,レシピ一覧!$A:$A,0))) &amp;""</f>
        <v/>
      </c>
      <c r="G154" s="12" t="str">
        <f>IF($C154 = "","",INDEX(レシピ一覧!F:F,MATCH(使用レシピ!$C154,レシピ一覧!$A:$A,0))) &amp;""</f>
        <v/>
      </c>
      <c r="H154" s="12" t="str">
        <f>IF($C154 = "","",INDEX(レシピ一覧!G:G,MATCH(使用レシピ!$C154,レシピ一覧!$A:$A,0))) &amp;""</f>
        <v/>
      </c>
      <c r="I154" s="12" t="str">
        <f>IF($C154 = "","",INDEX(レシピ一覧!H:H,MATCH(使用レシピ!$C154,レシピ一覧!$A:$A,0))) &amp;""</f>
        <v/>
      </c>
      <c r="J154" s="12" t="str">
        <f>IF($C154 = "","",INDEX(レシピ一覧!I:I,MATCH(使用レシピ!$C154,レシピ一覧!$A:$A,0))) &amp;""</f>
        <v/>
      </c>
      <c r="K154" s="12" t="str">
        <f>IFERROR((IF($C154 = "","",INDEX(レシピ一覧!J:J,MATCH(使用レシピ!$C154,レシピ一覧!$A:$A,0)))&amp;"")*1,"")</f>
        <v/>
      </c>
      <c r="L154" s="12" t="str">
        <f>IFERROR((IF($C154 = "","",INDEX(レシピ一覧!K:K,MATCH(使用レシピ!$C154,レシピ一覧!$A:$A,0)))&amp;"")*1,"")</f>
        <v/>
      </c>
      <c r="M154" s="12" t="str">
        <f>IFERROR((IF($C154 = "","",INDEX(レシピ一覧!L:L,MATCH(使用レシピ!$C154,レシピ一覧!$A:$A,0)))&amp;"")*1,"")</f>
        <v/>
      </c>
      <c r="N154" s="12" t="str">
        <f>IFERROR((IF($C154 = "","",INDEX(レシピ一覧!M:M,MATCH(使用レシピ!$C154,レシピ一覧!$A:$A,0)))&amp;"")*1,"")</f>
        <v/>
      </c>
      <c r="O154" s="12" t="str">
        <f>IFERROR((IF($C154 = "","",INDEX(レシピ一覧!N:N,MATCH(使用レシピ!$C154,レシピ一覧!$A:$A,0)))&amp;"")*1,"")</f>
        <v/>
      </c>
      <c r="P154" s="12" t="str">
        <f>IFERROR((IF($C154 = "","",INDEX(レシピ一覧!O:O,MATCH(使用レシピ!$C154,レシピ一覧!$A:$A,0)))&amp;"")*1,"")</f>
        <v/>
      </c>
      <c r="Q154" s="35" t="str">
        <f>IFERROR((IF($C154 = "","",INDEX(レシピ一覧!P:P,MATCH(使用レシピ!$C154,レシピ一覧!$A:$A,0)))&amp;"")*1,"")</f>
        <v/>
      </c>
    </row>
    <row r="155" spans="1:17" x14ac:dyDescent="0.4">
      <c r="A155" s="34">
        <v>1</v>
      </c>
      <c r="B155" s="12" t="str">
        <f>IF(E155="","",COUNTIF(レシピ一覧!$D$2:$D$500,使用レシピ!E155))</f>
        <v/>
      </c>
      <c r="C155" s="18" t="str">
        <f t="shared" si="2"/>
        <v/>
      </c>
      <c r="D155" s="31" t="str">
        <f>IF(COUNTIF(レシピ一覧!$B:$B,ROW()-1),ROW()-1,"")</f>
        <v/>
      </c>
      <c r="E155" s="27" t="str">
        <f>IFERROR( INDEX(レシピ一覧!$D:$D,MATCH(使用レシピ!$D155,レシピ一覧!$B:$B,0))&amp;"","")</f>
        <v/>
      </c>
      <c r="F155" s="12" t="str">
        <f>IF($C155 = "","",INDEX(レシピ一覧!E:E,MATCH(使用レシピ!$C155,レシピ一覧!$A:$A,0))) &amp;""</f>
        <v/>
      </c>
      <c r="G155" s="12" t="str">
        <f>IF($C155 = "","",INDEX(レシピ一覧!F:F,MATCH(使用レシピ!$C155,レシピ一覧!$A:$A,0))) &amp;""</f>
        <v/>
      </c>
      <c r="H155" s="12" t="str">
        <f>IF($C155 = "","",INDEX(レシピ一覧!G:G,MATCH(使用レシピ!$C155,レシピ一覧!$A:$A,0))) &amp;""</f>
        <v/>
      </c>
      <c r="I155" s="12" t="str">
        <f>IF($C155 = "","",INDEX(レシピ一覧!H:H,MATCH(使用レシピ!$C155,レシピ一覧!$A:$A,0))) &amp;""</f>
        <v/>
      </c>
      <c r="J155" s="12" t="str">
        <f>IF($C155 = "","",INDEX(レシピ一覧!I:I,MATCH(使用レシピ!$C155,レシピ一覧!$A:$A,0))) &amp;""</f>
        <v/>
      </c>
      <c r="K155" s="12" t="str">
        <f>IFERROR((IF($C155 = "","",INDEX(レシピ一覧!J:J,MATCH(使用レシピ!$C155,レシピ一覧!$A:$A,0)))&amp;"")*1,"")</f>
        <v/>
      </c>
      <c r="L155" s="12" t="str">
        <f>IFERROR((IF($C155 = "","",INDEX(レシピ一覧!K:K,MATCH(使用レシピ!$C155,レシピ一覧!$A:$A,0)))&amp;"")*1,"")</f>
        <v/>
      </c>
      <c r="M155" s="12" t="str">
        <f>IFERROR((IF($C155 = "","",INDEX(レシピ一覧!L:L,MATCH(使用レシピ!$C155,レシピ一覧!$A:$A,0)))&amp;"")*1,"")</f>
        <v/>
      </c>
      <c r="N155" s="12" t="str">
        <f>IFERROR((IF($C155 = "","",INDEX(レシピ一覧!M:M,MATCH(使用レシピ!$C155,レシピ一覧!$A:$A,0)))&amp;"")*1,"")</f>
        <v/>
      </c>
      <c r="O155" s="12" t="str">
        <f>IFERROR((IF($C155 = "","",INDEX(レシピ一覧!N:N,MATCH(使用レシピ!$C155,レシピ一覧!$A:$A,0)))&amp;"")*1,"")</f>
        <v/>
      </c>
      <c r="P155" s="12" t="str">
        <f>IFERROR((IF($C155 = "","",INDEX(レシピ一覧!O:O,MATCH(使用レシピ!$C155,レシピ一覧!$A:$A,0)))&amp;"")*1,"")</f>
        <v/>
      </c>
      <c r="Q155" s="35" t="str">
        <f>IFERROR((IF($C155 = "","",INDEX(レシピ一覧!P:P,MATCH(使用レシピ!$C155,レシピ一覧!$A:$A,0)))&amp;"")*1,"")</f>
        <v/>
      </c>
    </row>
    <row r="156" spans="1:17" x14ac:dyDescent="0.4">
      <c r="A156" s="34">
        <v>1</v>
      </c>
      <c r="B156" s="12" t="str">
        <f>IF(E156="","",COUNTIF(レシピ一覧!$D$2:$D$500,使用レシピ!E156))</f>
        <v/>
      </c>
      <c r="C156" s="18" t="str">
        <f t="shared" si="2"/>
        <v/>
      </c>
      <c r="D156" s="31" t="str">
        <f>IF(COUNTIF(レシピ一覧!$B:$B,ROW()-1),ROW()-1,"")</f>
        <v/>
      </c>
      <c r="E156" s="27" t="str">
        <f>IFERROR( INDEX(レシピ一覧!$D:$D,MATCH(使用レシピ!$D156,レシピ一覧!$B:$B,0))&amp;"","")</f>
        <v/>
      </c>
      <c r="F156" s="12" t="str">
        <f>IF($C156 = "","",INDEX(レシピ一覧!E:E,MATCH(使用レシピ!$C156,レシピ一覧!$A:$A,0))) &amp;""</f>
        <v/>
      </c>
      <c r="G156" s="12" t="str">
        <f>IF($C156 = "","",INDEX(レシピ一覧!F:F,MATCH(使用レシピ!$C156,レシピ一覧!$A:$A,0))) &amp;""</f>
        <v/>
      </c>
      <c r="H156" s="12" t="str">
        <f>IF($C156 = "","",INDEX(レシピ一覧!G:G,MATCH(使用レシピ!$C156,レシピ一覧!$A:$A,0))) &amp;""</f>
        <v/>
      </c>
      <c r="I156" s="12" t="str">
        <f>IF($C156 = "","",INDEX(レシピ一覧!H:H,MATCH(使用レシピ!$C156,レシピ一覧!$A:$A,0))) &amp;""</f>
        <v/>
      </c>
      <c r="J156" s="12" t="str">
        <f>IF($C156 = "","",INDEX(レシピ一覧!I:I,MATCH(使用レシピ!$C156,レシピ一覧!$A:$A,0))) &amp;""</f>
        <v/>
      </c>
      <c r="K156" s="12" t="str">
        <f>IFERROR((IF($C156 = "","",INDEX(レシピ一覧!J:J,MATCH(使用レシピ!$C156,レシピ一覧!$A:$A,0)))&amp;"")*1,"")</f>
        <v/>
      </c>
      <c r="L156" s="12" t="str">
        <f>IFERROR((IF($C156 = "","",INDEX(レシピ一覧!K:K,MATCH(使用レシピ!$C156,レシピ一覧!$A:$A,0)))&amp;"")*1,"")</f>
        <v/>
      </c>
      <c r="M156" s="12" t="str">
        <f>IFERROR((IF($C156 = "","",INDEX(レシピ一覧!L:L,MATCH(使用レシピ!$C156,レシピ一覧!$A:$A,0)))&amp;"")*1,"")</f>
        <v/>
      </c>
      <c r="N156" s="12" t="str">
        <f>IFERROR((IF($C156 = "","",INDEX(レシピ一覧!M:M,MATCH(使用レシピ!$C156,レシピ一覧!$A:$A,0)))&amp;"")*1,"")</f>
        <v/>
      </c>
      <c r="O156" s="12" t="str">
        <f>IFERROR((IF($C156 = "","",INDEX(レシピ一覧!N:N,MATCH(使用レシピ!$C156,レシピ一覧!$A:$A,0)))&amp;"")*1,"")</f>
        <v/>
      </c>
      <c r="P156" s="12" t="str">
        <f>IFERROR((IF($C156 = "","",INDEX(レシピ一覧!O:O,MATCH(使用レシピ!$C156,レシピ一覧!$A:$A,0)))&amp;"")*1,"")</f>
        <v/>
      </c>
      <c r="Q156" s="35" t="str">
        <f>IFERROR((IF($C156 = "","",INDEX(レシピ一覧!P:P,MATCH(使用レシピ!$C156,レシピ一覧!$A:$A,0)))&amp;"")*1,"")</f>
        <v/>
      </c>
    </row>
    <row r="157" spans="1:17" x14ac:dyDescent="0.4">
      <c r="A157" s="34">
        <v>1</v>
      </c>
      <c r="B157" s="12" t="str">
        <f>IF(E157="","",COUNTIF(レシピ一覧!$D$2:$D$500,使用レシピ!E157))</f>
        <v/>
      </c>
      <c r="C157" s="18" t="str">
        <f t="shared" si="2"/>
        <v/>
      </c>
      <c r="D157" s="31" t="str">
        <f>IF(COUNTIF(レシピ一覧!$B:$B,ROW()-1),ROW()-1,"")</f>
        <v/>
      </c>
      <c r="E157" s="27" t="str">
        <f>IFERROR( INDEX(レシピ一覧!$D:$D,MATCH(使用レシピ!$D157,レシピ一覧!$B:$B,0))&amp;"","")</f>
        <v/>
      </c>
      <c r="F157" s="12" t="str">
        <f>IF($C157 = "","",INDEX(レシピ一覧!E:E,MATCH(使用レシピ!$C157,レシピ一覧!$A:$A,0))) &amp;""</f>
        <v/>
      </c>
      <c r="G157" s="12" t="str">
        <f>IF($C157 = "","",INDEX(レシピ一覧!F:F,MATCH(使用レシピ!$C157,レシピ一覧!$A:$A,0))) &amp;""</f>
        <v/>
      </c>
      <c r="H157" s="12" t="str">
        <f>IF($C157 = "","",INDEX(レシピ一覧!G:G,MATCH(使用レシピ!$C157,レシピ一覧!$A:$A,0))) &amp;""</f>
        <v/>
      </c>
      <c r="I157" s="12" t="str">
        <f>IF($C157 = "","",INDEX(レシピ一覧!H:H,MATCH(使用レシピ!$C157,レシピ一覧!$A:$A,0))) &amp;""</f>
        <v/>
      </c>
      <c r="J157" s="12" t="str">
        <f>IF($C157 = "","",INDEX(レシピ一覧!I:I,MATCH(使用レシピ!$C157,レシピ一覧!$A:$A,0))) &amp;""</f>
        <v/>
      </c>
      <c r="K157" s="12" t="str">
        <f>IFERROR((IF($C157 = "","",INDEX(レシピ一覧!J:J,MATCH(使用レシピ!$C157,レシピ一覧!$A:$A,0)))&amp;"")*1,"")</f>
        <v/>
      </c>
      <c r="L157" s="12" t="str">
        <f>IFERROR((IF($C157 = "","",INDEX(レシピ一覧!K:K,MATCH(使用レシピ!$C157,レシピ一覧!$A:$A,0)))&amp;"")*1,"")</f>
        <v/>
      </c>
      <c r="M157" s="12" t="str">
        <f>IFERROR((IF($C157 = "","",INDEX(レシピ一覧!L:L,MATCH(使用レシピ!$C157,レシピ一覧!$A:$A,0)))&amp;"")*1,"")</f>
        <v/>
      </c>
      <c r="N157" s="12" t="str">
        <f>IFERROR((IF($C157 = "","",INDEX(レシピ一覧!M:M,MATCH(使用レシピ!$C157,レシピ一覧!$A:$A,0)))&amp;"")*1,"")</f>
        <v/>
      </c>
      <c r="O157" s="12" t="str">
        <f>IFERROR((IF($C157 = "","",INDEX(レシピ一覧!N:N,MATCH(使用レシピ!$C157,レシピ一覧!$A:$A,0)))&amp;"")*1,"")</f>
        <v/>
      </c>
      <c r="P157" s="12" t="str">
        <f>IFERROR((IF($C157 = "","",INDEX(レシピ一覧!O:O,MATCH(使用レシピ!$C157,レシピ一覧!$A:$A,0)))&amp;"")*1,"")</f>
        <v/>
      </c>
      <c r="Q157" s="35" t="str">
        <f>IFERROR((IF($C157 = "","",INDEX(レシピ一覧!P:P,MATCH(使用レシピ!$C157,レシピ一覧!$A:$A,0)))&amp;"")*1,"")</f>
        <v/>
      </c>
    </row>
    <row r="158" spans="1:17" x14ac:dyDescent="0.4">
      <c r="A158" s="34">
        <v>1</v>
      </c>
      <c r="B158" s="12" t="str">
        <f>IF(E158="","",COUNTIF(レシピ一覧!$D$2:$D$500,使用レシピ!E158))</f>
        <v/>
      </c>
      <c r="C158" s="18" t="str">
        <f t="shared" si="2"/>
        <v/>
      </c>
      <c r="D158" s="31" t="str">
        <f>IF(COUNTIF(レシピ一覧!$B:$B,ROW()-1),ROW()-1,"")</f>
        <v/>
      </c>
      <c r="E158" s="27" t="str">
        <f>IFERROR( INDEX(レシピ一覧!$D:$D,MATCH(使用レシピ!$D158,レシピ一覧!$B:$B,0))&amp;"","")</f>
        <v/>
      </c>
      <c r="F158" s="12" t="str">
        <f>IF($C158 = "","",INDEX(レシピ一覧!E:E,MATCH(使用レシピ!$C158,レシピ一覧!$A:$A,0))) &amp;""</f>
        <v/>
      </c>
      <c r="G158" s="12" t="str">
        <f>IF($C158 = "","",INDEX(レシピ一覧!F:F,MATCH(使用レシピ!$C158,レシピ一覧!$A:$A,0))) &amp;""</f>
        <v/>
      </c>
      <c r="H158" s="12" t="str">
        <f>IF($C158 = "","",INDEX(レシピ一覧!G:G,MATCH(使用レシピ!$C158,レシピ一覧!$A:$A,0))) &amp;""</f>
        <v/>
      </c>
      <c r="I158" s="12" t="str">
        <f>IF($C158 = "","",INDEX(レシピ一覧!H:H,MATCH(使用レシピ!$C158,レシピ一覧!$A:$A,0))) &amp;""</f>
        <v/>
      </c>
      <c r="J158" s="12" t="str">
        <f>IF($C158 = "","",INDEX(レシピ一覧!I:I,MATCH(使用レシピ!$C158,レシピ一覧!$A:$A,0))) &amp;""</f>
        <v/>
      </c>
      <c r="K158" s="12" t="str">
        <f>IFERROR((IF($C158 = "","",INDEX(レシピ一覧!J:J,MATCH(使用レシピ!$C158,レシピ一覧!$A:$A,0)))&amp;"")*1,"")</f>
        <v/>
      </c>
      <c r="L158" s="12" t="str">
        <f>IFERROR((IF($C158 = "","",INDEX(レシピ一覧!K:K,MATCH(使用レシピ!$C158,レシピ一覧!$A:$A,0)))&amp;"")*1,"")</f>
        <v/>
      </c>
      <c r="M158" s="12" t="str">
        <f>IFERROR((IF($C158 = "","",INDEX(レシピ一覧!L:L,MATCH(使用レシピ!$C158,レシピ一覧!$A:$A,0)))&amp;"")*1,"")</f>
        <v/>
      </c>
      <c r="N158" s="12" t="str">
        <f>IFERROR((IF($C158 = "","",INDEX(レシピ一覧!M:M,MATCH(使用レシピ!$C158,レシピ一覧!$A:$A,0)))&amp;"")*1,"")</f>
        <v/>
      </c>
      <c r="O158" s="12" t="str">
        <f>IFERROR((IF($C158 = "","",INDEX(レシピ一覧!N:N,MATCH(使用レシピ!$C158,レシピ一覧!$A:$A,0)))&amp;"")*1,"")</f>
        <v/>
      </c>
      <c r="P158" s="12" t="str">
        <f>IFERROR((IF($C158 = "","",INDEX(レシピ一覧!O:O,MATCH(使用レシピ!$C158,レシピ一覧!$A:$A,0)))&amp;"")*1,"")</f>
        <v/>
      </c>
      <c r="Q158" s="35" t="str">
        <f>IFERROR((IF($C158 = "","",INDEX(レシピ一覧!P:P,MATCH(使用レシピ!$C158,レシピ一覧!$A:$A,0)))&amp;"")*1,"")</f>
        <v/>
      </c>
    </row>
    <row r="159" spans="1:17" x14ac:dyDescent="0.4">
      <c r="A159" s="34">
        <v>1</v>
      </c>
      <c r="B159" s="12" t="str">
        <f>IF(E159="","",COUNTIF(レシピ一覧!$D$2:$D$500,使用レシピ!E159))</f>
        <v/>
      </c>
      <c r="C159" s="18" t="str">
        <f t="shared" si="2"/>
        <v/>
      </c>
      <c r="D159" s="31" t="str">
        <f>IF(COUNTIF(レシピ一覧!$B:$B,ROW()-1),ROW()-1,"")</f>
        <v/>
      </c>
      <c r="E159" s="27" t="str">
        <f>IFERROR( INDEX(レシピ一覧!$D:$D,MATCH(使用レシピ!$D159,レシピ一覧!$B:$B,0))&amp;"","")</f>
        <v/>
      </c>
      <c r="F159" s="12" t="str">
        <f>IF($C159 = "","",INDEX(レシピ一覧!E:E,MATCH(使用レシピ!$C159,レシピ一覧!$A:$A,0))) &amp;""</f>
        <v/>
      </c>
      <c r="G159" s="12" t="str">
        <f>IF($C159 = "","",INDEX(レシピ一覧!F:F,MATCH(使用レシピ!$C159,レシピ一覧!$A:$A,0))) &amp;""</f>
        <v/>
      </c>
      <c r="H159" s="12" t="str">
        <f>IF($C159 = "","",INDEX(レシピ一覧!G:G,MATCH(使用レシピ!$C159,レシピ一覧!$A:$A,0))) &amp;""</f>
        <v/>
      </c>
      <c r="I159" s="12" t="str">
        <f>IF($C159 = "","",INDEX(レシピ一覧!H:H,MATCH(使用レシピ!$C159,レシピ一覧!$A:$A,0))) &amp;""</f>
        <v/>
      </c>
      <c r="J159" s="12" t="str">
        <f>IF($C159 = "","",INDEX(レシピ一覧!I:I,MATCH(使用レシピ!$C159,レシピ一覧!$A:$A,0))) &amp;""</f>
        <v/>
      </c>
      <c r="K159" s="12" t="str">
        <f>IFERROR((IF($C159 = "","",INDEX(レシピ一覧!J:J,MATCH(使用レシピ!$C159,レシピ一覧!$A:$A,0)))&amp;"")*1,"")</f>
        <v/>
      </c>
      <c r="L159" s="12" t="str">
        <f>IFERROR((IF($C159 = "","",INDEX(レシピ一覧!K:K,MATCH(使用レシピ!$C159,レシピ一覧!$A:$A,0)))&amp;"")*1,"")</f>
        <v/>
      </c>
      <c r="M159" s="12" t="str">
        <f>IFERROR((IF($C159 = "","",INDEX(レシピ一覧!L:L,MATCH(使用レシピ!$C159,レシピ一覧!$A:$A,0)))&amp;"")*1,"")</f>
        <v/>
      </c>
      <c r="N159" s="12" t="str">
        <f>IFERROR((IF($C159 = "","",INDEX(レシピ一覧!M:M,MATCH(使用レシピ!$C159,レシピ一覧!$A:$A,0)))&amp;"")*1,"")</f>
        <v/>
      </c>
      <c r="O159" s="12" t="str">
        <f>IFERROR((IF($C159 = "","",INDEX(レシピ一覧!N:N,MATCH(使用レシピ!$C159,レシピ一覧!$A:$A,0)))&amp;"")*1,"")</f>
        <v/>
      </c>
      <c r="P159" s="12" t="str">
        <f>IFERROR((IF($C159 = "","",INDEX(レシピ一覧!O:O,MATCH(使用レシピ!$C159,レシピ一覧!$A:$A,0)))&amp;"")*1,"")</f>
        <v/>
      </c>
      <c r="Q159" s="35" t="str">
        <f>IFERROR((IF($C159 = "","",INDEX(レシピ一覧!P:P,MATCH(使用レシピ!$C159,レシピ一覧!$A:$A,0)))&amp;"")*1,"")</f>
        <v/>
      </c>
    </row>
    <row r="160" spans="1:17" x14ac:dyDescent="0.4">
      <c r="A160" s="34">
        <v>1</v>
      </c>
      <c r="B160" s="12" t="str">
        <f>IF(E160="","",COUNTIF(レシピ一覧!$D$2:$D$500,使用レシピ!E160))</f>
        <v/>
      </c>
      <c r="C160" s="18" t="str">
        <f t="shared" si="2"/>
        <v/>
      </c>
      <c r="D160" s="31" t="str">
        <f>IF(COUNTIF(レシピ一覧!$B:$B,ROW()-1),ROW()-1,"")</f>
        <v/>
      </c>
      <c r="E160" s="27" t="str">
        <f>IFERROR( INDEX(レシピ一覧!$D:$D,MATCH(使用レシピ!$D160,レシピ一覧!$B:$B,0))&amp;"","")</f>
        <v/>
      </c>
      <c r="F160" s="12" t="str">
        <f>IF($C160 = "","",INDEX(レシピ一覧!E:E,MATCH(使用レシピ!$C160,レシピ一覧!$A:$A,0))) &amp;""</f>
        <v/>
      </c>
      <c r="G160" s="12" t="str">
        <f>IF($C160 = "","",INDEX(レシピ一覧!F:F,MATCH(使用レシピ!$C160,レシピ一覧!$A:$A,0))) &amp;""</f>
        <v/>
      </c>
      <c r="H160" s="12" t="str">
        <f>IF($C160 = "","",INDEX(レシピ一覧!G:G,MATCH(使用レシピ!$C160,レシピ一覧!$A:$A,0))) &amp;""</f>
        <v/>
      </c>
      <c r="I160" s="12" t="str">
        <f>IF($C160 = "","",INDEX(レシピ一覧!H:H,MATCH(使用レシピ!$C160,レシピ一覧!$A:$A,0))) &amp;""</f>
        <v/>
      </c>
      <c r="J160" s="12" t="str">
        <f>IF($C160 = "","",INDEX(レシピ一覧!I:I,MATCH(使用レシピ!$C160,レシピ一覧!$A:$A,0))) &amp;""</f>
        <v/>
      </c>
      <c r="K160" s="12" t="str">
        <f>IFERROR((IF($C160 = "","",INDEX(レシピ一覧!J:J,MATCH(使用レシピ!$C160,レシピ一覧!$A:$A,0)))&amp;"")*1,"")</f>
        <v/>
      </c>
      <c r="L160" s="12" t="str">
        <f>IFERROR((IF($C160 = "","",INDEX(レシピ一覧!K:K,MATCH(使用レシピ!$C160,レシピ一覧!$A:$A,0)))&amp;"")*1,"")</f>
        <v/>
      </c>
      <c r="M160" s="12" t="str">
        <f>IFERROR((IF($C160 = "","",INDEX(レシピ一覧!L:L,MATCH(使用レシピ!$C160,レシピ一覧!$A:$A,0)))&amp;"")*1,"")</f>
        <v/>
      </c>
      <c r="N160" s="12" t="str">
        <f>IFERROR((IF($C160 = "","",INDEX(レシピ一覧!M:M,MATCH(使用レシピ!$C160,レシピ一覧!$A:$A,0)))&amp;"")*1,"")</f>
        <v/>
      </c>
      <c r="O160" s="12" t="str">
        <f>IFERROR((IF($C160 = "","",INDEX(レシピ一覧!N:N,MATCH(使用レシピ!$C160,レシピ一覧!$A:$A,0)))&amp;"")*1,"")</f>
        <v/>
      </c>
      <c r="P160" s="12" t="str">
        <f>IFERROR((IF($C160 = "","",INDEX(レシピ一覧!O:O,MATCH(使用レシピ!$C160,レシピ一覧!$A:$A,0)))&amp;"")*1,"")</f>
        <v/>
      </c>
      <c r="Q160" s="35" t="str">
        <f>IFERROR((IF($C160 = "","",INDEX(レシピ一覧!P:P,MATCH(使用レシピ!$C160,レシピ一覧!$A:$A,0)))&amp;"")*1,"")</f>
        <v/>
      </c>
    </row>
    <row r="161" spans="1:17" x14ac:dyDescent="0.4">
      <c r="A161" s="34">
        <v>1</v>
      </c>
      <c r="B161" s="12" t="str">
        <f>IF(E161="","",COUNTIF(レシピ一覧!$D$2:$D$500,使用レシピ!E161))</f>
        <v/>
      </c>
      <c r="C161" s="18" t="str">
        <f t="shared" si="2"/>
        <v/>
      </c>
      <c r="D161" s="31" t="str">
        <f>IF(COUNTIF(レシピ一覧!$B:$B,ROW()-1),ROW()-1,"")</f>
        <v/>
      </c>
      <c r="E161" s="27" t="str">
        <f>IFERROR( INDEX(レシピ一覧!$D:$D,MATCH(使用レシピ!$D161,レシピ一覧!$B:$B,0))&amp;"","")</f>
        <v/>
      </c>
      <c r="F161" s="12" t="str">
        <f>IF($C161 = "","",INDEX(レシピ一覧!E:E,MATCH(使用レシピ!$C161,レシピ一覧!$A:$A,0))) &amp;""</f>
        <v/>
      </c>
      <c r="G161" s="12" t="str">
        <f>IF($C161 = "","",INDEX(レシピ一覧!F:F,MATCH(使用レシピ!$C161,レシピ一覧!$A:$A,0))) &amp;""</f>
        <v/>
      </c>
      <c r="H161" s="12" t="str">
        <f>IF($C161 = "","",INDEX(レシピ一覧!G:G,MATCH(使用レシピ!$C161,レシピ一覧!$A:$A,0))) &amp;""</f>
        <v/>
      </c>
      <c r="I161" s="12" t="str">
        <f>IF($C161 = "","",INDEX(レシピ一覧!H:H,MATCH(使用レシピ!$C161,レシピ一覧!$A:$A,0))) &amp;""</f>
        <v/>
      </c>
      <c r="J161" s="12" t="str">
        <f>IF($C161 = "","",INDEX(レシピ一覧!I:I,MATCH(使用レシピ!$C161,レシピ一覧!$A:$A,0))) &amp;""</f>
        <v/>
      </c>
      <c r="K161" s="12" t="str">
        <f>IFERROR((IF($C161 = "","",INDEX(レシピ一覧!J:J,MATCH(使用レシピ!$C161,レシピ一覧!$A:$A,0)))&amp;"")*1,"")</f>
        <v/>
      </c>
      <c r="L161" s="12" t="str">
        <f>IFERROR((IF($C161 = "","",INDEX(レシピ一覧!K:K,MATCH(使用レシピ!$C161,レシピ一覧!$A:$A,0)))&amp;"")*1,"")</f>
        <v/>
      </c>
      <c r="M161" s="12" t="str">
        <f>IFERROR((IF($C161 = "","",INDEX(レシピ一覧!L:L,MATCH(使用レシピ!$C161,レシピ一覧!$A:$A,0)))&amp;"")*1,"")</f>
        <v/>
      </c>
      <c r="N161" s="12" t="str">
        <f>IFERROR((IF($C161 = "","",INDEX(レシピ一覧!M:M,MATCH(使用レシピ!$C161,レシピ一覧!$A:$A,0)))&amp;"")*1,"")</f>
        <v/>
      </c>
      <c r="O161" s="12" t="str">
        <f>IFERROR((IF($C161 = "","",INDEX(レシピ一覧!N:N,MATCH(使用レシピ!$C161,レシピ一覧!$A:$A,0)))&amp;"")*1,"")</f>
        <v/>
      </c>
      <c r="P161" s="12" t="str">
        <f>IFERROR((IF($C161 = "","",INDEX(レシピ一覧!O:O,MATCH(使用レシピ!$C161,レシピ一覧!$A:$A,0)))&amp;"")*1,"")</f>
        <v/>
      </c>
      <c r="Q161" s="35" t="str">
        <f>IFERROR((IF($C161 = "","",INDEX(レシピ一覧!P:P,MATCH(使用レシピ!$C161,レシピ一覧!$A:$A,0)))&amp;"")*1,"")</f>
        <v/>
      </c>
    </row>
    <row r="162" spans="1:17" x14ac:dyDescent="0.4">
      <c r="A162" s="34">
        <v>1</v>
      </c>
      <c r="B162" s="12" t="str">
        <f>IF(E162="","",COUNTIF(レシピ一覧!$D$2:$D$500,使用レシピ!E162))</f>
        <v/>
      </c>
      <c r="C162" s="18" t="str">
        <f t="shared" si="2"/>
        <v/>
      </c>
      <c r="D162" s="31" t="str">
        <f>IF(COUNTIF(レシピ一覧!$B:$B,ROW()-1),ROW()-1,"")</f>
        <v/>
      </c>
      <c r="E162" s="27" t="str">
        <f>IFERROR( INDEX(レシピ一覧!$D:$D,MATCH(使用レシピ!$D162,レシピ一覧!$B:$B,0))&amp;"","")</f>
        <v/>
      </c>
      <c r="F162" s="12" t="str">
        <f>IF($C162 = "","",INDEX(レシピ一覧!E:E,MATCH(使用レシピ!$C162,レシピ一覧!$A:$A,0))) &amp;""</f>
        <v/>
      </c>
      <c r="G162" s="12" t="str">
        <f>IF($C162 = "","",INDEX(レシピ一覧!F:F,MATCH(使用レシピ!$C162,レシピ一覧!$A:$A,0))) &amp;""</f>
        <v/>
      </c>
      <c r="H162" s="12" t="str">
        <f>IF($C162 = "","",INDEX(レシピ一覧!G:G,MATCH(使用レシピ!$C162,レシピ一覧!$A:$A,0))) &amp;""</f>
        <v/>
      </c>
      <c r="I162" s="12" t="str">
        <f>IF($C162 = "","",INDEX(レシピ一覧!H:H,MATCH(使用レシピ!$C162,レシピ一覧!$A:$A,0))) &amp;""</f>
        <v/>
      </c>
      <c r="J162" s="12" t="str">
        <f>IF($C162 = "","",INDEX(レシピ一覧!I:I,MATCH(使用レシピ!$C162,レシピ一覧!$A:$A,0))) &amp;""</f>
        <v/>
      </c>
      <c r="K162" s="12" t="str">
        <f>IFERROR((IF($C162 = "","",INDEX(レシピ一覧!J:J,MATCH(使用レシピ!$C162,レシピ一覧!$A:$A,0)))&amp;"")*1,"")</f>
        <v/>
      </c>
      <c r="L162" s="12" t="str">
        <f>IFERROR((IF($C162 = "","",INDEX(レシピ一覧!K:K,MATCH(使用レシピ!$C162,レシピ一覧!$A:$A,0)))&amp;"")*1,"")</f>
        <v/>
      </c>
      <c r="M162" s="12" t="str">
        <f>IFERROR((IF($C162 = "","",INDEX(レシピ一覧!L:L,MATCH(使用レシピ!$C162,レシピ一覧!$A:$A,0)))&amp;"")*1,"")</f>
        <v/>
      </c>
      <c r="N162" s="12" t="str">
        <f>IFERROR((IF($C162 = "","",INDEX(レシピ一覧!M:M,MATCH(使用レシピ!$C162,レシピ一覧!$A:$A,0)))&amp;"")*1,"")</f>
        <v/>
      </c>
      <c r="O162" s="12" t="str">
        <f>IFERROR((IF($C162 = "","",INDEX(レシピ一覧!N:N,MATCH(使用レシピ!$C162,レシピ一覧!$A:$A,0)))&amp;"")*1,"")</f>
        <v/>
      </c>
      <c r="P162" s="12" t="str">
        <f>IFERROR((IF($C162 = "","",INDEX(レシピ一覧!O:O,MATCH(使用レシピ!$C162,レシピ一覧!$A:$A,0)))&amp;"")*1,"")</f>
        <v/>
      </c>
      <c r="Q162" s="35" t="str">
        <f>IFERROR((IF($C162 = "","",INDEX(レシピ一覧!P:P,MATCH(使用レシピ!$C162,レシピ一覧!$A:$A,0)))&amp;"")*1,"")</f>
        <v/>
      </c>
    </row>
    <row r="163" spans="1:17" x14ac:dyDescent="0.4">
      <c r="A163" s="34">
        <v>1</v>
      </c>
      <c r="B163" s="12" t="str">
        <f>IF(E163="","",COUNTIF(レシピ一覧!$D$2:$D$500,使用レシピ!E163))</f>
        <v/>
      </c>
      <c r="C163" s="18" t="str">
        <f t="shared" si="2"/>
        <v/>
      </c>
      <c r="D163" s="31" t="str">
        <f>IF(COUNTIF(レシピ一覧!$B:$B,ROW()-1),ROW()-1,"")</f>
        <v/>
      </c>
      <c r="E163" s="27" t="str">
        <f>IFERROR( INDEX(レシピ一覧!$D:$D,MATCH(使用レシピ!$D163,レシピ一覧!$B:$B,0))&amp;"","")</f>
        <v/>
      </c>
      <c r="F163" s="12" t="str">
        <f>IF($C163 = "","",INDEX(レシピ一覧!E:E,MATCH(使用レシピ!$C163,レシピ一覧!$A:$A,0))) &amp;""</f>
        <v/>
      </c>
      <c r="G163" s="12" t="str">
        <f>IF($C163 = "","",INDEX(レシピ一覧!F:F,MATCH(使用レシピ!$C163,レシピ一覧!$A:$A,0))) &amp;""</f>
        <v/>
      </c>
      <c r="H163" s="12" t="str">
        <f>IF($C163 = "","",INDEX(レシピ一覧!G:G,MATCH(使用レシピ!$C163,レシピ一覧!$A:$A,0))) &amp;""</f>
        <v/>
      </c>
      <c r="I163" s="12" t="str">
        <f>IF($C163 = "","",INDEX(レシピ一覧!H:H,MATCH(使用レシピ!$C163,レシピ一覧!$A:$A,0))) &amp;""</f>
        <v/>
      </c>
      <c r="J163" s="12" t="str">
        <f>IF($C163 = "","",INDEX(レシピ一覧!I:I,MATCH(使用レシピ!$C163,レシピ一覧!$A:$A,0))) &amp;""</f>
        <v/>
      </c>
      <c r="K163" s="12" t="str">
        <f>IFERROR((IF($C163 = "","",INDEX(レシピ一覧!J:J,MATCH(使用レシピ!$C163,レシピ一覧!$A:$A,0)))&amp;"")*1,"")</f>
        <v/>
      </c>
      <c r="L163" s="12" t="str">
        <f>IFERROR((IF($C163 = "","",INDEX(レシピ一覧!K:K,MATCH(使用レシピ!$C163,レシピ一覧!$A:$A,0)))&amp;"")*1,"")</f>
        <v/>
      </c>
      <c r="M163" s="12" t="str">
        <f>IFERROR((IF($C163 = "","",INDEX(レシピ一覧!L:L,MATCH(使用レシピ!$C163,レシピ一覧!$A:$A,0)))&amp;"")*1,"")</f>
        <v/>
      </c>
      <c r="N163" s="12" t="str">
        <f>IFERROR((IF($C163 = "","",INDEX(レシピ一覧!M:M,MATCH(使用レシピ!$C163,レシピ一覧!$A:$A,0)))&amp;"")*1,"")</f>
        <v/>
      </c>
      <c r="O163" s="12" t="str">
        <f>IFERROR((IF($C163 = "","",INDEX(レシピ一覧!N:N,MATCH(使用レシピ!$C163,レシピ一覧!$A:$A,0)))&amp;"")*1,"")</f>
        <v/>
      </c>
      <c r="P163" s="12" t="str">
        <f>IFERROR((IF($C163 = "","",INDEX(レシピ一覧!O:O,MATCH(使用レシピ!$C163,レシピ一覧!$A:$A,0)))&amp;"")*1,"")</f>
        <v/>
      </c>
      <c r="Q163" s="35" t="str">
        <f>IFERROR((IF($C163 = "","",INDEX(レシピ一覧!P:P,MATCH(使用レシピ!$C163,レシピ一覧!$A:$A,0)))&amp;"")*1,"")</f>
        <v/>
      </c>
    </row>
    <row r="164" spans="1:17" x14ac:dyDescent="0.4">
      <c r="A164" s="34">
        <v>1</v>
      </c>
      <c r="B164" s="12" t="str">
        <f>IF(E164="","",COUNTIF(レシピ一覧!$D$2:$D$500,使用レシピ!E164))</f>
        <v/>
      </c>
      <c r="C164" s="18" t="str">
        <f t="shared" si="2"/>
        <v/>
      </c>
      <c r="D164" s="31" t="str">
        <f>IF(COUNTIF(レシピ一覧!$B:$B,ROW()-1),ROW()-1,"")</f>
        <v/>
      </c>
      <c r="E164" s="27" t="str">
        <f>IFERROR( INDEX(レシピ一覧!$D:$D,MATCH(使用レシピ!$D164,レシピ一覧!$B:$B,0))&amp;"","")</f>
        <v/>
      </c>
      <c r="F164" s="12" t="str">
        <f>IF($C164 = "","",INDEX(レシピ一覧!E:E,MATCH(使用レシピ!$C164,レシピ一覧!$A:$A,0))) &amp;""</f>
        <v/>
      </c>
      <c r="G164" s="12" t="str">
        <f>IF($C164 = "","",INDEX(レシピ一覧!F:F,MATCH(使用レシピ!$C164,レシピ一覧!$A:$A,0))) &amp;""</f>
        <v/>
      </c>
      <c r="H164" s="12" t="str">
        <f>IF($C164 = "","",INDEX(レシピ一覧!G:G,MATCH(使用レシピ!$C164,レシピ一覧!$A:$A,0))) &amp;""</f>
        <v/>
      </c>
      <c r="I164" s="12" t="str">
        <f>IF($C164 = "","",INDEX(レシピ一覧!H:H,MATCH(使用レシピ!$C164,レシピ一覧!$A:$A,0))) &amp;""</f>
        <v/>
      </c>
      <c r="J164" s="12" t="str">
        <f>IF($C164 = "","",INDEX(レシピ一覧!I:I,MATCH(使用レシピ!$C164,レシピ一覧!$A:$A,0))) &amp;""</f>
        <v/>
      </c>
      <c r="K164" s="12" t="str">
        <f>IFERROR((IF($C164 = "","",INDEX(レシピ一覧!J:J,MATCH(使用レシピ!$C164,レシピ一覧!$A:$A,0)))&amp;"")*1,"")</f>
        <v/>
      </c>
      <c r="L164" s="12" t="str">
        <f>IFERROR((IF($C164 = "","",INDEX(レシピ一覧!K:K,MATCH(使用レシピ!$C164,レシピ一覧!$A:$A,0)))&amp;"")*1,"")</f>
        <v/>
      </c>
      <c r="M164" s="12" t="str">
        <f>IFERROR((IF($C164 = "","",INDEX(レシピ一覧!L:L,MATCH(使用レシピ!$C164,レシピ一覧!$A:$A,0)))&amp;"")*1,"")</f>
        <v/>
      </c>
      <c r="N164" s="12" t="str">
        <f>IFERROR((IF($C164 = "","",INDEX(レシピ一覧!M:M,MATCH(使用レシピ!$C164,レシピ一覧!$A:$A,0)))&amp;"")*1,"")</f>
        <v/>
      </c>
      <c r="O164" s="12" t="str">
        <f>IFERROR((IF($C164 = "","",INDEX(レシピ一覧!N:N,MATCH(使用レシピ!$C164,レシピ一覧!$A:$A,0)))&amp;"")*1,"")</f>
        <v/>
      </c>
      <c r="P164" s="12" t="str">
        <f>IFERROR((IF($C164 = "","",INDEX(レシピ一覧!O:O,MATCH(使用レシピ!$C164,レシピ一覧!$A:$A,0)))&amp;"")*1,"")</f>
        <v/>
      </c>
      <c r="Q164" s="35" t="str">
        <f>IFERROR((IF($C164 = "","",INDEX(レシピ一覧!P:P,MATCH(使用レシピ!$C164,レシピ一覧!$A:$A,0)))&amp;"")*1,"")</f>
        <v/>
      </c>
    </row>
    <row r="165" spans="1:17" x14ac:dyDescent="0.4">
      <c r="A165" s="34">
        <v>1</v>
      </c>
      <c r="B165" s="12" t="str">
        <f>IF(E165="","",COUNTIF(レシピ一覧!$D$2:$D$500,使用レシピ!E165))</f>
        <v/>
      </c>
      <c r="C165" s="18" t="str">
        <f t="shared" si="2"/>
        <v/>
      </c>
      <c r="D165" s="31" t="str">
        <f>IF(COUNTIF(レシピ一覧!$B:$B,ROW()-1),ROW()-1,"")</f>
        <v/>
      </c>
      <c r="E165" s="27" t="str">
        <f>IFERROR( INDEX(レシピ一覧!$D:$D,MATCH(使用レシピ!$D165,レシピ一覧!$B:$B,0))&amp;"","")</f>
        <v/>
      </c>
      <c r="F165" s="12" t="str">
        <f>IF($C165 = "","",INDEX(レシピ一覧!E:E,MATCH(使用レシピ!$C165,レシピ一覧!$A:$A,0))) &amp;""</f>
        <v/>
      </c>
      <c r="G165" s="12" t="str">
        <f>IF($C165 = "","",INDEX(レシピ一覧!F:F,MATCH(使用レシピ!$C165,レシピ一覧!$A:$A,0))) &amp;""</f>
        <v/>
      </c>
      <c r="H165" s="12" t="str">
        <f>IF($C165 = "","",INDEX(レシピ一覧!G:G,MATCH(使用レシピ!$C165,レシピ一覧!$A:$A,0))) &amp;""</f>
        <v/>
      </c>
      <c r="I165" s="12" t="str">
        <f>IF($C165 = "","",INDEX(レシピ一覧!H:H,MATCH(使用レシピ!$C165,レシピ一覧!$A:$A,0))) &amp;""</f>
        <v/>
      </c>
      <c r="J165" s="12" t="str">
        <f>IF($C165 = "","",INDEX(レシピ一覧!I:I,MATCH(使用レシピ!$C165,レシピ一覧!$A:$A,0))) &amp;""</f>
        <v/>
      </c>
      <c r="K165" s="12" t="str">
        <f>IFERROR((IF($C165 = "","",INDEX(レシピ一覧!J:J,MATCH(使用レシピ!$C165,レシピ一覧!$A:$A,0)))&amp;"")*1,"")</f>
        <v/>
      </c>
      <c r="L165" s="12" t="str">
        <f>IFERROR((IF($C165 = "","",INDEX(レシピ一覧!K:K,MATCH(使用レシピ!$C165,レシピ一覧!$A:$A,0)))&amp;"")*1,"")</f>
        <v/>
      </c>
      <c r="M165" s="12" t="str">
        <f>IFERROR((IF($C165 = "","",INDEX(レシピ一覧!L:L,MATCH(使用レシピ!$C165,レシピ一覧!$A:$A,0)))&amp;"")*1,"")</f>
        <v/>
      </c>
      <c r="N165" s="12" t="str">
        <f>IFERROR((IF($C165 = "","",INDEX(レシピ一覧!M:M,MATCH(使用レシピ!$C165,レシピ一覧!$A:$A,0)))&amp;"")*1,"")</f>
        <v/>
      </c>
      <c r="O165" s="12" t="str">
        <f>IFERROR((IF($C165 = "","",INDEX(レシピ一覧!N:N,MATCH(使用レシピ!$C165,レシピ一覧!$A:$A,0)))&amp;"")*1,"")</f>
        <v/>
      </c>
      <c r="P165" s="12" t="str">
        <f>IFERROR((IF($C165 = "","",INDEX(レシピ一覧!O:O,MATCH(使用レシピ!$C165,レシピ一覧!$A:$A,0)))&amp;"")*1,"")</f>
        <v/>
      </c>
      <c r="Q165" s="35" t="str">
        <f>IFERROR((IF($C165 = "","",INDEX(レシピ一覧!P:P,MATCH(使用レシピ!$C165,レシピ一覧!$A:$A,0)))&amp;"")*1,"")</f>
        <v/>
      </c>
    </row>
    <row r="166" spans="1:17" x14ac:dyDescent="0.4">
      <c r="A166" s="34">
        <v>1</v>
      </c>
      <c r="B166" s="12" t="str">
        <f>IF(E166="","",COUNTIF(レシピ一覧!$D$2:$D$500,使用レシピ!E166))</f>
        <v/>
      </c>
      <c r="C166" s="18" t="str">
        <f t="shared" si="2"/>
        <v/>
      </c>
      <c r="D166" s="31" t="str">
        <f>IF(COUNTIF(レシピ一覧!$B:$B,ROW()-1),ROW()-1,"")</f>
        <v/>
      </c>
      <c r="E166" s="27" t="str">
        <f>IFERROR( INDEX(レシピ一覧!$D:$D,MATCH(使用レシピ!$D166,レシピ一覧!$B:$B,0))&amp;"","")</f>
        <v/>
      </c>
      <c r="F166" s="12" t="str">
        <f>IF($C166 = "","",INDEX(レシピ一覧!E:E,MATCH(使用レシピ!$C166,レシピ一覧!$A:$A,0))) &amp;""</f>
        <v/>
      </c>
      <c r="G166" s="12" t="str">
        <f>IF($C166 = "","",INDEX(レシピ一覧!F:F,MATCH(使用レシピ!$C166,レシピ一覧!$A:$A,0))) &amp;""</f>
        <v/>
      </c>
      <c r="H166" s="12" t="str">
        <f>IF($C166 = "","",INDEX(レシピ一覧!G:G,MATCH(使用レシピ!$C166,レシピ一覧!$A:$A,0))) &amp;""</f>
        <v/>
      </c>
      <c r="I166" s="12" t="str">
        <f>IF($C166 = "","",INDEX(レシピ一覧!H:H,MATCH(使用レシピ!$C166,レシピ一覧!$A:$A,0))) &amp;""</f>
        <v/>
      </c>
      <c r="J166" s="12" t="str">
        <f>IF($C166 = "","",INDEX(レシピ一覧!I:I,MATCH(使用レシピ!$C166,レシピ一覧!$A:$A,0))) &amp;""</f>
        <v/>
      </c>
      <c r="K166" s="12" t="str">
        <f>IFERROR((IF($C166 = "","",INDEX(レシピ一覧!J:J,MATCH(使用レシピ!$C166,レシピ一覧!$A:$A,0)))&amp;"")*1,"")</f>
        <v/>
      </c>
      <c r="L166" s="12" t="str">
        <f>IFERROR((IF($C166 = "","",INDEX(レシピ一覧!K:K,MATCH(使用レシピ!$C166,レシピ一覧!$A:$A,0)))&amp;"")*1,"")</f>
        <v/>
      </c>
      <c r="M166" s="12" t="str">
        <f>IFERROR((IF($C166 = "","",INDEX(レシピ一覧!L:L,MATCH(使用レシピ!$C166,レシピ一覧!$A:$A,0)))&amp;"")*1,"")</f>
        <v/>
      </c>
      <c r="N166" s="12" t="str">
        <f>IFERROR((IF($C166 = "","",INDEX(レシピ一覧!M:M,MATCH(使用レシピ!$C166,レシピ一覧!$A:$A,0)))&amp;"")*1,"")</f>
        <v/>
      </c>
      <c r="O166" s="12" t="str">
        <f>IFERROR((IF($C166 = "","",INDEX(レシピ一覧!N:N,MATCH(使用レシピ!$C166,レシピ一覧!$A:$A,0)))&amp;"")*1,"")</f>
        <v/>
      </c>
      <c r="P166" s="12" t="str">
        <f>IFERROR((IF($C166 = "","",INDEX(レシピ一覧!O:O,MATCH(使用レシピ!$C166,レシピ一覧!$A:$A,0)))&amp;"")*1,"")</f>
        <v/>
      </c>
      <c r="Q166" s="35" t="str">
        <f>IFERROR((IF($C166 = "","",INDEX(レシピ一覧!P:P,MATCH(使用レシピ!$C166,レシピ一覧!$A:$A,0)))&amp;"")*1,"")</f>
        <v/>
      </c>
    </row>
    <row r="167" spans="1:17" x14ac:dyDescent="0.4">
      <c r="A167" s="34">
        <v>1</v>
      </c>
      <c r="B167" s="12" t="str">
        <f>IF(E167="","",COUNTIF(レシピ一覧!$D$2:$D$500,使用レシピ!E167))</f>
        <v/>
      </c>
      <c r="C167" s="18" t="str">
        <f t="shared" si="2"/>
        <v/>
      </c>
      <c r="D167" s="31" t="str">
        <f>IF(COUNTIF(レシピ一覧!$B:$B,ROW()-1),ROW()-1,"")</f>
        <v/>
      </c>
      <c r="E167" s="27" t="str">
        <f>IFERROR( INDEX(レシピ一覧!$D:$D,MATCH(使用レシピ!$D167,レシピ一覧!$B:$B,0))&amp;"","")</f>
        <v/>
      </c>
      <c r="F167" s="12" t="str">
        <f>IF($C167 = "","",INDEX(レシピ一覧!E:E,MATCH(使用レシピ!$C167,レシピ一覧!$A:$A,0))) &amp;""</f>
        <v/>
      </c>
      <c r="G167" s="12" t="str">
        <f>IF($C167 = "","",INDEX(レシピ一覧!F:F,MATCH(使用レシピ!$C167,レシピ一覧!$A:$A,0))) &amp;""</f>
        <v/>
      </c>
      <c r="H167" s="12" t="str">
        <f>IF($C167 = "","",INDEX(レシピ一覧!G:G,MATCH(使用レシピ!$C167,レシピ一覧!$A:$A,0))) &amp;""</f>
        <v/>
      </c>
      <c r="I167" s="12" t="str">
        <f>IF($C167 = "","",INDEX(レシピ一覧!H:H,MATCH(使用レシピ!$C167,レシピ一覧!$A:$A,0))) &amp;""</f>
        <v/>
      </c>
      <c r="J167" s="12" t="str">
        <f>IF($C167 = "","",INDEX(レシピ一覧!I:I,MATCH(使用レシピ!$C167,レシピ一覧!$A:$A,0))) &amp;""</f>
        <v/>
      </c>
      <c r="K167" s="12" t="str">
        <f>IFERROR((IF($C167 = "","",INDEX(レシピ一覧!J:J,MATCH(使用レシピ!$C167,レシピ一覧!$A:$A,0)))&amp;"")*1,"")</f>
        <v/>
      </c>
      <c r="L167" s="12" t="str">
        <f>IFERROR((IF($C167 = "","",INDEX(レシピ一覧!K:K,MATCH(使用レシピ!$C167,レシピ一覧!$A:$A,0)))&amp;"")*1,"")</f>
        <v/>
      </c>
      <c r="M167" s="12" t="str">
        <f>IFERROR((IF($C167 = "","",INDEX(レシピ一覧!L:L,MATCH(使用レシピ!$C167,レシピ一覧!$A:$A,0)))&amp;"")*1,"")</f>
        <v/>
      </c>
      <c r="N167" s="12" t="str">
        <f>IFERROR((IF($C167 = "","",INDEX(レシピ一覧!M:M,MATCH(使用レシピ!$C167,レシピ一覧!$A:$A,0)))&amp;"")*1,"")</f>
        <v/>
      </c>
      <c r="O167" s="12" t="str">
        <f>IFERROR((IF($C167 = "","",INDEX(レシピ一覧!N:N,MATCH(使用レシピ!$C167,レシピ一覧!$A:$A,0)))&amp;"")*1,"")</f>
        <v/>
      </c>
      <c r="P167" s="12" t="str">
        <f>IFERROR((IF($C167 = "","",INDEX(レシピ一覧!O:O,MATCH(使用レシピ!$C167,レシピ一覧!$A:$A,0)))&amp;"")*1,"")</f>
        <v/>
      </c>
      <c r="Q167" s="35" t="str">
        <f>IFERROR((IF($C167 = "","",INDEX(レシピ一覧!P:P,MATCH(使用レシピ!$C167,レシピ一覧!$A:$A,0)))&amp;"")*1,"")</f>
        <v/>
      </c>
    </row>
    <row r="168" spans="1:17" x14ac:dyDescent="0.4">
      <c r="A168" s="34">
        <v>1</v>
      </c>
      <c r="B168" s="12" t="str">
        <f>IF(E168="","",COUNTIF(レシピ一覧!$D$2:$D$500,使用レシピ!E168))</f>
        <v/>
      </c>
      <c r="C168" s="18" t="str">
        <f t="shared" si="2"/>
        <v/>
      </c>
      <c r="D168" s="31" t="str">
        <f>IF(COUNTIF(レシピ一覧!$B:$B,ROW()-1),ROW()-1,"")</f>
        <v/>
      </c>
      <c r="E168" s="27" t="str">
        <f>IFERROR( INDEX(レシピ一覧!$D:$D,MATCH(使用レシピ!$D168,レシピ一覧!$B:$B,0))&amp;"","")</f>
        <v/>
      </c>
      <c r="F168" s="12" t="str">
        <f>IF($C168 = "","",INDEX(レシピ一覧!E:E,MATCH(使用レシピ!$C168,レシピ一覧!$A:$A,0))) &amp;""</f>
        <v/>
      </c>
      <c r="G168" s="12" t="str">
        <f>IF($C168 = "","",INDEX(レシピ一覧!F:F,MATCH(使用レシピ!$C168,レシピ一覧!$A:$A,0))) &amp;""</f>
        <v/>
      </c>
      <c r="H168" s="12" t="str">
        <f>IF($C168 = "","",INDEX(レシピ一覧!G:G,MATCH(使用レシピ!$C168,レシピ一覧!$A:$A,0))) &amp;""</f>
        <v/>
      </c>
      <c r="I168" s="12" t="str">
        <f>IF($C168 = "","",INDEX(レシピ一覧!H:H,MATCH(使用レシピ!$C168,レシピ一覧!$A:$A,0))) &amp;""</f>
        <v/>
      </c>
      <c r="J168" s="12" t="str">
        <f>IF($C168 = "","",INDEX(レシピ一覧!I:I,MATCH(使用レシピ!$C168,レシピ一覧!$A:$A,0))) &amp;""</f>
        <v/>
      </c>
      <c r="K168" s="12" t="str">
        <f>IFERROR((IF($C168 = "","",INDEX(レシピ一覧!J:J,MATCH(使用レシピ!$C168,レシピ一覧!$A:$A,0)))&amp;"")*1,"")</f>
        <v/>
      </c>
      <c r="L168" s="12" t="str">
        <f>IFERROR((IF($C168 = "","",INDEX(レシピ一覧!K:K,MATCH(使用レシピ!$C168,レシピ一覧!$A:$A,0)))&amp;"")*1,"")</f>
        <v/>
      </c>
      <c r="M168" s="12" t="str">
        <f>IFERROR((IF($C168 = "","",INDEX(レシピ一覧!L:L,MATCH(使用レシピ!$C168,レシピ一覧!$A:$A,0)))&amp;"")*1,"")</f>
        <v/>
      </c>
      <c r="N168" s="12" t="str">
        <f>IFERROR((IF($C168 = "","",INDEX(レシピ一覧!M:M,MATCH(使用レシピ!$C168,レシピ一覧!$A:$A,0)))&amp;"")*1,"")</f>
        <v/>
      </c>
      <c r="O168" s="12" t="str">
        <f>IFERROR((IF($C168 = "","",INDEX(レシピ一覧!N:N,MATCH(使用レシピ!$C168,レシピ一覧!$A:$A,0)))&amp;"")*1,"")</f>
        <v/>
      </c>
      <c r="P168" s="12" t="str">
        <f>IFERROR((IF($C168 = "","",INDEX(レシピ一覧!O:O,MATCH(使用レシピ!$C168,レシピ一覧!$A:$A,0)))&amp;"")*1,"")</f>
        <v/>
      </c>
      <c r="Q168" s="35" t="str">
        <f>IFERROR((IF($C168 = "","",INDEX(レシピ一覧!P:P,MATCH(使用レシピ!$C168,レシピ一覧!$A:$A,0)))&amp;"")*1,"")</f>
        <v/>
      </c>
    </row>
    <row r="169" spans="1:17" x14ac:dyDescent="0.4">
      <c r="A169" s="34">
        <v>1</v>
      </c>
      <c r="B169" s="12" t="str">
        <f>IF(E169="","",COUNTIF(レシピ一覧!$D$2:$D$500,使用レシピ!E169))</f>
        <v/>
      </c>
      <c r="C169" s="18" t="str">
        <f t="shared" si="2"/>
        <v/>
      </c>
      <c r="D169" s="31" t="str">
        <f>IF(COUNTIF(レシピ一覧!$B:$B,ROW()-1),ROW()-1,"")</f>
        <v/>
      </c>
      <c r="E169" s="27" t="str">
        <f>IFERROR( INDEX(レシピ一覧!$D:$D,MATCH(使用レシピ!$D169,レシピ一覧!$B:$B,0))&amp;"","")</f>
        <v/>
      </c>
      <c r="F169" s="12" t="str">
        <f>IF($C169 = "","",INDEX(レシピ一覧!E:E,MATCH(使用レシピ!$C169,レシピ一覧!$A:$A,0))) &amp;""</f>
        <v/>
      </c>
      <c r="G169" s="12" t="str">
        <f>IF($C169 = "","",INDEX(レシピ一覧!F:F,MATCH(使用レシピ!$C169,レシピ一覧!$A:$A,0))) &amp;""</f>
        <v/>
      </c>
      <c r="H169" s="12" t="str">
        <f>IF($C169 = "","",INDEX(レシピ一覧!G:G,MATCH(使用レシピ!$C169,レシピ一覧!$A:$A,0))) &amp;""</f>
        <v/>
      </c>
      <c r="I169" s="12" t="str">
        <f>IF($C169 = "","",INDEX(レシピ一覧!H:H,MATCH(使用レシピ!$C169,レシピ一覧!$A:$A,0))) &amp;""</f>
        <v/>
      </c>
      <c r="J169" s="12" t="str">
        <f>IF($C169 = "","",INDEX(レシピ一覧!I:I,MATCH(使用レシピ!$C169,レシピ一覧!$A:$A,0))) &amp;""</f>
        <v/>
      </c>
      <c r="K169" s="12" t="str">
        <f>IFERROR((IF($C169 = "","",INDEX(レシピ一覧!J:J,MATCH(使用レシピ!$C169,レシピ一覧!$A:$A,0)))&amp;"")*1,"")</f>
        <v/>
      </c>
      <c r="L169" s="12" t="str">
        <f>IFERROR((IF($C169 = "","",INDEX(レシピ一覧!K:K,MATCH(使用レシピ!$C169,レシピ一覧!$A:$A,0)))&amp;"")*1,"")</f>
        <v/>
      </c>
      <c r="M169" s="12" t="str">
        <f>IFERROR((IF($C169 = "","",INDEX(レシピ一覧!L:L,MATCH(使用レシピ!$C169,レシピ一覧!$A:$A,0)))&amp;"")*1,"")</f>
        <v/>
      </c>
      <c r="N169" s="12" t="str">
        <f>IFERROR((IF($C169 = "","",INDEX(レシピ一覧!M:M,MATCH(使用レシピ!$C169,レシピ一覧!$A:$A,0)))&amp;"")*1,"")</f>
        <v/>
      </c>
      <c r="O169" s="12" t="str">
        <f>IFERROR((IF($C169 = "","",INDEX(レシピ一覧!N:N,MATCH(使用レシピ!$C169,レシピ一覧!$A:$A,0)))&amp;"")*1,"")</f>
        <v/>
      </c>
      <c r="P169" s="12" t="str">
        <f>IFERROR((IF($C169 = "","",INDEX(レシピ一覧!O:O,MATCH(使用レシピ!$C169,レシピ一覧!$A:$A,0)))&amp;"")*1,"")</f>
        <v/>
      </c>
      <c r="Q169" s="35" t="str">
        <f>IFERROR((IF($C169 = "","",INDEX(レシピ一覧!P:P,MATCH(使用レシピ!$C169,レシピ一覧!$A:$A,0)))&amp;"")*1,"")</f>
        <v/>
      </c>
    </row>
    <row r="170" spans="1:17" x14ac:dyDescent="0.4">
      <c r="A170" s="34">
        <v>1</v>
      </c>
      <c r="B170" s="12" t="str">
        <f>IF(E170="","",COUNTIF(レシピ一覧!$D$2:$D$500,使用レシピ!E170))</f>
        <v/>
      </c>
      <c r="C170" s="18" t="str">
        <f t="shared" si="2"/>
        <v/>
      </c>
      <c r="D170" s="31" t="str">
        <f>IF(COUNTIF(レシピ一覧!$B:$B,ROW()-1),ROW()-1,"")</f>
        <v/>
      </c>
      <c r="E170" s="27" t="str">
        <f>IFERROR( INDEX(レシピ一覧!$D:$D,MATCH(使用レシピ!$D170,レシピ一覧!$B:$B,0))&amp;"","")</f>
        <v/>
      </c>
      <c r="F170" s="12" t="str">
        <f>IF($C170 = "","",INDEX(レシピ一覧!E:E,MATCH(使用レシピ!$C170,レシピ一覧!$A:$A,0))) &amp;""</f>
        <v/>
      </c>
      <c r="G170" s="12" t="str">
        <f>IF($C170 = "","",INDEX(レシピ一覧!F:F,MATCH(使用レシピ!$C170,レシピ一覧!$A:$A,0))) &amp;""</f>
        <v/>
      </c>
      <c r="H170" s="12" t="str">
        <f>IF($C170 = "","",INDEX(レシピ一覧!G:G,MATCH(使用レシピ!$C170,レシピ一覧!$A:$A,0))) &amp;""</f>
        <v/>
      </c>
      <c r="I170" s="12" t="str">
        <f>IF($C170 = "","",INDEX(レシピ一覧!H:H,MATCH(使用レシピ!$C170,レシピ一覧!$A:$A,0))) &amp;""</f>
        <v/>
      </c>
      <c r="J170" s="12" t="str">
        <f>IF($C170 = "","",INDEX(レシピ一覧!I:I,MATCH(使用レシピ!$C170,レシピ一覧!$A:$A,0))) &amp;""</f>
        <v/>
      </c>
      <c r="K170" s="12" t="str">
        <f>IFERROR((IF($C170 = "","",INDEX(レシピ一覧!J:J,MATCH(使用レシピ!$C170,レシピ一覧!$A:$A,0)))&amp;"")*1,"")</f>
        <v/>
      </c>
      <c r="L170" s="12" t="str">
        <f>IFERROR((IF($C170 = "","",INDEX(レシピ一覧!K:K,MATCH(使用レシピ!$C170,レシピ一覧!$A:$A,0)))&amp;"")*1,"")</f>
        <v/>
      </c>
      <c r="M170" s="12" t="str">
        <f>IFERROR((IF($C170 = "","",INDEX(レシピ一覧!L:L,MATCH(使用レシピ!$C170,レシピ一覧!$A:$A,0)))&amp;"")*1,"")</f>
        <v/>
      </c>
      <c r="N170" s="12" t="str">
        <f>IFERROR((IF($C170 = "","",INDEX(レシピ一覧!M:M,MATCH(使用レシピ!$C170,レシピ一覧!$A:$A,0)))&amp;"")*1,"")</f>
        <v/>
      </c>
      <c r="O170" s="12" t="str">
        <f>IFERROR((IF($C170 = "","",INDEX(レシピ一覧!N:N,MATCH(使用レシピ!$C170,レシピ一覧!$A:$A,0)))&amp;"")*1,"")</f>
        <v/>
      </c>
      <c r="P170" s="12" t="str">
        <f>IFERROR((IF($C170 = "","",INDEX(レシピ一覧!O:O,MATCH(使用レシピ!$C170,レシピ一覧!$A:$A,0)))&amp;"")*1,"")</f>
        <v/>
      </c>
      <c r="Q170" s="35" t="str">
        <f>IFERROR((IF($C170 = "","",INDEX(レシピ一覧!P:P,MATCH(使用レシピ!$C170,レシピ一覧!$A:$A,0)))&amp;"")*1,"")</f>
        <v/>
      </c>
    </row>
    <row r="171" spans="1:17" x14ac:dyDescent="0.4">
      <c r="A171" s="34">
        <v>1</v>
      </c>
      <c r="B171" s="12" t="str">
        <f>IF(E171="","",COUNTIF(レシピ一覧!$D$2:$D$500,使用レシピ!E171))</f>
        <v/>
      </c>
      <c r="C171" s="18" t="str">
        <f t="shared" si="2"/>
        <v/>
      </c>
      <c r="D171" s="31" t="str">
        <f>IF(COUNTIF(レシピ一覧!$B:$B,ROW()-1),ROW()-1,"")</f>
        <v/>
      </c>
      <c r="E171" s="27" t="str">
        <f>IFERROR( INDEX(レシピ一覧!$D:$D,MATCH(使用レシピ!$D171,レシピ一覧!$B:$B,0))&amp;"","")</f>
        <v/>
      </c>
      <c r="F171" s="12" t="str">
        <f>IF($C171 = "","",INDEX(レシピ一覧!E:E,MATCH(使用レシピ!$C171,レシピ一覧!$A:$A,0))) &amp;""</f>
        <v/>
      </c>
      <c r="G171" s="12" t="str">
        <f>IF($C171 = "","",INDEX(レシピ一覧!F:F,MATCH(使用レシピ!$C171,レシピ一覧!$A:$A,0))) &amp;""</f>
        <v/>
      </c>
      <c r="H171" s="12" t="str">
        <f>IF($C171 = "","",INDEX(レシピ一覧!G:G,MATCH(使用レシピ!$C171,レシピ一覧!$A:$A,0))) &amp;""</f>
        <v/>
      </c>
      <c r="I171" s="12" t="str">
        <f>IF($C171 = "","",INDEX(レシピ一覧!H:H,MATCH(使用レシピ!$C171,レシピ一覧!$A:$A,0))) &amp;""</f>
        <v/>
      </c>
      <c r="J171" s="12" t="str">
        <f>IF($C171 = "","",INDEX(レシピ一覧!I:I,MATCH(使用レシピ!$C171,レシピ一覧!$A:$A,0))) &amp;""</f>
        <v/>
      </c>
      <c r="K171" s="12" t="str">
        <f>IFERROR((IF($C171 = "","",INDEX(レシピ一覧!J:J,MATCH(使用レシピ!$C171,レシピ一覧!$A:$A,0)))&amp;"")*1,"")</f>
        <v/>
      </c>
      <c r="L171" s="12" t="str">
        <f>IFERROR((IF($C171 = "","",INDEX(レシピ一覧!K:K,MATCH(使用レシピ!$C171,レシピ一覧!$A:$A,0)))&amp;"")*1,"")</f>
        <v/>
      </c>
      <c r="M171" s="12" t="str">
        <f>IFERROR((IF($C171 = "","",INDEX(レシピ一覧!L:L,MATCH(使用レシピ!$C171,レシピ一覧!$A:$A,0)))&amp;"")*1,"")</f>
        <v/>
      </c>
      <c r="N171" s="12" t="str">
        <f>IFERROR((IF($C171 = "","",INDEX(レシピ一覧!M:M,MATCH(使用レシピ!$C171,レシピ一覧!$A:$A,0)))&amp;"")*1,"")</f>
        <v/>
      </c>
      <c r="O171" s="12" t="str">
        <f>IFERROR((IF($C171 = "","",INDEX(レシピ一覧!N:N,MATCH(使用レシピ!$C171,レシピ一覧!$A:$A,0)))&amp;"")*1,"")</f>
        <v/>
      </c>
      <c r="P171" s="12" t="str">
        <f>IFERROR((IF($C171 = "","",INDEX(レシピ一覧!O:O,MATCH(使用レシピ!$C171,レシピ一覧!$A:$A,0)))&amp;"")*1,"")</f>
        <v/>
      </c>
      <c r="Q171" s="35" t="str">
        <f>IFERROR((IF($C171 = "","",INDEX(レシピ一覧!P:P,MATCH(使用レシピ!$C171,レシピ一覧!$A:$A,0)))&amp;"")*1,"")</f>
        <v/>
      </c>
    </row>
    <row r="172" spans="1:17" x14ac:dyDescent="0.4">
      <c r="A172" s="34">
        <v>1</v>
      </c>
      <c r="B172" s="12" t="str">
        <f>IF(E172="","",COUNTIF(レシピ一覧!$D$2:$D$500,使用レシピ!E172))</f>
        <v/>
      </c>
      <c r="C172" s="18" t="str">
        <f t="shared" si="2"/>
        <v/>
      </c>
      <c r="D172" s="31" t="str">
        <f>IF(COUNTIF(レシピ一覧!$B:$B,ROW()-1),ROW()-1,"")</f>
        <v/>
      </c>
      <c r="E172" s="27" t="str">
        <f>IFERROR( INDEX(レシピ一覧!$D:$D,MATCH(使用レシピ!$D172,レシピ一覧!$B:$B,0))&amp;"","")</f>
        <v/>
      </c>
      <c r="F172" s="12" t="str">
        <f>IF($C172 = "","",INDEX(レシピ一覧!E:E,MATCH(使用レシピ!$C172,レシピ一覧!$A:$A,0))) &amp;""</f>
        <v/>
      </c>
      <c r="G172" s="12" t="str">
        <f>IF($C172 = "","",INDEX(レシピ一覧!F:F,MATCH(使用レシピ!$C172,レシピ一覧!$A:$A,0))) &amp;""</f>
        <v/>
      </c>
      <c r="H172" s="12" t="str">
        <f>IF($C172 = "","",INDEX(レシピ一覧!G:G,MATCH(使用レシピ!$C172,レシピ一覧!$A:$A,0))) &amp;""</f>
        <v/>
      </c>
      <c r="I172" s="12" t="str">
        <f>IF($C172 = "","",INDEX(レシピ一覧!H:H,MATCH(使用レシピ!$C172,レシピ一覧!$A:$A,0))) &amp;""</f>
        <v/>
      </c>
      <c r="J172" s="12" t="str">
        <f>IF($C172 = "","",INDEX(レシピ一覧!I:I,MATCH(使用レシピ!$C172,レシピ一覧!$A:$A,0))) &amp;""</f>
        <v/>
      </c>
      <c r="K172" s="12" t="str">
        <f>IFERROR((IF($C172 = "","",INDEX(レシピ一覧!J:J,MATCH(使用レシピ!$C172,レシピ一覧!$A:$A,0)))&amp;"")*1,"")</f>
        <v/>
      </c>
      <c r="L172" s="12" t="str">
        <f>IFERROR((IF($C172 = "","",INDEX(レシピ一覧!K:K,MATCH(使用レシピ!$C172,レシピ一覧!$A:$A,0)))&amp;"")*1,"")</f>
        <v/>
      </c>
      <c r="M172" s="12" t="str">
        <f>IFERROR((IF($C172 = "","",INDEX(レシピ一覧!L:L,MATCH(使用レシピ!$C172,レシピ一覧!$A:$A,0)))&amp;"")*1,"")</f>
        <v/>
      </c>
      <c r="N172" s="12" t="str">
        <f>IFERROR((IF($C172 = "","",INDEX(レシピ一覧!M:M,MATCH(使用レシピ!$C172,レシピ一覧!$A:$A,0)))&amp;"")*1,"")</f>
        <v/>
      </c>
      <c r="O172" s="12" t="str">
        <f>IFERROR((IF($C172 = "","",INDEX(レシピ一覧!N:N,MATCH(使用レシピ!$C172,レシピ一覧!$A:$A,0)))&amp;"")*1,"")</f>
        <v/>
      </c>
      <c r="P172" s="12" t="str">
        <f>IFERROR((IF($C172 = "","",INDEX(レシピ一覧!O:O,MATCH(使用レシピ!$C172,レシピ一覧!$A:$A,0)))&amp;"")*1,"")</f>
        <v/>
      </c>
      <c r="Q172" s="35" t="str">
        <f>IFERROR((IF($C172 = "","",INDEX(レシピ一覧!P:P,MATCH(使用レシピ!$C172,レシピ一覧!$A:$A,0)))&amp;"")*1,"")</f>
        <v/>
      </c>
    </row>
    <row r="173" spans="1:17" x14ac:dyDescent="0.4">
      <c r="A173" s="34">
        <v>1</v>
      </c>
      <c r="B173" s="12" t="str">
        <f>IF(E173="","",COUNTIF(レシピ一覧!$D$2:$D$500,使用レシピ!E173))</f>
        <v/>
      </c>
      <c r="C173" s="18" t="str">
        <f t="shared" si="2"/>
        <v/>
      </c>
      <c r="D173" s="31" t="str">
        <f>IF(COUNTIF(レシピ一覧!$B:$B,ROW()-1),ROW()-1,"")</f>
        <v/>
      </c>
      <c r="E173" s="27" t="str">
        <f>IFERROR( INDEX(レシピ一覧!$D:$D,MATCH(使用レシピ!$D173,レシピ一覧!$B:$B,0))&amp;"","")</f>
        <v/>
      </c>
      <c r="F173" s="12" t="str">
        <f>IF($C173 = "","",INDEX(レシピ一覧!E:E,MATCH(使用レシピ!$C173,レシピ一覧!$A:$A,0))) &amp;""</f>
        <v/>
      </c>
      <c r="G173" s="12" t="str">
        <f>IF($C173 = "","",INDEX(レシピ一覧!F:F,MATCH(使用レシピ!$C173,レシピ一覧!$A:$A,0))) &amp;""</f>
        <v/>
      </c>
      <c r="H173" s="12" t="str">
        <f>IF($C173 = "","",INDEX(レシピ一覧!G:G,MATCH(使用レシピ!$C173,レシピ一覧!$A:$A,0))) &amp;""</f>
        <v/>
      </c>
      <c r="I173" s="12" t="str">
        <f>IF($C173 = "","",INDEX(レシピ一覧!H:H,MATCH(使用レシピ!$C173,レシピ一覧!$A:$A,0))) &amp;""</f>
        <v/>
      </c>
      <c r="J173" s="12" t="str">
        <f>IF($C173 = "","",INDEX(レシピ一覧!I:I,MATCH(使用レシピ!$C173,レシピ一覧!$A:$A,0))) &amp;""</f>
        <v/>
      </c>
      <c r="K173" s="12" t="str">
        <f>IFERROR((IF($C173 = "","",INDEX(レシピ一覧!J:J,MATCH(使用レシピ!$C173,レシピ一覧!$A:$A,0)))&amp;"")*1,"")</f>
        <v/>
      </c>
      <c r="L173" s="12" t="str">
        <f>IFERROR((IF($C173 = "","",INDEX(レシピ一覧!K:K,MATCH(使用レシピ!$C173,レシピ一覧!$A:$A,0)))&amp;"")*1,"")</f>
        <v/>
      </c>
      <c r="M173" s="12" t="str">
        <f>IFERROR((IF($C173 = "","",INDEX(レシピ一覧!L:L,MATCH(使用レシピ!$C173,レシピ一覧!$A:$A,0)))&amp;"")*1,"")</f>
        <v/>
      </c>
      <c r="N173" s="12" t="str">
        <f>IFERROR((IF($C173 = "","",INDEX(レシピ一覧!M:M,MATCH(使用レシピ!$C173,レシピ一覧!$A:$A,0)))&amp;"")*1,"")</f>
        <v/>
      </c>
      <c r="O173" s="12" t="str">
        <f>IFERROR((IF($C173 = "","",INDEX(レシピ一覧!N:N,MATCH(使用レシピ!$C173,レシピ一覧!$A:$A,0)))&amp;"")*1,"")</f>
        <v/>
      </c>
      <c r="P173" s="12" t="str">
        <f>IFERROR((IF($C173 = "","",INDEX(レシピ一覧!O:O,MATCH(使用レシピ!$C173,レシピ一覧!$A:$A,0)))&amp;"")*1,"")</f>
        <v/>
      </c>
      <c r="Q173" s="35" t="str">
        <f>IFERROR((IF($C173 = "","",INDEX(レシピ一覧!P:P,MATCH(使用レシピ!$C173,レシピ一覧!$A:$A,0)))&amp;"")*1,"")</f>
        <v/>
      </c>
    </row>
    <row r="174" spans="1:17" x14ac:dyDescent="0.4">
      <c r="A174" s="34">
        <v>1</v>
      </c>
      <c r="B174" s="12" t="str">
        <f>IF(E174="","",COUNTIF(レシピ一覧!$D$2:$D$500,使用レシピ!E174))</f>
        <v/>
      </c>
      <c r="C174" s="18" t="str">
        <f t="shared" si="2"/>
        <v/>
      </c>
      <c r="D174" s="31" t="str">
        <f>IF(COUNTIF(レシピ一覧!$B:$B,ROW()-1),ROW()-1,"")</f>
        <v/>
      </c>
      <c r="E174" s="27" t="str">
        <f>IFERROR( INDEX(レシピ一覧!$D:$D,MATCH(使用レシピ!$D174,レシピ一覧!$B:$B,0))&amp;"","")</f>
        <v/>
      </c>
      <c r="F174" s="12" t="str">
        <f>IF($C174 = "","",INDEX(レシピ一覧!E:E,MATCH(使用レシピ!$C174,レシピ一覧!$A:$A,0))) &amp;""</f>
        <v/>
      </c>
      <c r="G174" s="12" t="str">
        <f>IF($C174 = "","",INDEX(レシピ一覧!F:F,MATCH(使用レシピ!$C174,レシピ一覧!$A:$A,0))) &amp;""</f>
        <v/>
      </c>
      <c r="H174" s="12" t="str">
        <f>IF($C174 = "","",INDEX(レシピ一覧!G:G,MATCH(使用レシピ!$C174,レシピ一覧!$A:$A,0))) &amp;""</f>
        <v/>
      </c>
      <c r="I174" s="12" t="str">
        <f>IF($C174 = "","",INDEX(レシピ一覧!H:H,MATCH(使用レシピ!$C174,レシピ一覧!$A:$A,0))) &amp;""</f>
        <v/>
      </c>
      <c r="J174" s="12" t="str">
        <f>IF($C174 = "","",INDEX(レシピ一覧!I:I,MATCH(使用レシピ!$C174,レシピ一覧!$A:$A,0))) &amp;""</f>
        <v/>
      </c>
      <c r="K174" s="12" t="str">
        <f>IFERROR((IF($C174 = "","",INDEX(レシピ一覧!J:J,MATCH(使用レシピ!$C174,レシピ一覧!$A:$A,0)))&amp;"")*1,"")</f>
        <v/>
      </c>
      <c r="L174" s="12" t="str">
        <f>IFERROR((IF($C174 = "","",INDEX(レシピ一覧!K:K,MATCH(使用レシピ!$C174,レシピ一覧!$A:$A,0)))&amp;"")*1,"")</f>
        <v/>
      </c>
      <c r="M174" s="12" t="str">
        <f>IFERROR((IF($C174 = "","",INDEX(レシピ一覧!L:L,MATCH(使用レシピ!$C174,レシピ一覧!$A:$A,0)))&amp;"")*1,"")</f>
        <v/>
      </c>
      <c r="N174" s="12" t="str">
        <f>IFERROR((IF($C174 = "","",INDEX(レシピ一覧!M:M,MATCH(使用レシピ!$C174,レシピ一覧!$A:$A,0)))&amp;"")*1,"")</f>
        <v/>
      </c>
      <c r="O174" s="12" t="str">
        <f>IFERROR((IF($C174 = "","",INDEX(レシピ一覧!N:N,MATCH(使用レシピ!$C174,レシピ一覧!$A:$A,0)))&amp;"")*1,"")</f>
        <v/>
      </c>
      <c r="P174" s="12" t="str">
        <f>IFERROR((IF($C174 = "","",INDEX(レシピ一覧!O:O,MATCH(使用レシピ!$C174,レシピ一覧!$A:$A,0)))&amp;"")*1,"")</f>
        <v/>
      </c>
      <c r="Q174" s="35" t="str">
        <f>IFERROR((IF($C174 = "","",INDEX(レシピ一覧!P:P,MATCH(使用レシピ!$C174,レシピ一覧!$A:$A,0)))&amp;"")*1,"")</f>
        <v/>
      </c>
    </row>
    <row r="175" spans="1:17" x14ac:dyDescent="0.4">
      <c r="A175" s="34">
        <v>1</v>
      </c>
      <c r="B175" s="12" t="str">
        <f>IF(E175="","",COUNTIF(レシピ一覧!$D$2:$D$500,使用レシピ!E175))</f>
        <v/>
      </c>
      <c r="C175" s="18" t="str">
        <f t="shared" si="2"/>
        <v/>
      </c>
      <c r="D175" s="31" t="str">
        <f>IF(COUNTIF(レシピ一覧!$B:$B,ROW()-1),ROW()-1,"")</f>
        <v/>
      </c>
      <c r="E175" s="27" t="str">
        <f>IFERROR( INDEX(レシピ一覧!$D:$D,MATCH(使用レシピ!$D175,レシピ一覧!$B:$B,0))&amp;"","")</f>
        <v/>
      </c>
      <c r="F175" s="12" t="str">
        <f>IF($C175 = "","",INDEX(レシピ一覧!E:E,MATCH(使用レシピ!$C175,レシピ一覧!$A:$A,0))) &amp;""</f>
        <v/>
      </c>
      <c r="G175" s="12" t="str">
        <f>IF($C175 = "","",INDEX(レシピ一覧!F:F,MATCH(使用レシピ!$C175,レシピ一覧!$A:$A,0))) &amp;""</f>
        <v/>
      </c>
      <c r="H175" s="12" t="str">
        <f>IF($C175 = "","",INDEX(レシピ一覧!G:G,MATCH(使用レシピ!$C175,レシピ一覧!$A:$A,0))) &amp;""</f>
        <v/>
      </c>
      <c r="I175" s="12" t="str">
        <f>IF($C175 = "","",INDEX(レシピ一覧!H:H,MATCH(使用レシピ!$C175,レシピ一覧!$A:$A,0))) &amp;""</f>
        <v/>
      </c>
      <c r="J175" s="12" t="str">
        <f>IF($C175 = "","",INDEX(レシピ一覧!I:I,MATCH(使用レシピ!$C175,レシピ一覧!$A:$A,0))) &amp;""</f>
        <v/>
      </c>
      <c r="K175" s="12" t="str">
        <f>IFERROR((IF($C175 = "","",INDEX(レシピ一覧!J:J,MATCH(使用レシピ!$C175,レシピ一覧!$A:$A,0)))&amp;"")*1,"")</f>
        <v/>
      </c>
      <c r="L175" s="12" t="str">
        <f>IFERROR((IF($C175 = "","",INDEX(レシピ一覧!K:K,MATCH(使用レシピ!$C175,レシピ一覧!$A:$A,0)))&amp;"")*1,"")</f>
        <v/>
      </c>
      <c r="M175" s="12" t="str">
        <f>IFERROR((IF($C175 = "","",INDEX(レシピ一覧!L:L,MATCH(使用レシピ!$C175,レシピ一覧!$A:$A,0)))&amp;"")*1,"")</f>
        <v/>
      </c>
      <c r="N175" s="12" t="str">
        <f>IFERROR((IF($C175 = "","",INDEX(レシピ一覧!M:M,MATCH(使用レシピ!$C175,レシピ一覧!$A:$A,0)))&amp;"")*1,"")</f>
        <v/>
      </c>
      <c r="O175" s="12" t="str">
        <f>IFERROR((IF($C175 = "","",INDEX(レシピ一覧!N:N,MATCH(使用レシピ!$C175,レシピ一覧!$A:$A,0)))&amp;"")*1,"")</f>
        <v/>
      </c>
      <c r="P175" s="12" t="str">
        <f>IFERROR((IF($C175 = "","",INDEX(レシピ一覧!O:O,MATCH(使用レシピ!$C175,レシピ一覧!$A:$A,0)))&amp;"")*1,"")</f>
        <v/>
      </c>
      <c r="Q175" s="35" t="str">
        <f>IFERROR((IF($C175 = "","",INDEX(レシピ一覧!P:P,MATCH(使用レシピ!$C175,レシピ一覧!$A:$A,0)))&amp;"")*1,"")</f>
        <v/>
      </c>
    </row>
    <row r="176" spans="1:17" x14ac:dyDescent="0.4">
      <c r="A176" s="34">
        <v>1</v>
      </c>
      <c r="B176" s="12" t="str">
        <f>IF(E176="","",COUNTIF(レシピ一覧!$D$2:$D$500,使用レシピ!E176))</f>
        <v/>
      </c>
      <c r="C176" s="18" t="str">
        <f t="shared" si="2"/>
        <v/>
      </c>
      <c r="D176" s="31" t="str">
        <f>IF(COUNTIF(レシピ一覧!$B:$B,ROW()-1),ROW()-1,"")</f>
        <v/>
      </c>
      <c r="E176" s="27" t="str">
        <f>IFERROR( INDEX(レシピ一覧!$D:$D,MATCH(使用レシピ!$D176,レシピ一覧!$B:$B,0))&amp;"","")</f>
        <v/>
      </c>
      <c r="F176" s="12" t="str">
        <f>IF($C176 = "","",INDEX(レシピ一覧!E:E,MATCH(使用レシピ!$C176,レシピ一覧!$A:$A,0))) &amp;""</f>
        <v/>
      </c>
      <c r="G176" s="12" t="str">
        <f>IF($C176 = "","",INDEX(レシピ一覧!F:F,MATCH(使用レシピ!$C176,レシピ一覧!$A:$A,0))) &amp;""</f>
        <v/>
      </c>
      <c r="H176" s="12" t="str">
        <f>IF($C176 = "","",INDEX(レシピ一覧!G:G,MATCH(使用レシピ!$C176,レシピ一覧!$A:$A,0))) &amp;""</f>
        <v/>
      </c>
      <c r="I176" s="12" t="str">
        <f>IF($C176 = "","",INDEX(レシピ一覧!H:H,MATCH(使用レシピ!$C176,レシピ一覧!$A:$A,0))) &amp;""</f>
        <v/>
      </c>
      <c r="J176" s="12" t="str">
        <f>IF($C176 = "","",INDEX(レシピ一覧!I:I,MATCH(使用レシピ!$C176,レシピ一覧!$A:$A,0))) &amp;""</f>
        <v/>
      </c>
      <c r="K176" s="12" t="str">
        <f>IFERROR((IF($C176 = "","",INDEX(レシピ一覧!J:J,MATCH(使用レシピ!$C176,レシピ一覧!$A:$A,0)))&amp;"")*1,"")</f>
        <v/>
      </c>
      <c r="L176" s="12" t="str">
        <f>IFERROR((IF($C176 = "","",INDEX(レシピ一覧!K:K,MATCH(使用レシピ!$C176,レシピ一覧!$A:$A,0)))&amp;"")*1,"")</f>
        <v/>
      </c>
      <c r="M176" s="12" t="str">
        <f>IFERROR((IF($C176 = "","",INDEX(レシピ一覧!L:L,MATCH(使用レシピ!$C176,レシピ一覧!$A:$A,0)))&amp;"")*1,"")</f>
        <v/>
      </c>
      <c r="N176" s="12" t="str">
        <f>IFERROR((IF($C176 = "","",INDEX(レシピ一覧!M:M,MATCH(使用レシピ!$C176,レシピ一覧!$A:$A,0)))&amp;"")*1,"")</f>
        <v/>
      </c>
      <c r="O176" s="12" t="str">
        <f>IFERROR((IF($C176 = "","",INDEX(レシピ一覧!N:N,MATCH(使用レシピ!$C176,レシピ一覧!$A:$A,0)))&amp;"")*1,"")</f>
        <v/>
      </c>
      <c r="P176" s="12" t="str">
        <f>IFERROR((IF($C176 = "","",INDEX(レシピ一覧!O:O,MATCH(使用レシピ!$C176,レシピ一覧!$A:$A,0)))&amp;"")*1,"")</f>
        <v/>
      </c>
      <c r="Q176" s="35" t="str">
        <f>IFERROR((IF($C176 = "","",INDEX(レシピ一覧!P:P,MATCH(使用レシピ!$C176,レシピ一覧!$A:$A,0)))&amp;"")*1,"")</f>
        <v/>
      </c>
    </row>
    <row r="177" spans="1:17" x14ac:dyDescent="0.4">
      <c r="A177" s="34">
        <v>1</v>
      </c>
      <c r="B177" s="12" t="str">
        <f>IF(E177="","",COUNTIF(レシピ一覧!$D$2:$D$500,使用レシピ!E177))</f>
        <v/>
      </c>
      <c r="C177" s="18" t="str">
        <f t="shared" si="2"/>
        <v/>
      </c>
      <c r="D177" s="31" t="str">
        <f>IF(COUNTIF(レシピ一覧!$B:$B,ROW()-1),ROW()-1,"")</f>
        <v/>
      </c>
      <c r="E177" s="27" t="str">
        <f>IFERROR( INDEX(レシピ一覧!$D:$D,MATCH(使用レシピ!$D177,レシピ一覧!$B:$B,0))&amp;"","")</f>
        <v/>
      </c>
      <c r="F177" s="12" t="str">
        <f>IF($C177 = "","",INDEX(レシピ一覧!E:E,MATCH(使用レシピ!$C177,レシピ一覧!$A:$A,0))) &amp;""</f>
        <v/>
      </c>
      <c r="G177" s="12" t="str">
        <f>IF($C177 = "","",INDEX(レシピ一覧!F:F,MATCH(使用レシピ!$C177,レシピ一覧!$A:$A,0))) &amp;""</f>
        <v/>
      </c>
      <c r="H177" s="12" t="str">
        <f>IF($C177 = "","",INDEX(レシピ一覧!G:G,MATCH(使用レシピ!$C177,レシピ一覧!$A:$A,0))) &amp;""</f>
        <v/>
      </c>
      <c r="I177" s="12" t="str">
        <f>IF($C177 = "","",INDEX(レシピ一覧!H:H,MATCH(使用レシピ!$C177,レシピ一覧!$A:$A,0))) &amp;""</f>
        <v/>
      </c>
      <c r="J177" s="12" t="str">
        <f>IF($C177 = "","",INDEX(レシピ一覧!I:I,MATCH(使用レシピ!$C177,レシピ一覧!$A:$A,0))) &amp;""</f>
        <v/>
      </c>
      <c r="K177" s="12" t="str">
        <f>IFERROR((IF($C177 = "","",INDEX(レシピ一覧!J:J,MATCH(使用レシピ!$C177,レシピ一覧!$A:$A,0)))&amp;"")*1,"")</f>
        <v/>
      </c>
      <c r="L177" s="12" t="str">
        <f>IFERROR((IF($C177 = "","",INDEX(レシピ一覧!K:K,MATCH(使用レシピ!$C177,レシピ一覧!$A:$A,0)))&amp;"")*1,"")</f>
        <v/>
      </c>
      <c r="M177" s="12" t="str">
        <f>IFERROR((IF($C177 = "","",INDEX(レシピ一覧!L:L,MATCH(使用レシピ!$C177,レシピ一覧!$A:$A,0)))&amp;"")*1,"")</f>
        <v/>
      </c>
      <c r="N177" s="12" t="str">
        <f>IFERROR((IF($C177 = "","",INDEX(レシピ一覧!M:M,MATCH(使用レシピ!$C177,レシピ一覧!$A:$A,0)))&amp;"")*1,"")</f>
        <v/>
      </c>
      <c r="O177" s="12" t="str">
        <f>IFERROR((IF($C177 = "","",INDEX(レシピ一覧!N:N,MATCH(使用レシピ!$C177,レシピ一覧!$A:$A,0)))&amp;"")*1,"")</f>
        <v/>
      </c>
      <c r="P177" s="12" t="str">
        <f>IFERROR((IF($C177 = "","",INDEX(レシピ一覧!O:O,MATCH(使用レシピ!$C177,レシピ一覧!$A:$A,0)))&amp;"")*1,"")</f>
        <v/>
      </c>
      <c r="Q177" s="35" t="str">
        <f>IFERROR((IF($C177 = "","",INDEX(レシピ一覧!P:P,MATCH(使用レシピ!$C177,レシピ一覧!$A:$A,0)))&amp;"")*1,"")</f>
        <v/>
      </c>
    </row>
    <row r="178" spans="1:17" x14ac:dyDescent="0.4">
      <c r="A178" s="34">
        <v>1</v>
      </c>
      <c r="B178" s="12" t="str">
        <f>IF(E178="","",COUNTIF(レシピ一覧!$D$2:$D$500,使用レシピ!E178))</f>
        <v/>
      </c>
      <c r="C178" s="18" t="str">
        <f t="shared" si="2"/>
        <v/>
      </c>
      <c r="D178" s="31" t="str">
        <f>IF(COUNTIF(レシピ一覧!$B:$B,ROW()-1),ROW()-1,"")</f>
        <v/>
      </c>
      <c r="E178" s="27" t="str">
        <f>IFERROR( INDEX(レシピ一覧!$D:$D,MATCH(使用レシピ!$D178,レシピ一覧!$B:$B,0))&amp;"","")</f>
        <v/>
      </c>
      <c r="F178" s="12" t="str">
        <f>IF($C178 = "","",INDEX(レシピ一覧!E:E,MATCH(使用レシピ!$C178,レシピ一覧!$A:$A,0))) &amp;""</f>
        <v/>
      </c>
      <c r="G178" s="12" t="str">
        <f>IF($C178 = "","",INDEX(レシピ一覧!F:F,MATCH(使用レシピ!$C178,レシピ一覧!$A:$A,0))) &amp;""</f>
        <v/>
      </c>
      <c r="H178" s="12" t="str">
        <f>IF($C178 = "","",INDEX(レシピ一覧!G:G,MATCH(使用レシピ!$C178,レシピ一覧!$A:$A,0))) &amp;""</f>
        <v/>
      </c>
      <c r="I178" s="12" t="str">
        <f>IF($C178 = "","",INDEX(レシピ一覧!H:H,MATCH(使用レシピ!$C178,レシピ一覧!$A:$A,0))) &amp;""</f>
        <v/>
      </c>
      <c r="J178" s="12" t="str">
        <f>IF($C178 = "","",INDEX(レシピ一覧!I:I,MATCH(使用レシピ!$C178,レシピ一覧!$A:$A,0))) &amp;""</f>
        <v/>
      </c>
      <c r="K178" s="12" t="str">
        <f>IFERROR((IF($C178 = "","",INDEX(レシピ一覧!J:J,MATCH(使用レシピ!$C178,レシピ一覧!$A:$A,0)))&amp;"")*1,"")</f>
        <v/>
      </c>
      <c r="L178" s="12" t="str">
        <f>IFERROR((IF($C178 = "","",INDEX(レシピ一覧!K:K,MATCH(使用レシピ!$C178,レシピ一覧!$A:$A,0)))&amp;"")*1,"")</f>
        <v/>
      </c>
      <c r="M178" s="12" t="str">
        <f>IFERROR((IF($C178 = "","",INDEX(レシピ一覧!L:L,MATCH(使用レシピ!$C178,レシピ一覧!$A:$A,0)))&amp;"")*1,"")</f>
        <v/>
      </c>
      <c r="N178" s="12" t="str">
        <f>IFERROR((IF($C178 = "","",INDEX(レシピ一覧!M:M,MATCH(使用レシピ!$C178,レシピ一覧!$A:$A,0)))&amp;"")*1,"")</f>
        <v/>
      </c>
      <c r="O178" s="12" t="str">
        <f>IFERROR((IF($C178 = "","",INDEX(レシピ一覧!N:N,MATCH(使用レシピ!$C178,レシピ一覧!$A:$A,0)))&amp;"")*1,"")</f>
        <v/>
      </c>
      <c r="P178" s="12" t="str">
        <f>IFERROR((IF($C178 = "","",INDEX(レシピ一覧!O:O,MATCH(使用レシピ!$C178,レシピ一覧!$A:$A,0)))&amp;"")*1,"")</f>
        <v/>
      </c>
      <c r="Q178" s="35" t="str">
        <f>IFERROR((IF($C178 = "","",INDEX(レシピ一覧!P:P,MATCH(使用レシピ!$C178,レシピ一覧!$A:$A,0)))&amp;"")*1,"")</f>
        <v/>
      </c>
    </row>
    <row r="179" spans="1:17" x14ac:dyDescent="0.4">
      <c r="A179" s="34">
        <v>1</v>
      </c>
      <c r="B179" s="12" t="str">
        <f>IF(E179="","",COUNTIF(レシピ一覧!$D$2:$D$500,使用レシピ!E179))</f>
        <v/>
      </c>
      <c r="C179" s="18" t="str">
        <f t="shared" si="2"/>
        <v/>
      </c>
      <c r="D179" s="31" t="str">
        <f>IF(COUNTIF(レシピ一覧!$B:$B,ROW()-1),ROW()-1,"")</f>
        <v/>
      </c>
      <c r="E179" s="27" t="str">
        <f>IFERROR( INDEX(レシピ一覧!$D:$D,MATCH(使用レシピ!$D179,レシピ一覧!$B:$B,0))&amp;"","")</f>
        <v/>
      </c>
      <c r="F179" s="12" t="str">
        <f>IF($C179 = "","",INDEX(レシピ一覧!E:E,MATCH(使用レシピ!$C179,レシピ一覧!$A:$A,0))) &amp;""</f>
        <v/>
      </c>
      <c r="G179" s="12" t="str">
        <f>IF($C179 = "","",INDEX(レシピ一覧!F:F,MATCH(使用レシピ!$C179,レシピ一覧!$A:$A,0))) &amp;""</f>
        <v/>
      </c>
      <c r="H179" s="12" t="str">
        <f>IF($C179 = "","",INDEX(レシピ一覧!G:G,MATCH(使用レシピ!$C179,レシピ一覧!$A:$A,0))) &amp;""</f>
        <v/>
      </c>
      <c r="I179" s="12" t="str">
        <f>IF($C179 = "","",INDEX(レシピ一覧!H:H,MATCH(使用レシピ!$C179,レシピ一覧!$A:$A,0))) &amp;""</f>
        <v/>
      </c>
      <c r="J179" s="12" t="str">
        <f>IF($C179 = "","",INDEX(レシピ一覧!I:I,MATCH(使用レシピ!$C179,レシピ一覧!$A:$A,0))) &amp;""</f>
        <v/>
      </c>
      <c r="K179" s="12" t="str">
        <f>IFERROR((IF($C179 = "","",INDEX(レシピ一覧!J:J,MATCH(使用レシピ!$C179,レシピ一覧!$A:$A,0)))&amp;"")*1,"")</f>
        <v/>
      </c>
      <c r="L179" s="12" t="str">
        <f>IFERROR((IF($C179 = "","",INDEX(レシピ一覧!K:K,MATCH(使用レシピ!$C179,レシピ一覧!$A:$A,0)))&amp;"")*1,"")</f>
        <v/>
      </c>
      <c r="M179" s="12" t="str">
        <f>IFERROR((IF($C179 = "","",INDEX(レシピ一覧!L:L,MATCH(使用レシピ!$C179,レシピ一覧!$A:$A,0)))&amp;"")*1,"")</f>
        <v/>
      </c>
      <c r="N179" s="12" t="str">
        <f>IFERROR((IF($C179 = "","",INDEX(レシピ一覧!M:M,MATCH(使用レシピ!$C179,レシピ一覧!$A:$A,0)))&amp;"")*1,"")</f>
        <v/>
      </c>
      <c r="O179" s="12" t="str">
        <f>IFERROR((IF($C179 = "","",INDEX(レシピ一覧!N:N,MATCH(使用レシピ!$C179,レシピ一覧!$A:$A,0)))&amp;"")*1,"")</f>
        <v/>
      </c>
      <c r="P179" s="12" t="str">
        <f>IFERROR((IF($C179 = "","",INDEX(レシピ一覧!O:O,MATCH(使用レシピ!$C179,レシピ一覧!$A:$A,0)))&amp;"")*1,"")</f>
        <v/>
      </c>
      <c r="Q179" s="35" t="str">
        <f>IFERROR((IF($C179 = "","",INDEX(レシピ一覧!P:P,MATCH(使用レシピ!$C179,レシピ一覧!$A:$A,0)))&amp;"")*1,"")</f>
        <v/>
      </c>
    </row>
    <row r="180" spans="1:17" x14ac:dyDescent="0.4">
      <c r="A180" s="34">
        <v>1</v>
      </c>
      <c r="B180" s="12" t="str">
        <f>IF(E180="","",COUNTIF(レシピ一覧!$D$2:$D$500,使用レシピ!E180))</f>
        <v/>
      </c>
      <c r="C180" s="18" t="str">
        <f t="shared" si="2"/>
        <v/>
      </c>
      <c r="D180" s="31" t="str">
        <f>IF(COUNTIF(レシピ一覧!$B:$B,ROW()-1),ROW()-1,"")</f>
        <v/>
      </c>
      <c r="E180" s="27" t="str">
        <f>IFERROR( INDEX(レシピ一覧!$D:$D,MATCH(使用レシピ!$D180,レシピ一覧!$B:$B,0))&amp;"","")</f>
        <v/>
      </c>
      <c r="F180" s="12" t="str">
        <f>IF($C180 = "","",INDEX(レシピ一覧!E:E,MATCH(使用レシピ!$C180,レシピ一覧!$A:$A,0))) &amp;""</f>
        <v/>
      </c>
      <c r="G180" s="12" t="str">
        <f>IF($C180 = "","",INDEX(レシピ一覧!F:F,MATCH(使用レシピ!$C180,レシピ一覧!$A:$A,0))) &amp;""</f>
        <v/>
      </c>
      <c r="H180" s="12" t="str">
        <f>IF($C180 = "","",INDEX(レシピ一覧!G:G,MATCH(使用レシピ!$C180,レシピ一覧!$A:$A,0))) &amp;""</f>
        <v/>
      </c>
      <c r="I180" s="12" t="str">
        <f>IF($C180 = "","",INDEX(レシピ一覧!H:H,MATCH(使用レシピ!$C180,レシピ一覧!$A:$A,0))) &amp;""</f>
        <v/>
      </c>
      <c r="J180" s="12" t="str">
        <f>IF($C180 = "","",INDEX(レシピ一覧!I:I,MATCH(使用レシピ!$C180,レシピ一覧!$A:$A,0))) &amp;""</f>
        <v/>
      </c>
      <c r="K180" s="12" t="str">
        <f>IFERROR((IF($C180 = "","",INDEX(レシピ一覧!J:J,MATCH(使用レシピ!$C180,レシピ一覧!$A:$A,0)))&amp;"")*1,"")</f>
        <v/>
      </c>
      <c r="L180" s="12" t="str">
        <f>IFERROR((IF($C180 = "","",INDEX(レシピ一覧!K:K,MATCH(使用レシピ!$C180,レシピ一覧!$A:$A,0)))&amp;"")*1,"")</f>
        <v/>
      </c>
      <c r="M180" s="12" t="str">
        <f>IFERROR((IF($C180 = "","",INDEX(レシピ一覧!L:L,MATCH(使用レシピ!$C180,レシピ一覧!$A:$A,0)))&amp;"")*1,"")</f>
        <v/>
      </c>
      <c r="N180" s="12" t="str">
        <f>IFERROR((IF($C180 = "","",INDEX(レシピ一覧!M:M,MATCH(使用レシピ!$C180,レシピ一覧!$A:$A,0)))&amp;"")*1,"")</f>
        <v/>
      </c>
      <c r="O180" s="12" t="str">
        <f>IFERROR((IF($C180 = "","",INDEX(レシピ一覧!N:N,MATCH(使用レシピ!$C180,レシピ一覧!$A:$A,0)))&amp;"")*1,"")</f>
        <v/>
      </c>
      <c r="P180" s="12" t="str">
        <f>IFERROR((IF($C180 = "","",INDEX(レシピ一覧!O:O,MATCH(使用レシピ!$C180,レシピ一覧!$A:$A,0)))&amp;"")*1,"")</f>
        <v/>
      </c>
      <c r="Q180" s="35" t="str">
        <f>IFERROR((IF($C180 = "","",INDEX(レシピ一覧!P:P,MATCH(使用レシピ!$C180,レシピ一覧!$A:$A,0)))&amp;"")*1,"")</f>
        <v/>
      </c>
    </row>
    <row r="181" spans="1:17" x14ac:dyDescent="0.4">
      <c r="A181" s="34">
        <v>1</v>
      </c>
      <c r="B181" s="12" t="str">
        <f>IF(E181="","",COUNTIF(レシピ一覧!$D$2:$D$500,使用レシピ!E181))</f>
        <v/>
      </c>
      <c r="C181" s="18" t="str">
        <f t="shared" si="2"/>
        <v/>
      </c>
      <c r="D181" s="31" t="str">
        <f>IF(COUNTIF(レシピ一覧!$B:$B,ROW()-1),ROW()-1,"")</f>
        <v/>
      </c>
      <c r="E181" s="27" t="str">
        <f>IFERROR( INDEX(レシピ一覧!$D:$D,MATCH(使用レシピ!$D181,レシピ一覧!$B:$B,0))&amp;"","")</f>
        <v/>
      </c>
      <c r="F181" s="12" t="str">
        <f>IF($C181 = "","",INDEX(レシピ一覧!E:E,MATCH(使用レシピ!$C181,レシピ一覧!$A:$A,0))) &amp;""</f>
        <v/>
      </c>
      <c r="G181" s="12" t="str">
        <f>IF($C181 = "","",INDEX(レシピ一覧!F:F,MATCH(使用レシピ!$C181,レシピ一覧!$A:$A,0))) &amp;""</f>
        <v/>
      </c>
      <c r="H181" s="12" t="str">
        <f>IF($C181 = "","",INDEX(レシピ一覧!G:G,MATCH(使用レシピ!$C181,レシピ一覧!$A:$A,0))) &amp;""</f>
        <v/>
      </c>
      <c r="I181" s="12" t="str">
        <f>IF($C181 = "","",INDEX(レシピ一覧!H:H,MATCH(使用レシピ!$C181,レシピ一覧!$A:$A,0))) &amp;""</f>
        <v/>
      </c>
      <c r="J181" s="12" t="str">
        <f>IF($C181 = "","",INDEX(レシピ一覧!I:I,MATCH(使用レシピ!$C181,レシピ一覧!$A:$A,0))) &amp;""</f>
        <v/>
      </c>
      <c r="K181" s="12" t="str">
        <f>IFERROR((IF($C181 = "","",INDEX(レシピ一覧!J:J,MATCH(使用レシピ!$C181,レシピ一覧!$A:$A,0)))&amp;"")*1,"")</f>
        <v/>
      </c>
      <c r="L181" s="12" t="str">
        <f>IFERROR((IF($C181 = "","",INDEX(レシピ一覧!K:K,MATCH(使用レシピ!$C181,レシピ一覧!$A:$A,0)))&amp;"")*1,"")</f>
        <v/>
      </c>
      <c r="M181" s="12" t="str">
        <f>IFERROR((IF($C181 = "","",INDEX(レシピ一覧!L:L,MATCH(使用レシピ!$C181,レシピ一覧!$A:$A,0)))&amp;"")*1,"")</f>
        <v/>
      </c>
      <c r="N181" s="12" t="str">
        <f>IFERROR((IF($C181 = "","",INDEX(レシピ一覧!M:M,MATCH(使用レシピ!$C181,レシピ一覧!$A:$A,0)))&amp;"")*1,"")</f>
        <v/>
      </c>
      <c r="O181" s="12" t="str">
        <f>IFERROR((IF($C181 = "","",INDEX(レシピ一覧!N:N,MATCH(使用レシピ!$C181,レシピ一覧!$A:$A,0)))&amp;"")*1,"")</f>
        <v/>
      </c>
      <c r="P181" s="12" t="str">
        <f>IFERROR((IF($C181 = "","",INDEX(レシピ一覧!O:O,MATCH(使用レシピ!$C181,レシピ一覧!$A:$A,0)))&amp;"")*1,"")</f>
        <v/>
      </c>
      <c r="Q181" s="35" t="str">
        <f>IFERROR((IF($C181 = "","",INDEX(レシピ一覧!P:P,MATCH(使用レシピ!$C181,レシピ一覧!$A:$A,0)))&amp;"")*1,"")</f>
        <v/>
      </c>
    </row>
    <row r="182" spans="1:17" x14ac:dyDescent="0.4">
      <c r="A182" s="34">
        <v>1</v>
      </c>
      <c r="B182" s="12" t="str">
        <f>IF(E182="","",COUNTIF(レシピ一覧!$D$2:$D$500,使用レシピ!E182))</f>
        <v/>
      </c>
      <c r="C182" s="18" t="str">
        <f t="shared" si="2"/>
        <v/>
      </c>
      <c r="D182" s="31" t="str">
        <f>IF(COUNTIF(レシピ一覧!$B:$B,ROW()-1),ROW()-1,"")</f>
        <v/>
      </c>
      <c r="E182" s="27" t="str">
        <f>IFERROR( INDEX(レシピ一覧!$D:$D,MATCH(使用レシピ!$D182,レシピ一覧!$B:$B,0))&amp;"","")</f>
        <v/>
      </c>
      <c r="F182" s="12" t="str">
        <f>IF($C182 = "","",INDEX(レシピ一覧!E:E,MATCH(使用レシピ!$C182,レシピ一覧!$A:$A,0))) &amp;""</f>
        <v/>
      </c>
      <c r="G182" s="12" t="str">
        <f>IF($C182 = "","",INDEX(レシピ一覧!F:F,MATCH(使用レシピ!$C182,レシピ一覧!$A:$A,0))) &amp;""</f>
        <v/>
      </c>
      <c r="H182" s="12" t="str">
        <f>IF($C182 = "","",INDEX(レシピ一覧!G:G,MATCH(使用レシピ!$C182,レシピ一覧!$A:$A,0))) &amp;""</f>
        <v/>
      </c>
      <c r="I182" s="12" t="str">
        <f>IF($C182 = "","",INDEX(レシピ一覧!H:H,MATCH(使用レシピ!$C182,レシピ一覧!$A:$A,0))) &amp;""</f>
        <v/>
      </c>
      <c r="J182" s="12" t="str">
        <f>IF($C182 = "","",INDEX(レシピ一覧!I:I,MATCH(使用レシピ!$C182,レシピ一覧!$A:$A,0))) &amp;""</f>
        <v/>
      </c>
      <c r="K182" s="12" t="str">
        <f>IFERROR((IF($C182 = "","",INDEX(レシピ一覧!J:J,MATCH(使用レシピ!$C182,レシピ一覧!$A:$A,0)))&amp;"")*1,"")</f>
        <v/>
      </c>
      <c r="L182" s="12" t="str">
        <f>IFERROR((IF($C182 = "","",INDEX(レシピ一覧!K:K,MATCH(使用レシピ!$C182,レシピ一覧!$A:$A,0)))&amp;"")*1,"")</f>
        <v/>
      </c>
      <c r="M182" s="12" t="str">
        <f>IFERROR((IF($C182 = "","",INDEX(レシピ一覧!L:L,MATCH(使用レシピ!$C182,レシピ一覧!$A:$A,0)))&amp;"")*1,"")</f>
        <v/>
      </c>
      <c r="N182" s="12" t="str">
        <f>IFERROR((IF($C182 = "","",INDEX(レシピ一覧!M:M,MATCH(使用レシピ!$C182,レシピ一覧!$A:$A,0)))&amp;"")*1,"")</f>
        <v/>
      </c>
      <c r="O182" s="12" t="str">
        <f>IFERROR((IF($C182 = "","",INDEX(レシピ一覧!N:N,MATCH(使用レシピ!$C182,レシピ一覧!$A:$A,0)))&amp;"")*1,"")</f>
        <v/>
      </c>
      <c r="P182" s="12" t="str">
        <f>IFERROR((IF($C182 = "","",INDEX(レシピ一覧!O:O,MATCH(使用レシピ!$C182,レシピ一覧!$A:$A,0)))&amp;"")*1,"")</f>
        <v/>
      </c>
      <c r="Q182" s="35" t="str">
        <f>IFERROR((IF($C182 = "","",INDEX(レシピ一覧!P:P,MATCH(使用レシピ!$C182,レシピ一覧!$A:$A,0)))&amp;"")*1,"")</f>
        <v/>
      </c>
    </row>
    <row r="183" spans="1:17" x14ac:dyDescent="0.4">
      <c r="A183" s="34">
        <v>1</v>
      </c>
      <c r="B183" s="12" t="str">
        <f>IF(E183="","",COUNTIF(レシピ一覧!$D$2:$D$500,使用レシピ!E183))</f>
        <v/>
      </c>
      <c r="C183" s="18" t="str">
        <f t="shared" si="2"/>
        <v/>
      </c>
      <c r="D183" s="31" t="str">
        <f>IF(COUNTIF(レシピ一覧!$B:$B,ROW()-1),ROW()-1,"")</f>
        <v/>
      </c>
      <c r="E183" s="27" t="str">
        <f>IFERROR( INDEX(レシピ一覧!$D:$D,MATCH(使用レシピ!$D183,レシピ一覧!$B:$B,0))&amp;"","")</f>
        <v/>
      </c>
      <c r="F183" s="12" t="str">
        <f>IF($C183 = "","",INDEX(レシピ一覧!E:E,MATCH(使用レシピ!$C183,レシピ一覧!$A:$A,0))) &amp;""</f>
        <v/>
      </c>
      <c r="G183" s="12" t="str">
        <f>IF($C183 = "","",INDEX(レシピ一覧!F:F,MATCH(使用レシピ!$C183,レシピ一覧!$A:$A,0))) &amp;""</f>
        <v/>
      </c>
      <c r="H183" s="12" t="str">
        <f>IF($C183 = "","",INDEX(レシピ一覧!G:G,MATCH(使用レシピ!$C183,レシピ一覧!$A:$A,0))) &amp;""</f>
        <v/>
      </c>
      <c r="I183" s="12" t="str">
        <f>IF($C183 = "","",INDEX(レシピ一覧!H:H,MATCH(使用レシピ!$C183,レシピ一覧!$A:$A,0))) &amp;""</f>
        <v/>
      </c>
      <c r="J183" s="12" t="str">
        <f>IF($C183 = "","",INDEX(レシピ一覧!I:I,MATCH(使用レシピ!$C183,レシピ一覧!$A:$A,0))) &amp;""</f>
        <v/>
      </c>
      <c r="K183" s="12" t="str">
        <f>IFERROR((IF($C183 = "","",INDEX(レシピ一覧!J:J,MATCH(使用レシピ!$C183,レシピ一覧!$A:$A,0)))&amp;"")*1,"")</f>
        <v/>
      </c>
      <c r="L183" s="12" t="str">
        <f>IFERROR((IF($C183 = "","",INDEX(レシピ一覧!K:K,MATCH(使用レシピ!$C183,レシピ一覧!$A:$A,0)))&amp;"")*1,"")</f>
        <v/>
      </c>
      <c r="M183" s="12" t="str">
        <f>IFERROR((IF($C183 = "","",INDEX(レシピ一覧!L:L,MATCH(使用レシピ!$C183,レシピ一覧!$A:$A,0)))&amp;"")*1,"")</f>
        <v/>
      </c>
      <c r="N183" s="12" t="str">
        <f>IFERROR((IF($C183 = "","",INDEX(レシピ一覧!M:M,MATCH(使用レシピ!$C183,レシピ一覧!$A:$A,0)))&amp;"")*1,"")</f>
        <v/>
      </c>
      <c r="O183" s="12" t="str">
        <f>IFERROR((IF($C183 = "","",INDEX(レシピ一覧!N:N,MATCH(使用レシピ!$C183,レシピ一覧!$A:$A,0)))&amp;"")*1,"")</f>
        <v/>
      </c>
      <c r="P183" s="12" t="str">
        <f>IFERROR((IF($C183 = "","",INDEX(レシピ一覧!O:O,MATCH(使用レシピ!$C183,レシピ一覧!$A:$A,0)))&amp;"")*1,"")</f>
        <v/>
      </c>
      <c r="Q183" s="35" t="str">
        <f>IFERROR((IF($C183 = "","",INDEX(レシピ一覧!P:P,MATCH(使用レシピ!$C183,レシピ一覧!$A:$A,0)))&amp;"")*1,"")</f>
        <v/>
      </c>
    </row>
    <row r="184" spans="1:17" x14ac:dyDescent="0.4">
      <c r="A184" s="34">
        <v>1</v>
      </c>
      <c r="B184" s="12" t="str">
        <f>IF(E184="","",COUNTIF(レシピ一覧!$D$2:$D$500,使用レシピ!E184))</f>
        <v/>
      </c>
      <c r="C184" s="18" t="str">
        <f t="shared" si="2"/>
        <v/>
      </c>
      <c r="D184" s="31" t="str">
        <f>IF(COUNTIF(レシピ一覧!$B:$B,ROW()-1),ROW()-1,"")</f>
        <v/>
      </c>
      <c r="E184" s="27" t="str">
        <f>IFERROR( INDEX(レシピ一覧!$D:$D,MATCH(使用レシピ!$D184,レシピ一覧!$B:$B,0))&amp;"","")</f>
        <v/>
      </c>
      <c r="F184" s="12" t="str">
        <f>IF($C184 = "","",INDEX(レシピ一覧!E:E,MATCH(使用レシピ!$C184,レシピ一覧!$A:$A,0))) &amp;""</f>
        <v/>
      </c>
      <c r="G184" s="12" t="str">
        <f>IF($C184 = "","",INDEX(レシピ一覧!F:F,MATCH(使用レシピ!$C184,レシピ一覧!$A:$A,0))) &amp;""</f>
        <v/>
      </c>
      <c r="H184" s="12" t="str">
        <f>IF($C184 = "","",INDEX(レシピ一覧!G:G,MATCH(使用レシピ!$C184,レシピ一覧!$A:$A,0))) &amp;""</f>
        <v/>
      </c>
      <c r="I184" s="12" t="str">
        <f>IF($C184 = "","",INDEX(レシピ一覧!H:H,MATCH(使用レシピ!$C184,レシピ一覧!$A:$A,0))) &amp;""</f>
        <v/>
      </c>
      <c r="J184" s="12" t="str">
        <f>IF($C184 = "","",INDEX(レシピ一覧!I:I,MATCH(使用レシピ!$C184,レシピ一覧!$A:$A,0))) &amp;""</f>
        <v/>
      </c>
      <c r="K184" s="12" t="str">
        <f>IFERROR((IF($C184 = "","",INDEX(レシピ一覧!J:J,MATCH(使用レシピ!$C184,レシピ一覧!$A:$A,0)))&amp;"")*1,"")</f>
        <v/>
      </c>
      <c r="L184" s="12" t="str">
        <f>IFERROR((IF($C184 = "","",INDEX(レシピ一覧!K:K,MATCH(使用レシピ!$C184,レシピ一覧!$A:$A,0)))&amp;"")*1,"")</f>
        <v/>
      </c>
      <c r="M184" s="12" t="str">
        <f>IFERROR((IF($C184 = "","",INDEX(レシピ一覧!L:L,MATCH(使用レシピ!$C184,レシピ一覧!$A:$A,0)))&amp;"")*1,"")</f>
        <v/>
      </c>
      <c r="N184" s="12" t="str">
        <f>IFERROR((IF($C184 = "","",INDEX(レシピ一覧!M:M,MATCH(使用レシピ!$C184,レシピ一覧!$A:$A,0)))&amp;"")*1,"")</f>
        <v/>
      </c>
      <c r="O184" s="12" t="str">
        <f>IFERROR((IF($C184 = "","",INDEX(レシピ一覧!N:N,MATCH(使用レシピ!$C184,レシピ一覧!$A:$A,0)))&amp;"")*1,"")</f>
        <v/>
      </c>
      <c r="P184" s="12" t="str">
        <f>IFERROR((IF($C184 = "","",INDEX(レシピ一覧!O:O,MATCH(使用レシピ!$C184,レシピ一覧!$A:$A,0)))&amp;"")*1,"")</f>
        <v/>
      </c>
      <c r="Q184" s="35" t="str">
        <f>IFERROR((IF($C184 = "","",INDEX(レシピ一覧!P:P,MATCH(使用レシピ!$C184,レシピ一覧!$A:$A,0)))&amp;"")*1,"")</f>
        <v/>
      </c>
    </row>
    <row r="185" spans="1:17" x14ac:dyDescent="0.4">
      <c r="A185" s="34">
        <v>1</v>
      </c>
      <c r="B185" s="12" t="str">
        <f>IF(E185="","",COUNTIF(レシピ一覧!$D$2:$D$500,使用レシピ!E185))</f>
        <v/>
      </c>
      <c r="C185" s="18" t="str">
        <f t="shared" si="2"/>
        <v/>
      </c>
      <c r="D185" s="31" t="str">
        <f>IF(COUNTIF(レシピ一覧!$B:$B,ROW()-1),ROW()-1,"")</f>
        <v/>
      </c>
      <c r="E185" s="27" t="str">
        <f>IFERROR( INDEX(レシピ一覧!$D:$D,MATCH(使用レシピ!$D185,レシピ一覧!$B:$B,0))&amp;"","")</f>
        <v/>
      </c>
      <c r="F185" s="12" t="str">
        <f>IF($C185 = "","",INDEX(レシピ一覧!E:E,MATCH(使用レシピ!$C185,レシピ一覧!$A:$A,0))) &amp;""</f>
        <v/>
      </c>
      <c r="G185" s="12" t="str">
        <f>IF($C185 = "","",INDEX(レシピ一覧!F:F,MATCH(使用レシピ!$C185,レシピ一覧!$A:$A,0))) &amp;""</f>
        <v/>
      </c>
      <c r="H185" s="12" t="str">
        <f>IF($C185 = "","",INDEX(レシピ一覧!G:G,MATCH(使用レシピ!$C185,レシピ一覧!$A:$A,0))) &amp;""</f>
        <v/>
      </c>
      <c r="I185" s="12" t="str">
        <f>IF($C185 = "","",INDEX(レシピ一覧!H:H,MATCH(使用レシピ!$C185,レシピ一覧!$A:$A,0))) &amp;""</f>
        <v/>
      </c>
      <c r="J185" s="12" t="str">
        <f>IF($C185 = "","",INDEX(レシピ一覧!I:I,MATCH(使用レシピ!$C185,レシピ一覧!$A:$A,0))) &amp;""</f>
        <v/>
      </c>
      <c r="K185" s="12" t="str">
        <f>IFERROR((IF($C185 = "","",INDEX(レシピ一覧!J:J,MATCH(使用レシピ!$C185,レシピ一覧!$A:$A,0)))&amp;"")*1,"")</f>
        <v/>
      </c>
      <c r="L185" s="12" t="str">
        <f>IFERROR((IF($C185 = "","",INDEX(レシピ一覧!K:K,MATCH(使用レシピ!$C185,レシピ一覧!$A:$A,0)))&amp;"")*1,"")</f>
        <v/>
      </c>
      <c r="M185" s="12" t="str">
        <f>IFERROR((IF($C185 = "","",INDEX(レシピ一覧!L:L,MATCH(使用レシピ!$C185,レシピ一覧!$A:$A,0)))&amp;"")*1,"")</f>
        <v/>
      </c>
      <c r="N185" s="12" t="str">
        <f>IFERROR((IF($C185 = "","",INDEX(レシピ一覧!M:M,MATCH(使用レシピ!$C185,レシピ一覧!$A:$A,0)))&amp;"")*1,"")</f>
        <v/>
      </c>
      <c r="O185" s="12" t="str">
        <f>IFERROR((IF($C185 = "","",INDEX(レシピ一覧!N:N,MATCH(使用レシピ!$C185,レシピ一覧!$A:$A,0)))&amp;"")*1,"")</f>
        <v/>
      </c>
      <c r="P185" s="12" t="str">
        <f>IFERROR((IF($C185 = "","",INDEX(レシピ一覧!O:O,MATCH(使用レシピ!$C185,レシピ一覧!$A:$A,0)))&amp;"")*1,"")</f>
        <v/>
      </c>
      <c r="Q185" s="35" t="str">
        <f>IFERROR((IF($C185 = "","",INDEX(レシピ一覧!P:P,MATCH(使用レシピ!$C185,レシピ一覧!$A:$A,0)))&amp;"")*1,"")</f>
        <v/>
      </c>
    </row>
    <row r="186" spans="1:17" x14ac:dyDescent="0.4">
      <c r="A186" s="34">
        <v>1</v>
      </c>
      <c r="B186" s="12" t="str">
        <f>IF(E186="","",COUNTIF(レシピ一覧!$D$2:$D$500,使用レシピ!E186))</f>
        <v/>
      </c>
      <c r="C186" s="18" t="str">
        <f t="shared" si="2"/>
        <v/>
      </c>
      <c r="D186" s="31" t="str">
        <f>IF(COUNTIF(レシピ一覧!$B:$B,ROW()-1),ROW()-1,"")</f>
        <v/>
      </c>
      <c r="E186" s="27" t="str">
        <f>IFERROR( INDEX(レシピ一覧!$D:$D,MATCH(使用レシピ!$D186,レシピ一覧!$B:$B,0))&amp;"","")</f>
        <v/>
      </c>
      <c r="F186" s="12" t="str">
        <f>IF($C186 = "","",INDEX(レシピ一覧!E:E,MATCH(使用レシピ!$C186,レシピ一覧!$A:$A,0))) &amp;""</f>
        <v/>
      </c>
      <c r="G186" s="12" t="str">
        <f>IF($C186 = "","",INDEX(レシピ一覧!F:F,MATCH(使用レシピ!$C186,レシピ一覧!$A:$A,0))) &amp;""</f>
        <v/>
      </c>
      <c r="H186" s="12" t="str">
        <f>IF($C186 = "","",INDEX(レシピ一覧!G:G,MATCH(使用レシピ!$C186,レシピ一覧!$A:$A,0))) &amp;""</f>
        <v/>
      </c>
      <c r="I186" s="12" t="str">
        <f>IF($C186 = "","",INDEX(レシピ一覧!H:H,MATCH(使用レシピ!$C186,レシピ一覧!$A:$A,0))) &amp;""</f>
        <v/>
      </c>
      <c r="J186" s="12" t="str">
        <f>IF($C186 = "","",INDEX(レシピ一覧!I:I,MATCH(使用レシピ!$C186,レシピ一覧!$A:$A,0))) &amp;""</f>
        <v/>
      </c>
      <c r="K186" s="12" t="str">
        <f>IFERROR((IF($C186 = "","",INDEX(レシピ一覧!J:J,MATCH(使用レシピ!$C186,レシピ一覧!$A:$A,0)))&amp;"")*1,"")</f>
        <v/>
      </c>
      <c r="L186" s="12" t="str">
        <f>IFERROR((IF($C186 = "","",INDEX(レシピ一覧!K:K,MATCH(使用レシピ!$C186,レシピ一覧!$A:$A,0)))&amp;"")*1,"")</f>
        <v/>
      </c>
      <c r="M186" s="12" t="str">
        <f>IFERROR((IF($C186 = "","",INDEX(レシピ一覧!L:L,MATCH(使用レシピ!$C186,レシピ一覧!$A:$A,0)))&amp;"")*1,"")</f>
        <v/>
      </c>
      <c r="N186" s="12" t="str">
        <f>IFERROR((IF($C186 = "","",INDEX(レシピ一覧!M:M,MATCH(使用レシピ!$C186,レシピ一覧!$A:$A,0)))&amp;"")*1,"")</f>
        <v/>
      </c>
      <c r="O186" s="12" t="str">
        <f>IFERROR((IF($C186 = "","",INDEX(レシピ一覧!N:N,MATCH(使用レシピ!$C186,レシピ一覧!$A:$A,0)))&amp;"")*1,"")</f>
        <v/>
      </c>
      <c r="P186" s="12" t="str">
        <f>IFERROR((IF($C186 = "","",INDEX(レシピ一覧!O:O,MATCH(使用レシピ!$C186,レシピ一覧!$A:$A,0)))&amp;"")*1,"")</f>
        <v/>
      </c>
      <c r="Q186" s="35" t="str">
        <f>IFERROR((IF($C186 = "","",INDEX(レシピ一覧!P:P,MATCH(使用レシピ!$C186,レシピ一覧!$A:$A,0)))&amp;"")*1,"")</f>
        <v/>
      </c>
    </row>
    <row r="187" spans="1:17" x14ac:dyDescent="0.4">
      <c r="A187" s="34">
        <v>1</v>
      </c>
      <c r="B187" s="12" t="str">
        <f>IF(E187="","",COUNTIF(レシピ一覧!$D$2:$D$500,使用レシピ!E187))</f>
        <v/>
      </c>
      <c r="C187" s="18" t="str">
        <f t="shared" si="2"/>
        <v/>
      </c>
      <c r="D187" s="31" t="str">
        <f>IF(COUNTIF(レシピ一覧!$B:$B,ROW()-1),ROW()-1,"")</f>
        <v/>
      </c>
      <c r="E187" s="27" t="str">
        <f>IFERROR( INDEX(レシピ一覧!$D:$D,MATCH(使用レシピ!$D187,レシピ一覧!$B:$B,0))&amp;"","")</f>
        <v/>
      </c>
      <c r="F187" s="12" t="str">
        <f>IF($C187 = "","",INDEX(レシピ一覧!E:E,MATCH(使用レシピ!$C187,レシピ一覧!$A:$A,0))) &amp;""</f>
        <v/>
      </c>
      <c r="G187" s="12" t="str">
        <f>IF($C187 = "","",INDEX(レシピ一覧!F:F,MATCH(使用レシピ!$C187,レシピ一覧!$A:$A,0))) &amp;""</f>
        <v/>
      </c>
      <c r="H187" s="12" t="str">
        <f>IF($C187 = "","",INDEX(レシピ一覧!G:G,MATCH(使用レシピ!$C187,レシピ一覧!$A:$A,0))) &amp;""</f>
        <v/>
      </c>
      <c r="I187" s="12" t="str">
        <f>IF($C187 = "","",INDEX(レシピ一覧!H:H,MATCH(使用レシピ!$C187,レシピ一覧!$A:$A,0))) &amp;""</f>
        <v/>
      </c>
      <c r="J187" s="12" t="str">
        <f>IF($C187 = "","",INDEX(レシピ一覧!I:I,MATCH(使用レシピ!$C187,レシピ一覧!$A:$A,0))) &amp;""</f>
        <v/>
      </c>
      <c r="K187" s="12" t="str">
        <f>IFERROR((IF($C187 = "","",INDEX(レシピ一覧!J:J,MATCH(使用レシピ!$C187,レシピ一覧!$A:$A,0)))&amp;"")*1,"")</f>
        <v/>
      </c>
      <c r="L187" s="12" t="str">
        <f>IFERROR((IF($C187 = "","",INDEX(レシピ一覧!K:K,MATCH(使用レシピ!$C187,レシピ一覧!$A:$A,0)))&amp;"")*1,"")</f>
        <v/>
      </c>
      <c r="M187" s="12" t="str">
        <f>IFERROR((IF($C187 = "","",INDEX(レシピ一覧!L:L,MATCH(使用レシピ!$C187,レシピ一覧!$A:$A,0)))&amp;"")*1,"")</f>
        <v/>
      </c>
      <c r="N187" s="12" t="str">
        <f>IFERROR((IF($C187 = "","",INDEX(レシピ一覧!M:M,MATCH(使用レシピ!$C187,レシピ一覧!$A:$A,0)))&amp;"")*1,"")</f>
        <v/>
      </c>
      <c r="O187" s="12" t="str">
        <f>IFERROR((IF($C187 = "","",INDEX(レシピ一覧!N:N,MATCH(使用レシピ!$C187,レシピ一覧!$A:$A,0)))&amp;"")*1,"")</f>
        <v/>
      </c>
      <c r="P187" s="12" t="str">
        <f>IFERROR((IF($C187 = "","",INDEX(レシピ一覧!O:O,MATCH(使用レシピ!$C187,レシピ一覧!$A:$A,0)))&amp;"")*1,"")</f>
        <v/>
      </c>
      <c r="Q187" s="35" t="str">
        <f>IFERROR((IF($C187 = "","",INDEX(レシピ一覧!P:P,MATCH(使用レシピ!$C187,レシピ一覧!$A:$A,0)))&amp;"")*1,"")</f>
        <v/>
      </c>
    </row>
    <row r="188" spans="1:17" x14ac:dyDescent="0.4">
      <c r="A188" s="34">
        <v>1</v>
      </c>
      <c r="B188" s="12" t="str">
        <f>IF(E188="","",COUNTIF(レシピ一覧!$D$2:$D$500,使用レシピ!E188))</f>
        <v/>
      </c>
      <c r="C188" s="18" t="str">
        <f t="shared" si="2"/>
        <v/>
      </c>
      <c r="D188" s="31" t="str">
        <f>IF(COUNTIF(レシピ一覧!$B:$B,ROW()-1),ROW()-1,"")</f>
        <v/>
      </c>
      <c r="E188" s="27" t="str">
        <f>IFERROR( INDEX(レシピ一覧!$D:$D,MATCH(使用レシピ!$D188,レシピ一覧!$B:$B,0))&amp;"","")</f>
        <v/>
      </c>
      <c r="F188" s="12" t="str">
        <f>IF($C188 = "","",INDEX(レシピ一覧!E:E,MATCH(使用レシピ!$C188,レシピ一覧!$A:$A,0))) &amp;""</f>
        <v/>
      </c>
      <c r="G188" s="12" t="str">
        <f>IF($C188 = "","",INDEX(レシピ一覧!F:F,MATCH(使用レシピ!$C188,レシピ一覧!$A:$A,0))) &amp;""</f>
        <v/>
      </c>
      <c r="H188" s="12" t="str">
        <f>IF($C188 = "","",INDEX(レシピ一覧!G:G,MATCH(使用レシピ!$C188,レシピ一覧!$A:$A,0))) &amp;""</f>
        <v/>
      </c>
      <c r="I188" s="12" t="str">
        <f>IF($C188 = "","",INDEX(レシピ一覧!H:H,MATCH(使用レシピ!$C188,レシピ一覧!$A:$A,0))) &amp;""</f>
        <v/>
      </c>
      <c r="J188" s="12" t="str">
        <f>IF($C188 = "","",INDEX(レシピ一覧!I:I,MATCH(使用レシピ!$C188,レシピ一覧!$A:$A,0))) &amp;""</f>
        <v/>
      </c>
      <c r="K188" s="12" t="str">
        <f>IFERROR((IF($C188 = "","",INDEX(レシピ一覧!J:J,MATCH(使用レシピ!$C188,レシピ一覧!$A:$A,0)))&amp;"")*1,"")</f>
        <v/>
      </c>
      <c r="L188" s="12" t="str">
        <f>IFERROR((IF($C188 = "","",INDEX(レシピ一覧!K:K,MATCH(使用レシピ!$C188,レシピ一覧!$A:$A,0)))&amp;"")*1,"")</f>
        <v/>
      </c>
      <c r="M188" s="12" t="str">
        <f>IFERROR((IF($C188 = "","",INDEX(レシピ一覧!L:L,MATCH(使用レシピ!$C188,レシピ一覧!$A:$A,0)))&amp;"")*1,"")</f>
        <v/>
      </c>
      <c r="N188" s="12" t="str">
        <f>IFERROR((IF($C188 = "","",INDEX(レシピ一覧!M:M,MATCH(使用レシピ!$C188,レシピ一覧!$A:$A,0)))&amp;"")*1,"")</f>
        <v/>
      </c>
      <c r="O188" s="12" t="str">
        <f>IFERROR((IF($C188 = "","",INDEX(レシピ一覧!N:N,MATCH(使用レシピ!$C188,レシピ一覧!$A:$A,0)))&amp;"")*1,"")</f>
        <v/>
      </c>
      <c r="P188" s="12" t="str">
        <f>IFERROR((IF($C188 = "","",INDEX(レシピ一覧!O:O,MATCH(使用レシピ!$C188,レシピ一覧!$A:$A,0)))&amp;"")*1,"")</f>
        <v/>
      </c>
      <c r="Q188" s="35" t="str">
        <f>IFERROR((IF($C188 = "","",INDEX(レシピ一覧!P:P,MATCH(使用レシピ!$C188,レシピ一覧!$A:$A,0)))&amp;"")*1,"")</f>
        <v/>
      </c>
    </row>
    <row r="189" spans="1:17" x14ac:dyDescent="0.4">
      <c r="A189" s="34">
        <v>1</v>
      </c>
      <c r="B189" s="12" t="str">
        <f>IF(E189="","",COUNTIF(レシピ一覧!$D$2:$D$500,使用レシピ!E189))</f>
        <v/>
      </c>
      <c r="C189" s="18" t="str">
        <f t="shared" si="2"/>
        <v/>
      </c>
      <c r="D189" s="31" t="str">
        <f>IF(COUNTIF(レシピ一覧!$B:$B,ROW()-1),ROW()-1,"")</f>
        <v/>
      </c>
      <c r="E189" s="27" t="str">
        <f>IFERROR( INDEX(レシピ一覧!$D:$D,MATCH(使用レシピ!$D189,レシピ一覧!$B:$B,0))&amp;"","")</f>
        <v/>
      </c>
      <c r="F189" s="12" t="str">
        <f>IF($C189 = "","",INDEX(レシピ一覧!E:E,MATCH(使用レシピ!$C189,レシピ一覧!$A:$A,0))) &amp;""</f>
        <v/>
      </c>
      <c r="G189" s="12" t="str">
        <f>IF($C189 = "","",INDEX(レシピ一覧!F:F,MATCH(使用レシピ!$C189,レシピ一覧!$A:$A,0))) &amp;""</f>
        <v/>
      </c>
      <c r="H189" s="12" t="str">
        <f>IF($C189 = "","",INDEX(レシピ一覧!G:G,MATCH(使用レシピ!$C189,レシピ一覧!$A:$A,0))) &amp;""</f>
        <v/>
      </c>
      <c r="I189" s="12" t="str">
        <f>IF($C189 = "","",INDEX(レシピ一覧!H:H,MATCH(使用レシピ!$C189,レシピ一覧!$A:$A,0))) &amp;""</f>
        <v/>
      </c>
      <c r="J189" s="12" t="str">
        <f>IF($C189 = "","",INDEX(レシピ一覧!I:I,MATCH(使用レシピ!$C189,レシピ一覧!$A:$A,0))) &amp;""</f>
        <v/>
      </c>
      <c r="K189" s="12" t="str">
        <f>IFERROR((IF($C189 = "","",INDEX(レシピ一覧!J:J,MATCH(使用レシピ!$C189,レシピ一覧!$A:$A,0)))&amp;"")*1,"")</f>
        <v/>
      </c>
      <c r="L189" s="12" t="str">
        <f>IFERROR((IF($C189 = "","",INDEX(レシピ一覧!K:K,MATCH(使用レシピ!$C189,レシピ一覧!$A:$A,0)))&amp;"")*1,"")</f>
        <v/>
      </c>
      <c r="M189" s="12" t="str">
        <f>IFERROR((IF($C189 = "","",INDEX(レシピ一覧!L:L,MATCH(使用レシピ!$C189,レシピ一覧!$A:$A,0)))&amp;"")*1,"")</f>
        <v/>
      </c>
      <c r="N189" s="12" t="str">
        <f>IFERROR((IF($C189 = "","",INDEX(レシピ一覧!M:M,MATCH(使用レシピ!$C189,レシピ一覧!$A:$A,0)))&amp;"")*1,"")</f>
        <v/>
      </c>
      <c r="O189" s="12" t="str">
        <f>IFERROR((IF($C189 = "","",INDEX(レシピ一覧!N:N,MATCH(使用レシピ!$C189,レシピ一覧!$A:$A,0)))&amp;"")*1,"")</f>
        <v/>
      </c>
      <c r="P189" s="12" t="str">
        <f>IFERROR((IF($C189 = "","",INDEX(レシピ一覧!O:O,MATCH(使用レシピ!$C189,レシピ一覧!$A:$A,0)))&amp;"")*1,"")</f>
        <v/>
      </c>
      <c r="Q189" s="35" t="str">
        <f>IFERROR((IF($C189 = "","",INDEX(レシピ一覧!P:P,MATCH(使用レシピ!$C189,レシピ一覧!$A:$A,0)))&amp;"")*1,"")</f>
        <v/>
      </c>
    </row>
    <row r="190" spans="1:17" x14ac:dyDescent="0.4">
      <c r="A190" s="34">
        <v>1</v>
      </c>
      <c r="B190" s="12" t="str">
        <f>IF(E190="","",COUNTIF(レシピ一覧!$D$2:$D$500,使用レシピ!E190))</f>
        <v/>
      </c>
      <c r="C190" s="18" t="str">
        <f t="shared" si="2"/>
        <v/>
      </c>
      <c r="D190" s="31" t="str">
        <f>IF(COUNTIF(レシピ一覧!$B:$B,ROW()-1),ROW()-1,"")</f>
        <v/>
      </c>
      <c r="E190" s="27" t="str">
        <f>IFERROR( INDEX(レシピ一覧!$D:$D,MATCH(使用レシピ!$D190,レシピ一覧!$B:$B,0))&amp;"","")</f>
        <v/>
      </c>
      <c r="F190" s="12" t="str">
        <f>IF($C190 = "","",INDEX(レシピ一覧!E:E,MATCH(使用レシピ!$C190,レシピ一覧!$A:$A,0))) &amp;""</f>
        <v/>
      </c>
      <c r="G190" s="12" t="str">
        <f>IF($C190 = "","",INDEX(レシピ一覧!F:F,MATCH(使用レシピ!$C190,レシピ一覧!$A:$A,0))) &amp;""</f>
        <v/>
      </c>
      <c r="H190" s="12" t="str">
        <f>IF($C190 = "","",INDEX(レシピ一覧!G:G,MATCH(使用レシピ!$C190,レシピ一覧!$A:$A,0))) &amp;""</f>
        <v/>
      </c>
      <c r="I190" s="12" t="str">
        <f>IF($C190 = "","",INDEX(レシピ一覧!H:H,MATCH(使用レシピ!$C190,レシピ一覧!$A:$A,0))) &amp;""</f>
        <v/>
      </c>
      <c r="J190" s="12" t="str">
        <f>IF($C190 = "","",INDEX(レシピ一覧!I:I,MATCH(使用レシピ!$C190,レシピ一覧!$A:$A,0))) &amp;""</f>
        <v/>
      </c>
      <c r="K190" s="12" t="str">
        <f>IFERROR((IF($C190 = "","",INDEX(レシピ一覧!J:J,MATCH(使用レシピ!$C190,レシピ一覧!$A:$A,0)))&amp;"")*1,"")</f>
        <v/>
      </c>
      <c r="L190" s="12" t="str">
        <f>IFERROR((IF($C190 = "","",INDEX(レシピ一覧!K:K,MATCH(使用レシピ!$C190,レシピ一覧!$A:$A,0)))&amp;"")*1,"")</f>
        <v/>
      </c>
      <c r="M190" s="12" t="str">
        <f>IFERROR((IF($C190 = "","",INDEX(レシピ一覧!L:L,MATCH(使用レシピ!$C190,レシピ一覧!$A:$A,0)))&amp;"")*1,"")</f>
        <v/>
      </c>
      <c r="N190" s="12" t="str">
        <f>IFERROR((IF($C190 = "","",INDEX(レシピ一覧!M:M,MATCH(使用レシピ!$C190,レシピ一覧!$A:$A,0)))&amp;"")*1,"")</f>
        <v/>
      </c>
      <c r="O190" s="12" t="str">
        <f>IFERROR((IF($C190 = "","",INDEX(レシピ一覧!N:N,MATCH(使用レシピ!$C190,レシピ一覧!$A:$A,0)))&amp;"")*1,"")</f>
        <v/>
      </c>
      <c r="P190" s="12" t="str">
        <f>IFERROR((IF($C190 = "","",INDEX(レシピ一覧!O:O,MATCH(使用レシピ!$C190,レシピ一覧!$A:$A,0)))&amp;"")*1,"")</f>
        <v/>
      </c>
      <c r="Q190" s="35" t="str">
        <f>IFERROR((IF($C190 = "","",INDEX(レシピ一覧!P:P,MATCH(使用レシピ!$C190,レシピ一覧!$A:$A,0)))&amp;"")*1,"")</f>
        <v/>
      </c>
    </row>
    <row r="191" spans="1:17" x14ac:dyDescent="0.4">
      <c r="A191" s="34">
        <v>1</v>
      </c>
      <c r="B191" s="12" t="str">
        <f>IF(E191="","",COUNTIF(レシピ一覧!$D$2:$D$500,使用レシピ!E191))</f>
        <v/>
      </c>
      <c r="C191" s="18" t="str">
        <f t="shared" si="2"/>
        <v/>
      </c>
      <c r="D191" s="31" t="str">
        <f>IF(COUNTIF(レシピ一覧!$B:$B,ROW()-1),ROW()-1,"")</f>
        <v/>
      </c>
      <c r="E191" s="27" t="str">
        <f>IFERROR( INDEX(レシピ一覧!$D:$D,MATCH(使用レシピ!$D191,レシピ一覧!$B:$B,0))&amp;"","")</f>
        <v/>
      </c>
      <c r="F191" s="12" t="str">
        <f>IF($C191 = "","",INDEX(レシピ一覧!E:E,MATCH(使用レシピ!$C191,レシピ一覧!$A:$A,0))) &amp;""</f>
        <v/>
      </c>
      <c r="G191" s="12" t="str">
        <f>IF($C191 = "","",INDEX(レシピ一覧!F:F,MATCH(使用レシピ!$C191,レシピ一覧!$A:$A,0))) &amp;""</f>
        <v/>
      </c>
      <c r="H191" s="12" t="str">
        <f>IF($C191 = "","",INDEX(レシピ一覧!G:G,MATCH(使用レシピ!$C191,レシピ一覧!$A:$A,0))) &amp;""</f>
        <v/>
      </c>
      <c r="I191" s="12" t="str">
        <f>IF($C191 = "","",INDEX(レシピ一覧!H:H,MATCH(使用レシピ!$C191,レシピ一覧!$A:$A,0))) &amp;""</f>
        <v/>
      </c>
      <c r="J191" s="12" t="str">
        <f>IF($C191 = "","",INDEX(レシピ一覧!I:I,MATCH(使用レシピ!$C191,レシピ一覧!$A:$A,0))) &amp;""</f>
        <v/>
      </c>
      <c r="K191" s="12" t="str">
        <f>IFERROR((IF($C191 = "","",INDEX(レシピ一覧!J:J,MATCH(使用レシピ!$C191,レシピ一覧!$A:$A,0)))&amp;"")*1,"")</f>
        <v/>
      </c>
      <c r="L191" s="12" t="str">
        <f>IFERROR((IF($C191 = "","",INDEX(レシピ一覧!K:K,MATCH(使用レシピ!$C191,レシピ一覧!$A:$A,0)))&amp;"")*1,"")</f>
        <v/>
      </c>
      <c r="M191" s="12" t="str">
        <f>IFERROR((IF($C191 = "","",INDEX(レシピ一覧!L:L,MATCH(使用レシピ!$C191,レシピ一覧!$A:$A,0)))&amp;"")*1,"")</f>
        <v/>
      </c>
      <c r="N191" s="12" t="str">
        <f>IFERROR((IF($C191 = "","",INDEX(レシピ一覧!M:M,MATCH(使用レシピ!$C191,レシピ一覧!$A:$A,0)))&amp;"")*1,"")</f>
        <v/>
      </c>
      <c r="O191" s="12" t="str">
        <f>IFERROR((IF($C191 = "","",INDEX(レシピ一覧!N:N,MATCH(使用レシピ!$C191,レシピ一覧!$A:$A,0)))&amp;"")*1,"")</f>
        <v/>
      </c>
      <c r="P191" s="12" t="str">
        <f>IFERROR((IF($C191 = "","",INDEX(レシピ一覧!O:O,MATCH(使用レシピ!$C191,レシピ一覧!$A:$A,0)))&amp;"")*1,"")</f>
        <v/>
      </c>
      <c r="Q191" s="35" t="str">
        <f>IFERROR((IF($C191 = "","",INDEX(レシピ一覧!P:P,MATCH(使用レシピ!$C191,レシピ一覧!$A:$A,0)))&amp;"")*1,"")</f>
        <v/>
      </c>
    </row>
    <row r="192" spans="1:17" x14ac:dyDescent="0.4">
      <c r="A192" s="34">
        <v>1</v>
      </c>
      <c r="B192" s="12" t="str">
        <f>IF(E192="","",COUNTIF(レシピ一覧!$D$2:$D$500,使用レシピ!E192))</f>
        <v/>
      </c>
      <c r="C192" s="18" t="str">
        <f t="shared" si="2"/>
        <v/>
      </c>
      <c r="D192" s="31" t="str">
        <f>IF(COUNTIF(レシピ一覧!$B:$B,ROW()-1),ROW()-1,"")</f>
        <v/>
      </c>
      <c r="E192" s="27" t="str">
        <f>IFERROR( INDEX(レシピ一覧!$D:$D,MATCH(使用レシピ!$D192,レシピ一覧!$B:$B,0))&amp;"","")</f>
        <v/>
      </c>
      <c r="F192" s="12" t="str">
        <f>IF($C192 = "","",INDEX(レシピ一覧!E:E,MATCH(使用レシピ!$C192,レシピ一覧!$A:$A,0))) &amp;""</f>
        <v/>
      </c>
      <c r="G192" s="12" t="str">
        <f>IF($C192 = "","",INDEX(レシピ一覧!F:F,MATCH(使用レシピ!$C192,レシピ一覧!$A:$A,0))) &amp;""</f>
        <v/>
      </c>
      <c r="H192" s="12" t="str">
        <f>IF($C192 = "","",INDEX(レシピ一覧!G:G,MATCH(使用レシピ!$C192,レシピ一覧!$A:$A,0))) &amp;""</f>
        <v/>
      </c>
      <c r="I192" s="12" t="str">
        <f>IF($C192 = "","",INDEX(レシピ一覧!H:H,MATCH(使用レシピ!$C192,レシピ一覧!$A:$A,0))) &amp;""</f>
        <v/>
      </c>
      <c r="J192" s="12" t="str">
        <f>IF($C192 = "","",INDEX(レシピ一覧!I:I,MATCH(使用レシピ!$C192,レシピ一覧!$A:$A,0))) &amp;""</f>
        <v/>
      </c>
      <c r="K192" s="12" t="str">
        <f>IFERROR((IF($C192 = "","",INDEX(レシピ一覧!J:J,MATCH(使用レシピ!$C192,レシピ一覧!$A:$A,0)))&amp;"")*1,"")</f>
        <v/>
      </c>
      <c r="L192" s="12" t="str">
        <f>IFERROR((IF($C192 = "","",INDEX(レシピ一覧!K:K,MATCH(使用レシピ!$C192,レシピ一覧!$A:$A,0)))&amp;"")*1,"")</f>
        <v/>
      </c>
      <c r="M192" s="12" t="str">
        <f>IFERROR((IF($C192 = "","",INDEX(レシピ一覧!L:L,MATCH(使用レシピ!$C192,レシピ一覧!$A:$A,0)))&amp;"")*1,"")</f>
        <v/>
      </c>
      <c r="N192" s="12" t="str">
        <f>IFERROR((IF($C192 = "","",INDEX(レシピ一覧!M:M,MATCH(使用レシピ!$C192,レシピ一覧!$A:$A,0)))&amp;"")*1,"")</f>
        <v/>
      </c>
      <c r="O192" s="12" t="str">
        <f>IFERROR((IF($C192 = "","",INDEX(レシピ一覧!N:N,MATCH(使用レシピ!$C192,レシピ一覧!$A:$A,0)))&amp;"")*1,"")</f>
        <v/>
      </c>
      <c r="P192" s="12" t="str">
        <f>IFERROR((IF($C192 = "","",INDEX(レシピ一覧!O:O,MATCH(使用レシピ!$C192,レシピ一覧!$A:$A,0)))&amp;"")*1,"")</f>
        <v/>
      </c>
      <c r="Q192" s="35" t="str">
        <f>IFERROR((IF($C192 = "","",INDEX(レシピ一覧!P:P,MATCH(使用レシピ!$C192,レシピ一覧!$A:$A,0)))&amp;"")*1,"")</f>
        <v/>
      </c>
    </row>
    <row r="193" spans="1:17" x14ac:dyDescent="0.4">
      <c r="A193" s="34">
        <v>1</v>
      </c>
      <c r="B193" s="12" t="str">
        <f>IF(E193="","",COUNTIF(レシピ一覧!$D$2:$D$500,使用レシピ!E193))</f>
        <v/>
      </c>
      <c r="C193" s="18" t="str">
        <f t="shared" si="2"/>
        <v/>
      </c>
      <c r="D193" s="31" t="str">
        <f>IF(COUNTIF(レシピ一覧!$B:$B,ROW()-1),ROW()-1,"")</f>
        <v/>
      </c>
      <c r="E193" s="27" t="str">
        <f>IFERROR( INDEX(レシピ一覧!$D:$D,MATCH(使用レシピ!$D193,レシピ一覧!$B:$B,0))&amp;"","")</f>
        <v/>
      </c>
      <c r="F193" s="12" t="str">
        <f>IF($C193 = "","",INDEX(レシピ一覧!E:E,MATCH(使用レシピ!$C193,レシピ一覧!$A:$A,0))) &amp;""</f>
        <v/>
      </c>
      <c r="G193" s="12" t="str">
        <f>IF($C193 = "","",INDEX(レシピ一覧!F:F,MATCH(使用レシピ!$C193,レシピ一覧!$A:$A,0))) &amp;""</f>
        <v/>
      </c>
      <c r="H193" s="12" t="str">
        <f>IF($C193 = "","",INDEX(レシピ一覧!G:G,MATCH(使用レシピ!$C193,レシピ一覧!$A:$A,0))) &amp;""</f>
        <v/>
      </c>
      <c r="I193" s="12" t="str">
        <f>IF($C193 = "","",INDEX(レシピ一覧!H:H,MATCH(使用レシピ!$C193,レシピ一覧!$A:$A,0))) &amp;""</f>
        <v/>
      </c>
      <c r="J193" s="12" t="str">
        <f>IF($C193 = "","",INDEX(レシピ一覧!I:I,MATCH(使用レシピ!$C193,レシピ一覧!$A:$A,0))) &amp;""</f>
        <v/>
      </c>
      <c r="K193" s="12" t="str">
        <f>IFERROR((IF($C193 = "","",INDEX(レシピ一覧!J:J,MATCH(使用レシピ!$C193,レシピ一覧!$A:$A,0)))&amp;"")*1,"")</f>
        <v/>
      </c>
      <c r="L193" s="12" t="str">
        <f>IFERROR((IF($C193 = "","",INDEX(レシピ一覧!K:K,MATCH(使用レシピ!$C193,レシピ一覧!$A:$A,0)))&amp;"")*1,"")</f>
        <v/>
      </c>
      <c r="M193" s="12" t="str">
        <f>IFERROR((IF($C193 = "","",INDEX(レシピ一覧!L:L,MATCH(使用レシピ!$C193,レシピ一覧!$A:$A,0)))&amp;"")*1,"")</f>
        <v/>
      </c>
      <c r="N193" s="12" t="str">
        <f>IFERROR((IF($C193 = "","",INDEX(レシピ一覧!M:M,MATCH(使用レシピ!$C193,レシピ一覧!$A:$A,0)))&amp;"")*1,"")</f>
        <v/>
      </c>
      <c r="O193" s="12" t="str">
        <f>IFERROR((IF($C193 = "","",INDEX(レシピ一覧!N:N,MATCH(使用レシピ!$C193,レシピ一覧!$A:$A,0)))&amp;"")*1,"")</f>
        <v/>
      </c>
      <c r="P193" s="12" t="str">
        <f>IFERROR((IF($C193 = "","",INDEX(レシピ一覧!O:O,MATCH(使用レシピ!$C193,レシピ一覧!$A:$A,0)))&amp;"")*1,"")</f>
        <v/>
      </c>
      <c r="Q193" s="35" t="str">
        <f>IFERROR((IF($C193 = "","",INDEX(レシピ一覧!P:P,MATCH(使用レシピ!$C193,レシピ一覧!$A:$A,0)))&amp;"")*1,"")</f>
        <v/>
      </c>
    </row>
    <row r="194" spans="1:17" x14ac:dyDescent="0.4">
      <c r="A194" s="34">
        <v>1</v>
      </c>
      <c r="B194" s="12" t="str">
        <f>IF(E194="","",COUNTIF(レシピ一覧!$D$2:$D$500,使用レシピ!E194))</f>
        <v/>
      </c>
      <c r="C194" s="18" t="str">
        <f t="shared" si="2"/>
        <v/>
      </c>
      <c r="D194" s="31" t="str">
        <f>IF(COUNTIF(レシピ一覧!$B:$B,ROW()-1),ROW()-1,"")</f>
        <v/>
      </c>
      <c r="E194" s="27" t="str">
        <f>IFERROR( INDEX(レシピ一覧!$D:$D,MATCH(使用レシピ!$D194,レシピ一覧!$B:$B,0))&amp;"","")</f>
        <v/>
      </c>
      <c r="F194" s="12" t="str">
        <f>IF($C194 = "","",INDEX(レシピ一覧!E:E,MATCH(使用レシピ!$C194,レシピ一覧!$A:$A,0))) &amp;""</f>
        <v/>
      </c>
      <c r="G194" s="12" t="str">
        <f>IF($C194 = "","",INDEX(レシピ一覧!F:F,MATCH(使用レシピ!$C194,レシピ一覧!$A:$A,0))) &amp;""</f>
        <v/>
      </c>
      <c r="H194" s="12" t="str">
        <f>IF($C194 = "","",INDEX(レシピ一覧!G:G,MATCH(使用レシピ!$C194,レシピ一覧!$A:$A,0))) &amp;""</f>
        <v/>
      </c>
      <c r="I194" s="12" t="str">
        <f>IF($C194 = "","",INDEX(レシピ一覧!H:H,MATCH(使用レシピ!$C194,レシピ一覧!$A:$A,0))) &amp;""</f>
        <v/>
      </c>
      <c r="J194" s="12" t="str">
        <f>IF($C194 = "","",INDEX(レシピ一覧!I:I,MATCH(使用レシピ!$C194,レシピ一覧!$A:$A,0))) &amp;""</f>
        <v/>
      </c>
      <c r="K194" s="12" t="str">
        <f>IFERROR((IF($C194 = "","",INDEX(レシピ一覧!J:J,MATCH(使用レシピ!$C194,レシピ一覧!$A:$A,0)))&amp;"")*1,"")</f>
        <v/>
      </c>
      <c r="L194" s="12" t="str">
        <f>IFERROR((IF($C194 = "","",INDEX(レシピ一覧!K:K,MATCH(使用レシピ!$C194,レシピ一覧!$A:$A,0)))&amp;"")*1,"")</f>
        <v/>
      </c>
      <c r="M194" s="12" t="str">
        <f>IFERROR((IF($C194 = "","",INDEX(レシピ一覧!L:L,MATCH(使用レシピ!$C194,レシピ一覧!$A:$A,0)))&amp;"")*1,"")</f>
        <v/>
      </c>
      <c r="N194" s="12" t="str">
        <f>IFERROR((IF($C194 = "","",INDEX(レシピ一覧!M:M,MATCH(使用レシピ!$C194,レシピ一覧!$A:$A,0)))&amp;"")*1,"")</f>
        <v/>
      </c>
      <c r="O194" s="12" t="str">
        <f>IFERROR((IF($C194 = "","",INDEX(レシピ一覧!N:N,MATCH(使用レシピ!$C194,レシピ一覧!$A:$A,0)))&amp;"")*1,"")</f>
        <v/>
      </c>
      <c r="P194" s="12" t="str">
        <f>IFERROR((IF($C194 = "","",INDEX(レシピ一覧!O:O,MATCH(使用レシピ!$C194,レシピ一覧!$A:$A,0)))&amp;"")*1,"")</f>
        <v/>
      </c>
      <c r="Q194" s="35" t="str">
        <f>IFERROR((IF($C194 = "","",INDEX(レシピ一覧!P:P,MATCH(使用レシピ!$C194,レシピ一覧!$A:$A,0)))&amp;"")*1,"")</f>
        <v/>
      </c>
    </row>
    <row r="195" spans="1:17" x14ac:dyDescent="0.4">
      <c r="A195" s="34">
        <v>1</v>
      </c>
      <c r="B195" s="12" t="str">
        <f>IF(E195="","",COUNTIF(レシピ一覧!$D$2:$D$500,使用レシピ!E195))</f>
        <v/>
      </c>
      <c r="C195" s="18" t="str">
        <f t="shared" ref="C195:C200" si="3">IF(ISNUMBER(D195),D195 &amp; RIGHT("00"&amp;A195,2),"")</f>
        <v/>
      </c>
      <c r="D195" s="31" t="str">
        <f>IF(COUNTIF(レシピ一覧!$B:$B,ROW()-1),ROW()-1,"")</f>
        <v/>
      </c>
      <c r="E195" s="27" t="str">
        <f>IFERROR( INDEX(レシピ一覧!$D:$D,MATCH(使用レシピ!$D195,レシピ一覧!$B:$B,0))&amp;"","")</f>
        <v/>
      </c>
      <c r="F195" s="12" t="str">
        <f>IF($C195 = "","",INDEX(レシピ一覧!E:E,MATCH(使用レシピ!$C195,レシピ一覧!$A:$A,0))) &amp;""</f>
        <v/>
      </c>
      <c r="G195" s="12" t="str">
        <f>IF($C195 = "","",INDEX(レシピ一覧!F:F,MATCH(使用レシピ!$C195,レシピ一覧!$A:$A,0))) &amp;""</f>
        <v/>
      </c>
      <c r="H195" s="12" t="str">
        <f>IF($C195 = "","",INDEX(レシピ一覧!G:G,MATCH(使用レシピ!$C195,レシピ一覧!$A:$A,0))) &amp;""</f>
        <v/>
      </c>
      <c r="I195" s="12" t="str">
        <f>IF($C195 = "","",INDEX(レシピ一覧!H:H,MATCH(使用レシピ!$C195,レシピ一覧!$A:$A,0))) &amp;""</f>
        <v/>
      </c>
      <c r="J195" s="12" t="str">
        <f>IF($C195 = "","",INDEX(レシピ一覧!I:I,MATCH(使用レシピ!$C195,レシピ一覧!$A:$A,0))) &amp;""</f>
        <v/>
      </c>
      <c r="K195" s="12" t="str">
        <f>IFERROR((IF($C195 = "","",INDEX(レシピ一覧!J:J,MATCH(使用レシピ!$C195,レシピ一覧!$A:$A,0)))&amp;"")*1,"")</f>
        <v/>
      </c>
      <c r="L195" s="12" t="str">
        <f>IFERROR((IF($C195 = "","",INDEX(レシピ一覧!K:K,MATCH(使用レシピ!$C195,レシピ一覧!$A:$A,0)))&amp;"")*1,"")</f>
        <v/>
      </c>
      <c r="M195" s="12" t="str">
        <f>IFERROR((IF($C195 = "","",INDEX(レシピ一覧!L:L,MATCH(使用レシピ!$C195,レシピ一覧!$A:$A,0)))&amp;"")*1,"")</f>
        <v/>
      </c>
      <c r="N195" s="12" t="str">
        <f>IFERROR((IF($C195 = "","",INDEX(レシピ一覧!M:M,MATCH(使用レシピ!$C195,レシピ一覧!$A:$A,0)))&amp;"")*1,"")</f>
        <v/>
      </c>
      <c r="O195" s="12" t="str">
        <f>IFERROR((IF($C195 = "","",INDEX(レシピ一覧!N:N,MATCH(使用レシピ!$C195,レシピ一覧!$A:$A,0)))&amp;"")*1,"")</f>
        <v/>
      </c>
      <c r="P195" s="12" t="str">
        <f>IFERROR((IF($C195 = "","",INDEX(レシピ一覧!O:O,MATCH(使用レシピ!$C195,レシピ一覧!$A:$A,0)))&amp;"")*1,"")</f>
        <v/>
      </c>
      <c r="Q195" s="35" t="str">
        <f>IFERROR((IF($C195 = "","",INDEX(レシピ一覧!P:P,MATCH(使用レシピ!$C195,レシピ一覧!$A:$A,0)))&amp;"")*1,"")</f>
        <v/>
      </c>
    </row>
    <row r="196" spans="1:17" x14ac:dyDescent="0.4">
      <c r="A196" s="34">
        <v>1</v>
      </c>
      <c r="B196" s="12" t="str">
        <f>IF(E196="","",COUNTIF(レシピ一覧!$D$2:$D$500,使用レシピ!E196))</f>
        <v/>
      </c>
      <c r="C196" s="18" t="str">
        <f t="shared" si="3"/>
        <v/>
      </c>
      <c r="D196" s="31" t="str">
        <f>IF(COUNTIF(レシピ一覧!$B:$B,ROW()-1),ROW()-1,"")</f>
        <v/>
      </c>
      <c r="E196" s="27" t="str">
        <f>IFERROR( INDEX(レシピ一覧!$D:$D,MATCH(使用レシピ!$D196,レシピ一覧!$B:$B,0))&amp;"","")</f>
        <v/>
      </c>
      <c r="F196" s="12" t="str">
        <f>IF($C196 = "","",INDEX(レシピ一覧!E:E,MATCH(使用レシピ!$C196,レシピ一覧!$A:$A,0))) &amp;""</f>
        <v/>
      </c>
      <c r="G196" s="12" t="str">
        <f>IF($C196 = "","",INDEX(レシピ一覧!F:F,MATCH(使用レシピ!$C196,レシピ一覧!$A:$A,0))) &amp;""</f>
        <v/>
      </c>
      <c r="H196" s="12" t="str">
        <f>IF($C196 = "","",INDEX(レシピ一覧!G:G,MATCH(使用レシピ!$C196,レシピ一覧!$A:$A,0))) &amp;""</f>
        <v/>
      </c>
      <c r="I196" s="12" t="str">
        <f>IF($C196 = "","",INDEX(レシピ一覧!H:H,MATCH(使用レシピ!$C196,レシピ一覧!$A:$A,0))) &amp;""</f>
        <v/>
      </c>
      <c r="J196" s="12" t="str">
        <f>IF($C196 = "","",INDEX(レシピ一覧!I:I,MATCH(使用レシピ!$C196,レシピ一覧!$A:$A,0))) &amp;""</f>
        <v/>
      </c>
      <c r="K196" s="12" t="str">
        <f>IFERROR((IF($C196 = "","",INDEX(レシピ一覧!J:J,MATCH(使用レシピ!$C196,レシピ一覧!$A:$A,0)))&amp;"")*1,"")</f>
        <v/>
      </c>
      <c r="L196" s="12" t="str">
        <f>IFERROR((IF($C196 = "","",INDEX(レシピ一覧!K:K,MATCH(使用レシピ!$C196,レシピ一覧!$A:$A,0)))&amp;"")*1,"")</f>
        <v/>
      </c>
      <c r="M196" s="12" t="str">
        <f>IFERROR((IF($C196 = "","",INDEX(レシピ一覧!L:L,MATCH(使用レシピ!$C196,レシピ一覧!$A:$A,0)))&amp;"")*1,"")</f>
        <v/>
      </c>
      <c r="N196" s="12" t="str">
        <f>IFERROR((IF($C196 = "","",INDEX(レシピ一覧!M:M,MATCH(使用レシピ!$C196,レシピ一覧!$A:$A,0)))&amp;"")*1,"")</f>
        <v/>
      </c>
      <c r="O196" s="12" t="str">
        <f>IFERROR((IF($C196 = "","",INDEX(レシピ一覧!N:N,MATCH(使用レシピ!$C196,レシピ一覧!$A:$A,0)))&amp;"")*1,"")</f>
        <v/>
      </c>
      <c r="P196" s="12" t="str">
        <f>IFERROR((IF($C196 = "","",INDEX(レシピ一覧!O:O,MATCH(使用レシピ!$C196,レシピ一覧!$A:$A,0)))&amp;"")*1,"")</f>
        <v/>
      </c>
      <c r="Q196" s="35" t="str">
        <f>IFERROR((IF($C196 = "","",INDEX(レシピ一覧!P:P,MATCH(使用レシピ!$C196,レシピ一覧!$A:$A,0)))&amp;"")*1,"")</f>
        <v/>
      </c>
    </row>
    <row r="197" spans="1:17" x14ac:dyDescent="0.4">
      <c r="A197" s="34">
        <v>1</v>
      </c>
      <c r="B197" s="12" t="str">
        <f>IF(E197="","",COUNTIF(レシピ一覧!$D$2:$D$500,使用レシピ!E197))</f>
        <v/>
      </c>
      <c r="C197" s="18" t="str">
        <f t="shared" si="3"/>
        <v/>
      </c>
      <c r="D197" s="31" t="str">
        <f>IF(COUNTIF(レシピ一覧!$B:$B,ROW()-1),ROW()-1,"")</f>
        <v/>
      </c>
      <c r="E197" s="27" t="str">
        <f>IFERROR( INDEX(レシピ一覧!$D:$D,MATCH(使用レシピ!$D197,レシピ一覧!$B:$B,0))&amp;"","")</f>
        <v/>
      </c>
      <c r="F197" s="12" t="str">
        <f>IF($C197 = "","",INDEX(レシピ一覧!E:E,MATCH(使用レシピ!$C197,レシピ一覧!$A:$A,0))) &amp;""</f>
        <v/>
      </c>
      <c r="G197" s="12" t="str">
        <f>IF($C197 = "","",INDEX(レシピ一覧!F:F,MATCH(使用レシピ!$C197,レシピ一覧!$A:$A,0))) &amp;""</f>
        <v/>
      </c>
      <c r="H197" s="12" t="str">
        <f>IF($C197 = "","",INDEX(レシピ一覧!G:G,MATCH(使用レシピ!$C197,レシピ一覧!$A:$A,0))) &amp;""</f>
        <v/>
      </c>
      <c r="I197" s="12" t="str">
        <f>IF($C197 = "","",INDEX(レシピ一覧!H:H,MATCH(使用レシピ!$C197,レシピ一覧!$A:$A,0))) &amp;""</f>
        <v/>
      </c>
      <c r="J197" s="12" t="str">
        <f>IF($C197 = "","",INDEX(レシピ一覧!I:I,MATCH(使用レシピ!$C197,レシピ一覧!$A:$A,0))) &amp;""</f>
        <v/>
      </c>
      <c r="K197" s="12" t="str">
        <f>IFERROR((IF($C197 = "","",INDEX(レシピ一覧!J:J,MATCH(使用レシピ!$C197,レシピ一覧!$A:$A,0)))&amp;"")*1,"")</f>
        <v/>
      </c>
      <c r="L197" s="12" t="str">
        <f>IFERROR((IF($C197 = "","",INDEX(レシピ一覧!K:K,MATCH(使用レシピ!$C197,レシピ一覧!$A:$A,0)))&amp;"")*1,"")</f>
        <v/>
      </c>
      <c r="M197" s="12" t="str">
        <f>IFERROR((IF($C197 = "","",INDEX(レシピ一覧!L:L,MATCH(使用レシピ!$C197,レシピ一覧!$A:$A,0)))&amp;"")*1,"")</f>
        <v/>
      </c>
      <c r="N197" s="12" t="str">
        <f>IFERROR((IF($C197 = "","",INDEX(レシピ一覧!M:M,MATCH(使用レシピ!$C197,レシピ一覧!$A:$A,0)))&amp;"")*1,"")</f>
        <v/>
      </c>
      <c r="O197" s="12" t="str">
        <f>IFERROR((IF($C197 = "","",INDEX(レシピ一覧!N:N,MATCH(使用レシピ!$C197,レシピ一覧!$A:$A,0)))&amp;"")*1,"")</f>
        <v/>
      </c>
      <c r="P197" s="12" t="str">
        <f>IFERROR((IF($C197 = "","",INDEX(レシピ一覧!O:O,MATCH(使用レシピ!$C197,レシピ一覧!$A:$A,0)))&amp;"")*1,"")</f>
        <v/>
      </c>
      <c r="Q197" s="35" t="str">
        <f>IFERROR((IF($C197 = "","",INDEX(レシピ一覧!P:P,MATCH(使用レシピ!$C197,レシピ一覧!$A:$A,0)))&amp;"")*1,"")</f>
        <v/>
      </c>
    </row>
    <row r="198" spans="1:17" x14ac:dyDescent="0.4">
      <c r="A198" s="34">
        <v>1</v>
      </c>
      <c r="B198" s="12" t="str">
        <f>IF(E198="","",COUNTIF(レシピ一覧!$D$2:$D$500,使用レシピ!E198))</f>
        <v/>
      </c>
      <c r="C198" s="18" t="str">
        <f t="shared" si="3"/>
        <v/>
      </c>
      <c r="D198" s="31" t="str">
        <f>IF(COUNTIF(レシピ一覧!$B:$B,ROW()-1),ROW()-1,"")</f>
        <v/>
      </c>
      <c r="E198" s="27" t="str">
        <f>IFERROR( INDEX(レシピ一覧!$D:$D,MATCH(使用レシピ!$D198,レシピ一覧!$B:$B,0))&amp;"","")</f>
        <v/>
      </c>
      <c r="F198" s="12" t="str">
        <f>IF($C198 = "","",INDEX(レシピ一覧!E:E,MATCH(使用レシピ!$C198,レシピ一覧!$A:$A,0))) &amp;""</f>
        <v/>
      </c>
      <c r="G198" s="12" t="str">
        <f>IF($C198 = "","",INDEX(レシピ一覧!F:F,MATCH(使用レシピ!$C198,レシピ一覧!$A:$A,0))) &amp;""</f>
        <v/>
      </c>
      <c r="H198" s="12" t="str">
        <f>IF($C198 = "","",INDEX(レシピ一覧!G:G,MATCH(使用レシピ!$C198,レシピ一覧!$A:$A,0))) &amp;""</f>
        <v/>
      </c>
      <c r="I198" s="12" t="str">
        <f>IF($C198 = "","",INDEX(レシピ一覧!H:H,MATCH(使用レシピ!$C198,レシピ一覧!$A:$A,0))) &amp;""</f>
        <v/>
      </c>
      <c r="J198" s="12" t="str">
        <f>IF($C198 = "","",INDEX(レシピ一覧!I:I,MATCH(使用レシピ!$C198,レシピ一覧!$A:$A,0))) &amp;""</f>
        <v/>
      </c>
      <c r="K198" s="12" t="str">
        <f>IFERROR((IF($C198 = "","",INDEX(レシピ一覧!J:J,MATCH(使用レシピ!$C198,レシピ一覧!$A:$A,0)))&amp;"")*1,"")</f>
        <v/>
      </c>
      <c r="L198" s="12" t="str">
        <f>IFERROR((IF($C198 = "","",INDEX(レシピ一覧!K:K,MATCH(使用レシピ!$C198,レシピ一覧!$A:$A,0)))&amp;"")*1,"")</f>
        <v/>
      </c>
      <c r="M198" s="12" t="str">
        <f>IFERROR((IF($C198 = "","",INDEX(レシピ一覧!L:L,MATCH(使用レシピ!$C198,レシピ一覧!$A:$A,0)))&amp;"")*1,"")</f>
        <v/>
      </c>
      <c r="N198" s="12" t="str">
        <f>IFERROR((IF($C198 = "","",INDEX(レシピ一覧!M:M,MATCH(使用レシピ!$C198,レシピ一覧!$A:$A,0)))&amp;"")*1,"")</f>
        <v/>
      </c>
      <c r="O198" s="12" t="str">
        <f>IFERROR((IF($C198 = "","",INDEX(レシピ一覧!N:N,MATCH(使用レシピ!$C198,レシピ一覧!$A:$A,0)))&amp;"")*1,"")</f>
        <v/>
      </c>
      <c r="P198" s="12" t="str">
        <f>IFERROR((IF($C198 = "","",INDEX(レシピ一覧!O:O,MATCH(使用レシピ!$C198,レシピ一覧!$A:$A,0)))&amp;"")*1,"")</f>
        <v/>
      </c>
      <c r="Q198" s="35" t="str">
        <f>IFERROR((IF($C198 = "","",INDEX(レシピ一覧!P:P,MATCH(使用レシピ!$C198,レシピ一覧!$A:$A,0)))&amp;"")*1,"")</f>
        <v/>
      </c>
    </row>
    <row r="199" spans="1:17" x14ac:dyDescent="0.4">
      <c r="A199" s="34">
        <v>1</v>
      </c>
      <c r="B199" s="12" t="str">
        <f>IF(E199="","",COUNTIF(レシピ一覧!$D$2:$D$500,使用レシピ!E199))</f>
        <v/>
      </c>
      <c r="C199" s="18" t="str">
        <f t="shared" si="3"/>
        <v/>
      </c>
      <c r="D199" s="31" t="str">
        <f>IF(COUNTIF(レシピ一覧!$B:$B,ROW()-1),ROW()-1,"")</f>
        <v/>
      </c>
      <c r="E199" s="27" t="str">
        <f>IFERROR( INDEX(レシピ一覧!$D:$D,MATCH(使用レシピ!$D199,レシピ一覧!$B:$B,0))&amp;"","")</f>
        <v/>
      </c>
      <c r="F199" s="12" t="str">
        <f>IF($C199 = "","",INDEX(レシピ一覧!E:E,MATCH(使用レシピ!$C199,レシピ一覧!$A:$A,0))) &amp;""</f>
        <v/>
      </c>
      <c r="G199" s="12" t="str">
        <f>IF($C199 = "","",INDEX(レシピ一覧!F:F,MATCH(使用レシピ!$C199,レシピ一覧!$A:$A,0))) &amp;""</f>
        <v/>
      </c>
      <c r="H199" s="12" t="str">
        <f>IF($C199 = "","",INDEX(レシピ一覧!G:G,MATCH(使用レシピ!$C199,レシピ一覧!$A:$A,0))) &amp;""</f>
        <v/>
      </c>
      <c r="I199" s="12" t="str">
        <f>IF($C199 = "","",INDEX(レシピ一覧!H:H,MATCH(使用レシピ!$C199,レシピ一覧!$A:$A,0))) &amp;""</f>
        <v/>
      </c>
      <c r="J199" s="12" t="str">
        <f>IF($C199 = "","",INDEX(レシピ一覧!I:I,MATCH(使用レシピ!$C199,レシピ一覧!$A:$A,0))) &amp;""</f>
        <v/>
      </c>
      <c r="K199" s="12" t="str">
        <f>IFERROR((IF($C199 = "","",INDEX(レシピ一覧!J:J,MATCH(使用レシピ!$C199,レシピ一覧!$A:$A,0)))&amp;"")*1,"")</f>
        <v/>
      </c>
      <c r="L199" s="12" t="str">
        <f>IFERROR((IF($C199 = "","",INDEX(レシピ一覧!K:K,MATCH(使用レシピ!$C199,レシピ一覧!$A:$A,0)))&amp;"")*1,"")</f>
        <v/>
      </c>
      <c r="M199" s="12" t="str">
        <f>IFERROR((IF($C199 = "","",INDEX(レシピ一覧!L:L,MATCH(使用レシピ!$C199,レシピ一覧!$A:$A,0)))&amp;"")*1,"")</f>
        <v/>
      </c>
      <c r="N199" s="12" t="str">
        <f>IFERROR((IF($C199 = "","",INDEX(レシピ一覧!M:M,MATCH(使用レシピ!$C199,レシピ一覧!$A:$A,0)))&amp;"")*1,"")</f>
        <v/>
      </c>
      <c r="O199" s="12" t="str">
        <f>IFERROR((IF($C199 = "","",INDEX(レシピ一覧!N:N,MATCH(使用レシピ!$C199,レシピ一覧!$A:$A,0)))&amp;"")*1,"")</f>
        <v/>
      </c>
      <c r="P199" s="12" t="str">
        <f>IFERROR((IF($C199 = "","",INDEX(レシピ一覧!O:O,MATCH(使用レシピ!$C199,レシピ一覧!$A:$A,0)))&amp;"")*1,"")</f>
        <v/>
      </c>
      <c r="Q199" s="35" t="str">
        <f>IFERROR((IF($C199 = "","",INDEX(レシピ一覧!P:P,MATCH(使用レシピ!$C199,レシピ一覧!$A:$A,0)))&amp;"")*1,"")</f>
        <v/>
      </c>
    </row>
    <row r="200" spans="1:17" x14ac:dyDescent="0.4">
      <c r="A200" s="34">
        <v>1</v>
      </c>
      <c r="B200" s="12" t="str">
        <f>IF(E200="","",COUNTIF(レシピ一覧!$D$2:$D$500,使用レシピ!E200))</f>
        <v/>
      </c>
      <c r="C200" s="18" t="str">
        <f t="shared" si="3"/>
        <v/>
      </c>
      <c r="D200" s="31" t="str">
        <f>IF(COUNTIF(レシピ一覧!$B:$B,ROW()-1),ROW()-1,"")</f>
        <v/>
      </c>
      <c r="E200" s="27" t="str">
        <f>IFERROR( INDEX(レシピ一覧!$D:$D,MATCH(使用レシピ!$D200,レシピ一覧!$B:$B,0))&amp;"","")</f>
        <v/>
      </c>
      <c r="F200" s="12" t="str">
        <f>IF($C200 = "","",INDEX(レシピ一覧!E:E,MATCH(使用レシピ!$C200,レシピ一覧!$A:$A,0))) &amp;""</f>
        <v/>
      </c>
      <c r="G200" s="12" t="str">
        <f>IF($C200 = "","",INDEX(レシピ一覧!F:F,MATCH(使用レシピ!$C200,レシピ一覧!$A:$A,0))) &amp;""</f>
        <v/>
      </c>
      <c r="H200" s="12" t="str">
        <f>IF($C200 = "","",INDEX(レシピ一覧!G:G,MATCH(使用レシピ!$C200,レシピ一覧!$A:$A,0))) &amp;""</f>
        <v/>
      </c>
      <c r="I200" s="12" t="str">
        <f>IF($C200 = "","",INDEX(レシピ一覧!H:H,MATCH(使用レシピ!$C200,レシピ一覧!$A:$A,0))) &amp;""</f>
        <v/>
      </c>
      <c r="J200" s="12" t="str">
        <f>IF($C200 = "","",INDEX(レシピ一覧!I:I,MATCH(使用レシピ!$C200,レシピ一覧!$A:$A,0))) &amp;""</f>
        <v/>
      </c>
      <c r="K200" s="12" t="str">
        <f>IFERROR((IF($C200 = "","",INDEX(レシピ一覧!J:J,MATCH(使用レシピ!$C200,レシピ一覧!$A:$A,0)))&amp;"")*1,"")</f>
        <v/>
      </c>
      <c r="L200" s="12" t="str">
        <f>IFERROR((IF($C200 = "","",INDEX(レシピ一覧!K:K,MATCH(使用レシピ!$C200,レシピ一覧!$A:$A,0)))&amp;"")*1,"")</f>
        <v/>
      </c>
      <c r="M200" s="12" t="str">
        <f>IFERROR((IF($C200 = "","",INDEX(レシピ一覧!L:L,MATCH(使用レシピ!$C200,レシピ一覧!$A:$A,0)))&amp;"")*1,"")</f>
        <v/>
      </c>
      <c r="N200" s="12" t="str">
        <f>IFERROR((IF($C200 = "","",INDEX(レシピ一覧!M:M,MATCH(使用レシピ!$C200,レシピ一覧!$A:$A,0)))&amp;"")*1,"")</f>
        <v/>
      </c>
      <c r="O200" s="12" t="str">
        <f>IFERROR((IF($C200 = "","",INDEX(レシピ一覧!N:N,MATCH(使用レシピ!$C200,レシピ一覧!$A:$A,0)))&amp;"")*1,"")</f>
        <v/>
      </c>
      <c r="P200" s="12" t="str">
        <f>IFERROR((IF($C200 = "","",INDEX(レシピ一覧!O:O,MATCH(使用レシピ!$C200,レシピ一覧!$A:$A,0)))&amp;"")*1,"")</f>
        <v/>
      </c>
      <c r="Q200" s="35" t="str">
        <f>IFERROR((IF($C200 = "","",INDEX(レシピ一覧!P:P,MATCH(使用レシピ!$C200,レシピ一覧!$A:$A,0)))&amp;"")*1,"")</f>
        <v/>
      </c>
    </row>
  </sheetData>
  <phoneticPr fontId="1"/>
  <conditionalFormatting sqref="B2:B200">
    <cfRule type="cellIs" dxfId="0" priority="1" operator="equal">
      <formula>1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A5A06-9B4D-4C70-B66D-2FE3782F4B63}">
  <sheetPr codeName="Sheet6"/>
  <dimension ref="A1:M200"/>
  <sheetViews>
    <sheetView topLeftCell="A13" workbookViewId="0">
      <selection activeCell="B4" sqref="B4"/>
    </sheetView>
  </sheetViews>
  <sheetFormatPr defaultRowHeight="18.75" x14ac:dyDescent="0.4"/>
  <cols>
    <col min="1" max="1" width="5.625" customWidth="1"/>
    <col min="7" max="13" width="6.625" customWidth="1"/>
  </cols>
  <sheetData>
    <row r="1" spans="1:13" s="1" customFormat="1" x14ac:dyDescent="0.4">
      <c r="A1" s="1" t="s">
        <v>298</v>
      </c>
      <c r="B1" s="1" t="s">
        <v>289</v>
      </c>
      <c r="C1" s="1" t="s">
        <v>290</v>
      </c>
      <c r="D1" s="1" t="s">
        <v>291</v>
      </c>
      <c r="E1" s="1" t="s">
        <v>292</v>
      </c>
      <c r="F1" s="1" t="s">
        <v>293</v>
      </c>
      <c r="G1" s="1" t="s">
        <v>294</v>
      </c>
      <c r="H1" s="1" t="s">
        <v>295</v>
      </c>
      <c r="I1" s="1" t="s">
        <v>296</v>
      </c>
      <c r="J1" s="1" t="s">
        <v>297</v>
      </c>
      <c r="K1" s="1" t="s">
        <v>87</v>
      </c>
      <c r="L1" s="1" t="s">
        <v>88</v>
      </c>
      <c r="M1" s="1" t="s">
        <v>66</v>
      </c>
    </row>
    <row r="2" spans="1:13" x14ac:dyDescent="0.4">
      <c r="A2">
        <f>使用レシピ!D2</f>
        <v>1</v>
      </c>
      <c r="B2">
        <f>IF(使用レシピ!F2="","",MATCH(使用レシピ!F2,使用レシピ!$E:$E,0)-1)</f>
        <v>2</v>
      </c>
      <c r="C2">
        <f>IF(使用レシピ!G2="","",MATCH(使用レシピ!G2,使用レシピ!$E:$E,0)-1)</f>
        <v>56</v>
      </c>
      <c r="D2" t="str">
        <f>IF(使用レシピ!H2="","",MATCH(使用レシピ!H2,使用レシピ!$E:$E,0)-1)</f>
        <v/>
      </c>
      <c r="E2" t="str">
        <f>IF(使用レシピ!I2="","",MATCH(使用レシピ!I2,使用レシピ!$E:$E,0)-1)</f>
        <v/>
      </c>
      <c r="F2" t="str">
        <f>IF(使用レシピ!J2="","",MATCH(使用レシピ!J2,使用レシピ!$E:$E,0)-1)</f>
        <v/>
      </c>
      <c r="G2">
        <f>使用レシピ!K2</f>
        <v>7</v>
      </c>
      <c r="H2">
        <f>使用レシピ!L2</f>
        <v>4</v>
      </c>
      <c r="I2" t="str">
        <f>使用レシピ!M2</f>
        <v/>
      </c>
      <c r="J2" t="str">
        <f>使用レシピ!N2</f>
        <v/>
      </c>
      <c r="K2" t="str">
        <f>使用レシピ!O2</f>
        <v/>
      </c>
      <c r="L2">
        <f>使用レシピ!P2</f>
        <v>13</v>
      </c>
      <c r="M2">
        <f>使用レシピ!Q2</f>
        <v>65</v>
      </c>
    </row>
    <row r="3" spans="1:13" x14ac:dyDescent="0.4">
      <c r="A3">
        <f>使用レシピ!D3</f>
        <v>2</v>
      </c>
      <c r="B3" t="str">
        <f>IF(使用レシピ!F3="","",MATCH(使用レシピ!F3,使用レシピ!$E:$E,0)-1)</f>
        <v/>
      </c>
      <c r="C3" t="str">
        <f>IF(使用レシピ!G3="","",MATCH(使用レシピ!G3,使用レシピ!$E:$E,0)-1)</f>
        <v/>
      </c>
      <c r="D3" t="str">
        <f>IF(使用レシピ!H3="","",MATCH(使用レシピ!H3,使用レシピ!$E:$E,0)-1)</f>
        <v/>
      </c>
      <c r="E3" t="str">
        <f>IF(使用レシピ!I3="","",MATCH(使用レシピ!I3,使用レシピ!$E:$E,0)-1)</f>
        <v/>
      </c>
      <c r="F3" t="str">
        <f>IF(使用レシピ!J3="","",MATCH(使用レシピ!J3,使用レシピ!$E:$E,0)-1)</f>
        <v/>
      </c>
      <c r="G3" t="str">
        <f>使用レシピ!K3</f>
        <v/>
      </c>
      <c r="H3" t="str">
        <f>使用レシピ!L3</f>
        <v/>
      </c>
      <c r="I3" t="str">
        <f>使用レシピ!M3</f>
        <v/>
      </c>
      <c r="J3" t="str">
        <f>使用レシピ!N3</f>
        <v/>
      </c>
      <c r="K3" t="str">
        <f>使用レシピ!O3</f>
        <v/>
      </c>
      <c r="L3">
        <f>使用レシピ!P3</f>
        <v>1</v>
      </c>
      <c r="M3">
        <f>使用レシピ!Q3</f>
        <v>1200</v>
      </c>
    </row>
    <row r="4" spans="1:13" x14ac:dyDescent="0.4">
      <c r="A4">
        <f>使用レシピ!D4</f>
        <v>3</v>
      </c>
      <c r="B4">
        <f>IF(使用レシピ!F4="","",MATCH(使用レシピ!F4,使用レシピ!$E:$E,0)-1)</f>
        <v>1</v>
      </c>
      <c r="C4" t="str">
        <f>IF(使用レシピ!G4="","",MATCH(使用レシピ!G4,使用レシピ!$E:$E,0)-1)</f>
        <v/>
      </c>
      <c r="D4" t="str">
        <f>IF(使用レシピ!H4="","",MATCH(使用レシピ!H4,使用レシピ!$E:$E,0)-1)</f>
        <v/>
      </c>
      <c r="E4" t="str">
        <f>IF(使用レシピ!I4="","",MATCH(使用レシピ!I4,使用レシピ!$E:$E,0)-1)</f>
        <v/>
      </c>
      <c r="F4" t="str">
        <f>IF(使用レシピ!J4="","",MATCH(使用レシピ!J4,使用レシピ!$E:$E,0)-1)</f>
        <v/>
      </c>
      <c r="G4">
        <f>使用レシピ!K4</f>
        <v>3</v>
      </c>
      <c r="H4" t="str">
        <f>使用レシピ!L4</f>
        <v/>
      </c>
      <c r="I4" t="str">
        <f>使用レシピ!M4</f>
        <v/>
      </c>
      <c r="J4" t="str">
        <f>使用レシピ!N4</f>
        <v/>
      </c>
      <c r="K4" t="str">
        <f>使用レシピ!O4</f>
        <v/>
      </c>
      <c r="L4">
        <f>使用レシピ!P4</f>
        <v>2</v>
      </c>
      <c r="M4">
        <f>使用レシピ!Q4</f>
        <v>20</v>
      </c>
    </row>
    <row r="5" spans="1:13" x14ac:dyDescent="0.4">
      <c r="A5">
        <f>使用レシピ!D5</f>
        <v>4</v>
      </c>
      <c r="B5">
        <f>IF(使用レシピ!F5="","",MATCH(使用レシピ!F5,使用レシピ!$E:$E,0)-1)</f>
        <v>1</v>
      </c>
      <c r="C5" t="str">
        <f>IF(使用レシピ!G5="","",MATCH(使用レシピ!G5,使用レシピ!$E:$E,0)-1)</f>
        <v/>
      </c>
      <c r="D5" t="str">
        <f>IF(使用レシピ!H5="","",MATCH(使用レシピ!H5,使用レシピ!$E:$E,0)-1)</f>
        <v/>
      </c>
      <c r="E5" t="str">
        <f>IF(使用レシピ!I5="","",MATCH(使用レシピ!I5,使用レシピ!$E:$E,0)-1)</f>
        <v/>
      </c>
      <c r="F5" t="str">
        <f>IF(使用レシピ!J5="","",MATCH(使用レシピ!J5,使用レシピ!$E:$E,0)-1)</f>
        <v/>
      </c>
      <c r="G5">
        <f>使用レシピ!K5</f>
        <v>1</v>
      </c>
      <c r="H5" t="str">
        <f>使用レシピ!L5</f>
        <v/>
      </c>
      <c r="I5" t="str">
        <f>使用レシピ!M5</f>
        <v/>
      </c>
      <c r="J5" t="str">
        <f>使用レシピ!N5</f>
        <v/>
      </c>
      <c r="K5" t="str">
        <f>使用レシピ!O5</f>
        <v/>
      </c>
      <c r="L5">
        <f>使用レシピ!P5</f>
        <v>1</v>
      </c>
      <c r="M5">
        <f>使用レシピ!Q5</f>
        <v>15</v>
      </c>
    </row>
    <row r="6" spans="1:13" x14ac:dyDescent="0.4">
      <c r="A6">
        <f>使用レシピ!D6</f>
        <v>5</v>
      </c>
      <c r="B6">
        <f>IF(使用レシピ!F6="","",MATCH(使用レシピ!F6,使用レシピ!$E:$E,0)-1)</f>
        <v>3</v>
      </c>
      <c r="C6">
        <f>IF(使用レシピ!G6="","",MATCH(使用レシピ!G6,使用レシピ!$E:$E,0)-1)</f>
        <v>12</v>
      </c>
      <c r="D6" t="str">
        <f>IF(使用レシピ!H6="","",MATCH(使用レシピ!H6,使用レシピ!$E:$E,0)-1)</f>
        <v/>
      </c>
      <c r="E6" t="str">
        <f>IF(使用レシピ!I6="","",MATCH(使用レシピ!I6,使用レシピ!$E:$E,0)-1)</f>
        <v/>
      </c>
      <c r="F6" t="str">
        <f>IF(使用レシピ!J6="","",MATCH(使用レシピ!J6,使用レシピ!$E:$E,0)-1)</f>
        <v/>
      </c>
      <c r="G6">
        <f>使用レシピ!K6</f>
        <v>18</v>
      </c>
      <c r="H6">
        <f>使用レシピ!L6</f>
        <v>50</v>
      </c>
      <c r="I6" t="str">
        <f>使用レシピ!M6</f>
        <v/>
      </c>
      <c r="J6" t="str">
        <f>使用レシピ!N6</f>
        <v/>
      </c>
      <c r="K6" t="str">
        <f>使用レシピ!O6</f>
        <v/>
      </c>
      <c r="L6">
        <f>使用レシピ!P6</f>
        <v>3</v>
      </c>
      <c r="M6">
        <f>使用レシピ!Q6</f>
        <v>15</v>
      </c>
    </row>
    <row r="7" spans="1:13" x14ac:dyDescent="0.4">
      <c r="A7">
        <f>使用レシピ!D7</f>
        <v>6</v>
      </c>
      <c r="B7">
        <f>IF(使用レシピ!F7="","",MATCH(使用レシピ!F7,使用レシピ!$E:$E,0)-1)</f>
        <v>7</v>
      </c>
      <c r="C7" t="str">
        <f>IF(使用レシピ!G7="","",MATCH(使用レシピ!G7,使用レシピ!$E:$E,0)-1)</f>
        <v/>
      </c>
      <c r="D7" t="str">
        <f>IF(使用レシピ!H7="","",MATCH(使用レシピ!H7,使用レシピ!$E:$E,0)-1)</f>
        <v/>
      </c>
      <c r="E7" t="str">
        <f>IF(使用レシピ!I7="","",MATCH(使用レシピ!I7,使用レシピ!$E:$E,0)-1)</f>
        <v/>
      </c>
      <c r="F7" t="str">
        <f>IF(使用レシピ!J7="","",MATCH(使用レシピ!J7,使用レシピ!$E:$E,0)-1)</f>
        <v/>
      </c>
      <c r="G7">
        <f>使用レシピ!K7</f>
        <v>2</v>
      </c>
      <c r="H7" t="str">
        <f>使用レシピ!L7</f>
        <v/>
      </c>
      <c r="I7" t="str">
        <f>使用レシピ!M7</f>
        <v/>
      </c>
      <c r="J7" t="str">
        <f>使用レシピ!N7</f>
        <v/>
      </c>
      <c r="K7" t="str">
        <f>使用レシピ!O7</f>
        <v/>
      </c>
      <c r="L7">
        <f>使用レシピ!P7</f>
        <v>1</v>
      </c>
      <c r="M7">
        <f>使用レシピ!Q7</f>
        <v>30</v>
      </c>
    </row>
    <row r="8" spans="1:13" x14ac:dyDescent="0.4">
      <c r="A8">
        <f>使用レシピ!D8</f>
        <v>7</v>
      </c>
      <c r="B8">
        <f>IF(使用レシピ!F8="","",MATCH(使用レシピ!F8,使用レシピ!$E:$E,0)-1)</f>
        <v>8</v>
      </c>
      <c r="C8" t="str">
        <f>IF(使用レシピ!G8="","",MATCH(使用レシピ!G8,使用レシピ!$E:$E,0)-1)</f>
        <v/>
      </c>
      <c r="D8" t="str">
        <f>IF(使用レシピ!H8="","",MATCH(使用レシピ!H8,使用レシピ!$E:$E,0)-1)</f>
        <v/>
      </c>
      <c r="E8" t="str">
        <f>IF(使用レシピ!I8="","",MATCH(使用レシピ!I8,使用レシピ!$E:$E,0)-1)</f>
        <v/>
      </c>
      <c r="F8" t="str">
        <f>IF(使用レシピ!J8="","",MATCH(使用レシピ!J8,使用レシピ!$E:$E,0)-1)</f>
        <v/>
      </c>
      <c r="G8">
        <f>使用レシピ!K8</f>
        <v>1</v>
      </c>
      <c r="H8" t="str">
        <f>使用レシピ!L8</f>
        <v/>
      </c>
      <c r="I8" t="str">
        <f>使用レシピ!M8</f>
        <v/>
      </c>
      <c r="J8" t="str">
        <f>使用レシピ!N8</f>
        <v/>
      </c>
      <c r="K8" t="str">
        <f>使用レシピ!O8</f>
        <v/>
      </c>
      <c r="L8">
        <f>使用レシピ!P8</f>
        <v>2</v>
      </c>
      <c r="M8">
        <f>使用レシピ!Q8</f>
        <v>30</v>
      </c>
    </row>
    <row r="9" spans="1:13" x14ac:dyDescent="0.4">
      <c r="A9">
        <f>使用レシピ!D9</f>
        <v>8</v>
      </c>
      <c r="B9">
        <f>IF(使用レシピ!F9="","",MATCH(使用レシピ!F9,使用レシピ!$E:$E,0)-1)</f>
        <v>9</v>
      </c>
      <c r="C9">
        <f>IF(使用レシピ!G9="","",MATCH(使用レシピ!G9,使用レシピ!$E:$E,0)-1)</f>
        <v>56</v>
      </c>
      <c r="D9" t="str">
        <f>IF(使用レシピ!H9="","",MATCH(使用レシピ!H9,使用レシピ!$E:$E,0)-1)</f>
        <v/>
      </c>
      <c r="E9" t="str">
        <f>IF(使用レシピ!I9="","",MATCH(使用レシピ!I9,使用レシピ!$E:$E,0)-1)</f>
        <v/>
      </c>
      <c r="F9" t="str">
        <f>IF(使用レシピ!J9="","",MATCH(使用レシピ!J9,使用レシピ!$E:$E,0)-1)</f>
        <v/>
      </c>
      <c r="G9">
        <f>使用レシピ!K9</f>
        <v>6</v>
      </c>
      <c r="H9">
        <f>使用レシピ!L9</f>
        <v>4</v>
      </c>
      <c r="I9" t="str">
        <f>使用レシピ!M9</f>
        <v/>
      </c>
      <c r="J9" t="str">
        <f>使用レシピ!N9</f>
        <v/>
      </c>
      <c r="K9" t="str">
        <f>使用レシピ!O9</f>
        <v/>
      </c>
      <c r="L9">
        <f>使用レシピ!P9</f>
        <v>15</v>
      </c>
      <c r="M9">
        <f>使用レシピ!Q9</f>
        <v>37.5</v>
      </c>
    </row>
    <row r="10" spans="1:13" x14ac:dyDescent="0.4">
      <c r="A10">
        <f>使用レシピ!D10</f>
        <v>9</v>
      </c>
      <c r="B10" t="str">
        <f>IF(使用レシピ!F10="","",MATCH(使用レシピ!F10,使用レシピ!$E:$E,0)-1)</f>
        <v/>
      </c>
      <c r="C10" t="str">
        <f>IF(使用レシピ!G10="","",MATCH(使用レシピ!G10,使用レシピ!$E:$E,0)-1)</f>
        <v/>
      </c>
      <c r="D10" t="str">
        <f>IF(使用レシピ!H10="","",MATCH(使用レシピ!H10,使用レシピ!$E:$E,0)-1)</f>
        <v/>
      </c>
      <c r="E10" t="str">
        <f>IF(使用レシピ!I10="","",MATCH(使用レシピ!I10,使用レシピ!$E:$E,0)-1)</f>
        <v/>
      </c>
      <c r="F10" t="str">
        <f>IF(使用レシピ!J10="","",MATCH(使用レシピ!J10,使用レシピ!$E:$E,0)-1)</f>
        <v/>
      </c>
      <c r="G10" t="str">
        <f>使用レシピ!K10</f>
        <v/>
      </c>
      <c r="H10" t="str">
        <f>使用レシピ!L10</f>
        <v/>
      </c>
      <c r="I10" t="str">
        <f>使用レシピ!M10</f>
        <v/>
      </c>
      <c r="J10" t="str">
        <f>使用レシピ!N10</f>
        <v/>
      </c>
      <c r="K10" t="str">
        <f>使用レシピ!O10</f>
        <v/>
      </c>
      <c r="L10">
        <f>使用レシピ!P10</f>
        <v>1</v>
      </c>
      <c r="M10">
        <f>使用レシピ!Q10</f>
        <v>1200</v>
      </c>
    </row>
    <row r="11" spans="1:13" x14ac:dyDescent="0.4">
      <c r="A11">
        <f>使用レシピ!D11</f>
        <v>10</v>
      </c>
      <c r="B11">
        <f>IF(使用レシピ!F11="","",MATCH(使用レシピ!F11,使用レシピ!$E:$E,0)-1)</f>
        <v>11</v>
      </c>
      <c r="C11">
        <f>IF(使用レシピ!G11="","",MATCH(使用レシピ!G11,使用レシピ!$E:$E,0)-1)</f>
        <v>56</v>
      </c>
      <c r="D11" t="str">
        <f>IF(使用レシピ!H11="","",MATCH(使用レシピ!H11,使用レシピ!$E:$E,0)-1)</f>
        <v/>
      </c>
      <c r="E11" t="str">
        <f>IF(使用レシピ!I11="","",MATCH(使用レシピ!I11,使用レシピ!$E:$E,0)-1)</f>
        <v/>
      </c>
      <c r="F11" t="str">
        <f>IF(使用レシピ!J11="","",MATCH(使用レシピ!J11,使用レシピ!$E:$E,0)-1)</f>
        <v/>
      </c>
      <c r="G11">
        <f>使用レシピ!K11</f>
        <v>6</v>
      </c>
      <c r="H11">
        <f>使用レシピ!L11</f>
        <v>5</v>
      </c>
      <c r="I11" t="str">
        <f>使用レシピ!M11</f>
        <v/>
      </c>
      <c r="J11" t="str">
        <f>使用レシピ!N11</f>
        <v/>
      </c>
      <c r="K11" t="str">
        <f>使用レシピ!O11</f>
        <v/>
      </c>
      <c r="L11">
        <f>使用レシピ!P11</f>
        <v>4</v>
      </c>
      <c r="M11">
        <f>使用レシピ!Q11</f>
        <v>80</v>
      </c>
    </row>
    <row r="12" spans="1:13" x14ac:dyDescent="0.4">
      <c r="A12">
        <f>使用レシピ!D12</f>
        <v>11</v>
      </c>
      <c r="B12" t="str">
        <f>IF(使用レシピ!F12="","",MATCH(使用レシピ!F12,使用レシピ!$E:$E,0)-1)</f>
        <v/>
      </c>
      <c r="C12" t="str">
        <f>IF(使用レシピ!G12="","",MATCH(使用レシピ!G12,使用レシピ!$E:$E,0)-1)</f>
        <v/>
      </c>
      <c r="D12" t="str">
        <f>IF(使用レシピ!H12="","",MATCH(使用レシピ!H12,使用レシピ!$E:$E,0)-1)</f>
        <v/>
      </c>
      <c r="E12" t="str">
        <f>IF(使用レシピ!I12="","",MATCH(使用レシピ!I12,使用レシピ!$E:$E,0)-1)</f>
        <v/>
      </c>
      <c r="F12" t="str">
        <f>IF(使用レシピ!J12="","",MATCH(使用レシピ!J12,使用レシピ!$E:$E,0)-1)</f>
        <v/>
      </c>
      <c r="G12" t="str">
        <f>使用レシピ!K12</f>
        <v/>
      </c>
      <c r="H12" t="str">
        <f>使用レシピ!L12</f>
        <v/>
      </c>
      <c r="I12" t="str">
        <f>使用レシピ!M12</f>
        <v/>
      </c>
      <c r="J12" t="str">
        <f>使用レシピ!N12</f>
        <v/>
      </c>
      <c r="K12" t="str">
        <f>使用レシピ!O12</f>
        <v/>
      </c>
      <c r="L12">
        <f>使用レシピ!P12</f>
        <v>1</v>
      </c>
      <c r="M12">
        <f>使用レシピ!Q12</f>
        <v>1200</v>
      </c>
    </row>
    <row r="13" spans="1:13" x14ac:dyDescent="0.4">
      <c r="A13">
        <f>使用レシピ!D13</f>
        <v>12</v>
      </c>
      <c r="B13">
        <f>IF(使用レシピ!F13="","",MATCH(使用レシピ!F13,使用レシピ!$E:$E,0)-1)</f>
        <v>37</v>
      </c>
      <c r="C13" t="str">
        <f>IF(使用レシピ!G13="","",MATCH(使用レシピ!G13,使用レシピ!$E:$E,0)-1)</f>
        <v/>
      </c>
      <c r="D13" t="str">
        <f>IF(使用レシピ!H13="","",MATCH(使用レシピ!H13,使用レシピ!$E:$E,0)-1)</f>
        <v/>
      </c>
      <c r="E13" t="str">
        <f>IF(使用レシピ!I13="","",MATCH(使用レシピ!I13,使用レシピ!$E:$E,0)-1)</f>
        <v/>
      </c>
      <c r="F13" t="str">
        <f>IF(使用レシピ!J13="","",MATCH(使用レシピ!J13,使用レシピ!$E:$E,0)-1)</f>
        <v/>
      </c>
      <c r="G13">
        <f>使用レシピ!K13</f>
        <v>1</v>
      </c>
      <c r="H13" t="str">
        <f>使用レシピ!L13</f>
        <v/>
      </c>
      <c r="I13" t="str">
        <f>使用レシピ!M13</f>
        <v/>
      </c>
      <c r="J13" t="str">
        <f>使用レシピ!N13</f>
        <v/>
      </c>
      <c r="K13" t="str">
        <f>使用レシピ!O13</f>
        <v/>
      </c>
      <c r="L13">
        <f>使用レシピ!P13</f>
        <v>52</v>
      </c>
      <c r="M13">
        <f>使用レシピ!Q13</f>
        <v>260</v>
      </c>
    </row>
    <row r="14" spans="1:13" x14ac:dyDescent="0.4">
      <c r="A14">
        <f>使用レシピ!D14</f>
        <v>13</v>
      </c>
      <c r="B14">
        <f>IF(使用レシピ!F14="","",MATCH(使用レシピ!F14,使用レシピ!$E:$E,0)-1)</f>
        <v>14</v>
      </c>
      <c r="C14" t="str">
        <f>IF(使用レシピ!G14="","",MATCH(使用レシピ!G14,使用レシピ!$E:$E,0)-1)</f>
        <v/>
      </c>
      <c r="D14" t="str">
        <f>IF(使用レシピ!H14="","",MATCH(使用レシピ!H14,使用レシピ!$E:$E,0)-1)</f>
        <v/>
      </c>
      <c r="E14" t="str">
        <f>IF(使用レシピ!I14="","",MATCH(使用レシピ!I14,使用レシピ!$E:$E,0)-1)</f>
        <v/>
      </c>
      <c r="F14" t="str">
        <f>IF(使用レシピ!J14="","",MATCH(使用レシピ!J14,使用レシピ!$E:$E,0)-1)</f>
        <v/>
      </c>
      <c r="G14">
        <f>使用レシピ!K14</f>
        <v>4</v>
      </c>
      <c r="H14" t="str">
        <f>使用レシピ!L14</f>
        <v/>
      </c>
      <c r="I14" t="str">
        <f>使用レシピ!M14</f>
        <v/>
      </c>
      <c r="J14" t="str">
        <f>使用レシピ!N14</f>
        <v/>
      </c>
      <c r="K14" t="str">
        <f>使用レシピ!O14</f>
        <v/>
      </c>
      <c r="L14">
        <f>使用レシピ!P14</f>
        <v>20</v>
      </c>
      <c r="M14">
        <f>使用レシピ!Q14</f>
        <v>300</v>
      </c>
    </row>
    <row r="15" spans="1:13" x14ac:dyDescent="0.4">
      <c r="A15">
        <f>使用レシピ!D15</f>
        <v>14</v>
      </c>
      <c r="B15" t="str">
        <f>IF(使用レシピ!F15="","",MATCH(使用レシピ!F15,使用レシピ!$E:$E,0)-1)</f>
        <v/>
      </c>
      <c r="C15" t="str">
        <f>IF(使用レシピ!G15="","",MATCH(使用レシピ!G15,使用レシピ!$E:$E,0)-1)</f>
        <v/>
      </c>
      <c r="D15" t="str">
        <f>IF(使用レシピ!H15="","",MATCH(使用レシピ!H15,使用レシピ!$E:$E,0)-1)</f>
        <v/>
      </c>
      <c r="E15" t="str">
        <f>IF(使用レシピ!I15="","",MATCH(使用レシピ!I15,使用レシピ!$E:$E,0)-1)</f>
        <v/>
      </c>
      <c r="F15" t="str">
        <f>IF(使用レシピ!J15="","",MATCH(使用レシピ!J15,使用レシピ!$E:$E,0)-1)</f>
        <v/>
      </c>
      <c r="G15" t="str">
        <f>使用レシピ!K15</f>
        <v/>
      </c>
      <c r="H15" t="str">
        <f>使用レシピ!L15</f>
        <v/>
      </c>
      <c r="I15" t="str">
        <f>使用レシピ!M15</f>
        <v/>
      </c>
      <c r="J15" t="str">
        <f>使用レシピ!N15</f>
        <v/>
      </c>
      <c r="K15" t="str">
        <f>使用レシピ!O15</f>
        <v/>
      </c>
      <c r="L15">
        <f>使用レシピ!P15</f>
        <v>1</v>
      </c>
      <c r="M15">
        <f>使用レシピ!Q15</f>
        <v>1</v>
      </c>
    </row>
    <row r="16" spans="1:13" x14ac:dyDescent="0.4">
      <c r="A16">
        <f>使用レシピ!D16</f>
        <v>15</v>
      </c>
      <c r="B16" t="str">
        <f>IF(使用レシピ!F16="","",MATCH(使用レシピ!F16,使用レシピ!$E:$E,0)-1)</f>
        <v/>
      </c>
      <c r="C16" t="str">
        <f>IF(使用レシピ!G16="","",MATCH(使用レシピ!G16,使用レシピ!$E:$E,0)-1)</f>
        <v/>
      </c>
      <c r="D16" t="str">
        <f>IF(使用レシピ!H16="","",MATCH(使用レシピ!H16,使用レシピ!$E:$E,0)-1)</f>
        <v/>
      </c>
      <c r="E16" t="str">
        <f>IF(使用レシピ!I16="","",MATCH(使用レシピ!I16,使用レシピ!$E:$E,0)-1)</f>
        <v/>
      </c>
      <c r="F16" t="str">
        <f>IF(使用レシピ!J16="","",MATCH(使用レシピ!J16,使用レシピ!$E:$E,0)-1)</f>
        <v/>
      </c>
      <c r="G16" t="str">
        <f>使用レシピ!K16</f>
        <v/>
      </c>
      <c r="H16" t="str">
        <f>使用レシピ!L16</f>
        <v/>
      </c>
      <c r="I16" t="str">
        <f>使用レシピ!M16</f>
        <v/>
      </c>
      <c r="J16" t="str">
        <f>使用レシピ!N16</f>
        <v/>
      </c>
      <c r="K16" t="str">
        <f>使用レシピ!O16</f>
        <v/>
      </c>
      <c r="L16">
        <f>使用レシピ!P16</f>
        <v>1</v>
      </c>
      <c r="M16">
        <f>使用レシピ!Q16</f>
        <v>1</v>
      </c>
    </row>
    <row r="17" spans="1:13" x14ac:dyDescent="0.4">
      <c r="A17">
        <f>使用レシピ!D17</f>
        <v>16</v>
      </c>
      <c r="B17">
        <f>IF(使用レシピ!F17="","",MATCH(使用レシピ!F17,使用レシピ!$E:$E,0)-1)</f>
        <v>17</v>
      </c>
      <c r="C17" t="str">
        <f>IF(使用レシピ!G17="","",MATCH(使用レシピ!G17,使用レシピ!$E:$E,0)-1)</f>
        <v/>
      </c>
      <c r="D17" t="str">
        <f>IF(使用レシピ!H17="","",MATCH(使用レシピ!H17,使用レシピ!$E:$E,0)-1)</f>
        <v/>
      </c>
      <c r="E17" t="str">
        <f>IF(使用レシピ!I17="","",MATCH(使用レシピ!I17,使用レシピ!$E:$E,0)-1)</f>
        <v/>
      </c>
      <c r="F17" t="str">
        <f>IF(使用レシピ!J17="","",MATCH(使用レシピ!J17,使用レシピ!$E:$E,0)-1)</f>
        <v/>
      </c>
      <c r="G17">
        <f>使用レシピ!K17</f>
        <v>1</v>
      </c>
      <c r="H17" t="str">
        <f>使用レシピ!L17</f>
        <v/>
      </c>
      <c r="I17" t="str">
        <f>使用レシピ!M17</f>
        <v/>
      </c>
      <c r="J17" t="str">
        <f>使用レシピ!N17</f>
        <v/>
      </c>
      <c r="K17" t="str">
        <f>使用レシピ!O17</f>
        <v/>
      </c>
      <c r="L17">
        <f>使用レシピ!P17</f>
        <v>1</v>
      </c>
      <c r="M17">
        <f>使用レシピ!Q17</f>
        <v>20</v>
      </c>
    </row>
    <row r="18" spans="1:13" x14ac:dyDescent="0.4">
      <c r="A18">
        <f>使用レシピ!D18</f>
        <v>17</v>
      </c>
      <c r="B18" t="str">
        <f>IF(使用レシピ!F18="","",MATCH(使用レシピ!F18,使用レシピ!$E:$E,0)-1)</f>
        <v/>
      </c>
      <c r="C18" t="str">
        <f>IF(使用レシピ!G18="","",MATCH(使用レシピ!G18,使用レシピ!$E:$E,0)-1)</f>
        <v/>
      </c>
      <c r="D18" t="str">
        <f>IF(使用レシピ!H18="","",MATCH(使用レシピ!H18,使用レシピ!$E:$E,0)-1)</f>
        <v/>
      </c>
      <c r="E18" t="str">
        <f>IF(使用レシピ!I18="","",MATCH(使用レシピ!I18,使用レシピ!$E:$E,0)-1)</f>
        <v/>
      </c>
      <c r="F18" t="str">
        <f>IF(使用レシピ!J18="","",MATCH(使用レシピ!J18,使用レシピ!$E:$E,0)-1)</f>
        <v/>
      </c>
      <c r="G18" t="str">
        <f>使用レシピ!K18</f>
        <v/>
      </c>
      <c r="H18" t="str">
        <f>使用レシピ!L18</f>
        <v/>
      </c>
      <c r="I18" t="str">
        <f>使用レシピ!M18</f>
        <v/>
      </c>
      <c r="J18" t="str">
        <f>使用レシピ!N18</f>
        <v/>
      </c>
      <c r="K18" t="str">
        <f>使用レシピ!O18</f>
        <v/>
      </c>
      <c r="L18">
        <f>使用レシピ!P18</f>
        <v>1</v>
      </c>
      <c r="M18">
        <f>使用レシピ!Q18</f>
        <v>1</v>
      </c>
    </row>
    <row r="19" spans="1:13" x14ac:dyDescent="0.4">
      <c r="A19">
        <f>使用レシピ!D19</f>
        <v>18</v>
      </c>
      <c r="B19" t="str">
        <f>IF(使用レシピ!F19="","",MATCH(使用レシピ!F19,使用レシピ!$E:$E,0)-1)</f>
        <v/>
      </c>
      <c r="C19" t="str">
        <f>IF(使用レシピ!G19="","",MATCH(使用レシピ!G19,使用レシピ!$E:$E,0)-1)</f>
        <v/>
      </c>
      <c r="D19" t="str">
        <f>IF(使用レシピ!H19="","",MATCH(使用レシピ!H19,使用レシピ!$E:$E,0)-1)</f>
        <v/>
      </c>
      <c r="E19" t="str">
        <f>IF(使用レシピ!I19="","",MATCH(使用レシピ!I19,使用レシピ!$E:$E,0)-1)</f>
        <v/>
      </c>
      <c r="F19" t="str">
        <f>IF(使用レシピ!J19="","",MATCH(使用レシピ!J19,使用レシピ!$E:$E,0)-1)</f>
        <v/>
      </c>
      <c r="G19" t="str">
        <f>使用レシピ!K19</f>
        <v/>
      </c>
      <c r="H19" t="str">
        <f>使用レシピ!L19</f>
        <v/>
      </c>
      <c r="I19" t="str">
        <f>使用レシピ!M19</f>
        <v/>
      </c>
      <c r="J19" t="str">
        <f>使用レシピ!N19</f>
        <v/>
      </c>
      <c r="K19" t="str">
        <f>使用レシピ!O19</f>
        <v/>
      </c>
      <c r="L19">
        <f>使用レシピ!P19</f>
        <v>1</v>
      </c>
      <c r="M19">
        <f>使用レシピ!Q19</f>
        <v>1</v>
      </c>
    </row>
    <row r="20" spans="1:13" x14ac:dyDescent="0.4">
      <c r="A20">
        <f>使用レシピ!D20</f>
        <v>19</v>
      </c>
      <c r="B20" t="str">
        <f>IF(使用レシピ!F20="","",MATCH(使用レシピ!F20,使用レシピ!$E:$E,0)-1)</f>
        <v/>
      </c>
      <c r="C20" t="str">
        <f>IF(使用レシピ!G20="","",MATCH(使用レシピ!G20,使用レシピ!$E:$E,0)-1)</f>
        <v/>
      </c>
      <c r="D20" t="str">
        <f>IF(使用レシピ!H20="","",MATCH(使用レシピ!H20,使用レシピ!$E:$E,0)-1)</f>
        <v/>
      </c>
      <c r="E20" t="str">
        <f>IF(使用レシピ!I20="","",MATCH(使用レシピ!I20,使用レシピ!$E:$E,0)-1)</f>
        <v/>
      </c>
      <c r="F20" t="str">
        <f>IF(使用レシピ!J20="","",MATCH(使用レシピ!J20,使用レシピ!$E:$E,0)-1)</f>
        <v/>
      </c>
      <c r="G20" t="str">
        <f>使用レシピ!K20</f>
        <v/>
      </c>
      <c r="H20" t="str">
        <f>使用レシピ!L20</f>
        <v/>
      </c>
      <c r="I20" t="str">
        <f>使用レシピ!M20</f>
        <v/>
      </c>
      <c r="J20" t="str">
        <f>使用レシピ!N20</f>
        <v/>
      </c>
      <c r="K20" t="str">
        <f>使用レシピ!O20</f>
        <v/>
      </c>
      <c r="L20">
        <f>使用レシピ!P20</f>
        <v>1</v>
      </c>
      <c r="M20">
        <f>使用レシピ!Q20</f>
        <v>1</v>
      </c>
    </row>
    <row r="21" spans="1:13" x14ac:dyDescent="0.4">
      <c r="A21">
        <f>使用レシピ!D21</f>
        <v>20</v>
      </c>
      <c r="B21" t="str">
        <f>IF(使用レシピ!F21="","",MATCH(使用レシピ!F21,使用レシピ!$E:$E,0)-1)</f>
        <v/>
      </c>
      <c r="C21" t="str">
        <f>IF(使用レシピ!G21="","",MATCH(使用レシピ!G21,使用レシピ!$E:$E,0)-1)</f>
        <v/>
      </c>
      <c r="D21" t="str">
        <f>IF(使用レシピ!H21="","",MATCH(使用レシピ!H21,使用レシピ!$E:$E,0)-1)</f>
        <v/>
      </c>
      <c r="E21" t="str">
        <f>IF(使用レシピ!I21="","",MATCH(使用レシピ!I21,使用レシピ!$E:$E,0)-1)</f>
        <v/>
      </c>
      <c r="F21" t="str">
        <f>IF(使用レシピ!J21="","",MATCH(使用レシピ!J21,使用レシピ!$E:$E,0)-1)</f>
        <v/>
      </c>
      <c r="G21" t="str">
        <f>使用レシピ!K21</f>
        <v/>
      </c>
      <c r="H21" t="str">
        <f>使用レシピ!L21</f>
        <v/>
      </c>
      <c r="I21" t="str">
        <f>使用レシピ!M21</f>
        <v/>
      </c>
      <c r="J21" t="str">
        <f>使用レシピ!N21</f>
        <v/>
      </c>
      <c r="K21" t="str">
        <f>使用レシピ!O21</f>
        <v/>
      </c>
      <c r="L21">
        <f>使用レシピ!P21</f>
        <v>1</v>
      </c>
      <c r="M21">
        <f>使用レシピ!Q21</f>
        <v>1</v>
      </c>
    </row>
    <row r="22" spans="1:13" x14ac:dyDescent="0.4">
      <c r="A22">
        <f>使用レシピ!D22</f>
        <v>21</v>
      </c>
      <c r="B22">
        <f>IF(使用レシピ!F22="","",MATCH(使用レシピ!F22,使用レシピ!$E:$E,0)-1)</f>
        <v>124</v>
      </c>
      <c r="C22">
        <f>IF(使用レシピ!G22="","",MATCH(使用レシピ!G22,使用レシピ!$E:$E,0)-1)</f>
        <v>128</v>
      </c>
      <c r="D22">
        <f>IF(使用レシピ!H22="","",MATCH(使用レシピ!H22,使用レシピ!$E:$E,0)-1)</f>
        <v>47</v>
      </c>
      <c r="E22">
        <f>IF(使用レシピ!I22="","",MATCH(使用レシピ!I22,使用レシピ!$E:$E,0)-1)</f>
        <v>126</v>
      </c>
      <c r="F22">
        <f>IF(使用レシピ!J22="","",MATCH(使用レシピ!J22,使用レシピ!$E:$E,0)-1)</f>
        <v>127</v>
      </c>
      <c r="G22">
        <f>使用レシピ!K22</f>
        <v>2</v>
      </c>
      <c r="H22">
        <f>使用レシピ!L22</f>
        <v>2</v>
      </c>
      <c r="I22">
        <f>使用レシピ!M22</f>
        <v>12</v>
      </c>
      <c r="J22">
        <f>使用レシピ!N22</f>
        <v>12</v>
      </c>
      <c r="K22">
        <f>使用レシピ!O22</f>
        <v>12</v>
      </c>
      <c r="L22">
        <f>使用レシピ!P22</f>
        <v>1</v>
      </c>
      <c r="M22">
        <f>使用レシピ!Q22</f>
        <v>5</v>
      </c>
    </row>
    <row r="23" spans="1:13" x14ac:dyDescent="0.4">
      <c r="A23">
        <f>使用レシピ!D23</f>
        <v>22</v>
      </c>
      <c r="B23" t="str">
        <f>IF(使用レシピ!F23="","",MATCH(使用レシピ!F23,使用レシピ!$E:$E,0)-1)</f>
        <v/>
      </c>
      <c r="C23" t="str">
        <f>IF(使用レシピ!G23="","",MATCH(使用レシピ!G23,使用レシピ!$E:$E,0)-1)</f>
        <v/>
      </c>
      <c r="D23" t="str">
        <f>IF(使用レシピ!H23="","",MATCH(使用レシピ!H23,使用レシピ!$E:$E,0)-1)</f>
        <v/>
      </c>
      <c r="E23" t="str">
        <f>IF(使用レシピ!I23="","",MATCH(使用レシピ!I23,使用レシピ!$E:$E,0)-1)</f>
        <v/>
      </c>
      <c r="F23" t="str">
        <f>IF(使用レシピ!J23="","",MATCH(使用レシピ!J23,使用レシピ!$E:$E,0)-1)</f>
        <v/>
      </c>
      <c r="G23" t="str">
        <f>使用レシピ!K23</f>
        <v/>
      </c>
      <c r="H23" t="str">
        <f>使用レシピ!L23</f>
        <v/>
      </c>
      <c r="I23" t="str">
        <f>使用レシピ!M23</f>
        <v/>
      </c>
      <c r="J23" t="str">
        <f>使用レシピ!N23</f>
        <v/>
      </c>
      <c r="K23" t="str">
        <f>使用レシピ!O23</f>
        <v/>
      </c>
      <c r="L23">
        <f>使用レシピ!P23</f>
        <v>1</v>
      </c>
      <c r="M23">
        <f>使用レシピ!Q23</f>
        <v>1</v>
      </c>
    </row>
    <row r="24" spans="1:13" x14ac:dyDescent="0.4">
      <c r="A24">
        <f>使用レシピ!D24</f>
        <v>23</v>
      </c>
      <c r="B24" t="str">
        <f>IF(使用レシピ!F24="","",MATCH(使用レシピ!F24,使用レシピ!$E:$E,0)-1)</f>
        <v/>
      </c>
      <c r="C24" t="str">
        <f>IF(使用レシピ!G24="","",MATCH(使用レシピ!G24,使用レシピ!$E:$E,0)-1)</f>
        <v/>
      </c>
      <c r="D24" t="str">
        <f>IF(使用レシピ!H24="","",MATCH(使用レシピ!H24,使用レシピ!$E:$E,0)-1)</f>
        <v/>
      </c>
      <c r="E24" t="str">
        <f>IF(使用レシピ!I24="","",MATCH(使用レシピ!I24,使用レシピ!$E:$E,0)-1)</f>
        <v/>
      </c>
      <c r="F24" t="str">
        <f>IF(使用レシピ!J24="","",MATCH(使用レシピ!J24,使用レシピ!$E:$E,0)-1)</f>
        <v/>
      </c>
      <c r="G24" t="str">
        <f>使用レシピ!K24</f>
        <v/>
      </c>
      <c r="H24" t="str">
        <f>使用レシピ!L24</f>
        <v/>
      </c>
      <c r="I24" t="str">
        <f>使用レシピ!M24</f>
        <v/>
      </c>
      <c r="J24" t="str">
        <f>使用レシピ!N24</f>
        <v/>
      </c>
      <c r="K24" t="str">
        <f>使用レシピ!O24</f>
        <v/>
      </c>
      <c r="L24">
        <f>使用レシピ!P24</f>
        <v>1</v>
      </c>
      <c r="M24">
        <f>使用レシピ!Q24</f>
        <v>1</v>
      </c>
    </row>
    <row r="25" spans="1:13" x14ac:dyDescent="0.4">
      <c r="A25">
        <f>使用レシピ!D25</f>
        <v>24</v>
      </c>
      <c r="B25" t="str">
        <f>IF(使用レシピ!F25="","",MATCH(使用レシピ!F25,使用レシピ!$E:$E,0)-1)</f>
        <v/>
      </c>
      <c r="C25" t="str">
        <f>IF(使用レシピ!G25="","",MATCH(使用レシピ!G25,使用レシピ!$E:$E,0)-1)</f>
        <v/>
      </c>
      <c r="D25" t="str">
        <f>IF(使用レシピ!H25="","",MATCH(使用レシピ!H25,使用レシピ!$E:$E,0)-1)</f>
        <v/>
      </c>
      <c r="E25" t="str">
        <f>IF(使用レシピ!I25="","",MATCH(使用レシピ!I25,使用レシピ!$E:$E,0)-1)</f>
        <v/>
      </c>
      <c r="F25" t="str">
        <f>IF(使用レシピ!J25="","",MATCH(使用レシピ!J25,使用レシピ!$E:$E,0)-1)</f>
        <v/>
      </c>
      <c r="G25" t="str">
        <f>使用レシピ!K25</f>
        <v/>
      </c>
      <c r="H25" t="str">
        <f>使用レシピ!L25</f>
        <v/>
      </c>
      <c r="I25" t="str">
        <f>使用レシピ!M25</f>
        <v/>
      </c>
      <c r="J25" t="str">
        <f>使用レシピ!N25</f>
        <v/>
      </c>
      <c r="K25" t="str">
        <f>使用レシピ!O25</f>
        <v/>
      </c>
      <c r="L25">
        <f>使用レシピ!P25</f>
        <v>1</v>
      </c>
      <c r="M25">
        <f>使用レシピ!Q25</f>
        <v>1</v>
      </c>
    </row>
    <row r="26" spans="1:13" x14ac:dyDescent="0.4">
      <c r="A26">
        <f>使用レシピ!D26</f>
        <v>25</v>
      </c>
      <c r="B26">
        <f>IF(使用レシピ!F26="","",MATCH(使用レシピ!F26,使用レシピ!$E:$E,0)-1)</f>
        <v>13</v>
      </c>
      <c r="C26" t="str">
        <f>IF(使用レシピ!G26="","",MATCH(使用レシピ!G26,使用レシピ!$E:$E,0)-1)</f>
        <v/>
      </c>
      <c r="D26" t="str">
        <f>IF(使用レシピ!H26="","",MATCH(使用レシピ!H26,使用レシピ!$E:$E,0)-1)</f>
        <v/>
      </c>
      <c r="E26" t="str">
        <f>IF(使用レシピ!I26="","",MATCH(使用レシピ!I26,使用レシピ!$E:$E,0)-1)</f>
        <v/>
      </c>
      <c r="F26" t="str">
        <f>IF(使用レシピ!J26="","",MATCH(使用レシピ!J26,使用レシピ!$E:$E,0)-1)</f>
        <v/>
      </c>
      <c r="G26">
        <f>使用レシピ!K26</f>
        <v>8</v>
      </c>
      <c r="H26" t="str">
        <f>使用レシピ!L26</f>
        <v/>
      </c>
      <c r="I26" t="str">
        <f>使用レシピ!M26</f>
        <v/>
      </c>
      <c r="J26" t="str">
        <f>使用レシピ!N26</f>
        <v/>
      </c>
      <c r="K26" t="str">
        <f>使用レシピ!O26</f>
        <v/>
      </c>
      <c r="L26">
        <f>使用レシピ!P26</f>
        <v>4</v>
      </c>
      <c r="M26">
        <f>使用レシピ!Q26</f>
        <v>60</v>
      </c>
    </row>
    <row r="27" spans="1:13" x14ac:dyDescent="0.4">
      <c r="A27">
        <f>使用レシピ!D27</f>
        <v>26</v>
      </c>
      <c r="B27">
        <f>IF(使用レシピ!F27="","",MATCH(使用レシピ!F27,使用レシピ!$E:$E,0)-1)</f>
        <v>4</v>
      </c>
      <c r="C27">
        <f>IF(使用レシピ!G27="","",MATCH(使用レシピ!G27,使用レシピ!$E:$E,0)-1)</f>
        <v>12</v>
      </c>
      <c r="D27" t="str">
        <f>IF(使用レシピ!H27="","",MATCH(使用レシピ!H27,使用レシピ!$E:$E,0)-1)</f>
        <v/>
      </c>
      <c r="E27" t="str">
        <f>IF(使用レシピ!I27="","",MATCH(使用レシピ!I27,使用レシピ!$E:$E,0)-1)</f>
        <v/>
      </c>
      <c r="F27" t="str">
        <f>IF(使用レシピ!J27="","",MATCH(使用レシピ!J27,使用レシピ!$E:$E,0)-1)</f>
        <v/>
      </c>
      <c r="G27">
        <f>使用レシピ!K27</f>
        <v>5</v>
      </c>
      <c r="H27">
        <f>使用レシピ!L27</f>
        <v>25</v>
      </c>
      <c r="I27" t="str">
        <f>使用レシピ!M27</f>
        <v/>
      </c>
      <c r="J27" t="str">
        <f>使用レシピ!N27</f>
        <v/>
      </c>
      <c r="K27" t="str">
        <f>使用レシピ!O27</f>
        <v/>
      </c>
      <c r="L27">
        <f>使用レシピ!P27</f>
        <v>1</v>
      </c>
      <c r="M27">
        <f>使用レシピ!Q27</f>
        <v>4</v>
      </c>
    </row>
    <row r="28" spans="1:13" x14ac:dyDescent="0.4">
      <c r="A28">
        <f>使用レシピ!D28</f>
        <v>27</v>
      </c>
      <c r="B28">
        <f>IF(使用レシピ!F28="","",MATCH(使用レシピ!F28,使用レシピ!$E:$E,0)-1)</f>
        <v>8</v>
      </c>
      <c r="C28">
        <f>IF(使用レシピ!G28="","",MATCH(使用レシピ!G28,使用レシピ!$E:$E,0)-1)</f>
        <v>56</v>
      </c>
      <c r="D28" t="str">
        <f>IF(使用レシピ!H28="","",MATCH(使用レシピ!H28,使用レシピ!$E:$E,0)-1)</f>
        <v/>
      </c>
      <c r="E28" t="str">
        <f>IF(使用レシピ!I28="","",MATCH(使用レシピ!I28,使用レシピ!$E:$E,0)-1)</f>
        <v/>
      </c>
      <c r="F28" t="str">
        <f>IF(使用レシピ!J28="","",MATCH(使用レシピ!J28,使用レシピ!$E:$E,0)-1)</f>
        <v/>
      </c>
      <c r="G28">
        <f>使用レシピ!K28</f>
        <v>3</v>
      </c>
      <c r="H28">
        <f>使用レシピ!L28</f>
        <v>3</v>
      </c>
      <c r="I28" t="str">
        <f>使用レシピ!M28</f>
        <v/>
      </c>
      <c r="J28" t="str">
        <f>使用レシピ!N28</f>
        <v/>
      </c>
      <c r="K28" t="str">
        <f>使用レシピ!O28</f>
        <v/>
      </c>
      <c r="L28">
        <f>使用レシピ!P28</f>
        <v>3</v>
      </c>
      <c r="M28">
        <f>使用レシピ!Q28</f>
        <v>22.5</v>
      </c>
    </row>
    <row r="29" spans="1:13" x14ac:dyDescent="0.4">
      <c r="A29">
        <f>使用レシピ!D29</f>
        <v>28</v>
      </c>
      <c r="B29">
        <f>IF(使用レシピ!F29="","",MATCH(使用レシピ!F29,使用レシピ!$E:$E,0)-1)</f>
        <v>5</v>
      </c>
      <c r="C29">
        <f>IF(使用レシピ!G29="","",MATCH(使用レシピ!G29,使用レシピ!$E:$E,0)-1)</f>
        <v>12</v>
      </c>
      <c r="D29" t="str">
        <f>IF(使用レシピ!H29="","",MATCH(使用レシピ!H29,使用レシピ!$E:$E,0)-1)</f>
        <v/>
      </c>
      <c r="E29" t="str">
        <f>IF(使用レシピ!I29="","",MATCH(使用レシピ!I29,使用レシピ!$E:$E,0)-1)</f>
        <v/>
      </c>
      <c r="F29" t="str">
        <f>IF(使用レシピ!J29="","",MATCH(使用レシピ!J29,使用レシピ!$E:$E,0)-1)</f>
        <v/>
      </c>
      <c r="G29">
        <f>使用レシピ!K29</f>
        <v>3</v>
      </c>
      <c r="H29">
        <f>使用レシピ!L29</f>
        <v>56</v>
      </c>
      <c r="I29" t="str">
        <f>使用レシピ!M29</f>
        <v/>
      </c>
      <c r="J29" t="str">
        <f>使用レシピ!N29</f>
        <v/>
      </c>
      <c r="K29" t="str">
        <f>使用レシピ!O29</f>
        <v/>
      </c>
      <c r="L29">
        <f>使用レシピ!P29</f>
        <v>2</v>
      </c>
      <c r="M29">
        <f>使用レシピ!Q29</f>
        <v>5</v>
      </c>
    </row>
    <row r="30" spans="1:13" x14ac:dyDescent="0.4">
      <c r="A30">
        <f>使用レシピ!D30</f>
        <v>29</v>
      </c>
      <c r="B30">
        <f>IF(使用レシピ!F30="","",MATCH(使用レシピ!F30,使用レシピ!$E:$E,0)-1)</f>
        <v>5</v>
      </c>
      <c r="C30">
        <f>IF(使用レシピ!G30="","",MATCH(使用レシピ!G30,使用レシピ!$E:$E,0)-1)</f>
        <v>26</v>
      </c>
      <c r="D30" t="str">
        <f>IF(使用レシピ!H30="","",MATCH(使用レシピ!H30,使用レシピ!$E:$E,0)-1)</f>
        <v/>
      </c>
      <c r="E30" t="str">
        <f>IF(使用レシピ!I30="","",MATCH(使用レシピ!I30,使用レシピ!$E:$E,0)-1)</f>
        <v/>
      </c>
      <c r="F30" t="str">
        <f>IF(使用レシピ!J30="","",MATCH(使用レシピ!J30,使用レシピ!$E:$E,0)-1)</f>
        <v/>
      </c>
      <c r="G30">
        <f>使用レシピ!K30</f>
        <v>1</v>
      </c>
      <c r="H30">
        <f>使用レシピ!L30</f>
        <v>1</v>
      </c>
      <c r="I30" t="str">
        <f>使用レシピ!M30</f>
        <v/>
      </c>
      <c r="J30" t="str">
        <f>使用レシピ!N30</f>
        <v/>
      </c>
      <c r="K30" t="str">
        <f>使用レシピ!O30</f>
        <v/>
      </c>
      <c r="L30">
        <f>使用レシピ!P30</f>
        <v>1</v>
      </c>
      <c r="M30">
        <f>使用レシピ!Q30</f>
        <v>2</v>
      </c>
    </row>
    <row r="31" spans="1:13" x14ac:dyDescent="0.4">
      <c r="A31">
        <f>使用レシピ!D31</f>
        <v>30</v>
      </c>
      <c r="B31">
        <f>IF(使用レシピ!F31="","",MATCH(使用レシピ!F31,使用レシピ!$E:$E,0)-1)</f>
        <v>31</v>
      </c>
      <c r="C31">
        <f>IF(使用レシピ!G31="","",MATCH(使用レシピ!G31,使用レシピ!$E:$E,0)-1)</f>
        <v>32</v>
      </c>
      <c r="D31" t="str">
        <f>IF(使用レシピ!H31="","",MATCH(使用レシピ!H31,使用レシピ!$E:$E,0)-1)</f>
        <v/>
      </c>
      <c r="E31" t="str">
        <f>IF(使用レシピ!I31="","",MATCH(使用レシピ!I31,使用レシピ!$E:$E,0)-1)</f>
        <v/>
      </c>
      <c r="F31" t="str">
        <f>IF(使用レシピ!J31="","",MATCH(使用レシピ!J31,使用レシピ!$E:$E,0)-1)</f>
        <v/>
      </c>
      <c r="G31">
        <f>使用レシピ!K31</f>
        <v>1</v>
      </c>
      <c r="H31">
        <f>使用レシピ!L31</f>
        <v>1</v>
      </c>
      <c r="I31" t="str">
        <f>使用レシピ!M31</f>
        <v/>
      </c>
      <c r="J31" t="str">
        <f>使用レシピ!N31</f>
        <v/>
      </c>
      <c r="K31" t="str">
        <f>使用レシピ!O31</f>
        <v/>
      </c>
      <c r="L31">
        <f>使用レシピ!P31</f>
        <v>2</v>
      </c>
      <c r="M31">
        <f>使用レシピ!Q31</f>
        <v>30</v>
      </c>
    </row>
    <row r="32" spans="1:13" x14ac:dyDescent="0.4">
      <c r="A32">
        <f>使用レシピ!D32</f>
        <v>31</v>
      </c>
      <c r="B32" t="str">
        <f>IF(使用レシピ!F32="","",MATCH(使用レシピ!F32,使用レシピ!$E:$E,0)-1)</f>
        <v/>
      </c>
      <c r="C32" t="str">
        <f>IF(使用レシピ!G32="","",MATCH(使用レシピ!G32,使用レシピ!$E:$E,0)-1)</f>
        <v/>
      </c>
      <c r="D32" t="str">
        <f>IF(使用レシピ!H32="","",MATCH(使用レシピ!H32,使用レシピ!$E:$E,0)-1)</f>
        <v/>
      </c>
      <c r="E32" t="str">
        <f>IF(使用レシピ!I32="","",MATCH(使用レシピ!I32,使用レシピ!$E:$E,0)-1)</f>
        <v/>
      </c>
      <c r="F32" t="str">
        <f>IF(使用レシピ!J32="","",MATCH(使用レシピ!J32,使用レシピ!$E:$E,0)-1)</f>
        <v/>
      </c>
      <c r="G32" t="str">
        <f>使用レシピ!K32</f>
        <v/>
      </c>
      <c r="H32" t="str">
        <f>使用レシピ!L32</f>
        <v/>
      </c>
      <c r="I32" t="str">
        <f>使用レシピ!M32</f>
        <v/>
      </c>
      <c r="J32" t="str">
        <f>使用レシピ!N32</f>
        <v/>
      </c>
      <c r="K32" t="str">
        <f>使用レシピ!O32</f>
        <v/>
      </c>
      <c r="L32">
        <f>使用レシピ!P32</f>
        <v>1</v>
      </c>
      <c r="M32">
        <f>使用レシピ!Q32</f>
        <v>1200</v>
      </c>
    </row>
    <row r="33" spans="1:13" x14ac:dyDescent="0.4">
      <c r="A33">
        <f>使用レシピ!D33</f>
        <v>32</v>
      </c>
      <c r="B33" t="str">
        <f>IF(使用レシピ!F33="","",MATCH(使用レシピ!F33,使用レシピ!$E:$E,0)-1)</f>
        <v/>
      </c>
      <c r="C33" t="str">
        <f>IF(使用レシピ!G33="","",MATCH(使用レシピ!G33,使用レシピ!$E:$E,0)-1)</f>
        <v/>
      </c>
      <c r="D33" t="str">
        <f>IF(使用レシピ!H33="","",MATCH(使用レシピ!H33,使用レシピ!$E:$E,0)-1)</f>
        <v/>
      </c>
      <c r="E33" t="str">
        <f>IF(使用レシピ!I33="","",MATCH(使用レシピ!I33,使用レシピ!$E:$E,0)-1)</f>
        <v/>
      </c>
      <c r="F33" t="str">
        <f>IF(使用レシピ!J33="","",MATCH(使用レシピ!J33,使用レシピ!$E:$E,0)-1)</f>
        <v/>
      </c>
      <c r="G33" t="str">
        <f>使用レシピ!K33</f>
        <v/>
      </c>
      <c r="H33" t="str">
        <f>使用レシピ!L33</f>
        <v/>
      </c>
      <c r="I33" t="str">
        <f>使用レシピ!M33</f>
        <v/>
      </c>
      <c r="J33" t="str">
        <f>使用レシピ!N33</f>
        <v/>
      </c>
      <c r="K33" t="str">
        <f>使用レシピ!O33</f>
        <v/>
      </c>
      <c r="L33">
        <f>使用レシピ!P33</f>
        <v>1</v>
      </c>
      <c r="M33">
        <f>使用レシピ!Q33</f>
        <v>1200</v>
      </c>
    </row>
    <row r="34" spans="1:13" x14ac:dyDescent="0.4">
      <c r="A34">
        <f>使用レシピ!D34</f>
        <v>33</v>
      </c>
      <c r="B34">
        <f>IF(使用レシピ!F34="","",MATCH(使用レシピ!F34,使用レシピ!$E:$E,0)-1)</f>
        <v>34</v>
      </c>
      <c r="C34">
        <f>IF(使用レシピ!G34="","",MATCH(使用レシピ!G34,使用レシピ!$E:$E,0)-1)</f>
        <v>56</v>
      </c>
      <c r="D34" t="str">
        <f>IF(使用レシピ!H34="","",MATCH(使用レシピ!H34,使用レシピ!$E:$E,0)-1)</f>
        <v/>
      </c>
      <c r="E34" t="str">
        <f>IF(使用レシピ!I34="","",MATCH(使用レシピ!I34,使用レシピ!$E:$E,0)-1)</f>
        <v/>
      </c>
      <c r="F34" t="str">
        <f>IF(使用レシピ!J34="","",MATCH(使用レシピ!J34,使用レシピ!$E:$E,0)-1)</f>
        <v/>
      </c>
      <c r="G34">
        <f>使用レシピ!K34</f>
        <v>2</v>
      </c>
      <c r="H34">
        <f>使用レシピ!L34</f>
        <v>2</v>
      </c>
      <c r="I34" t="str">
        <f>使用レシピ!M34</f>
        <v/>
      </c>
      <c r="J34" t="str">
        <f>使用レシピ!N34</f>
        <v/>
      </c>
      <c r="K34" t="str">
        <f>使用レシピ!O34</f>
        <v/>
      </c>
      <c r="L34">
        <f>使用レシピ!P34</f>
        <v>1</v>
      </c>
      <c r="M34">
        <f>使用レシピ!Q34</f>
        <v>12</v>
      </c>
    </row>
    <row r="35" spans="1:13" x14ac:dyDescent="0.4">
      <c r="A35">
        <f>使用レシピ!D35</f>
        <v>34</v>
      </c>
      <c r="B35" t="str">
        <f>IF(使用レシピ!F35="","",MATCH(使用レシピ!F35,使用レシピ!$E:$E,0)-1)</f>
        <v/>
      </c>
      <c r="C35" t="str">
        <f>IF(使用レシピ!G35="","",MATCH(使用レシピ!G35,使用レシピ!$E:$E,0)-1)</f>
        <v/>
      </c>
      <c r="D35" t="str">
        <f>IF(使用レシピ!H35="","",MATCH(使用レシピ!H35,使用レシピ!$E:$E,0)-1)</f>
        <v/>
      </c>
      <c r="E35" t="str">
        <f>IF(使用レシピ!I35="","",MATCH(使用レシピ!I35,使用レシピ!$E:$E,0)-1)</f>
        <v/>
      </c>
      <c r="F35" t="str">
        <f>IF(使用レシピ!J35="","",MATCH(使用レシピ!J35,使用レシピ!$E:$E,0)-1)</f>
        <v/>
      </c>
      <c r="G35" t="str">
        <f>使用レシピ!K35</f>
        <v/>
      </c>
      <c r="H35" t="str">
        <f>使用レシピ!L35</f>
        <v/>
      </c>
      <c r="I35" t="str">
        <f>使用レシピ!M35</f>
        <v/>
      </c>
      <c r="J35" t="str">
        <f>使用レシピ!N35</f>
        <v/>
      </c>
      <c r="K35" t="str">
        <f>使用レシピ!O35</f>
        <v/>
      </c>
      <c r="L35">
        <f>使用レシピ!P35</f>
        <v>1</v>
      </c>
      <c r="M35">
        <f>使用レシピ!Q35</f>
        <v>1200</v>
      </c>
    </row>
    <row r="36" spans="1:13" x14ac:dyDescent="0.4">
      <c r="A36">
        <f>使用レシピ!D36</f>
        <v>35</v>
      </c>
      <c r="B36">
        <f>IF(使用レシピ!F36="","",MATCH(使用レシピ!F36,使用レシピ!$E:$E,0)-1)</f>
        <v>33</v>
      </c>
      <c r="C36">
        <f>IF(使用レシピ!G36="","",MATCH(使用レシピ!G36,使用レシピ!$E:$E,0)-1)</f>
        <v>8</v>
      </c>
      <c r="D36" t="str">
        <f>IF(使用レシピ!H36="","",MATCH(使用レシピ!H36,使用レシピ!$E:$E,0)-1)</f>
        <v/>
      </c>
      <c r="E36" t="str">
        <f>IF(使用レシピ!I36="","",MATCH(使用レシピ!I36,使用レシピ!$E:$E,0)-1)</f>
        <v/>
      </c>
      <c r="F36" t="str">
        <f>IF(使用レシピ!J36="","",MATCH(使用レシピ!J36,使用レシピ!$E:$E,0)-1)</f>
        <v/>
      </c>
      <c r="G36">
        <f>使用レシピ!K36</f>
        <v>1</v>
      </c>
      <c r="H36">
        <f>使用レシピ!L36</f>
        <v>5</v>
      </c>
      <c r="I36" t="str">
        <f>使用レシピ!M36</f>
        <v/>
      </c>
      <c r="J36" t="str">
        <f>使用レシピ!N36</f>
        <v/>
      </c>
      <c r="K36" t="str">
        <f>使用レシピ!O36</f>
        <v/>
      </c>
      <c r="L36">
        <f>使用レシピ!P36</f>
        <v>12</v>
      </c>
      <c r="M36">
        <f>使用レシピ!Q36</f>
        <v>90</v>
      </c>
    </row>
    <row r="37" spans="1:13" x14ac:dyDescent="0.4">
      <c r="A37">
        <f>使用レシピ!D37</f>
        <v>36</v>
      </c>
      <c r="B37">
        <f>IF(使用レシピ!F37="","",MATCH(使用レシピ!F37,使用レシピ!$E:$E,0)-1)</f>
        <v>1</v>
      </c>
      <c r="C37">
        <f>IF(使用レシピ!G37="","",MATCH(使用レシピ!G37,使用レシピ!$E:$E,0)-1)</f>
        <v>31</v>
      </c>
      <c r="D37" t="str">
        <f>IF(使用レシピ!H37="","",MATCH(使用レシピ!H37,使用レシピ!$E:$E,0)-1)</f>
        <v/>
      </c>
      <c r="E37" t="str">
        <f>IF(使用レシピ!I37="","",MATCH(使用レシピ!I37,使用レシピ!$E:$E,0)-1)</f>
        <v/>
      </c>
      <c r="F37" t="str">
        <f>IF(使用レシピ!J37="","",MATCH(使用レシピ!J37,使用レシピ!$E:$E,0)-1)</f>
        <v/>
      </c>
      <c r="G37">
        <f>使用レシピ!K37</f>
        <v>2</v>
      </c>
      <c r="H37">
        <f>使用レシピ!L37</f>
        <v>2</v>
      </c>
      <c r="I37" t="str">
        <f>使用レシピ!M37</f>
        <v/>
      </c>
      <c r="J37" t="str">
        <f>使用レシピ!N37</f>
        <v/>
      </c>
      <c r="K37" t="str">
        <f>使用レシピ!O37</f>
        <v/>
      </c>
      <c r="L37">
        <f>使用レシピ!P37</f>
        <v>3</v>
      </c>
      <c r="M37">
        <f>使用レシピ!Q37</f>
        <v>60</v>
      </c>
    </row>
    <row r="38" spans="1:13" x14ac:dyDescent="0.4">
      <c r="A38">
        <f>使用レシピ!D38</f>
        <v>37</v>
      </c>
      <c r="B38">
        <f>IF(使用レシピ!F38="","",MATCH(使用レシピ!F38,使用レシピ!$E:$E,0)-1)</f>
        <v>36</v>
      </c>
      <c r="C38">
        <f>IF(使用レシピ!G38="","",MATCH(使用レシピ!G38,使用レシピ!$E:$E,0)-1)</f>
        <v>10</v>
      </c>
      <c r="D38" t="str">
        <f>IF(使用レシピ!H38="","",MATCH(使用レシピ!H38,使用レシピ!$E:$E,0)-1)</f>
        <v/>
      </c>
      <c r="E38" t="str">
        <f>IF(使用レシピ!I38="","",MATCH(使用レシピ!I38,使用レシピ!$E:$E,0)-1)</f>
        <v/>
      </c>
      <c r="F38" t="str">
        <f>IF(使用レシピ!J38="","",MATCH(使用レシピ!J38,使用レシピ!$E:$E,0)-1)</f>
        <v/>
      </c>
      <c r="G38">
        <f>使用レシピ!K38</f>
        <v>24</v>
      </c>
      <c r="H38">
        <f>使用レシピ!L38</f>
        <v>16</v>
      </c>
      <c r="I38" t="str">
        <f>使用レシピ!M38</f>
        <v/>
      </c>
      <c r="J38" t="str">
        <f>使用レシピ!N38</f>
        <v/>
      </c>
      <c r="K38" t="str">
        <f>使用レシピ!O38</f>
        <v/>
      </c>
      <c r="L38">
        <f>使用レシピ!P38</f>
        <v>9</v>
      </c>
      <c r="M38">
        <f>使用レシピ!Q38</f>
        <v>45</v>
      </c>
    </row>
    <row r="39" spans="1:13" x14ac:dyDescent="0.4">
      <c r="A39">
        <f>使用レシピ!D39</f>
        <v>38</v>
      </c>
      <c r="B39">
        <f>IF(使用レシピ!F39="","",MATCH(使用レシピ!F39,使用レシピ!$E:$E,0)-1)</f>
        <v>36</v>
      </c>
      <c r="C39">
        <f>IF(使用レシピ!G39="","",MATCH(使用レシピ!G39,使用レシピ!$E:$E,0)-1)</f>
        <v>10</v>
      </c>
      <c r="D39" t="str">
        <f>IF(使用レシピ!H39="","",MATCH(使用レシピ!H39,使用レシピ!$E:$E,0)-1)</f>
        <v/>
      </c>
      <c r="E39" t="str">
        <f>IF(使用レシピ!I39="","",MATCH(使用レシピ!I39,使用レシピ!$E:$E,0)-1)</f>
        <v/>
      </c>
      <c r="F39" t="str">
        <f>IF(使用レシピ!J39="","",MATCH(使用レシピ!J39,使用レシピ!$E:$E,0)-1)</f>
        <v/>
      </c>
      <c r="G39">
        <f>使用レシピ!K39</f>
        <v>5</v>
      </c>
      <c r="H39">
        <f>使用レシピ!L39</f>
        <v>3</v>
      </c>
      <c r="I39" t="str">
        <f>使用レシピ!M39</f>
        <v/>
      </c>
      <c r="J39" t="str">
        <f>使用レシピ!N39</f>
        <v/>
      </c>
      <c r="K39" t="str">
        <f>使用レシピ!O39</f>
        <v/>
      </c>
      <c r="L39">
        <f>使用レシピ!P39</f>
        <v>5</v>
      </c>
      <c r="M39">
        <f>使用レシピ!Q39</f>
        <v>50</v>
      </c>
    </row>
    <row r="40" spans="1:13" x14ac:dyDescent="0.4">
      <c r="A40">
        <f>使用レシピ!D40</f>
        <v>39</v>
      </c>
      <c r="B40">
        <f>IF(使用レシピ!F40="","",MATCH(使用レシピ!F40,使用レシピ!$E:$E,0)-1)</f>
        <v>28</v>
      </c>
      <c r="C40">
        <f>IF(使用レシピ!G40="","",MATCH(使用レシピ!G40,使用レシピ!$E:$E,0)-1)</f>
        <v>37</v>
      </c>
      <c r="D40" t="str">
        <f>IF(使用レシピ!H40="","",MATCH(使用レシピ!H40,使用レシピ!$E:$E,0)-1)</f>
        <v/>
      </c>
      <c r="E40" t="str">
        <f>IF(使用レシピ!I40="","",MATCH(使用レシピ!I40,使用レシピ!$E:$E,0)-1)</f>
        <v/>
      </c>
      <c r="F40" t="str">
        <f>IF(使用レシピ!J40="","",MATCH(使用レシピ!J40,使用レシピ!$E:$E,0)-1)</f>
        <v/>
      </c>
      <c r="G40">
        <f>使用レシピ!K40</f>
        <v>1</v>
      </c>
      <c r="H40">
        <f>使用レシピ!L40</f>
        <v>12</v>
      </c>
      <c r="I40" t="str">
        <f>使用レシピ!M40</f>
        <v/>
      </c>
      <c r="J40" t="str">
        <f>使用レシピ!N40</f>
        <v/>
      </c>
      <c r="K40" t="str">
        <f>使用レシピ!O40</f>
        <v/>
      </c>
      <c r="L40">
        <f>使用レシピ!P40</f>
        <v>2</v>
      </c>
      <c r="M40">
        <f>使用レシピ!Q40</f>
        <v>5</v>
      </c>
    </row>
    <row r="41" spans="1:13" x14ac:dyDescent="0.4">
      <c r="A41">
        <f>使用レシピ!D41</f>
        <v>40</v>
      </c>
      <c r="B41">
        <f>IF(使用レシピ!F41="","",MATCH(使用レシピ!F41,使用レシピ!$E:$E,0)-1)</f>
        <v>41</v>
      </c>
      <c r="C41" t="str">
        <f>IF(使用レシピ!G41="","",MATCH(使用レシピ!G41,使用レシピ!$E:$E,0)-1)</f>
        <v/>
      </c>
      <c r="D41" t="str">
        <f>IF(使用レシピ!H41="","",MATCH(使用レシピ!H41,使用レシピ!$E:$E,0)-1)</f>
        <v/>
      </c>
      <c r="E41" t="str">
        <f>IF(使用レシピ!I41="","",MATCH(使用レシピ!I41,使用レシピ!$E:$E,0)-1)</f>
        <v/>
      </c>
      <c r="F41" t="str">
        <f>IF(使用レシピ!J41="","",MATCH(使用レシピ!J41,使用レシピ!$E:$E,0)-1)</f>
        <v/>
      </c>
      <c r="G41">
        <f>使用レシピ!K41</f>
        <v>4</v>
      </c>
      <c r="H41" t="str">
        <f>使用レシピ!L41</f>
        <v/>
      </c>
      <c r="I41" t="str">
        <f>使用レシピ!M41</f>
        <v/>
      </c>
      <c r="J41" t="str">
        <f>使用レシピ!N41</f>
        <v/>
      </c>
      <c r="K41" t="str">
        <f>使用レシピ!O41</f>
        <v/>
      </c>
      <c r="L41">
        <f>使用レシピ!P41</f>
        <v>1</v>
      </c>
      <c r="M41">
        <f>使用レシピ!Q41</f>
        <v>30</v>
      </c>
    </row>
    <row r="42" spans="1:13" x14ac:dyDescent="0.4">
      <c r="A42">
        <f>使用レシピ!D42</f>
        <v>41</v>
      </c>
      <c r="B42" t="str">
        <f>IF(使用レシピ!F42="","",MATCH(使用レシピ!F42,使用レシピ!$E:$E,0)-1)</f>
        <v/>
      </c>
      <c r="C42" t="str">
        <f>IF(使用レシピ!G42="","",MATCH(使用レシピ!G42,使用レシピ!$E:$E,0)-1)</f>
        <v/>
      </c>
      <c r="D42" t="str">
        <f>IF(使用レシピ!H42="","",MATCH(使用レシピ!H42,使用レシピ!$E:$E,0)-1)</f>
        <v/>
      </c>
      <c r="E42" t="str">
        <f>IF(使用レシピ!I42="","",MATCH(使用レシピ!I42,使用レシピ!$E:$E,0)-1)</f>
        <v/>
      </c>
      <c r="F42" t="str">
        <f>IF(使用レシピ!J42="","",MATCH(使用レシピ!J42,使用レシピ!$E:$E,0)-1)</f>
        <v/>
      </c>
      <c r="G42" t="str">
        <f>使用レシピ!K42</f>
        <v/>
      </c>
      <c r="H42" t="str">
        <f>使用レシピ!L42</f>
        <v/>
      </c>
      <c r="I42" t="str">
        <f>使用レシピ!M42</f>
        <v/>
      </c>
      <c r="J42" t="str">
        <f>使用レシピ!N42</f>
        <v/>
      </c>
      <c r="K42" t="str">
        <f>使用レシピ!O42</f>
        <v/>
      </c>
      <c r="L42">
        <f>使用レシピ!P42</f>
        <v>1</v>
      </c>
      <c r="M42">
        <f>使用レシピ!Q42</f>
        <v>1200</v>
      </c>
    </row>
    <row r="43" spans="1:13" x14ac:dyDescent="0.4">
      <c r="A43">
        <f>使用レシピ!D43</f>
        <v>42</v>
      </c>
      <c r="B43">
        <f>IF(使用レシピ!F43="","",MATCH(使用レシピ!F43,使用レシピ!$E:$E,0)-1)</f>
        <v>38</v>
      </c>
      <c r="C43">
        <f>IF(使用レシピ!G43="","",MATCH(使用レシピ!G43,使用レシピ!$E:$E,0)-1)</f>
        <v>10</v>
      </c>
      <c r="D43" t="str">
        <f>IF(使用レシピ!H43="","",MATCH(使用レシピ!H43,使用レシピ!$E:$E,0)-1)</f>
        <v/>
      </c>
      <c r="E43" t="str">
        <f>IF(使用レシピ!I43="","",MATCH(使用レシピ!I43,使用レシピ!$E:$E,0)-1)</f>
        <v/>
      </c>
      <c r="F43" t="str">
        <f>IF(使用レシピ!J43="","",MATCH(使用レシピ!J43,使用レシピ!$E:$E,0)-1)</f>
        <v/>
      </c>
      <c r="G43">
        <f>使用レシピ!K43</f>
        <v>6</v>
      </c>
      <c r="H43">
        <f>使用レシピ!L43</f>
        <v>5</v>
      </c>
      <c r="I43" t="str">
        <f>使用レシピ!M43</f>
        <v/>
      </c>
      <c r="J43" t="str">
        <f>使用レシピ!N43</f>
        <v/>
      </c>
      <c r="K43" t="str">
        <f>使用レシピ!O43</f>
        <v/>
      </c>
      <c r="L43">
        <f>使用レシピ!P43</f>
        <v>1</v>
      </c>
      <c r="M43">
        <f>使用レシピ!Q43</f>
        <v>4</v>
      </c>
    </row>
    <row r="44" spans="1:13" x14ac:dyDescent="0.4">
      <c r="A44">
        <f>使用レシピ!D44</f>
        <v>43</v>
      </c>
      <c r="B44">
        <f>IF(使用レシピ!F44="","",MATCH(使用レシピ!F44,使用レシピ!$E:$E,0)-1)</f>
        <v>38</v>
      </c>
      <c r="C44">
        <f>IF(使用レシピ!G44="","",MATCH(使用レシピ!G44,使用レシピ!$E:$E,0)-1)</f>
        <v>7</v>
      </c>
      <c r="D44" t="str">
        <f>IF(使用レシピ!H44="","",MATCH(使用レシピ!H44,使用レシピ!$E:$E,0)-1)</f>
        <v/>
      </c>
      <c r="E44" t="str">
        <f>IF(使用レシピ!I44="","",MATCH(使用レシピ!I44,使用レシピ!$E:$E,0)-1)</f>
        <v/>
      </c>
      <c r="F44" t="str">
        <f>IF(使用レシピ!J44="","",MATCH(使用レシピ!J44,使用レシピ!$E:$E,0)-1)</f>
        <v/>
      </c>
      <c r="G44">
        <f>使用レシピ!K44</f>
        <v>3</v>
      </c>
      <c r="H44">
        <f>使用レシピ!L44</f>
        <v>8</v>
      </c>
      <c r="I44" t="str">
        <f>使用レシピ!M44</f>
        <v/>
      </c>
      <c r="J44" t="str">
        <f>使用レシピ!N44</f>
        <v/>
      </c>
      <c r="K44" t="str">
        <f>使用レシピ!O44</f>
        <v/>
      </c>
      <c r="L44">
        <f>使用レシピ!P44</f>
        <v>1</v>
      </c>
      <c r="M44">
        <f>使用レシピ!Q44</f>
        <v>5</v>
      </c>
    </row>
    <row r="45" spans="1:13" x14ac:dyDescent="0.4">
      <c r="A45">
        <f>使用レシピ!D45</f>
        <v>44</v>
      </c>
      <c r="B45">
        <f>IF(使用レシピ!F45="","",MATCH(使用レシピ!F45,使用レシピ!$E:$E,0)-1)</f>
        <v>26</v>
      </c>
      <c r="C45">
        <f>IF(使用レシピ!G45="","",MATCH(使用レシピ!G45,使用レシピ!$E:$E,0)-1)</f>
        <v>43</v>
      </c>
      <c r="D45" t="str">
        <f>IF(使用レシピ!H45="","",MATCH(使用レシピ!H45,使用レシピ!$E:$E,0)-1)</f>
        <v/>
      </c>
      <c r="E45" t="str">
        <f>IF(使用レシピ!I45="","",MATCH(使用レシピ!I45,使用レシピ!$E:$E,0)-1)</f>
        <v/>
      </c>
      <c r="F45" t="str">
        <f>IF(使用レシピ!J45="","",MATCH(使用レシピ!J45,使用レシピ!$E:$E,0)-1)</f>
        <v/>
      </c>
      <c r="G45">
        <f>使用レシピ!K45</f>
        <v>2</v>
      </c>
      <c r="H45">
        <f>使用レシピ!L45</f>
        <v>2</v>
      </c>
      <c r="I45" t="str">
        <f>使用レシピ!M45</f>
        <v/>
      </c>
      <c r="J45" t="str">
        <f>使用レシピ!N45</f>
        <v/>
      </c>
      <c r="K45" t="str">
        <f>使用レシピ!O45</f>
        <v/>
      </c>
      <c r="L45">
        <f>使用レシピ!P45</f>
        <v>1</v>
      </c>
      <c r="M45">
        <f>使用レシピ!Q45</f>
        <v>5</v>
      </c>
    </row>
    <row r="46" spans="1:13" x14ac:dyDescent="0.4">
      <c r="A46">
        <f>使用レシピ!D46</f>
        <v>45</v>
      </c>
      <c r="B46">
        <f>IF(使用レシピ!F46="","",MATCH(使用レシピ!F46,使用レシピ!$E:$E,0)-1)</f>
        <v>43</v>
      </c>
      <c r="C46">
        <f>IF(使用レシピ!G46="","",MATCH(使用レシピ!G46,使用レシピ!$E:$E,0)-1)</f>
        <v>6</v>
      </c>
      <c r="D46" t="str">
        <f>IF(使用レシピ!H46="","",MATCH(使用レシピ!H46,使用レシピ!$E:$E,0)-1)</f>
        <v/>
      </c>
      <c r="E46" t="str">
        <f>IF(使用レシピ!I46="","",MATCH(使用レシピ!I46,使用レシピ!$E:$E,0)-1)</f>
        <v/>
      </c>
      <c r="F46" t="str">
        <f>IF(使用レシピ!J46="","",MATCH(使用レシピ!J46,使用レシピ!$E:$E,0)-1)</f>
        <v/>
      </c>
      <c r="G46">
        <f>使用レシピ!K46</f>
        <v>1</v>
      </c>
      <c r="H46">
        <f>使用レシピ!L46</f>
        <v>20</v>
      </c>
      <c r="I46" t="str">
        <f>使用レシピ!M46</f>
        <v/>
      </c>
      <c r="J46" t="str">
        <f>使用レシピ!N46</f>
        <v/>
      </c>
      <c r="K46" t="str">
        <f>使用レシピ!O46</f>
        <v/>
      </c>
      <c r="L46">
        <f>使用レシピ!P46</f>
        <v>1</v>
      </c>
      <c r="M46">
        <f>使用レシピ!Q46</f>
        <v>2.5</v>
      </c>
    </row>
    <row r="47" spans="1:13" x14ac:dyDescent="0.4">
      <c r="A47">
        <f>使用レシピ!D47</f>
        <v>46</v>
      </c>
      <c r="B47">
        <f>IF(使用レシピ!F47="","",MATCH(使用レシピ!F47,使用レシピ!$E:$E,0)-1)</f>
        <v>40</v>
      </c>
      <c r="C47">
        <f>IF(使用レシピ!G47="","",MATCH(使用レシピ!G47,使用レシピ!$E:$E,0)-1)</f>
        <v>7</v>
      </c>
      <c r="D47">
        <f>IF(使用レシピ!H47="","",MATCH(使用レシピ!H47,使用レシピ!$E:$E,0)-1)</f>
        <v>38</v>
      </c>
      <c r="E47" t="str">
        <f>IF(使用レシピ!I47="","",MATCH(使用レシピ!I47,使用レシピ!$E:$E,0)-1)</f>
        <v/>
      </c>
      <c r="F47" t="str">
        <f>IF(使用レシピ!J47="","",MATCH(使用レシピ!J47,使用レシピ!$E:$E,0)-1)</f>
        <v/>
      </c>
      <c r="G47">
        <f>使用レシピ!K47</f>
        <v>6</v>
      </c>
      <c r="H47">
        <f>使用レシピ!L47</f>
        <v>5</v>
      </c>
      <c r="I47">
        <f>使用レシピ!M47</f>
        <v>3</v>
      </c>
      <c r="J47" t="str">
        <f>使用レシピ!N47</f>
        <v/>
      </c>
      <c r="K47" t="str">
        <f>使用レシピ!O47</f>
        <v/>
      </c>
      <c r="L47">
        <f>使用レシピ!P47</f>
        <v>1</v>
      </c>
      <c r="M47">
        <f>使用レシピ!Q47</f>
        <v>10</v>
      </c>
    </row>
    <row r="48" spans="1:13" x14ac:dyDescent="0.4">
      <c r="A48">
        <f>使用レシピ!D48</f>
        <v>47</v>
      </c>
      <c r="B48">
        <f>IF(使用レシピ!F48="","",MATCH(使用レシピ!F48,使用レシピ!$E:$E,0)-1)</f>
        <v>48</v>
      </c>
      <c r="C48">
        <f>IF(使用レシピ!G48="","",MATCH(使用レシピ!G48,使用レシピ!$E:$E,0)-1)</f>
        <v>56</v>
      </c>
      <c r="D48" t="str">
        <f>IF(使用レシピ!H48="","",MATCH(使用レシピ!H48,使用レシピ!$E:$E,0)-1)</f>
        <v/>
      </c>
      <c r="E48" t="str">
        <f>IF(使用レシピ!I48="","",MATCH(使用レシピ!I48,使用レシピ!$E:$E,0)-1)</f>
        <v/>
      </c>
      <c r="F48" t="str">
        <f>IF(使用レシピ!J48="","",MATCH(使用レシピ!J48,使用レシピ!$E:$E,0)-1)</f>
        <v/>
      </c>
      <c r="G48">
        <f>使用レシピ!K48</f>
        <v>9</v>
      </c>
      <c r="H48">
        <f>使用レシピ!L48</f>
        <v>5</v>
      </c>
      <c r="I48" t="str">
        <f>使用レシピ!M48</f>
        <v/>
      </c>
      <c r="J48" t="str">
        <f>使用レシピ!N48</f>
        <v/>
      </c>
      <c r="K48" t="str">
        <f>使用レシピ!O48</f>
        <v/>
      </c>
      <c r="L48">
        <f>使用レシピ!P48</f>
        <v>7</v>
      </c>
      <c r="M48">
        <f>使用レシピ!Q48</f>
        <v>52.5</v>
      </c>
    </row>
    <row r="49" spans="1:13" x14ac:dyDescent="0.4">
      <c r="A49">
        <f>使用レシピ!D49</f>
        <v>48</v>
      </c>
      <c r="B49" t="str">
        <f>IF(使用レシピ!F49="","",MATCH(使用レシピ!F49,使用レシピ!$E:$E,0)-1)</f>
        <v/>
      </c>
      <c r="C49" t="str">
        <f>IF(使用レシピ!G49="","",MATCH(使用レシピ!G49,使用レシピ!$E:$E,0)-1)</f>
        <v/>
      </c>
      <c r="D49" t="str">
        <f>IF(使用レシピ!H49="","",MATCH(使用レシピ!H49,使用レシピ!$E:$E,0)-1)</f>
        <v/>
      </c>
      <c r="E49" t="str">
        <f>IF(使用レシピ!I49="","",MATCH(使用レシピ!I49,使用レシピ!$E:$E,0)-1)</f>
        <v/>
      </c>
      <c r="F49" t="str">
        <f>IF(使用レシピ!J49="","",MATCH(使用レシピ!J49,使用レシピ!$E:$E,0)-1)</f>
        <v/>
      </c>
      <c r="G49" t="str">
        <f>使用レシピ!K49</f>
        <v/>
      </c>
      <c r="H49" t="str">
        <f>使用レシピ!L49</f>
        <v/>
      </c>
      <c r="I49" t="str">
        <f>使用レシピ!M49</f>
        <v/>
      </c>
      <c r="J49" t="str">
        <f>使用レシピ!N49</f>
        <v/>
      </c>
      <c r="K49" t="str">
        <f>使用レシピ!O49</f>
        <v/>
      </c>
      <c r="L49">
        <f>使用レシピ!P49</f>
        <v>1</v>
      </c>
      <c r="M49">
        <f>使用レシピ!Q49</f>
        <v>1200</v>
      </c>
    </row>
    <row r="50" spans="1:13" x14ac:dyDescent="0.4">
      <c r="A50">
        <f>使用レシピ!D50</f>
        <v>49</v>
      </c>
      <c r="B50">
        <f>IF(使用レシピ!F50="","",MATCH(使用レシピ!F50,使用レシピ!$E:$E,0)-1)</f>
        <v>30</v>
      </c>
      <c r="C50">
        <f>IF(使用レシピ!G50="","",MATCH(使用レシピ!G50,使用レシピ!$E:$E,0)-1)</f>
        <v>38</v>
      </c>
      <c r="D50" t="str">
        <f>IF(使用レシピ!H50="","",MATCH(使用レシピ!H50,使用レシピ!$E:$E,0)-1)</f>
        <v/>
      </c>
      <c r="E50" t="str">
        <f>IF(使用レシピ!I50="","",MATCH(使用レシピ!I50,使用レシピ!$E:$E,0)-1)</f>
        <v/>
      </c>
      <c r="F50" t="str">
        <f>IF(使用レシピ!J50="","",MATCH(使用レシピ!J50,使用レシピ!$E:$E,0)-1)</f>
        <v/>
      </c>
      <c r="G50">
        <f>使用レシピ!K50</f>
        <v>2</v>
      </c>
      <c r="H50">
        <f>使用レシピ!L50</f>
        <v>2</v>
      </c>
      <c r="I50" t="str">
        <f>使用レシピ!M50</f>
        <v/>
      </c>
      <c r="J50" t="str">
        <f>使用レシピ!N50</f>
        <v/>
      </c>
      <c r="K50" t="str">
        <f>使用レシピ!O50</f>
        <v/>
      </c>
      <c r="L50">
        <f>使用レシピ!P50</f>
        <v>1</v>
      </c>
      <c r="M50">
        <f>使用レシピ!Q50</f>
        <v>10</v>
      </c>
    </row>
    <row r="51" spans="1:13" x14ac:dyDescent="0.4">
      <c r="A51">
        <f>使用レシピ!D51</f>
        <v>50</v>
      </c>
      <c r="B51">
        <f>IF(使用レシピ!F51="","",MATCH(使用レシピ!F51,使用レシピ!$E:$E,0)-1)</f>
        <v>27</v>
      </c>
      <c r="C51">
        <f>IF(使用レシピ!G51="","",MATCH(使用レシピ!G51,使用レシピ!$E:$E,0)-1)</f>
        <v>35</v>
      </c>
      <c r="D51" t="str">
        <f>IF(使用レシピ!H51="","",MATCH(使用レシピ!H51,使用レシピ!$E:$E,0)-1)</f>
        <v/>
      </c>
      <c r="E51" t="str">
        <f>IF(使用レシピ!I51="","",MATCH(使用レシピ!I51,使用レシピ!$E:$E,0)-1)</f>
        <v/>
      </c>
      <c r="F51" t="str">
        <f>IF(使用レシピ!J51="","",MATCH(使用レシピ!J51,使用レシピ!$E:$E,0)-1)</f>
        <v/>
      </c>
      <c r="G51">
        <f>使用レシピ!K51</f>
        <v>5</v>
      </c>
      <c r="H51">
        <f>使用レシピ!L51</f>
        <v>20</v>
      </c>
      <c r="I51" t="str">
        <f>使用レシピ!M51</f>
        <v/>
      </c>
      <c r="J51" t="str">
        <f>使用レシピ!N51</f>
        <v/>
      </c>
      <c r="K51" t="str">
        <f>使用レシピ!O51</f>
        <v/>
      </c>
      <c r="L51">
        <f>使用レシピ!P51</f>
        <v>1</v>
      </c>
      <c r="M51">
        <f>使用レシピ!Q51</f>
        <v>5</v>
      </c>
    </row>
    <row r="52" spans="1:13" x14ac:dyDescent="0.4">
      <c r="A52">
        <f>使用レシピ!D52</f>
        <v>51</v>
      </c>
      <c r="B52">
        <f>IF(使用レシピ!F52="","",MATCH(使用レシピ!F52,使用レシピ!$E:$E,0)-1)</f>
        <v>52</v>
      </c>
      <c r="C52" t="str">
        <f>IF(使用レシピ!G52="","",MATCH(使用レシピ!G52,使用レシピ!$E:$E,0)-1)</f>
        <v/>
      </c>
      <c r="D52" t="str">
        <f>IF(使用レシピ!H52="","",MATCH(使用レシピ!H52,使用レシピ!$E:$E,0)-1)</f>
        <v/>
      </c>
      <c r="E52" t="str">
        <f>IF(使用レシピ!I52="","",MATCH(使用レシピ!I52,使用レシピ!$E:$E,0)-1)</f>
        <v/>
      </c>
      <c r="F52" t="str">
        <f>IF(使用レシピ!J52="","",MATCH(使用レシピ!J52,使用レシピ!$E:$E,0)-1)</f>
        <v/>
      </c>
      <c r="G52">
        <f>使用レシピ!K52</f>
        <v>4</v>
      </c>
      <c r="H52" t="str">
        <f>使用レシピ!L52</f>
        <v/>
      </c>
      <c r="I52" t="str">
        <f>使用レシピ!M52</f>
        <v/>
      </c>
      <c r="J52" t="str">
        <f>使用レシピ!N52</f>
        <v/>
      </c>
      <c r="K52" t="str">
        <f>使用レシピ!O52</f>
        <v/>
      </c>
      <c r="L52">
        <f>使用レシピ!P52</f>
        <v>12</v>
      </c>
      <c r="M52">
        <f>使用レシピ!Q52</f>
        <v>120</v>
      </c>
    </row>
    <row r="53" spans="1:13" x14ac:dyDescent="0.4">
      <c r="A53">
        <f>使用レシピ!D53</f>
        <v>52</v>
      </c>
      <c r="B53">
        <f>IF(使用レシピ!F53="","",MATCH(使用レシピ!F53,使用レシピ!$E:$E,0)-1)</f>
        <v>59</v>
      </c>
      <c r="C53" t="str">
        <f>IF(使用レシピ!G53="","",MATCH(使用レシピ!G53,使用レシピ!$E:$E,0)-1)</f>
        <v/>
      </c>
      <c r="D53" t="str">
        <f>IF(使用レシピ!H53="","",MATCH(使用レシピ!H53,使用レシピ!$E:$E,0)-1)</f>
        <v/>
      </c>
      <c r="E53" t="str">
        <f>IF(使用レシピ!I53="","",MATCH(使用レシピ!I53,使用レシピ!$E:$E,0)-1)</f>
        <v/>
      </c>
      <c r="F53">
        <f>IF(使用レシピ!J53="","",MATCH(使用レシピ!J53,使用レシピ!$E:$E,0)-1)</f>
        <v>55</v>
      </c>
      <c r="G53">
        <f>使用レシピ!K53</f>
        <v>3</v>
      </c>
      <c r="H53" t="str">
        <f>使用レシピ!L53</f>
        <v/>
      </c>
      <c r="I53" t="str">
        <f>使用レシピ!M53</f>
        <v/>
      </c>
      <c r="J53" t="str">
        <f>使用レシピ!N53</f>
        <v/>
      </c>
      <c r="K53">
        <f>使用レシピ!O53</f>
        <v>2</v>
      </c>
      <c r="L53">
        <f>使用レシピ!P53</f>
        <v>4</v>
      </c>
      <c r="M53">
        <f>使用レシピ!Q53</f>
        <v>40</v>
      </c>
    </row>
    <row r="54" spans="1:13" x14ac:dyDescent="0.4">
      <c r="A54">
        <f>使用レシピ!D54</f>
        <v>53</v>
      </c>
      <c r="B54">
        <f>IF(使用レシピ!F54="","",MATCH(使用レシピ!F54,使用レシピ!$E:$E,0)-1)</f>
        <v>27</v>
      </c>
      <c r="C54">
        <f>IF(使用レシピ!G54="","",MATCH(使用レシピ!G54,使用レシピ!$E:$E,0)-1)</f>
        <v>54</v>
      </c>
      <c r="D54" t="str">
        <f>IF(使用レシピ!H54="","",MATCH(使用レシピ!H54,使用レシピ!$E:$E,0)-1)</f>
        <v/>
      </c>
      <c r="E54" t="str">
        <f>IF(使用レシピ!I54="","",MATCH(使用レシピ!I54,使用レシピ!$E:$E,0)-1)</f>
        <v/>
      </c>
      <c r="F54" t="str">
        <f>IF(使用レシピ!J54="","",MATCH(使用レシピ!J54,使用レシピ!$E:$E,0)-1)</f>
        <v/>
      </c>
      <c r="G54">
        <f>使用レシピ!K54</f>
        <v>2</v>
      </c>
      <c r="H54">
        <f>使用レシピ!L54</f>
        <v>4</v>
      </c>
      <c r="I54" t="str">
        <f>使用レシピ!M54</f>
        <v/>
      </c>
      <c r="J54" t="str">
        <f>使用レシピ!N54</f>
        <v/>
      </c>
      <c r="K54" t="str">
        <f>使用レシピ!O54</f>
        <v/>
      </c>
      <c r="L54">
        <f>使用レシピ!P54</f>
        <v>1</v>
      </c>
      <c r="M54">
        <f>使用レシピ!Q54</f>
        <v>7.5</v>
      </c>
    </row>
    <row r="55" spans="1:13" x14ac:dyDescent="0.4">
      <c r="A55">
        <f>使用レシピ!D55</f>
        <v>54</v>
      </c>
      <c r="B55">
        <f>IF(使用レシピ!F55="","",MATCH(使用レシピ!F55,使用レシピ!$E:$E,0)-1)</f>
        <v>59</v>
      </c>
      <c r="C55" t="str">
        <f>IF(使用レシピ!G55="","",MATCH(使用レシピ!G55,使用レシピ!$E:$E,0)-1)</f>
        <v/>
      </c>
      <c r="D55" t="str">
        <f>IF(使用レシピ!H55="","",MATCH(使用レシピ!H55,使用レシピ!$E:$E,0)-1)</f>
        <v/>
      </c>
      <c r="E55" t="str">
        <f>IF(使用レシピ!I55="","",MATCH(使用レシピ!I55,使用レシピ!$E:$E,0)-1)</f>
        <v/>
      </c>
      <c r="F55">
        <f>IF(使用レシピ!J55="","",MATCH(使用レシピ!J55,使用レシピ!$E:$E,0)-1)</f>
        <v>52</v>
      </c>
      <c r="G55">
        <f>使用レシピ!K55</f>
        <v>3</v>
      </c>
      <c r="H55" t="str">
        <f>使用レシピ!L55</f>
        <v/>
      </c>
      <c r="I55" t="str">
        <f>使用レシピ!M55</f>
        <v/>
      </c>
      <c r="J55" t="str">
        <f>使用レシピ!N55</f>
        <v/>
      </c>
      <c r="K55">
        <f>使用レシピ!O55</f>
        <v>1</v>
      </c>
      <c r="L55">
        <f>使用レシピ!P55</f>
        <v>2</v>
      </c>
      <c r="M55">
        <f>使用レシピ!Q55</f>
        <v>20</v>
      </c>
    </row>
    <row r="56" spans="1:13" x14ac:dyDescent="0.4">
      <c r="A56">
        <f>使用レシピ!D56</f>
        <v>55</v>
      </c>
      <c r="B56">
        <f>IF(使用レシピ!F56="","",MATCH(使用レシピ!F56,使用レシピ!$E:$E,0)-1)</f>
        <v>59</v>
      </c>
      <c r="C56" t="str">
        <f>IF(使用レシピ!G56="","",MATCH(使用レシピ!G56,使用レシピ!$E:$E,0)-1)</f>
        <v/>
      </c>
      <c r="D56" t="str">
        <f>IF(使用レシピ!H56="","",MATCH(使用レシピ!H56,使用レシピ!$E:$E,0)-1)</f>
        <v/>
      </c>
      <c r="E56" t="str">
        <f>IF(使用レシピ!I56="","",MATCH(使用レシピ!I56,使用レシピ!$E:$E,0)-1)</f>
        <v/>
      </c>
      <c r="F56">
        <f>IF(使用レシピ!J56="","",MATCH(使用レシピ!J56,使用レシピ!$E:$E,0)-1)</f>
        <v>52</v>
      </c>
      <c r="G56">
        <f>使用レシピ!K56</f>
        <v>6</v>
      </c>
      <c r="H56" t="str">
        <f>使用レシピ!L56</f>
        <v/>
      </c>
      <c r="I56" t="str">
        <f>使用レシピ!M56</f>
        <v/>
      </c>
      <c r="J56" t="str">
        <f>使用レシピ!N56</f>
        <v/>
      </c>
      <c r="K56">
        <f>使用レシピ!O56</f>
        <v>2</v>
      </c>
      <c r="L56">
        <f>使用レシピ!P56</f>
        <v>13</v>
      </c>
      <c r="M56">
        <f>使用レシピ!Q56</f>
        <v>130</v>
      </c>
    </row>
    <row r="57" spans="1:13" x14ac:dyDescent="0.4">
      <c r="A57">
        <f>使用レシピ!D57</f>
        <v>56</v>
      </c>
      <c r="B57" t="str">
        <f>IF(使用レシピ!F57="","",MATCH(使用レシピ!F57,使用レシピ!$E:$E,0)-1)</f>
        <v/>
      </c>
      <c r="C57" t="str">
        <f>IF(使用レシピ!G57="","",MATCH(使用レシピ!G57,使用レシピ!$E:$E,0)-1)</f>
        <v/>
      </c>
      <c r="D57" t="str">
        <f>IF(使用レシピ!H57="","",MATCH(使用レシピ!H57,使用レシピ!$E:$E,0)-1)</f>
        <v/>
      </c>
      <c r="E57" t="str">
        <f>IF(使用レシピ!I57="","",MATCH(使用レシピ!I57,使用レシピ!$E:$E,0)-1)</f>
        <v/>
      </c>
      <c r="F57" t="str">
        <f>IF(使用レシピ!J57="","",MATCH(使用レシピ!J57,使用レシピ!$E:$E,0)-1)</f>
        <v/>
      </c>
      <c r="G57" t="str">
        <f>使用レシピ!K57</f>
        <v/>
      </c>
      <c r="H57" t="str">
        <f>使用レシピ!L57</f>
        <v/>
      </c>
      <c r="I57" t="str">
        <f>使用レシピ!M57</f>
        <v/>
      </c>
      <c r="J57" t="str">
        <f>使用レシピ!N57</f>
        <v/>
      </c>
      <c r="K57" t="str">
        <f>使用レシピ!O57</f>
        <v/>
      </c>
      <c r="L57">
        <f>使用レシピ!P57</f>
        <v>1</v>
      </c>
      <c r="M57">
        <f>使用レシピ!Q57</f>
        <v>120</v>
      </c>
    </row>
    <row r="58" spans="1:13" x14ac:dyDescent="0.4">
      <c r="A58">
        <f>使用レシピ!D58</f>
        <v>57</v>
      </c>
      <c r="B58">
        <f>IF(使用レシピ!F58="","",MATCH(使用レシピ!F58,使用レシピ!$E:$E,0)-1)</f>
        <v>59</v>
      </c>
      <c r="C58" t="str">
        <f>IF(使用レシピ!G58="","",MATCH(使用レシピ!G58,使用レシピ!$E:$E,0)-1)</f>
        <v/>
      </c>
      <c r="D58" t="str">
        <f>IF(使用レシピ!H58="","",MATCH(使用レシピ!H58,使用レシピ!$E:$E,0)-1)</f>
        <v/>
      </c>
      <c r="E58" t="str">
        <f>IF(使用レシピ!I58="","",MATCH(使用レシピ!I58,使用レシピ!$E:$E,0)-1)</f>
        <v/>
      </c>
      <c r="F58">
        <f>IF(使用レシピ!J58="","",MATCH(使用レシピ!J58,使用レシピ!$E:$E,0)-1)</f>
        <v>52</v>
      </c>
      <c r="G58">
        <f>使用レシピ!K58</f>
        <v>3</v>
      </c>
      <c r="H58" t="str">
        <f>使用レシピ!L58</f>
        <v/>
      </c>
      <c r="I58" t="str">
        <f>使用レシピ!M58</f>
        <v/>
      </c>
      <c r="J58" t="str">
        <f>使用レシピ!N58</f>
        <v/>
      </c>
      <c r="K58">
        <f>使用レシピ!O58</f>
        <v>2</v>
      </c>
      <c r="L58">
        <f>使用レシピ!P58</f>
        <v>2</v>
      </c>
      <c r="M58">
        <f>使用レシピ!Q58</f>
        <v>20</v>
      </c>
    </row>
    <row r="59" spans="1:13" x14ac:dyDescent="0.4">
      <c r="A59">
        <f>使用レシピ!D59</f>
        <v>58</v>
      </c>
      <c r="B59">
        <f>IF(使用レシピ!F59="","",MATCH(使用レシピ!F59,使用レシピ!$E:$E,0)-1)</f>
        <v>59</v>
      </c>
      <c r="C59" t="str">
        <f>IF(使用レシピ!G59="","",MATCH(使用レシピ!G59,使用レシピ!$E:$E,0)-1)</f>
        <v/>
      </c>
      <c r="D59" t="str">
        <f>IF(使用レシピ!H59="","",MATCH(使用レシピ!H59,使用レシピ!$E:$E,0)-1)</f>
        <v/>
      </c>
      <c r="E59" t="str">
        <f>IF(使用レシピ!I59="","",MATCH(使用レシピ!I59,使用レシピ!$E:$E,0)-1)</f>
        <v/>
      </c>
      <c r="F59">
        <f>IF(使用レシピ!J59="","",MATCH(使用レシピ!J59,使用レシピ!$E:$E,0)-1)</f>
        <v>55</v>
      </c>
      <c r="G59">
        <f>使用レシピ!K59</f>
        <v>6</v>
      </c>
      <c r="H59" t="str">
        <f>使用レシピ!L59</f>
        <v/>
      </c>
      <c r="I59" t="str">
        <f>使用レシピ!M59</f>
        <v/>
      </c>
      <c r="J59" t="str">
        <f>使用レシピ!N59</f>
        <v/>
      </c>
      <c r="K59">
        <f>使用レシピ!O59</f>
        <v>3</v>
      </c>
      <c r="L59">
        <f>使用レシピ!P59</f>
        <v>4</v>
      </c>
      <c r="M59">
        <f>使用レシピ!Q59</f>
        <v>40</v>
      </c>
    </row>
    <row r="60" spans="1:13" x14ac:dyDescent="0.4">
      <c r="A60">
        <f>使用レシピ!D60</f>
        <v>59</v>
      </c>
      <c r="B60" t="str">
        <f>IF(使用レシピ!F60="","",MATCH(使用レシピ!F60,使用レシピ!$E:$E,0)-1)</f>
        <v/>
      </c>
      <c r="C60" t="str">
        <f>IF(使用レシピ!G60="","",MATCH(使用レシピ!G60,使用レシピ!$E:$E,0)-1)</f>
        <v/>
      </c>
      <c r="D60" t="str">
        <f>IF(使用レシピ!H60="","",MATCH(使用レシピ!H60,使用レシピ!$E:$E,0)-1)</f>
        <v/>
      </c>
      <c r="E60" t="str">
        <f>IF(使用レシピ!I60="","",MATCH(使用レシピ!I60,使用レシピ!$E:$E,0)-1)</f>
        <v/>
      </c>
      <c r="F60" t="str">
        <f>IF(使用レシピ!J60="","",MATCH(使用レシピ!J60,使用レシピ!$E:$E,0)-1)</f>
        <v/>
      </c>
      <c r="G60" t="str">
        <f>使用レシピ!K60</f>
        <v/>
      </c>
      <c r="H60" t="str">
        <f>使用レシピ!L60</f>
        <v/>
      </c>
      <c r="I60" t="str">
        <f>使用レシピ!M60</f>
        <v/>
      </c>
      <c r="J60" t="str">
        <f>使用レシピ!N60</f>
        <v/>
      </c>
      <c r="K60" t="str">
        <f>使用レシピ!O60</f>
        <v/>
      </c>
      <c r="L60">
        <f>使用レシピ!P60</f>
        <v>1</v>
      </c>
      <c r="M60">
        <f>使用レシピ!Q60</f>
        <v>600</v>
      </c>
    </row>
    <row r="61" spans="1:13" x14ac:dyDescent="0.4">
      <c r="A61">
        <f>使用レシピ!D61</f>
        <v>60</v>
      </c>
      <c r="B61">
        <f>IF(使用レシピ!F61="","",MATCH(使用レシピ!F61,使用レシピ!$E:$E,0)-1)</f>
        <v>48</v>
      </c>
      <c r="C61" t="str">
        <f>IF(使用レシピ!G61="","",MATCH(使用レシピ!G61,使用レシピ!$E:$E,0)-1)</f>
        <v/>
      </c>
      <c r="D61" t="str">
        <f>IF(使用レシピ!H61="","",MATCH(使用レシピ!H61,使用レシピ!$E:$E,0)-1)</f>
        <v/>
      </c>
      <c r="E61" t="str">
        <f>IF(使用レシピ!I61="","",MATCH(使用レシピ!I61,使用レシピ!$E:$E,0)-1)</f>
        <v/>
      </c>
      <c r="F61" t="str">
        <f>IF(使用レシピ!J61="","",MATCH(使用レシピ!J61,使用レシピ!$E:$E,0)-1)</f>
        <v/>
      </c>
      <c r="G61">
        <f>使用レシピ!K61</f>
        <v>3</v>
      </c>
      <c r="H61" t="str">
        <f>使用レシピ!L61</f>
        <v/>
      </c>
      <c r="I61" t="str">
        <f>使用レシピ!M61</f>
        <v/>
      </c>
      <c r="J61" t="str">
        <f>使用レシピ!N61</f>
        <v/>
      </c>
      <c r="K61" t="str">
        <f>使用レシピ!O61</f>
        <v/>
      </c>
      <c r="L61">
        <f>使用レシピ!P61</f>
        <v>5</v>
      </c>
      <c r="M61">
        <f>使用レシピ!Q61</f>
        <v>37.5</v>
      </c>
    </row>
    <row r="62" spans="1:13" x14ac:dyDescent="0.4">
      <c r="A62">
        <f>使用レシピ!D62</f>
        <v>61</v>
      </c>
      <c r="B62">
        <f>IF(使用レシピ!F62="","",MATCH(使用レシピ!F62,使用レシピ!$E:$E,0)-1)</f>
        <v>47</v>
      </c>
      <c r="C62">
        <f>IF(使用レシピ!G62="","",MATCH(使用レシピ!G62,使用レシピ!$E:$E,0)-1)</f>
        <v>6</v>
      </c>
      <c r="D62">
        <f>IF(使用レシピ!H62="","",MATCH(使用レシピ!H62,使用レシピ!$E:$E,0)-1)</f>
        <v>5</v>
      </c>
      <c r="E62" t="str">
        <f>IF(使用レシピ!I62="","",MATCH(使用レシピ!I62,使用レシピ!$E:$E,0)-1)</f>
        <v/>
      </c>
      <c r="F62" t="str">
        <f>IF(使用レシピ!J62="","",MATCH(使用レシピ!J62,使用レシピ!$E:$E,0)-1)</f>
        <v/>
      </c>
      <c r="G62">
        <f>使用レシピ!K62</f>
        <v>36</v>
      </c>
      <c r="H62">
        <f>使用レシピ!L62</f>
        <v>28</v>
      </c>
      <c r="I62">
        <f>使用レシピ!M62</f>
        <v>5</v>
      </c>
      <c r="J62" t="str">
        <f>使用レシピ!N62</f>
        <v/>
      </c>
      <c r="K62" t="str">
        <f>使用レシピ!O62</f>
        <v/>
      </c>
      <c r="L62">
        <f>使用レシピ!P62</f>
        <v>2</v>
      </c>
      <c r="M62">
        <f>使用レシピ!Q62</f>
        <v>1</v>
      </c>
    </row>
    <row r="63" spans="1:13" x14ac:dyDescent="0.4">
      <c r="A63">
        <f>使用レシピ!D63</f>
        <v>62</v>
      </c>
      <c r="B63">
        <f>IF(使用レシピ!F63="","",MATCH(使用レシピ!F63,使用レシピ!$E:$E,0)-1)</f>
        <v>54</v>
      </c>
      <c r="C63" t="str">
        <f>IF(使用レシピ!G63="","",MATCH(使用レシピ!G63,使用レシピ!$E:$E,0)-1)</f>
        <v/>
      </c>
      <c r="D63" t="str">
        <f>IF(使用レシピ!H63="","",MATCH(使用レシピ!H63,使用レシピ!$E:$E,0)-1)</f>
        <v/>
      </c>
      <c r="E63" t="str">
        <f>IF(使用レシピ!I63="","",MATCH(使用レシピ!I63,使用レシピ!$E:$E,0)-1)</f>
        <v/>
      </c>
      <c r="F63" t="str">
        <f>IF(使用レシピ!J63="","",MATCH(使用レシピ!J63,使用レシピ!$E:$E,0)-1)</f>
        <v/>
      </c>
      <c r="G63">
        <f>使用レシピ!K63</f>
        <v>2</v>
      </c>
      <c r="H63" t="str">
        <f>使用レシピ!L63</f>
        <v/>
      </c>
      <c r="I63" t="str">
        <f>使用レシピ!M63</f>
        <v/>
      </c>
      <c r="J63" t="str">
        <f>使用レシピ!N63</f>
        <v/>
      </c>
      <c r="K63" t="str">
        <f>使用レシピ!O63</f>
        <v/>
      </c>
      <c r="L63">
        <f>使用レシピ!P63</f>
        <v>4</v>
      </c>
      <c r="M63">
        <f>使用レシピ!Q63</f>
        <v>60</v>
      </c>
    </row>
    <row r="64" spans="1:13" x14ac:dyDescent="0.4">
      <c r="A64">
        <f>使用レシピ!D64</f>
        <v>63</v>
      </c>
      <c r="B64">
        <f>IF(使用レシピ!F64="","",MATCH(使用レシピ!F64,使用レシピ!$E:$E,0)-1)</f>
        <v>62</v>
      </c>
      <c r="C64">
        <f>IF(使用レシピ!G64="","",MATCH(使用レシピ!G64,使用レシピ!$E:$E,0)-1)</f>
        <v>56</v>
      </c>
      <c r="D64" t="str">
        <f>IF(使用レシピ!H64="","",MATCH(使用レシピ!H64,使用レシピ!$E:$E,0)-1)</f>
        <v/>
      </c>
      <c r="E64" t="str">
        <f>IF(使用レシピ!I64="","",MATCH(使用レシピ!I64,使用レシピ!$E:$E,0)-1)</f>
        <v/>
      </c>
      <c r="F64" t="str">
        <f>IF(使用レシピ!J64="","",MATCH(使用レシピ!J64,使用レシピ!$E:$E,0)-1)</f>
        <v/>
      </c>
      <c r="G64">
        <f>使用レシピ!K64</f>
        <v>2</v>
      </c>
      <c r="H64">
        <f>使用レシピ!L64</f>
        <v>2</v>
      </c>
      <c r="I64" t="str">
        <f>使用レシピ!M64</f>
        <v/>
      </c>
      <c r="J64" t="str">
        <f>使用レシピ!N64</f>
        <v/>
      </c>
      <c r="K64" t="str">
        <f>使用レシピ!O64</f>
        <v/>
      </c>
      <c r="L64">
        <f>使用レシピ!P64</f>
        <v>2</v>
      </c>
      <c r="M64">
        <f>使用レシピ!Q64</f>
        <v>60</v>
      </c>
    </row>
    <row r="65" spans="1:13" x14ac:dyDescent="0.4">
      <c r="A65">
        <f>使用レシピ!D65</f>
        <v>64</v>
      </c>
      <c r="B65">
        <f>IF(使用レシピ!F65="","",MATCH(使用レシピ!F65,使用レシピ!$E:$E,0)-1)</f>
        <v>62</v>
      </c>
      <c r="C65">
        <f>IF(使用レシピ!G65="","",MATCH(使用レシピ!G65,使用レシピ!$E:$E,0)-1)</f>
        <v>59</v>
      </c>
      <c r="D65" t="str">
        <f>IF(使用レシピ!H65="","",MATCH(使用レシピ!H65,使用レシピ!$E:$E,0)-1)</f>
        <v/>
      </c>
      <c r="E65" t="str">
        <f>IF(使用レシピ!I65="","",MATCH(使用レシピ!I65,使用レシピ!$E:$E,0)-1)</f>
        <v/>
      </c>
      <c r="F65" t="str">
        <f>IF(使用レシピ!J65="","",MATCH(使用レシピ!J65,使用レシピ!$E:$E,0)-1)</f>
        <v/>
      </c>
      <c r="G65">
        <f>使用レシピ!K65</f>
        <v>2</v>
      </c>
      <c r="H65">
        <f>使用レシピ!L65</f>
        <v>2</v>
      </c>
      <c r="I65" t="str">
        <f>使用レシピ!M65</f>
        <v/>
      </c>
      <c r="J65" t="str">
        <f>使用レシピ!N65</f>
        <v/>
      </c>
      <c r="K65" t="str">
        <f>使用レシピ!O65</f>
        <v/>
      </c>
      <c r="L65">
        <f>使用レシピ!P65</f>
        <v>2</v>
      </c>
      <c r="M65">
        <f>使用レシピ!Q65</f>
        <v>30</v>
      </c>
    </row>
    <row r="66" spans="1:13" x14ac:dyDescent="0.4">
      <c r="A66">
        <f>使用レシピ!D66</f>
        <v>65</v>
      </c>
      <c r="B66">
        <f>IF(使用レシピ!F66="","",MATCH(使用レシピ!F66,使用レシピ!$E:$E,0)-1)</f>
        <v>62</v>
      </c>
      <c r="C66">
        <f>IF(使用レシピ!G66="","",MATCH(使用レシピ!G66,使用レシピ!$E:$E,0)-1)</f>
        <v>58</v>
      </c>
      <c r="D66" t="str">
        <f>IF(使用レシピ!H66="","",MATCH(使用レシピ!H66,使用レシピ!$E:$E,0)-1)</f>
        <v/>
      </c>
      <c r="E66" t="str">
        <f>IF(使用レシピ!I66="","",MATCH(使用レシピ!I66,使用レシピ!$E:$E,0)-1)</f>
        <v/>
      </c>
      <c r="F66" t="str">
        <f>IF(使用レシピ!J66="","",MATCH(使用レシピ!J66,使用レシピ!$E:$E,0)-1)</f>
        <v/>
      </c>
      <c r="G66">
        <f>使用レシピ!K66</f>
        <v>2</v>
      </c>
      <c r="H66">
        <f>使用レシピ!L66</f>
        <v>2</v>
      </c>
      <c r="I66" t="str">
        <f>使用レシピ!M66</f>
        <v/>
      </c>
      <c r="J66" t="str">
        <f>使用レシピ!N66</f>
        <v/>
      </c>
      <c r="K66" t="str">
        <f>使用レシピ!O66</f>
        <v/>
      </c>
      <c r="L66">
        <f>使用レシピ!P66</f>
        <v>2</v>
      </c>
      <c r="M66">
        <f>使用レシピ!Q66</f>
        <v>40</v>
      </c>
    </row>
    <row r="67" spans="1:13" x14ac:dyDescent="0.4">
      <c r="A67">
        <f>使用レシピ!D67</f>
        <v>66</v>
      </c>
      <c r="B67">
        <f>IF(使用レシピ!F67="","",MATCH(使用レシピ!F67,使用レシピ!$E:$E,0)-1)</f>
        <v>62</v>
      </c>
      <c r="C67">
        <f>IF(使用レシピ!G67="","",MATCH(使用レシピ!G67,使用レシピ!$E:$E,0)-1)</f>
        <v>52</v>
      </c>
      <c r="D67" t="str">
        <f>IF(使用レシピ!H67="","",MATCH(使用レシピ!H67,使用レシピ!$E:$E,0)-1)</f>
        <v/>
      </c>
      <c r="E67" t="str">
        <f>IF(使用レシピ!I67="","",MATCH(使用レシピ!I67,使用レシピ!$E:$E,0)-1)</f>
        <v/>
      </c>
      <c r="F67" t="str">
        <f>IF(使用レシピ!J67="","",MATCH(使用レシピ!J67,使用レシピ!$E:$E,0)-1)</f>
        <v/>
      </c>
      <c r="G67">
        <f>使用レシピ!K67</f>
        <v>2</v>
      </c>
      <c r="H67">
        <f>使用レシピ!L67</f>
        <v>2</v>
      </c>
      <c r="I67" t="str">
        <f>使用レシピ!M67</f>
        <v/>
      </c>
      <c r="J67" t="str">
        <f>使用レシピ!N67</f>
        <v/>
      </c>
      <c r="K67" t="str">
        <f>使用レシピ!O67</f>
        <v/>
      </c>
      <c r="L67">
        <f>使用レシピ!P67</f>
        <v>2</v>
      </c>
      <c r="M67">
        <f>使用レシピ!Q67</f>
        <v>30</v>
      </c>
    </row>
    <row r="68" spans="1:13" x14ac:dyDescent="0.4">
      <c r="A68">
        <f>使用レシピ!D68</f>
        <v>67</v>
      </c>
      <c r="B68">
        <f>IF(使用レシピ!F68="","",MATCH(使用レシピ!F68,使用レシピ!$E:$E,0)-1)</f>
        <v>62</v>
      </c>
      <c r="C68">
        <f>IF(使用レシピ!G68="","",MATCH(使用レシピ!G68,使用レシピ!$E:$E,0)-1)</f>
        <v>68</v>
      </c>
      <c r="D68" t="str">
        <f>IF(使用レシピ!H68="","",MATCH(使用レシピ!H68,使用レシピ!$E:$E,0)-1)</f>
        <v/>
      </c>
      <c r="E68" t="str">
        <f>IF(使用レシピ!I68="","",MATCH(使用レシピ!I68,使用レシピ!$E:$E,0)-1)</f>
        <v/>
      </c>
      <c r="F68" t="str">
        <f>IF(使用レシピ!J68="","",MATCH(使用レシピ!J68,使用レシピ!$E:$E,0)-1)</f>
        <v/>
      </c>
      <c r="G68">
        <f>使用レシピ!K68</f>
        <v>2</v>
      </c>
      <c r="H68">
        <f>使用レシピ!L68</f>
        <v>2</v>
      </c>
      <c r="I68" t="str">
        <f>使用レシピ!M68</f>
        <v/>
      </c>
      <c r="J68" t="str">
        <f>使用レシピ!N68</f>
        <v/>
      </c>
      <c r="K68" t="str">
        <f>使用レシピ!O68</f>
        <v/>
      </c>
      <c r="L68">
        <f>使用レシピ!P68</f>
        <v>2</v>
      </c>
      <c r="M68">
        <f>使用レシピ!Q68</f>
        <v>40</v>
      </c>
    </row>
    <row r="69" spans="1:13" x14ac:dyDescent="0.4">
      <c r="A69">
        <f>使用レシピ!D69</f>
        <v>68</v>
      </c>
      <c r="B69">
        <f>IF(使用レシピ!F69="","",MATCH(使用レシピ!F69,使用レシピ!$E:$E,0)-1)</f>
        <v>25</v>
      </c>
      <c r="C69">
        <f>IF(使用レシピ!G69="","",MATCH(使用レシピ!G69,使用レシピ!$E:$E,0)-1)</f>
        <v>56</v>
      </c>
      <c r="D69" t="str">
        <f>IF(使用レシピ!H69="","",MATCH(使用レシピ!H69,使用レシピ!$E:$E,0)-1)</f>
        <v/>
      </c>
      <c r="E69" t="str">
        <f>IF(使用レシピ!I69="","",MATCH(使用レシピ!I69,使用レシピ!$E:$E,0)-1)</f>
        <v/>
      </c>
      <c r="F69" t="str">
        <f>IF(使用レシピ!J69="","",MATCH(使用レシピ!J69,使用レシピ!$E:$E,0)-1)</f>
        <v/>
      </c>
      <c r="G69">
        <f>使用レシピ!K69</f>
        <v>6</v>
      </c>
      <c r="H69">
        <f>使用レシピ!L69</f>
        <v>3</v>
      </c>
      <c r="I69" t="str">
        <f>使用レシピ!M69</f>
        <v/>
      </c>
      <c r="J69" t="str">
        <f>使用レシピ!N69</f>
        <v/>
      </c>
      <c r="K69" t="str">
        <f>使用レシピ!O69</f>
        <v/>
      </c>
      <c r="L69">
        <f>使用レシピ!P69</f>
        <v>4</v>
      </c>
      <c r="M69">
        <f>使用レシピ!Q69</f>
        <v>60</v>
      </c>
    </row>
    <row r="70" spans="1:13" x14ac:dyDescent="0.4">
      <c r="A70">
        <f>使用レシピ!D70</f>
        <v>69</v>
      </c>
      <c r="B70">
        <f>IF(使用レシピ!F70="","",MATCH(使用レシピ!F70,使用レシピ!$E:$E,0)-1)</f>
        <v>31</v>
      </c>
      <c r="C70">
        <f>IF(使用レシピ!G70="","",MATCH(使用レシピ!G70,使用レシピ!$E:$E,0)-1)</f>
        <v>32</v>
      </c>
      <c r="D70" t="str">
        <f>IF(使用レシピ!H70="","",MATCH(使用レシピ!H70,使用レシピ!$E:$E,0)-1)</f>
        <v/>
      </c>
      <c r="E70" t="str">
        <f>IF(使用レシピ!I70="","",MATCH(使用レシピ!I70,使用レシピ!$E:$E,0)-1)</f>
        <v/>
      </c>
      <c r="F70" t="str">
        <f>IF(使用レシピ!J70="","",MATCH(使用レシピ!J70,使用レシピ!$E:$E,0)-1)</f>
        <v/>
      </c>
      <c r="G70">
        <f>使用レシピ!K70</f>
        <v>5</v>
      </c>
      <c r="H70">
        <f>使用レシピ!L70</f>
        <v>5</v>
      </c>
      <c r="I70" t="str">
        <f>使用レシピ!M70</f>
        <v/>
      </c>
      <c r="J70" t="str">
        <f>使用レシピ!N70</f>
        <v/>
      </c>
      <c r="K70" t="str">
        <f>使用レシピ!O70</f>
        <v/>
      </c>
      <c r="L70">
        <f>使用レシピ!P70</f>
        <v>5</v>
      </c>
      <c r="M70">
        <f>使用レシピ!Q70</f>
        <v>25</v>
      </c>
    </row>
    <row r="71" spans="1:13" x14ac:dyDescent="0.4">
      <c r="A71">
        <f>使用レシピ!D71</f>
        <v>70</v>
      </c>
      <c r="B71">
        <f>IF(使用レシピ!F71="","",MATCH(使用レシピ!F71,使用レシピ!$E:$E,0)-1)</f>
        <v>53</v>
      </c>
      <c r="C71">
        <f>IF(使用レシピ!G71="","",MATCH(使用レシピ!G71,使用レシピ!$E:$E,0)-1)</f>
        <v>6</v>
      </c>
      <c r="D71">
        <f>IF(使用レシピ!H71="","",MATCH(使用レシピ!H71,使用レシピ!$E:$E,0)-1)</f>
        <v>54</v>
      </c>
      <c r="E71" t="str">
        <f>IF(使用レシピ!I71="","",MATCH(使用レシピ!I71,使用レシピ!$E:$E,0)-1)</f>
        <v/>
      </c>
      <c r="F71" t="str">
        <f>IF(使用レシピ!J71="","",MATCH(使用レシピ!J71,使用レシピ!$E:$E,0)-1)</f>
        <v/>
      </c>
      <c r="G71">
        <f>使用レシピ!K71</f>
        <v>4</v>
      </c>
      <c r="H71">
        <f>使用レシピ!L71</f>
        <v>8</v>
      </c>
      <c r="I71">
        <f>使用レシピ!M71</f>
        <v>16</v>
      </c>
      <c r="J71" t="str">
        <f>使用レシピ!N71</f>
        <v/>
      </c>
      <c r="K71" t="str">
        <f>使用レシピ!O71</f>
        <v/>
      </c>
      <c r="L71">
        <f>使用レシピ!P71</f>
        <v>1</v>
      </c>
      <c r="M71">
        <f>使用レシピ!Q71</f>
        <v>2.5</v>
      </c>
    </row>
    <row r="72" spans="1:13" x14ac:dyDescent="0.4">
      <c r="A72">
        <f>使用レシピ!D72</f>
        <v>71</v>
      </c>
      <c r="B72">
        <f>IF(使用レシピ!F72="","",MATCH(使用レシピ!F72,使用レシピ!$E:$E,0)-1)</f>
        <v>28</v>
      </c>
      <c r="C72">
        <f>IF(使用レシピ!G72="","",MATCH(使用レシピ!G72,使用レシピ!$E:$E,0)-1)</f>
        <v>38</v>
      </c>
      <c r="D72">
        <f>IF(使用レシピ!H72="","",MATCH(使用レシピ!H72,使用レシピ!$E:$E,0)-1)</f>
        <v>42</v>
      </c>
      <c r="E72">
        <f>IF(使用レシピ!I72="","",MATCH(使用レシピ!I72,使用レシピ!$E:$E,0)-1)</f>
        <v>12</v>
      </c>
      <c r="F72" t="str">
        <f>IF(使用レシピ!J72="","",MATCH(使用レシピ!J72,使用レシピ!$E:$E,0)-1)</f>
        <v/>
      </c>
      <c r="G72">
        <f>使用レシピ!K72</f>
        <v>5</v>
      </c>
      <c r="H72">
        <f>使用レシピ!L72</f>
        <v>20</v>
      </c>
      <c r="I72">
        <f>使用レシピ!M72</f>
        <v>5</v>
      </c>
      <c r="J72">
        <f>使用レシピ!N72</f>
        <v>120</v>
      </c>
      <c r="K72" t="str">
        <f>使用レシピ!O72</f>
        <v/>
      </c>
      <c r="L72">
        <f>使用レシピ!P72</f>
        <v>1</v>
      </c>
      <c r="M72">
        <f>使用レシピ!Q72</f>
        <v>2</v>
      </c>
    </row>
    <row r="73" spans="1:13" x14ac:dyDescent="0.4">
      <c r="A73">
        <f>使用レシピ!D73</f>
        <v>72</v>
      </c>
      <c r="B73">
        <f>IF(使用レシピ!F73="","",MATCH(使用レシピ!F73,使用レシピ!$E:$E,0)-1)</f>
        <v>44</v>
      </c>
      <c r="C73">
        <f>IF(使用レシピ!G73="","",MATCH(使用レシピ!G73,使用レシピ!$E:$E,0)-1)</f>
        <v>57</v>
      </c>
      <c r="D73">
        <f>IF(使用レシピ!H73="","",MATCH(使用レシピ!H73,使用レシピ!$E:$E,0)-1)</f>
        <v>29</v>
      </c>
      <c r="E73" t="str">
        <f>IF(使用レシピ!I73="","",MATCH(使用レシピ!I73,使用レシピ!$E:$E,0)-1)</f>
        <v/>
      </c>
      <c r="F73" t="str">
        <f>IF(使用レシピ!J73="","",MATCH(使用レシピ!J73,使用レシピ!$E:$E,0)-1)</f>
        <v/>
      </c>
      <c r="G73">
        <f>使用レシピ!K73</f>
        <v>2</v>
      </c>
      <c r="H73">
        <f>使用レシピ!L73</f>
        <v>15</v>
      </c>
      <c r="I73">
        <f>使用レシピ!M73</f>
        <v>2</v>
      </c>
      <c r="J73" t="str">
        <f>使用レシピ!N73</f>
        <v/>
      </c>
      <c r="K73" t="str">
        <f>使用レシピ!O73</f>
        <v/>
      </c>
      <c r="L73">
        <f>使用レシピ!P73</f>
        <v>1</v>
      </c>
      <c r="M73">
        <f>使用レシピ!Q73</f>
        <v>1</v>
      </c>
    </row>
    <row r="74" spans="1:13" x14ac:dyDescent="0.4">
      <c r="A74">
        <f>使用レシピ!D74</f>
        <v>73</v>
      </c>
      <c r="B74">
        <f>IF(使用レシピ!F74="","",MATCH(使用レシピ!F74,使用レシピ!$E:$E,0)-1)</f>
        <v>45</v>
      </c>
      <c r="C74">
        <f>IF(使用レシピ!G74="","",MATCH(使用レシピ!G74,使用レシピ!$E:$E,0)-1)</f>
        <v>53</v>
      </c>
      <c r="D74">
        <f>IF(使用レシピ!H74="","",MATCH(使用レシピ!H74,使用レシピ!$E:$E,0)-1)</f>
        <v>71</v>
      </c>
      <c r="E74">
        <f>IF(使用レシピ!I74="","",MATCH(使用レシピ!I74,使用レシピ!$E:$E,0)-1)</f>
        <v>70</v>
      </c>
      <c r="F74" t="str">
        <f>IF(使用レシピ!J74="","",MATCH(使用レシピ!J74,使用レシピ!$E:$E,0)-1)</f>
        <v/>
      </c>
      <c r="G74">
        <f>使用レシピ!K74</f>
        <v>5</v>
      </c>
      <c r="H74">
        <f>使用レシピ!L74</f>
        <v>5</v>
      </c>
      <c r="I74">
        <f>使用レシピ!M74</f>
        <v>1</v>
      </c>
      <c r="J74">
        <f>使用レシピ!N74</f>
        <v>2</v>
      </c>
      <c r="K74" t="str">
        <f>使用レシピ!O74</f>
        <v/>
      </c>
      <c r="L74">
        <f>使用レシピ!P74</f>
        <v>1</v>
      </c>
      <c r="M74">
        <f>使用レシピ!Q74</f>
        <v>1</v>
      </c>
    </row>
    <row r="75" spans="1:13" x14ac:dyDescent="0.4">
      <c r="A75">
        <f>使用レシピ!D75</f>
        <v>74</v>
      </c>
      <c r="B75" t="str">
        <f>IF(使用レシピ!F75="","",MATCH(使用レシピ!F75,使用レシピ!$E:$E,0)-1)</f>
        <v/>
      </c>
      <c r="C75" t="str">
        <f>IF(使用レシピ!G75="","",MATCH(使用レシピ!G75,使用レシピ!$E:$E,0)-1)</f>
        <v/>
      </c>
      <c r="D75" t="str">
        <f>IF(使用レシピ!H75="","",MATCH(使用レシピ!H75,使用レシピ!$E:$E,0)-1)</f>
        <v/>
      </c>
      <c r="E75" t="str">
        <f>IF(使用レシピ!I75="","",MATCH(使用レシピ!I75,使用レシピ!$E:$E,0)-1)</f>
        <v/>
      </c>
      <c r="F75" t="str">
        <f>IF(使用レシピ!J75="","",MATCH(使用レシピ!J75,使用レシピ!$E:$E,0)-1)</f>
        <v/>
      </c>
      <c r="G75" t="str">
        <f>使用レシピ!K75</f>
        <v/>
      </c>
      <c r="H75" t="str">
        <f>使用レシピ!L75</f>
        <v/>
      </c>
      <c r="I75" t="str">
        <f>使用レシピ!M75</f>
        <v/>
      </c>
      <c r="J75" t="str">
        <f>使用レシピ!N75</f>
        <v/>
      </c>
      <c r="K75" t="str">
        <f>使用レシピ!O75</f>
        <v/>
      </c>
      <c r="L75">
        <f>使用レシピ!P75</f>
        <v>1</v>
      </c>
      <c r="M75">
        <f>使用レシピ!Q75</f>
        <v>1</v>
      </c>
    </row>
    <row r="76" spans="1:13" x14ac:dyDescent="0.4">
      <c r="A76">
        <f>使用レシピ!D76</f>
        <v>75</v>
      </c>
      <c r="B76">
        <f>IF(使用レシピ!F76="","",MATCH(使用レシピ!F76,使用レシピ!$E:$E,0)-1)</f>
        <v>74</v>
      </c>
      <c r="C76">
        <f>IF(使用レシピ!G76="","",MATCH(使用レシピ!G76,使用レシピ!$E:$E,0)-1)</f>
        <v>13</v>
      </c>
      <c r="D76" t="str">
        <f>IF(使用レシピ!H76="","",MATCH(使用レシピ!H76,使用レシピ!$E:$E,0)-1)</f>
        <v/>
      </c>
      <c r="E76" t="str">
        <f>IF(使用レシピ!I76="","",MATCH(使用レシピ!I76,使用レシピ!$E:$E,0)-1)</f>
        <v/>
      </c>
      <c r="F76" t="str">
        <f>IF(使用レシピ!J76="","",MATCH(使用レシピ!J76,使用レシピ!$E:$E,0)-1)</f>
        <v/>
      </c>
      <c r="G76">
        <f>使用レシピ!K76</f>
        <v>1</v>
      </c>
      <c r="H76">
        <f>使用レシピ!L76</f>
        <v>5</v>
      </c>
      <c r="I76" t="str">
        <f>使用レシピ!M76</f>
        <v/>
      </c>
      <c r="J76" t="str">
        <f>使用レシピ!N76</f>
        <v/>
      </c>
      <c r="K76" t="str">
        <f>使用レシピ!O76</f>
        <v/>
      </c>
      <c r="L76">
        <f>使用レシピ!P76</f>
        <v>1</v>
      </c>
      <c r="M76">
        <f>使用レシピ!Q76</f>
        <v>15</v>
      </c>
    </row>
    <row r="77" spans="1:13" x14ac:dyDescent="0.4">
      <c r="A77">
        <f>使用レシピ!D77</f>
        <v>76</v>
      </c>
      <c r="B77">
        <f>IF(使用レシピ!F77="","",MATCH(使用レシピ!F77,使用レシピ!$E:$E,0)-1)</f>
        <v>75</v>
      </c>
      <c r="C77">
        <f>IF(使用レシピ!G77="","",MATCH(使用レシピ!G77,使用レシピ!$E:$E,0)-1)</f>
        <v>31</v>
      </c>
      <c r="D77">
        <f>IF(使用レシピ!H77="","",MATCH(使用レシピ!H77,使用レシピ!$E:$E,0)-1)</f>
        <v>3</v>
      </c>
      <c r="E77" t="str">
        <f>IF(使用レシピ!I77="","",MATCH(使用レシピ!I77,使用レシピ!$E:$E,0)-1)</f>
        <v/>
      </c>
      <c r="F77" t="str">
        <f>IF(使用レシピ!J77="","",MATCH(使用レシピ!J77,使用レシピ!$E:$E,0)-1)</f>
        <v/>
      </c>
      <c r="G77">
        <f>使用レシピ!K77</f>
        <v>2</v>
      </c>
      <c r="H77">
        <f>使用レシピ!L77</f>
        <v>4</v>
      </c>
      <c r="I77">
        <f>使用レシピ!M77</f>
        <v>2</v>
      </c>
      <c r="J77" t="str">
        <f>使用レシピ!N77</f>
        <v/>
      </c>
      <c r="K77" t="str">
        <f>使用レシピ!O77</f>
        <v/>
      </c>
      <c r="L77">
        <f>使用レシピ!P77</f>
        <v>1</v>
      </c>
      <c r="M77">
        <f>使用レシピ!Q77</f>
        <v>7.5</v>
      </c>
    </row>
    <row r="78" spans="1:13" x14ac:dyDescent="0.4">
      <c r="A78">
        <f>使用レシピ!D78</f>
        <v>77</v>
      </c>
      <c r="B78">
        <f>IF(使用レシピ!F78="","",MATCH(使用レシピ!F78,使用レシピ!$E:$E,0)-1)</f>
        <v>16</v>
      </c>
      <c r="C78" t="str">
        <f>IF(使用レシピ!G78="","",MATCH(使用レシピ!G78,使用レシピ!$E:$E,0)-1)</f>
        <v/>
      </c>
      <c r="D78" t="str">
        <f>IF(使用レシピ!H78="","",MATCH(使用レシピ!H78,使用レシピ!$E:$E,0)-1)</f>
        <v/>
      </c>
      <c r="E78" t="str">
        <f>IF(使用レシピ!I78="","",MATCH(使用レシピ!I78,使用レシピ!$E:$E,0)-1)</f>
        <v/>
      </c>
      <c r="F78" t="str">
        <f>IF(使用レシピ!J78="","",MATCH(使用レシピ!J78,使用レシピ!$E:$E,0)-1)</f>
        <v/>
      </c>
      <c r="G78">
        <f>使用レシピ!K78</f>
        <v>1</v>
      </c>
      <c r="H78" t="str">
        <f>使用レシピ!L78</f>
        <v/>
      </c>
      <c r="I78" t="str">
        <f>使用レシピ!M78</f>
        <v/>
      </c>
      <c r="J78" t="str">
        <f>使用レシピ!N78</f>
        <v/>
      </c>
      <c r="K78" t="str">
        <f>使用レシピ!O78</f>
        <v/>
      </c>
      <c r="L78">
        <f>使用レシピ!P78</f>
        <v>1</v>
      </c>
      <c r="M78">
        <f>使用レシピ!Q78</f>
        <v>10</v>
      </c>
    </row>
    <row r="79" spans="1:13" x14ac:dyDescent="0.4">
      <c r="A79">
        <f>使用レシピ!D79</f>
        <v>78</v>
      </c>
      <c r="B79">
        <f>IF(使用レシピ!F79="","",MATCH(使用レシピ!F79,使用レシピ!$E:$E,0)-1)</f>
        <v>35</v>
      </c>
      <c r="C79">
        <f>IF(使用レシピ!G79="","",MATCH(使用レシピ!G79,使用レシピ!$E:$E,0)-1)</f>
        <v>6</v>
      </c>
      <c r="D79">
        <f>IF(使用レシピ!H79="","",MATCH(使用レシピ!H79,使用レシピ!$E:$E,0)-1)</f>
        <v>53</v>
      </c>
      <c r="E79" t="str">
        <f>IF(使用レシピ!I79="","",MATCH(使用レシピ!I79,使用レシピ!$E:$E,0)-1)</f>
        <v/>
      </c>
      <c r="F79" t="str">
        <f>IF(使用レシピ!J79="","",MATCH(使用レシピ!J79,使用レシピ!$E:$E,0)-1)</f>
        <v/>
      </c>
      <c r="G79">
        <f>使用レシピ!K79</f>
        <v>56</v>
      </c>
      <c r="H79">
        <f>使用レシピ!L79</f>
        <v>10</v>
      </c>
      <c r="I79">
        <f>使用レシピ!M79</f>
        <v>1</v>
      </c>
      <c r="J79" t="str">
        <f>使用レシピ!N79</f>
        <v/>
      </c>
      <c r="K79" t="str">
        <f>使用レシピ!O79</f>
        <v/>
      </c>
      <c r="L79">
        <f>使用レシピ!P79</f>
        <v>1</v>
      </c>
      <c r="M79">
        <f>使用レシピ!Q79</f>
        <v>3.75</v>
      </c>
    </row>
    <row r="80" spans="1:13" x14ac:dyDescent="0.4">
      <c r="A80">
        <f>使用レシピ!D80</f>
        <v>79</v>
      </c>
      <c r="B80">
        <f>IF(使用レシピ!F80="","",MATCH(使用レシピ!F80,使用レシピ!$E:$E,0)-1)</f>
        <v>30</v>
      </c>
      <c r="C80">
        <f>IF(使用レシピ!G80="","",MATCH(使用レシピ!G80,使用レシピ!$E:$E,0)-1)</f>
        <v>52</v>
      </c>
      <c r="D80" t="str">
        <f>IF(使用レシピ!H80="","",MATCH(使用レシピ!H80,使用レシピ!$E:$E,0)-1)</f>
        <v/>
      </c>
      <c r="E80" t="str">
        <f>IF(使用レシピ!I80="","",MATCH(使用レシピ!I80,使用レシピ!$E:$E,0)-1)</f>
        <v/>
      </c>
      <c r="F80" t="str">
        <f>IF(使用レシピ!J80="","",MATCH(使用レシピ!J80,使用レシピ!$E:$E,0)-1)</f>
        <v/>
      </c>
      <c r="G80">
        <f>使用レシピ!K80</f>
        <v>2</v>
      </c>
      <c r="H80">
        <f>使用レシピ!L80</f>
        <v>1</v>
      </c>
      <c r="I80" t="str">
        <f>使用レシピ!M80</f>
        <v/>
      </c>
      <c r="J80" t="str">
        <f>使用レシピ!N80</f>
        <v/>
      </c>
      <c r="K80" t="str">
        <f>使用レシピ!O80</f>
        <v/>
      </c>
      <c r="L80">
        <f>使用レシピ!P80</f>
        <v>2</v>
      </c>
      <c r="M80">
        <f>使用レシピ!Q80</f>
        <v>20</v>
      </c>
    </row>
    <row r="81" spans="1:13" x14ac:dyDescent="0.4">
      <c r="A81">
        <f>使用レシピ!D81</f>
        <v>80</v>
      </c>
      <c r="B81">
        <f>IF(使用レシピ!F81="","",MATCH(使用レシピ!F81,使用レシピ!$E:$E,0)-1)</f>
        <v>81</v>
      </c>
      <c r="C81">
        <f>IF(使用レシピ!G81="","",MATCH(使用レシピ!G81,使用レシピ!$E:$E,0)-1)</f>
        <v>56</v>
      </c>
      <c r="D81" t="str">
        <f>IF(使用レシピ!H81="","",MATCH(使用レシピ!H81,使用レシピ!$E:$E,0)-1)</f>
        <v/>
      </c>
      <c r="E81" t="str">
        <f>IF(使用レシピ!I81="","",MATCH(使用レシピ!I81,使用レシピ!$E:$E,0)-1)</f>
        <v/>
      </c>
      <c r="F81">
        <f>IF(使用レシピ!J81="","",MATCH(使用レシピ!J81,使用レシピ!$E:$E,0)-1)</f>
        <v>60</v>
      </c>
      <c r="G81">
        <f>使用レシピ!K81</f>
        <v>12</v>
      </c>
      <c r="H81">
        <f>使用レシピ!L81</f>
        <v>18</v>
      </c>
      <c r="I81" t="str">
        <f>使用レシピ!M81</f>
        <v/>
      </c>
      <c r="J81" t="str">
        <f>使用レシピ!N81</f>
        <v/>
      </c>
      <c r="K81">
        <f>使用レシピ!O81</f>
        <v>5</v>
      </c>
      <c r="L81">
        <f>使用レシピ!P81</f>
        <v>12</v>
      </c>
      <c r="M81">
        <f>使用レシピ!Q81</f>
        <v>120</v>
      </c>
    </row>
    <row r="82" spans="1:13" x14ac:dyDescent="0.4">
      <c r="A82">
        <f>使用レシピ!D82</f>
        <v>81</v>
      </c>
      <c r="B82" t="str">
        <f>IF(使用レシピ!F82="","",MATCH(使用レシピ!F82,使用レシピ!$E:$E,0)-1)</f>
        <v/>
      </c>
      <c r="C82" t="str">
        <f>IF(使用レシピ!G82="","",MATCH(使用レシピ!G82,使用レシピ!$E:$E,0)-1)</f>
        <v/>
      </c>
      <c r="D82" t="str">
        <f>IF(使用レシピ!H82="","",MATCH(使用レシピ!H82,使用レシピ!$E:$E,0)-1)</f>
        <v/>
      </c>
      <c r="E82" t="str">
        <f>IF(使用レシピ!I82="","",MATCH(使用レシピ!I82,使用レシピ!$E:$E,0)-1)</f>
        <v/>
      </c>
      <c r="F82" t="str">
        <f>IF(使用レシピ!J82="","",MATCH(使用レシピ!J82,使用レシピ!$E:$E,0)-1)</f>
        <v/>
      </c>
      <c r="G82" t="str">
        <f>使用レシピ!K82</f>
        <v/>
      </c>
      <c r="H82" t="str">
        <f>使用レシピ!L82</f>
        <v/>
      </c>
      <c r="I82" t="str">
        <f>使用レシピ!M82</f>
        <v/>
      </c>
      <c r="J82" t="str">
        <f>使用レシピ!N82</f>
        <v/>
      </c>
      <c r="K82" t="str">
        <f>使用レシピ!O82</f>
        <v/>
      </c>
      <c r="L82">
        <f>使用レシピ!P82</f>
        <v>1</v>
      </c>
      <c r="M82">
        <f>使用レシピ!Q82</f>
        <v>1200</v>
      </c>
    </row>
    <row r="83" spans="1:13" x14ac:dyDescent="0.4">
      <c r="A83">
        <f>使用レシピ!D83</f>
        <v>82</v>
      </c>
      <c r="B83">
        <f>IF(使用レシピ!F83="","",MATCH(使用レシピ!F83,使用レシピ!$E:$E,0)-1)</f>
        <v>62</v>
      </c>
      <c r="C83">
        <f>IF(使用レシピ!G83="","",MATCH(使用レシピ!G83,使用レシピ!$E:$E,0)-1)</f>
        <v>80</v>
      </c>
      <c r="D83" t="str">
        <f>IF(使用レシピ!H83="","",MATCH(使用レシピ!H83,使用レシピ!$E:$E,0)-1)</f>
        <v/>
      </c>
      <c r="E83" t="str">
        <f>IF(使用レシピ!I83="","",MATCH(使用レシピ!I83,使用レシピ!$E:$E,0)-1)</f>
        <v/>
      </c>
      <c r="F83" t="str">
        <f>IF(使用レシピ!J83="","",MATCH(使用レシピ!J83,使用レシピ!$E:$E,0)-1)</f>
        <v/>
      </c>
      <c r="G83">
        <f>使用レシピ!K83</f>
        <v>2</v>
      </c>
      <c r="H83">
        <f>使用レシピ!L83</f>
        <v>2</v>
      </c>
      <c r="I83" t="str">
        <f>使用レシピ!M83</f>
        <v/>
      </c>
      <c r="J83" t="str">
        <f>使用レシピ!N83</f>
        <v/>
      </c>
      <c r="K83" t="str">
        <f>使用レシピ!O83</f>
        <v/>
      </c>
      <c r="L83">
        <f>使用レシピ!P83</f>
        <v>2</v>
      </c>
      <c r="M83">
        <f>使用レシピ!Q83</f>
        <v>120</v>
      </c>
    </row>
    <row r="84" spans="1:13" x14ac:dyDescent="0.4">
      <c r="A84">
        <f>使用レシピ!D84</f>
        <v>83</v>
      </c>
      <c r="B84">
        <f>IF(使用レシピ!F84="","",MATCH(使用レシピ!F84,使用レシピ!$E:$E,0)-1)</f>
        <v>80</v>
      </c>
      <c r="C84">
        <f>IF(使用レシピ!G84="","",MATCH(使用レシピ!G84,使用レシピ!$E:$E,0)-1)</f>
        <v>31</v>
      </c>
      <c r="D84" t="str">
        <f>IF(使用レシピ!H84="","",MATCH(使用レシピ!H84,使用レシピ!$E:$E,0)-1)</f>
        <v/>
      </c>
      <c r="E84" t="str">
        <f>IF(使用レシピ!I84="","",MATCH(使用レシピ!I84,使用レシピ!$E:$E,0)-1)</f>
        <v/>
      </c>
      <c r="F84">
        <f>IF(使用レシピ!J84="","",MATCH(使用レシピ!J84,使用レシピ!$E:$E,0)-1)</f>
        <v>56</v>
      </c>
      <c r="G84">
        <f>使用レシピ!K84</f>
        <v>4</v>
      </c>
      <c r="H84">
        <f>使用レシピ!L84</f>
        <v>2</v>
      </c>
      <c r="I84" t="str">
        <f>使用レシピ!M84</f>
        <v/>
      </c>
      <c r="J84" t="str">
        <f>使用レシピ!N84</f>
        <v/>
      </c>
      <c r="K84">
        <f>使用レシピ!O84</f>
        <v>2</v>
      </c>
      <c r="L84">
        <f>使用レシピ!P84</f>
        <v>6</v>
      </c>
      <c r="M84">
        <f>使用レシピ!Q84</f>
        <v>360</v>
      </c>
    </row>
    <row r="85" spans="1:13" x14ac:dyDescent="0.4">
      <c r="A85">
        <f>使用レシピ!D85</f>
        <v>84</v>
      </c>
      <c r="B85">
        <f>IF(使用レシピ!F85="","",MATCH(使用レシピ!F85,使用レシピ!$E:$E,0)-1)</f>
        <v>83</v>
      </c>
      <c r="C85">
        <f>IF(使用レシピ!G85="","",MATCH(使用レシピ!G85,使用レシピ!$E:$E,0)-1)</f>
        <v>60</v>
      </c>
      <c r="D85" t="str">
        <f>IF(使用レシピ!H85="","",MATCH(使用レシピ!H85,使用レシピ!$E:$E,0)-1)</f>
        <v/>
      </c>
      <c r="E85" t="str">
        <f>IF(使用レシピ!I85="","",MATCH(使用レシピ!I85,使用レシピ!$E:$E,0)-1)</f>
        <v/>
      </c>
      <c r="F85" t="str">
        <f>IF(使用レシピ!J85="","",MATCH(使用レシピ!J85,使用レシピ!$E:$E,0)-1)</f>
        <v/>
      </c>
      <c r="G85">
        <f>使用レシピ!K85</f>
        <v>6</v>
      </c>
      <c r="H85">
        <f>使用レシピ!L85</f>
        <v>5</v>
      </c>
      <c r="I85" t="str">
        <f>使用レシピ!M85</f>
        <v/>
      </c>
      <c r="J85" t="str">
        <f>使用レシピ!N85</f>
        <v/>
      </c>
      <c r="K85" t="str">
        <f>使用レシピ!O85</f>
        <v/>
      </c>
      <c r="L85">
        <f>使用レシピ!P85</f>
        <v>4</v>
      </c>
      <c r="M85">
        <f>使用レシピ!Q85</f>
        <v>60</v>
      </c>
    </row>
    <row r="86" spans="1:13" x14ac:dyDescent="0.4">
      <c r="A86">
        <f>使用レシピ!D86</f>
        <v>85</v>
      </c>
      <c r="B86">
        <f>IF(使用レシピ!F86="","",MATCH(使用レシピ!F86,使用レシピ!$E:$E,0)-1)</f>
        <v>84</v>
      </c>
      <c r="C86">
        <f>IF(使用レシピ!G86="","",MATCH(使用レシピ!G86,使用レシピ!$E:$E,0)-1)</f>
        <v>8</v>
      </c>
      <c r="D86" t="str">
        <f>IF(使用レシピ!H86="","",MATCH(使用レシピ!H86,使用レシピ!$E:$E,0)-1)</f>
        <v/>
      </c>
      <c r="E86" t="str">
        <f>IF(使用レシピ!I86="","",MATCH(使用レシピ!I86,使用レシピ!$E:$E,0)-1)</f>
        <v/>
      </c>
      <c r="F86" t="str">
        <f>IF(使用レシピ!J86="","",MATCH(使用レシピ!J86,使用レシピ!$E:$E,0)-1)</f>
        <v/>
      </c>
      <c r="G86">
        <f>使用レシピ!K86</f>
        <v>3</v>
      </c>
      <c r="H86">
        <f>使用レシピ!L86</f>
        <v>1</v>
      </c>
      <c r="I86" t="str">
        <f>使用レシピ!M86</f>
        <v/>
      </c>
      <c r="J86" t="str">
        <f>使用レシピ!N86</f>
        <v/>
      </c>
      <c r="K86" t="str">
        <f>使用レシピ!O86</f>
        <v/>
      </c>
      <c r="L86">
        <f>使用レシピ!P86</f>
        <v>3</v>
      </c>
      <c r="M86">
        <f>使用レシピ!Q86</f>
        <v>30</v>
      </c>
    </row>
    <row r="87" spans="1:13" x14ac:dyDescent="0.4">
      <c r="A87">
        <f>使用レシピ!D87</f>
        <v>86</v>
      </c>
      <c r="B87">
        <f>IF(使用レシピ!F87="","",MATCH(使用レシピ!F87,使用レシピ!$E:$E,0)-1)</f>
        <v>84</v>
      </c>
      <c r="C87" t="str">
        <f>IF(使用レシピ!G87="","",MATCH(使用レシピ!G87,使用レシピ!$E:$E,0)-1)</f>
        <v/>
      </c>
      <c r="D87" t="str">
        <f>IF(使用レシピ!H87="","",MATCH(使用レシピ!H87,使用レシピ!$E:$E,0)-1)</f>
        <v/>
      </c>
      <c r="E87" t="str">
        <f>IF(使用レシピ!I87="","",MATCH(使用レシピ!I87,使用レシピ!$E:$E,0)-1)</f>
        <v/>
      </c>
      <c r="F87" t="str">
        <f>IF(使用レシピ!J87="","",MATCH(使用レシピ!J87,使用レシピ!$E:$E,0)-1)</f>
        <v/>
      </c>
      <c r="G87">
        <f>使用レシピ!K87</f>
        <v>3</v>
      </c>
      <c r="H87" t="str">
        <f>使用レシピ!L87</f>
        <v/>
      </c>
      <c r="I87" t="str">
        <f>使用レシピ!M87</f>
        <v/>
      </c>
      <c r="J87" t="str">
        <f>使用レシピ!N87</f>
        <v/>
      </c>
      <c r="K87" t="str">
        <f>使用レシピ!O87</f>
        <v/>
      </c>
      <c r="L87">
        <f>使用レシピ!P87</f>
        <v>2</v>
      </c>
      <c r="M87">
        <f>使用レシピ!Q87</f>
        <v>60</v>
      </c>
    </row>
    <row r="88" spans="1:13" x14ac:dyDescent="0.4">
      <c r="A88">
        <f>使用レシピ!D88</f>
        <v>87</v>
      </c>
      <c r="B88">
        <f>IF(使用レシピ!F88="","",MATCH(使用レシピ!F88,使用レシピ!$E:$E,0)-1)</f>
        <v>58</v>
      </c>
      <c r="C88">
        <f>IF(使用レシピ!G88="","",MATCH(使用レシピ!G88,使用レシピ!$E:$E,0)-1)</f>
        <v>69</v>
      </c>
      <c r="D88" t="str">
        <f>IF(使用レシピ!H88="","",MATCH(使用レシピ!H88,使用レシピ!$E:$E,0)-1)</f>
        <v/>
      </c>
      <c r="E88" t="str">
        <f>IF(使用レシピ!I88="","",MATCH(使用レシピ!I88,使用レシピ!$E:$E,0)-1)</f>
        <v/>
      </c>
      <c r="F88" t="str">
        <f>IF(使用レシピ!J88="","",MATCH(使用レシピ!J88,使用レシピ!$E:$E,0)-1)</f>
        <v/>
      </c>
      <c r="G88">
        <f>使用レシピ!K88</f>
        <v>6</v>
      </c>
      <c r="H88">
        <f>使用レシピ!L88</f>
        <v>4</v>
      </c>
      <c r="I88" t="str">
        <f>使用レシピ!M88</f>
        <v/>
      </c>
      <c r="J88" t="str">
        <f>使用レシピ!N88</f>
        <v/>
      </c>
      <c r="K88" t="str">
        <f>使用レシピ!O88</f>
        <v/>
      </c>
      <c r="L88">
        <f>使用レシピ!P88</f>
        <v>5</v>
      </c>
      <c r="M88">
        <f>使用レシピ!Q88</f>
        <v>18.75</v>
      </c>
    </row>
    <row r="89" spans="1:13" x14ac:dyDescent="0.4">
      <c r="A89">
        <f>使用レシピ!D89</f>
        <v>88</v>
      </c>
      <c r="B89">
        <f>IF(使用レシピ!F89="","",MATCH(使用レシピ!F89,使用レシピ!$E:$E,0)-1)</f>
        <v>62</v>
      </c>
      <c r="C89">
        <f>IF(使用レシピ!G89="","",MATCH(使用レシピ!G89,使用レシピ!$E:$E,0)-1)</f>
        <v>52</v>
      </c>
      <c r="D89" t="str">
        <f>IF(使用レシピ!H89="","",MATCH(使用レシピ!H89,使用レシピ!$E:$E,0)-1)</f>
        <v/>
      </c>
      <c r="E89" t="str">
        <f>IF(使用レシピ!I89="","",MATCH(使用レシピ!I89,使用レシピ!$E:$E,0)-1)</f>
        <v/>
      </c>
      <c r="F89" t="str">
        <f>IF(使用レシピ!J89="","",MATCH(使用レシピ!J89,使用レシピ!$E:$E,0)-1)</f>
        <v/>
      </c>
      <c r="G89">
        <f>使用レシピ!K89</f>
        <v>2</v>
      </c>
      <c r="H89">
        <f>使用レシピ!L89</f>
        <v>2</v>
      </c>
      <c r="I89" t="str">
        <f>使用レシピ!M89</f>
        <v/>
      </c>
      <c r="J89" t="str">
        <f>使用レシピ!N89</f>
        <v/>
      </c>
      <c r="K89" t="str">
        <f>使用レシピ!O89</f>
        <v/>
      </c>
      <c r="L89">
        <f>使用レシピ!P89</f>
        <v>2</v>
      </c>
      <c r="M89">
        <f>使用レシピ!Q89</f>
        <v>20</v>
      </c>
    </row>
    <row r="90" spans="1:13" x14ac:dyDescent="0.4">
      <c r="A90">
        <f>使用レシピ!D90</f>
        <v>89</v>
      </c>
      <c r="B90">
        <f>IF(使用レシピ!F90="","",MATCH(使用レシピ!F90,使用レシピ!$E:$E,0)-1)</f>
        <v>4</v>
      </c>
      <c r="C90" t="str">
        <f>IF(使用レシピ!G90="","",MATCH(使用レシピ!G90,使用レシピ!$E:$E,0)-1)</f>
        <v/>
      </c>
      <c r="D90" t="str">
        <f>IF(使用レシピ!H90="","",MATCH(使用レシピ!H90,使用レシピ!$E:$E,0)-1)</f>
        <v/>
      </c>
      <c r="E90" t="str">
        <f>IF(使用レシピ!I90="","",MATCH(使用レシピ!I90,使用レシピ!$E:$E,0)-1)</f>
        <v/>
      </c>
      <c r="F90" t="str">
        <f>IF(使用レシピ!J90="","",MATCH(使用レシピ!J90,使用レシピ!$E:$E,0)-1)</f>
        <v/>
      </c>
      <c r="G90">
        <f>使用レシピ!K90</f>
        <v>1</v>
      </c>
      <c r="H90" t="str">
        <f>使用レシピ!L90</f>
        <v/>
      </c>
      <c r="I90" t="str">
        <f>使用レシピ!M90</f>
        <v/>
      </c>
      <c r="J90" t="str">
        <f>使用レシピ!N90</f>
        <v/>
      </c>
      <c r="K90" t="str">
        <f>使用レシピ!O90</f>
        <v/>
      </c>
      <c r="L90">
        <f>使用レシピ!P90</f>
        <v>1</v>
      </c>
      <c r="M90">
        <f>使用レシピ!Q90</f>
        <v>15</v>
      </c>
    </row>
    <row r="91" spans="1:13" x14ac:dyDescent="0.4">
      <c r="A91">
        <f>使用レシピ!D91</f>
        <v>90</v>
      </c>
      <c r="B91">
        <f>IF(使用レシピ!F91="","",MATCH(使用レシピ!F91,使用レシピ!$E:$E,0)-1)</f>
        <v>32</v>
      </c>
      <c r="C91">
        <f>IF(使用レシピ!G91="","",MATCH(使用レシピ!G91,使用レシピ!$E:$E,0)-1)</f>
        <v>56</v>
      </c>
      <c r="D91" t="str">
        <f>IF(使用レシピ!H91="","",MATCH(使用レシピ!H91,使用レシピ!$E:$E,0)-1)</f>
        <v/>
      </c>
      <c r="E91" t="str">
        <f>IF(使用レシピ!I91="","",MATCH(使用レシピ!I91,使用レシピ!$E:$E,0)-1)</f>
        <v/>
      </c>
      <c r="F91" t="str">
        <f>IF(使用レシピ!J91="","",MATCH(使用レシピ!J91,使用レシピ!$E:$E,0)-1)</f>
        <v/>
      </c>
      <c r="G91">
        <f>使用レシピ!K91</f>
        <v>5</v>
      </c>
      <c r="H91">
        <f>使用レシピ!L91</f>
        <v>5</v>
      </c>
      <c r="I91" t="str">
        <f>使用レシピ!M91</f>
        <v/>
      </c>
      <c r="J91" t="str">
        <f>使用レシピ!N91</f>
        <v/>
      </c>
      <c r="K91" t="str">
        <f>使用レシピ!O91</f>
        <v/>
      </c>
      <c r="L91">
        <f>使用レシピ!P91</f>
        <v>5</v>
      </c>
      <c r="M91">
        <f>使用レシピ!Q91</f>
        <v>50</v>
      </c>
    </row>
    <row r="92" spans="1:13" x14ac:dyDescent="0.4">
      <c r="A92">
        <f>使用レシピ!D92</f>
        <v>91</v>
      </c>
      <c r="B92">
        <f>IF(使用レシピ!F92="","",MATCH(使用レシピ!F92,使用レシピ!$E:$E,0)-1)</f>
        <v>62</v>
      </c>
      <c r="C92">
        <f>IF(使用レシピ!G92="","",MATCH(使用レシピ!G92,使用レシピ!$E:$E,0)-1)</f>
        <v>90</v>
      </c>
      <c r="D92" t="str">
        <f>IF(使用レシピ!H92="","",MATCH(使用レシピ!H92,使用レシピ!$E:$E,0)-1)</f>
        <v/>
      </c>
      <c r="E92" t="str">
        <f>IF(使用レシピ!I92="","",MATCH(使用レシピ!I92,使用レシピ!$E:$E,0)-1)</f>
        <v/>
      </c>
      <c r="F92" t="str">
        <f>IF(使用レシピ!J92="","",MATCH(使用レシピ!J92,使用レシピ!$E:$E,0)-1)</f>
        <v/>
      </c>
      <c r="G92">
        <f>使用レシピ!K92</f>
        <v>2</v>
      </c>
      <c r="H92">
        <f>使用レシピ!L92</f>
        <v>2</v>
      </c>
      <c r="I92" t="str">
        <f>使用レシピ!M92</f>
        <v/>
      </c>
      <c r="J92" t="str">
        <f>使用レシピ!N92</f>
        <v/>
      </c>
      <c r="K92" t="str">
        <f>使用レシピ!O92</f>
        <v/>
      </c>
      <c r="L92">
        <f>使用レシピ!P92</f>
        <v>2</v>
      </c>
      <c r="M92">
        <f>使用レシピ!Q92</f>
        <v>40</v>
      </c>
    </row>
    <row r="93" spans="1:13" x14ac:dyDescent="0.4">
      <c r="A93">
        <f>使用レシピ!D93</f>
        <v>92</v>
      </c>
      <c r="B93">
        <f>IF(使用レシピ!F93="","",MATCH(使用レシピ!F93,使用レシピ!$E:$E,0)-1)</f>
        <v>90</v>
      </c>
      <c r="C93">
        <f>IF(使用レシピ!G93="","",MATCH(使用レシピ!G93,使用レシピ!$E:$E,0)-1)</f>
        <v>80</v>
      </c>
      <c r="D93">
        <f>IF(使用レシピ!H93="","",MATCH(使用レシピ!H93,使用レシピ!$E:$E,0)-1)</f>
        <v>86</v>
      </c>
      <c r="E93" t="str">
        <f>IF(使用レシピ!I93="","",MATCH(使用レシピ!I93,使用レシピ!$E:$E,0)-1)</f>
        <v/>
      </c>
      <c r="F93">
        <f>IF(使用レシピ!J93="","",MATCH(使用レシピ!J93,使用レシピ!$E:$E,0)-1)</f>
        <v>56</v>
      </c>
      <c r="G93">
        <f>使用レシピ!K93</f>
        <v>2.5</v>
      </c>
      <c r="H93">
        <f>使用レシピ!L93</f>
        <v>2</v>
      </c>
      <c r="I93">
        <f>使用レシピ!M93</f>
        <v>1</v>
      </c>
      <c r="J93" t="str">
        <f>使用レシピ!N93</f>
        <v/>
      </c>
      <c r="K93">
        <f>使用レシピ!O93</f>
        <v>1.5</v>
      </c>
      <c r="L93">
        <f>使用レシピ!P93</f>
        <v>1</v>
      </c>
      <c r="M93">
        <f>使用レシピ!Q93</f>
        <v>20</v>
      </c>
    </row>
    <row r="94" spans="1:13" x14ac:dyDescent="0.4">
      <c r="A94">
        <f>使用レシピ!D94</f>
        <v>93</v>
      </c>
      <c r="B94">
        <f>IF(使用レシピ!F94="","",MATCH(使用レシピ!F94,使用レシピ!$E:$E,0)-1)</f>
        <v>86</v>
      </c>
      <c r="C94">
        <f>IF(使用レシピ!G94="","",MATCH(使用レシピ!G94,使用レシピ!$E:$E,0)-1)</f>
        <v>61</v>
      </c>
      <c r="D94">
        <f>IF(使用レシピ!H94="","",MATCH(使用レシピ!H94,使用レシピ!$E:$E,0)-1)</f>
        <v>70</v>
      </c>
      <c r="E94" t="str">
        <f>IF(使用レシピ!I94="","",MATCH(使用レシピ!I94,使用レシピ!$E:$E,0)-1)</f>
        <v/>
      </c>
      <c r="F94" t="str">
        <f>IF(使用レシピ!J94="","",MATCH(使用レシピ!J94,使用レシピ!$E:$E,0)-1)</f>
        <v/>
      </c>
      <c r="G94">
        <f>使用レシピ!K94</f>
        <v>32</v>
      </c>
      <c r="H94">
        <f>使用レシピ!L94</f>
        <v>1</v>
      </c>
      <c r="I94">
        <f>使用レシピ!M94</f>
        <v>2</v>
      </c>
      <c r="J94" t="str">
        <f>使用レシピ!N94</f>
        <v/>
      </c>
      <c r="K94" t="str">
        <f>使用レシピ!O94</f>
        <v/>
      </c>
      <c r="L94">
        <f>使用レシピ!P94</f>
        <v>2</v>
      </c>
      <c r="M94">
        <f>使用レシピ!Q94</f>
        <v>2.5</v>
      </c>
    </row>
    <row r="95" spans="1:13" x14ac:dyDescent="0.4">
      <c r="A95">
        <f>使用レシピ!D95</f>
        <v>94</v>
      </c>
      <c r="B95">
        <f>IF(使用レシピ!F95="","",MATCH(使用レシピ!F95,使用レシピ!$E:$E,0)-1)</f>
        <v>70</v>
      </c>
      <c r="C95">
        <f>IF(使用レシピ!G95="","",MATCH(使用レシピ!G95,使用レシピ!$E:$E,0)-1)</f>
        <v>109</v>
      </c>
      <c r="D95">
        <f>IF(使用レシピ!H95="","",MATCH(使用レシピ!H95,使用レシピ!$E:$E,0)-1)</f>
        <v>92</v>
      </c>
      <c r="E95">
        <f>IF(使用レシピ!I95="","",MATCH(使用レシピ!I95,使用レシピ!$E:$E,0)-1)</f>
        <v>7</v>
      </c>
      <c r="F95" t="str">
        <f>IF(使用レシピ!J95="","",MATCH(使用レシピ!J95,使用レシピ!$E:$E,0)-1)</f>
        <v/>
      </c>
      <c r="G95">
        <f>使用レシピ!K95</f>
        <v>3</v>
      </c>
      <c r="H95">
        <f>使用レシピ!L95</f>
        <v>1</v>
      </c>
      <c r="I95">
        <f>使用レシピ!M95</f>
        <v>10</v>
      </c>
      <c r="J95">
        <f>使用レシピ!N95</f>
        <v>25</v>
      </c>
      <c r="K95" t="str">
        <f>使用レシピ!O95</f>
        <v/>
      </c>
      <c r="L95">
        <f>使用レシピ!P95</f>
        <v>1</v>
      </c>
      <c r="M95">
        <f>使用レシピ!Q95</f>
        <v>2.4</v>
      </c>
    </row>
    <row r="96" spans="1:13" x14ac:dyDescent="0.4">
      <c r="A96">
        <f>使用レシピ!D96</f>
        <v>95</v>
      </c>
      <c r="B96">
        <f>IF(使用レシピ!F96="","",MATCH(使用レシピ!F96,使用レシピ!$E:$E,0)-1)</f>
        <v>73</v>
      </c>
      <c r="C96">
        <f>IF(使用レシピ!G96="","",MATCH(使用レシピ!G96,使用レシピ!$E:$E,0)-1)</f>
        <v>94</v>
      </c>
      <c r="D96" t="str">
        <f>IF(使用レシピ!H96="","",MATCH(使用レシピ!H96,使用レシピ!$E:$E,0)-1)</f>
        <v/>
      </c>
      <c r="E96" t="str">
        <f>IF(使用レシピ!I96="","",MATCH(使用レシピ!I96,使用レシピ!$E:$E,0)-1)</f>
        <v/>
      </c>
      <c r="F96" t="str">
        <f>IF(使用レシピ!J96="","",MATCH(使用レシピ!J96,使用レシピ!$E:$E,0)-1)</f>
        <v/>
      </c>
      <c r="G96">
        <f>使用レシピ!K96</f>
        <v>2</v>
      </c>
      <c r="H96">
        <f>使用レシピ!L96</f>
        <v>1</v>
      </c>
      <c r="I96" t="str">
        <f>使用レシピ!M96</f>
        <v/>
      </c>
      <c r="J96" t="str">
        <f>使用レシピ!N96</f>
        <v/>
      </c>
      <c r="K96" t="str">
        <f>使用レシピ!O96</f>
        <v/>
      </c>
      <c r="L96">
        <f>使用レシピ!P96</f>
        <v>1</v>
      </c>
      <c r="M96">
        <f>使用レシピ!Q96</f>
        <v>0.75</v>
      </c>
    </row>
    <row r="97" spans="1:13" x14ac:dyDescent="0.4">
      <c r="A97">
        <f>使用レシピ!D97</f>
        <v>96</v>
      </c>
      <c r="B97">
        <f>IF(使用レシピ!F97="","",MATCH(使用レシピ!F97,使用レシピ!$E:$E,0)-1)</f>
        <v>76</v>
      </c>
      <c r="C97">
        <f>IF(使用レシピ!G97="","",MATCH(使用レシピ!G97,使用レシピ!$E:$E,0)-1)</f>
        <v>35</v>
      </c>
      <c r="D97">
        <f>IF(使用レシピ!H97="","",MATCH(使用レシピ!H97,使用レシピ!$E:$E,0)-1)</f>
        <v>86</v>
      </c>
      <c r="E97" t="str">
        <f>IF(使用レシピ!I97="","",MATCH(使用レシピ!I97,使用レシピ!$E:$E,0)-1)</f>
        <v/>
      </c>
      <c r="F97" t="str">
        <f>IF(使用レシピ!J97="","",MATCH(使用レシピ!J97,使用レシピ!$E:$E,0)-1)</f>
        <v/>
      </c>
      <c r="G97">
        <f>使用レシピ!K97</f>
        <v>1</v>
      </c>
      <c r="H97">
        <f>使用レシピ!L97</f>
        <v>8</v>
      </c>
      <c r="I97">
        <f>使用レシピ!M97</f>
        <v>1</v>
      </c>
      <c r="J97" t="str">
        <f>使用レシピ!N97</f>
        <v/>
      </c>
      <c r="K97" t="str">
        <f>使用レシピ!O97</f>
        <v/>
      </c>
      <c r="L97">
        <f>使用レシピ!P97</f>
        <v>1</v>
      </c>
      <c r="M97">
        <f>使用レシピ!Q97</f>
        <v>3.75</v>
      </c>
    </row>
    <row r="98" spans="1:13" x14ac:dyDescent="0.4">
      <c r="A98">
        <f>使用レシピ!D98</f>
        <v>97</v>
      </c>
      <c r="B98">
        <f>IF(使用レシピ!F98="","",MATCH(使用レシピ!F98,使用レシピ!$E:$E,0)-1)</f>
        <v>84</v>
      </c>
      <c r="C98" t="str">
        <f>IF(使用レシピ!G98="","",MATCH(使用レシピ!G98,使用レシピ!$E:$E,0)-1)</f>
        <v/>
      </c>
      <c r="D98" t="str">
        <f>IF(使用レシピ!H98="","",MATCH(使用レシピ!H98,使用レシピ!$E:$E,0)-1)</f>
        <v/>
      </c>
      <c r="E98" t="str">
        <f>IF(使用レシピ!I98="","",MATCH(使用レシピ!I98,使用レシピ!$E:$E,0)-1)</f>
        <v/>
      </c>
      <c r="F98" t="str">
        <f>IF(使用レシピ!J98="","",MATCH(使用レシピ!J98,使用レシピ!$E:$E,0)-1)</f>
        <v/>
      </c>
      <c r="G98">
        <f>使用レシピ!K98</f>
        <v>1</v>
      </c>
      <c r="H98" t="str">
        <f>使用レシピ!L98</f>
        <v/>
      </c>
      <c r="I98" t="str">
        <f>使用レシピ!M98</f>
        <v/>
      </c>
      <c r="J98" t="str">
        <f>使用レシピ!N98</f>
        <v/>
      </c>
      <c r="K98" t="str">
        <f>使用レシピ!O98</f>
        <v/>
      </c>
      <c r="L98">
        <f>使用レシピ!P98</f>
        <v>1</v>
      </c>
      <c r="M98">
        <f>使用レシピ!Q98</f>
        <v>60</v>
      </c>
    </row>
    <row r="99" spans="1:13" x14ac:dyDescent="0.4">
      <c r="A99">
        <f>使用レシピ!D99</f>
        <v>98</v>
      </c>
      <c r="B99">
        <f>IF(使用レシピ!F99="","",MATCH(使用レシピ!F99,使用レシピ!$E:$E,0)-1)</f>
        <v>99</v>
      </c>
      <c r="C99">
        <f>IF(使用レシピ!G99="","",MATCH(使用レシピ!G99,使用レシピ!$E:$E,0)-1)</f>
        <v>97</v>
      </c>
      <c r="D99" t="str">
        <f>IF(使用レシピ!H99="","",MATCH(使用レシピ!H99,使用レシピ!$E:$E,0)-1)</f>
        <v/>
      </c>
      <c r="E99" t="str">
        <f>IF(使用レシピ!I99="","",MATCH(使用レシピ!I99,使用レシピ!$E:$E,0)-1)</f>
        <v/>
      </c>
      <c r="F99" t="str">
        <f>IF(使用レシピ!J99="","",MATCH(使用レシピ!J99,使用レシピ!$E:$E,0)-1)</f>
        <v/>
      </c>
      <c r="G99">
        <f>使用レシピ!K99</f>
        <v>4</v>
      </c>
      <c r="H99">
        <f>使用レシピ!L99</f>
        <v>1</v>
      </c>
      <c r="I99" t="str">
        <f>使用レシピ!M99</f>
        <v/>
      </c>
      <c r="J99" t="str">
        <f>使用レシピ!N99</f>
        <v/>
      </c>
      <c r="K99" t="str">
        <f>使用レシピ!O99</f>
        <v/>
      </c>
      <c r="L99">
        <f>使用レシピ!P99</f>
        <v>1</v>
      </c>
      <c r="M99">
        <f>使用レシピ!Q99</f>
        <v>60</v>
      </c>
    </row>
    <row r="100" spans="1:13" x14ac:dyDescent="0.4">
      <c r="A100">
        <f>使用レシピ!D100</f>
        <v>99</v>
      </c>
      <c r="B100" t="str">
        <f>IF(使用レシピ!F100="","",MATCH(使用レシピ!F100,使用レシピ!$E:$E,0)-1)</f>
        <v/>
      </c>
      <c r="C100" t="str">
        <f>IF(使用レシピ!G100="","",MATCH(使用レシピ!G100,使用レシピ!$E:$E,0)-1)</f>
        <v/>
      </c>
      <c r="D100" t="str">
        <f>IF(使用レシピ!H100="","",MATCH(使用レシピ!H100,使用レシピ!$E:$E,0)-1)</f>
        <v/>
      </c>
      <c r="E100" t="str">
        <f>IF(使用レシピ!I100="","",MATCH(使用レシピ!I100,使用レシピ!$E:$E,0)-1)</f>
        <v/>
      </c>
      <c r="F100" t="str">
        <f>IF(使用レシピ!J100="","",MATCH(使用レシピ!J100,使用レシピ!$E:$E,0)-1)</f>
        <v/>
      </c>
      <c r="G100" t="str">
        <f>使用レシピ!K100</f>
        <v/>
      </c>
      <c r="H100" t="str">
        <f>使用レシピ!L100</f>
        <v/>
      </c>
      <c r="I100" t="str">
        <f>使用レシピ!M100</f>
        <v/>
      </c>
      <c r="J100" t="str">
        <f>使用レシピ!N100</f>
        <v/>
      </c>
      <c r="K100" t="str">
        <f>使用レシピ!O100</f>
        <v/>
      </c>
      <c r="L100">
        <f>使用レシピ!P100</f>
        <v>1</v>
      </c>
      <c r="M100">
        <f>使用レシピ!Q100</f>
        <v>600</v>
      </c>
    </row>
    <row r="101" spans="1:13" x14ac:dyDescent="0.4">
      <c r="A101">
        <f>使用レシピ!D101</f>
        <v>100</v>
      </c>
      <c r="B101">
        <f>IF(使用レシピ!F101="","",MATCH(使用レシピ!F101,使用レシピ!$E:$E,0)-1)</f>
        <v>85</v>
      </c>
      <c r="C101">
        <f>IF(使用レシピ!G101="","",MATCH(使用レシピ!G101,使用レシピ!$E:$E,0)-1)</f>
        <v>27</v>
      </c>
      <c r="D101" t="str">
        <f>IF(使用レシピ!H101="","",MATCH(使用レシピ!H101,使用レシピ!$E:$E,0)-1)</f>
        <v/>
      </c>
      <c r="E101" t="str">
        <f>IF(使用レシピ!I101="","",MATCH(使用レシピ!I101,使用レシピ!$E:$E,0)-1)</f>
        <v/>
      </c>
      <c r="F101" t="str">
        <f>IF(使用レシピ!J101="","",MATCH(使用レシピ!J101,使用レシピ!$E:$E,0)-1)</f>
        <v/>
      </c>
      <c r="G101">
        <f>使用レシピ!K101</f>
        <v>5</v>
      </c>
      <c r="H101">
        <f>使用レシピ!L101</f>
        <v>3</v>
      </c>
      <c r="I101" t="str">
        <f>使用レシピ!M101</f>
        <v/>
      </c>
      <c r="J101" t="str">
        <f>使用レシピ!N101</f>
        <v/>
      </c>
      <c r="K101" t="str">
        <f>使用レシピ!O101</f>
        <v/>
      </c>
      <c r="L101">
        <f>使用レシピ!P101</f>
        <v>1</v>
      </c>
      <c r="M101">
        <f>使用レシピ!Q101</f>
        <v>7.5</v>
      </c>
    </row>
    <row r="102" spans="1:13" x14ac:dyDescent="0.4">
      <c r="A102">
        <f>使用レシピ!D102</f>
        <v>101</v>
      </c>
      <c r="B102">
        <f>IF(使用レシピ!F102="","",MATCH(使用レシピ!F102,使用レシピ!$E:$E,0)-1)</f>
        <v>100</v>
      </c>
      <c r="C102">
        <f>IF(使用レシピ!G102="","",MATCH(使用レシピ!G102,使用レシピ!$E:$E,0)-1)</f>
        <v>57</v>
      </c>
      <c r="D102">
        <f>IF(使用レシピ!H102="","",MATCH(使用レシピ!H102,使用レシピ!$E:$E,0)-1)</f>
        <v>56</v>
      </c>
      <c r="E102">
        <f>IF(使用レシピ!I102="","",MATCH(使用レシピ!I102,使用レシピ!$E:$E,0)-1)</f>
        <v>99</v>
      </c>
      <c r="F102" t="str">
        <f>IF(使用レシピ!J102="","",MATCH(使用レシピ!J102,使用レシピ!$E:$E,0)-1)</f>
        <v/>
      </c>
      <c r="G102">
        <f>使用レシピ!K102</f>
        <v>2</v>
      </c>
      <c r="H102">
        <f>使用レシピ!L102</f>
        <v>2</v>
      </c>
      <c r="I102">
        <f>使用レシピ!M102</f>
        <v>5</v>
      </c>
      <c r="J102">
        <f>使用レシピ!N102</f>
        <v>25</v>
      </c>
      <c r="K102" t="str">
        <f>使用レシピ!O102</f>
        <v/>
      </c>
      <c r="L102">
        <f>使用レシピ!P102</f>
        <v>1</v>
      </c>
      <c r="M102">
        <f>使用レシピ!Q102</f>
        <v>6</v>
      </c>
    </row>
    <row r="103" spans="1:13" x14ac:dyDescent="0.4">
      <c r="A103">
        <f>使用レシピ!D103</f>
        <v>102</v>
      </c>
      <c r="B103">
        <f>IF(使用レシピ!F103="","",MATCH(使用レシピ!F103,使用レシピ!$E:$E,0)-1)</f>
        <v>71</v>
      </c>
      <c r="C103">
        <f>IF(使用レシピ!G103="","",MATCH(使用レシピ!G103,使用レシピ!$E:$E,0)-1)</f>
        <v>86</v>
      </c>
      <c r="D103">
        <f>IF(使用レシピ!H103="","",MATCH(使用レシピ!H103,使用レシピ!$E:$E,0)-1)</f>
        <v>99</v>
      </c>
      <c r="E103" t="str">
        <f>IF(使用レシピ!I103="","",MATCH(使用レシピ!I103,使用レシピ!$E:$E,0)-1)</f>
        <v/>
      </c>
      <c r="F103" t="str">
        <f>IF(使用レシピ!J103="","",MATCH(使用レシピ!J103,使用レシピ!$E:$E,0)-1)</f>
        <v/>
      </c>
      <c r="G103">
        <f>使用レシピ!K103</f>
        <v>1</v>
      </c>
      <c r="H103">
        <f>使用レシピ!L103</f>
        <v>50</v>
      </c>
      <c r="I103">
        <f>使用レシピ!M103</f>
        <v>25</v>
      </c>
      <c r="J103" t="str">
        <f>使用レシピ!N103</f>
        <v/>
      </c>
      <c r="K103" t="str">
        <f>使用レシピ!O103</f>
        <v/>
      </c>
      <c r="L103">
        <f>使用レシピ!P103</f>
        <v>1</v>
      </c>
      <c r="M103">
        <f>使用レシピ!Q103</f>
        <v>1.5</v>
      </c>
    </row>
    <row r="104" spans="1:13" x14ac:dyDescent="0.4">
      <c r="A104">
        <f>使用レシピ!D104</f>
        <v>103</v>
      </c>
      <c r="B104">
        <f>IF(使用レシピ!F104="","",MATCH(使用レシピ!F104,使用レシピ!$E:$E,0)-1)</f>
        <v>48</v>
      </c>
      <c r="C104">
        <f>IF(使用レシピ!G104="","",MATCH(使用レシピ!G104,使用レシピ!$E:$E,0)-1)</f>
        <v>104</v>
      </c>
      <c r="D104" t="str">
        <f>IF(使用レシピ!H104="","",MATCH(使用レシピ!H104,使用レシピ!$E:$E,0)-1)</f>
        <v/>
      </c>
      <c r="E104" t="str">
        <f>IF(使用レシピ!I104="","",MATCH(使用レシピ!I104,使用レシピ!$E:$E,0)-1)</f>
        <v/>
      </c>
      <c r="F104">
        <f>IF(使用レシピ!J104="","",MATCH(使用レシピ!J104,使用レシピ!$E:$E,0)-1)</f>
        <v>47</v>
      </c>
      <c r="G104">
        <f>使用レシピ!K104</f>
        <v>24</v>
      </c>
      <c r="H104">
        <f>使用レシピ!L104</f>
        <v>2</v>
      </c>
      <c r="I104" t="str">
        <f>使用レシピ!M104</f>
        <v/>
      </c>
      <c r="J104" t="str">
        <f>使用レシピ!N104</f>
        <v/>
      </c>
      <c r="K104">
        <f>使用レシピ!O104</f>
        <v>15</v>
      </c>
      <c r="L104">
        <f>使用レシピ!P104</f>
        <v>12</v>
      </c>
      <c r="M104">
        <f>使用レシピ!Q104</f>
        <v>60</v>
      </c>
    </row>
    <row r="105" spans="1:13" x14ac:dyDescent="0.4">
      <c r="A105">
        <f>使用レシピ!D105</f>
        <v>104</v>
      </c>
      <c r="B105">
        <f>IF(使用レシピ!F105="","",MATCH(使用レシピ!F105,使用レシピ!$E:$E,0)-1)</f>
        <v>99</v>
      </c>
      <c r="C105">
        <f>IF(使用レシピ!G105="","",MATCH(使用レシピ!G105,使用レシピ!$E:$E,0)-1)</f>
        <v>56</v>
      </c>
      <c r="D105">
        <f>IF(使用レシピ!H105="","",MATCH(使用レシピ!H105,使用レシピ!$E:$E,0)-1)</f>
        <v>3</v>
      </c>
      <c r="E105" t="str">
        <f>IF(使用レシピ!I105="","",MATCH(使用レシピ!I105,使用レシピ!$E:$E,0)-1)</f>
        <v/>
      </c>
      <c r="F105" t="str">
        <f>IF(使用レシピ!J105="","",MATCH(使用レシピ!J105,使用レシピ!$E:$E,0)-1)</f>
        <v/>
      </c>
      <c r="G105">
        <f>使用レシピ!K105</f>
        <v>12</v>
      </c>
      <c r="H105">
        <f>使用レシピ!L105</f>
        <v>3</v>
      </c>
      <c r="I105">
        <f>使用レシピ!M105</f>
        <v>1</v>
      </c>
      <c r="J105" t="str">
        <f>使用レシピ!N105</f>
        <v/>
      </c>
      <c r="K105" t="str">
        <f>使用レシピ!O105</f>
        <v/>
      </c>
      <c r="L105">
        <f>使用レシピ!P105</f>
        <v>3</v>
      </c>
      <c r="M105">
        <f>使用レシピ!Q105</f>
        <v>30</v>
      </c>
    </row>
    <row r="106" spans="1:13" x14ac:dyDescent="0.4">
      <c r="A106">
        <f>使用レシピ!D106</f>
        <v>105</v>
      </c>
      <c r="B106">
        <f>IF(使用レシピ!F106="","",MATCH(使用レシピ!F106,使用レシピ!$E:$E,0)-1)</f>
        <v>101</v>
      </c>
      <c r="C106">
        <f>IF(使用レシピ!G106="","",MATCH(使用レシピ!G106,使用レシピ!$E:$E,0)-1)</f>
        <v>93</v>
      </c>
      <c r="D106">
        <f>IF(使用レシピ!H106="","",MATCH(使用レシピ!H106,使用レシピ!$E:$E,0)-1)</f>
        <v>44</v>
      </c>
      <c r="E106">
        <f>IF(使用レシピ!I106="","",MATCH(使用レシピ!I106,使用レシピ!$E:$E,0)-1)</f>
        <v>57</v>
      </c>
      <c r="F106" t="str">
        <f>IF(使用レシピ!J106="","",MATCH(使用レシピ!J106,使用レシピ!$E:$E,0)-1)</f>
        <v/>
      </c>
      <c r="G106">
        <f>使用レシピ!K106</f>
        <v>4</v>
      </c>
      <c r="H106">
        <f>使用レシピ!L106</f>
        <v>2</v>
      </c>
      <c r="I106">
        <f>使用レシピ!M106</f>
        <v>4</v>
      </c>
      <c r="J106">
        <f>使用レシピ!N106</f>
        <v>24</v>
      </c>
      <c r="K106" t="str">
        <f>使用レシピ!O106</f>
        <v/>
      </c>
      <c r="L106">
        <f>使用レシピ!P106</f>
        <v>1</v>
      </c>
      <c r="M106">
        <f>使用レシピ!Q106</f>
        <v>1.875</v>
      </c>
    </row>
    <row r="107" spans="1:13" x14ac:dyDescent="0.4">
      <c r="A107">
        <f>使用レシピ!D107</f>
        <v>106</v>
      </c>
      <c r="B107">
        <f>IF(使用レシピ!F107="","",MATCH(使用レシピ!F107,使用レシピ!$E:$E,0)-1)</f>
        <v>72</v>
      </c>
      <c r="C107">
        <f>IF(使用レシピ!G107="","",MATCH(使用レシピ!G107,使用レシピ!$E:$E,0)-1)</f>
        <v>105</v>
      </c>
      <c r="D107">
        <f>IF(使用レシピ!H107="","",MATCH(使用レシピ!H107,使用レシピ!$E:$E,0)-1)</f>
        <v>101</v>
      </c>
      <c r="E107">
        <f>IF(使用レシピ!I107="","",MATCH(使用レシピ!I107,使用レシピ!$E:$E,0)-1)</f>
        <v>102</v>
      </c>
      <c r="F107" t="str">
        <f>IF(使用レシピ!J107="","",MATCH(使用レシピ!J107,使用レシピ!$E:$E,0)-1)</f>
        <v/>
      </c>
      <c r="G107">
        <f>使用レシピ!K107</f>
        <v>5</v>
      </c>
      <c r="H107">
        <f>使用レシピ!L107</f>
        <v>2</v>
      </c>
      <c r="I107">
        <f>使用レシピ!M107</f>
        <v>6</v>
      </c>
      <c r="J107">
        <f>使用レシピ!N107</f>
        <v>2</v>
      </c>
      <c r="K107" t="str">
        <f>使用レシピ!O107</f>
        <v/>
      </c>
      <c r="L107">
        <f>使用レシピ!P107</f>
        <v>2</v>
      </c>
      <c r="M107">
        <f>使用レシピ!Q107</f>
        <v>1</v>
      </c>
    </row>
    <row r="108" spans="1:13" x14ac:dyDescent="0.4">
      <c r="A108">
        <f>使用レシピ!D108</f>
        <v>107</v>
      </c>
      <c r="B108">
        <f>IF(使用レシピ!F108="","",MATCH(使用レシピ!F108,使用レシピ!$E:$E,0)-1)</f>
        <v>108</v>
      </c>
      <c r="C108">
        <f>IF(使用レシピ!G108="","",MATCH(使用レシピ!G108,使用レシピ!$E:$E,0)-1)</f>
        <v>60</v>
      </c>
      <c r="D108">
        <f>IF(使用レシピ!H108="","",MATCH(使用レシピ!H108,使用レシピ!$E:$E,0)-1)</f>
        <v>32</v>
      </c>
      <c r="E108">
        <f>IF(使用レシピ!I108="","",MATCH(使用レシピ!I108,使用レシピ!$E:$E,0)-1)</f>
        <v>35</v>
      </c>
      <c r="F108" t="str">
        <f>IF(使用レシピ!J108="","",MATCH(使用レシピ!J108,使用レシピ!$E:$E,0)-1)</f>
        <v/>
      </c>
      <c r="G108">
        <f>使用レシピ!K108</f>
        <v>5</v>
      </c>
      <c r="H108">
        <f>使用レシピ!L108</f>
        <v>3</v>
      </c>
      <c r="I108">
        <f>使用レシピ!M108</f>
        <v>5</v>
      </c>
      <c r="J108">
        <f>使用レシピ!N108</f>
        <v>15</v>
      </c>
      <c r="K108" t="str">
        <f>使用レシピ!O108</f>
        <v/>
      </c>
      <c r="L108">
        <f>使用レシピ!P108</f>
        <v>4</v>
      </c>
      <c r="M108">
        <f>使用レシピ!Q108</f>
        <v>20</v>
      </c>
    </row>
    <row r="109" spans="1:13" x14ac:dyDescent="0.4">
      <c r="A109">
        <f>使用レシピ!D109</f>
        <v>108</v>
      </c>
      <c r="B109" t="str">
        <f>IF(使用レシピ!F109="","",MATCH(使用レシピ!F109,使用レシピ!$E:$E,0)-1)</f>
        <v/>
      </c>
      <c r="C109" t="str">
        <f>IF(使用レシピ!G109="","",MATCH(使用レシピ!G109,使用レシピ!$E:$E,0)-1)</f>
        <v/>
      </c>
      <c r="D109" t="str">
        <f>IF(使用レシピ!H109="","",MATCH(使用レシピ!H109,使用レシピ!$E:$E,0)-1)</f>
        <v/>
      </c>
      <c r="E109" t="str">
        <f>IF(使用レシピ!I109="","",MATCH(使用レシピ!I109,使用レシピ!$E:$E,0)-1)</f>
        <v/>
      </c>
      <c r="F109" t="str">
        <f>IF(使用レシピ!J109="","",MATCH(使用レシピ!J109,使用レシピ!$E:$E,0)-1)</f>
        <v/>
      </c>
      <c r="G109" t="str">
        <f>使用レシピ!K109</f>
        <v/>
      </c>
      <c r="H109" t="str">
        <f>使用レシピ!L109</f>
        <v/>
      </c>
      <c r="I109" t="str">
        <f>使用レシピ!M109</f>
        <v/>
      </c>
      <c r="J109" t="str">
        <f>使用レシピ!N109</f>
        <v/>
      </c>
      <c r="K109" t="str">
        <f>使用レシピ!O109</f>
        <v/>
      </c>
      <c r="L109">
        <f>使用レシピ!P109</f>
        <v>1</v>
      </c>
      <c r="M109">
        <f>使用レシピ!Q109</f>
        <v>1200</v>
      </c>
    </row>
    <row r="110" spans="1:13" x14ac:dyDescent="0.4">
      <c r="A110">
        <f>使用レシピ!D110</f>
        <v>109</v>
      </c>
      <c r="B110">
        <f>IF(使用レシピ!F110="","",MATCH(使用レシピ!F110,使用レシピ!$E:$E,0)-1)</f>
        <v>43</v>
      </c>
      <c r="C110">
        <f>IF(使用レシピ!G110="","",MATCH(使用レシピ!G110,使用レシピ!$E:$E,0)-1)</f>
        <v>50</v>
      </c>
      <c r="D110" t="str">
        <f>IF(使用レシピ!H110="","",MATCH(使用レシピ!H110,使用レシピ!$E:$E,0)-1)</f>
        <v/>
      </c>
      <c r="E110" t="str">
        <f>IF(使用レシピ!I110="","",MATCH(使用レシピ!I110,使用レシピ!$E:$E,0)-1)</f>
        <v/>
      </c>
      <c r="F110" t="str">
        <f>IF(使用レシピ!J110="","",MATCH(使用レシピ!J110,使用レシピ!$E:$E,0)-1)</f>
        <v/>
      </c>
      <c r="G110">
        <f>使用レシピ!K110</f>
        <v>3</v>
      </c>
      <c r="H110">
        <f>使用レシピ!L110</f>
        <v>2</v>
      </c>
      <c r="I110" t="str">
        <f>使用レシピ!M110</f>
        <v/>
      </c>
      <c r="J110" t="str">
        <f>使用レシピ!N110</f>
        <v/>
      </c>
      <c r="K110" t="str">
        <f>使用レシピ!O110</f>
        <v/>
      </c>
      <c r="L110">
        <f>使用レシピ!P110</f>
        <v>2</v>
      </c>
      <c r="M110">
        <f>使用レシピ!Q110</f>
        <v>4</v>
      </c>
    </row>
    <row r="111" spans="1:13" x14ac:dyDescent="0.4">
      <c r="A111">
        <f>使用レシピ!D111</f>
        <v>110</v>
      </c>
      <c r="B111">
        <f>IF(使用レシピ!F111="","",MATCH(使用レシピ!F111,使用レシピ!$E:$E,0)-1)</f>
        <v>107</v>
      </c>
      <c r="C111">
        <f>IF(使用レシピ!G111="","",MATCH(使用レシピ!G111,使用レシピ!$E:$E,0)-1)</f>
        <v>109</v>
      </c>
      <c r="D111">
        <f>IF(使用レシピ!H111="","",MATCH(使用レシピ!H111,使用レシピ!$E:$E,0)-1)</f>
        <v>61</v>
      </c>
      <c r="E111">
        <f>IF(使用レシピ!I111="","",MATCH(使用レシピ!I111,使用レシピ!$E:$E,0)-1)</f>
        <v>26</v>
      </c>
      <c r="F111" t="str">
        <f>IF(使用レシピ!J111="","",MATCH(使用レシピ!J111,使用レシピ!$E:$E,0)-1)</f>
        <v/>
      </c>
      <c r="G111">
        <f>使用レシピ!K111</f>
        <v>100</v>
      </c>
      <c r="H111">
        <f>使用レシピ!L111</f>
        <v>10</v>
      </c>
      <c r="I111">
        <f>使用レシピ!M111</f>
        <v>3</v>
      </c>
      <c r="J111">
        <f>使用レシピ!N111</f>
        <v>10</v>
      </c>
      <c r="K111" t="str">
        <f>使用レシピ!O111</f>
        <v/>
      </c>
      <c r="L111">
        <f>使用レシピ!P111</f>
        <v>3</v>
      </c>
      <c r="M111">
        <f>使用レシピ!Q111</f>
        <v>0.6</v>
      </c>
    </row>
    <row r="112" spans="1:13" x14ac:dyDescent="0.4">
      <c r="A112">
        <f>使用レシピ!D112</f>
        <v>111</v>
      </c>
      <c r="B112">
        <f>IF(使用レシピ!F112="","",MATCH(使用レシピ!F112,使用レシピ!$E:$E,0)-1)</f>
        <v>39</v>
      </c>
      <c r="C112">
        <f>IF(使用レシピ!G112="","",MATCH(使用レシピ!G112,使用レシピ!$E:$E,0)-1)</f>
        <v>109</v>
      </c>
      <c r="D112" t="str">
        <f>IF(使用レシピ!H112="","",MATCH(使用レシピ!H112,使用レシピ!$E:$E,0)-1)</f>
        <v/>
      </c>
      <c r="E112" t="str">
        <f>IF(使用レシピ!I112="","",MATCH(使用レシピ!I112,使用レシピ!$E:$E,0)-1)</f>
        <v/>
      </c>
      <c r="F112" t="str">
        <f>IF(使用レシピ!J112="","",MATCH(使用レシピ!J112,使用レシピ!$E:$E,0)-1)</f>
        <v/>
      </c>
      <c r="G112">
        <f>使用レシピ!K112</f>
        <v>5</v>
      </c>
      <c r="H112">
        <f>使用レシピ!L112</f>
        <v>2</v>
      </c>
      <c r="I112" t="str">
        <f>使用レシピ!M112</f>
        <v/>
      </c>
      <c r="J112" t="str">
        <f>使用レシピ!N112</f>
        <v/>
      </c>
      <c r="K112" t="str">
        <f>使用レシピ!O112</f>
        <v/>
      </c>
      <c r="L112">
        <f>使用レシピ!P112</f>
        <v>2</v>
      </c>
      <c r="M112">
        <f>使用レシピ!Q112</f>
        <v>1</v>
      </c>
    </row>
    <row r="113" spans="1:13" x14ac:dyDescent="0.4">
      <c r="A113">
        <f>使用レシピ!D113</f>
        <v>112</v>
      </c>
      <c r="B113">
        <f>IF(使用レシピ!F113="","",MATCH(使用レシピ!F113,使用レシピ!$E:$E,0)-1)</f>
        <v>104</v>
      </c>
      <c r="C113">
        <f>IF(使用レシピ!G113="","",MATCH(使用レシピ!G113,使用レシピ!$E:$E,0)-1)</f>
        <v>97</v>
      </c>
      <c r="D113" t="str">
        <f>IF(使用レシピ!H113="","",MATCH(使用レシピ!H113,使用レシピ!$E:$E,0)-1)</f>
        <v/>
      </c>
      <c r="E113" t="str">
        <f>IF(使用レシピ!I113="","",MATCH(使用レシピ!I113,使用レシピ!$E:$E,0)-1)</f>
        <v/>
      </c>
      <c r="F113" t="str">
        <f>IF(使用レシピ!J113="","",MATCH(使用レシピ!J113,使用レシピ!$E:$E,0)-1)</f>
        <v/>
      </c>
      <c r="G113">
        <f>使用レシピ!K113</f>
        <v>1</v>
      </c>
      <c r="H113">
        <f>使用レシピ!L113</f>
        <v>1</v>
      </c>
      <c r="I113" t="str">
        <f>使用レシピ!M113</f>
        <v/>
      </c>
      <c r="J113" t="str">
        <f>使用レシピ!N113</f>
        <v/>
      </c>
      <c r="K113" t="str">
        <f>使用レシピ!O113</f>
        <v/>
      </c>
      <c r="L113">
        <f>使用レシピ!P113</f>
        <v>1</v>
      </c>
      <c r="M113">
        <f>使用レシピ!Q113</f>
        <v>30</v>
      </c>
    </row>
    <row r="114" spans="1:13" x14ac:dyDescent="0.4">
      <c r="A114">
        <f>使用レシピ!D114</f>
        <v>113</v>
      </c>
      <c r="B114">
        <f>IF(使用レシピ!F114="","",MATCH(使用レシピ!F114,使用レシピ!$E:$E,0)-1)</f>
        <v>114</v>
      </c>
      <c r="C114">
        <f>IF(使用レシピ!G114="","",MATCH(使用レシピ!G114,使用レシピ!$E:$E,0)-1)</f>
        <v>60</v>
      </c>
      <c r="D114">
        <f>IF(使用レシピ!H114="","",MATCH(使用レシピ!H114,使用レシピ!$E:$E,0)-1)</f>
        <v>104</v>
      </c>
      <c r="E114">
        <f>IF(使用レシピ!I114="","",MATCH(使用レシピ!I114,使用レシピ!$E:$E,0)-1)</f>
        <v>90</v>
      </c>
      <c r="F114">
        <f>IF(使用レシピ!J114="","",MATCH(使用レシピ!J114,使用レシピ!$E:$E,0)-1)</f>
        <v>56</v>
      </c>
      <c r="G114">
        <f>使用レシピ!K114</f>
        <v>15</v>
      </c>
      <c r="H114">
        <f>使用レシピ!L114</f>
        <v>10</v>
      </c>
      <c r="I114">
        <f>使用レシピ!M114</f>
        <v>6</v>
      </c>
      <c r="J114">
        <f>使用レシピ!N114</f>
        <v>6</v>
      </c>
      <c r="K114">
        <f>使用レシピ!O114</f>
        <v>6</v>
      </c>
      <c r="L114">
        <f>使用レシピ!P114</f>
        <v>20</v>
      </c>
      <c r="M114">
        <f>使用レシピ!Q114</f>
        <v>50</v>
      </c>
    </row>
    <row r="115" spans="1:13" x14ac:dyDescent="0.4">
      <c r="A115">
        <f>使用レシピ!D115</f>
        <v>114</v>
      </c>
      <c r="B115">
        <f>IF(使用レシピ!F115="","",MATCH(使用レシピ!F115,使用レシピ!$E:$E,0)-1)</f>
        <v>110</v>
      </c>
      <c r="C115">
        <f>IF(使用レシピ!G115="","",MATCH(使用レシピ!G115,使用レシピ!$E:$E,0)-1)</f>
        <v>56</v>
      </c>
      <c r="D115" t="str">
        <f>IF(使用レシピ!H115="","",MATCH(使用レシピ!H115,使用レシピ!$E:$E,0)-1)</f>
        <v/>
      </c>
      <c r="E115" t="str">
        <f>IF(使用レシピ!I115="","",MATCH(使用レシピ!I115,使用レシピ!$E:$E,0)-1)</f>
        <v/>
      </c>
      <c r="F115" t="str">
        <f>IF(使用レシピ!J115="","",MATCH(使用レシピ!J115,使用レシピ!$E:$E,0)-1)</f>
        <v/>
      </c>
      <c r="G115">
        <f>使用レシピ!K115</f>
        <v>1</v>
      </c>
      <c r="H115">
        <f>使用レシピ!L115</f>
        <v>1200</v>
      </c>
      <c r="I115" t="str">
        <f>使用レシピ!M115</f>
        <v/>
      </c>
      <c r="J115" t="str">
        <f>使用レシピ!N115</f>
        <v/>
      </c>
      <c r="K115" t="str">
        <f>使用レシピ!O115</f>
        <v/>
      </c>
      <c r="L115">
        <f>使用レシピ!P115</f>
        <v>50</v>
      </c>
      <c r="M115">
        <f>使用レシピ!Q115</f>
        <v>10</v>
      </c>
    </row>
    <row r="116" spans="1:13" x14ac:dyDescent="0.4">
      <c r="A116">
        <f>使用レシピ!D116</f>
        <v>115</v>
      </c>
      <c r="B116">
        <f>IF(使用レシピ!F116="","",MATCH(使用レシピ!F116,使用レシピ!$E:$E,0)-1)</f>
        <v>113</v>
      </c>
      <c r="C116">
        <f>IF(使用レシピ!G116="","",MATCH(使用レシピ!G116,使用レシピ!$E:$E,0)-1)</f>
        <v>114</v>
      </c>
      <c r="D116" t="str">
        <f>IF(使用レシピ!H116="","",MATCH(使用レシピ!H116,使用レシピ!$E:$E,0)-1)</f>
        <v/>
      </c>
      <c r="E116" t="str">
        <f>IF(使用レシピ!I116="","",MATCH(使用レシピ!I116,使用レシピ!$E:$E,0)-1)</f>
        <v/>
      </c>
      <c r="F116" t="str">
        <f>IF(使用レシピ!J116="","",MATCH(使用レシピ!J116,使用レシピ!$E:$E,0)-1)</f>
        <v/>
      </c>
      <c r="G116">
        <f>使用レシピ!K116</f>
        <v>100</v>
      </c>
      <c r="H116">
        <f>使用レシピ!L116</f>
        <v>25</v>
      </c>
      <c r="I116" t="str">
        <f>使用レシピ!M116</f>
        <v/>
      </c>
      <c r="J116" t="str">
        <f>使用レシピ!N116</f>
        <v/>
      </c>
      <c r="K116" t="str">
        <f>使用レシピ!O116</f>
        <v/>
      </c>
      <c r="L116">
        <f>使用レシピ!P116</f>
        <v>30</v>
      </c>
      <c r="M116">
        <f>使用レシピ!Q116</f>
        <v>30</v>
      </c>
    </row>
    <row r="117" spans="1:13" x14ac:dyDescent="0.4">
      <c r="A117">
        <f>使用レシピ!D117</f>
        <v>116</v>
      </c>
      <c r="B117">
        <f>IF(使用レシピ!F117="","",MATCH(使用レシピ!F117,使用レシピ!$E:$E,0)-1)</f>
        <v>113</v>
      </c>
      <c r="C117">
        <f>IF(使用レシピ!G117="","",MATCH(使用レシピ!G117,使用レシピ!$E:$E,0)-1)</f>
        <v>86</v>
      </c>
      <c r="D117" t="str">
        <f>IF(使用レシピ!H117="","",MATCH(使用レシピ!H117,使用レシピ!$E:$E,0)-1)</f>
        <v/>
      </c>
      <c r="E117" t="str">
        <f>IF(使用レシピ!I117="","",MATCH(使用レシピ!I117,使用レシピ!$E:$E,0)-1)</f>
        <v/>
      </c>
      <c r="F117" t="str">
        <f>IF(使用レシピ!J117="","",MATCH(使用レシピ!J117,使用レシピ!$E:$E,0)-1)</f>
        <v/>
      </c>
      <c r="G117">
        <f>使用レシピ!K117</f>
        <v>150</v>
      </c>
      <c r="H117">
        <f>使用レシピ!L117</f>
        <v>20</v>
      </c>
      <c r="I117" t="str">
        <f>使用レシピ!M117</f>
        <v/>
      </c>
      <c r="J117" t="str">
        <f>使用レシピ!N117</f>
        <v/>
      </c>
      <c r="K117" t="str">
        <f>使用レシピ!O117</f>
        <v/>
      </c>
      <c r="L117">
        <f>使用レシピ!P117</f>
        <v>20</v>
      </c>
      <c r="M117">
        <f>使用レシピ!Q117</f>
        <v>10</v>
      </c>
    </row>
    <row r="118" spans="1:13" x14ac:dyDescent="0.4">
      <c r="A118">
        <f>使用レシピ!D118</f>
        <v>117</v>
      </c>
      <c r="B118">
        <f>IF(使用レシピ!F118="","",MATCH(使用レシピ!F118,使用レシピ!$E:$E,0)-1)</f>
        <v>116</v>
      </c>
      <c r="C118">
        <f>IF(使用レシピ!G118="","",MATCH(使用レシピ!G118,使用レシピ!$E:$E,0)-1)</f>
        <v>119</v>
      </c>
      <c r="D118" t="str">
        <f>IF(使用レシピ!H118="","",MATCH(使用レシピ!H118,使用レシピ!$E:$E,0)-1)</f>
        <v/>
      </c>
      <c r="E118" t="str">
        <f>IF(使用レシピ!I118="","",MATCH(使用レシピ!I118,使用レシピ!$E:$E,0)-1)</f>
        <v/>
      </c>
      <c r="F118" t="str">
        <f>IF(使用レシピ!J118="","",MATCH(使用レシピ!J118,使用レシピ!$E:$E,0)-1)</f>
        <v/>
      </c>
      <c r="G118">
        <f>使用レシピ!K118</f>
        <v>20</v>
      </c>
      <c r="H118">
        <f>使用レシピ!L118</f>
        <v>1</v>
      </c>
      <c r="I118" t="str">
        <f>使用レシピ!M118</f>
        <v/>
      </c>
      <c r="J118" t="str">
        <f>使用レシピ!N118</f>
        <v/>
      </c>
      <c r="K118" t="str">
        <f>使用レシピ!O118</f>
        <v/>
      </c>
      <c r="L118">
        <f>使用レシピ!P118</f>
        <v>1</v>
      </c>
      <c r="M118">
        <f>使用レシピ!Q118</f>
        <v>0.5</v>
      </c>
    </row>
    <row r="119" spans="1:13" x14ac:dyDescent="0.4">
      <c r="A119">
        <f>使用レシピ!D119</f>
        <v>118</v>
      </c>
      <c r="B119">
        <f>IF(使用レシピ!F119="","",MATCH(使用レシピ!F119,使用レシピ!$E:$E,0)-1)</f>
        <v>8</v>
      </c>
      <c r="C119" t="str">
        <f>IF(使用レシピ!G119="","",MATCH(使用レシピ!G119,使用レシピ!$E:$E,0)-1)</f>
        <v/>
      </c>
      <c r="D119" t="str">
        <f>IF(使用レシピ!H119="","",MATCH(使用レシピ!H119,使用レシピ!$E:$E,0)-1)</f>
        <v/>
      </c>
      <c r="E119" t="str">
        <f>IF(使用レシピ!I119="","",MATCH(使用レシピ!I119,使用レシピ!$E:$E,0)-1)</f>
        <v/>
      </c>
      <c r="F119" t="str">
        <f>IF(使用レシピ!J119="","",MATCH(使用レシピ!J119,使用レシピ!$E:$E,0)-1)</f>
        <v/>
      </c>
      <c r="G119">
        <f>使用レシピ!K119</f>
        <v>30</v>
      </c>
      <c r="H119" t="str">
        <f>使用レシピ!L119</f>
        <v/>
      </c>
      <c r="I119" t="str">
        <f>使用レシピ!M119</f>
        <v/>
      </c>
      <c r="J119" t="str">
        <f>使用レシピ!N119</f>
        <v/>
      </c>
      <c r="K119" t="str">
        <f>使用レシピ!O119</f>
        <v/>
      </c>
      <c r="L119">
        <f>使用レシピ!P119</f>
        <v>5</v>
      </c>
      <c r="M119">
        <f>使用レシピ!Q119</f>
        <v>50</v>
      </c>
    </row>
    <row r="120" spans="1:13" x14ac:dyDescent="0.4">
      <c r="A120">
        <f>使用レシピ!D120</f>
        <v>119</v>
      </c>
      <c r="B120">
        <f>IF(使用レシピ!F120="","",MATCH(使用レシピ!F120,使用レシピ!$E:$E,0)-1)</f>
        <v>102</v>
      </c>
      <c r="C120">
        <f>IF(使用レシピ!G120="","",MATCH(使用レシピ!G120,使用レシピ!$E:$E,0)-1)</f>
        <v>93</v>
      </c>
      <c r="D120" t="str">
        <f>IF(使用レシピ!H120="","",MATCH(使用レシピ!H120,使用レシピ!$E:$E,0)-1)</f>
        <v/>
      </c>
      <c r="E120" t="str">
        <f>IF(使用レシピ!I120="","",MATCH(使用レシピ!I120,使用レシピ!$E:$E,0)-1)</f>
        <v/>
      </c>
      <c r="F120" t="str">
        <f>IF(使用レシピ!J120="","",MATCH(使用レシピ!J120,使用レシピ!$E:$E,0)-1)</f>
        <v/>
      </c>
      <c r="G120">
        <f>使用レシピ!K120</f>
        <v>1</v>
      </c>
      <c r="H120">
        <f>使用レシピ!L120</f>
        <v>2</v>
      </c>
      <c r="I120" t="str">
        <f>使用レシピ!M120</f>
        <v/>
      </c>
      <c r="J120" t="str">
        <f>使用レシピ!N120</f>
        <v/>
      </c>
      <c r="K120" t="str">
        <f>使用レシピ!O120</f>
        <v/>
      </c>
      <c r="L120">
        <f>使用レシピ!P120</f>
        <v>1</v>
      </c>
      <c r="M120">
        <f>使用レシピ!Q120</f>
        <v>1</v>
      </c>
    </row>
    <row r="121" spans="1:13" x14ac:dyDescent="0.4">
      <c r="A121">
        <f>使用レシピ!D121</f>
        <v>120</v>
      </c>
      <c r="B121">
        <f>IF(使用レシピ!F121="","",MATCH(使用レシピ!F121,使用レシピ!$E:$E,0)-1)</f>
        <v>118</v>
      </c>
      <c r="C121">
        <f>IF(使用レシピ!G121="","",MATCH(使用レシピ!G121,使用レシピ!$E:$E,0)-1)</f>
        <v>119</v>
      </c>
      <c r="D121" t="str">
        <f>IF(使用レシピ!H121="","",MATCH(使用レシピ!H121,使用レシピ!$E:$E,0)-1)</f>
        <v/>
      </c>
      <c r="E121" t="str">
        <f>IF(使用レシピ!I121="","",MATCH(使用レシピ!I121,使用レシピ!$E:$E,0)-1)</f>
        <v/>
      </c>
      <c r="F121" t="str">
        <f>IF(使用レシピ!J121="","",MATCH(使用レシピ!J121,使用レシピ!$E:$E,0)-1)</f>
        <v/>
      </c>
      <c r="G121">
        <f>使用レシピ!K121</f>
        <v>200</v>
      </c>
      <c r="H121">
        <f>使用レシピ!L121</f>
        <v>1</v>
      </c>
      <c r="I121" t="str">
        <f>使用レシピ!M121</f>
        <v/>
      </c>
      <c r="J121" t="str">
        <f>使用レシピ!N121</f>
        <v/>
      </c>
      <c r="K121" t="str">
        <f>使用レシピ!O121</f>
        <v/>
      </c>
      <c r="L121">
        <f>使用レシピ!P121</f>
        <v>1</v>
      </c>
      <c r="M121">
        <f>使用レシピ!Q121</f>
        <v>0.5</v>
      </c>
    </row>
    <row r="122" spans="1:13" x14ac:dyDescent="0.4">
      <c r="A122">
        <f>使用レシピ!D122</f>
        <v>121</v>
      </c>
      <c r="B122">
        <f>IF(使用レシピ!F122="","",MATCH(使用レシピ!F122,使用レシピ!$E:$E,0)-1)</f>
        <v>40</v>
      </c>
      <c r="C122">
        <f>IF(使用レシピ!G122="","",MATCH(使用レシピ!G122,使用レシピ!$E:$E,0)-1)</f>
        <v>1</v>
      </c>
      <c r="D122" t="str">
        <f>IF(使用レシピ!H122="","",MATCH(使用レシピ!H122,使用レシピ!$E:$E,0)-1)</f>
        <v/>
      </c>
      <c r="E122" t="str">
        <f>IF(使用レシピ!I122="","",MATCH(使用レシピ!I122,使用レシピ!$E:$E,0)-1)</f>
        <v/>
      </c>
      <c r="F122" t="str">
        <f>IF(使用レシピ!J122="","",MATCH(使用レシピ!J122,使用レシピ!$E:$E,0)-1)</f>
        <v/>
      </c>
      <c r="G122">
        <f>使用レシピ!K122</f>
        <v>4</v>
      </c>
      <c r="H122">
        <f>使用レシピ!L122</f>
        <v>24</v>
      </c>
      <c r="I122" t="str">
        <f>使用レシピ!M122</f>
        <v/>
      </c>
      <c r="J122" t="str">
        <f>使用レシピ!N122</f>
        <v/>
      </c>
      <c r="K122" t="str">
        <f>使用レシピ!O122</f>
        <v/>
      </c>
      <c r="L122">
        <f>使用レシピ!P122</f>
        <v>1</v>
      </c>
      <c r="M122">
        <f>使用レシピ!Q122</f>
        <v>10</v>
      </c>
    </row>
    <row r="123" spans="1:13" x14ac:dyDescent="0.4">
      <c r="A123">
        <f>使用レシピ!D123</f>
        <v>122</v>
      </c>
      <c r="B123">
        <f>IF(使用レシピ!F123="","",MATCH(使用レシピ!F123,使用レシピ!$E:$E,0)-1)</f>
        <v>121</v>
      </c>
      <c r="C123" t="str">
        <f>IF(使用レシピ!G123="","",MATCH(使用レシピ!G123,使用レシピ!$E:$E,0)-1)</f>
        <v/>
      </c>
      <c r="D123" t="str">
        <f>IF(使用レシピ!H123="","",MATCH(使用レシピ!H123,使用レシピ!$E:$E,0)-1)</f>
        <v/>
      </c>
      <c r="E123" t="str">
        <f>IF(使用レシピ!I123="","",MATCH(使用レシピ!I123,使用レシピ!$E:$E,0)-1)</f>
        <v/>
      </c>
      <c r="F123" t="str">
        <f>IF(使用レシピ!J123="","",MATCH(使用レシピ!J123,使用レシピ!$E:$E,0)-1)</f>
        <v/>
      </c>
      <c r="G123">
        <f>使用レシピ!K123</f>
        <v>1</v>
      </c>
      <c r="H123" t="str">
        <f>使用レシピ!L123</f>
        <v/>
      </c>
      <c r="I123" t="str">
        <f>使用レシピ!M123</f>
        <v/>
      </c>
      <c r="J123" t="str">
        <f>使用レシピ!N123</f>
        <v/>
      </c>
      <c r="K123" t="str">
        <f>使用レシピ!O123</f>
        <v/>
      </c>
      <c r="L123">
        <f>使用レシピ!P123</f>
        <v>3</v>
      </c>
      <c r="M123">
        <f>使用レシピ!Q123</f>
        <v>30</v>
      </c>
    </row>
    <row r="124" spans="1:13" x14ac:dyDescent="0.4">
      <c r="A124">
        <f>使用レシピ!D124</f>
        <v>123</v>
      </c>
      <c r="B124">
        <f>IF(使用レシピ!F124="","",MATCH(使用レシピ!F124,使用レシピ!$E:$E,0)-1)</f>
        <v>31</v>
      </c>
      <c r="C124" t="str">
        <f>IF(使用レシピ!G124="","",MATCH(使用レシピ!G124,使用レシピ!$E:$E,0)-1)</f>
        <v/>
      </c>
      <c r="D124" t="str">
        <f>IF(使用レシピ!H124="","",MATCH(使用レシピ!H124,使用レシピ!$E:$E,0)-1)</f>
        <v/>
      </c>
      <c r="E124" t="str">
        <f>IF(使用レシピ!I124="","",MATCH(使用レシピ!I124,使用レシピ!$E:$E,0)-1)</f>
        <v/>
      </c>
      <c r="F124" t="str">
        <f>IF(使用レシピ!J124="","",MATCH(使用レシピ!J124,使用レシピ!$E:$E,0)-1)</f>
        <v/>
      </c>
      <c r="G124">
        <f>使用レシピ!K124</f>
        <v>20</v>
      </c>
      <c r="H124" t="str">
        <f>使用レシピ!L124</f>
        <v/>
      </c>
      <c r="I124" t="str">
        <f>使用レシピ!M124</f>
        <v/>
      </c>
      <c r="J124" t="str">
        <f>使用レシピ!N124</f>
        <v/>
      </c>
      <c r="K124" t="str">
        <f>使用レシピ!O124</f>
        <v/>
      </c>
      <c r="L124">
        <f>使用レシピ!P124</f>
        <v>1</v>
      </c>
      <c r="M124">
        <f>使用レシピ!Q124</f>
        <v>30</v>
      </c>
    </row>
    <row r="125" spans="1:13" x14ac:dyDescent="0.4">
      <c r="A125">
        <f>使用レシピ!D125</f>
        <v>124</v>
      </c>
      <c r="B125">
        <f>IF(使用レシピ!F125="","",MATCH(使用レシピ!F125,使用レシピ!$E:$E,0)-1)</f>
        <v>123</v>
      </c>
      <c r="C125" t="str">
        <f>IF(使用レシピ!G125="","",MATCH(使用レシピ!G125,使用レシピ!$E:$E,0)-1)</f>
        <v/>
      </c>
      <c r="D125" t="str">
        <f>IF(使用レシピ!H125="","",MATCH(使用レシピ!H125,使用レシピ!$E:$E,0)-1)</f>
        <v/>
      </c>
      <c r="E125" t="str">
        <f>IF(使用レシピ!I125="","",MATCH(使用レシピ!I125,使用レシピ!$E:$E,0)-1)</f>
        <v/>
      </c>
      <c r="F125" t="str">
        <f>IF(使用レシピ!J125="","",MATCH(使用レシピ!J125,使用レシピ!$E:$E,0)-1)</f>
        <v/>
      </c>
      <c r="G125">
        <f>使用レシピ!K125</f>
        <v>2</v>
      </c>
      <c r="H125" t="str">
        <f>使用レシピ!L125</f>
        <v/>
      </c>
      <c r="I125" t="str">
        <f>使用レシピ!M125</f>
        <v/>
      </c>
      <c r="J125" t="str">
        <f>使用レシピ!N125</f>
        <v/>
      </c>
      <c r="K125" t="str">
        <f>使用レシピ!O125</f>
        <v/>
      </c>
      <c r="L125">
        <f>使用レシピ!P125</f>
        <v>1</v>
      </c>
      <c r="M125">
        <f>使用レシピ!Q125</f>
        <v>6</v>
      </c>
    </row>
    <row r="126" spans="1:13" x14ac:dyDescent="0.4">
      <c r="A126">
        <f>使用レシピ!D126</f>
        <v>125</v>
      </c>
      <c r="B126">
        <f>IF(使用レシピ!F126="","",MATCH(使用レシピ!F126,使用レシピ!$E:$E,0)-1)</f>
        <v>95</v>
      </c>
      <c r="C126">
        <f>IF(使用レシピ!G126="","",MATCH(使用レシピ!G126,使用レシピ!$E:$E,0)-1)</f>
        <v>122</v>
      </c>
      <c r="D126">
        <f>IF(使用レシピ!H126="","",MATCH(使用レシピ!H126,使用レシピ!$E:$E,0)-1)</f>
        <v>56</v>
      </c>
      <c r="E126" t="str">
        <f>IF(使用レシピ!I126="","",MATCH(使用レシピ!I126,使用レシピ!$E:$E,0)-1)</f>
        <v/>
      </c>
      <c r="F126" t="str">
        <f>IF(使用レシピ!J126="","",MATCH(使用レシピ!J126,使用レシピ!$E:$E,0)-1)</f>
        <v/>
      </c>
      <c r="G126">
        <f>使用レシピ!K126</f>
        <v>1</v>
      </c>
      <c r="H126">
        <f>使用レシピ!L126</f>
        <v>80</v>
      </c>
      <c r="I126">
        <f>使用レシピ!M126</f>
        <v>20</v>
      </c>
      <c r="J126" t="str">
        <f>使用レシピ!N126</f>
        <v/>
      </c>
      <c r="K126" t="str">
        <f>使用レシピ!O126</f>
        <v/>
      </c>
      <c r="L126">
        <f>使用レシピ!P126</f>
        <v>4</v>
      </c>
      <c r="M126">
        <f>使用レシピ!Q126</f>
        <v>2</v>
      </c>
    </row>
    <row r="127" spans="1:13" x14ac:dyDescent="0.4">
      <c r="A127">
        <f>使用レシピ!D127</f>
        <v>126</v>
      </c>
      <c r="B127" t="str">
        <f>IF(使用レシピ!F127="","",MATCH(使用レシピ!F127,使用レシピ!$E:$E,0)-1)</f>
        <v/>
      </c>
      <c r="C127" t="str">
        <f>IF(使用レシピ!G127="","",MATCH(使用レシピ!G127,使用レシピ!$E:$E,0)-1)</f>
        <v/>
      </c>
      <c r="D127" t="str">
        <f>IF(使用レシピ!H127="","",MATCH(使用レシピ!H127,使用レシピ!$E:$E,0)-1)</f>
        <v/>
      </c>
      <c r="E127" t="str">
        <f>IF(使用レシピ!I127="","",MATCH(使用レシピ!I127,使用レシピ!$E:$E,0)-1)</f>
        <v/>
      </c>
      <c r="F127" t="str">
        <f>IF(使用レシピ!J127="","",MATCH(使用レシピ!J127,使用レシピ!$E:$E,0)-1)</f>
        <v/>
      </c>
      <c r="G127" t="str">
        <f>使用レシピ!K127</f>
        <v/>
      </c>
      <c r="H127" t="str">
        <f>使用レシピ!L127</f>
        <v/>
      </c>
      <c r="I127" t="str">
        <f>使用レシピ!M127</f>
        <v/>
      </c>
      <c r="J127" t="str">
        <f>使用レシピ!N127</f>
        <v/>
      </c>
      <c r="K127" t="str">
        <f>使用レシピ!O127</f>
        <v/>
      </c>
      <c r="L127">
        <f>使用レシピ!P127</f>
        <v>10</v>
      </c>
      <c r="M127">
        <f>使用レシピ!Q127</f>
        <v>200</v>
      </c>
    </row>
    <row r="128" spans="1:13" x14ac:dyDescent="0.4">
      <c r="A128">
        <f>使用レシピ!D128</f>
        <v>127</v>
      </c>
      <c r="B128">
        <f>IF(使用レシピ!F128="","",MATCH(使用レシピ!F128,使用レシピ!$E:$E,0)-1)</f>
        <v>40</v>
      </c>
      <c r="C128" t="str">
        <f>IF(使用レシピ!G128="","",MATCH(使用レシピ!G128,使用レシピ!$E:$E,0)-1)</f>
        <v/>
      </c>
      <c r="D128" t="str">
        <f>IF(使用レシピ!H128="","",MATCH(使用レシピ!H128,使用レシピ!$E:$E,0)-1)</f>
        <v/>
      </c>
      <c r="E128" t="str">
        <f>IF(使用レシピ!I128="","",MATCH(使用レシピ!I128,使用レシピ!$E:$E,0)-1)</f>
        <v/>
      </c>
      <c r="F128" t="str">
        <f>IF(使用レシピ!J128="","",MATCH(使用レシピ!J128,使用レシピ!$E:$E,0)-1)</f>
        <v/>
      </c>
      <c r="G128">
        <f>使用レシピ!K128</f>
        <v>5</v>
      </c>
      <c r="H128" t="str">
        <f>使用レシピ!L128</f>
        <v/>
      </c>
      <c r="I128" t="str">
        <f>使用レシピ!M128</f>
        <v/>
      </c>
      <c r="J128" t="str">
        <f>使用レシピ!N128</f>
        <v/>
      </c>
      <c r="K128" t="str">
        <f>使用レシピ!O128</f>
        <v/>
      </c>
      <c r="L128">
        <f>使用レシピ!P128</f>
        <v>10</v>
      </c>
      <c r="M128">
        <f>使用レシピ!Q128</f>
        <v>100</v>
      </c>
    </row>
    <row r="129" spans="1:13" x14ac:dyDescent="0.4">
      <c r="A129">
        <f>使用レシピ!D129</f>
        <v>128</v>
      </c>
      <c r="B129">
        <f>IF(使用レシピ!F129="","",MATCH(使用レシピ!F129,使用レシピ!$E:$E,0)-1)</f>
        <v>123</v>
      </c>
      <c r="C129">
        <f>IF(使用レシピ!G129="","",MATCH(使用レシピ!G129,使用レシピ!$E:$E,0)-1)</f>
        <v>127</v>
      </c>
      <c r="D129" t="str">
        <f>IF(使用レシピ!H129="","",MATCH(使用レシピ!H129,使用レシピ!$E:$E,0)-1)</f>
        <v/>
      </c>
      <c r="E129" t="str">
        <f>IF(使用レシピ!I129="","",MATCH(使用レシピ!I129,使用レシピ!$E:$E,0)-1)</f>
        <v/>
      </c>
      <c r="F129" t="str">
        <f>IF(使用レシピ!J129="","",MATCH(使用レシピ!J129,使用レシピ!$E:$E,0)-1)</f>
        <v/>
      </c>
      <c r="G129">
        <f>使用レシピ!K129</f>
        <v>1</v>
      </c>
      <c r="H129">
        <f>使用レシピ!L129</f>
        <v>5</v>
      </c>
      <c r="I129" t="str">
        <f>使用レシピ!M129</f>
        <v/>
      </c>
      <c r="J129" t="str">
        <f>使用レシピ!N129</f>
        <v/>
      </c>
      <c r="K129" t="str">
        <f>使用レシピ!O129</f>
        <v/>
      </c>
      <c r="L129">
        <f>使用レシピ!P129</f>
        <v>1</v>
      </c>
      <c r="M129">
        <f>使用レシピ!Q129</f>
        <v>30</v>
      </c>
    </row>
    <row r="130" spans="1:13" x14ac:dyDescent="0.4">
      <c r="A130">
        <f>使用レシピ!D130</f>
        <v>129</v>
      </c>
      <c r="B130">
        <f>IF(使用レシピ!F130="","",MATCH(使用レシピ!F130,使用レシピ!$E:$E,0)-1)</f>
        <v>128</v>
      </c>
      <c r="C130">
        <f>IF(使用レシピ!G130="","",MATCH(使用レシピ!G130,使用レシピ!$E:$E,0)-1)</f>
        <v>61</v>
      </c>
      <c r="D130">
        <f>IF(使用レシピ!H130="","",MATCH(使用レシピ!H130,使用レシピ!$E:$E,0)-1)</f>
        <v>85</v>
      </c>
      <c r="E130">
        <f>IF(使用レシピ!I130="","",MATCH(使用レシピ!I130,使用レシピ!$E:$E,0)-1)</f>
        <v>126</v>
      </c>
      <c r="F130">
        <f>IF(使用レシピ!J130="","",MATCH(使用レシピ!J130,使用レシピ!$E:$E,0)-1)</f>
        <v>127</v>
      </c>
      <c r="G130">
        <f>使用レシピ!K130</f>
        <v>6</v>
      </c>
      <c r="H130">
        <f>使用レシピ!L130</f>
        <v>1</v>
      </c>
      <c r="I130">
        <f>使用レシピ!M130</f>
        <v>9</v>
      </c>
      <c r="J130">
        <f>使用レシピ!N130</f>
        <v>25</v>
      </c>
      <c r="K130">
        <f>使用レシピ!O130</f>
        <v>25</v>
      </c>
      <c r="L130">
        <f>使用レシピ!P130</f>
        <v>1</v>
      </c>
      <c r="M130">
        <f>使用レシピ!Q130</f>
        <v>5</v>
      </c>
    </row>
    <row r="131" spans="1:13" x14ac:dyDescent="0.4">
      <c r="A131">
        <f>使用レシピ!D131</f>
        <v>130</v>
      </c>
      <c r="B131">
        <f>IF(使用レシピ!F131="","",MATCH(使用レシピ!F131,使用レシピ!$E:$E,0)-1)</f>
        <v>124</v>
      </c>
      <c r="C131">
        <f>IF(使用レシピ!G131="","",MATCH(使用レシピ!G131,使用レシピ!$E:$E,0)-1)</f>
        <v>94</v>
      </c>
      <c r="D131">
        <f>IF(使用レシピ!H131="","",MATCH(使用レシピ!H131,使用レシピ!$E:$E,0)-1)</f>
        <v>122</v>
      </c>
      <c r="E131">
        <f>IF(使用レシピ!I131="","",MATCH(使用レシピ!I131,使用レシピ!$E:$E,0)-1)</f>
        <v>126</v>
      </c>
      <c r="F131">
        <f>IF(使用レシピ!J131="","",MATCH(使用レシピ!J131,使用レシピ!$E:$E,0)-1)</f>
        <v>127</v>
      </c>
      <c r="G131">
        <f>使用レシピ!K131</f>
        <v>5</v>
      </c>
      <c r="H131">
        <f>使用レシピ!L131</f>
        <v>1</v>
      </c>
      <c r="I131">
        <f>使用レシピ!M131</f>
        <v>15</v>
      </c>
      <c r="J131">
        <f>使用レシピ!N131</f>
        <v>25</v>
      </c>
      <c r="K131">
        <f>使用レシピ!O131</f>
        <v>25</v>
      </c>
      <c r="L131">
        <f>使用レシピ!P131</f>
        <v>1</v>
      </c>
      <c r="M131">
        <f>使用レシピ!Q131</f>
        <v>3</v>
      </c>
    </row>
    <row r="132" spans="1:13" x14ac:dyDescent="0.4">
      <c r="A132">
        <f>使用レシピ!D132</f>
        <v>131</v>
      </c>
      <c r="B132">
        <f>IF(使用レシピ!F132="","",MATCH(使用レシピ!F132,使用レシピ!$E:$E,0)-1)</f>
        <v>111</v>
      </c>
      <c r="C132">
        <f>IF(使用レシピ!G132="","",MATCH(使用レシピ!G132,使用レシピ!$E:$E,0)-1)</f>
        <v>130</v>
      </c>
      <c r="D132">
        <f>IF(使用レシピ!H132="","",MATCH(使用レシピ!H132,使用レシピ!$E:$E,0)-1)</f>
        <v>129</v>
      </c>
      <c r="E132">
        <f>IF(使用レシピ!I132="","",MATCH(使用レシピ!I132,使用レシピ!$E:$E,0)-1)</f>
        <v>126</v>
      </c>
      <c r="F132">
        <f>IF(使用レシピ!J132="","",MATCH(使用レシピ!J132,使用レシピ!$E:$E,0)-1)</f>
        <v>127</v>
      </c>
      <c r="G132">
        <f>使用レシピ!K132</f>
        <v>1</v>
      </c>
      <c r="H132">
        <f>使用レシピ!L132</f>
        <v>1</v>
      </c>
      <c r="I132">
        <f>使用レシピ!M132</f>
        <v>1</v>
      </c>
      <c r="J132">
        <f>使用レシピ!N132</f>
        <v>25</v>
      </c>
      <c r="K132">
        <f>使用レシピ!O132</f>
        <v>25</v>
      </c>
      <c r="L132">
        <f>使用レシピ!P132</f>
        <v>1</v>
      </c>
      <c r="M132">
        <f>使用レシピ!Q132</f>
        <v>4</v>
      </c>
    </row>
    <row r="133" spans="1:13" x14ac:dyDescent="0.4">
      <c r="A133">
        <f>使用レシピ!D133</f>
        <v>132</v>
      </c>
      <c r="B133">
        <f>IF(使用レシピ!F133="","",MATCH(使用レシピ!F133,使用レシピ!$E:$E,0)-1)</f>
        <v>133</v>
      </c>
      <c r="C133">
        <f>IF(使用レシピ!G133="","",MATCH(使用レシピ!G133,使用レシピ!$E:$E,0)-1)</f>
        <v>134</v>
      </c>
      <c r="D133">
        <f>IF(使用レシピ!H133="","",MATCH(使用レシピ!H133,使用レシピ!$E:$E,0)-1)</f>
        <v>127</v>
      </c>
      <c r="E133" t="str">
        <f>IF(使用レシピ!I133="","",MATCH(使用レシピ!I133,使用レシピ!$E:$E,0)-1)</f>
        <v/>
      </c>
      <c r="F133" t="str">
        <f>IF(使用レシピ!J133="","",MATCH(使用レシピ!J133,使用レシピ!$E:$E,0)-1)</f>
        <v/>
      </c>
      <c r="G133">
        <f>使用レシピ!K133</f>
        <v>1</v>
      </c>
      <c r="H133">
        <f>使用レシピ!L133</f>
        <v>1</v>
      </c>
      <c r="I133">
        <f>使用レシピ!M133</f>
        <v>20</v>
      </c>
      <c r="J133" t="str">
        <f>使用レシピ!N133</f>
        <v/>
      </c>
      <c r="K133" t="str">
        <f>使用レシピ!O133</f>
        <v/>
      </c>
      <c r="L133">
        <f>使用レシピ!P133</f>
        <v>1</v>
      </c>
      <c r="M133">
        <f>使用レシピ!Q133</f>
        <v>10</v>
      </c>
    </row>
    <row r="134" spans="1:13" x14ac:dyDescent="0.4">
      <c r="A134">
        <f>使用レシピ!D134</f>
        <v>133</v>
      </c>
      <c r="B134">
        <f>IF(使用レシピ!F134="","",MATCH(使用レシピ!F134,使用レシピ!$E:$E,0)-1)</f>
        <v>117</v>
      </c>
      <c r="C134">
        <f>IF(使用レシピ!G134="","",MATCH(使用レシピ!G134,使用レシピ!$E:$E,0)-1)</f>
        <v>56</v>
      </c>
      <c r="D134" t="str">
        <f>IF(使用レシピ!H134="","",MATCH(使用レシピ!H134,使用レシピ!$E:$E,0)-1)</f>
        <v/>
      </c>
      <c r="E134" t="str">
        <f>IF(使用レシピ!I134="","",MATCH(使用レシピ!I134,使用レシピ!$E:$E,0)-1)</f>
        <v/>
      </c>
      <c r="F134" t="str">
        <f>IF(使用レシピ!J134="","",MATCH(使用レシピ!J134,使用レシピ!$E:$E,0)-1)</f>
        <v/>
      </c>
      <c r="G134">
        <f>使用レシピ!K134</f>
        <v>1</v>
      </c>
      <c r="H134">
        <f>使用レシピ!L134</f>
        <v>2400</v>
      </c>
      <c r="I134" t="str">
        <f>使用レシピ!M134</f>
        <v/>
      </c>
      <c r="J134" t="str">
        <f>使用レシピ!N134</f>
        <v/>
      </c>
      <c r="K134" t="str">
        <f>使用レシピ!O134</f>
        <v/>
      </c>
      <c r="L134">
        <f>使用レシピ!P134</f>
        <v>10</v>
      </c>
      <c r="M134">
        <f>使用レシピ!Q134</f>
        <v>1</v>
      </c>
    </row>
    <row r="135" spans="1:13" x14ac:dyDescent="0.4">
      <c r="A135">
        <f>使用レシピ!D135</f>
        <v>134</v>
      </c>
      <c r="B135">
        <f>IF(使用レシピ!F135="","",MATCH(使用レシピ!F135,使用レシピ!$E:$E,0)-1)</f>
        <v>120</v>
      </c>
      <c r="C135">
        <f>IF(使用レシピ!G135="","",MATCH(使用レシピ!G135,使用レシピ!$E:$E,0)-1)</f>
        <v>128</v>
      </c>
      <c r="D135">
        <f>IF(使用レシピ!H135="","",MATCH(使用レシピ!H135,使用レシピ!$E:$E,0)-1)</f>
        <v>3</v>
      </c>
      <c r="E135">
        <f>IF(使用レシピ!I135="","",MATCH(使用レシピ!I135,使用レシピ!$E:$E,0)-1)</f>
        <v>10</v>
      </c>
      <c r="F135" t="str">
        <f>IF(使用レシピ!J135="","",MATCH(使用レシピ!J135,使用レシピ!$E:$E,0)-1)</f>
        <v/>
      </c>
      <c r="G135">
        <f>使用レシピ!K135</f>
        <v>1</v>
      </c>
      <c r="H135">
        <f>使用レシピ!L135</f>
        <v>20</v>
      </c>
      <c r="I135">
        <f>使用レシピ!M135</f>
        <v>100</v>
      </c>
      <c r="J135">
        <f>使用レシピ!N135</f>
        <v>200</v>
      </c>
      <c r="K135" t="str">
        <f>使用レシピ!O135</f>
        <v/>
      </c>
      <c r="L135">
        <f>使用レシピ!P135</f>
        <v>10</v>
      </c>
      <c r="M135">
        <f>使用レシピ!Q135</f>
        <v>10</v>
      </c>
    </row>
    <row r="136" spans="1:13" x14ac:dyDescent="0.4">
      <c r="A136">
        <f>使用レシピ!D136</f>
        <v>135</v>
      </c>
      <c r="B136">
        <f>IF(使用レシピ!F136="","",MATCH(使用レシピ!F136,使用レシピ!$E:$E,0)-1)</f>
        <v>132</v>
      </c>
      <c r="C136">
        <f>IF(使用レシピ!G136="","",MATCH(使用レシピ!G136,使用レシピ!$E:$E,0)-1)</f>
        <v>109</v>
      </c>
      <c r="D136">
        <f>IF(使用レシピ!H136="","",MATCH(使用レシピ!H136,使用レシピ!$E:$E,0)-1)</f>
        <v>122</v>
      </c>
      <c r="E136">
        <f>IF(使用レシピ!I136="","",MATCH(使用レシピ!I136,使用レシピ!$E:$E,0)-1)</f>
        <v>126</v>
      </c>
      <c r="F136">
        <f>IF(使用レシピ!J136="","",MATCH(使用レシピ!J136,使用レシピ!$E:$E,0)-1)</f>
        <v>127</v>
      </c>
      <c r="G136">
        <f>使用レシピ!K136</f>
        <v>2</v>
      </c>
      <c r="H136">
        <f>使用レシピ!L136</f>
        <v>2</v>
      </c>
      <c r="I136">
        <f>使用レシピ!M136</f>
        <v>40</v>
      </c>
      <c r="J136">
        <f>使用レシピ!N136</f>
        <v>20</v>
      </c>
      <c r="K136">
        <f>使用レシピ!O136</f>
        <v>20</v>
      </c>
      <c r="L136">
        <f>使用レシピ!P136</f>
        <v>1</v>
      </c>
      <c r="M136">
        <f>使用レシピ!Q136</f>
        <v>2.5</v>
      </c>
    </row>
    <row r="137" spans="1:13" x14ac:dyDescent="0.4">
      <c r="A137">
        <f>使用レシピ!D137</f>
        <v>136</v>
      </c>
      <c r="B137">
        <f>IF(使用レシピ!F137="","",MATCH(使用レシピ!F137,使用レシピ!$E:$E,0)-1)</f>
        <v>106</v>
      </c>
      <c r="C137">
        <f>IF(使用レシピ!G137="","",MATCH(使用レシピ!G137,使用レシピ!$E:$E,0)-1)</f>
        <v>134</v>
      </c>
      <c r="D137">
        <f>IF(使用レシピ!H137="","",MATCH(使用レシピ!H137,使用レシピ!$E:$E,0)-1)</f>
        <v>129</v>
      </c>
      <c r="E137">
        <f>IF(使用レシピ!I137="","",MATCH(使用レシピ!I137,使用レシピ!$E:$E,0)-1)</f>
        <v>128</v>
      </c>
      <c r="F137" t="str">
        <f>IF(使用レシピ!J137="","",MATCH(使用レシピ!J137,使用レシピ!$E:$E,0)-1)</f>
        <v/>
      </c>
      <c r="G137">
        <f>使用レシピ!K137</f>
        <v>1</v>
      </c>
      <c r="H137">
        <f>使用レシピ!L137</f>
        <v>5</v>
      </c>
      <c r="I137">
        <f>使用レシピ!M137</f>
        <v>2</v>
      </c>
      <c r="J137">
        <f>使用レシピ!N137</f>
        <v>40</v>
      </c>
      <c r="K137" t="str">
        <f>使用レシピ!O137</f>
        <v/>
      </c>
      <c r="L137">
        <f>使用レシピ!P137</f>
        <v>1</v>
      </c>
      <c r="M137">
        <f>使用レシピ!Q137</f>
        <v>1</v>
      </c>
    </row>
    <row r="138" spans="1:13" x14ac:dyDescent="0.4">
      <c r="A138">
        <f>使用レシピ!D138</f>
        <v>137</v>
      </c>
      <c r="B138">
        <f>IF(使用レシピ!F138="","",MATCH(使用レシピ!F138,使用レシピ!$E:$E,0)-1)</f>
        <v>58</v>
      </c>
      <c r="C138">
        <f>IF(使用レシピ!G138="","",MATCH(使用レシピ!G138,使用レシピ!$E:$E,0)-1)</f>
        <v>99</v>
      </c>
      <c r="D138">
        <f>IF(使用レシピ!H138="","",MATCH(使用レシピ!H138,使用レシピ!$E:$E,0)-1)</f>
        <v>32</v>
      </c>
      <c r="E138">
        <f>IF(使用レシピ!I138="","",MATCH(使用レシピ!I138,使用レシピ!$E:$E,0)-1)</f>
        <v>31</v>
      </c>
      <c r="F138">
        <f>IF(使用レシピ!J138="","",MATCH(使用レシピ!J138,使用レシピ!$E:$E,0)-1)</f>
        <v>69</v>
      </c>
      <c r="G138">
        <f>使用レシピ!K138</f>
        <v>4</v>
      </c>
      <c r="H138">
        <f>使用レシピ!L138</f>
        <v>3</v>
      </c>
      <c r="I138">
        <f>使用レシピ!M138</f>
        <v>4</v>
      </c>
      <c r="J138">
        <f>使用レシピ!N138</f>
        <v>2</v>
      </c>
      <c r="K138">
        <f>使用レシピ!O138</f>
        <v>1</v>
      </c>
      <c r="L138">
        <f>使用レシピ!P138</f>
        <v>6</v>
      </c>
      <c r="M138">
        <f>使用レシピ!Q138</f>
        <v>150</v>
      </c>
    </row>
    <row r="139" spans="1:13" x14ac:dyDescent="0.4">
      <c r="A139">
        <f>使用レシピ!D139</f>
        <v>138</v>
      </c>
      <c r="B139">
        <f>IF(使用レシピ!F139="","",MATCH(使用レシピ!F139,使用レシピ!$E:$E,0)-1)</f>
        <v>137</v>
      </c>
      <c r="C139">
        <f>IF(使用レシピ!G139="","",MATCH(使用レシピ!G139,使用レシピ!$E:$E,0)-1)</f>
        <v>97</v>
      </c>
      <c r="D139" t="str">
        <f>IF(使用レシピ!H139="","",MATCH(使用レシピ!H139,使用レシピ!$E:$E,0)-1)</f>
        <v/>
      </c>
      <c r="E139" t="str">
        <f>IF(使用レシピ!I139="","",MATCH(使用レシピ!I139,使用レシピ!$E:$E,0)-1)</f>
        <v/>
      </c>
      <c r="F139" t="str">
        <f>IF(使用レシピ!J139="","",MATCH(使用レシピ!J139,使用レシピ!$E:$E,0)-1)</f>
        <v/>
      </c>
      <c r="G139">
        <f>使用レシピ!K139</f>
        <v>2</v>
      </c>
      <c r="H139">
        <f>使用レシピ!L139</f>
        <v>1</v>
      </c>
      <c r="I139" t="str">
        <f>使用レシピ!M139</f>
        <v/>
      </c>
      <c r="J139" t="str">
        <f>使用レシピ!N139</f>
        <v/>
      </c>
      <c r="K139" t="str">
        <f>使用レシピ!O139</f>
        <v/>
      </c>
      <c r="L139">
        <f>使用レシピ!P139</f>
        <v>1</v>
      </c>
      <c r="M139">
        <f>使用レシピ!Q139</f>
        <v>60</v>
      </c>
    </row>
    <row r="140" spans="1:13" x14ac:dyDescent="0.4">
      <c r="A140">
        <f>使用レシピ!D140</f>
        <v>139</v>
      </c>
      <c r="B140">
        <f>IF(使用レシピ!F140="","",MATCH(使用レシピ!F140,使用レシピ!$E:$E,0)-1)</f>
        <v>137</v>
      </c>
      <c r="C140">
        <f>IF(使用レシピ!G140="","",MATCH(使用レシピ!G140,使用レシピ!$E:$E,0)-1)</f>
        <v>21</v>
      </c>
      <c r="D140" t="str">
        <f>IF(使用レシピ!H140="","",MATCH(使用レシピ!H140,使用レシピ!$E:$E,0)-1)</f>
        <v/>
      </c>
      <c r="E140" t="str">
        <f>IF(使用レシピ!I140="","",MATCH(使用レシピ!I140,使用レシピ!$E:$E,0)-1)</f>
        <v/>
      </c>
      <c r="F140">
        <f>IF(使用レシピ!J140="","",MATCH(使用レシピ!J140,使用レシピ!$E:$E,0)-1)</f>
        <v>69</v>
      </c>
      <c r="G140">
        <f>使用レシピ!K140</f>
        <v>16</v>
      </c>
      <c r="H140">
        <f>使用レシピ!L140</f>
        <v>1</v>
      </c>
      <c r="I140" t="str">
        <f>使用レシピ!M140</f>
        <v/>
      </c>
      <c r="J140" t="str">
        <f>使用レシピ!N140</f>
        <v/>
      </c>
      <c r="K140">
        <f>使用レシピ!O140</f>
        <v>2</v>
      </c>
      <c r="L140">
        <f>使用レシピ!P140</f>
        <v>16</v>
      </c>
      <c r="M140">
        <f>使用レシピ!Q140</f>
        <v>40</v>
      </c>
    </row>
    <row r="141" spans="1:13" x14ac:dyDescent="0.4">
      <c r="A141">
        <f>使用レシピ!D141</f>
        <v>140</v>
      </c>
      <c r="B141">
        <f>IF(使用レシピ!F141="","",MATCH(使用レシピ!F141,使用レシピ!$E:$E,0)-1)</f>
        <v>139</v>
      </c>
      <c r="C141">
        <f>IF(使用レシピ!G141="","",MATCH(使用レシピ!G141,使用レシピ!$E:$E,0)-1)</f>
        <v>97</v>
      </c>
      <c r="D141" t="str">
        <f>IF(使用レシピ!H141="","",MATCH(使用レシピ!H141,使用レシピ!$E:$E,0)-1)</f>
        <v/>
      </c>
      <c r="E141" t="str">
        <f>IF(使用レシピ!I141="","",MATCH(使用レシピ!I141,使用レシピ!$E:$E,0)-1)</f>
        <v/>
      </c>
      <c r="F141" t="str">
        <f>IF(使用レシピ!J141="","",MATCH(使用レシピ!J141,使用レシピ!$E:$E,0)-1)</f>
        <v/>
      </c>
      <c r="G141">
        <f>使用レシピ!K141</f>
        <v>4</v>
      </c>
      <c r="H141">
        <f>使用レシピ!L141</f>
        <v>2</v>
      </c>
      <c r="I141" t="str">
        <f>使用レシピ!M141</f>
        <v/>
      </c>
      <c r="J141" t="str">
        <f>使用レシピ!N141</f>
        <v/>
      </c>
      <c r="K141" t="str">
        <f>使用レシピ!O141</f>
        <v/>
      </c>
      <c r="L141">
        <f>使用レシピ!P141</f>
        <v>2</v>
      </c>
      <c r="M141">
        <f>使用レシピ!Q141</f>
        <v>40</v>
      </c>
    </row>
    <row r="142" spans="1:13" x14ac:dyDescent="0.4">
      <c r="A142">
        <f>使用レシピ!D142</f>
        <v>141</v>
      </c>
      <c r="B142">
        <f>IF(使用レシピ!F142="","",MATCH(使用レシピ!F142,使用レシピ!$E:$E,0)-1)</f>
        <v>46</v>
      </c>
      <c r="C142">
        <f>IF(使用レシピ!G142="","",MATCH(使用レシピ!G142,使用レシピ!$E:$E,0)-1)</f>
        <v>21</v>
      </c>
      <c r="D142">
        <f>IF(使用レシピ!H142="","",MATCH(使用レシピ!H142,使用レシピ!$E:$E,0)-1)</f>
        <v>129</v>
      </c>
      <c r="E142">
        <f>IF(使用レシピ!I142="","",MATCH(使用レシピ!I142,使用レシピ!$E:$E,0)-1)</f>
        <v>126</v>
      </c>
      <c r="F142">
        <f>IF(使用レシピ!J142="","",MATCH(使用レシピ!J142,使用レシピ!$E:$E,0)-1)</f>
        <v>127</v>
      </c>
      <c r="G142">
        <f>使用レシピ!K142</f>
        <v>5</v>
      </c>
      <c r="H142">
        <f>使用レシピ!L142</f>
        <v>3</v>
      </c>
      <c r="I142">
        <f>使用レシピ!M142</f>
        <v>3</v>
      </c>
      <c r="J142">
        <f>使用レシピ!N142</f>
        <v>24</v>
      </c>
      <c r="K142">
        <f>使用レシピ!O142</f>
        <v>24</v>
      </c>
      <c r="L142">
        <f>使用レシピ!P142</f>
        <v>1</v>
      </c>
      <c r="M142">
        <f>使用レシピ!Q142</f>
        <v>2.5</v>
      </c>
    </row>
    <row r="143" spans="1:13" x14ac:dyDescent="0.4">
      <c r="A143">
        <f>使用レシピ!D143</f>
        <v>142</v>
      </c>
      <c r="B143">
        <f>IF(使用レシピ!F143="","",MATCH(使用レシピ!F143,使用レシピ!$E:$E,0)-1)</f>
        <v>89</v>
      </c>
      <c r="C143">
        <f>IF(使用レシピ!G143="","",MATCH(使用レシピ!G143,使用レシピ!$E:$E,0)-1)</f>
        <v>35</v>
      </c>
      <c r="D143" t="str">
        <f>IF(使用レシピ!H143="","",MATCH(使用レシピ!H143,使用レシピ!$E:$E,0)-1)</f>
        <v/>
      </c>
      <c r="E143" t="str">
        <f>IF(使用レシピ!I143="","",MATCH(使用レシピ!I143,使用レシピ!$E:$E,0)-1)</f>
        <v/>
      </c>
      <c r="F143" t="str">
        <f>IF(使用レシピ!J143="","",MATCH(使用レシピ!J143,使用レシピ!$E:$E,0)-1)</f>
        <v/>
      </c>
      <c r="G143">
        <f>使用レシピ!K143</f>
        <v>1</v>
      </c>
      <c r="H143">
        <f>使用レシピ!L143</f>
        <v>5</v>
      </c>
      <c r="I143" t="str">
        <f>使用レシピ!M143</f>
        <v/>
      </c>
      <c r="J143" t="str">
        <f>使用レシピ!N143</f>
        <v/>
      </c>
      <c r="K143" t="str">
        <f>使用レシピ!O143</f>
        <v/>
      </c>
      <c r="L143">
        <f>使用レシピ!P143</f>
        <v>1</v>
      </c>
      <c r="M143">
        <f>使用レシピ!Q143</f>
        <v>10</v>
      </c>
    </row>
    <row r="144" spans="1:13" x14ac:dyDescent="0.4">
      <c r="A144">
        <f>使用レシピ!D144</f>
        <v>143</v>
      </c>
      <c r="B144">
        <f>IF(使用レシピ!F144="","",MATCH(使用レシピ!F144,使用レシピ!$E:$E,0)-1)</f>
        <v>49</v>
      </c>
      <c r="C144">
        <f>IF(使用レシピ!G144="","",MATCH(使用レシピ!G144,使用レシピ!$E:$E,0)-1)</f>
        <v>13</v>
      </c>
      <c r="D144" t="str">
        <f>IF(使用レシピ!H144="","",MATCH(使用レシピ!H144,使用レシピ!$E:$E,0)-1)</f>
        <v/>
      </c>
      <c r="E144" t="str">
        <f>IF(使用レシピ!I144="","",MATCH(使用レシピ!I144,使用レシピ!$E:$E,0)-1)</f>
        <v/>
      </c>
      <c r="F144" t="str">
        <f>IF(使用レシピ!J144="","",MATCH(使用レシピ!J144,使用レシピ!$E:$E,0)-1)</f>
        <v/>
      </c>
      <c r="G144">
        <f>使用レシピ!K144</f>
        <v>1</v>
      </c>
      <c r="H144">
        <f>使用レシピ!L144</f>
        <v>10</v>
      </c>
      <c r="I144" t="str">
        <f>使用レシピ!M144</f>
        <v/>
      </c>
      <c r="J144" t="str">
        <f>使用レシピ!N144</f>
        <v/>
      </c>
      <c r="K144" t="str">
        <f>使用レシピ!O144</f>
        <v/>
      </c>
      <c r="L144">
        <f>使用レシピ!P144</f>
        <v>1</v>
      </c>
      <c r="M144">
        <f>使用レシピ!Q144</f>
        <v>5</v>
      </c>
    </row>
    <row r="145" spans="1:13" x14ac:dyDescent="0.4">
      <c r="A145">
        <f>使用レシピ!D145</f>
        <v>144</v>
      </c>
      <c r="B145">
        <f>IF(使用レシピ!F145="","",MATCH(使用レシピ!F145,使用レシピ!$E:$E,0)-1)</f>
        <v>49</v>
      </c>
      <c r="C145">
        <f>IF(使用レシピ!G145="","",MATCH(使用レシピ!G145,使用レシピ!$E:$E,0)-1)</f>
        <v>61</v>
      </c>
      <c r="D145" t="str">
        <f>IF(使用レシピ!H145="","",MATCH(使用レシピ!H145,使用レシピ!$E:$E,0)-1)</f>
        <v/>
      </c>
      <c r="E145" t="str">
        <f>IF(使用レシピ!I145="","",MATCH(使用レシピ!I145,使用レシピ!$E:$E,0)-1)</f>
        <v/>
      </c>
      <c r="F145" t="str">
        <f>IF(使用レシピ!J145="","",MATCH(使用レシピ!J145,使用レシピ!$E:$E,0)-1)</f>
        <v/>
      </c>
      <c r="G145">
        <f>使用レシピ!K145</f>
        <v>5</v>
      </c>
      <c r="H145">
        <f>使用レシピ!L145</f>
        <v>1</v>
      </c>
      <c r="I145" t="str">
        <f>使用レシピ!M145</f>
        <v/>
      </c>
      <c r="J145" t="str">
        <f>使用レシピ!N145</f>
        <v/>
      </c>
      <c r="K145" t="str">
        <f>使用レシピ!O145</f>
        <v/>
      </c>
      <c r="L145">
        <f>使用レシピ!P145</f>
        <v>5</v>
      </c>
      <c r="M145">
        <f>使用レシピ!Q145</f>
        <v>5</v>
      </c>
    </row>
    <row r="146" spans="1:13" x14ac:dyDescent="0.4">
      <c r="A146">
        <f>使用レシピ!D146</f>
        <v>145</v>
      </c>
      <c r="B146">
        <f>IF(使用レシピ!F146="","",MATCH(使用レシピ!F146,使用レシピ!$E:$E,0)-1)</f>
        <v>89</v>
      </c>
      <c r="C146">
        <f>IF(使用レシピ!G146="","",MATCH(使用レシピ!G146,使用レシピ!$E:$E,0)-1)</f>
        <v>47</v>
      </c>
      <c r="D146" t="str">
        <f>IF(使用レシピ!H146="","",MATCH(使用レシピ!H146,使用レシピ!$E:$E,0)-1)</f>
        <v/>
      </c>
      <c r="E146" t="str">
        <f>IF(使用レシピ!I146="","",MATCH(使用レシピ!I146,使用レシピ!$E:$E,0)-1)</f>
        <v/>
      </c>
      <c r="F146" t="str">
        <f>IF(使用レシピ!J146="","",MATCH(使用レシピ!J146,使用レシピ!$E:$E,0)-1)</f>
        <v/>
      </c>
      <c r="G146">
        <f>使用レシピ!K146</f>
        <v>2</v>
      </c>
      <c r="H146">
        <f>使用レシピ!L146</f>
        <v>3</v>
      </c>
      <c r="I146" t="str">
        <f>使用レシピ!M146</f>
        <v/>
      </c>
      <c r="J146" t="str">
        <f>使用レシピ!N146</f>
        <v/>
      </c>
      <c r="K146" t="str">
        <f>使用レシピ!O146</f>
        <v/>
      </c>
      <c r="L146">
        <f>使用レシピ!P146</f>
        <v>1</v>
      </c>
      <c r="M146">
        <f>使用レシピ!Q146</f>
        <v>5</v>
      </c>
    </row>
    <row r="147" spans="1:13" x14ac:dyDescent="0.4">
      <c r="A147">
        <f>使用レシピ!D147</f>
        <v>146</v>
      </c>
      <c r="B147">
        <f>IF(使用レシピ!F147="","",MATCH(使用レシピ!F147,使用レシピ!$E:$E,0)-1)</f>
        <v>49</v>
      </c>
      <c r="C147">
        <f>IF(使用レシピ!G147="","",MATCH(使用レシピ!G147,使用レシピ!$E:$E,0)-1)</f>
        <v>79</v>
      </c>
      <c r="D147" t="str">
        <f>IF(使用レシピ!H147="","",MATCH(使用レシピ!H147,使用レシピ!$E:$E,0)-1)</f>
        <v/>
      </c>
      <c r="E147" t="str">
        <f>IF(使用レシピ!I147="","",MATCH(使用レシピ!I147,使用レシピ!$E:$E,0)-1)</f>
        <v/>
      </c>
      <c r="F147" t="str">
        <f>IF(使用レシピ!J147="","",MATCH(使用レシピ!J147,使用レシピ!$E:$E,0)-1)</f>
        <v/>
      </c>
      <c r="G147">
        <f>使用レシピ!K147</f>
        <v>3</v>
      </c>
      <c r="H147">
        <f>使用レシピ!L147</f>
        <v>4</v>
      </c>
      <c r="I147" t="str">
        <f>使用レシピ!M147</f>
        <v/>
      </c>
      <c r="J147" t="str">
        <f>使用レシピ!N147</f>
        <v/>
      </c>
      <c r="K147" t="str">
        <f>使用レシピ!O147</f>
        <v/>
      </c>
      <c r="L147">
        <f>使用レシピ!P147</f>
        <v>1</v>
      </c>
      <c r="M147">
        <f>使用レシピ!Q147</f>
        <v>2.5</v>
      </c>
    </row>
    <row r="148" spans="1:13" x14ac:dyDescent="0.4">
      <c r="A148">
        <f>使用レシピ!D148</f>
        <v>147</v>
      </c>
      <c r="B148">
        <f>IF(使用レシピ!F148="","",MATCH(使用レシピ!F148,使用レシピ!$E:$E,0)-1)</f>
        <v>89</v>
      </c>
      <c r="C148">
        <f>IF(使用レシピ!G148="","",MATCH(使用レシピ!G148,使用レシピ!$E:$E,0)-1)</f>
        <v>79</v>
      </c>
      <c r="D148">
        <f>IF(使用レシピ!H148="","",MATCH(使用レシピ!H148,使用レシピ!$E:$E,0)-1)</f>
        <v>38</v>
      </c>
      <c r="E148" t="str">
        <f>IF(使用レシピ!I148="","",MATCH(使用レシピ!I148,使用レシピ!$E:$E,0)-1)</f>
        <v/>
      </c>
      <c r="F148" t="str">
        <f>IF(使用レシピ!J148="","",MATCH(使用レシピ!J148,使用レシピ!$E:$E,0)-1)</f>
        <v/>
      </c>
      <c r="G148">
        <f>使用レシピ!K148</f>
        <v>2</v>
      </c>
      <c r="H148">
        <f>使用レシピ!L148</f>
        <v>2</v>
      </c>
      <c r="I148">
        <f>使用レシピ!M148</f>
        <v>2</v>
      </c>
      <c r="J148" t="str">
        <f>使用レシピ!N148</f>
        <v/>
      </c>
      <c r="K148" t="str">
        <f>使用レシピ!O148</f>
        <v/>
      </c>
      <c r="L148">
        <f>使用レシピ!P148</f>
        <v>1</v>
      </c>
      <c r="M148">
        <f>使用レシピ!Q148</f>
        <v>5</v>
      </c>
    </row>
    <row r="149" spans="1:13" x14ac:dyDescent="0.4">
      <c r="A149">
        <f>使用レシピ!D149</f>
        <v>148</v>
      </c>
      <c r="B149">
        <f>IF(使用レシピ!F149="","",MATCH(使用レシピ!F149,使用レシピ!$E:$E,0)-1)</f>
        <v>27</v>
      </c>
      <c r="C149">
        <f>IF(使用レシピ!G149="","",MATCH(使用レシピ!G149,使用レシピ!$E:$E,0)-1)</f>
        <v>79</v>
      </c>
      <c r="D149" t="str">
        <f>IF(使用レシピ!H149="","",MATCH(使用レシピ!H149,使用レシピ!$E:$E,0)-1)</f>
        <v/>
      </c>
      <c r="E149" t="str">
        <f>IF(使用レシピ!I149="","",MATCH(使用レシピ!I149,使用レシピ!$E:$E,0)-1)</f>
        <v/>
      </c>
      <c r="F149" t="str">
        <f>IF(使用レシピ!J149="","",MATCH(使用レシピ!J149,使用レシピ!$E:$E,0)-1)</f>
        <v/>
      </c>
      <c r="G149">
        <f>使用レシピ!K149</f>
        <v>3</v>
      </c>
      <c r="H149">
        <f>使用レシピ!L149</f>
        <v>2</v>
      </c>
      <c r="I149" t="str">
        <f>使用レシピ!M149</f>
        <v/>
      </c>
      <c r="J149" t="str">
        <f>使用レシピ!N149</f>
        <v/>
      </c>
      <c r="K149" t="str">
        <f>使用レシピ!O149</f>
        <v/>
      </c>
      <c r="L149">
        <f>使用レシピ!P149</f>
        <v>15</v>
      </c>
      <c r="M149">
        <f>使用レシピ!Q149</f>
        <v>75</v>
      </c>
    </row>
    <row r="150" spans="1:13" x14ac:dyDescent="0.4">
      <c r="A150">
        <f>使用レシピ!D150</f>
        <v>149</v>
      </c>
      <c r="B150">
        <f>IF(使用レシピ!F150="","",MATCH(使用レシピ!F150,使用レシピ!$E:$E,0)-1)</f>
        <v>148</v>
      </c>
      <c r="C150">
        <f>IF(使用レシピ!G150="","",MATCH(使用レシピ!G150,使用レシピ!$E:$E,0)-1)</f>
        <v>86</v>
      </c>
      <c r="D150">
        <f>IF(使用レシピ!H150="","",MATCH(使用レシピ!H150,使用レシピ!$E:$E,0)-1)</f>
        <v>87</v>
      </c>
      <c r="E150" t="str">
        <f>IF(使用レシピ!I150="","",MATCH(使用レシピ!I150,使用レシピ!$E:$E,0)-1)</f>
        <v/>
      </c>
      <c r="F150" t="str">
        <f>IF(使用レシピ!J150="","",MATCH(使用レシピ!J150,使用レシピ!$E:$E,0)-1)</f>
        <v/>
      </c>
      <c r="G150">
        <f>使用レシピ!K150</f>
        <v>25</v>
      </c>
      <c r="H150">
        <f>使用レシピ!L150</f>
        <v>3</v>
      </c>
      <c r="I150">
        <f>使用レシピ!M150</f>
        <v>3</v>
      </c>
      <c r="J150" t="str">
        <f>使用レシピ!N150</f>
        <v/>
      </c>
      <c r="K150" t="str">
        <f>使用レシピ!O150</f>
        <v/>
      </c>
      <c r="L150">
        <f>使用レシピ!P150</f>
        <v>50</v>
      </c>
      <c r="M150">
        <f>使用レシピ!Q150</f>
        <v>250</v>
      </c>
    </row>
    <row r="151" spans="1:13" x14ac:dyDescent="0.4">
      <c r="A151">
        <f>使用レシピ!D151</f>
        <v>150</v>
      </c>
      <c r="B151">
        <f>IF(使用レシピ!F151="","",MATCH(使用レシピ!F151,使用レシピ!$E:$E,0)-1)</f>
        <v>148</v>
      </c>
      <c r="C151">
        <f>IF(使用レシピ!G151="","",MATCH(使用レシピ!G151,使用レシピ!$E:$E,0)-1)</f>
        <v>78</v>
      </c>
      <c r="D151" t="str">
        <f>IF(使用レシピ!H151="","",MATCH(使用レシピ!H151,使用レシピ!$E:$E,0)-1)</f>
        <v/>
      </c>
      <c r="E151" t="str">
        <f>IF(使用レシピ!I151="","",MATCH(使用レシピ!I151,使用レシピ!$E:$E,0)-1)</f>
        <v/>
      </c>
      <c r="F151" t="str">
        <f>IF(使用レシピ!J151="","",MATCH(使用レシピ!J151,使用レシピ!$E:$E,0)-1)</f>
        <v/>
      </c>
      <c r="G151">
        <f>使用レシピ!K151</f>
        <v>20</v>
      </c>
      <c r="H151">
        <f>使用レシピ!L151</f>
        <v>1</v>
      </c>
      <c r="I151" t="str">
        <f>使用レシピ!M151</f>
        <v/>
      </c>
      <c r="J151" t="str">
        <f>使用レシピ!N151</f>
        <v/>
      </c>
      <c r="K151" t="str">
        <f>使用レシピ!O151</f>
        <v/>
      </c>
      <c r="L151">
        <f>使用レシピ!P151</f>
        <v>10</v>
      </c>
      <c r="M151">
        <f>使用レシピ!Q151</f>
        <v>25</v>
      </c>
    </row>
    <row r="152" spans="1:13" x14ac:dyDescent="0.4">
      <c r="A152">
        <f>使用レシピ!D152</f>
        <v>151</v>
      </c>
      <c r="B152">
        <f>IF(使用レシピ!F152="","",MATCH(使用レシピ!F152,使用レシピ!$E:$E,0)-1)</f>
        <v>49</v>
      </c>
      <c r="C152">
        <f>IF(使用レシピ!G152="","",MATCH(使用レシピ!G152,使用レシピ!$E:$E,0)-1)</f>
        <v>107</v>
      </c>
      <c r="D152">
        <f>IF(使用レシピ!H152="","",MATCH(使用レシピ!H152,使用レシピ!$E:$E,0)-1)</f>
        <v>79</v>
      </c>
      <c r="E152">
        <f>IF(使用レシピ!I152="","",MATCH(使用レシピ!I152,使用レシピ!$E:$E,0)-1)</f>
        <v>50</v>
      </c>
      <c r="F152" t="str">
        <f>IF(使用レシピ!J152="","",MATCH(使用レシピ!J152,使用レシピ!$E:$E,0)-1)</f>
        <v/>
      </c>
      <c r="G152">
        <f>使用レシピ!K152</f>
        <v>5</v>
      </c>
      <c r="H152">
        <f>使用レシピ!L152</f>
        <v>20</v>
      </c>
      <c r="I152">
        <f>使用レシピ!M152</f>
        <v>10</v>
      </c>
      <c r="J152">
        <f>使用レシピ!N152</f>
        <v>6</v>
      </c>
      <c r="K152" t="str">
        <f>使用レシピ!O152</f>
        <v/>
      </c>
      <c r="L152">
        <f>使用レシピ!P152</f>
        <v>1</v>
      </c>
      <c r="M152">
        <f>使用レシピ!Q152</f>
        <v>0.5</v>
      </c>
    </row>
    <row r="153" spans="1:13" x14ac:dyDescent="0.4">
      <c r="A153" t="str">
        <f>使用レシピ!D153</f>
        <v/>
      </c>
      <c r="B153" t="str">
        <f>IF(使用レシピ!F153="","",MATCH(使用レシピ!F153,使用レシピ!$E:$E,0)-1)</f>
        <v/>
      </c>
      <c r="C153" t="str">
        <f>IF(使用レシピ!G153="","",MATCH(使用レシピ!G153,使用レシピ!$E:$E,0)-1)</f>
        <v/>
      </c>
      <c r="D153" t="str">
        <f>IF(使用レシピ!H153="","",MATCH(使用レシピ!H153,使用レシピ!$E:$E,0)-1)</f>
        <v/>
      </c>
      <c r="E153" t="str">
        <f>IF(使用レシピ!I153="","",MATCH(使用レシピ!I153,使用レシピ!$E:$E,0)-1)</f>
        <v/>
      </c>
      <c r="F153" t="str">
        <f>IF(使用レシピ!J153="","",MATCH(使用レシピ!J153,使用レシピ!$E:$E,0)-1)</f>
        <v/>
      </c>
      <c r="G153" t="str">
        <f>使用レシピ!K153</f>
        <v/>
      </c>
      <c r="H153" t="str">
        <f>使用レシピ!L153</f>
        <v/>
      </c>
      <c r="I153" t="str">
        <f>使用レシピ!M153</f>
        <v/>
      </c>
      <c r="J153" t="str">
        <f>使用レシピ!N153</f>
        <v/>
      </c>
      <c r="K153" t="str">
        <f>使用レシピ!O153</f>
        <v/>
      </c>
      <c r="L153" t="str">
        <f>使用レシピ!P153</f>
        <v/>
      </c>
      <c r="M153" t="str">
        <f>使用レシピ!Q153</f>
        <v/>
      </c>
    </row>
    <row r="154" spans="1:13" x14ac:dyDescent="0.4">
      <c r="A154" t="str">
        <f>使用レシピ!D154</f>
        <v/>
      </c>
      <c r="B154" t="str">
        <f>IF(使用レシピ!F154="","",MATCH(使用レシピ!F154,使用レシピ!$E:$E,0)-1)</f>
        <v/>
      </c>
      <c r="C154" t="str">
        <f>IF(使用レシピ!G154="","",MATCH(使用レシピ!G154,使用レシピ!$E:$E,0)-1)</f>
        <v/>
      </c>
      <c r="D154" t="str">
        <f>IF(使用レシピ!H154="","",MATCH(使用レシピ!H154,使用レシピ!$E:$E,0)-1)</f>
        <v/>
      </c>
      <c r="E154" t="str">
        <f>IF(使用レシピ!I154="","",MATCH(使用レシピ!I154,使用レシピ!$E:$E,0)-1)</f>
        <v/>
      </c>
      <c r="F154" t="str">
        <f>IF(使用レシピ!J154="","",MATCH(使用レシピ!J154,使用レシピ!$E:$E,0)-1)</f>
        <v/>
      </c>
      <c r="G154" t="str">
        <f>使用レシピ!K154</f>
        <v/>
      </c>
      <c r="H154" t="str">
        <f>使用レシピ!L154</f>
        <v/>
      </c>
      <c r="I154" t="str">
        <f>使用レシピ!M154</f>
        <v/>
      </c>
      <c r="J154" t="str">
        <f>使用レシピ!N154</f>
        <v/>
      </c>
      <c r="K154" t="str">
        <f>使用レシピ!O154</f>
        <v/>
      </c>
      <c r="L154" t="str">
        <f>使用レシピ!P154</f>
        <v/>
      </c>
      <c r="M154" t="str">
        <f>使用レシピ!Q154</f>
        <v/>
      </c>
    </row>
    <row r="155" spans="1:13" x14ac:dyDescent="0.4">
      <c r="A155" t="str">
        <f>使用レシピ!D155</f>
        <v/>
      </c>
      <c r="B155" t="str">
        <f>IF(使用レシピ!F155="","",MATCH(使用レシピ!F155,使用レシピ!$E:$E,0)-1)</f>
        <v/>
      </c>
      <c r="C155" t="str">
        <f>IF(使用レシピ!G155="","",MATCH(使用レシピ!G155,使用レシピ!$E:$E,0)-1)</f>
        <v/>
      </c>
      <c r="D155" t="str">
        <f>IF(使用レシピ!H155="","",MATCH(使用レシピ!H155,使用レシピ!$E:$E,0)-1)</f>
        <v/>
      </c>
      <c r="E155" t="str">
        <f>IF(使用レシピ!I155="","",MATCH(使用レシピ!I155,使用レシピ!$E:$E,0)-1)</f>
        <v/>
      </c>
      <c r="F155" t="str">
        <f>IF(使用レシピ!J155="","",MATCH(使用レシピ!J155,使用レシピ!$E:$E,0)-1)</f>
        <v/>
      </c>
      <c r="G155" t="str">
        <f>使用レシピ!K155</f>
        <v/>
      </c>
      <c r="H155" t="str">
        <f>使用レシピ!L155</f>
        <v/>
      </c>
      <c r="I155" t="str">
        <f>使用レシピ!M155</f>
        <v/>
      </c>
      <c r="J155" t="str">
        <f>使用レシピ!N155</f>
        <v/>
      </c>
      <c r="K155" t="str">
        <f>使用レシピ!O155</f>
        <v/>
      </c>
      <c r="L155" t="str">
        <f>使用レシピ!P155</f>
        <v/>
      </c>
      <c r="M155" t="str">
        <f>使用レシピ!Q155</f>
        <v/>
      </c>
    </row>
    <row r="156" spans="1:13" x14ac:dyDescent="0.4">
      <c r="A156" t="str">
        <f>使用レシピ!D156</f>
        <v/>
      </c>
      <c r="B156" t="str">
        <f>IF(使用レシピ!F156="","",MATCH(使用レシピ!F156,使用レシピ!$E:$E,0)-1)</f>
        <v/>
      </c>
      <c r="C156" t="str">
        <f>IF(使用レシピ!G156="","",MATCH(使用レシピ!G156,使用レシピ!$E:$E,0)-1)</f>
        <v/>
      </c>
      <c r="D156" t="str">
        <f>IF(使用レシピ!H156="","",MATCH(使用レシピ!H156,使用レシピ!$E:$E,0)-1)</f>
        <v/>
      </c>
      <c r="E156" t="str">
        <f>IF(使用レシピ!I156="","",MATCH(使用レシピ!I156,使用レシピ!$E:$E,0)-1)</f>
        <v/>
      </c>
      <c r="F156" t="str">
        <f>IF(使用レシピ!J156="","",MATCH(使用レシピ!J156,使用レシピ!$E:$E,0)-1)</f>
        <v/>
      </c>
      <c r="G156" t="str">
        <f>使用レシピ!K156</f>
        <v/>
      </c>
      <c r="H156" t="str">
        <f>使用レシピ!L156</f>
        <v/>
      </c>
      <c r="I156" t="str">
        <f>使用レシピ!M156</f>
        <v/>
      </c>
      <c r="J156" t="str">
        <f>使用レシピ!N156</f>
        <v/>
      </c>
      <c r="K156" t="str">
        <f>使用レシピ!O156</f>
        <v/>
      </c>
      <c r="L156" t="str">
        <f>使用レシピ!P156</f>
        <v/>
      </c>
      <c r="M156" t="str">
        <f>使用レシピ!Q156</f>
        <v/>
      </c>
    </row>
    <row r="157" spans="1:13" x14ac:dyDescent="0.4">
      <c r="A157" t="str">
        <f>使用レシピ!D157</f>
        <v/>
      </c>
      <c r="B157" t="str">
        <f>IF(使用レシピ!F157="","",MATCH(使用レシピ!F157,使用レシピ!$E:$E,0)-1)</f>
        <v/>
      </c>
      <c r="C157" t="str">
        <f>IF(使用レシピ!G157="","",MATCH(使用レシピ!G157,使用レシピ!$E:$E,0)-1)</f>
        <v/>
      </c>
      <c r="D157" t="str">
        <f>IF(使用レシピ!H157="","",MATCH(使用レシピ!H157,使用レシピ!$E:$E,0)-1)</f>
        <v/>
      </c>
      <c r="E157" t="str">
        <f>IF(使用レシピ!I157="","",MATCH(使用レシピ!I157,使用レシピ!$E:$E,0)-1)</f>
        <v/>
      </c>
      <c r="F157" t="str">
        <f>IF(使用レシピ!J157="","",MATCH(使用レシピ!J157,使用レシピ!$E:$E,0)-1)</f>
        <v/>
      </c>
      <c r="G157" t="str">
        <f>使用レシピ!K157</f>
        <v/>
      </c>
      <c r="H157" t="str">
        <f>使用レシピ!L157</f>
        <v/>
      </c>
      <c r="I157" t="str">
        <f>使用レシピ!M157</f>
        <v/>
      </c>
      <c r="J157" t="str">
        <f>使用レシピ!N157</f>
        <v/>
      </c>
      <c r="K157" t="str">
        <f>使用レシピ!O157</f>
        <v/>
      </c>
      <c r="L157" t="str">
        <f>使用レシピ!P157</f>
        <v/>
      </c>
      <c r="M157" t="str">
        <f>使用レシピ!Q157</f>
        <v/>
      </c>
    </row>
    <row r="158" spans="1:13" x14ac:dyDescent="0.4">
      <c r="A158" t="str">
        <f>使用レシピ!D158</f>
        <v/>
      </c>
      <c r="B158" t="str">
        <f>IF(使用レシピ!F158="","",MATCH(使用レシピ!F158,使用レシピ!$E:$E,0)-1)</f>
        <v/>
      </c>
      <c r="C158" t="str">
        <f>IF(使用レシピ!G158="","",MATCH(使用レシピ!G158,使用レシピ!$E:$E,0)-1)</f>
        <v/>
      </c>
      <c r="D158" t="str">
        <f>IF(使用レシピ!H158="","",MATCH(使用レシピ!H158,使用レシピ!$E:$E,0)-1)</f>
        <v/>
      </c>
      <c r="E158" t="str">
        <f>IF(使用レシピ!I158="","",MATCH(使用レシピ!I158,使用レシピ!$E:$E,0)-1)</f>
        <v/>
      </c>
      <c r="F158" t="str">
        <f>IF(使用レシピ!J158="","",MATCH(使用レシピ!J158,使用レシピ!$E:$E,0)-1)</f>
        <v/>
      </c>
      <c r="G158" t="str">
        <f>使用レシピ!K158</f>
        <v/>
      </c>
      <c r="H158" t="str">
        <f>使用レシピ!L158</f>
        <v/>
      </c>
      <c r="I158" t="str">
        <f>使用レシピ!M158</f>
        <v/>
      </c>
      <c r="J158" t="str">
        <f>使用レシピ!N158</f>
        <v/>
      </c>
      <c r="K158" t="str">
        <f>使用レシピ!O158</f>
        <v/>
      </c>
      <c r="L158" t="str">
        <f>使用レシピ!P158</f>
        <v/>
      </c>
      <c r="M158" t="str">
        <f>使用レシピ!Q158</f>
        <v/>
      </c>
    </row>
    <row r="159" spans="1:13" x14ac:dyDescent="0.4">
      <c r="A159" t="str">
        <f>使用レシピ!D159</f>
        <v/>
      </c>
      <c r="B159" t="str">
        <f>IF(使用レシピ!F159="","",MATCH(使用レシピ!F159,使用レシピ!$E:$E,0)-1)</f>
        <v/>
      </c>
      <c r="C159" t="str">
        <f>IF(使用レシピ!G159="","",MATCH(使用レシピ!G159,使用レシピ!$E:$E,0)-1)</f>
        <v/>
      </c>
      <c r="D159" t="str">
        <f>IF(使用レシピ!H159="","",MATCH(使用レシピ!H159,使用レシピ!$E:$E,0)-1)</f>
        <v/>
      </c>
      <c r="E159" t="str">
        <f>IF(使用レシピ!I159="","",MATCH(使用レシピ!I159,使用レシピ!$E:$E,0)-1)</f>
        <v/>
      </c>
      <c r="F159" t="str">
        <f>IF(使用レシピ!J159="","",MATCH(使用レシピ!J159,使用レシピ!$E:$E,0)-1)</f>
        <v/>
      </c>
      <c r="G159" t="str">
        <f>使用レシピ!K159</f>
        <v/>
      </c>
      <c r="H159" t="str">
        <f>使用レシピ!L159</f>
        <v/>
      </c>
      <c r="I159" t="str">
        <f>使用レシピ!M159</f>
        <v/>
      </c>
      <c r="J159" t="str">
        <f>使用レシピ!N159</f>
        <v/>
      </c>
      <c r="K159" t="str">
        <f>使用レシピ!O159</f>
        <v/>
      </c>
      <c r="L159" t="str">
        <f>使用レシピ!P159</f>
        <v/>
      </c>
      <c r="M159" t="str">
        <f>使用レシピ!Q159</f>
        <v/>
      </c>
    </row>
    <row r="160" spans="1:13" x14ac:dyDescent="0.4">
      <c r="A160" t="str">
        <f>使用レシピ!D160</f>
        <v/>
      </c>
      <c r="B160" t="str">
        <f>IF(使用レシピ!F160="","",MATCH(使用レシピ!F160,使用レシピ!$E:$E,0)-1)</f>
        <v/>
      </c>
      <c r="C160" t="str">
        <f>IF(使用レシピ!G160="","",MATCH(使用レシピ!G160,使用レシピ!$E:$E,0)-1)</f>
        <v/>
      </c>
      <c r="D160" t="str">
        <f>IF(使用レシピ!H160="","",MATCH(使用レシピ!H160,使用レシピ!$E:$E,0)-1)</f>
        <v/>
      </c>
      <c r="E160" t="str">
        <f>IF(使用レシピ!I160="","",MATCH(使用レシピ!I160,使用レシピ!$E:$E,0)-1)</f>
        <v/>
      </c>
      <c r="F160" t="str">
        <f>IF(使用レシピ!J160="","",MATCH(使用レシピ!J160,使用レシピ!$E:$E,0)-1)</f>
        <v/>
      </c>
      <c r="G160" t="str">
        <f>使用レシピ!K160</f>
        <v/>
      </c>
      <c r="H160" t="str">
        <f>使用レシピ!L160</f>
        <v/>
      </c>
      <c r="I160" t="str">
        <f>使用レシピ!M160</f>
        <v/>
      </c>
      <c r="J160" t="str">
        <f>使用レシピ!N160</f>
        <v/>
      </c>
      <c r="K160" t="str">
        <f>使用レシピ!O160</f>
        <v/>
      </c>
      <c r="L160" t="str">
        <f>使用レシピ!P160</f>
        <v/>
      </c>
      <c r="M160" t="str">
        <f>使用レシピ!Q160</f>
        <v/>
      </c>
    </row>
    <row r="161" spans="1:13" x14ac:dyDescent="0.4">
      <c r="A161" t="str">
        <f>使用レシピ!D161</f>
        <v/>
      </c>
      <c r="B161" t="str">
        <f>IF(使用レシピ!F161="","",MATCH(使用レシピ!F161,使用レシピ!$E:$E,0)-1)</f>
        <v/>
      </c>
      <c r="C161" t="str">
        <f>IF(使用レシピ!G161="","",MATCH(使用レシピ!G161,使用レシピ!$E:$E,0)-1)</f>
        <v/>
      </c>
      <c r="D161" t="str">
        <f>IF(使用レシピ!H161="","",MATCH(使用レシピ!H161,使用レシピ!$E:$E,0)-1)</f>
        <v/>
      </c>
      <c r="E161" t="str">
        <f>IF(使用レシピ!I161="","",MATCH(使用レシピ!I161,使用レシピ!$E:$E,0)-1)</f>
        <v/>
      </c>
      <c r="F161" t="str">
        <f>IF(使用レシピ!J161="","",MATCH(使用レシピ!J161,使用レシピ!$E:$E,0)-1)</f>
        <v/>
      </c>
      <c r="G161" t="str">
        <f>使用レシピ!K161</f>
        <v/>
      </c>
      <c r="H161" t="str">
        <f>使用レシピ!L161</f>
        <v/>
      </c>
      <c r="I161" t="str">
        <f>使用レシピ!M161</f>
        <v/>
      </c>
      <c r="J161" t="str">
        <f>使用レシピ!N161</f>
        <v/>
      </c>
      <c r="K161" t="str">
        <f>使用レシピ!O161</f>
        <v/>
      </c>
      <c r="L161" t="str">
        <f>使用レシピ!P161</f>
        <v/>
      </c>
      <c r="M161" t="str">
        <f>使用レシピ!Q161</f>
        <v/>
      </c>
    </row>
    <row r="162" spans="1:13" x14ac:dyDescent="0.4">
      <c r="A162" t="str">
        <f>使用レシピ!D162</f>
        <v/>
      </c>
      <c r="B162" t="str">
        <f>IF(使用レシピ!F162="","",MATCH(使用レシピ!F162,使用レシピ!$E:$E,0)-1)</f>
        <v/>
      </c>
      <c r="C162" t="str">
        <f>IF(使用レシピ!G162="","",MATCH(使用レシピ!G162,使用レシピ!$E:$E,0)-1)</f>
        <v/>
      </c>
      <c r="D162" t="str">
        <f>IF(使用レシピ!H162="","",MATCH(使用レシピ!H162,使用レシピ!$E:$E,0)-1)</f>
        <v/>
      </c>
      <c r="E162" t="str">
        <f>IF(使用レシピ!I162="","",MATCH(使用レシピ!I162,使用レシピ!$E:$E,0)-1)</f>
        <v/>
      </c>
      <c r="F162" t="str">
        <f>IF(使用レシピ!J162="","",MATCH(使用レシピ!J162,使用レシピ!$E:$E,0)-1)</f>
        <v/>
      </c>
      <c r="G162" t="str">
        <f>使用レシピ!K162</f>
        <v/>
      </c>
      <c r="H162" t="str">
        <f>使用レシピ!L162</f>
        <v/>
      </c>
      <c r="I162" t="str">
        <f>使用レシピ!M162</f>
        <v/>
      </c>
      <c r="J162" t="str">
        <f>使用レシピ!N162</f>
        <v/>
      </c>
      <c r="K162" t="str">
        <f>使用レシピ!O162</f>
        <v/>
      </c>
      <c r="L162" t="str">
        <f>使用レシピ!P162</f>
        <v/>
      </c>
      <c r="M162" t="str">
        <f>使用レシピ!Q162</f>
        <v/>
      </c>
    </row>
    <row r="163" spans="1:13" x14ac:dyDescent="0.4">
      <c r="A163" t="str">
        <f>使用レシピ!D163</f>
        <v/>
      </c>
      <c r="B163" t="str">
        <f>IF(使用レシピ!F163="","",MATCH(使用レシピ!F163,使用レシピ!$E:$E,0)-1)</f>
        <v/>
      </c>
      <c r="C163" t="str">
        <f>IF(使用レシピ!G163="","",MATCH(使用レシピ!G163,使用レシピ!$E:$E,0)-1)</f>
        <v/>
      </c>
      <c r="D163" t="str">
        <f>IF(使用レシピ!H163="","",MATCH(使用レシピ!H163,使用レシピ!$E:$E,0)-1)</f>
        <v/>
      </c>
      <c r="E163" t="str">
        <f>IF(使用レシピ!I163="","",MATCH(使用レシピ!I163,使用レシピ!$E:$E,0)-1)</f>
        <v/>
      </c>
      <c r="F163" t="str">
        <f>IF(使用レシピ!J163="","",MATCH(使用レシピ!J163,使用レシピ!$E:$E,0)-1)</f>
        <v/>
      </c>
      <c r="G163" t="str">
        <f>使用レシピ!K163</f>
        <v/>
      </c>
      <c r="H163" t="str">
        <f>使用レシピ!L163</f>
        <v/>
      </c>
      <c r="I163" t="str">
        <f>使用レシピ!M163</f>
        <v/>
      </c>
      <c r="J163" t="str">
        <f>使用レシピ!N163</f>
        <v/>
      </c>
      <c r="K163" t="str">
        <f>使用レシピ!O163</f>
        <v/>
      </c>
      <c r="L163" t="str">
        <f>使用レシピ!P163</f>
        <v/>
      </c>
      <c r="M163" t="str">
        <f>使用レシピ!Q163</f>
        <v/>
      </c>
    </row>
    <row r="164" spans="1:13" x14ac:dyDescent="0.4">
      <c r="A164" t="str">
        <f>使用レシピ!D164</f>
        <v/>
      </c>
      <c r="B164" t="str">
        <f>IF(使用レシピ!F164="","",MATCH(使用レシピ!F164,使用レシピ!$E:$E,0)-1)</f>
        <v/>
      </c>
      <c r="C164" t="str">
        <f>IF(使用レシピ!G164="","",MATCH(使用レシピ!G164,使用レシピ!$E:$E,0)-1)</f>
        <v/>
      </c>
      <c r="D164" t="str">
        <f>IF(使用レシピ!H164="","",MATCH(使用レシピ!H164,使用レシピ!$E:$E,0)-1)</f>
        <v/>
      </c>
      <c r="E164" t="str">
        <f>IF(使用レシピ!I164="","",MATCH(使用レシピ!I164,使用レシピ!$E:$E,0)-1)</f>
        <v/>
      </c>
      <c r="F164" t="str">
        <f>IF(使用レシピ!J164="","",MATCH(使用レシピ!J164,使用レシピ!$E:$E,0)-1)</f>
        <v/>
      </c>
      <c r="G164" t="str">
        <f>使用レシピ!K164</f>
        <v/>
      </c>
      <c r="H164" t="str">
        <f>使用レシピ!L164</f>
        <v/>
      </c>
      <c r="I164" t="str">
        <f>使用レシピ!M164</f>
        <v/>
      </c>
      <c r="J164" t="str">
        <f>使用レシピ!N164</f>
        <v/>
      </c>
      <c r="K164" t="str">
        <f>使用レシピ!O164</f>
        <v/>
      </c>
      <c r="L164" t="str">
        <f>使用レシピ!P164</f>
        <v/>
      </c>
      <c r="M164" t="str">
        <f>使用レシピ!Q164</f>
        <v/>
      </c>
    </row>
    <row r="165" spans="1:13" x14ac:dyDescent="0.4">
      <c r="A165" t="str">
        <f>使用レシピ!D165</f>
        <v/>
      </c>
      <c r="B165" t="str">
        <f>IF(使用レシピ!F165="","",MATCH(使用レシピ!F165,使用レシピ!$E:$E,0)-1)</f>
        <v/>
      </c>
      <c r="C165" t="str">
        <f>IF(使用レシピ!G165="","",MATCH(使用レシピ!G165,使用レシピ!$E:$E,0)-1)</f>
        <v/>
      </c>
      <c r="D165" t="str">
        <f>IF(使用レシピ!H165="","",MATCH(使用レシピ!H165,使用レシピ!$E:$E,0)-1)</f>
        <v/>
      </c>
      <c r="E165" t="str">
        <f>IF(使用レシピ!I165="","",MATCH(使用レシピ!I165,使用レシピ!$E:$E,0)-1)</f>
        <v/>
      </c>
      <c r="F165" t="str">
        <f>IF(使用レシピ!J165="","",MATCH(使用レシピ!J165,使用レシピ!$E:$E,0)-1)</f>
        <v/>
      </c>
      <c r="G165" t="str">
        <f>使用レシピ!K165</f>
        <v/>
      </c>
      <c r="H165" t="str">
        <f>使用レシピ!L165</f>
        <v/>
      </c>
      <c r="I165" t="str">
        <f>使用レシピ!M165</f>
        <v/>
      </c>
      <c r="J165" t="str">
        <f>使用レシピ!N165</f>
        <v/>
      </c>
      <c r="K165" t="str">
        <f>使用レシピ!O165</f>
        <v/>
      </c>
      <c r="L165" t="str">
        <f>使用レシピ!P165</f>
        <v/>
      </c>
      <c r="M165" t="str">
        <f>使用レシピ!Q165</f>
        <v/>
      </c>
    </row>
    <row r="166" spans="1:13" x14ac:dyDescent="0.4">
      <c r="A166" t="str">
        <f>使用レシピ!D166</f>
        <v/>
      </c>
      <c r="B166" t="str">
        <f>IF(使用レシピ!F166="","",MATCH(使用レシピ!F166,使用レシピ!$E:$E,0)-1)</f>
        <v/>
      </c>
      <c r="C166" t="str">
        <f>IF(使用レシピ!G166="","",MATCH(使用レシピ!G166,使用レシピ!$E:$E,0)-1)</f>
        <v/>
      </c>
      <c r="D166" t="str">
        <f>IF(使用レシピ!H166="","",MATCH(使用レシピ!H166,使用レシピ!$E:$E,0)-1)</f>
        <v/>
      </c>
      <c r="E166" t="str">
        <f>IF(使用レシピ!I166="","",MATCH(使用レシピ!I166,使用レシピ!$E:$E,0)-1)</f>
        <v/>
      </c>
      <c r="F166" t="str">
        <f>IF(使用レシピ!J166="","",MATCH(使用レシピ!J166,使用レシピ!$E:$E,0)-1)</f>
        <v/>
      </c>
      <c r="G166" t="str">
        <f>使用レシピ!K166</f>
        <v/>
      </c>
      <c r="H166" t="str">
        <f>使用レシピ!L166</f>
        <v/>
      </c>
      <c r="I166" t="str">
        <f>使用レシピ!M166</f>
        <v/>
      </c>
      <c r="J166" t="str">
        <f>使用レシピ!N166</f>
        <v/>
      </c>
      <c r="K166" t="str">
        <f>使用レシピ!O166</f>
        <v/>
      </c>
      <c r="L166" t="str">
        <f>使用レシピ!P166</f>
        <v/>
      </c>
      <c r="M166" t="str">
        <f>使用レシピ!Q166</f>
        <v/>
      </c>
    </row>
    <row r="167" spans="1:13" x14ac:dyDescent="0.4">
      <c r="A167" t="str">
        <f>使用レシピ!D167</f>
        <v/>
      </c>
      <c r="B167" t="str">
        <f>IF(使用レシピ!F167="","",MATCH(使用レシピ!F167,使用レシピ!$E:$E,0)-1)</f>
        <v/>
      </c>
      <c r="C167" t="str">
        <f>IF(使用レシピ!G167="","",MATCH(使用レシピ!G167,使用レシピ!$E:$E,0)-1)</f>
        <v/>
      </c>
      <c r="D167" t="str">
        <f>IF(使用レシピ!H167="","",MATCH(使用レシピ!H167,使用レシピ!$E:$E,0)-1)</f>
        <v/>
      </c>
      <c r="E167" t="str">
        <f>IF(使用レシピ!I167="","",MATCH(使用レシピ!I167,使用レシピ!$E:$E,0)-1)</f>
        <v/>
      </c>
      <c r="F167" t="str">
        <f>IF(使用レシピ!J167="","",MATCH(使用レシピ!J167,使用レシピ!$E:$E,0)-1)</f>
        <v/>
      </c>
      <c r="G167" t="str">
        <f>使用レシピ!K167</f>
        <v/>
      </c>
      <c r="H167" t="str">
        <f>使用レシピ!L167</f>
        <v/>
      </c>
      <c r="I167" t="str">
        <f>使用レシピ!M167</f>
        <v/>
      </c>
      <c r="J167" t="str">
        <f>使用レシピ!N167</f>
        <v/>
      </c>
      <c r="K167" t="str">
        <f>使用レシピ!O167</f>
        <v/>
      </c>
      <c r="L167" t="str">
        <f>使用レシピ!P167</f>
        <v/>
      </c>
      <c r="M167" t="str">
        <f>使用レシピ!Q167</f>
        <v/>
      </c>
    </row>
    <row r="168" spans="1:13" x14ac:dyDescent="0.4">
      <c r="A168" t="str">
        <f>使用レシピ!D168</f>
        <v/>
      </c>
      <c r="B168" t="str">
        <f>IF(使用レシピ!F168="","",MATCH(使用レシピ!F168,使用レシピ!$E:$E,0)-1)</f>
        <v/>
      </c>
      <c r="C168" t="str">
        <f>IF(使用レシピ!G168="","",MATCH(使用レシピ!G168,使用レシピ!$E:$E,0)-1)</f>
        <v/>
      </c>
      <c r="D168" t="str">
        <f>IF(使用レシピ!H168="","",MATCH(使用レシピ!H168,使用レシピ!$E:$E,0)-1)</f>
        <v/>
      </c>
      <c r="E168" t="str">
        <f>IF(使用レシピ!I168="","",MATCH(使用レシピ!I168,使用レシピ!$E:$E,0)-1)</f>
        <v/>
      </c>
      <c r="F168" t="str">
        <f>IF(使用レシピ!J168="","",MATCH(使用レシピ!J168,使用レシピ!$E:$E,0)-1)</f>
        <v/>
      </c>
      <c r="G168" t="str">
        <f>使用レシピ!K168</f>
        <v/>
      </c>
      <c r="H168" t="str">
        <f>使用レシピ!L168</f>
        <v/>
      </c>
      <c r="I168" t="str">
        <f>使用レシピ!M168</f>
        <v/>
      </c>
      <c r="J168" t="str">
        <f>使用レシピ!N168</f>
        <v/>
      </c>
      <c r="K168" t="str">
        <f>使用レシピ!O168</f>
        <v/>
      </c>
      <c r="L168" t="str">
        <f>使用レシピ!P168</f>
        <v/>
      </c>
      <c r="M168" t="str">
        <f>使用レシピ!Q168</f>
        <v/>
      </c>
    </row>
    <row r="169" spans="1:13" x14ac:dyDescent="0.4">
      <c r="A169" t="str">
        <f>使用レシピ!D169</f>
        <v/>
      </c>
      <c r="B169" t="str">
        <f>IF(使用レシピ!F169="","",MATCH(使用レシピ!F169,使用レシピ!$E:$E,0)-1)</f>
        <v/>
      </c>
      <c r="C169" t="str">
        <f>IF(使用レシピ!G169="","",MATCH(使用レシピ!G169,使用レシピ!$E:$E,0)-1)</f>
        <v/>
      </c>
      <c r="D169" t="str">
        <f>IF(使用レシピ!H169="","",MATCH(使用レシピ!H169,使用レシピ!$E:$E,0)-1)</f>
        <v/>
      </c>
      <c r="E169" t="str">
        <f>IF(使用レシピ!I169="","",MATCH(使用レシピ!I169,使用レシピ!$E:$E,0)-1)</f>
        <v/>
      </c>
      <c r="F169" t="str">
        <f>IF(使用レシピ!J169="","",MATCH(使用レシピ!J169,使用レシピ!$E:$E,0)-1)</f>
        <v/>
      </c>
      <c r="G169" t="str">
        <f>使用レシピ!K169</f>
        <v/>
      </c>
      <c r="H169" t="str">
        <f>使用レシピ!L169</f>
        <v/>
      </c>
      <c r="I169" t="str">
        <f>使用レシピ!M169</f>
        <v/>
      </c>
      <c r="J169" t="str">
        <f>使用レシピ!N169</f>
        <v/>
      </c>
      <c r="K169" t="str">
        <f>使用レシピ!O169</f>
        <v/>
      </c>
      <c r="L169" t="str">
        <f>使用レシピ!P169</f>
        <v/>
      </c>
      <c r="M169" t="str">
        <f>使用レシピ!Q169</f>
        <v/>
      </c>
    </row>
    <row r="170" spans="1:13" x14ac:dyDescent="0.4">
      <c r="A170" t="str">
        <f>使用レシピ!D170</f>
        <v/>
      </c>
      <c r="B170" t="str">
        <f>IF(使用レシピ!F170="","",MATCH(使用レシピ!F170,使用レシピ!$E:$E,0)-1)</f>
        <v/>
      </c>
      <c r="C170" t="str">
        <f>IF(使用レシピ!G170="","",MATCH(使用レシピ!G170,使用レシピ!$E:$E,0)-1)</f>
        <v/>
      </c>
      <c r="D170" t="str">
        <f>IF(使用レシピ!H170="","",MATCH(使用レシピ!H170,使用レシピ!$E:$E,0)-1)</f>
        <v/>
      </c>
      <c r="E170" t="str">
        <f>IF(使用レシピ!I170="","",MATCH(使用レシピ!I170,使用レシピ!$E:$E,0)-1)</f>
        <v/>
      </c>
      <c r="F170" t="str">
        <f>IF(使用レシピ!J170="","",MATCH(使用レシピ!J170,使用レシピ!$E:$E,0)-1)</f>
        <v/>
      </c>
      <c r="G170" t="str">
        <f>使用レシピ!K170</f>
        <v/>
      </c>
      <c r="H170" t="str">
        <f>使用レシピ!L170</f>
        <v/>
      </c>
      <c r="I170" t="str">
        <f>使用レシピ!M170</f>
        <v/>
      </c>
      <c r="J170" t="str">
        <f>使用レシピ!N170</f>
        <v/>
      </c>
      <c r="K170" t="str">
        <f>使用レシピ!O170</f>
        <v/>
      </c>
      <c r="L170" t="str">
        <f>使用レシピ!P170</f>
        <v/>
      </c>
      <c r="M170" t="str">
        <f>使用レシピ!Q170</f>
        <v/>
      </c>
    </row>
    <row r="171" spans="1:13" x14ac:dyDescent="0.4">
      <c r="A171" t="str">
        <f>使用レシピ!D171</f>
        <v/>
      </c>
      <c r="B171" t="str">
        <f>IF(使用レシピ!F171="","",MATCH(使用レシピ!F171,使用レシピ!$E:$E,0)-1)</f>
        <v/>
      </c>
      <c r="C171" t="str">
        <f>IF(使用レシピ!G171="","",MATCH(使用レシピ!G171,使用レシピ!$E:$E,0)-1)</f>
        <v/>
      </c>
      <c r="D171" t="str">
        <f>IF(使用レシピ!H171="","",MATCH(使用レシピ!H171,使用レシピ!$E:$E,0)-1)</f>
        <v/>
      </c>
      <c r="E171" t="str">
        <f>IF(使用レシピ!I171="","",MATCH(使用レシピ!I171,使用レシピ!$E:$E,0)-1)</f>
        <v/>
      </c>
      <c r="F171" t="str">
        <f>IF(使用レシピ!J171="","",MATCH(使用レシピ!J171,使用レシピ!$E:$E,0)-1)</f>
        <v/>
      </c>
      <c r="G171" t="str">
        <f>使用レシピ!K171</f>
        <v/>
      </c>
      <c r="H171" t="str">
        <f>使用レシピ!L171</f>
        <v/>
      </c>
      <c r="I171" t="str">
        <f>使用レシピ!M171</f>
        <v/>
      </c>
      <c r="J171" t="str">
        <f>使用レシピ!N171</f>
        <v/>
      </c>
      <c r="K171" t="str">
        <f>使用レシピ!O171</f>
        <v/>
      </c>
      <c r="L171" t="str">
        <f>使用レシピ!P171</f>
        <v/>
      </c>
      <c r="M171" t="str">
        <f>使用レシピ!Q171</f>
        <v/>
      </c>
    </row>
    <row r="172" spans="1:13" x14ac:dyDescent="0.4">
      <c r="A172" t="str">
        <f>使用レシピ!D172</f>
        <v/>
      </c>
      <c r="B172" t="str">
        <f>IF(使用レシピ!F172="","",MATCH(使用レシピ!F172,使用レシピ!$E:$E,0)-1)</f>
        <v/>
      </c>
      <c r="C172" t="str">
        <f>IF(使用レシピ!G172="","",MATCH(使用レシピ!G172,使用レシピ!$E:$E,0)-1)</f>
        <v/>
      </c>
      <c r="D172" t="str">
        <f>IF(使用レシピ!H172="","",MATCH(使用レシピ!H172,使用レシピ!$E:$E,0)-1)</f>
        <v/>
      </c>
      <c r="E172" t="str">
        <f>IF(使用レシピ!I172="","",MATCH(使用レシピ!I172,使用レシピ!$E:$E,0)-1)</f>
        <v/>
      </c>
      <c r="F172" t="str">
        <f>IF(使用レシピ!J172="","",MATCH(使用レシピ!J172,使用レシピ!$E:$E,0)-1)</f>
        <v/>
      </c>
      <c r="G172" t="str">
        <f>使用レシピ!K172</f>
        <v/>
      </c>
      <c r="H172" t="str">
        <f>使用レシピ!L172</f>
        <v/>
      </c>
      <c r="I172" t="str">
        <f>使用レシピ!M172</f>
        <v/>
      </c>
      <c r="J172" t="str">
        <f>使用レシピ!N172</f>
        <v/>
      </c>
      <c r="K172" t="str">
        <f>使用レシピ!O172</f>
        <v/>
      </c>
      <c r="L172" t="str">
        <f>使用レシピ!P172</f>
        <v/>
      </c>
      <c r="M172" t="str">
        <f>使用レシピ!Q172</f>
        <v/>
      </c>
    </row>
    <row r="173" spans="1:13" x14ac:dyDescent="0.4">
      <c r="A173" t="str">
        <f>使用レシピ!D173</f>
        <v/>
      </c>
      <c r="B173" t="str">
        <f>IF(使用レシピ!F173="","",MATCH(使用レシピ!F173,使用レシピ!$E:$E,0)-1)</f>
        <v/>
      </c>
      <c r="C173" t="str">
        <f>IF(使用レシピ!G173="","",MATCH(使用レシピ!G173,使用レシピ!$E:$E,0)-1)</f>
        <v/>
      </c>
      <c r="D173" t="str">
        <f>IF(使用レシピ!H173="","",MATCH(使用レシピ!H173,使用レシピ!$E:$E,0)-1)</f>
        <v/>
      </c>
      <c r="E173" t="str">
        <f>IF(使用レシピ!I173="","",MATCH(使用レシピ!I173,使用レシピ!$E:$E,0)-1)</f>
        <v/>
      </c>
      <c r="F173" t="str">
        <f>IF(使用レシピ!J173="","",MATCH(使用レシピ!J173,使用レシピ!$E:$E,0)-1)</f>
        <v/>
      </c>
      <c r="G173" t="str">
        <f>使用レシピ!K173</f>
        <v/>
      </c>
      <c r="H173" t="str">
        <f>使用レシピ!L173</f>
        <v/>
      </c>
      <c r="I173" t="str">
        <f>使用レシピ!M173</f>
        <v/>
      </c>
      <c r="J173" t="str">
        <f>使用レシピ!N173</f>
        <v/>
      </c>
      <c r="K173" t="str">
        <f>使用レシピ!O173</f>
        <v/>
      </c>
      <c r="L173" t="str">
        <f>使用レシピ!P173</f>
        <v/>
      </c>
      <c r="M173" t="str">
        <f>使用レシピ!Q173</f>
        <v/>
      </c>
    </row>
    <row r="174" spans="1:13" x14ac:dyDescent="0.4">
      <c r="A174" t="str">
        <f>使用レシピ!D174</f>
        <v/>
      </c>
      <c r="B174" t="str">
        <f>IF(使用レシピ!F174="","",MATCH(使用レシピ!F174,使用レシピ!$E:$E,0)-1)</f>
        <v/>
      </c>
      <c r="C174" t="str">
        <f>IF(使用レシピ!G174="","",MATCH(使用レシピ!G174,使用レシピ!$E:$E,0)-1)</f>
        <v/>
      </c>
      <c r="D174" t="str">
        <f>IF(使用レシピ!H174="","",MATCH(使用レシピ!H174,使用レシピ!$E:$E,0)-1)</f>
        <v/>
      </c>
      <c r="E174" t="str">
        <f>IF(使用レシピ!I174="","",MATCH(使用レシピ!I174,使用レシピ!$E:$E,0)-1)</f>
        <v/>
      </c>
      <c r="F174" t="str">
        <f>IF(使用レシピ!J174="","",MATCH(使用レシピ!J174,使用レシピ!$E:$E,0)-1)</f>
        <v/>
      </c>
      <c r="G174" t="str">
        <f>使用レシピ!K174</f>
        <v/>
      </c>
      <c r="H174" t="str">
        <f>使用レシピ!L174</f>
        <v/>
      </c>
      <c r="I174" t="str">
        <f>使用レシピ!M174</f>
        <v/>
      </c>
      <c r="J174" t="str">
        <f>使用レシピ!N174</f>
        <v/>
      </c>
      <c r="K174" t="str">
        <f>使用レシピ!O174</f>
        <v/>
      </c>
      <c r="L174" t="str">
        <f>使用レシピ!P174</f>
        <v/>
      </c>
      <c r="M174" t="str">
        <f>使用レシピ!Q174</f>
        <v/>
      </c>
    </row>
    <row r="175" spans="1:13" x14ac:dyDescent="0.4">
      <c r="A175" t="str">
        <f>使用レシピ!D175</f>
        <v/>
      </c>
      <c r="B175" t="str">
        <f>IF(使用レシピ!F175="","",MATCH(使用レシピ!F175,使用レシピ!$E:$E,0)-1)</f>
        <v/>
      </c>
      <c r="C175" t="str">
        <f>IF(使用レシピ!G175="","",MATCH(使用レシピ!G175,使用レシピ!$E:$E,0)-1)</f>
        <v/>
      </c>
      <c r="D175" t="str">
        <f>IF(使用レシピ!H175="","",MATCH(使用レシピ!H175,使用レシピ!$E:$E,0)-1)</f>
        <v/>
      </c>
      <c r="E175" t="str">
        <f>IF(使用レシピ!I175="","",MATCH(使用レシピ!I175,使用レシピ!$E:$E,0)-1)</f>
        <v/>
      </c>
      <c r="F175" t="str">
        <f>IF(使用レシピ!J175="","",MATCH(使用レシピ!J175,使用レシピ!$E:$E,0)-1)</f>
        <v/>
      </c>
      <c r="G175" t="str">
        <f>使用レシピ!K175</f>
        <v/>
      </c>
      <c r="H175" t="str">
        <f>使用レシピ!L175</f>
        <v/>
      </c>
      <c r="I175" t="str">
        <f>使用レシピ!M175</f>
        <v/>
      </c>
      <c r="J175" t="str">
        <f>使用レシピ!N175</f>
        <v/>
      </c>
      <c r="K175" t="str">
        <f>使用レシピ!O175</f>
        <v/>
      </c>
      <c r="L175" t="str">
        <f>使用レシピ!P175</f>
        <v/>
      </c>
      <c r="M175" t="str">
        <f>使用レシピ!Q175</f>
        <v/>
      </c>
    </row>
    <row r="176" spans="1:13" x14ac:dyDescent="0.4">
      <c r="A176" t="str">
        <f>使用レシピ!D176</f>
        <v/>
      </c>
      <c r="B176" t="str">
        <f>IF(使用レシピ!F176="","",MATCH(使用レシピ!F176,使用レシピ!$E:$E,0)-1)</f>
        <v/>
      </c>
      <c r="C176" t="str">
        <f>IF(使用レシピ!G176="","",MATCH(使用レシピ!G176,使用レシピ!$E:$E,0)-1)</f>
        <v/>
      </c>
      <c r="D176" t="str">
        <f>IF(使用レシピ!H176="","",MATCH(使用レシピ!H176,使用レシピ!$E:$E,0)-1)</f>
        <v/>
      </c>
      <c r="E176" t="str">
        <f>IF(使用レシピ!I176="","",MATCH(使用レシピ!I176,使用レシピ!$E:$E,0)-1)</f>
        <v/>
      </c>
      <c r="F176" t="str">
        <f>IF(使用レシピ!J176="","",MATCH(使用レシピ!J176,使用レシピ!$E:$E,0)-1)</f>
        <v/>
      </c>
      <c r="G176" t="str">
        <f>使用レシピ!K176</f>
        <v/>
      </c>
      <c r="H176" t="str">
        <f>使用レシピ!L176</f>
        <v/>
      </c>
      <c r="I176" t="str">
        <f>使用レシピ!M176</f>
        <v/>
      </c>
      <c r="J176" t="str">
        <f>使用レシピ!N176</f>
        <v/>
      </c>
      <c r="K176" t="str">
        <f>使用レシピ!O176</f>
        <v/>
      </c>
      <c r="L176" t="str">
        <f>使用レシピ!P176</f>
        <v/>
      </c>
      <c r="M176" t="str">
        <f>使用レシピ!Q176</f>
        <v/>
      </c>
    </row>
    <row r="177" spans="1:13" x14ac:dyDescent="0.4">
      <c r="A177" t="str">
        <f>使用レシピ!D177</f>
        <v/>
      </c>
      <c r="B177" t="str">
        <f>IF(使用レシピ!F177="","",MATCH(使用レシピ!F177,使用レシピ!$E:$E,0)-1)</f>
        <v/>
      </c>
      <c r="C177" t="str">
        <f>IF(使用レシピ!G177="","",MATCH(使用レシピ!G177,使用レシピ!$E:$E,0)-1)</f>
        <v/>
      </c>
      <c r="D177" t="str">
        <f>IF(使用レシピ!H177="","",MATCH(使用レシピ!H177,使用レシピ!$E:$E,0)-1)</f>
        <v/>
      </c>
      <c r="E177" t="str">
        <f>IF(使用レシピ!I177="","",MATCH(使用レシピ!I177,使用レシピ!$E:$E,0)-1)</f>
        <v/>
      </c>
      <c r="F177" t="str">
        <f>IF(使用レシピ!J177="","",MATCH(使用レシピ!J177,使用レシピ!$E:$E,0)-1)</f>
        <v/>
      </c>
      <c r="G177" t="str">
        <f>使用レシピ!K177</f>
        <v/>
      </c>
      <c r="H177" t="str">
        <f>使用レシピ!L177</f>
        <v/>
      </c>
      <c r="I177" t="str">
        <f>使用レシピ!M177</f>
        <v/>
      </c>
      <c r="J177" t="str">
        <f>使用レシピ!N177</f>
        <v/>
      </c>
      <c r="K177" t="str">
        <f>使用レシピ!O177</f>
        <v/>
      </c>
      <c r="L177" t="str">
        <f>使用レシピ!P177</f>
        <v/>
      </c>
      <c r="M177" t="str">
        <f>使用レシピ!Q177</f>
        <v/>
      </c>
    </row>
    <row r="178" spans="1:13" x14ac:dyDescent="0.4">
      <c r="A178" t="str">
        <f>使用レシピ!D178</f>
        <v/>
      </c>
      <c r="B178" t="str">
        <f>IF(使用レシピ!F178="","",MATCH(使用レシピ!F178,使用レシピ!$E:$E,0)-1)</f>
        <v/>
      </c>
      <c r="C178" t="str">
        <f>IF(使用レシピ!G178="","",MATCH(使用レシピ!G178,使用レシピ!$E:$E,0)-1)</f>
        <v/>
      </c>
      <c r="D178" t="str">
        <f>IF(使用レシピ!H178="","",MATCH(使用レシピ!H178,使用レシピ!$E:$E,0)-1)</f>
        <v/>
      </c>
      <c r="E178" t="str">
        <f>IF(使用レシピ!I178="","",MATCH(使用レシピ!I178,使用レシピ!$E:$E,0)-1)</f>
        <v/>
      </c>
      <c r="F178" t="str">
        <f>IF(使用レシピ!J178="","",MATCH(使用レシピ!J178,使用レシピ!$E:$E,0)-1)</f>
        <v/>
      </c>
      <c r="G178" t="str">
        <f>使用レシピ!K178</f>
        <v/>
      </c>
      <c r="H178" t="str">
        <f>使用レシピ!L178</f>
        <v/>
      </c>
      <c r="I178" t="str">
        <f>使用レシピ!M178</f>
        <v/>
      </c>
      <c r="J178" t="str">
        <f>使用レシピ!N178</f>
        <v/>
      </c>
      <c r="K178" t="str">
        <f>使用レシピ!O178</f>
        <v/>
      </c>
      <c r="L178" t="str">
        <f>使用レシピ!P178</f>
        <v/>
      </c>
      <c r="M178" t="str">
        <f>使用レシピ!Q178</f>
        <v/>
      </c>
    </row>
    <row r="179" spans="1:13" x14ac:dyDescent="0.4">
      <c r="A179" t="str">
        <f>使用レシピ!D179</f>
        <v/>
      </c>
      <c r="B179" t="str">
        <f>IF(使用レシピ!F179="","",MATCH(使用レシピ!F179,使用レシピ!$E:$E,0)-1)</f>
        <v/>
      </c>
      <c r="C179" t="str">
        <f>IF(使用レシピ!G179="","",MATCH(使用レシピ!G179,使用レシピ!$E:$E,0)-1)</f>
        <v/>
      </c>
      <c r="D179" t="str">
        <f>IF(使用レシピ!H179="","",MATCH(使用レシピ!H179,使用レシピ!$E:$E,0)-1)</f>
        <v/>
      </c>
      <c r="E179" t="str">
        <f>IF(使用レシピ!I179="","",MATCH(使用レシピ!I179,使用レシピ!$E:$E,0)-1)</f>
        <v/>
      </c>
      <c r="F179" t="str">
        <f>IF(使用レシピ!J179="","",MATCH(使用レシピ!J179,使用レシピ!$E:$E,0)-1)</f>
        <v/>
      </c>
      <c r="G179" t="str">
        <f>使用レシピ!K179</f>
        <v/>
      </c>
      <c r="H179" t="str">
        <f>使用レシピ!L179</f>
        <v/>
      </c>
      <c r="I179" t="str">
        <f>使用レシピ!M179</f>
        <v/>
      </c>
      <c r="J179" t="str">
        <f>使用レシピ!N179</f>
        <v/>
      </c>
      <c r="K179" t="str">
        <f>使用レシピ!O179</f>
        <v/>
      </c>
      <c r="L179" t="str">
        <f>使用レシピ!P179</f>
        <v/>
      </c>
      <c r="M179" t="str">
        <f>使用レシピ!Q179</f>
        <v/>
      </c>
    </row>
    <row r="180" spans="1:13" x14ac:dyDescent="0.4">
      <c r="A180" t="str">
        <f>使用レシピ!D180</f>
        <v/>
      </c>
      <c r="B180" t="str">
        <f>IF(使用レシピ!F180="","",MATCH(使用レシピ!F180,使用レシピ!$E:$E,0)-1)</f>
        <v/>
      </c>
      <c r="C180" t="str">
        <f>IF(使用レシピ!G180="","",MATCH(使用レシピ!G180,使用レシピ!$E:$E,0)-1)</f>
        <v/>
      </c>
      <c r="D180" t="str">
        <f>IF(使用レシピ!H180="","",MATCH(使用レシピ!H180,使用レシピ!$E:$E,0)-1)</f>
        <v/>
      </c>
      <c r="E180" t="str">
        <f>IF(使用レシピ!I180="","",MATCH(使用レシピ!I180,使用レシピ!$E:$E,0)-1)</f>
        <v/>
      </c>
      <c r="F180" t="str">
        <f>IF(使用レシピ!J180="","",MATCH(使用レシピ!J180,使用レシピ!$E:$E,0)-1)</f>
        <v/>
      </c>
      <c r="G180" t="str">
        <f>使用レシピ!K180</f>
        <v/>
      </c>
      <c r="H180" t="str">
        <f>使用レシピ!L180</f>
        <v/>
      </c>
      <c r="I180" t="str">
        <f>使用レシピ!M180</f>
        <v/>
      </c>
      <c r="J180" t="str">
        <f>使用レシピ!N180</f>
        <v/>
      </c>
      <c r="K180" t="str">
        <f>使用レシピ!O180</f>
        <v/>
      </c>
      <c r="L180" t="str">
        <f>使用レシピ!P180</f>
        <v/>
      </c>
      <c r="M180" t="str">
        <f>使用レシピ!Q180</f>
        <v/>
      </c>
    </row>
    <row r="181" spans="1:13" x14ac:dyDescent="0.4">
      <c r="A181" t="str">
        <f>使用レシピ!D181</f>
        <v/>
      </c>
      <c r="B181" t="str">
        <f>IF(使用レシピ!F181="","",MATCH(使用レシピ!F181,使用レシピ!$E:$E,0)-1)</f>
        <v/>
      </c>
      <c r="C181" t="str">
        <f>IF(使用レシピ!G181="","",MATCH(使用レシピ!G181,使用レシピ!$E:$E,0)-1)</f>
        <v/>
      </c>
      <c r="D181" t="str">
        <f>IF(使用レシピ!H181="","",MATCH(使用レシピ!H181,使用レシピ!$E:$E,0)-1)</f>
        <v/>
      </c>
      <c r="E181" t="str">
        <f>IF(使用レシピ!I181="","",MATCH(使用レシピ!I181,使用レシピ!$E:$E,0)-1)</f>
        <v/>
      </c>
      <c r="F181" t="str">
        <f>IF(使用レシピ!J181="","",MATCH(使用レシピ!J181,使用レシピ!$E:$E,0)-1)</f>
        <v/>
      </c>
      <c r="G181" t="str">
        <f>使用レシピ!K181</f>
        <v/>
      </c>
      <c r="H181" t="str">
        <f>使用レシピ!L181</f>
        <v/>
      </c>
      <c r="I181" t="str">
        <f>使用レシピ!M181</f>
        <v/>
      </c>
      <c r="J181" t="str">
        <f>使用レシピ!N181</f>
        <v/>
      </c>
      <c r="K181" t="str">
        <f>使用レシピ!O181</f>
        <v/>
      </c>
      <c r="L181" t="str">
        <f>使用レシピ!P181</f>
        <v/>
      </c>
      <c r="M181" t="str">
        <f>使用レシピ!Q181</f>
        <v/>
      </c>
    </row>
    <row r="182" spans="1:13" x14ac:dyDescent="0.4">
      <c r="A182" t="str">
        <f>使用レシピ!D182</f>
        <v/>
      </c>
      <c r="B182" t="str">
        <f>IF(使用レシピ!F182="","",MATCH(使用レシピ!F182,使用レシピ!$E:$E,0)-1)</f>
        <v/>
      </c>
      <c r="C182" t="str">
        <f>IF(使用レシピ!G182="","",MATCH(使用レシピ!G182,使用レシピ!$E:$E,0)-1)</f>
        <v/>
      </c>
      <c r="D182" t="str">
        <f>IF(使用レシピ!H182="","",MATCH(使用レシピ!H182,使用レシピ!$E:$E,0)-1)</f>
        <v/>
      </c>
      <c r="E182" t="str">
        <f>IF(使用レシピ!I182="","",MATCH(使用レシピ!I182,使用レシピ!$E:$E,0)-1)</f>
        <v/>
      </c>
      <c r="F182" t="str">
        <f>IF(使用レシピ!J182="","",MATCH(使用レシピ!J182,使用レシピ!$E:$E,0)-1)</f>
        <v/>
      </c>
      <c r="G182" t="str">
        <f>使用レシピ!K182</f>
        <v/>
      </c>
      <c r="H182" t="str">
        <f>使用レシピ!L182</f>
        <v/>
      </c>
      <c r="I182" t="str">
        <f>使用レシピ!M182</f>
        <v/>
      </c>
      <c r="J182" t="str">
        <f>使用レシピ!N182</f>
        <v/>
      </c>
      <c r="K182" t="str">
        <f>使用レシピ!O182</f>
        <v/>
      </c>
      <c r="L182" t="str">
        <f>使用レシピ!P182</f>
        <v/>
      </c>
      <c r="M182" t="str">
        <f>使用レシピ!Q182</f>
        <v/>
      </c>
    </row>
    <row r="183" spans="1:13" x14ac:dyDescent="0.4">
      <c r="A183" t="str">
        <f>使用レシピ!D183</f>
        <v/>
      </c>
      <c r="B183" t="str">
        <f>IF(使用レシピ!F183="","",MATCH(使用レシピ!F183,使用レシピ!$E:$E,0)-1)</f>
        <v/>
      </c>
      <c r="C183" t="str">
        <f>IF(使用レシピ!G183="","",MATCH(使用レシピ!G183,使用レシピ!$E:$E,0)-1)</f>
        <v/>
      </c>
      <c r="D183" t="str">
        <f>IF(使用レシピ!H183="","",MATCH(使用レシピ!H183,使用レシピ!$E:$E,0)-1)</f>
        <v/>
      </c>
      <c r="E183" t="str">
        <f>IF(使用レシピ!I183="","",MATCH(使用レシピ!I183,使用レシピ!$E:$E,0)-1)</f>
        <v/>
      </c>
      <c r="F183" t="str">
        <f>IF(使用レシピ!J183="","",MATCH(使用レシピ!J183,使用レシピ!$E:$E,0)-1)</f>
        <v/>
      </c>
      <c r="G183" t="str">
        <f>使用レシピ!K183</f>
        <v/>
      </c>
      <c r="H183" t="str">
        <f>使用レシピ!L183</f>
        <v/>
      </c>
      <c r="I183" t="str">
        <f>使用レシピ!M183</f>
        <v/>
      </c>
      <c r="J183" t="str">
        <f>使用レシピ!N183</f>
        <v/>
      </c>
      <c r="K183" t="str">
        <f>使用レシピ!O183</f>
        <v/>
      </c>
      <c r="L183" t="str">
        <f>使用レシピ!P183</f>
        <v/>
      </c>
      <c r="M183" t="str">
        <f>使用レシピ!Q183</f>
        <v/>
      </c>
    </row>
    <row r="184" spans="1:13" x14ac:dyDescent="0.4">
      <c r="A184" t="str">
        <f>使用レシピ!D184</f>
        <v/>
      </c>
      <c r="B184" t="str">
        <f>IF(使用レシピ!F184="","",MATCH(使用レシピ!F184,使用レシピ!$E:$E,0)-1)</f>
        <v/>
      </c>
      <c r="C184" t="str">
        <f>IF(使用レシピ!G184="","",MATCH(使用レシピ!G184,使用レシピ!$E:$E,0)-1)</f>
        <v/>
      </c>
      <c r="D184" t="str">
        <f>IF(使用レシピ!H184="","",MATCH(使用レシピ!H184,使用レシピ!$E:$E,0)-1)</f>
        <v/>
      </c>
      <c r="E184" t="str">
        <f>IF(使用レシピ!I184="","",MATCH(使用レシピ!I184,使用レシピ!$E:$E,0)-1)</f>
        <v/>
      </c>
      <c r="F184" t="str">
        <f>IF(使用レシピ!J184="","",MATCH(使用レシピ!J184,使用レシピ!$E:$E,0)-1)</f>
        <v/>
      </c>
      <c r="G184" t="str">
        <f>使用レシピ!K184</f>
        <v/>
      </c>
      <c r="H184" t="str">
        <f>使用レシピ!L184</f>
        <v/>
      </c>
      <c r="I184" t="str">
        <f>使用レシピ!M184</f>
        <v/>
      </c>
      <c r="J184" t="str">
        <f>使用レシピ!N184</f>
        <v/>
      </c>
      <c r="K184" t="str">
        <f>使用レシピ!O184</f>
        <v/>
      </c>
      <c r="L184" t="str">
        <f>使用レシピ!P184</f>
        <v/>
      </c>
      <c r="M184" t="str">
        <f>使用レシピ!Q184</f>
        <v/>
      </c>
    </row>
    <row r="185" spans="1:13" x14ac:dyDescent="0.4">
      <c r="A185" t="str">
        <f>使用レシピ!D185</f>
        <v/>
      </c>
      <c r="B185" t="str">
        <f>IF(使用レシピ!F185="","",MATCH(使用レシピ!F185,使用レシピ!$E:$E,0)-1)</f>
        <v/>
      </c>
      <c r="C185" t="str">
        <f>IF(使用レシピ!G185="","",MATCH(使用レシピ!G185,使用レシピ!$E:$E,0)-1)</f>
        <v/>
      </c>
      <c r="D185" t="str">
        <f>IF(使用レシピ!H185="","",MATCH(使用レシピ!H185,使用レシピ!$E:$E,0)-1)</f>
        <v/>
      </c>
      <c r="E185" t="str">
        <f>IF(使用レシピ!I185="","",MATCH(使用レシピ!I185,使用レシピ!$E:$E,0)-1)</f>
        <v/>
      </c>
      <c r="F185" t="str">
        <f>IF(使用レシピ!J185="","",MATCH(使用レシピ!J185,使用レシピ!$E:$E,0)-1)</f>
        <v/>
      </c>
      <c r="G185" t="str">
        <f>使用レシピ!K185</f>
        <v/>
      </c>
      <c r="H185" t="str">
        <f>使用レシピ!L185</f>
        <v/>
      </c>
      <c r="I185" t="str">
        <f>使用レシピ!M185</f>
        <v/>
      </c>
      <c r="J185" t="str">
        <f>使用レシピ!N185</f>
        <v/>
      </c>
      <c r="K185" t="str">
        <f>使用レシピ!O185</f>
        <v/>
      </c>
      <c r="L185" t="str">
        <f>使用レシピ!P185</f>
        <v/>
      </c>
      <c r="M185" t="str">
        <f>使用レシピ!Q185</f>
        <v/>
      </c>
    </row>
    <row r="186" spans="1:13" x14ac:dyDescent="0.4">
      <c r="A186" t="str">
        <f>使用レシピ!D186</f>
        <v/>
      </c>
      <c r="B186" t="str">
        <f>IF(使用レシピ!F186="","",MATCH(使用レシピ!F186,使用レシピ!$E:$E,0)-1)</f>
        <v/>
      </c>
      <c r="C186" t="str">
        <f>IF(使用レシピ!G186="","",MATCH(使用レシピ!G186,使用レシピ!$E:$E,0)-1)</f>
        <v/>
      </c>
      <c r="D186" t="str">
        <f>IF(使用レシピ!H186="","",MATCH(使用レシピ!H186,使用レシピ!$E:$E,0)-1)</f>
        <v/>
      </c>
      <c r="E186" t="str">
        <f>IF(使用レシピ!I186="","",MATCH(使用レシピ!I186,使用レシピ!$E:$E,0)-1)</f>
        <v/>
      </c>
      <c r="F186" t="str">
        <f>IF(使用レシピ!J186="","",MATCH(使用レシピ!J186,使用レシピ!$E:$E,0)-1)</f>
        <v/>
      </c>
      <c r="G186" t="str">
        <f>使用レシピ!K186</f>
        <v/>
      </c>
      <c r="H186" t="str">
        <f>使用レシピ!L186</f>
        <v/>
      </c>
      <c r="I186" t="str">
        <f>使用レシピ!M186</f>
        <v/>
      </c>
      <c r="J186" t="str">
        <f>使用レシピ!N186</f>
        <v/>
      </c>
      <c r="K186" t="str">
        <f>使用レシピ!O186</f>
        <v/>
      </c>
      <c r="L186" t="str">
        <f>使用レシピ!P186</f>
        <v/>
      </c>
      <c r="M186" t="str">
        <f>使用レシピ!Q186</f>
        <v/>
      </c>
    </row>
    <row r="187" spans="1:13" x14ac:dyDescent="0.4">
      <c r="A187" t="str">
        <f>使用レシピ!D187</f>
        <v/>
      </c>
      <c r="B187" t="str">
        <f>IF(使用レシピ!F187="","",MATCH(使用レシピ!F187,使用レシピ!$E:$E,0)-1)</f>
        <v/>
      </c>
      <c r="C187" t="str">
        <f>IF(使用レシピ!G187="","",MATCH(使用レシピ!G187,使用レシピ!$E:$E,0)-1)</f>
        <v/>
      </c>
      <c r="D187" t="str">
        <f>IF(使用レシピ!H187="","",MATCH(使用レシピ!H187,使用レシピ!$E:$E,0)-1)</f>
        <v/>
      </c>
      <c r="E187" t="str">
        <f>IF(使用レシピ!I187="","",MATCH(使用レシピ!I187,使用レシピ!$E:$E,0)-1)</f>
        <v/>
      </c>
      <c r="F187" t="str">
        <f>IF(使用レシピ!J187="","",MATCH(使用レシピ!J187,使用レシピ!$E:$E,0)-1)</f>
        <v/>
      </c>
      <c r="G187" t="str">
        <f>使用レシピ!K187</f>
        <v/>
      </c>
      <c r="H187" t="str">
        <f>使用レシピ!L187</f>
        <v/>
      </c>
      <c r="I187" t="str">
        <f>使用レシピ!M187</f>
        <v/>
      </c>
      <c r="J187" t="str">
        <f>使用レシピ!N187</f>
        <v/>
      </c>
      <c r="K187" t="str">
        <f>使用レシピ!O187</f>
        <v/>
      </c>
      <c r="L187" t="str">
        <f>使用レシピ!P187</f>
        <v/>
      </c>
      <c r="M187" t="str">
        <f>使用レシピ!Q187</f>
        <v/>
      </c>
    </row>
    <row r="188" spans="1:13" x14ac:dyDescent="0.4">
      <c r="A188" t="str">
        <f>使用レシピ!D188</f>
        <v/>
      </c>
      <c r="B188" t="str">
        <f>IF(使用レシピ!F188="","",MATCH(使用レシピ!F188,使用レシピ!$E:$E,0)-1)</f>
        <v/>
      </c>
      <c r="C188" t="str">
        <f>IF(使用レシピ!G188="","",MATCH(使用レシピ!G188,使用レシピ!$E:$E,0)-1)</f>
        <v/>
      </c>
      <c r="D188" t="str">
        <f>IF(使用レシピ!H188="","",MATCH(使用レシピ!H188,使用レシピ!$E:$E,0)-1)</f>
        <v/>
      </c>
      <c r="E188" t="str">
        <f>IF(使用レシピ!I188="","",MATCH(使用レシピ!I188,使用レシピ!$E:$E,0)-1)</f>
        <v/>
      </c>
      <c r="F188" t="str">
        <f>IF(使用レシピ!J188="","",MATCH(使用レシピ!J188,使用レシピ!$E:$E,0)-1)</f>
        <v/>
      </c>
      <c r="G188" t="str">
        <f>使用レシピ!K188</f>
        <v/>
      </c>
      <c r="H188" t="str">
        <f>使用レシピ!L188</f>
        <v/>
      </c>
      <c r="I188" t="str">
        <f>使用レシピ!M188</f>
        <v/>
      </c>
      <c r="J188" t="str">
        <f>使用レシピ!N188</f>
        <v/>
      </c>
      <c r="K188" t="str">
        <f>使用レシピ!O188</f>
        <v/>
      </c>
      <c r="L188" t="str">
        <f>使用レシピ!P188</f>
        <v/>
      </c>
      <c r="M188" t="str">
        <f>使用レシピ!Q188</f>
        <v/>
      </c>
    </row>
    <row r="189" spans="1:13" x14ac:dyDescent="0.4">
      <c r="A189" t="str">
        <f>使用レシピ!D189</f>
        <v/>
      </c>
      <c r="B189" t="str">
        <f>IF(使用レシピ!F189="","",MATCH(使用レシピ!F189,使用レシピ!$E:$E,0)-1)</f>
        <v/>
      </c>
      <c r="C189" t="str">
        <f>IF(使用レシピ!G189="","",MATCH(使用レシピ!G189,使用レシピ!$E:$E,0)-1)</f>
        <v/>
      </c>
      <c r="D189" t="str">
        <f>IF(使用レシピ!H189="","",MATCH(使用レシピ!H189,使用レシピ!$E:$E,0)-1)</f>
        <v/>
      </c>
      <c r="E189" t="str">
        <f>IF(使用レシピ!I189="","",MATCH(使用レシピ!I189,使用レシピ!$E:$E,0)-1)</f>
        <v/>
      </c>
      <c r="F189" t="str">
        <f>IF(使用レシピ!J189="","",MATCH(使用レシピ!J189,使用レシピ!$E:$E,0)-1)</f>
        <v/>
      </c>
      <c r="G189" t="str">
        <f>使用レシピ!K189</f>
        <v/>
      </c>
      <c r="H189" t="str">
        <f>使用レシピ!L189</f>
        <v/>
      </c>
      <c r="I189" t="str">
        <f>使用レシピ!M189</f>
        <v/>
      </c>
      <c r="J189" t="str">
        <f>使用レシピ!N189</f>
        <v/>
      </c>
      <c r="K189" t="str">
        <f>使用レシピ!O189</f>
        <v/>
      </c>
      <c r="L189" t="str">
        <f>使用レシピ!P189</f>
        <v/>
      </c>
      <c r="M189" t="str">
        <f>使用レシピ!Q189</f>
        <v/>
      </c>
    </row>
    <row r="190" spans="1:13" x14ac:dyDescent="0.4">
      <c r="A190" t="str">
        <f>使用レシピ!D190</f>
        <v/>
      </c>
      <c r="B190" t="str">
        <f>IF(使用レシピ!F190="","",MATCH(使用レシピ!F190,使用レシピ!$E:$E,0)-1)</f>
        <v/>
      </c>
      <c r="C190" t="str">
        <f>IF(使用レシピ!G190="","",MATCH(使用レシピ!G190,使用レシピ!$E:$E,0)-1)</f>
        <v/>
      </c>
      <c r="D190" t="str">
        <f>IF(使用レシピ!H190="","",MATCH(使用レシピ!H190,使用レシピ!$E:$E,0)-1)</f>
        <v/>
      </c>
      <c r="E190" t="str">
        <f>IF(使用レシピ!I190="","",MATCH(使用レシピ!I190,使用レシピ!$E:$E,0)-1)</f>
        <v/>
      </c>
      <c r="F190" t="str">
        <f>IF(使用レシピ!J190="","",MATCH(使用レシピ!J190,使用レシピ!$E:$E,0)-1)</f>
        <v/>
      </c>
      <c r="G190" t="str">
        <f>使用レシピ!K190</f>
        <v/>
      </c>
      <c r="H190" t="str">
        <f>使用レシピ!L190</f>
        <v/>
      </c>
      <c r="I190" t="str">
        <f>使用レシピ!M190</f>
        <v/>
      </c>
      <c r="J190" t="str">
        <f>使用レシピ!N190</f>
        <v/>
      </c>
      <c r="K190" t="str">
        <f>使用レシピ!O190</f>
        <v/>
      </c>
      <c r="L190" t="str">
        <f>使用レシピ!P190</f>
        <v/>
      </c>
      <c r="M190" t="str">
        <f>使用レシピ!Q190</f>
        <v/>
      </c>
    </row>
    <row r="191" spans="1:13" x14ac:dyDescent="0.4">
      <c r="A191" t="str">
        <f>使用レシピ!D191</f>
        <v/>
      </c>
      <c r="B191" t="str">
        <f>IF(使用レシピ!F191="","",MATCH(使用レシピ!F191,使用レシピ!$E:$E,0)-1)</f>
        <v/>
      </c>
      <c r="C191" t="str">
        <f>IF(使用レシピ!G191="","",MATCH(使用レシピ!G191,使用レシピ!$E:$E,0)-1)</f>
        <v/>
      </c>
      <c r="D191" t="str">
        <f>IF(使用レシピ!H191="","",MATCH(使用レシピ!H191,使用レシピ!$E:$E,0)-1)</f>
        <v/>
      </c>
      <c r="E191" t="str">
        <f>IF(使用レシピ!I191="","",MATCH(使用レシピ!I191,使用レシピ!$E:$E,0)-1)</f>
        <v/>
      </c>
      <c r="F191" t="str">
        <f>IF(使用レシピ!J191="","",MATCH(使用レシピ!J191,使用レシピ!$E:$E,0)-1)</f>
        <v/>
      </c>
      <c r="G191" t="str">
        <f>使用レシピ!K191</f>
        <v/>
      </c>
      <c r="H191" t="str">
        <f>使用レシピ!L191</f>
        <v/>
      </c>
      <c r="I191" t="str">
        <f>使用レシピ!M191</f>
        <v/>
      </c>
      <c r="J191" t="str">
        <f>使用レシピ!N191</f>
        <v/>
      </c>
      <c r="K191" t="str">
        <f>使用レシピ!O191</f>
        <v/>
      </c>
      <c r="L191" t="str">
        <f>使用レシピ!P191</f>
        <v/>
      </c>
      <c r="M191" t="str">
        <f>使用レシピ!Q191</f>
        <v/>
      </c>
    </row>
    <row r="192" spans="1:13" x14ac:dyDescent="0.4">
      <c r="A192" t="str">
        <f>使用レシピ!D192</f>
        <v/>
      </c>
      <c r="B192" t="str">
        <f>IF(使用レシピ!F192="","",MATCH(使用レシピ!F192,使用レシピ!$E:$E,0)-1)</f>
        <v/>
      </c>
      <c r="C192" t="str">
        <f>IF(使用レシピ!G192="","",MATCH(使用レシピ!G192,使用レシピ!$E:$E,0)-1)</f>
        <v/>
      </c>
      <c r="D192" t="str">
        <f>IF(使用レシピ!H192="","",MATCH(使用レシピ!H192,使用レシピ!$E:$E,0)-1)</f>
        <v/>
      </c>
      <c r="E192" t="str">
        <f>IF(使用レシピ!I192="","",MATCH(使用レシピ!I192,使用レシピ!$E:$E,0)-1)</f>
        <v/>
      </c>
      <c r="F192" t="str">
        <f>IF(使用レシピ!J192="","",MATCH(使用レシピ!J192,使用レシピ!$E:$E,0)-1)</f>
        <v/>
      </c>
      <c r="G192" t="str">
        <f>使用レシピ!K192</f>
        <v/>
      </c>
      <c r="H192" t="str">
        <f>使用レシピ!L192</f>
        <v/>
      </c>
      <c r="I192" t="str">
        <f>使用レシピ!M192</f>
        <v/>
      </c>
      <c r="J192" t="str">
        <f>使用レシピ!N192</f>
        <v/>
      </c>
      <c r="K192" t="str">
        <f>使用レシピ!O192</f>
        <v/>
      </c>
      <c r="L192" t="str">
        <f>使用レシピ!P192</f>
        <v/>
      </c>
      <c r="M192" t="str">
        <f>使用レシピ!Q192</f>
        <v/>
      </c>
    </row>
    <row r="193" spans="1:13" x14ac:dyDescent="0.4">
      <c r="A193" t="str">
        <f>使用レシピ!D193</f>
        <v/>
      </c>
      <c r="B193" t="str">
        <f>IF(使用レシピ!F193="","",MATCH(使用レシピ!F193,使用レシピ!$E:$E,0)-1)</f>
        <v/>
      </c>
      <c r="C193" t="str">
        <f>IF(使用レシピ!G193="","",MATCH(使用レシピ!G193,使用レシピ!$E:$E,0)-1)</f>
        <v/>
      </c>
      <c r="D193" t="str">
        <f>IF(使用レシピ!H193="","",MATCH(使用レシピ!H193,使用レシピ!$E:$E,0)-1)</f>
        <v/>
      </c>
      <c r="E193" t="str">
        <f>IF(使用レシピ!I193="","",MATCH(使用レシピ!I193,使用レシピ!$E:$E,0)-1)</f>
        <v/>
      </c>
      <c r="F193" t="str">
        <f>IF(使用レシピ!J193="","",MATCH(使用レシピ!J193,使用レシピ!$E:$E,0)-1)</f>
        <v/>
      </c>
      <c r="G193" t="str">
        <f>使用レシピ!K193</f>
        <v/>
      </c>
      <c r="H193" t="str">
        <f>使用レシピ!L193</f>
        <v/>
      </c>
      <c r="I193" t="str">
        <f>使用レシピ!M193</f>
        <v/>
      </c>
      <c r="J193" t="str">
        <f>使用レシピ!N193</f>
        <v/>
      </c>
      <c r="K193" t="str">
        <f>使用レシピ!O193</f>
        <v/>
      </c>
      <c r="L193" t="str">
        <f>使用レシピ!P193</f>
        <v/>
      </c>
      <c r="M193" t="str">
        <f>使用レシピ!Q193</f>
        <v/>
      </c>
    </row>
    <row r="194" spans="1:13" x14ac:dyDescent="0.4">
      <c r="A194" t="str">
        <f>使用レシピ!D194</f>
        <v/>
      </c>
      <c r="B194" t="str">
        <f>IF(使用レシピ!F194="","",MATCH(使用レシピ!F194,使用レシピ!$E:$E,0)-1)</f>
        <v/>
      </c>
      <c r="C194" t="str">
        <f>IF(使用レシピ!G194="","",MATCH(使用レシピ!G194,使用レシピ!$E:$E,0)-1)</f>
        <v/>
      </c>
      <c r="D194" t="str">
        <f>IF(使用レシピ!H194="","",MATCH(使用レシピ!H194,使用レシピ!$E:$E,0)-1)</f>
        <v/>
      </c>
      <c r="E194" t="str">
        <f>IF(使用レシピ!I194="","",MATCH(使用レシピ!I194,使用レシピ!$E:$E,0)-1)</f>
        <v/>
      </c>
      <c r="F194" t="str">
        <f>IF(使用レシピ!J194="","",MATCH(使用レシピ!J194,使用レシピ!$E:$E,0)-1)</f>
        <v/>
      </c>
      <c r="G194" t="str">
        <f>使用レシピ!K194</f>
        <v/>
      </c>
      <c r="H194" t="str">
        <f>使用レシピ!L194</f>
        <v/>
      </c>
      <c r="I194" t="str">
        <f>使用レシピ!M194</f>
        <v/>
      </c>
      <c r="J194" t="str">
        <f>使用レシピ!N194</f>
        <v/>
      </c>
      <c r="K194" t="str">
        <f>使用レシピ!O194</f>
        <v/>
      </c>
      <c r="L194" t="str">
        <f>使用レシピ!P194</f>
        <v/>
      </c>
      <c r="M194" t="str">
        <f>使用レシピ!Q194</f>
        <v/>
      </c>
    </row>
    <row r="195" spans="1:13" x14ac:dyDescent="0.4">
      <c r="A195" t="str">
        <f>使用レシピ!D195</f>
        <v/>
      </c>
      <c r="B195" t="str">
        <f>IF(使用レシピ!F195="","",MATCH(使用レシピ!F195,使用レシピ!$E:$E,0)-1)</f>
        <v/>
      </c>
      <c r="C195" t="str">
        <f>IF(使用レシピ!G195="","",MATCH(使用レシピ!G195,使用レシピ!$E:$E,0)-1)</f>
        <v/>
      </c>
      <c r="D195" t="str">
        <f>IF(使用レシピ!H195="","",MATCH(使用レシピ!H195,使用レシピ!$E:$E,0)-1)</f>
        <v/>
      </c>
      <c r="E195" t="str">
        <f>IF(使用レシピ!I195="","",MATCH(使用レシピ!I195,使用レシピ!$E:$E,0)-1)</f>
        <v/>
      </c>
      <c r="F195" t="str">
        <f>IF(使用レシピ!J195="","",MATCH(使用レシピ!J195,使用レシピ!$E:$E,0)-1)</f>
        <v/>
      </c>
      <c r="G195" t="str">
        <f>使用レシピ!K195</f>
        <v/>
      </c>
      <c r="H195" t="str">
        <f>使用レシピ!L195</f>
        <v/>
      </c>
      <c r="I195" t="str">
        <f>使用レシピ!M195</f>
        <v/>
      </c>
      <c r="J195" t="str">
        <f>使用レシピ!N195</f>
        <v/>
      </c>
      <c r="K195" t="str">
        <f>使用レシピ!O195</f>
        <v/>
      </c>
      <c r="L195" t="str">
        <f>使用レシピ!P195</f>
        <v/>
      </c>
      <c r="M195" t="str">
        <f>使用レシピ!Q195</f>
        <v/>
      </c>
    </row>
    <row r="196" spans="1:13" x14ac:dyDescent="0.4">
      <c r="A196" t="str">
        <f>使用レシピ!D196</f>
        <v/>
      </c>
      <c r="B196" t="str">
        <f>IF(使用レシピ!F196="","",MATCH(使用レシピ!F196,使用レシピ!$E:$E,0)-1)</f>
        <v/>
      </c>
      <c r="C196" t="str">
        <f>IF(使用レシピ!G196="","",MATCH(使用レシピ!G196,使用レシピ!$E:$E,0)-1)</f>
        <v/>
      </c>
      <c r="D196" t="str">
        <f>IF(使用レシピ!H196="","",MATCH(使用レシピ!H196,使用レシピ!$E:$E,0)-1)</f>
        <v/>
      </c>
      <c r="E196" t="str">
        <f>IF(使用レシピ!I196="","",MATCH(使用レシピ!I196,使用レシピ!$E:$E,0)-1)</f>
        <v/>
      </c>
      <c r="F196" t="str">
        <f>IF(使用レシピ!J196="","",MATCH(使用レシピ!J196,使用レシピ!$E:$E,0)-1)</f>
        <v/>
      </c>
      <c r="G196" t="str">
        <f>使用レシピ!K196</f>
        <v/>
      </c>
      <c r="H196" t="str">
        <f>使用レシピ!L196</f>
        <v/>
      </c>
      <c r="I196" t="str">
        <f>使用レシピ!M196</f>
        <v/>
      </c>
      <c r="J196" t="str">
        <f>使用レシピ!N196</f>
        <v/>
      </c>
      <c r="K196" t="str">
        <f>使用レシピ!O196</f>
        <v/>
      </c>
      <c r="L196" t="str">
        <f>使用レシピ!P196</f>
        <v/>
      </c>
      <c r="M196" t="str">
        <f>使用レシピ!Q196</f>
        <v/>
      </c>
    </row>
    <row r="197" spans="1:13" x14ac:dyDescent="0.4">
      <c r="A197" t="str">
        <f>使用レシピ!D197</f>
        <v/>
      </c>
      <c r="B197" t="str">
        <f>IF(使用レシピ!F197="","",MATCH(使用レシピ!F197,使用レシピ!$E:$E,0)-1)</f>
        <v/>
      </c>
      <c r="C197" t="str">
        <f>IF(使用レシピ!G197="","",MATCH(使用レシピ!G197,使用レシピ!$E:$E,0)-1)</f>
        <v/>
      </c>
      <c r="D197" t="str">
        <f>IF(使用レシピ!H197="","",MATCH(使用レシピ!H197,使用レシピ!$E:$E,0)-1)</f>
        <v/>
      </c>
      <c r="E197" t="str">
        <f>IF(使用レシピ!I197="","",MATCH(使用レシピ!I197,使用レシピ!$E:$E,0)-1)</f>
        <v/>
      </c>
      <c r="F197" t="str">
        <f>IF(使用レシピ!J197="","",MATCH(使用レシピ!J197,使用レシピ!$E:$E,0)-1)</f>
        <v/>
      </c>
      <c r="G197" t="str">
        <f>使用レシピ!K197</f>
        <v/>
      </c>
      <c r="H197" t="str">
        <f>使用レシピ!L197</f>
        <v/>
      </c>
      <c r="I197" t="str">
        <f>使用レシピ!M197</f>
        <v/>
      </c>
      <c r="J197" t="str">
        <f>使用レシピ!N197</f>
        <v/>
      </c>
      <c r="K197" t="str">
        <f>使用レシピ!O197</f>
        <v/>
      </c>
      <c r="L197" t="str">
        <f>使用レシピ!P197</f>
        <v/>
      </c>
      <c r="M197" t="str">
        <f>使用レシピ!Q197</f>
        <v/>
      </c>
    </row>
    <row r="198" spans="1:13" x14ac:dyDescent="0.4">
      <c r="A198" t="str">
        <f>使用レシピ!D198</f>
        <v/>
      </c>
      <c r="B198" t="str">
        <f>IF(使用レシピ!F198="","",MATCH(使用レシピ!F198,使用レシピ!$E:$E,0)-1)</f>
        <v/>
      </c>
      <c r="C198" t="str">
        <f>IF(使用レシピ!G198="","",MATCH(使用レシピ!G198,使用レシピ!$E:$E,0)-1)</f>
        <v/>
      </c>
      <c r="D198" t="str">
        <f>IF(使用レシピ!H198="","",MATCH(使用レシピ!H198,使用レシピ!$E:$E,0)-1)</f>
        <v/>
      </c>
      <c r="E198" t="str">
        <f>IF(使用レシピ!I198="","",MATCH(使用レシピ!I198,使用レシピ!$E:$E,0)-1)</f>
        <v/>
      </c>
      <c r="F198" t="str">
        <f>IF(使用レシピ!J198="","",MATCH(使用レシピ!J198,使用レシピ!$E:$E,0)-1)</f>
        <v/>
      </c>
      <c r="G198" t="str">
        <f>使用レシピ!K198</f>
        <v/>
      </c>
      <c r="H198" t="str">
        <f>使用レシピ!L198</f>
        <v/>
      </c>
      <c r="I198" t="str">
        <f>使用レシピ!M198</f>
        <v/>
      </c>
      <c r="J198" t="str">
        <f>使用レシピ!N198</f>
        <v/>
      </c>
      <c r="K198" t="str">
        <f>使用レシピ!O198</f>
        <v/>
      </c>
      <c r="L198" t="str">
        <f>使用レシピ!P198</f>
        <v/>
      </c>
      <c r="M198" t="str">
        <f>使用レシピ!Q198</f>
        <v/>
      </c>
    </row>
    <row r="199" spans="1:13" x14ac:dyDescent="0.4">
      <c r="A199" t="str">
        <f>使用レシピ!D199</f>
        <v/>
      </c>
      <c r="B199" t="str">
        <f>IF(使用レシピ!F199="","",MATCH(使用レシピ!F199,使用レシピ!$E:$E,0)-1)</f>
        <v/>
      </c>
      <c r="C199" t="str">
        <f>IF(使用レシピ!G199="","",MATCH(使用レシピ!G199,使用レシピ!$E:$E,0)-1)</f>
        <v/>
      </c>
      <c r="D199" t="str">
        <f>IF(使用レシピ!H199="","",MATCH(使用レシピ!H199,使用レシピ!$E:$E,0)-1)</f>
        <v/>
      </c>
      <c r="E199" t="str">
        <f>IF(使用レシピ!I199="","",MATCH(使用レシピ!I199,使用レシピ!$E:$E,0)-1)</f>
        <v/>
      </c>
      <c r="F199" t="str">
        <f>IF(使用レシピ!J199="","",MATCH(使用レシピ!J199,使用レシピ!$E:$E,0)-1)</f>
        <v/>
      </c>
      <c r="G199" t="str">
        <f>使用レシピ!K199</f>
        <v/>
      </c>
      <c r="H199" t="str">
        <f>使用レシピ!L199</f>
        <v/>
      </c>
      <c r="I199" t="str">
        <f>使用レシピ!M199</f>
        <v/>
      </c>
      <c r="J199" t="str">
        <f>使用レシピ!N199</f>
        <v/>
      </c>
      <c r="K199" t="str">
        <f>使用レシピ!O199</f>
        <v/>
      </c>
      <c r="L199" t="str">
        <f>使用レシピ!P199</f>
        <v/>
      </c>
      <c r="M199" t="str">
        <f>使用レシピ!Q199</f>
        <v/>
      </c>
    </row>
    <row r="200" spans="1:13" x14ac:dyDescent="0.4">
      <c r="A200" t="str">
        <f>使用レシピ!D200</f>
        <v/>
      </c>
      <c r="B200" t="str">
        <f>IF(使用レシピ!F200="","",MATCH(使用レシピ!F200,使用レシピ!$E:$E,0)-1)</f>
        <v/>
      </c>
      <c r="C200" t="str">
        <f>IF(使用レシピ!G200="","",MATCH(使用レシピ!G200,使用レシピ!$E:$E,0)-1)</f>
        <v/>
      </c>
      <c r="D200" t="str">
        <f>IF(使用レシピ!H200="","",MATCH(使用レシピ!H200,使用レシピ!$E:$E,0)-1)</f>
        <v/>
      </c>
      <c r="E200" t="str">
        <f>IF(使用レシピ!I200="","",MATCH(使用レシピ!I200,使用レシピ!$E:$E,0)-1)</f>
        <v/>
      </c>
      <c r="F200" t="str">
        <f>IF(使用レシピ!J200="","",MATCH(使用レシピ!J200,使用レシピ!$E:$E,0)-1)</f>
        <v/>
      </c>
      <c r="G200" t="str">
        <f>使用レシピ!K200</f>
        <v/>
      </c>
      <c r="H200" t="str">
        <f>使用レシピ!L200</f>
        <v/>
      </c>
      <c r="I200" t="str">
        <f>使用レシピ!M200</f>
        <v/>
      </c>
      <c r="J200" t="str">
        <f>使用レシピ!N200</f>
        <v/>
      </c>
      <c r="K200" t="str">
        <f>使用レシピ!O200</f>
        <v/>
      </c>
      <c r="L200" t="str">
        <f>使用レシピ!P200</f>
        <v/>
      </c>
      <c r="M200" t="str">
        <f>使用レシピ!Q200</f>
        <v/>
      </c>
    </row>
  </sheetData>
  <sheetProtection sheet="1" objects="1" scenarios="1"/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067D9F-828A-4517-A8CC-8A6AF500C2F1}">
  <sheetPr codeName="Sheet3">
    <pageSetUpPr fitToPage="1"/>
  </sheetPr>
  <dimension ref="A1:P400"/>
  <sheetViews>
    <sheetView tabSelected="1" workbookViewId="0">
      <pane ySplit="1" topLeftCell="A182" activePane="bottomLeft" state="frozen"/>
      <selection pane="bottomLeft" activeCell="D322" sqref="D322"/>
    </sheetView>
  </sheetViews>
  <sheetFormatPr defaultRowHeight="18.75" x14ac:dyDescent="0.4"/>
  <cols>
    <col min="1" max="1" width="7.375" style="18" bestFit="1" customWidth="1"/>
    <col min="2" max="2" width="4.875" style="18" customWidth="1"/>
    <col min="3" max="3" width="5" style="18" customWidth="1"/>
    <col min="4" max="4" width="30.125" style="12" customWidth="1"/>
    <col min="5" max="8" width="16.125" customWidth="1"/>
    <col min="9" max="9" width="16.125" style="11" customWidth="1"/>
    <col min="10" max="13" width="5.875" customWidth="1"/>
    <col min="14" max="14" width="6.375" style="11" customWidth="1"/>
    <col min="15" max="15" width="5.25" bestFit="1" customWidth="1"/>
    <col min="16" max="16" width="7.125" style="11" bestFit="1" customWidth="1"/>
  </cols>
  <sheetData>
    <row r="1" spans="1:16" s="1" customFormat="1" ht="27" customHeight="1" x14ac:dyDescent="0.4">
      <c r="A1" s="14" t="s">
        <v>18</v>
      </c>
      <c r="B1" s="14" t="s">
        <v>299</v>
      </c>
      <c r="C1" s="14" t="s">
        <v>17</v>
      </c>
      <c r="D1" s="15" t="s">
        <v>19</v>
      </c>
      <c r="E1" s="16" t="s">
        <v>20</v>
      </c>
      <c r="F1" s="16" t="s">
        <v>21</v>
      </c>
      <c r="G1" s="16" t="s">
        <v>22</v>
      </c>
      <c r="H1" s="16" t="s">
        <v>23</v>
      </c>
      <c r="I1" s="14" t="s">
        <v>24</v>
      </c>
      <c r="J1" s="16" t="s">
        <v>83</v>
      </c>
      <c r="K1" s="16" t="s">
        <v>84</v>
      </c>
      <c r="L1" s="16" t="s">
        <v>85</v>
      </c>
      <c r="M1" s="16" t="s">
        <v>86</v>
      </c>
      <c r="N1" s="14" t="s">
        <v>87</v>
      </c>
      <c r="O1" s="16" t="s">
        <v>88</v>
      </c>
      <c r="P1" s="14" t="s">
        <v>66</v>
      </c>
    </row>
    <row r="2" spans="1:16" x14ac:dyDescent="0.4">
      <c r="A2" s="17" t="s">
        <v>288</v>
      </c>
      <c r="B2" s="19">
        <f>IFERROR(VALUE(LEFT(A2,LEN(A2)-2)),"")</f>
        <v>1</v>
      </c>
      <c r="C2" s="18">
        <f>IFERROR(VALUE( RIGHT(A2,2)),"")</f>
        <v>1</v>
      </c>
      <c r="D2" s="12" t="s">
        <v>25</v>
      </c>
      <c r="E2" t="s">
        <v>30</v>
      </c>
      <c r="J2">
        <v>1</v>
      </c>
      <c r="O2">
        <v>1</v>
      </c>
      <c r="P2" s="11">
        <v>30</v>
      </c>
    </row>
    <row r="3" spans="1:16" x14ac:dyDescent="0.4">
      <c r="A3" s="18" t="str">
        <f>IF(D3="","",IF(D3=D2,LEFT(A2,LEN(A2)-2) &amp; RIGHT("00"&amp;COUNTIF($D$2:D3,D3),2),LEFT(A2,LEN(A2)-2)+1 &amp; "01"))</f>
        <v>102</v>
      </c>
      <c r="B3" s="19">
        <f t="shared" ref="B3:B66" si="0">IFERROR(VALUE(LEFT(A3,LEN(A3)-2)),"")</f>
        <v>1</v>
      </c>
      <c r="C3" s="18">
        <f t="shared" ref="C3:C66" si="1">IFERROR(VALUE( RIGHT(A3,2)),"")</f>
        <v>2</v>
      </c>
      <c r="D3" s="12" t="s">
        <v>25</v>
      </c>
      <c r="E3" t="s">
        <v>31</v>
      </c>
      <c r="F3" t="s">
        <v>33</v>
      </c>
      <c r="J3">
        <v>7</v>
      </c>
      <c r="K3">
        <v>4</v>
      </c>
      <c r="O3">
        <v>13</v>
      </c>
      <c r="P3" s="11">
        <v>65</v>
      </c>
    </row>
    <row r="4" spans="1:16" x14ac:dyDescent="0.4">
      <c r="A4" s="18" t="str">
        <f>IF(D4="","",IF(D4=D3,LEFT(A3,LEN(A3)-2) &amp; RIGHT("00"&amp;COUNTIF($D$2:D4,D4),2),LEFT(A3,LEN(A3)-2)+1 &amp; "01"))</f>
        <v>103</v>
      </c>
      <c r="B4" s="19">
        <f t="shared" si="0"/>
        <v>1</v>
      </c>
      <c r="C4" s="18">
        <f t="shared" si="1"/>
        <v>3</v>
      </c>
      <c r="D4" s="12" t="s">
        <v>134</v>
      </c>
      <c r="E4" t="s">
        <v>135</v>
      </c>
      <c r="F4" t="s">
        <v>53</v>
      </c>
      <c r="J4">
        <v>5</v>
      </c>
      <c r="K4">
        <v>8</v>
      </c>
      <c r="O4">
        <v>10</v>
      </c>
      <c r="P4" s="11">
        <v>50</v>
      </c>
    </row>
    <row r="5" spans="1:16" x14ac:dyDescent="0.4">
      <c r="A5" s="18" t="str">
        <f>IF(D5="","",IF(D5=D4,LEFT(A4,LEN(A4)-2) &amp; RIGHT("00"&amp;COUNTIF($D$2:D5,D5),2),LEFT(A4,LEN(A4)-2)+1 &amp; "01"))</f>
        <v>104</v>
      </c>
      <c r="B5" s="19">
        <f t="shared" si="0"/>
        <v>1</v>
      </c>
      <c r="C5" s="18">
        <f t="shared" si="1"/>
        <v>4</v>
      </c>
      <c r="D5" s="12" t="s">
        <v>134</v>
      </c>
      <c r="E5" t="s">
        <v>136</v>
      </c>
      <c r="F5" t="s">
        <v>138</v>
      </c>
      <c r="J5">
        <v>8</v>
      </c>
      <c r="K5">
        <v>2</v>
      </c>
      <c r="O5">
        <v>15</v>
      </c>
      <c r="P5" s="11">
        <v>75</v>
      </c>
    </row>
    <row r="6" spans="1:16" x14ac:dyDescent="0.4">
      <c r="A6" s="18" t="str">
        <f>IF(D6="","",IF(D6=D5,LEFT(A5,LEN(A5)-2) &amp; RIGHT("00"&amp;COUNTIF($D$2:D6,D6),2),LEFT(A5,LEN(A5)-2)+1 &amp; "01"))</f>
        <v>105</v>
      </c>
      <c r="B6" s="19">
        <f t="shared" si="0"/>
        <v>1</v>
      </c>
      <c r="C6" s="18">
        <f t="shared" si="1"/>
        <v>5</v>
      </c>
      <c r="D6" s="12" t="s">
        <v>134</v>
      </c>
      <c r="E6" t="s">
        <v>136</v>
      </c>
      <c r="F6" t="s">
        <v>137</v>
      </c>
      <c r="J6">
        <v>5</v>
      </c>
      <c r="K6">
        <v>1</v>
      </c>
      <c r="O6">
        <v>10</v>
      </c>
      <c r="P6" s="11">
        <v>100</v>
      </c>
    </row>
    <row r="7" spans="1:16" x14ac:dyDescent="0.4">
      <c r="A7" s="18" t="str">
        <f>IF(D7="","",IF(D7=D6,LEFT(A6,LEN(A6)-2) &amp; RIGHT("00"&amp;COUNTIF($D$2:D7,D7),2),LEFT(A6,LEN(A6)-2)+1 &amp; "01"))</f>
        <v>201</v>
      </c>
      <c r="B7" s="19">
        <f t="shared" si="0"/>
        <v>2</v>
      </c>
      <c r="C7" s="18">
        <f t="shared" si="1"/>
        <v>1</v>
      </c>
      <c r="D7" s="12" t="s">
        <v>230</v>
      </c>
      <c r="O7">
        <v>1</v>
      </c>
      <c r="P7" s="11">
        <v>1200</v>
      </c>
    </row>
    <row r="8" spans="1:16" x14ac:dyDescent="0.4">
      <c r="A8" s="18" t="str">
        <f>IF(D8="","",IF(D8=D7,LEFT(A7,LEN(A7)-2) &amp; RIGHT("00"&amp;COUNTIF($D$2:D8,D8),2),LEFT(A7,LEN(A7)-2)+1 &amp; "01"))</f>
        <v>202</v>
      </c>
      <c r="B8" s="19">
        <f t="shared" si="0"/>
        <v>2</v>
      </c>
      <c r="C8" s="18">
        <f t="shared" si="1"/>
        <v>2</v>
      </c>
      <c r="D8" s="12" t="s">
        <v>230</v>
      </c>
      <c r="E8" t="s">
        <v>185</v>
      </c>
      <c r="F8" t="s">
        <v>231</v>
      </c>
      <c r="J8">
        <v>1</v>
      </c>
      <c r="K8">
        <v>24</v>
      </c>
      <c r="O8">
        <v>12</v>
      </c>
      <c r="P8" s="11">
        <v>120</v>
      </c>
    </row>
    <row r="9" spans="1:16" x14ac:dyDescent="0.4">
      <c r="A9" s="18" t="str">
        <f>IF(D9="","",IF(D9=D8,LEFT(A8,LEN(A8)-2) &amp; RIGHT("00"&amp;COUNTIF($D$2:D9,D9),2),LEFT(A8,LEN(A8)-2)+1 &amp; "01"))</f>
        <v>301</v>
      </c>
      <c r="B9" s="19">
        <f t="shared" si="0"/>
        <v>3</v>
      </c>
      <c r="C9" s="18">
        <f t="shared" si="1"/>
        <v>1</v>
      </c>
      <c r="D9" s="12" t="s">
        <v>44</v>
      </c>
      <c r="E9" t="s">
        <v>25</v>
      </c>
      <c r="J9">
        <v>3</v>
      </c>
      <c r="O9">
        <v>2</v>
      </c>
      <c r="P9" s="11">
        <v>20</v>
      </c>
    </row>
    <row r="10" spans="1:16" x14ac:dyDescent="0.4">
      <c r="A10" s="18" t="str">
        <f>IF(D10="","",IF(D10=D9,LEFT(A9,LEN(A9)-2) &amp; RIGHT("00"&amp;COUNTIF($D$2:D10,D10),2),LEFT(A9,LEN(A9)-2)+1 &amp; "01"))</f>
        <v>302</v>
      </c>
      <c r="B10" s="19">
        <f t="shared" si="0"/>
        <v>3</v>
      </c>
      <c r="C10" s="18">
        <f t="shared" si="1"/>
        <v>2</v>
      </c>
      <c r="D10" s="12" t="s">
        <v>44</v>
      </c>
      <c r="E10" t="s">
        <v>25</v>
      </c>
      <c r="F10" t="s">
        <v>45</v>
      </c>
      <c r="J10">
        <v>5</v>
      </c>
      <c r="K10">
        <v>1</v>
      </c>
      <c r="O10">
        <v>10</v>
      </c>
      <c r="P10" s="11">
        <v>75</v>
      </c>
    </row>
    <row r="11" spans="1:16" x14ac:dyDescent="0.4">
      <c r="A11" s="18" t="str">
        <f>IF(D11="","",IF(D11=D10,LEFT(A10,LEN(A10)-2) &amp; RIGHT("00"&amp;COUNTIF($D$2:D11,D11),2),LEFT(A10,LEN(A10)-2)+1 &amp; "01"))</f>
        <v>303</v>
      </c>
      <c r="B11" s="19">
        <f t="shared" si="0"/>
        <v>3</v>
      </c>
      <c r="C11" s="18">
        <f t="shared" si="1"/>
        <v>3</v>
      </c>
      <c r="D11" s="12" t="s">
        <v>44</v>
      </c>
      <c r="E11" t="s">
        <v>139</v>
      </c>
      <c r="F11" t="s">
        <v>27</v>
      </c>
      <c r="J11">
        <v>1</v>
      </c>
      <c r="K11">
        <v>1</v>
      </c>
      <c r="O11">
        <v>3</v>
      </c>
      <c r="P11" s="11">
        <v>45</v>
      </c>
    </row>
    <row r="12" spans="1:16" x14ac:dyDescent="0.4">
      <c r="A12" s="18" t="str">
        <f>IF(D12="","",IF(D12=D11,LEFT(A11,LEN(A11)-2) &amp; RIGHT("00"&amp;COUNTIF($D$2:D12,D12),2),LEFT(A11,LEN(A11)-2)+1 &amp; "01"))</f>
        <v>401</v>
      </c>
      <c r="B12" s="19">
        <f t="shared" si="0"/>
        <v>4</v>
      </c>
      <c r="C12" s="18">
        <f t="shared" si="1"/>
        <v>1</v>
      </c>
      <c r="D12" s="12" t="s">
        <v>46</v>
      </c>
      <c r="E12" s="13" t="s">
        <v>25</v>
      </c>
      <c r="J12">
        <v>1</v>
      </c>
      <c r="O12">
        <v>1</v>
      </c>
      <c r="P12" s="11">
        <v>15</v>
      </c>
    </row>
    <row r="13" spans="1:16" x14ac:dyDescent="0.4">
      <c r="A13" s="18" t="str">
        <f>IF(D13="","",IF(D13=D12,LEFT(A12,LEN(A12)-2) &amp; RIGHT("00"&amp;COUNTIF($D$2:D13,D13),2),LEFT(A12,LEN(A12)-2)+1 &amp; "01"))</f>
        <v>402</v>
      </c>
      <c r="B13" s="19">
        <f t="shared" si="0"/>
        <v>4</v>
      </c>
      <c r="C13" s="18">
        <f t="shared" si="1"/>
        <v>2</v>
      </c>
      <c r="D13" s="12" t="s">
        <v>46</v>
      </c>
      <c r="E13" s="13" t="s">
        <v>142</v>
      </c>
      <c r="J13">
        <v>1</v>
      </c>
      <c r="O13">
        <v>7</v>
      </c>
      <c r="P13" s="11">
        <v>52.5</v>
      </c>
    </row>
    <row r="14" spans="1:16" x14ac:dyDescent="0.4">
      <c r="A14" s="18" t="str">
        <f>IF(D14="","",IF(D14=D13,LEFT(A13,LEN(A13)-2) &amp; RIGHT("00"&amp;COUNTIF($D$2:D14,D14),2),LEFT(A13,LEN(A13)-2)+1 &amp; "01"))</f>
        <v>403</v>
      </c>
      <c r="B14" s="19">
        <f t="shared" si="0"/>
        <v>4</v>
      </c>
      <c r="C14" s="18">
        <f t="shared" si="1"/>
        <v>3</v>
      </c>
      <c r="D14" s="12" t="s">
        <v>140</v>
      </c>
      <c r="E14" t="s">
        <v>141</v>
      </c>
      <c r="J14">
        <v>1</v>
      </c>
      <c r="O14">
        <v>4</v>
      </c>
      <c r="P14" s="11">
        <v>48</v>
      </c>
    </row>
    <row r="15" spans="1:16" x14ac:dyDescent="0.4">
      <c r="A15" s="18" t="str">
        <f>IF(D15="","",IF(D15=D14,LEFT(A14,LEN(A14)-2) &amp; RIGHT("00"&amp;COUNTIF($D$2:D15,D15),2),LEFT(A14,LEN(A14)-2)+1 &amp; "01"))</f>
        <v>501</v>
      </c>
      <c r="B15" s="19">
        <f t="shared" si="0"/>
        <v>5</v>
      </c>
      <c r="C15" s="18">
        <f t="shared" si="1"/>
        <v>1</v>
      </c>
      <c r="D15" s="12" t="s">
        <v>52</v>
      </c>
      <c r="E15" t="s">
        <v>44</v>
      </c>
      <c r="F15" t="s">
        <v>51</v>
      </c>
      <c r="J15">
        <v>6</v>
      </c>
      <c r="K15">
        <v>12</v>
      </c>
      <c r="O15">
        <v>1</v>
      </c>
      <c r="P15" s="11">
        <v>5</v>
      </c>
    </row>
    <row r="16" spans="1:16" x14ac:dyDescent="0.4">
      <c r="A16" s="18" t="str">
        <f>IF(D16="","",IF(D16=D15,LEFT(A15,LEN(A15)-2) &amp; RIGHT("00"&amp;COUNTIF($D$2:D16,D16),2),LEFT(A15,LEN(A15)-2)+1 &amp; "01"))</f>
        <v>502</v>
      </c>
      <c r="B16" s="19">
        <f t="shared" si="0"/>
        <v>5</v>
      </c>
      <c r="C16" s="18">
        <f t="shared" si="1"/>
        <v>2</v>
      </c>
      <c r="D16" s="12" t="s">
        <v>52</v>
      </c>
      <c r="E16" t="s">
        <v>44</v>
      </c>
      <c r="F16" t="s">
        <v>51</v>
      </c>
      <c r="J16">
        <v>18</v>
      </c>
      <c r="K16">
        <v>50</v>
      </c>
      <c r="O16">
        <v>3</v>
      </c>
      <c r="P16" s="11">
        <v>15</v>
      </c>
    </row>
    <row r="17" spans="1:16" x14ac:dyDescent="0.4">
      <c r="A17" s="18" t="str">
        <f>IF(D17="","",IF(D17=D16,LEFT(A16,LEN(A16)-2) &amp; RIGHT("00"&amp;COUNTIF($D$2:D17,D17),2),LEFT(A16,LEN(A16)-2)+1 &amp; "01"))</f>
        <v>503</v>
      </c>
      <c r="B17" s="19">
        <f t="shared" si="0"/>
        <v>5</v>
      </c>
      <c r="C17" s="18">
        <f t="shared" si="1"/>
        <v>3</v>
      </c>
      <c r="D17" s="12" t="s">
        <v>52</v>
      </c>
      <c r="E17" t="s">
        <v>44</v>
      </c>
      <c r="F17" t="s">
        <v>49</v>
      </c>
      <c r="J17">
        <v>3</v>
      </c>
      <c r="K17">
        <v>1</v>
      </c>
      <c r="O17">
        <v>1</v>
      </c>
      <c r="P17" s="11">
        <v>3.75</v>
      </c>
    </row>
    <row r="18" spans="1:16" x14ac:dyDescent="0.4">
      <c r="A18" s="18" t="str">
        <f>IF(D18="","",IF(D18=D17,LEFT(A17,LEN(A17)-2) &amp; RIGHT("00"&amp;COUNTIF($D$2:D18,D18),2),LEFT(A17,LEN(A17)-2)+1 &amp; "01"))</f>
        <v>504</v>
      </c>
      <c r="B18" s="19">
        <f t="shared" si="0"/>
        <v>5</v>
      </c>
      <c r="C18" s="18">
        <f t="shared" si="1"/>
        <v>4</v>
      </c>
      <c r="D18" s="12" t="s">
        <v>52</v>
      </c>
      <c r="E18" t="s">
        <v>44</v>
      </c>
      <c r="F18" t="s">
        <v>47</v>
      </c>
      <c r="J18">
        <v>10</v>
      </c>
      <c r="K18">
        <v>20</v>
      </c>
      <c r="O18">
        <v>3</v>
      </c>
      <c r="P18" s="11">
        <v>5.625</v>
      </c>
    </row>
    <row r="19" spans="1:16" x14ac:dyDescent="0.4">
      <c r="A19" s="18" t="str">
        <f>IF(D19="","",IF(D19=D18,LEFT(A18,LEN(A18)-2) &amp; RIGHT("00"&amp;COUNTIF($D$2:D19,D19),2),LEFT(A18,LEN(A18)-2)+1 &amp; "01"))</f>
        <v>601</v>
      </c>
      <c r="B19" s="19">
        <f t="shared" si="0"/>
        <v>6</v>
      </c>
      <c r="C19" s="18">
        <f t="shared" si="1"/>
        <v>1</v>
      </c>
      <c r="D19" s="12" t="s">
        <v>48</v>
      </c>
      <c r="E19" t="s">
        <v>47</v>
      </c>
      <c r="J19">
        <v>2</v>
      </c>
      <c r="O19">
        <v>1</v>
      </c>
      <c r="P19" s="11">
        <v>30</v>
      </c>
    </row>
    <row r="20" spans="1:16" x14ac:dyDescent="0.4">
      <c r="A20" s="18" t="str">
        <f>IF(D20="","",IF(D20=D19,LEFT(A19,LEN(A19)-2) &amp; RIGHT("00"&amp;COUNTIF($D$2:D20,D20),2),LEFT(A19,LEN(A19)-2)+1 &amp; "01"))</f>
        <v>602</v>
      </c>
      <c r="B20" s="19">
        <f t="shared" si="0"/>
        <v>6</v>
      </c>
      <c r="C20" s="18">
        <f t="shared" si="1"/>
        <v>2</v>
      </c>
      <c r="D20" s="12" t="s">
        <v>48</v>
      </c>
      <c r="E20" t="s">
        <v>47</v>
      </c>
      <c r="F20" t="s">
        <v>49</v>
      </c>
      <c r="J20">
        <v>9</v>
      </c>
      <c r="K20">
        <v>6</v>
      </c>
      <c r="O20">
        <v>20</v>
      </c>
      <c r="P20" s="11">
        <v>100</v>
      </c>
    </row>
    <row r="21" spans="1:16" x14ac:dyDescent="0.4">
      <c r="A21" s="18" t="str">
        <f>IF(D21="","",IF(D21=D20,LEFT(A20,LEN(A20)-2) &amp; RIGHT("00"&amp;COUNTIF($D$2:D21,D21),2),LEFT(A20,LEN(A20)-2)+1 &amp; "01"))</f>
        <v>603</v>
      </c>
      <c r="B21" s="19">
        <f t="shared" si="0"/>
        <v>6</v>
      </c>
      <c r="C21" s="18">
        <f t="shared" si="1"/>
        <v>3</v>
      </c>
      <c r="D21" s="12" t="s">
        <v>48</v>
      </c>
      <c r="E21" t="s">
        <v>47</v>
      </c>
      <c r="F21" t="s">
        <v>73</v>
      </c>
      <c r="J21">
        <v>5</v>
      </c>
      <c r="K21">
        <v>2</v>
      </c>
      <c r="O21">
        <v>9</v>
      </c>
      <c r="P21" s="11">
        <v>67.5</v>
      </c>
    </row>
    <row r="22" spans="1:16" x14ac:dyDescent="0.4">
      <c r="A22" s="18" t="str">
        <f>IF(D22="","",IF(D22=D21,LEFT(A21,LEN(A21)-2) &amp; RIGHT("00"&amp;COUNTIF($D$2:D22,D22),2),LEFT(A21,LEN(A21)-2)+1 &amp; "01"))</f>
        <v>604</v>
      </c>
      <c r="B22" s="19">
        <f t="shared" si="0"/>
        <v>6</v>
      </c>
      <c r="C22" s="18">
        <f t="shared" si="1"/>
        <v>4</v>
      </c>
      <c r="D22" s="12" t="s">
        <v>48</v>
      </c>
      <c r="E22" t="s">
        <v>93</v>
      </c>
      <c r="F22" t="s">
        <v>49</v>
      </c>
      <c r="J22">
        <v>3</v>
      </c>
      <c r="K22">
        <v>2</v>
      </c>
      <c r="O22">
        <v>11</v>
      </c>
      <c r="P22" s="11">
        <v>27.5</v>
      </c>
    </row>
    <row r="23" spans="1:16" x14ac:dyDescent="0.4">
      <c r="A23" s="18" t="str">
        <f>IF(D23="","",IF(D23=D22,LEFT(A22,LEN(A22)-2) &amp; RIGHT("00"&amp;COUNTIF($D$2:D23,D23),2),LEFT(A22,LEN(A22)-2)+1 &amp; "01"))</f>
        <v>701</v>
      </c>
      <c r="B23" s="19">
        <f t="shared" si="0"/>
        <v>7</v>
      </c>
      <c r="C23" s="18">
        <f t="shared" si="1"/>
        <v>1</v>
      </c>
      <c r="D23" s="12" t="s">
        <v>47</v>
      </c>
      <c r="E23" t="s">
        <v>26</v>
      </c>
      <c r="J23">
        <v>1</v>
      </c>
      <c r="O23">
        <v>2</v>
      </c>
      <c r="P23" s="11">
        <v>30</v>
      </c>
    </row>
    <row r="24" spans="1:16" x14ac:dyDescent="0.4">
      <c r="A24" s="18" t="str">
        <f>IF(D24="","",IF(D24=D23,LEFT(A23,LEN(A23)-2) &amp; RIGHT("00"&amp;COUNTIF($D$2:D24,D24),2),LEFT(A23,LEN(A23)-2)+1 &amp; "01"))</f>
        <v>702</v>
      </c>
      <c r="B24" s="19">
        <f t="shared" si="0"/>
        <v>7</v>
      </c>
      <c r="C24" s="18">
        <f t="shared" si="1"/>
        <v>2</v>
      </c>
      <c r="D24" s="12" t="s">
        <v>47</v>
      </c>
      <c r="E24" t="s">
        <v>25</v>
      </c>
      <c r="J24">
        <v>5</v>
      </c>
      <c r="O24">
        <v>9</v>
      </c>
      <c r="P24" s="11">
        <v>22.5</v>
      </c>
    </row>
    <row r="25" spans="1:16" x14ac:dyDescent="0.4">
      <c r="A25" s="18" t="str">
        <f>IF(D25="","",IF(D25=D24,LEFT(A24,LEN(A24)-2) &amp; RIGHT("00"&amp;COUNTIF($D$2:D25,D25),2),LEFT(A24,LEN(A24)-2)+1 &amp; "01"))</f>
        <v>703</v>
      </c>
      <c r="B25" s="19">
        <f t="shared" si="0"/>
        <v>7</v>
      </c>
      <c r="C25" s="18">
        <f t="shared" si="1"/>
        <v>3</v>
      </c>
      <c r="D25" s="12" t="s">
        <v>47</v>
      </c>
      <c r="E25" t="s">
        <v>28</v>
      </c>
      <c r="J25">
        <v>1</v>
      </c>
      <c r="O25">
        <v>8</v>
      </c>
      <c r="P25" s="11">
        <v>120</v>
      </c>
    </row>
    <row r="26" spans="1:16" x14ac:dyDescent="0.4">
      <c r="A26" s="18" t="str">
        <f>IF(D26="","",IF(D26=D25,LEFT(A25,LEN(A25)-2) &amp; RIGHT("00"&amp;COUNTIF($D$2:D26,D26),2),LEFT(A25,LEN(A25)-2)+1 &amp; "01"))</f>
        <v>704</v>
      </c>
      <c r="B26" s="19">
        <f t="shared" si="0"/>
        <v>7</v>
      </c>
      <c r="C26" s="18">
        <f t="shared" si="1"/>
        <v>4</v>
      </c>
      <c r="D26" s="12" t="s">
        <v>47</v>
      </c>
      <c r="E26" t="s">
        <v>26</v>
      </c>
      <c r="F26" t="s">
        <v>28</v>
      </c>
      <c r="J26">
        <v>4</v>
      </c>
      <c r="K26">
        <v>1</v>
      </c>
      <c r="O26">
        <v>30</v>
      </c>
      <c r="P26" s="11">
        <v>90</v>
      </c>
    </row>
    <row r="27" spans="1:16" x14ac:dyDescent="0.4">
      <c r="A27" s="18" t="str">
        <f>IF(D27="","",IF(D27=D26,LEFT(A26,LEN(A26)-2) &amp; RIGHT("00"&amp;COUNTIF($D$2:D27,D27),2),LEFT(A26,LEN(A26)-2)+1 &amp; "01"))</f>
        <v>801</v>
      </c>
      <c r="B27" s="19">
        <f t="shared" si="0"/>
        <v>8</v>
      </c>
      <c r="C27" s="18">
        <f t="shared" si="1"/>
        <v>1</v>
      </c>
      <c r="D27" s="12" t="s">
        <v>26</v>
      </c>
      <c r="E27" t="s">
        <v>32</v>
      </c>
      <c r="J27">
        <v>1</v>
      </c>
      <c r="O27">
        <v>1</v>
      </c>
      <c r="P27" s="11">
        <v>30</v>
      </c>
    </row>
    <row r="28" spans="1:16" x14ac:dyDescent="0.4">
      <c r="A28" s="18" t="str">
        <f>IF(D28="","",IF(D28=D27,LEFT(A27,LEN(A27)-2) &amp; RIGHT("00"&amp;COUNTIF($D$2:D28,D28),2),LEFT(A27,LEN(A27)-2)+1 &amp; "01"))</f>
        <v>802</v>
      </c>
      <c r="B28" s="19">
        <f t="shared" si="0"/>
        <v>8</v>
      </c>
      <c r="C28" s="18">
        <f t="shared" si="1"/>
        <v>2</v>
      </c>
      <c r="D28" s="12" t="s">
        <v>26</v>
      </c>
      <c r="E28" t="s">
        <v>32</v>
      </c>
      <c r="F28" t="s">
        <v>30</v>
      </c>
      <c r="J28">
        <v>5</v>
      </c>
      <c r="K28">
        <v>5</v>
      </c>
      <c r="O28">
        <v>10</v>
      </c>
      <c r="P28" s="11">
        <v>100</v>
      </c>
    </row>
    <row r="29" spans="1:16" x14ac:dyDescent="0.4">
      <c r="A29" s="18" t="str">
        <f>IF(D29="","",IF(D29=D28,LEFT(A28,LEN(A28)-2) &amp; RIGHT("00"&amp;COUNTIF($D$2:D29,D29),2),LEFT(A28,LEN(A28)-2)+1 &amp; "01"))</f>
        <v>803</v>
      </c>
      <c r="B29" s="19">
        <f t="shared" si="0"/>
        <v>8</v>
      </c>
      <c r="C29" s="18">
        <f t="shared" si="1"/>
        <v>3</v>
      </c>
      <c r="D29" s="12" t="s">
        <v>26</v>
      </c>
      <c r="E29" t="s">
        <v>32</v>
      </c>
      <c r="F29" t="s">
        <v>43</v>
      </c>
      <c r="J29">
        <v>9</v>
      </c>
      <c r="K29">
        <v>5</v>
      </c>
      <c r="O29">
        <v>22</v>
      </c>
      <c r="P29" s="11">
        <v>110</v>
      </c>
    </row>
    <row r="30" spans="1:16" x14ac:dyDescent="0.4">
      <c r="A30" s="18" t="str">
        <f>IF(D30="","",IF(D30=D29,LEFT(A29,LEN(A29)-2) &amp; RIGHT("00"&amp;COUNTIF($D$2:D30,D30),2),LEFT(A29,LEN(A29)-2)+1 &amp; "01"))</f>
        <v>804</v>
      </c>
      <c r="B30" s="19">
        <f t="shared" si="0"/>
        <v>8</v>
      </c>
      <c r="C30" s="18">
        <f t="shared" si="1"/>
        <v>4</v>
      </c>
      <c r="D30" s="12" t="s">
        <v>26</v>
      </c>
      <c r="E30" t="s">
        <v>138</v>
      </c>
      <c r="F30" t="s">
        <v>144</v>
      </c>
      <c r="J30">
        <v>6</v>
      </c>
      <c r="K30">
        <v>4</v>
      </c>
      <c r="O30">
        <v>15</v>
      </c>
      <c r="P30" s="11">
        <v>37.5</v>
      </c>
    </row>
    <row r="31" spans="1:16" x14ac:dyDescent="0.4">
      <c r="A31" s="18" t="str">
        <f>IF(D31="","",IF(D31=D30,LEFT(A30,LEN(A30)-2) &amp; RIGHT("00"&amp;COUNTIF($D$2:D31,D31),2),LEFT(A30,LEN(A30)-2)+1 &amp; "01"))</f>
        <v>805</v>
      </c>
      <c r="B31" s="19">
        <f t="shared" si="0"/>
        <v>8</v>
      </c>
      <c r="C31" s="18">
        <f t="shared" si="1"/>
        <v>5</v>
      </c>
      <c r="D31" s="12" t="s">
        <v>26</v>
      </c>
      <c r="E31" t="s">
        <v>143</v>
      </c>
      <c r="F31" t="s">
        <v>158</v>
      </c>
      <c r="J31">
        <v>5</v>
      </c>
      <c r="K31">
        <v>8</v>
      </c>
      <c r="O31">
        <v>12</v>
      </c>
      <c r="P31" s="11">
        <v>60</v>
      </c>
    </row>
    <row r="32" spans="1:16" x14ac:dyDescent="0.4">
      <c r="A32" s="18" t="str">
        <f>IF(D32="","",IF(D32=D31,LEFT(A31,LEN(A31)-2) &amp; RIGHT("00"&amp;COUNTIF($D$2:D32,D32),2),LEFT(A31,LEN(A31)-2)+1 &amp; "01"))</f>
        <v>901</v>
      </c>
      <c r="B32" s="19">
        <f t="shared" si="0"/>
        <v>9</v>
      </c>
      <c r="C32" s="18">
        <f t="shared" si="1"/>
        <v>1</v>
      </c>
      <c r="D32" s="12" t="s">
        <v>232</v>
      </c>
      <c r="O32">
        <v>1</v>
      </c>
      <c r="P32" s="11">
        <v>1200</v>
      </c>
    </row>
    <row r="33" spans="1:16" x14ac:dyDescent="0.4">
      <c r="A33" s="18" t="str">
        <f>IF(D33="","",IF(D33=D32,LEFT(A32,LEN(A32)-2) &amp; RIGHT("00"&amp;COUNTIF($D$2:D33,D33),2),LEFT(A32,LEN(A32)-2)+1 &amp; "01"))</f>
        <v>902</v>
      </c>
      <c r="B33" s="19">
        <f t="shared" si="0"/>
        <v>9</v>
      </c>
      <c r="C33" s="18">
        <f t="shared" si="1"/>
        <v>2</v>
      </c>
      <c r="D33" s="12" t="s">
        <v>232</v>
      </c>
      <c r="E33" t="s">
        <v>185</v>
      </c>
      <c r="F33" t="s">
        <v>233</v>
      </c>
      <c r="J33">
        <v>1</v>
      </c>
      <c r="K33">
        <v>10</v>
      </c>
      <c r="O33">
        <v>12</v>
      </c>
      <c r="P33" s="11">
        <v>120</v>
      </c>
    </row>
    <row r="34" spans="1:16" x14ac:dyDescent="0.4">
      <c r="A34" s="18" t="str">
        <f>IF(D34="","",IF(D34=D33,LEFT(A33,LEN(A33)-2) &amp; RIGHT("00"&amp;COUNTIF($D$2:D34,D34),2),LEFT(A33,LEN(A33)-2)+1 &amp; "01"))</f>
        <v>903</v>
      </c>
      <c r="B34" s="19">
        <f t="shared" si="0"/>
        <v>9</v>
      </c>
      <c r="C34" s="18">
        <f t="shared" si="1"/>
        <v>3</v>
      </c>
      <c r="D34" s="12" t="s">
        <v>232</v>
      </c>
      <c r="E34" t="s">
        <v>185</v>
      </c>
      <c r="F34" t="s">
        <v>184</v>
      </c>
      <c r="J34">
        <v>1</v>
      </c>
      <c r="K34">
        <v>12</v>
      </c>
      <c r="O34">
        <v>12</v>
      </c>
      <c r="P34" s="11">
        <v>120</v>
      </c>
    </row>
    <row r="35" spans="1:16" x14ac:dyDescent="0.4">
      <c r="A35" s="18" t="str">
        <f>IF(D35="","",IF(D35=D34,LEFT(A34,LEN(A34)-2) &amp; RIGHT("00"&amp;COUNTIF($D$2:D35,D35),2),LEFT(A34,LEN(A34)-2)+1 &amp; "01"))</f>
        <v>1001</v>
      </c>
      <c r="B35" s="19">
        <f t="shared" si="0"/>
        <v>10</v>
      </c>
      <c r="C35" s="18">
        <f t="shared" si="1"/>
        <v>1</v>
      </c>
      <c r="D35" s="12" t="s">
        <v>50</v>
      </c>
      <c r="E35" t="s">
        <v>53</v>
      </c>
      <c r="J35">
        <v>3</v>
      </c>
      <c r="O35">
        <v>1</v>
      </c>
      <c r="P35" s="11">
        <v>15</v>
      </c>
    </row>
    <row r="36" spans="1:16" x14ac:dyDescent="0.4">
      <c r="A36" s="18" t="str">
        <f>IF(D36="","",IF(D36=D35,LEFT(A35,LEN(A35)-2) &amp; RIGHT("00"&amp;COUNTIF($D$2:D36,D36),2),LEFT(A35,LEN(A35)-2)+1 &amp; "01"))</f>
        <v>1002</v>
      </c>
      <c r="B36" s="19">
        <f t="shared" si="0"/>
        <v>10</v>
      </c>
      <c r="C36" s="18">
        <f t="shared" si="1"/>
        <v>2</v>
      </c>
      <c r="D36" s="12" t="s">
        <v>50</v>
      </c>
      <c r="E36" t="s">
        <v>39</v>
      </c>
      <c r="F36" t="s">
        <v>53</v>
      </c>
      <c r="J36">
        <v>3</v>
      </c>
      <c r="K36">
        <v>12</v>
      </c>
      <c r="O36">
        <v>10</v>
      </c>
      <c r="P36" s="11">
        <v>50</v>
      </c>
    </row>
    <row r="37" spans="1:16" x14ac:dyDescent="0.4">
      <c r="A37" s="18" t="str">
        <f>IF(D37="","",IF(D37=D36,LEFT(A36,LEN(A36)-2) &amp; RIGHT("00"&amp;COUNTIF($D$2:D37,D37),2),LEFT(A36,LEN(A36)-2)+1 &amp; "01"))</f>
        <v>1003</v>
      </c>
      <c r="B37" s="19">
        <f t="shared" si="0"/>
        <v>10</v>
      </c>
      <c r="C37" s="18">
        <f t="shared" si="1"/>
        <v>3</v>
      </c>
      <c r="D37" s="12" t="s">
        <v>50</v>
      </c>
      <c r="E37" t="s">
        <v>53</v>
      </c>
      <c r="F37" t="s">
        <v>33</v>
      </c>
      <c r="J37">
        <v>6</v>
      </c>
      <c r="K37">
        <v>5</v>
      </c>
      <c r="O37">
        <v>4</v>
      </c>
      <c r="P37" s="11">
        <v>80</v>
      </c>
    </row>
    <row r="38" spans="1:16" x14ac:dyDescent="0.4">
      <c r="A38" s="18" t="str">
        <f>IF(D38="","",IF(D38=D37,LEFT(A37,LEN(A37)-2) &amp; RIGHT("00"&amp;COUNTIF($D$2:D38,D38),2),LEFT(A37,LEN(A37)-2)+1 &amp; "01"))</f>
        <v>1004</v>
      </c>
      <c r="B38" s="19">
        <f t="shared" si="0"/>
        <v>10</v>
      </c>
      <c r="C38" s="18">
        <f t="shared" si="1"/>
        <v>4</v>
      </c>
      <c r="D38" s="12" t="s">
        <v>50</v>
      </c>
      <c r="E38" t="s">
        <v>53</v>
      </c>
      <c r="F38" t="s">
        <v>145</v>
      </c>
      <c r="J38">
        <v>10</v>
      </c>
      <c r="K38">
        <v>2</v>
      </c>
      <c r="O38">
        <v>9</v>
      </c>
      <c r="P38" s="11">
        <v>90</v>
      </c>
    </row>
    <row r="39" spans="1:16" x14ac:dyDescent="0.4">
      <c r="A39" s="18" t="str">
        <f>IF(D39="","",IF(D39=D38,LEFT(A38,LEN(A38)-2) &amp; RIGHT("00"&amp;COUNTIF($D$2:D39,D39),2),LEFT(A38,LEN(A38)-2)+1 &amp; "01"))</f>
        <v>1101</v>
      </c>
      <c r="B39" s="19">
        <f t="shared" si="0"/>
        <v>11</v>
      </c>
      <c r="C39" s="18">
        <f t="shared" si="1"/>
        <v>1</v>
      </c>
      <c r="D39" s="12" t="s">
        <v>234</v>
      </c>
      <c r="O39">
        <v>1</v>
      </c>
      <c r="P39" s="11">
        <v>1200</v>
      </c>
    </row>
    <row r="40" spans="1:16" x14ac:dyDescent="0.4">
      <c r="A40" s="18" t="str">
        <f>IF(D40="","",IF(D40=D39,LEFT(A39,LEN(A39)-2) &amp; RIGHT("00"&amp;COUNTIF($D$2:D40,D40),2),LEFT(A39,LEN(A39)-2)+1 &amp; "01"))</f>
        <v>1102</v>
      </c>
      <c r="B40" s="19">
        <f t="shared" si="0"/>
        <v>11</v>
      </c>
      <c r="C40" s="18">
        <f t="shared" si="1"/>
        <v>2</v>
      </c>
      <c r="D40" s="12" t="s">
        <v>234</v>
      </c>
      <c r="E40" t="s">
        <v>185</v>
      </c>
      <c r="F40" t="s">
        <v>184</v>
      </c>
      <c r="J40">
        <v>1</v>
      </c>
      <c r="K40">
        <v>2</v>
      </c>
      <c r="O40">
        <v>12</v>
      </c>
      <c r="P40" s="11">
        <v>120</v>
      </c>
    </row>
    <row r="41" spans="1:16" x14ac:dyDescent="0.4">
      <c r="A41" s="18" t="str">
        <f>IF(D41="","",IF(D41=D40,LEFT(A40,LEN(A40)-2) &amp; RIGHT("00"&amp;COUNTIF($D$2:D41,D41),2),LEFT(A40,LEN(A40)-2)+1 &amp; "01"))</f>
        <v>1201</v>
      </c>
      <c r="B41" s="19">
        <f t="shared" si="0"/>
        <v>12</v>
      </c>
      <c r="C41" s="18">
        <f t="shared" si="1"/>
        <v>1</v>
      </c>
      <c r="D41" s="12" t="s">
        <v>51</v>
      </c>
      <c r="E41" t="s">
        <v>46</v>
      </c>
      <c r="J41">
        <v>1</v>
      </c>
      <c r="O41">
        <v>4</v>
      </c>
      <c r="P41" s="11">
        <v>40</v>
      </c>
    </row>
    <row r="42" spans="1:16" x14ac:dyDescent="0.4">
      <c r="A42" s="18" t="str">
        <f>IF(D42="","",IF(D42=D41,LEFT(A41,LEN(A41)-2) &amp; RIGHT("00"&amp;COUNTIF($D$2:D42,D42),2),LEFT(A41,LEN(A41)-2)+1 &amp; "01"))</f>
        <v>1202</v>
      </c>
      <c r="B42" s="19">
        <f t="shared" si="0"/>
        <v>12</v>
      </c>
      <c r="C42" s="18">
        <f t="shared" si="1"/>
        <v>2</v>
      </c>
      <c r="D42" s="12" t="s">
        <v>51</v>
      </c>
      <c r="E42" t="s">
        <v>54</v>
      </c>
      <c r="J42">
        <v>1</v>
      </c>
      <c r="O42">
        <v>52</v>
      </c>
      <c r="P42" s="11">
        <v>260</v>
      </c>
    </row>
    <row r="43" spans="1:16" x14ac:dyDescent="0.4">
      <c r="A43" s="18" t="str">
        <f>IF(D43="","",IF(D43=D42,LEFT(A42,LEN(A42)-2) &amp; RIGHT("00"&amp;COUNTIF($D$2:D43,D43),2),LEFT(A42,LEN(A42)-2)+1 &amp; "01"))</f>
        <v>1203</v>
      </c>
      <c r="B43" s="19">
        <f t="shared" si="0"/>
        <v>12</v>
      </c>
      <c r="C43" s="18">
        <f t="shared" si="1"/>
        <v>3</v>
      </c>
      <c r="D43" s="12" t="s">
        <v>51</v>
      </c>
      <c r="E43" t="s">
        <v>25</v>
      </c>
      <c r="J43">
        <v>5</v>
      </c>
      <c r="O43">
        <v>20</v>
      </c>
      <c r="P43" s="11">
        <v>50</v>
      </c>
    </row>
    <row r="44" spans="1:16" x14ac:dyDescent="0.4">
      <c r="A44" s="18" t="str">
        <f>IF(D44="","",IF(D44=D43,LEFT(A43,LEN(A43)-2) &amp; RIGHT("00"&amp;COUNTIF($D$2:D44,D44),2),LEFT(A43,LEN(A43)-2)+1 &amp; "01"))</f>
        <v>1301</v>
      </c>
      <c r="B44" s="19">
        <f t="shared" si="0"/>
        <v>13</v>
      </c>
      <c r="C44" s="18">
        <f t="shared" si="1"/>
        <v>1</v>
      </c>
      <c r="D44" s="12" t="s">
        <v>159</v>
      </c>
      <c r="E44" t="s">
        <v>160</v>
      </c>
      <c r="J44">
        <v>4</v>
      </c>
      <c r="O44">
        <v>20</v>
      </c>
      <c r="P44" s="11">
        <v>300</v>
      </c>
    </row>
    <row r="45" spans="1:16" x14ac:dyDescent="0.4">
      <c r="A45" s="18" t="str">
        <f>IF(D45="","",IF(D45=D44,LEFT(A44,LEN(A44)-2) &amp; RIGHT("00"&amp;COUNTIF($D$2:D45,D45),2),LEFT(A44,LEN(A44)-2)+1 &amp; "01"))</f>
        <v>1302</v>
      </c>
      <c r="B45" s="19">
        <f t="shared" si="0"/>
        <v>13</v>
      </c>
      <c r="C45" s="18">
        <f t="shared" si="1"/>
        <v>2</v>
      </c>
      <c r="D45" s="12" t="s">
        <v>159</v>
      </c>
      <c r="E45" t="s">
        <v>161</v>
      </c>
      <c r="J45">
        <v>10</v>
      </c>
      <c r="O45">
        <v>5</v>
      </c>
      <c r="P45" s="11">
        <v>60</v>
      </c>
    </row>
    <row r="46" spans="1:16" x14ac:dyDescent="0.4">
      <c r="A46" s="18" t="str">
        <f>IF(D46="","",IF(D46=D45,LEFT(A45,LEN(A45)-2) &amp; RIGHT("00"&amp;COUNTIF($D$2:D46,D46),2),LEFT(A45,LEN(A45)-2)+1 &amp; "01"))</f>
        <v>1303</v>
      </c>
      <c r="B46" s="19">
        <f t="shared" si="0"/>
        <v>13</v>
      </c>
      <c r="C46" s="18">
        <f t="shared" si="1"/>
        <v>3</v>
      </c>
      <c r="D46" s="12" t="s">
        <v>159</v>
      </c>
      <c r="E46" t="s">
        <v>162</v>
      </c>
      <c r="J46">
        <v>1</v>
      </c>
      <c r="O46">
        <v>10</v>
      </c>
      <c r="P46" s="11">
        <v>150</v>
      </c>
    </row>
    <row r="47" spans="1:16" x14ac:dyDescent="0.4">
      <c r="A47" s="18" t="str">
        <f>IF(D47="","",IF(D47=D46,LEFT(A46,LEN(A46)-2) &amp; RIGHT("00"&amp;COUNTIF($D$2:D47,D47),2),LEFT(A46,LEN(A46)-2)+1 &amp; "01"))</f>
        <v>1304</v>
      </c>
      <c r="B47" s="19">
        <f t="shared" si="0"/>
        <v>13</v>
      </c>
      <c r="C47" s="18">
        <f t="shared" si="1"/>
        <v>4</v>
      </c>
      <c r="D47" s="12" t="s">
        <v>159</v>
      </c>
      <c r="E47" t="s">
        <v>163</v>
      </c>
      <c r="J47">
        <v>1</v>
      </c>
      <c r="O47">
        <v>100</v>
      </c>
      <c r="P47" s="11">
        <v>1500</v>
      </c>
    </row>
    <row r="48" spans="1:16" x14ac:dyDescent="0.4">
      <c r="A48" s="18" t="str">
        <f>IF(D48="","",IF(D48=D47,LEFT(A47,LEN(A47)-2) &amp; RIGHT("00"&amp;COUNTIF($D$2:D48,D48),2),LEFT(A47,LEN(A47)-2)+1 &amp; "01"))</f>
        <v>1401</v>
      </c>
      <c r="B48" s="19">
        <f t="shared" si="0"/>
        <v>14</v>
      </c>
      <c r="C48" s="18">
        <f t="shared" si="1"/>
        <v>1</v>
      </c>
      <c r="D48" s="12" t="s">
        <v>160</v>
      </c>
      <c r="O48">
        <v>1</v>
      </c>
      <c r="P48" s="11">
        <v>1</v>
      </c>
    </row>
    <row r="49" spans="1:16" x14ac:dyDescent="0.4">
      <c r="A49" s="18" t="str">
        <f>IF(D49="","",IF(D49=D48,LEFT(A48,LEN(A48)-2) &amp; RIGHT("00"&amp;COUNTIF($D$2:D49,D49),2),LEFT(A48,LEN(A48)-2)+1 &amp; "01"))</f>
        <v>1501</v>
      </c>
      <c r="B49" s="19">
        <f t="shared" si="0"/>
        <v>15</v>
      </c>
      <c r="C49" s="18">
        <f t="shared" si="1"/>
        <v>1</v>
      </c>
      <c r="D49" s="12" t="s">
        <v>161</v>
      </c>
      <c r="O49">
        <v>1</v>
      </c>
      <c r="P49" s="11">
        <v>1</v>
      </c>
    </row>
    <row r="50" spans="1:16" x14ac:dyDescent="0.4">
      <c r="A50" s="18" t="str">
        <f>IF(D50="","",IF(D50=D49,LEFT(A49,LEN(A49)-2) &amp; RIGHT("00"&amp;COUNTIF($D$2:D50,D50),2),LEFT(A49,LEN(A49)-2)+1 &amp; "01"))</f>
        <v>1601</v>
      </c>
      <c r="B50" s="19">
        <f t="shared" si="0"/>
        <v>16</v>
      </c>
      <c r="C50" s="18">
        <f t="shared" si="1"/>
        <v>1</v>
      </c>
      <c r="D50" s="12" t="s">
        <v>163</v>
      </c>
      <c r="E50" t="s">
        <v>171</v>
      </c>
      <c r="J50">
        <v>1</v>
      </c>
      <c r="O50">
        <v>1</v>
      </c>
      <c r="P50" s="11">
        <v>20</v>
      </c>
    </row>
    <row r="51" spans="1:16" x14ac:dyDescent="0.4">
      <c r="A51" s="18" t="str">
        <f>IF(D51="","",IF(D51=D50,LEFT(A50,LEN(A50)-2) &amp; RIGHT("00"&amp;COUNTIF($D$2:D51,D51),2),LEFT(A50,LEN(A50)-2)+1 &amp; "01"))</f>
        <v>1602</v>
      </c>
      <c r="B51" s="19">
        <f t="shared" si="0"/>
        <v>16</v>
      </c>
      <c r="C51" s="18">
        <f t="shared" si="1"/>
        <v>2</v>
      </c>
      <c r="D51" s="12" t="s">
        <v>163</v>
      </c>
      <c r="E51" t="s">
        <v>169</v>
      </c>
      <c r="J51">
        <v>1</v>
      </c>
      <c r="O51">
        <v>1</v>
      </c>
      <c r="P51" s="11">
        <v>20</v>
      </c>
    </row>
    <row r="52" spans="1:16" x14ac:dyDescent="0.4">
      <c r="A52" s="18" t="str">
        <f>IF(D52="","",IF(D52=D51,LEFT(A51,LEN(A51)-2) &amp; RIGHT("00"&amp;COUNTIF($D$2:D52,D52),2),LEFT(A51,LEN(A51)-2)+1 &amp; "01"))</f>
        <v>1603</v>
      </c>
      <c r="B52" s="19">
        <f t="shared" si="0"/>
        <v>16</v>
      </c>
      <c r="C52" s="18">
        <f t="shared" si="1"/>
        <v>3</v>
      </c>
      <c r="D52" s="12" t="s">
        <v>163</v>
      </c>
      <c r="E52" t="s">
        <v>167</v>
      </c>
      <c r="J52">
        <v>1</v>
      </c>
      <c r="O52">
        <v>1</v>
      </c>
      <c r="P52" s="11">
        <v>20</v>
      </c>
    </row>
    <row r="53" spans="1:16" x14ac:dyDescent="0.4">
      <c r="A53" s="18" t="str">
        <f>IF(D53="","",IF(D53=D52,LEFT(A52,LEN(A52)-2) &amp; RIGHT("00"&amp;COUNTIF($D$2:D53,D53),2),LEFT(A52,LEN(A52)-2)+1 &amp; "01"))</f>
        <v>1604</v>
      </c>
      <c r="B53" s="19">
        <f t="shared" si="0"/>
        <v>16</v>
      </c>
      <c r="C53" s="18">
        <f t="shared" si="1"/>
        <v>4</v>
      </c>
      <c r="D53" s="12" t="s">
        <v>163</v>
      </c>
      <c r="E53" t="s">
        <v>165</v>
      </c>
      <c r="J53">
        <v>1</v>
      </c>
      <c r="O53">
        <v>1</v>
      </c>
      <c r="P53" s="11">
        <v>20</v>
      </c>
    </row>
    <row r="54" spans="1:16" x14ac:dyDescent="0.4">
      <c r="A54" s="18" t="str">
        <f>IF(D54="","",IF(D54=D53,LEFT(A53,LEN(A53)-2) &amp; RIGHT("00"&amp;COUNTIF($D$2:D54,D54),2),LEFT(A53,LEN(A53)-2)+1 &amp; "01"))</f>
        <v>1701</v>
      </c>
      <c r="B54" s="19">
        <f t="shared" si="0"/>
        <v>17</v>
      </c>
      <c r="C54" s="18">
        <f t="shared" si="1"/>
        <v>1</v>
      </c>
      <c r="D54" s="12" t="s">
        <v>170</v>
      </c>
      <c r="O54">
        <v>1</v>
      </c>
      <c r="P54" s="11">
        <v>1</v>
      </c>
    </row>
    <row r="55" spans="1:16" x14ac:dyDescent="0.4">
      <c r="A55" s="18" t="str">
        <f>IF(D55="","",IF(D55=D54,LEFT(A54,LEN(A54)-2) &amp; RIGHT("00"&amp;COUNTIF($D$2:D55,D55),2),LEFT(A54,LEN(A54)-2)+1 &amp; "01"))</f>
        <v>1801</v>
      </c>
      <c r="B55" s="19">
        <f t="shared" si="0"/>
        <v>18</v>
      </c>
      <c r="C55" s="18">
        <f t="shared" si="1"/>
        <v>1</v>
      </c>
      <c r="D55" s="12" t="s">
        <v>168</v>
      </c>
      <c r="O55">
        <v>1</v>
      </c>
      <c r="P55" s="11">
        <v>1</v>
      </c>
    </row>
    <row r="56" spans="1:16" x14ac:dyDescent="0.4">
      <c r="A56" s="18" t="str">
        <f>IF(D56="","",IF(D56=D55,LEFT(A55,LEN(A55)-2) &amp; RIGHT("00"&amp;COUNTIF($D$2:D56,D56),2),LEFT(A55,LEN(A55)-2)+1 &amp; "01"))</f>
        <v>1901</v>
      </c>
      <c r="B56" s="19">
        <f t="shared" si="0"/>
        <v>19</v>
      </c>
      <c r="C56" s="18">
        <f t="shared" si="1"/>
        <v>1</v>
      </c>
      <c r="D56" s="12" t="s">
        <v>166</v>
      </c>
      <c r="O56">
        <v>1</v>
      </c>
      <c r="P56" s="11">
        <v>1</v>
      </c>
    </row>
    <row r="57" spans="1:16" x14ac:dyDescent="0.4">
      <c r="A57" s="18" t="str">
        <f>IF(D57="","",IF(D57=D56,LEFT(A56,LEN(A56)-2) &amp; RIGHT("00"&amp;COUNTIF($D$2:D57,D57),2),LEFT(A56,LEN(A56)-2)+1 &amp; "01"))</f>
        <v>2001</v>
      </c>
      <c r="B57" s="19">
        <f t="shared" si="0"/>
        <v>20</v>
      </c>
      <c r="C57" s="18">
        <f t="shared" si="1"/>
        <v>1</v>
      </c>
      <c r="D57" s="12" t="s">
        <v>164</v>
      </c>
      <c r="O57">
        <v>1</v>
      </c>
      <c r="P57" s="11">
        <v>1</v>
      </c>
    </row>
    <row r="58" spans="1:16" x14ac:dyDescent="0.4">
      <c r="A58" s="18" t="str">
        <f>IF(D58="","",IF(D58=D57,LEFT(A57,LEN(A57)-2) &amp; RIGHT("00"&amp;COUNTIF($D$2:D58,D58),2),LEFT(A57,LEN(A57)-2)+1 &amp; "01"))</f>
        <v>2101</v>
      </c>
      <c r="B58" s="19">
        <f t="shared" si="0"/>
        <v>21</v>
      </c>
      <c r="C58" s="18">
        <f t="shared" si="1"/>
        <v>1</v>
      </c>
      <c r="D58" s="12" t="s">
        <v>172</v>
      </c>
      <c r="E58" t="s">
        <v>174</v>
      </c>
      <c r="J58">
        <v>1</v>
      </c>
      <c r="O58">
        <v>1</v>
      </c>
      <c r="P58" s="11">
        <v>7.5</v>
      </c>
    </row>
    <row r="59" spans="1:16" x14ac:dyDescent="0.4">
      <c r="A59" s="18" t="str">
        <f>IF(D59="","",IF(D59=D58,LEFT(A58,LEN(A58)-2) &amp; RIGHT("00"&amp;COUNTIF($D$2:D59,D59),2),LEFT(A58,LEN(A58)-2)+1 &amp; "01"))</f>
        <v>2102</v>
      </c>
      <c r="B59" s="19">
        <f t="shared" si="0"/>
        <v>21</v>
      </c>
      <c r="C59" s="18">
        <f t="shared" si="1"/>
        <v>2</v>
      </c>
      <c r="D59" s="12" t="s">
        <v>172</v>
      </c>
      <c r="E59" t="s">
        <v>176</v>
      </c>
      <c r="J59">
        <v>1</v>
      </c>
      <c r="O59">
        <v>2</v>
      </c>
      <c r="P59" s="11">
        <v>10</v>
      </c>
    </row>
    <row r="60" spans="1:16" x14ac:dyDescent="0.4">
      <c r="A60" s="18" t="str">
        <f>IF(D60="","",IF(D60=D59,LEFT(A59,LEN(A59)-2) &amp; RIGHT("00"&amp;COUNTIF($D$2:D60,D60),2),LEFT(A59,LEN(A59)-2)+1 &amp; "01"))</f>
        <v>2103</v>
      </c>
      <c r="B60" s="19">
        <f t="shared" si="0"/>
        <v>21</v>
      </c>
      <c r="C60" s="18">
        <f t="shared" si="1"/>
        <v>3</v>
      </c>
      <c r="D60" s="12" t="s">
        <v>172</v>
      </c>
      <c r="E60" t="s">
        <v>178</v>
      </c>
      <c r="J60">
        <v>1</v>
      </c>
      <c r="O60">
        <v>5</v>
      </c>
      <c r="P60" s="11">
        <v>12.5</v>
      </c>
    </row>
    <row r="61" spans="1:16" x14ac:dyDescent="0.4">
      <c r="A61" s="18" t="str">
        <f>IF(D61="","",IF(D61=D60,LEFT(A60,LEN(A60)-2) &amp; RIGHT("00"&amp;COUNTIF($D$2:D61,D61),2),LEFT(A60,LEN(A60)-2)+1 &amp; "01"))</f>
        <v>2104</v>
      </c>
      <c r="B61" s="19">
        <f t="shared" si="0"/>
        <v>21</v>
      </c>
      <c r="C61" s="18">
        <f t="shared" si="1"/>
        <v>4</v>
      </c>
      <c r="D61" s="12" t="s">
        <v>172</v>
      </c>
      <c r="E61" t="s">
        <v>179</v>
      </c>
      <c r="F61" t="s">
        <v>180</v>
      </c>
      <c r="G61" t="s">
        <v>98</v>
      </c>
      <c r="H61" t="s">
        <v>181</v>
      </c>
      <c r="I61" s="11" t="s">
        <v>182</v>
      </c>
      <c r="J61">
        <v>2</v>
      </c>
      <c r="K61">
        <v>2</v>
      </c>
      <c r="L61">
        <v>12</v>
      </c>
      <c r="M61">
        <v>12</v>
      </c>
      <c r="N61" s="11">
        <v>12</v>
      </c>
      <c r="O61">
        <v>1</v>
      </c>
      <c r="P61" s="11">
        <v>5</v>
      </c>
    </row>
    <row r="62" spans="1:16" x14ac:dyDescent="0.4">
      <c r="A62" s="18" t="str">
        <f>IF(D62="","",IF(D62=D61,LEFT(A61,LEN(A61)-2) &amp; RIGHT("00"&amp;COUNTIF($D$2:D62,D62),2),LEFT(A61,LEN(A61)-2)+1 &amp; "01"))</f>
        <v>2201</v>
      </c>
      <c r="B62" s="19">
        <f t="shared" si="0"/>
        <v>22</v>
      </c>
      <c r="C62" s="18">
        <f t="shared" si="1"/>
        <v>1</v>
      </c>
      <c r="D62" s="12" t="s">
        <v>173</v>
      </c>
      <c r="O62">
        <v>1</v>
      </c>
      <c r="P62" s="11">
        <v>1</v>
      </c>
    </row>
    <row r="63" spans="1:16" x14ac:dyDescent="0.4">
      <c r="A63" s="18" t="str">
        <f>IF(D63="","",IF(D63=D62,LEFT(A62,LEN(A62)-2) &amp; RIGHT("00"&amp;COUNTIF($D$2:D63,D63),2),LEFT(A62,LEN(A62)-2)+1 &amp; "01"))</f>
        <v>2301</v>
      </c>
      <c r="B63" s="19">
        <f t="shared" si="0"/>
        <v>23</v>
      </c>
      <c r="C63" s="18">
        <f t="shared" si="1"/>
        <v>1</v>
      </c>
      <c r="D63" s="12" t="s">
        <v>175</v>
      </c>
      <c r="O63">
        <v>1</v>
      </c>
      <c r="P63" s="11">
        <v>1</v>
      </c>
    </row>
    <row r="64" spans="1:16" x14ac:dyDescent="0.4">
      <c r="A64" s="18" t="str">
        <f>IF(D64="","",IF(D64=D63,LEFT(A63,LEN(A63)-2) &amp; RIGHT("00"&amp;COUNTIF($D$2:D64,D64),2),LEFT(A63,LEN(A63)-2)+1 &amp; "01"))</f>
        <v>2401</v>
      </c>
      <c r="B64" s="19">
        <f t="shared" si="0"/>
        <v>24</v>
      </c>
      <c r="C64" s="18">
        <f t="shared" si="1"/>
        <v>1</v>
      </c>
      <c r="D64" s="12" t="s">
        <v>177</v>
      </c>
      <c r="O64">
        <v>1</v>
      </c>
      <c r="P64" s="11">
        <v>1</v>
      </c>
    </row>
    <row r="65" spans="1:16" x14ac:dyDescent="0.4">
      <c r="A65" s="18" t="str">
        <f>IF(D65="","",IF(D65=D64,LEFT(A64,LEN(A64)-2) &amp; RIGHT("00"&amp;COUNTIF($D$2:D65,D65),2),LEFT(A64,LEN(A64)-2)+1 &amp; "01"))</f>
        <v>2501</v>
      </c>
      <c r="B65" s="19">
        <f t="shared" si="0"/>
        <v>25</v>
      </c>
      <c r="C65" s="18">
        <f t="shared" si="1"/>
        <v>1</v>
      </c>
      <c r="D65" s="12" t="s">
        <v>183</v>
      </c>
      <c r="E65" t="s">
        <v>159</v>
      </c>
      <c r="J65">
        <v>8</v>
      </c>
      <c r="O65">
        <v>4</v>
      </c>
      <c r="P65" s="11">
        <v>60</v>
      </c>
    </row>
    <row r="66" spans="1:16" x14ac:dyDescent="0.4">
      <c r="A66" s="18" t="str">
        <f>IF(D66="","",IF(D66=D65,LEFT(A65,LEN(A65)-2) &amp; RIGHT("00"&amp;COUNTIF($D$2:D66,D66),2),LEFT(A65,LEN(A65)-2)+1 &amp; "01"))</f>
        <v>2601</v>
      </c>
      <c r="B66" s="19">
        <f t="shared" si="0"/>
        <v>26</v>
      </c>
      <c r="C66" s="18">
        <f t="shared" si="1"/>
        <v>1</v>
      </c>
      <c r="D66" s="12" t="s">
        <v>57</v>
      </c>
      <c r="E66" t="s">
        <v>46</v>
      </c>
      <c r="F66" t="s">
        <v>51</v>
      </c>
      <c r="J66">
        <v>5</v>
      </c>
      <c r="K66">
        <v>25</v>
      </c>
      <c r="O66">
        <v>1</v>
      </c>
      <c r="P66" s="11">
        <v>4</v>
      </c>
    </row>
    <row r="67" spans="1:16" x14ac:dyDescent="0.4">
      <c r="A67" s="18" t="str">
        <f>IF(D67="","",IF(D67=D66,LEFT(A66,LEN(A66)-2) &amp; RIGHT("00"&amp;COUNTIF($D$2:D67,D67),2),LEFT(A66,LEN(A66)-2)+1 &amp; "01"))</f>
        <v>2602</v>
      </c>
      <c r="B67" s="19">
        <f t="shared" ref="B67:B130" si="2">IFERROR(VALUE(LEFT(A67,LEN(A67)-2)),"")</f>
        <v>26</v>
      </c>
      <c r="C67" s="18">
        <f t="shared" ref="C67:C130" si="3">IFERROR(VALUE( RIGHT(A67,2)),"")</f>
        <v>2</v>
      </c>
      <c r="D67" s="12" t="s">
        <v>57</v>
      </c>
      <c r="E67" t="s">
        <v>56</v>
      </c>
      <c r="F67" t="s">
        <v>51</v>
      </c>
      <c r="J67">
        <v>6</v>
      </c>
      <c r="K67">
        <v>52</v>
      </c>
      <c r="O67">
        <v>3</v>
      </c>
      <c r="P67" s="11">
        <v>11.25</v>
      </c>
    </row>
    <row r="68" spans="1:16" x14ac:dyDescent="0.4">
      <c r="A68" s="18" t="str">
        <f>IF(D68="","",IF(D68=D67,LEFT(A67,LEN(A67)-2) &amp; RIGHT("00"&amp;COUNTIF($D$2:D68,D68),2),LEFT(A67,LEN(A67)-2)+1 &amp; "01"))</f>
        <v>2603</v>
      </c>
      <c r="B68" s="19">
        <f t="shared" si="2"/>
        <v>26</v>
      </c>
      <c r="C68" s="18">
        <f t="shared" si="3"/>
        <v>3</v>
      </c>
      <c r="D68" s="12" t="s">
        <v>57</v>
      </c>
      <c r="E68" t="s">
        <v>64</v>
      </c>
      <c r="F68" t="s">
        <v>47</v>
      </c>
      <c r="J68">
        <v>2</v>
      </c>
      <c r="K68">
        <v>6</v>
      </c>
      <c r="O68">
        <v>1</v>
      </c>
      <c r="P68" s="11">
        <v>5</v>
      </c>
    </row>
    <row r="69" spans="1:16" x14ac:dyDescent="0.4">
      <c r="A69" s="18" t="str">
        <f>IF(D69="","",IF(D69=D68,LEFT(A68,LEN(A68)-2) &amp; RIGHT("00"&amp;COUNTIF($D$2:D69,D69),2),LEFT(A68,LEN(A68)-2)+1 &amp; "01"))</f>
        <v>2701</v>
      </c>
      <c r="B69" s="19">
        <f t="shared" si="2"/>
        <v>27</v>
      </c>
      <c r="C69" s="18">
        <f t="shared" si="3"/>
        <v>1</v>
      </c>
      <c r="D69" s="12" t="s">
        <v>56</v>
      </c>
      <c r="E69" t="s">
        <v>26</v>
      </c>
      <c r="J69">
        <v>2</v>
      </c>
      <c r="O69">
        <v>1</v>
      </c>
      <c r="P69" s="11">
        <v>10</v>
      </c>
    </row>
    <row r="70" spans="1:16" x14ac:dyDescent="0.4">
      <c r="A70" s="18" t="str">
        <f>IF(D70="","",IF(D70=D69,LEFT(A69,LEN(A69)-2) &amp; RIGHT("00"&amp;COUNTIF($D$2:D70,D70),2),LEFT(A69,LEN(A69)-2)+1 &amp; "01"))</f>
        <v>2702</v>
      </c>
      <c r="B70" s="19">
        <f t="shared" si="2"/>
        <v>27</v>
      </c>
      <c r="C70" s="18">
        <f t="shared" si="3"/>
        <v>2</v>
      </c>
      <c r="D70" s="12" t="s">
        <v>56</v>
      </c>
      <c r="E70" t="s">
        <v>26</v>
      </c>
      <c r="F70" t="s">
        <v>33</v>
      </c>
      <c r="J70">
        <v>3</v>
      </c>
      <c r="K70">
        <v>3</v>
      </c>
      <c r="O70">
        <v>3</v>
      </c>
      <c r="P70" s="11">
        <v>22.5</v>
      </c>
    </row>
    <row r="71" spans="1:16" x14ac:dyDescent="0.4">
      <c r="A71" s="18" t="str">
        <f>IF(D71="","",IF(D71=D70,LEFT(A70,LEN(A70)-2) &amp; RIGHT("00"&amp;COUNTIF($D$2:D71,D71),2),LEFT(A70,LEN(A70)-2)+1 &amp; "01"))</f>
        <v>2801</v>
      </c>
      <c r="B71" s="19">
        <f t="shared" si="2"/>
        <v>28</v>
      </c>
      <c r="C71" s="18">
        <f t="shared" si="3"/>
        <v>1</v>
      </c>
      <c r="D71" s="12" t="s">
        <v>9</v>
      </c>
      <c r="E71" t="s">
        <v>52</v>
      </c>
      <c r="F71" t="s">
        <v>46</v>
      </c>
      <c r="J71">
        <v>3</v>
      </c>
      <c r="K71">
        <v>12</v>
      </c>
      <c r="O71">
        <v>2</v>
      </c>
      <c r="P71" s="11">
        <v>2</v>
      </c>
    </row>
    <row r="72" spans="1:16" x14ac:dyDescent="0.4">
      <c r="A72" s="18" t="str">
        <f>IF(D72="","",IF(D72=D71,LEFT(A71,LEN(A71)-2) &amp; RIGHT("00"&amp;COUNTIF($D$2:D72,D72),2),LEFT(A71,LEN(A71)-2)+1 &amp; "01"))</f>
        <v>2802</v>
      </c>
      <c r="B72" s="19">
        <f t="shared" si="2"/>
        <v>28</v>
      </c>
      <c r="C72" s="18">
        <f t="shared" si="3"/>
        <v>2</v>
      </c>
      <c r="D72" s="12" t="s">
        <v>9</v>
      </c>
      <c r="E72" t="s">
        <v>52</v>
      </c>
      <c r="F72" t="s">
        <v>51</v>
      </c>
      <c r="J72">
        <v>3</v>
      </c>
      <c r="K72">
        <v>56</v>
      </c>
      <c r="O72">
        <v>2</v>
      </c>
      <c r="P72" s="11">
        <v>5</v>
      </c>
    </row>
    <row r="73" spans="1:16" x14ac:dyDescent="0.4">
      <c r="A73" s="18" t="str">
        <f>IF(D73="","",IF(D73=D72,LEFT(A72,LEN(A72)-2) &amp; RIGHT("00"&amp;COUNTIF($D$2:D73,D73),2),LEFT(A72,LEN(A72)-2)+1 &amp; "01"))</f>
        <v>2803</v>
      </c>
      <c r="B73" s="19">
        <f t="shared" si="2"/>
        <v>28</v>
      </c>
      <c r="C73" s="18">
        <f t="shared" si="3"/>
        <v>3</v>
      </c>
      <c r="D73" s="12" t="s">
        <v>9</v>
      </c>
      <c r="E73" t="s">
        <v>52</v>
      </c>
      <c r="F73" t="s">
        <v>64</v>
      </c>
      <c r="J73">
        <v>2</v>
      </c>
      <c r="K73">
        <v>10</v>
      </c>
      <c r="O73">
        <v>3</v>
      </c>
      <c r="P73" s="11">
        <v>3</v>
      </c>
    </row>
    <row r="74" spans="1:16" x14ac:dyDescent="0.4">
      <c r="A74" s="18" t="str">
        <f>IF(D74="","",IF(D74=D73,LEFT(A73,LEN(A73)-2) &amp; RIGHT("00"&amp;COUNTIF($D$2:D74,D74),2),LEFT(A73,LEN(A73)-2)+1 &amp; "01"))</f>
        <v>2901</v>
      </c>
      <c r="B74" s="19">
        <f t="shared" si="2"/>
        <v>29</v>
      </c>
      <c r="C74" s="18">
        <f t="shared" si="3"/>
        <v>1</v>
      </c>
      <c r="D74" s="12" t="s">
        <v>65</v>
      </c>
      <c r="E74" t="s">
        <v>52</v>
      </c>
      <c r="F74" t="s">
        <v>57</v>
      </c>
      <c r="J74">
        <v>1</v>
      </c>
      <c r="K74">
        <v>1</v>
      </c>
      <c r="O74">
        <v>1</v>
      </c>
      <c r="P74" s="11">
        <v>2</v>
      </c>
    </row>
    <row r="75" spans="1:16" x14ac:dyDescent="0.4">
      <c r="A75" s="18" t="str">
        <f>IF(D75="","",IF(D75=D74,LEFT(A74,LEN(A74)-2) &amp; RIGHT("00"&amp;COUNTIF($D$2:D75,D75),2),LEFT(A74,LEN(A74)-2)+1 &amp; "01"))</f>
        <v>2902</v>
      </c>
      <c r="B75" s="19">
        <f t="shared" si="2"/>
        <v>29</v>
      </c>
      <c r="C75" s="18">
        <f t="shared" si="3"/>
        <v>2</v>
      </c>
      <c r="D75" s="12" t="s">
        <v>65</v>
      </c>
      <c r="E75" t="s">
        <v>52</v>
      </c>
      <c r="F75" t="s">
        <v>57</v>
      </c>
      <c r="G75" t="s">
        <v>45</v>
      </c>
      <c r="J75">
        <v>1</v>
      </c>
      <c r="K75">
        <v>1</v>
      </c>
      <c r="L75">
        <v>3</v>
      </c>
      <c r="O75">
        <v>2</v>
      </c>
      <c r="P75" s="11">
        <v>5</v>
      </c>
    </row>
    <row r="76" spans="1:16" x14ac:dyDescent="0.4">
      <c r="A76" s="18" t="str">
        <f>IF(D76="","",IF(D76=D75,LEFT(A75,LEN(A75)-2) &amp; RIGHT("00"&amp;COUNTIF($D$2:D76,D76),2),LEFT(A75,LEN(A75)-2)+1 &amp; "01"))</f>
        <v>3001</v>
      </c>
      <c r="B76" s="19">
        <f t="shared" si="2"/>
        <v>30</v>
      </c>
      <c r="C76" s="18">
        <f t="shared" si="3"/>
        <v>1</v>
      </c>
      <c r="D76" s="12" t="s">
        <v>101</v>
      </c>
      <c r="E76" t="s">
        <v>34</v>
      </c>
      <c r="F76" t="s">
        <v>67</v>
      </c>
      <c r="J76">
        <v>1</v>
      </c>
      <c r="K76">
        <v>1</v>
      </c>
      <c r="O76">
        <v>2</v>
      </c>
      <c r="P76" s="11">
        <v>30</v>
      </c>
    </row>
    <row r="77" spans="1:16" x14ac:dyDescent="0.4">
      <c r="A77" s="18" t="str">
        <f>IF(D77="","",IF(D77=D76,LEFT(A76,LEN(A76)-2) &amp; RIGHT("00"&amp;COUNTIF($D$2:D77,D77),2),LEFT(A76,LEN(A76)-2)+1 &amp; "01"))</f>
        <v>3002</v>
      </c>
      <c r="B77" s="19">
        <f t="shared" si="2"/>
        <v>30</v>
      </c>
      <c r="C77" s="18">
        <f t="shared" si="3"/>
        <v>2</v>
      </c>
      <c r="D77" s="12" t="s">
        <v>101</v>
      </c>
      <c r="E77" t="s">
        <v>184</v>
      </c>
      <c r="F77" t="s">
        <v>35</v>
      </c>
      <c r="J77">
        <v>1</v>
      </c>
      <c r="K77">
        <v>2</v>
      </c>
      <c r="O77">
        <v>6</v>
      </c>
      <c r="P77" s="11">
        <v>45</v>
      </c>
    </row>
    <row r="78" spans="1:16" x14ac:dyDescent="0.4">
      <c r="A78" s="18" t="str">
        <f>IF(D78="","",IF(D78=D77,LEFT(A77,LEN(A77)-2) &amp; RIGHT("00"&amp;COUNTIF($D$2:D78,D78),2),LEFT(A77,LEN(A77)-2)+1 &amp; "01"))</f>
        <v>3101</v>
      </c>
      <c r="B78" s="19">
        <f t="shared" si="2"/>
        <v>31</v>
      </c>
      <c r="C78" s="18">
        <f t="shared" si="3"/>
        <v>1</v>
      </c>
      <c r="D78" s="12" t="s">
        <v>206</v>
      </c>
      <c r="O78">
        <v>1</v>
      </c>
      <c r="P78" s="11">
        <v>1200</v>
      </c>
    </row>
    <row r="79" spans="1:16" x14ac:dyDescent="0.4">
      <c r="A79" s="18" t="str">
        <f>IF(D79="","",IF(D79=D78,LEFT(A78,LEN(A78)-2) &amp; RIGHT("00"&amp;COUNTIF($D$2:D79,D79),2),LEFT(A78,LEN(A78)-2)+1 &amp; "01"))</f>
        <v>3102</v>
      </c>
      <c r="B79" s="19">
        <f t="shared" si="2"/>
        <v>31</v>
      </c>
      <c r="C79" s="18">
        <f t="shared" si="3"/>
        <v>2</v>
      </c>
      <c r="D79" s="12" t="s">
        <v>206</v>
      </c>
      <c r="E79" t="s">
        <v>185</v>
      </c>
      <c r="F79" t="s">
        <v>230</v>
      </c>
      <c r="J79">
        <v>1</v>
      </c>
      <c r="K79">
        <v>18</v>
      </c>
      <c r="O79">
        <v>12</v>
      </c>
      <c r="P79" s="11">
        <v>120</v>
      </c>
    </row>
    <row r="80" spans="1:16" x14ac:dyDescent="0.4">
      <c r="A80" s="18" t="str">
        <f>IF(D80="","",IF(D80=D79,LEFT(A79,LEN(A79)-2) &amp; RIGHT("00"&amp;COUNTIF($D$2:D80,D80),2),LEFT(A79,LEN(A79)-2)+1 &amp; "01"))</f>
        <v>3103</v>
      </c>
      <c r="B80" s="19">
        <f t="shared" si="2"/>
        <v>31</v>
      </c>
      <c r="C80" s="18">
        <f t="shared" si="3"/>
        <v>3</v>
      </c>
      <c r="D80" s="12" t="s">
        <v>206</v>
      </c>
      <c r="E80" t="s">
        <v>185</v>
      </c>
      <c r="F80" t="s">
        <v>234</v>
      </c>
      <c r="J80">
        <v>1</v>
      </c>
      <c r="K80">
        <v>36</v>
      </c>
      <c r="O80">
        <v>12</v>
      </c>
      <c r="P80" s="11">
        <v>120</v>
      </c>
    </row>
    <row r="81" spans="1:16" x14ac:dyDescent="0.4">
      <c r="A81" s="18" t="str">
        <f>IF(D81="","",IF(D81=D80,LEFT(A80,LEN(A80)-2) &amp; RIGHT("00"&amp;COUNTIF($D$2:D81,D81),2),LEFT(A80,LEN(A80)-2)+1 &amp; "01"))</f>
        <v>3104</v>
      </c>
      <c r="B81" s="19">
        <f t="shared" si="2"/>
        <v>31</v>
      </c>
      <c r="C81" s="18">
        <f t="shared" si="3"/>
        <v>4</v>
      </c>
      <c r="D81" s="12" t="s">
        <v>206</v>
      </c>
      <c r="E81" t="s">
        <v>160</v>
      </c>
      <c r="J81">
        <v>1</v>
      </c>
      <c r="O81">
        <v>10</v>
      </c>
      <c r="P81" s="11">
        <v>150</v>
      </c>
    </row>
    <row r="82" spans="1:16" x14ac:dyDescent="0.4">
      <c r="A82" s="18" t="str">
        <f>IF(D82="","",IF(D82=D81,LEFT(A81,LEN(A81)-2) &amp; RIGHT("00"&amp;COUNTIF($D$2:D82,D82),2),LEFT(A81,LEN(A81)-2)+1 &amp; "01"))</f>
        <v>3105</v>
      </c>
      <c r="B82" s="19">
        <f t="shared" si="2"/>
        <v>31</v>
      </c>
      <c r="C82" s="18">
        <f t="shared" si="3"/>
        <v>5</v>
      </c>
      <c r="D82" s="12" t="s">
        <v>206</v>
      </c>
      <c r="E82" t="s">
        <v>159</v>
      </c>
      <c r="J82">
        <v>5</v>
      </c>
      <c r="O82">
        <v>6</v>
      </c>
      <c r="P82" s="11">
        <v>45</v>
      </c>
    </row>
    <row r="83" spans="1:16" x14ac:dyDescent="0.4">
      <c r="A83" s="18" t="str">
        <f>IF(D83="","",IF(D83=D82,LEFT(A82,LEN(A82)-2) &amp; RIGHT("00"&amp;COUNTIF($D$2:D83,D83),2),LEFT(A82,LEN(A82)-2)+1 &amp; "01"))</f>
        <v>3201</v>
      </c>
      <c r="B83" s="19">
        <f t="shared" si="2"/>
        <v>32</v>
      </c>
      <c r="C83" s="18">
        <f t="shared" si="3"/>
        <v>1</v>
      </c>
      <c r="D83" s="12" t="s">
        <v>184</v>
      </c>
      <c r="O83">
        <v>1</v>
      </c>
      <c r="P83" s="11">
        <v>1200</v>
      </c>
    </row>
    <row r="84" spans="1:16" x14ac:dyDescent="0.4">
      <c r="A84" s="18" t="str">
        <f>IF(D84="","",IF(D84=D83,LEFT(A83,LEN(A83)-2) &amp; RIGHT("00"&amp;COUNTIF($D$2:D84,D84),2),LEFT(A83,LEN(A83)-2)+1 &amp; "01"))</f>
        <v>3202</v>
      </c>
      <c r="B84" s="19">
        <f t="shared" si="2"/>
        <v>32</v>
      </c>
      <c r="C84" s="18">
        <f t="shared" si="3"/>
        <v>2</v>
      </c>
      <c r="D84" s="12" t="s">
        <v>184</v>
      </c>
      <c r="E84" t="s">
        <v>185</v>
      </c>
      <c r="F84" t="s">
        <v>206</v>
      </c>
      <c r="J84">
        <v>1</v>
      </c>
      <c r="K84">
        <v>20</v>
      </c>
      <c r="O84">
        <v>12</v>
      </c>
      <c r="P84" s="11">
        <v>120</v>
      </c>
    </row>
    <row r="85" spans="1:16" x14ac:dyDescent="0.4">
      <c r="A85" s="18" t="str">
        <f>IF(D85="","",IF(D85=D84,LEFT(A84,LEN(A84)-2) &amp; RIGHT("00"&amp;COUNTIF($D$2:D85,D85),2),LEFT(A84,LEN(A84)-2)+1 &amp; "01"))</f>
        <v>3203</v>
      </c>
      <c r="B85" s="19">
        <f t="shared" si="2"/>
        <v>32</v>
      </c>
      <c r="C85" s="18">
        <f t="shared" si="3"/>
        <v>3</v>
      </c>
      <c r="D85" s="12" t="s">
        <v>184</v>
      </c>
      <c r="E85" t="s">
        <v>185</v>
      </c>
      <c r="F85" t="s">
        <v>230</v>
      </c>
      <c r="J85">
        <v>1</v>
      </c>
      <c r="K85">
        <v>30</v>
      </c>
      <c r="O85">
        <v>12</v>
      </c>
      <c r="P85" s="11">
        <v>120</v>
      </c>
    </row>
    <row r="86" spans="1:16" x14ac:dyDescent="0.4">
      <c r="A86" s="18" t="str">
        <f>IF(D86="","",IF(D86=D85,LEFT(A85,LEN(A85)-2) &amp; RIGHT("00"&amp;COUNTIF($D$2:D86,D86),2),LEFT(A85,LEN(A85)-2)+1 &amp; "01"))</f>
        <v>3301</v>
      </c>
      <c r="B86" s="19">
        <f t="shared" si="2"/>
        <v>33</v>
      </c>
      <c r="C86" s="18">
        <f t="shared" si="3"/>
        <v>1</v>
      </c>
      <c r="D86" s="12" t="s">
        <v>28</v>
      </c>
      <c r="E86" t="s">
        <v>37</v>
      </c>
      <c r="J86">
        <v>3</v>
      </c>
      <c r="O86">
        <v>1</v>
      </c>
      <c r="P86" s="11">
        <v>15</v>
      </c>
    </row>
    <row r="87" spans="1:16" x14ac:dyDescent="0.4">
      <c r="A87" s="18" t="str">
        <f>IF(D87="","",IF(D87=D86,LEFT(A86,LEN(A86)-2) &amp; RIGHT("00"&amp;COUNTIF($D$2:D87,D87),2),LEFT(A86,LEN(A86)-2)+1 &amp; "01"))</f>
        <v>3302</v>
      </c>
      <c r="B87" s="19">
        <f t="shared" si="2"/>
        <v>33</v>
      </c>
      <c r="C87" s="18">
        <f t="shared" si="3"/>
        <v>2</v>
      </c>
      <c r="D87" s="12" t="s">
        <v>28</v>
      </c>
      <c r="E87" t="s">
        <v>37</v>
      </c>
      <c r="F87" t="s">
        <v>33</v>
      </c>
      <c r="J87">
        <v>2</v>
      </c>
      <c r="K87">
        <v>2</v>
      </c>
      <c r="O87">
        <v>1</v>
      </c>
      <c r="P87" s="11">
        <v>12</v>
      </c>
    </row>
    <row r="88" spans="1:16" x14ac:dyDescent="0.4">
      <c r="A88" s="18" t="str">
        <f>IF(D88="","",IF(D88=D87,LEFT(A87,LEN(A87)-2) &amp; RIGHT("00"&amp;COUNTIF($D$2:D88,D88),2),LEFT(A87,LEN(A87)-2)+1 &amp; "01"))</f>
        <v>3303</v>
      </c>
      <c r="B88" s="19">
        <f t="shared" si="2"/>
        <v>33</v>
      </c>
      <c r="C88" s="18">
        <f t="shared" si="3"/>
        <v>3</v>
      </c>
      <c r="D88" s="12" t="s">
        <v>28</v>
      </c>
      <c r="E88" t="s">
        <v>37</v>
      </c>
      <c r="F88" t="s">
        <v>153</v>
      </c>
      <c r="J88">
        <v>6</v>
      </c>
      <c r="K88">
        <v>2</v>
      </c>
      <c r="O88">
        <v>3</v>
      </c>
      <c r="P88" s="11">
        <v>22.5</v>
      </c>
    </row>
    <row r="89" spans="1:16" x14ac:dyDescent="0.4">
      <c r="A89" s="18" t="str">
        <f>IF(D89="","",IF(D89=D88,LEFT(A88,LEN(A88)-2) &amp; RIGHT("00"&amp;COUNTIF($D$2:D89,D89),2),LEFT(A88,LEN(A88)-2)+1 &amp; "01"))</f>
        <v>3304</v>
      </c>
      <c r="B89" s="19">
        <f t="shared" si="2"/>
        <v>33</v>
      </c>
      <c r="C89" s="18">
        <f t="shared" si="3"/>
        <v>4</v>
      </c>
      <c r="D89" s="12" t="s">
        <v>28</v>
      </c>
      <c r="E89" t="s">
        <v>37</v>
      </c>
      <c r="F89" t="s">
        <v>137</v>
      </c>
      <c r="J89">
        <v>9</v>
      </c>
      <c r="K89">
        <v>5</v>
      </c>
      <c r="O89">
        <v>6</v>
      </c>
      <c r="P89" s="11">
        <v>36</v>
      </c>
    </row>
    <row r="90" spans="1:16" x14ac:dyDescent="0.4">
      <c r="A90" s="18" t="str">
        <f>IF(D90="","",IF(D90=D89,LEFT(A89,LEN(A89)-2) &amp; RIGHT("00"&amp;COUNTIF($D$2:D90,D90),2),LEFT(A89,LEN(A89)-2)+1 &amp; "01"))</f>
        <v>3401</v>
      </c>
      <c r="B90" s="19">
        <f t="shared" si="2"/>
        <v>34</v>
      </c>
      <c r="C90" s="18">
        <f t="shared" si="3"/>
        <v>1</v>
      </c>
      <c r="D90" s="12" t="s">
        <v>37</v>
      </c>
      <c r="O90">
        <v>1</v>
      </c>
      <c r="P90" s="11">
        <v>1200</v>
      </c>
    </row>
    <row r="91" spans="1:16" x14ac:dyDescent="0.4">
      <c r="A91" s="18" t="str">
        <f>IF(D91="","",IF(D91=D90,LEFT(A90,LEN(A90)-2) &amp; RIGHT("00"&amp;COUNTIF($D$2:D91,D91),2),LEFT(A90,LEN(A90)-2)+1 &amp; "01"))</f>
        <v>3402</v>
      </c>
      <c r="B91" s="19">
        <f t="shared" si="2"/>
        <v>34</v>
      </c>
      <c r="C91" s="18">
        <f t="shared" si="3"/>
        <v>2</v>
      </c>
      <c r="D91" s="12" t="s">
        <v>37</v>
      </c>
      <c r="E91" t="s">
        <v>185</v>
      </c>
      <c r="F91" t="s">
        <v>235</v>
      </c>
      <c r="J91">
        <v>1</v>
      </c>
      <c r="K91">
        <v>15</v>
      </c>
      <c r="O91">
        <v>12</v>
      </c>
      <c r="P91" s="11">
        <v>120</v>
      </c>
    </row>
    <row r="92" spans="1:16" x14ac:dyDescent="0.4">
      <c r="A92" s="18" t="str">
        <f>IF(D92="","",IF(D92=D91,LEFT(A91,LEN(A91)-2) &amp; RIGHT("00"&amp;COUNTIF($D$2:D92,D92),2),LEFT(A91,LEN(A91)-2)+1 &amp; "01"))</f>
        <v>3403</v>
      </c>
      <c r="B92" s="19">
        <f t="shared" si="2"/>
        <v>34</v>
      </c>
      <c r="C92" s="18">
        <f t="shared" si="3"/>
        <v>3</v>
      </c>
      <c r="D92" s="12" t="s">
        <v>37</v>
      </c>
      <c r="E92" t="s">
        <v>185</v>
      </c>
      <c r="F92" t="s">
        <v>233</v>
      </c>
      <c r="J92">
        <v>1</v>
      </c>
      <c r="K92">
        <v>12</v>
      </c>
      <c r="O92">
        <v>12</v>
      </c>
      <c r="P92" s="11">
        <v>120</v>
      </c>
    </row>
    <row r="93" spans="1:16" x14ac:dyDescent="0.4">
      <c r="A93" s="18" t="str">
        <f>IF(D93="","",IF(D93=D92,LEFT(A92,LEN(A92)-2) &amp; RIGHT("00"&amp;COUNTIF($D$2:D93,D93),2),LEFT(A92,LEN(A92)-2)+1 &amp; "01"))</f>
        <v>3501</v>
      </c>
      <c r="B93" s="19">
        <f t="shared" si="2"/>
        <v>35</v>
      </c>
      <c r="C93" s="18">
        <f t="shared" si="3"/>
        <v>1</v>
      </c>
      <c r="D93" s="12" t="s">
        <v>93</v>
      </c>
      <c r="E93" t="s">
        <v>28</v>
      </c>
      <c r="J93">
        <v>1</v>
      </c>
      <c r="O93">
        <v>5</v>
      </c>
      <c r="P93" s="11">
        <v>60</v>
      </c>
    </row>
    <row r="94" spans="1:16" x14ac:dyDescent="0.4">
      <c r="A94" s="18" t="str">
        <f>IF(D94="","",IF(D94=D93,LEFT(A93,LEN(A93)-2) &amp; RIGHT("00"&amp;COUNTIF($D$2:D94,D94),2),LEFT(A93,LEN(A93)-2)+1 &amp; "01"))</f>
        <v>3502</v>
      </c>
      <c r="B94" s="19">
        <f t="shared" si="2"/>
        <v>35</v>
      </c>
      <c r="C94" s="18">
        <f t="shared" si="3"/>
        <v>2</v>
      </c>
      <c r="D94" s="12" t="s">
        <v>93</v>
      </c>
      <c r="E94" t="s">
        <v>28</v>
      </c>
      <c r="F94" t="s">
        <v>26</v>
      </c>
      <c r="J94">
        <v>1</v>
      </c>
      <c r="K94">
        <v>5</v>
      </c>
      <c r="O94">
        <v>12</v>
      </c>
      <c r="P94" s="11">
        <v>90</v>
      </c>
    </row>
    <row r="95" spans="1:16" x14ac:dyDescent="0.4">
      <c r="A95" s="18" t="str">
        <f>IF(D95="","",IF(D95=D94,LEFT(A94,LEN(A94)-2) &amp; RIGHT("00"&amp;COUNTIF($D$2:D95,D95),2),LEFT(A94,LEN(A94)-2)+1 &amp; "01"))</f>
        <v>3601</v>
      </c>
      <c r="B95" s="19">
        <f t="shared" si="2"/>
        <v>36</v>
      </c>
      <c r="C95" s="18">
        <f t="shared" si="3"/>
        <v>1</v>
      </c>
      <c r="D95" s="12" t="s">
        <v>27</v>
      </c>
      <c r="E95" t="s">
        <v>30</v>
      </c>
      <c r="F95" t="s">
        <v>34</v>
      </c>
      <c r="J95">
        <v>3</v>
      </c>
      <c r="K95">
        <v>3</v>
      </c>
      <c r="O95">
        <v>3</v>
      </c>
      <c r="P95" s="11">
        <v>45</v>
      </c>
    </row>
    <row r="96" spans="1:16" x14ac:dyDescent="0.4">
      <c r="A96" s="18" t="str">
        <f>IF(D96="","",IF(D96=D95,LEFT(A95,LEN(A95)-2) &amp; RIGHT("00"&amp;COUNTIF($D$2:D96,D96),2),LEFT(A95,LEN(A95)-2)+1 &amp; "01"))</f>
        <v>3602</v>
      </c>
      <c r="B96" s="19">
        <f t="shared" si="2"/>
        <v>36</v>
      </c>
      <c r="C96" s="18">
        <f t="shared" si="3"/>
        <v>2</v>
      </c>
      <c r="D96" s="12" t="s">
        <v>27</v>
      </c>
      <c r="E96" t="s">
        <v>30</v>
      </c>
      <c r="F96" t="s">
        <v>35</v>
      </c>
      <c r="J96">
        <v>2</v>
      </c>
      <c r="K96">
        <v>1</v>
      </c>
      <c r="O96">
        <v>4</v>
      </c>
      <c r="P96" s="11">
        <v>10</v>
      </c>
    </row>
    <row r="97" spans="1:16" x14ac:dyDescent="0.4">
      <c r="A97" s="18" t="str">
        <f>IF(D97="","",IF(D97=D96,LEFT(A96,LEN(A96)-2) &amp; RIGHT("00"&amp;COUNTIF($D$2:D97,D97),2),LEFT(A96,LEN(A96)-2)+1 &amp; "01"))</f>
        <v>3603</v>
      </c>
      <c r="B97" s="19">
        <f t="shared" si="2"/>
        <v>36</v>
      </c>
      <c r="C97" s="18">
        <f t="shared" si="3"/>
        <v>3</v>
      </c>
      <c r="D97" s="12" t="s">
        <v>27</v>
      </c>
      <c r="E97" t="s">
        <v>30</v>
      </c>
      <c r="F97" t="s">
        <v>36</v>
      </c>
      <c r="J97">
        <v>15</v>
      </c>
      <c r="K97">
        <v>15</v>
      </c>
      <c r="O97">
        <v>20</v>
      </c>
      <c r="P97" s="11">
        <v>100</v>
      </c>
    </row>
    <row r="98" spans="1:16" x14ac:dyDescent="0.4">
      <c r="A98" s="18" t="str">
        <f>IF(D98="","",IF(D98=D97,LEFT(A97,LEN(A97)-2) &amp; RIGHT("00"&amp;COUNTIF($D$2:D98,D98),2),LEFT(A97,LEN(A97)-2)+1 &amp; "01"))</f>
        <v>3604</v>
      </c>
      <c r="B98" s="19">
        <f t="shared" si="2"/>
        <v>36</v>
      </c>
      <c r="C98" s="18">
        <f t="shared" si="3"/>
        <v>4</v>
      </c>
      <c r="D98" s="12" t="s">
        <v>27</v>
      </c>
      <c r="E98" t="s">
        <v>25</v>
      </c>
      <c r="F98" t="s">
        <v>34</v>
      </c>
      <c r="J98">
        <v>2</v>
      </c>
      <c r="K98">
        <v>2</v>
      </c>
      <c r="O98">
        <v>3</v>
      </c>
      <c r="P98" s="11">
        <v>60</v>
      </c>
    </row>
    <row r="99" spans="1:16" x14ac:dyDescent="0.4">
      <c r="A99" s="18" t="str">
        <f>IF(D99="","",IF(D99=D98,LEFT(A98,LEN(A98)-2) &amp; RIGHT("00"&amp;COUNTIF($D$2:D99,D99),2),LEFT(A98,LEN(A98)-2)+1 &amp; "01"))</f>
        <v>3701</v>
      </c>
      <c r="B99" s="19">
        <f t="shared" si="2"/>
        <v>37</v>
      </c>
      <c r="C99" s="18">
        <f t="shared" si="3"/>
        <v>1</v>
      </c>
      <c r="D99" s="12" t="s">
        <v>54</v>
      </c>
      <c r="E99" t="s">
        <v>27</v>
      </c>
      <c r="J99">
        <v>4</v>
      </c>
      <c r="O99">
        <v>1</v>
      </c>
      <c r="P99" s="11">
        <v>15</v>
      </c>
    </row>
    <row r="100" spans="1:16" x14ac:dyDescent="0.4">
      <c r="A100" s="18" t="str">
        <f>IF(D100="","",IF(D100=D99,LEFT(A99,LEN(A99)-2) &amp; RIGHT("00"&amp;COUNTIF($D$2:D100,D100),2),LEFT(A99,LEN(A99)-2)+1 &amp; "01"))</f>
        <v>3702</v>
      </c>
      <c r="B100" s="19">
        <f t="shared" si="2"/>
        <v>37</v>
      </c>
      <c r="C100" s="18">
        <f t="shared" si="3"/>
        <v>2</v>
      </c>
      <c r="D100" s="12" t="s">
        <v>54</v>
      </c>
      <c r="E100" t="s">
        <v>27</v>
      </c>
      <c r="F100" t="s">
        <v>146</v>
      </c>
      <c r="J100">
        <v>24</v>
      </c>
      <c r="K100">
        <v>16</v>
      </c>
      <c r="O100">
        <v>9</v>
      </c>
      <c r="P100" s="11">
        <v>45</v>
      </c>
    </row>
    <row r="101" spans="1:16" x14ac:dyDescent="0.4">
      <c r="A101" s="18" t="str">
        <f>IF(D101="","",IF(D101=D100,LEFT(A100,LEN(A100)-2) &amp; RIGHT("00"&amp;COUNTIF($D$2:D101,D101),2),LEFT(A100,LEN(A100)-2)+1 &amp; "01"))</f>
        <v>3703</v>
      </c>
      <c r="B101" s="19">
        <f t="shared" si="2"/>
        <v>37</v>
      </c>
      <c r="C101" s="18">
        <f t="shared" si="3"/>
        <v>3</v>
      </c>
      <c r="D101" s="12" t="s">
        <v>54</v>
      </c>
      <c r="E101" t="s">
        <v>142</v>
      </c>
      <c r="J101">
        <v>3</v>
      </c>
      <c r="O101">
        <v>3</v>
      </c>
      <c r="P101" s="11">
        <v>22.5</v>
      </c>
    </row>
    <row r="102" spans="1:16" x14ac:dyDescent="0.4">
      <c r="A102" s="18" t="str">
        <f>IF(D102="","",IF(D102=D101,LEFT(A101,LEN(A101)-2) &amp; RIGHT("00"&amp;COUNTIF($D$2:D102,D102),2),LEFT(A101,LEN(A101)-2)+1 &amp; "01"))</f>
        <v>3801</v>
      </c>
      <c r="B102" s="19">
        <f t="shared" si="2"/>
        <v>38</v>
      </c>
      <c r="C102" s="18">
        <f t="shared" si="3"/>
        <v>1</v>
      </c>
      <c r="D102" s="12" t="s">
        <v>64</v>
      </c>
      <c r="E102" t="s">
        <v>27</v>
      </c>
      <c r="J102">
        <v>3</v>
      </c>
      <c r="O102">
        <v>2</v>
      </c>
      <c r="P102" s="11">
        <v>20</v>
      </c>
    </row>
    <row r="103" spans="1:16" x14ac:dyDescent="0.4">
      <c r="A103" s="18" t="str">
        <f>IF(D103="","",IF(D103=D102,LEFT(A102,LEN(A102)-2) &amp; RIGHT("00"&amp;COUNTIF($D$2:D103,D103),2),LEFT(A102,LEN(A102)-2)+1 &amp; "01"))</f>
        <v>3802</v>
      </c>
      <c r="B103" s="19">
        <f t="shared" si="2"/>
        <v>38</v>
      </c>
      <c r="C103" s="18">
        <f t="shared" si="3"/>
        <v>2</v>
      </c>
      <c r="D103" s="12" t="s">
        <v>64</v>
      </c>
      <c r="E103" t="s">
        <v>139</v>
      </c>
      <c r="J103">
        <v>20</v>
      </c>
      <c r="O103">
        <v>5</v>
      </c>
      <c r="P103" s="11">
        <v>25</v>
      </c>
    </row>
    <row r="104" spans="1:16" x14ac:dyDescent="0.4">
      <c r="A104" s="18" t="str">
        <f>IF(D104="","",IF(D104=D103,LEFT(A103,LEN(A103)-2) &amp; RIGHT("00"&amp;COUNTIF($D$2:D104,D104),2),LEFT(A103,LEN(A103)-2)+1 &amp; "01"))</f>
        <v>3803</v>
      </c>
      <c r="B104" s="19">
        <f t="shared" si="2"/>
        <v>38</v>
      </c>
      <c r="C104" s="18">
        <f t="shared" si="3"/>
        <v>3</v>
      </c>
      <c r="D104" s="12" t="s">
        <v>64</v>
      </c>
      <c r="E104" t="s">
        <v>27</v>
      </c>
      <c r="F104" t="s">
        <v>146</v>
      </c>
      <c r="J104">
        <v>5</v>
      </c>
      <c r="K104">
        <v>3</v>
      </c>
      <c r="O104">
        <v>5</v>
      </c>
      <c r="P104" s="11">
        <v>50</v>
      </c>
    </row>
    <row r="105" spans="1:16" x14ac:dyDescent="0.4">
      <c r="A105" s="18" t="str">
        <f>IF(D105="","",IF(D105=D104,LEFT(A104,LEN(A104)-2) &amp; RIGHT("00"&amp;COUNTIF($D$2:D105,D105),2),LEFT(A104,LEN(A104)-2)+1 &amp; "01"))</f>
        <v>3901</v>
      </c>
      <c r="B105" s="19">
        <f t="shared" si="2"/>
        <v>39</v>
      </c>
      <c r="C105" s="18">
        <f t="shared" si="3"/>
        <v>1</v>
      </c>
      <c r="D105" s="12" t="s">
        <v>7</v>
      </c>
      <c r="E105" t="s">
        <v>9</v>
      </c>
      <c r="F105" t="s">
        <v>54</v>
      </c>
      <c r="J105">
        <v>1</v>
      </c>
      <c r="K105">
        <v>12</v>
      </c>
      <c r="O105">
        <v>2</v>
      </c>
      <c r="P105" s="11">
        <v>5</v>
      </c>
    </row>
    <row r="106" spans="1:16" x14ac:dyDescent="0.4">
      <c r="A106" s="18" t="str">
        <f>IF(D106="","",IF(D106=D105,LEFT(A105,LEN(A105)-2) &amp; RIGHT("00"&amp;COUNTIF($D$2:D106,D106),2),LEFT(A105,LEN(A105)-2)+1 &amp; "01"))</f>
        <v>3902</v>
      </c>
      <c r="B106" s="19">
        <f t="shared" si="2"/>
        <v>39</v>
      </c>
      <c r="C106" s="18">
        <f t="shared" si="3"/>
        <v>2</v>
      </c>
      <c r="D106" s="12" t="s">
        <v>7</v>
      </c>
      <c r="E106" t="s">
        <v>147</v>
      </c>
      <c r="F106" t="s">
        <v>148</v>
      </c>
      <c r="G106" t="s">
        <v>49</v>
      </c>
      <c r="J106">
        <v>1</v>
      </c>
      <c r="K106">
        <v>6</v>
      </c>
      <c r="L106">
        <v>8</v>
      </c>
      <c r="O106">
        <v>2</v>
      </c>
      <c r="P106" s="11">
        <v>7.5</v>
      </c>
    </row>
    <row r="107" spans="1:16" x14ac:dyDescent="0.4">
      <c r="A107" s="18" t="str">
        <f>IF(D107="","",IF(D107=D106,LEFT(A106,LEN(A106)-2) &amp; RIGHT("00"&amp;COUNTIF($D$2:D107,D107),2),LEFT(A106,LEN(A106)-2)+1 &amp; "01"))</f>
        <v>4001</v>
      </c>
      <c r="B107" s="19">
        <f t="shared" si="2"/>
        <v>40</v>
      </c>
      <c r="C107" s="18">
        <f t="shared" si="3"/>
        <v>1</v>
      </c>
      <c r="D107" s="12" t="s">
        <v>185</v>
      </c>
      <c r="E107" t="s">
        <v>186</v>
      </c>
      <c r="J107">
        <v>4</v>
      </c>
      <c r="O107">
        <v>1</v>
      </c>
      <c r="P107" s="11">
        <v>30</v>
      </c>
    </row>
    <row r="108" spans="1:16" x14ac:dyDescent="0.4">
      <c r="A108" s="18" t="str">
        <f>IF(D108="","",IF(D108=D107,LEFT(A107,LEN(A107)-2) &amp; RIGHT("00"&amp;COUNTIF($D$2:D108,D108),2),LEFT(A107,LEN(A107)-2)+1 &amp; "01"))</f>
        <v>4101</v>
      </c>
      <c r="B108" s="19">
        <f t="shared" si="2"/>
        <v>41</v>
      </c>
      <c r="C108" s="18">
        <f t="shared" si="3"/>
        <v>1</v>
      </c>
      <c r="D108" s="12" t="s">
        <v>186</v>
      </c>
      <c r="O108">
        <v>1</v>
      </c>
      <c r="P108" s="11">
        <v>1200</v>
      </c>
    </row>
    <row r="109" spans="1:16" x14ac:dyDescent="0.4">
      <c r="A109" s="18" t="str">
        <f>IF(D109="","",IF(D109=D108,LEFT(A108,LEN(A108)-2) &amp; RIGHT("00"&amp;COUNTIF($D$2:D109,D109),2),LEFT(A108,LEN(A108)-2)+1 &amp; "01"))</f>
        <v>4201</v>
      </c>
      <c r="B109" s="19">
        <f t="shared" si="2"/>
        <v>42</v>
      </c>
      <c r="C109" s="18">
        <f t="shared" si="3"/>
        <v>1</v>
      </c>
      <c r="D109" s="12" t="s">
        <v>76</v>
      </c>
      <c r="E109" t="s">
        <v>54</v>
      </c>
      <c r="F109" t="s">
        <v>50</v>
      </c>
      <c r="J109">
        <v>3</v>
      </c>
      <c r="K109">
        <v>6</v>
      </c>
      <c r="O109">
        <v>1</v>
      </c>
      <c r="P109" s="11">
        <v>6</v>
      </c>
    </row>
    <row r="110" spans="1:16" x14ac:dyDescent="0.4">
      <c r="A110" s="18" t="str">
        <f>IF(D110="","",IF(D110=D109,LEFT(A109,LEN(A109)-2) &amp; RIGHT("00"&amp;COUNTIF($D$2:D110,D110),2),LEFT(A109,LEN(A109)-2)+1 &amp; "01"))</f>
        <v>4202</v>
      </c>
      <c r="B110" s="19">
        <f t="shared" si="2"/>
        <v>42</v>
      </c>
      <c r="C110" s="18">
        <f t="shared" si="3"/>
        <v>2</v>
      </c>
      <c r="D110" s="12" t="s">
        <v>76</v>
      </c>
      <c r="E110" t="s">
        <v>64</v>
      </c>
      <c r="F110" t="s">
        <v>50</v>
      </c>
      <c r="J110">
        <v>6</v>
      </c>
      <c r="K110">
        <v>5</v>
      </c>
      <c r="O110">
        <v>1</v>
      </c>
      <c r="P110" s="11">
        <v>4</v>
      </c>
    </row>
    <row r="111" spans="1:16" x14ac:dyDescent="0.4">
      <c r="A111" s="18" t="str">
        <f>IF(D111="","",IF(D111=D110,LEFT(A110,LEN(A110)-2) &amp; RIGHT("00"&amp;COUNTIF($D$2:D111,D111),2),LEFT(A110,LEN(A110)-2)+1 &amp; "01"))</f>
        <v>4301</v>
      </c>
      <c r="B111" s="19">
        <f t="shared" si="2"/>
        <v>43</v>
      </c>
      <c r="C111" s="18">
        <f t="shared" si="3"/>
        <v>1</v>
      </c>
      <c r="D111" s="12" t="s">
        <v>77</v>
      </c>
      <c r="E111" t="s">
        <v>64</v>
      </c>
      <c r="F111" t="s">
        <v>47</v>
      </c>
      <c r="J111">
        <v>3</v>
      </c>
      <c r="K111">
        <v>8</v>
      </c>
      <c r="O111">
        <v>1</v>
      </c>
      <c r="P111" s="11">
        <v>5</v>
      </c>
    </row>
    <row r="112" spans="1:16" x14ac:dyDescent="0.4">
      <c r="A112" s="18" t="str">
        <f>IF(D112="","",IF(D112=D111,LEFT(A111,LEN(A111)-2) &amp; RIGHT("00"&amp;COUNTIF($D$2:D112,D112),2),LEFT(A111,LEN(A111)-2)+1 &amp; "01"))</f>
        <v>4302</v>
      </c>
      <c r="B112" s="19">
        <f t="shared" si="2"/>
        <v>43</v>
      </c>
      <c r="C112" s="18">
        <f t="shared" si="3"/>
        <v>2</v>
      </c>
      <c r="D112" s="12" t="s">
        <v>77</v>
      </c>
      <c r="E112" t="s">
        <v>151</v>
      </c>
      <c r="F112" t="s">
        <v>93</v>
      </c>
      <c r="J112">
        <v>4</v>
      </c>
      <c r="K112">
        <v>15</v>
      </c>
      <c r="O112">
        <v>2</v>
      </c>
      <c r="P112" s="11">
        <v>8</v>
      </c>
    </row>
    <row r="113" spans="1:16" x14ac:dyDescent="0.4">
      <c r="A113" s="18" t="str">
        <f>IF(D113="","",IF(D113=D112,LEFT(A112,LEN(A112)-2) &amp; RIGHT("00"&amp;COUNTIF($D$2:D113,D113),2),LEFT(A112,LEN(A112)-2)+1 &amp; "01"))</f>
        <v>4401</v>
      </c>
      <c r="B113" s="19">
        <f t="shared" si="2"/>
        <v>44</v>
      </c>
      <c r="C113" s="18">
        <f t="shared" si="3"/>
        <v>1</v>
      </c>
      <c r="D113" s="12" t="s">
        <v>79</v>
      </c>
      <c r="E113" t="s">
        <v>57</v>
      </c>
      <c r="F113" t="s">
        <v>77</v>
      </c>
      <c r="J113">
        <v>2</v>
      </c>
      <c r="K113">
        <v>2</v>
      </c>
      <c r="O113">
        <v>1</v>
      </c>
      <c r="P113" s="11">
        <v>5</v>
      </c>
    </row>
    <row r="114" spans="1:16" x14ac:dyDescent="0.4">
      <c r="A114" s="18" t="str">
        <f>IF(D114="","",IF(D114=D113,LEFT(A113,LEN(A113)-2) &amp; RIGHT("00"&amp;COUNTIF($D$2:D114,D114),2),LEFT(A113,LEN(A113)-2)+1 &amp; "01"))</f>
        <v>4402</v>
      </c>
      <c r="B114" s="19">
        <f t="shared" si="2"/>
        <v>44</v>
      </c>
      <c r="C114" s="18">
        <f t="shared" si="3"/>
        <v>2</v>
      </c>
      <c r="D114" s="12" t="s">
        <v>79</v>
      </c>
      <c r="E114" t="s">
        <v>187</v>
      </c>
      <c r="F114" t="s">
        <v>57</v>
      </c>
      <c r="J114">
        <v>1</v>
      </c>
      <c r="K114">
        <v>2</v>
      </c>
      <c r="O114">
        <v>2</v>
      </c>
      <c r="P114" s="11">
        <v>7.5</v>
      </c>
    </row>
    <row r="115" spans="1:16" x14ac:dyDescent="0.4">
      <c r="A115" s="18" t="str">
        <f>IF(D115="","",IF(D115=D114,LEFT(A114,LEN(A114)-2) &amp; RIGHT("00"&amp;COUNTIF($D$2:D115,D115),2),LEFT(A114,LEN(A114)-2)+1 &amp; "01"))</f>
        <v>4403</v>
      </c>
      <c r="B115" s="19">
        <f t="shared" si="2"/>
        <v>44</v>
      </c>
      <c r="C115" s="18">
        <f t="shared" si="3"/>
        <v>3</v>
      </c>
      <c r="D115" s="12" t="s">
        <v>79</v>
      </c>
      <c r="E115" t="s">
        <v>57</v>
      </c>
      <c r="F115" t="s">
        <v>77</v>
      </c>
      <c r="G115" t="s">
        <v>131</v>
      </c>
      <c r="J115">
        <v>3</v>
      </c>
      <c r="K115">
        <v>3</v>
      </c>
      <c r="L115">
        <v>1</v>
      </c>
      <c r="O115">
        <v>6</v>
      </c>
      <c r="P115" s="11">
        <v>7.5</v>
      </c>
    </row>
    <row r="116" spans="1:16" x14ac:dyDescent="0.4">
      <c r="A116" s="18" t="str">
        <f>IF(D116="","",IF(D116=D115,LEFT(A115,LEN(A115)-2) &amp; RIGHT("00"&amp;COUNTIF($D$2:D116,D116),2),LEFT(A115,LEN(A115)-2)+1 &amp; "01"))</f>
        <v>4501</v>
      </c>
      <c r="B116" s="19">
        <f t="shared" si="2"/>
        <v>45</v>
      </c>
      <c r="C116" s="18">
        <f t="shared" si="3"/>
        <v>1</v>
      </c>
      <c r="D116" s="12" t="s">
        <v>80</v>
      </c>
      <c r="E116" t="s">
        <v>77</v>
      </c>
      <c r="F116" t="s">
        <v>48</v>
      </c>
      <c r="J116">
        <v>1</v>
      </c>
      <c r="K116">
        <v>20</v>
      </c>
      <c r="O116">
        <v>1</v>
      </c>
      <c r="P116" s="11">
        <v>2.5</v>
      </c>
    </row>
    <row r="117" spans="1:16" x14ac:dyDescent="0.4">
      <c r="A117" s="18" t="str">
        <f>IF(D117="","",IF(D117=D116,LEFT(A116,LEN(A116)-2) &amp; RIGHT("00"&amp;COUNTIF($D$2:D117,D117),2),LEFT(A116,LEN(A116)-2)+1 &amp; "01"))</f>
        <v>4502</v>
      </c>
      <c r="B117" s="19">
        <f t="shared" si="2"/>
        <v>45</v>
      </c>
      <c r="C117" s="18">
        <f t="shared" si="3"/>
        <v>2</v>
      </c>
      <c r="D117" s="12" t="s">
        <v>80</v>
      </c>
      <c r="E117" t="s">
        <v>77</v>
      </c>
      <c r="F117" t="s">
        <v>47</v>
      </c>
      <c r="G117" t="s">
        <v>61</v>
      </c>
      <c r="J117">
        <v>2</v>
      </c>
      <c r="K117">
        <v>40</v>
      </c>
      <c r="L117">
        <v>1</v>
      </c>
      <c r="O117">
        <v>4</v>
      </c>
      <c r="P117" s="11">
        <v>7.5</v>
      </c>
    </row>
    <row r="118" spans="1:16" x14ac:dyDescent="0.4">
      <c r="A118" s="18" t="str">
        <f>IF(D118="","",IF(D118=D117,LEFT(A117,LEN(A117)-2) &amp; RIGHT("00"&amp;COUNTIF($D$2:D118,D118),2),LEFT(A117,LEN(A117)-2)+1 &amp; "01"))</f>
        <v>4601</v>
      </c>
      <c r="B118" s="19">
        <f t="shared" si="2"/>
        <v>46</v>
      </c>
      <c r="C118" s="18">
        <f t="shared" si="3"/>
        <v>1</v>
      </c>
      <c r="D118" s="12" t="s">
        <v>188</v>
      </c>
      <c r="E118" t="s">
        <v>185</v>
      </c>
      <c r="F118" t="s">
        <v>47</v>
      </c>
      <c r="G118" t="s">
        <v>64</v>
      </c>
      <c r="J118">
        <v>6</v>
      </c>
      <c r="K118">
        <v>5</v>
      </c>
      <c r="L118">
        <v>3</v>
      </c>
      <c r="O118">
        <v>1</v>
      </c>
      <c r="P118" s="11">
        <v>10</v>
      </c>
    </row>
    <row r="119" spans="1:16" x14ac:dyDescent="0.4">
      <c r="A119" s="18" t="str">
        <f>IF(D119="","",IF(D119=D118,LEFT(A118,LEN(A118)-2) &amp; RIGHT("00"&amp;COUNTIF($D$2:D119,D119),2),LEFT(A118,LEN(A118)-2)+1 &amp; "01"))</f>
        <v>4701</v>
      </c>
      <c r="B119" s="19">
        <f t="shared" si="2"/>
        <v>47</v>
      </c>
      <c r="C119" s="18">
        <f t="shared" si="3"/>
        <v>1</v>
      </c>
      <c r="D119" s="12" t="s">
        <v>98</v>
      </c>
      <c r="E119" t="s">
        <v>78</v>
      </c>
      <c r="J119">
        <v>5</v>
      </c>
      <c r="O119">
        <v>3</v>
      </c>
      <c r="P119" s="11">
        <v>22.5</v>
      </c>
    </row>
    <row r="120" spans="1:16" x14ac:dyDescent="0.4">
      <c r="A120" s="18" t="str">
        <f>IF(D120="","",IF(D120=D119,LEFT(A119,LEN(A119)-2) &amp; RIGHT("00"&amp;COUNTIF($D$2:D120,D120),2),LEFT(A119,LEN(A119)-2)+1 &amp; "01"))</f>
        <v>4702</v>
      </c>
      <c r="B120" s="19">
        <f t="shared" si="2"/>
        <v>47</v>
      </c>
      <c r="C120" s="18">
        <f t="shared" si="3"/>
        <v>2</v>
      </c>
      <c r="D120" s="12" t="s">
        <v>98</v>
      </c>
      <c r="E120" t="s">
        <v>78</v>
      </c>
      <c r="F120" t="s">
        <v>33</v>
      </c>
      <c r="J120">
        <v>9</v>
      </c>
      <c r="K120">
        <v>5</v>
      </c>
      <c r="O120">
        <v>7</v>
      </c>
      <c r="P120" s="11">
        <v>52.5</v>
      </c>
    </row>
    <row r="121" spans="1:16" x14ac:dyDescent="0.4">
      <c r="A121" s="18" t="str">
        <f>IF(D121="","",IF(D121=D120,LEFT(A120,LEN(A120)-2) &amp; RIGHT("00"&amp;COUNTIF($D$2:D121,D121),2),LEFT(A120,LEN(A120)-2)+1 &amp; "01"))</f>
        <v>4703</v>
      </c>
      <c r="B121" s="19">
        <f t="shared" si="2"/>
        <v>47</v>
      </c>
      <c r="C121" s="18">
        <f t="shared" si="3"/>
        <v>3</v>
      </c>
      <c r="D121" s="12" t="s">
        <v>98</v>
      </c>
      <c r="E121" t="s">
        <v>154</v>
      </c>
      <c r="F121" t="s">
        <v>156</v>
      </c>
      <c r="I121" s="11" t="s">
        <v>149</v>
      </c>
      <c r="J121">
        <v>24</v>
      </c>
      <c r="K121">
        <v>2</v>
      </c>
      <c r="N121" s="11">
        <v>12</v>
      </c>
      <c r="O121">
        <v>15</v>
      </c>
      <c r="P121" s="11">
        <v>75</v>
      </c>
    </row>
    <row r="122" spans="1:16" x14ac:dyDescent="0.4">
      <c r="A122" s="18" t="str">
        <f>IF(D122="","",IF(D122=D121,LEFT(A121,LEN(A121)-2) &amp; RIGHT("00"&amp;COUNTIF($D$2:D122,D122),2),LEFT(A121,LEN(A121)-2)+1 &amp; "01"))</f>
        <v>4704</v>
      </c>
      <c r="B122" s="19">
        <f t="shared" si="2"/>
        <v>47</v>
      </c>
      <c r="C122" s="18">
        <f t="shared" si="3"/>
        <v>4</v>
      </c>
      <c r="D122" s="12" t="s">
        <v>98</v>
      </c>
      <c r="E122" t="s">
        <v>154</v>
      </c>
      <c r="F122" t="s">
        <v>155</v>
      </c>
      <c r="J122">
        <v>25</v>
      </c>
      <c r="K122">
        <v>12</v>
      </c>
      <c r="O122">
        <v>18</v>
      </c>
      <c r="P122" s="11">
        <v>54</v>
      </c>
    </row>
    <row r="123" spans="1:16" x14ac:dyDescent="0.4">
      <c r="A123" s="18" t="str">
        <f>IF(D123="","",IF(D123=D122,LEFT(A122,LEN(A122)-2) &amp; RIGHT("00"&amp;COUNTIF($D$2:D123,D123),2),LEFT(A122,LEN(A122)-2)+1 &amp; "01"))</f>
        <v>4801</v>
      </c>
      <c r="B123" s="19">
        <f t="shared" si="2"/>
        <v>48</v>
      </c>
      <c r="C123" s="18">
        <f t="shared" si="3"/>
        <v>1</v>
      </c>
      <c r="D123" s="12" t="s">
        <v>233</v>
      </c>
      <c r="O123">
        <v>1</v>
      </c>
      <c r="P123" s="11">
        <v>1200</v>
      </c>
    </row>
    <row r="124" spans="1:16" x14ac:dyDescent="0.4">
      <c r="A124" s="18" t="str">
        <f>IF(D124="","",IF(D124=D123,LEFT(A123,LEN(A123)-2) &amp; RIGHT("00"&amp;COUNTIF($D$2:D124,D124),2),LEFT(A123,LEN(A123)-2)+1 &amp; "01"))</f>
        <v>4802</v>
      </c>
      <c r="B124" s="19">
        <f t="shared" si="2"/>
        <v>48</v>
      </c>
      <c r="C124" s="18">
        <f t="shared" si="3"/>
        <v>2</v>
      </c>
      <c r="D124" s="12" t="s">
        <v>233</v>
      </c>
      <c r="E124" t="s">
        <v>185</v>
      </c>
      <c r="F124" t="s">
        <v>236</v>
      </c>
      <c r="J124">
        <v>1</v>
      </c>
      <c r="K124">
        <v>10</v>
      </c>
      <c r="O124">
        <v>12</v>
      </c>
      <c r="P124" s="11">
        <v>120</v>
      </c>
    </row>
    <row r="125" spans="1:16" x14ac:dyDescent="0.4">
      <c r="A125" s="18" t="str">
        <f>IF(D125="","",IF(D125=D124,LEFT(A124,LEN(A124)-2) &amp; RIGHT("00"&amp;COUNTIF($D$2:D125,D125),2),LEFT(A124,LEN(A124)-2)+1 &amp; "01"))</f>
        <v>4803</v>
      </c>
      <c r="B125" s="19">
        <f t="shared" si="2"/>
        <v>48</v>
      </c>
      <c r="C125" s="18">
        <f t="shared" si="3"/>
        <v>3</v>
      </c>
      <c r="D125" s="12" t="s">
        <v>233</v>
      </c>
      <c r="E125" t="s">
        <v>185</v>
      </c>
      <c r="F125" t="s">
        <v>206</v>
      </c>
      <c r="J125">
        <v>1</v>
      </c>
      <c r="K125">
        <v>24</v>
      </c>
      <c r="O125">
        <v>12</v>
      </c>
      <c r="P125" s="11">
        <v>120</v>
      </c>
    </row>
    <row r="126" spans="1:16" x14ac:dyDescent="0.4">
      <c r="A126" s="18" t="str">
        <f>IF(D126="","",IF(D126=D125,LEFT(A125,LEN(A125)-2) &amp; RIGHT("00"&amp;COUNTIF($D$2:D126,D126),2),LEFT(A125,LEN(A125)-2)+1 &amp; "01"))</f>
        <v>4901</v>
      </c>
      <c r="B126" s="19">
        <f t="shared" si="2"/>
        <v>49</v>
      </c>
      <c r="C126" s="18">
        <f t="shared" si="3"/>
        <v>1</v>
      </c>
      <c r="D126" s="12" t="s">
        <v>275</v>
      </c>
      <c r="E126" t="s">
        <v>101</v>
      </c>
      <c r="F126" t="s">
        <v>64</v>
      </c>
      <c r="J126">
        <v>2</v>
      </c>
      <c r="K126">
        <v>2</v>
      </c>
      <c r="O126">
        <v>1</v>
      </c>
      <c r="P126" s="11">
        <v>10</v>
      </c>
    </row>
    <row r="127" spans="1:16" x14ac:dyDescent="0.4">
      <c r="A127" s="18" t="str">
        <f>IF(D127="","",IF(D127=D126,LEFT(A126,LEN(A126)-2) &amp; RIGHT("00"&amp;COUNTIF($D$2:D127,D127),2),LEFT(A126,LEN(A126)-2)+1 &amp; "01"))</f>
        <v>5001</v>
      </c>
      <c r="B127" s="19">
        <f t="shared" si="2"/>
        <v>50</v>
      </c>
      <c r="C127" s="18">
        <f t="shared" si="3"/>
        <v>1</v>
      </c>
      <c r="D127" s="12" t="s">
        <v>60</v>
      </c>
      <c r="E127" t="s">
        <v>56</v>
      </c>
      <c r="F127" t="s">
        <v>93</v>
      </c>
      <c r="J127">
        <v>5</v>
      </c>
      <c r="K127">
        <v>20</v>
      </c>
      <c r="O127">
        <v>1</v>
      </c>
      <c r="P127" s="11">
        <v>5</v>
      </c>
    </row>
    <row r="128" spans="1:16" x14ac:dyDescent="0.4">
      <c r="A128" s="18" t="str">
        <f>IF(D128="","",IF(D128=D127,LEFT(A127,LEN(A127)-2) &amp; RIGHT("00"&amp;COUNTIF($D$2:D128,D128),2),LEFT(A127,LEN(A127)-2)+1 &amp; "01"))</f>
        <v>5002</v>
      </c>
      <c r="B128" s="19">
        <f t="shared" si="2"/>
        <v>50</v>
      </c>
      <c r="C128" s="18">
        <f t="shared" si="3"/>
        <v>2</v>
      </c>
      <c r="D128" s="12" t="s">
        <v>60</v>
      </c>
      <c r="E128" t="s">
        <v>93</v>
      </c>
      <c r="F128" t="s">
        <v>45</v>
      </c>
      <c r="J128">
        <v>30</v>
      </c>
      <c r="K128">
        <v>7</v>
      </c>
      <c r="O128">
        <v>2</v>
      </c>
      <c r="P128" s="11">
        <v>8</v>
      </c>
    </row>
    <row r="129" spans="1:16" x14ac:dyDescent="0.4">
      <c r="A129" s="18" t="str">
        <f>IF(D129="","",IF(D129=D128,LEFT(A128,LEN(A128)-2) &amp; RIGHT("00"&amp;COUNTIF($D$2:D129,D129),2),LEFT(A128,LEN(A128)-2)+1 &amp; "01"))</f>
        <v>5101</v>
      </c>
      <c r="B129" s="19">
        <f t="shared" si="2"/>
        <v>51</v>
      </c>
      <c r="C129" s="18">
        <f t="shared" si="3"/>
        <v>1</v>
      </c>
      <c r="D129" s="12" t="s">
        <v>36</v>
      </c>
      <c r="E129" t="s">
        <v>73</v>
      </c>
      <c r="J129">
        <v>4</v>
      </c>
      <c r="O129">
        <v>12</v>
      </c>
      <c r="P129" s="11">
        <v>120</v>
      </c>
    </row>
    <row r="130" spans="1:16" x14ac:dyDescent="0.4">
      <c r="A130" s="18" t="str">
        <f>IF(D130="","",IF(D130=D129,LEFT(A129,LEN(A129)-2) &amp; RIGHT("00"&amp;COUNTIF($D$2:D130,D130),2),LEFT(A129,LEN(A129)-2)+1 &amp; "01"))</f>
        <v>5201</v>
      </c>
      <c r="B130" s="19">
        <f t="shared" si="2"/>
        <v>52</v>
      </c>
      <c r="C130" s="18">
        <f t="shared" si="3"/>
        <v>1</v>
      </c>
      <c r="D130" s="12" t="s">
        <v>73</v>
      </c>
      <c r="E130" t="s">
        <v>71</v>
      </c>
      <c r="I130" s="11" t="s">
        <v>89</v>
      </c>
      <c r="J130">
        <v>3</v>
      </c>
      <c r="N130" s="11">
        <v>2</v>
      </c>
      <c r="O130">
        <v>4</v>
      </c>
      <c r="P130" s="11">
        <v>40</v>
      </c>
    </row>
    <row r="131" spans="1:16" x14ac:dyDescent="0.4">
      <c r="A131" s="18" t="str">
        <f>IF(D131="","",IF(D131=D130,LEFT(A130,LEN(A130)-2) &amp; RIGHT("00"&amp;COUNTIF($D$2:D131,D131),2),LEFT(A130,LEN(A130)-2)+1 &amp; "01"))</f>
        <v>5202</v>
      </c>
      <c r="B131" s="19">
        <f t="shared" ref="B131:B194" si="4">IFERROR(VALUE(LEFT(A131,LEN(A131)-2)),"")</f>
        <v>52</v>
      </c>
      <c r="C131" s="18">
        <f t="shared" ref="C131:C194" si="5">IFERROR(VALUE( RIGHT(A131,2)),"")</f>
        <v>2</v>
      </c>
      <c r="D131" s="12" t="s">
        <v>73</v>
      </c>
      <c r="E131" t="s">
        <v>71</v>
      </c>
      <c r="I131" s="11" t="s">
        <v>45</v>
      </c>
      <c r="J131">
        <v>3</v>
      </c>
      <c r="N131" s="11">
        <v>2</v>
      </c>
      <c r="O131">
        <v>1</v>
      </c>
      <c r="P131" s="11">
        <v>10</v>
      </c>
    </row>
    <row r="132" spans="1:16" x14ac:dyDescent="0.4">
      <c r="A132" s="18" t="str">
        <f>IF(D132="","",IF(D132=D131,LEFT(A131,LEN(A131)-2) &amp; RIGHT("00"&amp;COUNTIF($D$2:D132,D132),2),LEFT(A131,LEN(A131)-2)+1 &amp; "01"))</f>
        <v>5203</v>
      </c>
      <c r="B132" s="19">
        <f t="shared" si="4"/>
        <v>52</v>
      </c>
      <c r="C132" s="18">
        <f t="shared" si="5"/>
        <v>3</v>
      </c>
      <c r="D132" s="12" t="s">
        <v>73</v>
      </c>
      <c r="E132" t="s">
        <v>71</v>
      </c>
      <c r="I132" s="11" t="s">
        <v>49</v>
      </c>
      <c r="J132">
        <v>3</v>
      </c>
      <c r="N132" s="11">
        <v>2</v>
      </c>
      <c r="O132">
        <v>2</v>
      </c>
      <c r="P132" s="11">
        <v>20</v>
      </c>
    </row>
    <row r="133" spans="1:16" x14ac:dyDescent="0.4">
      <c r="A133" s="18" t="str">
        <f>IF(D133="","",IF(D133=D132,LEFT(A132,LEN(A132)-2) &amp; RIGHT("00"&amp;COUNTIF($D$2:D133,D133),2),LEFT(A132,LEN(A132)-2)+1 &amp; "01"))</f>
        <v>5204</v>
      </c>
      <c r="B133" s="19">
        <f t="shared" si="4"/>
        <v>52</v>
      </c>
      <c r="C133" s="18">
        <f t="shared" si="5"/>
        <v>4</v>
      </c>
      <c r="D133" s="12" t="s">
        <v>73</v>
      </c>
      <c r="E133" t="s">
        <v>71</v>
      </c>
      <c r="I133" s="11" t="s">
        <v>89</v>
      </c>
      <c r="J133">
        <v>6</v>
      </c>
      <c r="N133" s="11">
        <v>13</v>
      </c>
      <c r="O133">
        <v>2</v>
      </c>
      <c r="P133" s="11">
        <v>20</v>
      </c>
    </row>
    <row r="134" spans="1:16" x14ac:dyDescent="0.4">
      <c r="A134" s="18" t="str">
        <f>IF(D134="","",IF(D134=D133,LEFT(A133,LEN(A133)-2) &amp; RIGHT("00"&amp;COUNTIF($D$2:D134,D134),2),LEFT(A133,LEN(A133)-2)+1 &amp; "01"))</f>
        <v>5205</v>
      </c>
      <c r="B134" s="19">
        <f t="shared" si="4"/>
        <v>52</v>
      </c>
      <c r="C134" s="18">
        <f t="shared" si="5"/>
        <v>5</v>
      </c>
      <c r="D134" s="12" t="s">
        <v>73</v>
      </c>
      <c r="E134" t="s">
        <v>192</v>
      </c>
      <c r="I134" s="11" t="s">
        <v>42</v>
      </c>
      <c r="J134">
        <v>2</v>
      </c>
      <c r="N134" s="11">
        <v>2</v>
      </c>
      <c r="O134">
        <v>2</v>
      </c>
      <c r="P134" s="11">
        <v>20</v>
      </c>
    </row>
    <row r="135" spans="1:16" x14ac:dyDescent="0.4">
      <c r="A135" s="18" t="str">
        <f>IF(D135="","",IF(D135=D134,LEFT(A134,LEN(A134)-2) &amp; RIGHT("00"&amp;COUNTIF($D$2:D135,D135),2),LEFT(A134,LEN(A134)-2)+1 &amp; "01"))</f>
        <v>5301</v>
      </c>
      <c r="B135" s="19">
        <f t="shared" si="4"/>
        <v>53</v>
      </c>
      <c r="C135" s="18">
        <f t="shared" si="5"/>
        <v>1</v>
      </c>
      <c r="D135" s="12" t="s">
        <v>90</v>
      </c>
      <c r="E135" t="s">
        <v>56</v>
      </c>
      <c r="F135" t="s">
        <v>45</v>
      </c>
      <c r="J135">
        <v>2</v>
      </c>
      <c r="K135">
        <v>4</v>
      </c>
      <c r="O135">
        <v>1</v>
      </c>
      <c r="P135" s="11">
        <v>7.5</v>
      </c>
    </row>
    <row r="136" spans="1:16" x14ac:dyDescent="0.4">
      <c r="A136" s="18" t="str">
        <f>IF(D136="","",IF(D136=D135,LEFT(A135,LEN(A135)-2) &amp; RIGHT("00"&amp;COUNTIF($D$2:D136,D136),2),LEFT(A135,LEN(A135)-2)+1 &amp; "01"))</f>
        <v>5302</v>
      </c>
      <c r="B136" s="19">
        <f t="shared" si="4"/>
        <v>53</v>
      </c>
      <c r="C136" s="18">
        <f t="shared" si="5"/>
        <v>2</v>
      </c>
      <c r="D136" s="12" t="s">
        <v>90</v>
      </c>
      <c r="E136" t="s">
        <v>49</v>
      </c>
      <c r="F136" t="s">
        <v>36</v>
      </c>
      <c r="J136">
        <v>4</v>
      </c>
      <c r="K136">
        <v>8</v>
      </c>
      <c r="O136">
        <v>1</v>
      </c>
      <c r="P136" s="11">
        <v>5</v>
      </c>
    </row>
    <row r="137" spans="1:16" x14ac:dyDescent="0.4">
      <c r="A137" s="18" t="str">
        <f>IF(D137="","",IF(D137=D136,LEFT(A136,LEN(A136)-2) &amp; RIGHT("00"&amp;COUNTIF($D$2:D137,D137),2),LEFT(A136,LEN(A136)-2)+1 &amp; "01"))</f>
        <v>5303</v>
      </c>
      <c r="B137" s="19">
        <f t="shared" si="4"/>
        <v>53</v>
      </c>
      <c r="C137" s="18">
        <f t="shared" si="5"/>
        <v>3</v>
      </c>
      <c r="D137" s="12" t="s">
        <v>90</v>
      </c>
      <c r="E137" t="s">
        <v>56</v>
      </c>
      <c r="F137" t="s">
        <v>39</v>
      </c>
      <c r="J137">
        <v>11</v>
      </c>
      <c r="K137">
        <v>11</v>
      </c>
      <c r="O137">
        <v>5</v>
      </c>
      <c r="P137" s="11">
        <v>12.5</v>
      </c>
    </row>
    <row r="138" spans="1:16" x14ac:dyDescent="0.4">
      <c r="A138" s="18" t="str">
        <f>IF(D138="","",IF(D138=D137,LEFT(A137,LEN(A137)-2) &amp; RIGHT("00"&amp;COUNTIF($D$2:D138,D138),2),LEFT(A137,LEN(A137)-2)+1 &amp; "01"))</f>
        <v>5304</v>
      </c>
      <c r="B138" s="19">
        <f t="shared" si="4"/>
        <v>53</v>
      </c>
      <c r="C138" s="18">
        <f t="shared" si="5"/>
        <v>4</v>
      </c>
      <c r="D138" s="12" t="s">
        <v>90</v>
      </c>
      <c r="E138" t="s">
        <v>45</v>
      </c>
      <c r="F138" t="s">
        <v>93</v>
      </c>
      <c r="J138">
        <v>10</v>
      </c>
      <c r="K138">
        <v>30</v>
      </c>
      <c r="O138">
        <v>7</v>
      </c>
      <c r="P138" s="11">
        <v>8.75</v>
      </c>
    </row>
    <row r="139" spans="1:16" x14ac:dyDescent="0.4">
      <c r="A139" s="18" t="str">
        <f>IF(D139="","",IF(D139=D138,LEFT(A138,LEN(A138)-2) &amp; RIGHT("00"&amp;COUNTIF($D$2:D139,D139),2),LEFT(A138,LEN(A138)-2)+1 &amp; "01"))</f>
        <v>5401</v>
      </c>
      <c r="B139" s="19">
        <f t="shared" si="4"/>
        <v>54</v>
      </c>
      <c r="C139" s="18">
        <f t="shared" si="5"/>
        <v>1</v>
      </c>
      <c r="D139" s="12" t="s">
        <v>45</v>
      </c>
      <c r="E139" t="s">
        <v>71</v>
      </c>
      <c r="I139" s="11" t="s">
        <v>73</v>
      </c>
      <c r="J139">
        <v>3</v>
      </c>
      <c r="N139" s="11">
        <v>1</v>
      </c>
      <c r="O139">
        <v>2</v>
      </c>
      <c r="P139" s="11">
        <v>20</v>
      </c>
    </row>
    <row r="140" spans="1:16" x14ac:dyDescent="0.4">
      <c r="A140" s="18" t="str">
        <f>IF(D140="","",IF(D140=D139,LEFT(A139,LEN(A139)-2) &amp; RIGHT("00"&amp;COUNTIF($D$2:D140,D140),2),LEFT(A139,LEN(A139)-2)+1 &amp; "01"))</f>
        <v>5402</v>
      </c>
      <c r="B140" s="19">
        <f t="shared" si="4"/>
        <v>54</v>
      </c>
      <c r="C140" s="18">
        <f t="shared" si="5"/>
        <v>2</v>
      </c>
      <c r="D140" s="12" t="s">
        <v>45</v>
      </c>
      <c r="E140" t="s">
        <v>89</v>
      </c>
      <c r="F140" t="s">
        <v>33</v>
      </c>
      <c r="J140">
        <v>6</v>
      </c>
      <c r="K140">
        <v>2</v>
      </c>
      <c r="O140">
        <v>2</v>
      </c>
      <c r="P140" s="11">
        <v>20</v>
      </c>
    </row>
    <row r="141" spans="1:16" x14ac:dyDescent="0.4">
      <c r="A141" s="18" t="str">
        <f>IF(D141="","",IF(D141=D140,LEFT(A140,LEN(A140)-2) &amp; RIGHT("00"&amp;COUNTIF($D$2:D141,D141),2),LEFT(A140,LEN(A140)-2)+1 &amp; "01"))</f>
        <v>5403</v>
      </c>
      <c r="B141" s="19">
        <f t="shared" si="4"/>
        <v>54</v>
      </c>
      <c r="C141" s="18">
        <f t="shared" si="5"/>
        <v>3</v>
      </c>
      <c r="D141" s="12" t="s">
        <v>45</v>
      </c>
      <c r="E141" t="s">
        <v>49</v>
      </c>
      <c r="F141" t="s">
        <v>152</v>
      </c>
      <c r="J141">
        <v>6</v>
      </c>
      <c r="K141">
        <v>6</v>
      </c>
      <c r="O141">
        <v>12</v>
      </c>
      <c r="P141" s="11">
        <v>60</v>
      </c>
    </row>
    <row r="142" spans="1:16" x14ac:dyDescent="0.4">
      <c r="A142" s="18" t="str">
        <f>IF(D142="","",IF(D142=D141,LEFT(A141,LEN(A141)-2) &amp; RIGHT("00"&amp;COUNTIF($D$2:D142,D142),2),LEFT(A141,LEN(A141)-2)+1 &amp; "01"))</f>
        <v>5501</v>
      </c>
      <c r="B142" s="19">
        <f t="shared" si="4"/>
        <v>55</v>
      </c>
      <c r="C142" s="18">
        <f t="shared" si="5"/>
        <v>1</v>
      </c>
      <c r="D142" s="12" t="s">
        <v>89</v>
      </c>
      <c r="E142" t="s">
        <v>71</v>
      </c>
      <c r="I142" s="11" t="s">
        <v>72</v>
      </c>
      <c r="J142">
        <v>6</v>
      </c>
      <c r="N142" s="11">
        <v>4</v>
      </c>
      <c r="O142">
        <v>3</v>
      </c>
      <c r="P142" s="11">
        <v>30</v>
      </c>
    </row>
    <row r="143" spans="1:16" x14ac:dyDescent="0.4">
      <c r="A143" s="18" t="str">
        <f>IF(D143="","",IF(D143=D142,LEFT(A142,LEN(A142)-2) &amp; RIGHT("00"&amp;COUNTIF($D$2:D143,D143),2),LEFT(A142,LEN(A142)-2)+1 &amp; "01"))</f>
        <v>5502</v>
      </c>
      <c r="B143" s="19">
        <f t="shared" si="4"/>
        <v>55</v>
      </c>
      <c r="C143" s="18">
        <f t="shared" si="5"/>
        <v>2</v>
      </c>
      <c r="D143" s="12" t="s">
        <v>89</v>
      </c>
      <c r="E143" t="s">
        <v>71</v>
      </c>
      <c r="I143" s="11" t="s">
        <v>73</v>
      </c>
      <c r="J143">
        <v>3</v>
      </c>
      <c r="N143" s="11">
        <v>4</v>
      </c>
      <c r="O143">
        <v>2</v>
      </c>
      <c r="P143" s="11">
        <v>20</v>
      </c>
    </row>
    <row r="144" spans="1:16" x14ac:dyDescent="0.4">
      <c r="A144" s="18" t="str">
        <f>IF(D144="","",IF(D144=D143,LEFT(A143,LEN(A143)-2) &amp; RIGHT("00"&amp;COUNTIF($D$2:D144,D144),2),LEFT(A143,LEN(A143)-2)+1 &amp; "01"))</f>
        <v>5503</v>
      </c>
      <c r="B144" s="19">
        <f t="shared" si="4"/>
        <v>55</v>
      </c>
      <c r="C144" s="18">
        <f t="shared" si="5"/>
        <v>3</v>
      </c>
      <c r="D144" s="12" t="s">
        <v>89</v>
      </c>
      <c r="E144" t="s">
        <v>71</v>
      </c>
      <c r="I144" s="11" t="s">
        <v>73</v>
      </c>
      <c r="J144">
        <v>6</v>
      </c>
      <c r="N144" s="11">
        <v>2</v>
      </c>
      <c r="O144">
        <v>13</v>
      </c>
      <c r="P144" s="11">
        <v>130</v>
      </c>
    </row>
    <row r="145" spans="1:16" x14ac:dyDescent="0.4">
      <c r="A145" s="18" t="str">
        <f>IF(D145="","",IF(D145=D144,LEFT(A144,LEN(A144)-2) &amp; RIGHT("00"&amp;COUNTIF($D$2:D145,D145),2),LEFT(A144,LEN(A144)-2)+1 &amp; "01"))</f>
        <v>5601</v>
      </c>
      <c r="B145" s="19">
        <f t="shared" si="4"/>
        <v>56</v>
      </c>
      <c r="C145" s="18">
        <f t="shared" si="5"/>
        <v>1</v>
      </c>
      <c r="D145" s="12" t="s">
        <v>199</v>
      </c>
      <c r="O145">
        <v>1</v>
      </c>
      <c r="P145" s="11">
        <v>120</v>
      </c>
    </row>
    <row r="146" spans="1:16" x14ac:dyDescent="0.4">
      <c r="A146" s="18" t="str">
        <f>IF(D146="","",IF(D146=D145,LEFT(A145,LEN(A145)-2) &amp; RIGHT("00"&amp;COUNTIF($D$2:D146,D146),2),LEFT(A145,LEN(A145)-2)+1 &amp; "01"))</f>
        <v>5602</v>
      </c>
      <c r="B146" s="19">
        <f t="shared" si="4"/>
        <v>56</v>
      </c>
      <c r="C146" s="18">
        <f t="shared" si="5"/>
        <v>2</v>
      </c>
      <c r="D146" s="12" t="s">
        <v>199</v>
      </c>
      <c r="E146" t="s">
        <v>237</v>
      </c>
      <c r="I146" s="11" t="s">
        <v>201</v>
      </c>
      <c r="J146">
        <v>2</v>
      </c>
      <c r="N146" s="11">
        <v>2</v>
      </c>
      <c r="O146">
        <v>2</v>
      </c>
      <c r="P146" s="11">
        <v>120</v>
      </c>
    </row>
    <row r="147" spans="1:16" x14ac:dyDescent="0.4">
      <c r="A147" s="18" t="str">
        <f>IF(D147="","",IF(D147=D146,LEFT(A146,LEN(A146)-2) &amp; RIGHT("00"&amp;COUNTIF($D$2:D147,D147),2),LEFT(A146,LEN(A146)-2)+1 &amp; "01"))</f>
        <v>5603</v>
      </c>
      <c r="B147" s="19">
        <f t="shared" si="4"/>
        <v>56</v>
      </c>
      <c r="C147" s="18">
        <f t="shared" si="5"/>
        <v>3</v>
      </c>
      <c r="D147" s="12" t="s">
        <v>199</v>
      </c>
      <c r="E147" t="s">
        <v>238</v>
      </c>
      <c r="F147" t="s">
        <v>206</v>
      </c>
      <c r="I147" s="11" t="s">
        <v>239</v>
      </c>
      <c r="J147">
        <v>4</v>
      </c>
      <c r="K147">
        <v>2</v>
      </c>
      <c r="N147" s="11">
        <v>6</v>
      </c>
      <c r="O147">
        <v>2</v>
      </c>
      <c r="P147" s="11">
        <v>120</v>
      </c>
    </row>
    <row r="148" spans="1:16" x14ac:dyDescent="0.4">
      <c r="A148" s="18" t="str">
        <f>IF(D148="","",IF(D148=D147,LEFT(A147,LEN(A147)-2) &amp; RIGHT("00"&amp;COUNTIF($D$2:D148,D148),2),LEFT(A147,LEN(A147)-2)+1 &amp; "01"))</f>
        <v>5604</v>
      </c>
      <c r="B148" s="19">
        <f t="shared" si="4"/>
        <v>56</v>
      </c>
      <c r="C148" s="18">
        <f t="shared" si="5"/>
        <v>4</v>
      </c>
      <c r="D148" s="12" t="s">
        <v>199</v>
      </c>
      <c r="E148" t="s">
        <v>240</v>
      </c>
      <c r="F148" t="s">
        <v>238</v>
      </c>
      <c r="G148" t="s">
        <v>241</v>
      </c>
      <c r="I148" s="11" t="s">
        <v>242</v>
      </c>
      <c r="J148">
        <v>2.5</v>
      </c>
      <c r="K148">
        <v>2</v>
      </c>
      <c r="L148">
        <v>1</v>
      </c>
      <c r="N148" s="11">
        <v>1</v>
      </c>
      <c r="O148">
        <v>1.5</v>
      </c>
      <c r="P148" s="11">
        <v>30</v>
      </c>
    </row>
    <row r="149" spans="1:16" x14ac:dyDescent="0.4">
      <c r="A149" s="18" t="str">
        <f>IF(D149="","",IF(D149=D148,LEFT(A148,LEN(A148)-2) &amp; RIGHT("00"&amp;COUNTIF($D$2:D149,D149),2),LEFT(A148,LEN(A148)-2)+1 &amp; "01"))</f>
        <v>5605</v>
      </c>
      <c r="B149" s="19">
        <f t="shared" si="4"/>
        <v>56</v>
      </c>
      <c r="C149" s="18">
        <f t="shared" si="5"/>
        <v>5</v>
      </c>
      <c r="D149" s="12" t="s">
        <v>199</v>
      </c>
      <c r="E149" t="s">
        <v>236</v>
      </c>
      <c r="F149" t="s">
        <v>206</v>
      </c>
      <c r="G149" t="s">
        <v>240</v>
      </c>
      <c r="H149" t="s">
        <v>199</v>
      </c>
      <c r="I149" s="11" t="s">
        <v>239</v>
      </c>
      <c r="J149">
        <v>15</v>
      </c>
      <c r="K149">
        <v>10</v>
      </c>
      <c r="L149">
        <v>5</v>
      </c>
      <c r="M149">
        <v>6</v>
      </c>
      <c r="N149" s="11">
        <v>30</v>
      </c>
      <c r="O149">
        <v>5</v>
      </c>
      <c r="P149" s="11">
        <v>50</v>
      </c>
    </row>
    <row r="150" spans="1:16" x14ac:dyDescent="0.4">
      <c r="A150" s="18" t="str">
        <f>IF(D150="","",IF(D150=D149,LEFT(A149,LEN(A149)-2) &amp; RIGHT("00"&amp;COUNTIF($D$2:D150,D150),2),LEFT(A149,LEN(A149)-2)+1 &amp; "01"))</f>
        <v>5606</v>
      </c>
      <c r="B150" s="19">
        <f t="shared" si="4"/>
        <v>56</v>
      </c>
      <c r="C150" s="18">
        <f t="shared" si="5"/>
        <v>6</v>
      </c>
      <c r="D150" s="12" t="s">
        <v>199</v>
      </c>
      <c r="E150" t="s">
        <v>218</v>
      </c>
      <c r="F150" t="s">
        <v>234</v>
      </c>
      <c r="G150" t="s">
        <v>199</v>
      </c>
      <c r="I150" s="11" t="s">
        <v>243</v>
      </c>
      <c r="J150">
        <v>12</v>
      </c>
      <c r="K150">
        <v>5</v>
      </c>
      <c r="L150">
        <v>10</v>
      </c>
      <c r="N150" s="11">
        <v>27</v>
      </c>
      <c r="O150">
        <v>8</v>
      </c>
      <c r="P150" s="11">
        <v>80</v>
      </c>
    </row>
    <row r="151" spans="1:16" x14ac:dyDescent="0.4">
      <c r="A151" s="18" t="str">
        <f>IF(D151="","",IF(D151=D150,LEFT(A150,LEN(A150)-2) &amp; RIGHT("00"&amp;COUNTIF($D$2:D151,D151),2),LEFT(A150,LEN(A150)-2)+1 &amp; "01"))</f>
        <v>5607</v>
      </c>
      <c r="B151" s="19">
        <f t="shared" si="4"/>
        <v>56</v>
      </c>
      <c r="C151" s="18">
        <f t="shared" si="5"/>
        <v>7</v>
      </c>
      <c r="D151" s="12" t="s">
        <v>199</v>
      </c>
      <c r="E151" t="s">
        <v>244</v>
      </c>
      <c r="F151" t="s">
        <v>39</v>
      </c>
      <c r="G151" t="s">
        <v>245</v>
      </c>
      <c r="H151" t="s">
        <v>240</v>
      </c>
      <c r="I151" s="11" t="s">
        <v>247</v>
      </c>
      <c r="J151">
        <v>15</v>
      </c>
      <c r="K151">
        <v>10</v>
      </c>
      <c r="L151">
        <v>6</v>
      </c>
      <c r="M151">
        <v>6</v>
      </c>
      <c r="N151" s="11">
        <v>20</v>
      </c>
      <c r="O151">
        <v>6</v>
      </c>
      <c r="P151" s="11">
        <v>15</v>
      </c>
    </row>
    <row r="152" spans="1:16" x14ac:dyDescent="0.4">
      <c r="A152" s="18" t="str">
        <f>IF(D152="","",IF(D152=D151,LEFT(A151,LEN(A151)-2) &amp; RIGHT("00"&amp;COUNTIF($D$2:D152,D152),2),LEFT(A151,LEN(A151)-2)+1 &amp; "01"))</f>
        <v>5608</v>
      </c>
      <c r="B152" s="19">
        <f t="shared" si="4"/>
        <v>56</v>
      </c>
      <c r="C152" s="18">
        <f t="shared" si="5"/>
        <v>8</v>
      </c>
      <c r="D152" s="12" t="s">
        <v>199</v>
      </c>
      <c r="E152" t="s">
        <v>238</v>
      </c>
      <c r="F152" t="s">
        <v>158</v>
      </c>
      <c r="I152" s="11" t="s">
        <v>239</v>
      </c>
      <c r="J152">
        <v>12</v>
      </c>
      <c r="K152">
        <v>4</v>
      </c>
      <c r="N152" s="11">
        <v>20</v>
      </c>
      <c r="O152">
        <v>7</v>
      </c>
      <c r="P152" s="11">
        <v>105</v>
      </c>
    </row>
    <row r="153" spans="1:16" x14ac:dyDescent="0.4">
      <c r="A153" s="18" t="str">
        <f>IF(D153="","",IF(D153=D152,LEFT(A152,LEN(A152)-2) &amp; RIGHT("00"&amp;COUNTIF($D$2:D153,D153),2),LEFT(A152,LEN(A152)-2)+1 &amp; "01"))</f>
        <v>5609</v>
      </c>
      <c r="B153" s="19">
        <f t="shared" si="4"/>
        <v>56</v>
      </c>
      <c r="C153" s="18">
        <f t="shared" si="5"/>
        <v>9</v>
      </c>
      <c r="D153" s="12" t="s">
        <v>199</v>
      </c>
      <c r="E153" t="s">
        <v>248</v>
      </c>
      <c r="F153" t="s">
        <v>244</v>
      </c>
      <c r="G153" t="s">
        <v>245</v>
      </c>
      <c r="H153" t="s">
        <v>240</v>
      </c>
      <c r="I153" s="11" t="s">
        <v>247</v>
      </c>
      <c r="J153">
        <v>5</v>
      </c>
      <c r="K153">
        <v>5</v>
      </c>
      <c r="L153">
        <v>3</v>
      </c>
      <c r="M153">
        <v>5</v>
      </c>
      <c r="N153" s="11">
        <v>20</v>
      </c>
      <c r="O153">
        <v>8</v>
      </c>
      <c r="P153" s="11">
        <v>40</v>
      </c>
    </row>
    <row r="154" spans="1:16" x14ac:dyDescent="0.4">
      <c r="A154" s="18" t="str">
        <f>IF(D154="","",IF(D154=D153,LEFT(A153,LEN(A153)-2) &amp; RIGHT("00"&amp;COUNTIF($D$2:D154,D154),2),LEFT(A153,LEN(A153)-2)+1 &amp; "01"))</f>
        <v>5701</v>
      </c>
      <c r="B154" s="19">
        <f t="shared" si="4"/>
        <v>57</v>
      </c>
      <c r="C154" s="18">
        <f t="shared" si="5"/>
        <v>1</v>
      </c>
      <c r="D154" s="12" t="s">
        <v>49</v>
      </c>
      <c r="E154" t="s">
        <v>71</v>
      </c>
      <c r="I154" s="11" t="s">
        <v>73</v>
      </c>
      <c r="J154">
        <v>3</v>
      </c>
      <c r="N154" s="11">
        <v>2</v>
      </c>
      <c r="O154">
        <v>2</v>
      </c>
      <c r="P154" s="11">
        <v>20</v>
      </c>
    </row>
    <row r="155" spans="1:16" x14ac:dyDescent="0.4">
      <c r="A155" s="18" t="str">
        <f>IF(D155="","",IF(D155=D154,LEFT(A154,LEN(A154)-2) &amp; RIGHT("00"&amp;COUNTIF($D$2:D155,D155),2),LEFT(A154,LEN(A154)-2)+1 &amp; "01"))</f>
        <v>5702</v>
      </c>
      <c r="B155" s="19">
        <f t="shared" si="4"/>
        <v>57</v>
      </c>
      <c r="C155" s="18">
        <f t="shared" si="5"/>
        <v>2</v>
      </c>
      <c r="D155" s="12" t="s">
        <v>49</v>
      </c>
      <c r="E155" t="s">
        <v>89</v>
      </c>
      <c r="F155" t="s">
        <v>33</v>
      </c>
      <c r="J155">
        <v>4</v>
      </c>
      <c r="K155">
        <v>4</v>
      </c>
      <c r="O155">
        <v>2</v>
      </c>
      <c r="P155" s="11">
        <v>20</v>
      </c>
    </row>
    <row r="156" spans="1:16" x14ac:dyDescent="0.4">
      <c r="A156" s="18" t="str">
        <f>IF(D156="","",IF(D156=D155,LEFT(A155,LEN(A155)-2) &amp; RIGHT("00"&amp;COUNTIF($D$2:D156,D156),2),LEFT(A155,LEN(A155)-2)+1 &amp; "01"))</f>
        <v>5703</v>
      </c>
      <c r="B156" s="19">
        <f t="shared" si="4"/>
        <v>57</v>
      </c>
      <c r="C156" s="18">
        <f t="shared" si="5"/>
        <v>3</v>
      </c>
      <c r="D156" s="12" t="s">
        <v>49</v>
      </c>
      <c r="E156" t="s">
        <v>45</v>
      </c>
      <c r="F156" t="s">
        <v>72</v>
      </c>
      <c r="J156">
        <v>6</v>
      </c>
      <c r="K156">
        <v>6</v>
      </c>
      <c r="O156">
        <v>12</v>
      </c>
      <c r="P156" s="11">
        <v>60</v>
      </c>
    </row>
    <row r="157" spans="1:16" x14ac:dyDescent="0.4">
      <c r="A157" s="18" t="str">
        <f>IF(D157="","",IF(D157=D156,LEFT(A156,LEN(A156)-2) &amp; RIGHT("00"&amp;COUNTIF($D$2:D157,D157),2),LEFT(A156,LEN(A156)-2)+1 &amp; "01"))</f>
        <v>5801</v>
      </c>
      <c r="B157" s="19">
        <f t="shared" si="4"/>
        <v>58</v>
      </c>
      <c r="C157" s="18">
        <f t="shared" si="5"/>
        <v>1</v>
      </c>
      <c r="D157" s="12" t="s">
        <v>72</v>
      </c>
      <c r="E157" t="s">
        <v>71</v>
      </c>
      <c r="I157" s="11" t="s">
        <v>89</v>
      </c>
      <c r="J157">
        <v>6</v>
      </c>
      <c r="N157" s="11">
        <v>3</v>
      </c>
      <c r="O157">
        <v>4</v>
      </c>
      <c r="P157" s="11">
        <v>40</v>
      </c>
    </row>
    <row r="158" spans="1:16" x14ac:dyDescent="0.4">
      <c r="A158" s="18" t="str">
        <f>IF(D158="","",IF(D158=D157,LEFT(A157,LEN(A157)-2) &amp; RIGHT("00"&amp;COUNTIF($D$2:D158,D158),2),LEFT(A157,LEN(A157)-2)+1 &amp; "01"))</f>
        <v>5802</v>
      </c>
      <c r="B158" s="19">
        <f t="shared" si="4"/>
        <v>58</v>
      </c>
      <c r="C158" s="18">
        <f t="shared" si="5"/>
        <v>2</v>
      </c>
      <c r="D158" s="12" t="s">
        <v>72</v>
      </c>
      <c r="E158" t="s">
        <v>73</v>
      </c>
      <c r="J158">
        <v>6</v>
      </c>
      <c r="O158">
        <v>4</v>
      </c>
      <c r="P158" s="11">
        <v>40</v>
      </c>
    </row>
    <row r="159" spans="1:16" x14ac:dyDescent="0.4">
      <c r="A159" s="18" t="str">
        <f>IF(D159="","",IF(D159=D158,LEFT(A158,LEN(A158)-2) &amp; RIGHT("00"&amp;COUNTIF($D$2:D159,D159),2),LEFT(A158,LEN(A158)-2)+1 &amp; "01"))</f>
        <v>5803</v>
      </c>
      <c r="B159" s="19">
        <f t="shared" si="4"/>
        <v>58</v>
      </c>
      <c r="C159" s="18">
        <f t="shared" si="5"/>
        <v>3</v>
      </c>
      <c r="D159" s="12" t="s">
        <v>72</v>
      </c>
      <c r="E159" t="s">
        <v>73</v>
      </c>
      <c r="F159" t="s">
        <v>33</v>
      </c>
      <c r="J159">
        <v>5</v>
      </c>
      <c r="K159">
        <v>10</v>
      </c>
      <c r="O159">
        <v>10</v>
      </c>
      <c r="P159" s="11">
        <v>100</v>
      </c>
    </row>
    <row r="160" spans="1:16" x14ac:dyDescent="0.4">
      <c r="A160" s="18" t="str">
        <f>IF(D160="","",IF(D160=D159,LEFT(A159,LEN(A159)-2) &amp; RIGHT("00"&amp;COUNTIF($D$2:D160,D160),2),LEFT(A159,LEN(A159)-2)+1 &amp; "01"))</f>
        <v>5804</v>
      </c>
      <c r="B160" s="19">
        <f t="shared" si="4"/>
        <v>58</v>
      </c>
      <c r="C160" s="18">
        <f t="shared" si="5"/>
        <v>4</v>
      </c>
      <c r="D160" s="12" t="s">
        <v>72</v>
      </c>
      <c r="E160" t="s">
        <v>191</v>
      </c>
      <c r="I160" s="11" t="s">
        <v>42</v>
      </c>
      <c r="J160">
        <v>2</v>
      </c>
      <c r="N160" s="11">
        <v>2</v>
      </c>
      <c r="O160">
        <v>2</v>
      </c>
      <c r="P160" s="11">
        <v>60</v>
      </c>
    </row>
    <row r="161" spans="1:16" x14ac:dyDescent="0.4">
      <c r="A161" s="18" t="str">
        <f>IF(D161="","",IF(D161=D160,LEFT(A160,LEN(A160)-2) &amp; RIGHT("00"&amp;COUNTIF($D$2:D161,D161),2),LEFT(A160,LEN(A160)-2)+1 &amp; "01"))</f>
        <v>5901</v>
      </c>
      <c r="B161" s="19">
        <f t="shared" si="4"/>
        <v>59</v>
      </c>
      <c r="C161" s="18">
        <f t="shared" si="5"/>
        <v>1</v>
      </c>
      <c r="D161" s="12" t="s">
        <v>225</v>
      </c>
      <c r="O161">
        <v>1</v>
      </c>
      <c r="P161" s="11">
        <v>600</v>
      </c>
    </row>
    <row r="162" spans="1:16" x14ac:dyDescent="0.4">
      <c r="A162" s="18" t="str">
        <f>IF(D162="","",IF(D162=D161,LEFT(A161,LEN(A161)-2) &amp; RIGHT("00"&amp;COUNTIF($D$2:D162,D162),2),LEFT(A161,LEN(A161)-2)+1 &amp; "01"))</f>
        <v>5902</v>
      </c>
      <c r="B162" s="19">
        <f t="shared" si="4"/>
        <v>59</v>
      </c>
      <c r="C162" s="18">
        <f t="shared" si="5"/>
        <v>2</v>
      </c>
      <c r="D162" s="12" t="s">
        <v>225</v>
      </c>
      <c r="E162" t="s">
        <v>250</v>
      </c>
      <c r="I162" s="11" t="s">
        <v>201</v>
      </c>
      <c r="J162">
        <v>2</v>
      </c>
      <c r="N162" s="11">
        <v>2</v>
      </c>
      <c r="O162">
        <v>2</v>
      </c>
      <c r="P162" s="11">
        <v>60</v>
      </c>
    </row>
    <row r="163" spans="1:16" x14ac:dyDescent="0.4">
      <c r="A163" s="18" t="str">
        <f>IF(D163="","",IF(D163=D162,LEFT(A162,LEN(A162)-2) &amp; RIGHT("00"&amp;COUNTIF($D$2:D163,D163),2),LEFT(A162,LEN(A162)-2)+1 &amp; "01"))</f>
        <v>6001</v>
      </c>
      <c r="B163" s="19">
        <f t="shared" si="4"/>
        <v>60</v>
      </c>
      <c r="C163" s="18">
        <f t="shared" si="5"/>
        <v>1</v>
      </c>
      <c r="D163" s="12" t="s">
        <v>39</v>
      </c>
      <c r="E163" t="s">
        <v>249</v>
      </c>
      <c r="J163">
        <v>3</v>
      </c>
      <c r="O163">
        <v>5</v>
      </c>
      <c r="P163" s="11">
        <v>37.5</v>
      </c>
    </row>
    <row r="164" spans="1:16" x14ac:dyDescent="0.4">
      <c r="A164" s="18" t="str">
        <f>IF(D164="","",IF(D164=D163,LEFT(A163,LEN(A163)-2) &amp; RIGHT("00"&amp;COUNTIF($D$2:D164,D164),2),LEFT(A163,LEN(A163)-2)+1 &amp; "01"))</f>
        <v>6002</v>
      </c>
      <c r="B164" s="19">
        <f t="shared" si="4"/>
        <v>60</v>
      </c>
      <c r="C164" s="18">
        <f t="shared" si="5"/>
        <v>2</v>
      </c>
      <c r="D164" s="12" t="s">
        <v>39</v>
      </c>
      <c r="E164" t="s">
        <v>41</v>
      </c>
      <c r="F164" t="s">
        <v>33</v>
      </c>
      <c r="I164" s="11" t="s">
        <v>40</v>
      </c>
      <c r="J164">
        <v>12</v>
      </c>
      <c r="K164">
        <v>18</v>
      </c>
      <c r="N164" s="11">
        <v>12</v>
      </c>
      <c r="O164">
        <v>5</v>
      </c>
      <c r="P164" s="11">
        <v>50</v>
      </c>
    </row>
    <row r="165" spans="1:16" x14ac:dyDescent="0.4">
      <c r="A165" s="18" t="str">
        <f>IF(D165="","",IF(D165=D164,LEFT(A164,LEN(A164)-2) &amp; RIGHT("00"&amp;COUNTIF($D$2:D165,D165),2),LEFT(A164,LEN(A164)-2)+1 &amp; "01"))</f>
        <v>6003</v>
      </c>
      <c r="B165" s="19">
        <f t="shared" si="4"/>
        <v>60</v>
      </c>
      <c r="C165" s="18">
        <f t="shared" si="5"/>
        <v>3</v>
      </c>
      <c r="D165" s="12" t="s">
        <v>39</v>
      </c>
      <c r="E165" t="s">
        <v>78</v>
      </c>
      <c r="F165" t="s">
        <v>53</v>
      </c>
      <c r="J165">
        <v>3</v>
      </c>
      <c r="K165">
        <v>5</v>
      </c>
      <c r="O165">
        <v>7</v>
      </c>
      <c r="P165" s="11">
        <v>52.5</v>
      </c>
    </row>
    <row r="166" spans="1:16" x14ac:dyDescent="0.4">
      <c r="A166" s="18" t="str">
        <f>IF(D166="","",IF(D166=D165,LEFT(A165,LEN(A165)-2) &amp; RIGHT("00"&amp;COUNTIF($D$2:D166,D166),2),LEFT(A165,LEN(A165)-2)+1 &amp; "01"))</f>
        <v>6004</v>
      </c>
      <c r="B166" s="19">
        <f t="shared" si="4"/>
        <v>60</v>
      </c>
      <c r="C166" s="18">
        <f t="shared" si="5"/>
        <v>4</v>
      </c>
      <c r="D166" s="12" t="s">
        <v>39</v>
      </c>
      <c r="E166" t="s">
        <v>149</v>
      </c>
      <c r="F166" t="s">
        <v>150</v>
      </c>
      <c r="G166" t="s">
        <v>144</v>
      </c>
      <c r="I166" s="11" t="s">
        <v>144</v>
      </c>
      <c r="J166">
        <v>12</v>
      </c>
      <c r="K166">
        <v>5</v>
      </c>
      <c r="L166">
        <v>10</v>
      </c>
      <c r="N166" s="11">
        <v>8</v>
      </c>
      <c r="O166">
        <v>27</v>
      </c>
      <c r="P166" s="11">
        <v>270</v>
      </c>
    </row>
    <row r="167" spans="1:16" x14ac:dyDescent="0.4">
      <c r="A167" s="18" t="str">
        <f>IF(D167="","",IF(D167=D166,LEFT(A166,LEN(A166)-2) &amp; RIGHT("00"&amp;COUNTIF($D$2:D167,D167),2),LEFT(A166,LEN(A166)-2)+1 &amp; "01"))</f>
        <v>6101</v>
      </c>
      <c r="B167" s="19">
        <f t="shared" si="4"/>
        <v>61</v>
      </c>
      <c r="C167" s="18">
        <f t="shared" si="5"/>
        <v>1</v>
      </c>
      <c r="D167" s="12" t="s">
        <v>96</v>
      </c>
      <c r="E167" t="s">
        <v>98</v>
      </c>
      <c r="F167" t="s">
        <v>48</v>
      </c>
      <c r="G167" t="s">
        <v>52</v>
      </c>
      <c r="J167">
        <v>36</v>
      </c>
      <c r="K167">
        <v>28</v>
      </c>
      <c r="L167">
        <v>5</v>
      </c>
      <c r="O167">
        <v>2</v>
      </c>
      <c r="P167" s="11">
        <v>1</v>
      </c>
    </row>
    <row r="168" spans="1:16" x14ac:dyDescent="0.4">
      <c r="A168" s="18" t="str">
        <f>IF(D168="","",IF(D168=D167,LEFT(A167,LEN(A167)-2) &amp; RIGHT("00"&amp;COUNTIF($D$2:D168,D168),2),LEFT(A167,LEN(A167)-2)+1 &amp; "01"))</f>
        <v>6102</v>
      </c>
      <c r="B168" s="19">
        <f t="shared" si="4"/>
        <v>61</v>
      </c>
      <c r="C168" s="18">
        <f t="shared" si="5"/>
        <v>2</v>
      </c>
      <c r="D168" s="12" t="s">
        <v>96</v>
      </c>
      <c r="E168" t="s">
        <v>98</v>
      </c>
      <c r="F168" t="s">
        <v>49</v>
      </c>
      <c r="G168" t="s">
        <v>60</v>
      </c>
      <c r="J168">
        <v>10</v>
      </c>
      <c r="K168">
        <v>7</v>
      </c>
      <c r="L168">
        <v>1</v>
      </c>
      <c r="O168">
        <v>1</v>
      </c>
      <c r="P168" s="11">
        <v>1.875</v>
      </c>
    </row>
    <row r="169" spans="1:16" x14ac:dyDescent="0.4">
      <c r="A169" s="18" t="str">
        <f>IF(D169="","",IF(D169=D168,LEFT(A168,LEN(A168)-2) &amp; RIGHT("00"&amp;COUNTIF($D$2:D169,D169),2),LEFT(A168,LEN(A168)-2)+1 &amp; "01"))</f>
        <v>6201</v>
      </c>
      <c r="B169" s="19">
        <f t="shared" si="4"/>
        <v>62</v>
      </c>
      <c r="C169" s="18">
        <f t="shared" si="5"/>
        <v>1</v>
      </c>
      <c r="D169" s="12" t="s">
        <v>42</v>
      </c>
      <c r="E169" t="s">
        <v>45</v>
      </c>
      <c r="J169">
        <v>2</v>
      </c>
      <c r="O169">
        <v>4</v>
      </c>
      <c r="P169" s="11">
        <v>60</v>
      </c>
    </row>
    <row r="170" spans="1:16" x14ac:dyDescent="0.4">
      <c r="A170" s="18" t="str">
        <f>IF(D170="","",IF(D170=D169,LEFT(A169,LEN(A169)-2) &amp; RIGHT("00"&amp;COUNTIF($D$2:D170,D170),2),LEFT(A169,LEN(A169)-2)+1 &amp; "01"))</f>
        <v>6202</v>
      </c>
      <c r="B170" s="19">
        <f t="shared" si="4"/>
        <v>62</v>
      </c>
      <c r="C170" s="18">
        <f t="shared" si="5"/>
        <v>2</v>
      </c>
      <c r="D170" s="12" t="s">
        <v>42</v>
      </c>
      <c r="E170" t="s">
        <v>27</v>
      </c>
      <c r="J170">
        <v>4</v>
      </c>
      <c r="O170">
        <v>4</v>
      </c>
      <c r="P170" s="11">
        <v>40</v>
      </c>
    </row>
    <row r="171" spans="1:16" x14ac:dyDescent="0.4">
      <c r="A171" s="18" t="str">
        <f>IF(D171="","",IF(D171=D170,LEFT(A170,LEN(A170)-2) &amp; RIGHT("00"&amp;COUNTIF($D$2:D171,D171),2),LEFT(A170,LEN(A170)-2)+1 &amp; "01"))</f>
        <v>6203</v>
      </c>
      <c r="B171" s="19">
        <f t="shared" si="4"/>
        <v>62</v>
      </c>
      <c r="C171" s="18">
        <f t="shared" si="5"/>
        <v>3</v>
      </c>
      <c r="D171" s="12" t="s">
        <v>42</v>
      </c>
      <c r="E171" t="s">
        <v>44</v>
      </c>
      <c r="F171" t="s">
        <v>56</v>
      </c>
      <c r="J171">
        <v>2</v>
      </c>
      <c r="K171">
        <v>1</v>
      </c>
      <c r="O171">
        <v>4</v>
      </c>
      <c r="P171" s="11">
        <v>60</v>
      </c>
    </row>
    <row r="172" spans="1:16" x14ac:dyDescent="0.4">
      <c r="A172" s="18" t="str">
        <f>IF(D172="","",IF(D172=D171,LEFT(A171,LEN(A171)-2) &amp; RIGHT("00"&amp;COUNTIF($D$2:D172,D172),2),LEFT(A171,LEN(A171)-2)+1 &amp; "01"))</f>
        <v>6204</v>
      </c>
      <c r="B172" s="19">
        <f t="shared" si="4"/>
        <v>62</v>
      </c>
      <c r="C172" s="18">
        <f t="shared" si="5"/>
        <v>4</v>
      </c>
      <c r="D172" s="12" t="s">
        <v>42</v>
      </c>
      <c r="E172" t="s">
        <v>189</v>
      </c>
      <c r="I172" s="11" t="s">
        <v>33</v>
      </c>
      <c r="J172">
        <v>2</v>
      </c>
      <c r="N172" s="11">
        <v>2</v>
      </c>
      <c r="O172">
        <v>2</v>
      </c>
      <c r="P172" s="11">
        <v>120</v>
      </c>
    </row>
    <row r="173" spans="1:16" x14ac:dyDescent="0.4">
      <c r="A173" s="18" t="str">
        <f>IF(D173="","",IF(D173=D172,LEFT(A172,LEN(A172)-2) &amp; RIGHT("00"&amp;COUNTIF($D$2:D173,D173),2),LEFT(A172,LEN(A172)-2)+1 &amp; "01"))</f>
        <v>6205</v>
      </c>
      <c r="B173" s="19">
        <f t="shared" si="4"/>
        <v>62</v>
      </c>
      <c r="C173" s="18">
        <f t="shared" si="5"/>
        <v>5</v>
      </c>
      <c r="D173" s="12" t="s">
        <v>42</v>
      </c>
      <c r="E173" t="s">
        <v>190</v>
      </c>
      <c r="I173" s="11" t="s">
        <v>71</v>
      </c>
      <c r="J173">
        <v>2</v>
      </c>
      <c r="N173" s="11">
        <v>2</v>
      </c>
      <c r="O173">
        <v>2</v>
      </c>
      <c r="P173" s="11">
        <v>60</v>
      </c>
    </row>
    <row r="174" spans="1:16" x14ac:dyDescent="0.4">
      <c r="A174" s="18" t="str">
        <f>IF(D174="","",IF(D174=D173,LEFT(A173,LEN(A173)-2) &amp; RIGHT("00"&amp;COUNTIF($D$2:D174,D174),2),LEFT(A173,LEN(A173)-2)+1 &amp; "01"))</f>
        <v>6206</v>
      </c>
      <c r="B174" s="19">
        <f t="shared" si="4"/>
        <v>62</v>
      </c>
      <c r="C174" s="18">
        <f t="shared" si="5"/>
        <v>6</v>
      </c>
      <c r="D174" s="12" t="s">
        <v>42</v>
      </c>
      <c r="E174" t="s">
        <v>191</v>
      </c>
      <c r="I174" s="11" t="s">
        <v>72</v>
      </c>
      <c r="J174">
        <v>2</v>
      </c>
      <c r="N174" s="11">
        <v>2</v>
      </c>
      <c r="O174">
        <v>2</v>
      </c>
      <c r="P174" s="11">
        <v>60</v>
      </c>
    </row>
    <row r="175" spans="1:16" x14ac:dyDescent="0.4">
      <c r="A175" s="18" t="str">
        <f>IF(D175="","",IF(D175=D174,LEFT(A174,LEN(A174)-2) &amp; RIGHT("00"&amp;COUNTIF($D$2:D175,D175),2),LEFT(A174,LEN(A174)-2)+1 &amp; "01"))</f>
        <v>6207</v>
      </c>
      <c r="B175" s="19">
        <f t="shared" si="4"/>
        <v>62</v>
      </c>
      <c r="C175" s="18">
        <f t="shared" si="5"/>
        <v>7</v>
      </c>
      <c r="D175" s="12" t="s">
        <v>42</v>
      </c>
      <c r="E175" t="s">
        <v>192</v>
      </c>
      <c r="I175" s="11" t="s">
        <v>73</v>
      </c>
      <c r="J175">
        <v>2</v>
      </c>
      <c r="N175" s="11">
        <v>2</v>
      </c>
      <c r="O175">
        <v>2</v>
      </c>
      <c r="P175" s="11">
        <v>20</v>
      </c>
    </row>
    <row r="176" spans="1:16" x14ac:dyDescent="0.4">
      <c r="A176" s="18" t="str">
        <f>IF(D176="","",IF(D176=D175,LEFT(A175,LEN(A175)-2) &amp; RIGHT("00"&amp;COUNTIF($D$2:D176,D176),2),LEFT(A175,LEN(A175)-2)+1 &amp; "01"))</f>
        <v>6208</v>
      </c>
      <c r="B176" s="19">
        <f t="shared" si="4"/>
        <v>62</v>
      </c>
      <c r="C176" s="18">
        <f t="shared" si="5"/>
        <v>8</v>
      </c>
      <c r="D176" s="12" t="s">
        <v>42</v>
      </c>
      <c r="E176" t="s">
        <v>193</v>
      </c>
      <c r="I176" s="11" t="s">
        <v>43</v>
      </c>
      <c r="J176">
        <v>1</v>
      </c>
      <c r="N176" s="11">
        <v>1</v>
      </c>
      <c r="O176">
        <v>1</v>
      </c>
      <c r="P176" s="11">
        <v>60</v>
      </c>
    </row>
    <row r="177" spans="1:16" x14ac:dyDescent="0.4">
      <c r="A177" s="18" t="str">
        <f>IF(D177="","",IF(D177=D176,LEFT(A176,LEN(A176)-2) &amp; RIGHT("00"&amp;COUNTIF($D$2:D177,D177),2),LEFT(A176,LEN(A176)-2)+1 &amp; "01"))</f>
        <v>6209</v>
      </c>
      <c r="B177" s="19">
        <f t="shared" si="4"/>
        <v>62</v>
      </c>
      <c r="C177" s="18">
        <f t="shared" si="5"/>
        <v>9</v>
      </c>
      <c r="D177" s="12" t="s">
        <v>42</v>
      </c>
      <c r="E177" t="s">
        <v>194</v>
      </c>
      <c r="I177" s="11" t="s">
        <v>40</v>
      </c>
      <c r="J177">
        <v>2</v>
      </c>
      <c r="N177" s="11">
        <v>2</v>
      </c>
      <c r="O177">
        <v>2</v>
      </c>
      <c r="P177" s="11">
        <v>120</v>
      </c>
    </row>
    <row r="178" spans="1:16" x14ac:dyDescent="0.4">
      <c r="A178" s="18" t="str">
        <f>IF(D178="","",IF(D178=D177,LEFT(A177,LEN(A177)-2) &amp; RIGHT("00"&amp;COUNTIF($D$2:D178,D178),2),LEFT(A177,LEN(A177)-2)+1 &amp; "01"))</f>
        <v>6210</v>
      </c>
      <c r="B178" s="19">
        <f t="shared" si="4"/>
        <v>62</v>
      </c>
      <c r="C178" s="18">
        <f t="shared" si="5"/>
        <v>10</v>
      </c>
      <c r="D178" s="12" t="s">
        <v>42</v>
      </c>
      <c r="E178" t="s">
        <v>195</v>
      </c>
      <c r="I178" s="11" t="s">
        <v>196</v>
      </c>
      <c r="J178">
        <v>2</v>
      </c>
      <c r="N178" s="11">
        <v>2</v>
      </c>
      <c r="O178">
        <v>2</v>
      </c>
      <c r="P178" s="11">
        <v>60</v>
      </c>
    </row>
    <row r="179" spans="1:16" x14ac:dyDescent="0.4">
      <c r="A179" s="18" t="str">
        <f>IF(D179="","",IF(D179=D178,LEFT(A178,LEN(A178)-2) &amp; RIGHT("00"&amp;COUNTIF($D$2:D179,D179),2),LEFT(A178,LEN(A178)-2)+1 &amp; "01"))</f>
        <v>6211</v>
      </c>
      <c r="B179" s="19">
        <f t="shared" si="4"/>
        <v>62</v>
      </c>
      <c r="C179" s="18">
        <f t="shared" si="5"/>
        <v>11</v>
      </c>
      <c r="D179" s="12" t="s">
        <v>42</v>
      </c>
      <c r="E179" t="s">
        <v>70</v>
      </c>
      <c r="I179" s="11" t="s">
        <v>74</v>
      </c>
      <c r="J179">
        <v>2</v>
      </c>
      <c r="N179" s="11">
        <v>2</v>
      </c>
      <c r="O179">
        <v>2</v>
      </c>
      <c r="P179" s="11">
        <v>20</v>
      </c>
    </row>
    <row r="180" spans="1:16" x14ac:dyDescent="0.4">
      <c r="A180" s="18" t="str">
        <f>IF(D180="","",IF(D180=D179,LEFT(A179,LEN(A179)-2) &amp; RIGHT("00"&amp;COUNTIF($D$2:D180,D180),2),LEFT(A179,LEN(A179)-2)+1 &amp; "01"))</f>
        <v>6301</v>
      </c>
      <c r="B180" s="19">
        <f t="shared" si="4"/>
        <v>63</v>
      </c>
      <c r="C180" s="18">
        <f t="shared" si="5"/>
        <v>1</v>
      </c>
      <c r="D180" s="12" t="s">
        <v>197</v>
      </c>
      <c r="E180" t="s">
        <v>42</v>
      </c>
      <c r="F180" t="s">
        <v>33</v>
      </c>
      <c r="J180">
        <v>2</v>
      </c>
      <c r="K180">
        <v>2</v>
      </c>
      <c r="O180">
        <v>2</v>
      </c>
      <c r="P180" s="11">
        <v>60</v>
      </c>
    </row>
    <row r="181" spans="1:16" x14ac:dyDescent="0.4">
      <c r="A181" s="18" t="str">
        <f>IF(D181="","",IF(D181=D180,LEFT(A180,LEN(A180)-2) &amp; RIGHT("00"&amp;COUNTIF($D$2:D181,D181),2),LEFT(A180,LEN(A180)-2)+1 &amp; "01"))</f>
        <v>6401</v>
      </c>
      <c r="B181" s="19">
        <f t="shared" si="4"/>
        <v>64</v>
      </c>
      <c r="C181" s="18">
        <f t="shared" si="5"/>
        <v>1</v>
      </c>
      <c r="D181" s="12" t="s">
        <v>190</v>
      </c>
      <c r="E181" t="s">
        <v>42</v>
      </c>
      <c r="F181" t="s">
        <v>71</v>
      </c>
      <c r="J181">
        <v>2</v>
      </c>
      <c r="K181">
        <v>2</v>
      </c>
      <c r="O181">
        <v>2</v>
      </c>
      <c r="P181" s="11">
        <v>30</v>
      </c>
    </row>
    <row r="182" spans="1:16" x14ac:dyDescent="0.4">
      <c r="A182" s="18" t="str">
        <f>IF(D182="","",IF(D182=D181,LEFT(A181,LEN(A181)-2) &amp; RIGHT("00"&amp;COUNTIF($D$2:D182,D182),2),LEFT(A181,LEN(A181)-2)+1 &amp; "01"))</f>
        <v>6501</v>
      </c>
      <c r="B182" s="19">
        <f t="shared" si="4"/>
        <v>65</v>
      </c>
      <c r="C182" s="18">
        <f t="shared" si="5"/>
        <v>1</v>
      </c>
      <c r="D182" s="12" t="s">
        <v>191</v>
      </c>
      <c r="E182" t="s">
        <v>42</v>
      </c>
      <c r="F182" t="s">
        <v>72</v>
      </c>
      <c r="J182">
        <v>2</v>
      </c>
      <c r="K182">
        <v>2</v>
      </c>
      <c r="O182">
        <v>2</v>
      </c>
      <c r="P182" s="11">
        <v>40</v>
      </c>
    </row>
    <row r="183" spans="1:16" x14ac:dyDescent="0.4">
      <c r="A183" s="18" t="str">
        <f>IF(D183="","",IF(D183=D182,LEFT(A182,LEN(A182)-2) &amp; RIGHT("00"&amp;COUNTIF($D$2:D183,D183),2),LEFT(A182,LEN(A182)-2)+1 &amp; "01"))</f>
        <v>6502</v>
      </c>
      <c r="B183" s="19">
        <f t="shared" si="4"/>
        <v>65</v>
      </c>
      <c r="C183" s="18">
        <f t="shared" si="5"/>
        <v>2</v>
      </c>
      <c r="D183" s="12" t="s">
        <v>191</v>
      </c>
      <c r="E183" t="s">
        <v>73</v>
      </c>
      <c r="F183" t="s">
        <v>198</v>
      </c>
      <c r="J183">
        <v>1</v>
      </c>
      <c r="K183">
        <v>2</v>
      </c>
      <c r="O183">
        <v>2</v>
      </c>
      <c r="P183" s="11">
        <v>60</v>
      </c>
    </row>
    <row r="184" spans="1:16" x14ac:dyDescent="0.4">
      <c r="A184" s="18" t="str">
        <f>IF(D184="","",IF(D184=D183,LEFT(A183,LEN(A183)-2) &amp; RIGHT("00"&amp;COUNTIF($D$2:D184,D184),2),LEFT(A183,LEN(A183)-2)+1 &amp; "01"))</f>
        <v>6601</v>
      </c>
      <c r="B184" s="19">
        <f t="shared" si="4"/>
        <v>66</v>
      </c>
      <c r="C184" s="18">
        <f t="shared" si="5"/>
        <v>1</v>
      </c>
      <c r="D184" s="12" t="s">
        <v>192</v>
      </c>
      <c r="E184" t="s">
        <v>42</v>
      </c>
      <c r="F184" t="s">
        <v>73</v>
      </c>
      <c r="J184">
        <v>2</v>
      </c>
      <c r="K184">
        <v>2</v>
      </c>
      <c r="O184">
        <v>2</v>
      </c>
      <c r="P184" s="11">
        <v>30</v>
      </c>
    </row>
    <row r="185" spans="1:16" x14ac:dyDescent="0.4">
      <c r="A185" s="18" t="str">
        <f>IF(D185="","",IF(D185=D184,LEFT(A184,LEN(A184)-2) &amp; RIGHT("00"&amp;COUNTIF($D$2:D185,D185),2),LEFT(A184,LEN(A184)-2)+1 &amp; "01"))</f>
        <v>6701</v>
      </c>
      <c r="B185" s="19">
        <f t="shared" si="4"/>
        <v>67</v>
      </c>
      <c r="C185" s="18">
        <f t="shared" si="5"/>
        <v>1</v>
      </c>
      <c r="D185" s="12" t="s">
        <v>195</v>
      </c>
      <c r="E185" t="s">
        <v>42</v>
      </c>
      <c r="F185" t="s">
        <v>196</v>
      </c>
      <c r="J185">
        <v>2</v>
      </c>
      <c r="K185">
        <v>2</v>
      </c>
      <c r="O185">
        <v>2</v>
      </c>
      <c r="P185" s="11">
        <v>40</v>
      </c>
    </row>
    <row r="186" spans="1:16" x14ac:dyDescent="0.4">
      <c r="A186" s="18" t="str">
        <f>IF(D186="","",IF(D186=D185,LEFT(A185,LEN(A185)-2) &amp; RIGHT("00"&amp;COUNTIF($D$2:D186,D186),2),LEFT(A185,LEN(A185)-2)+1 &amp; "01"))</f>
        <v>6801</v>
      </c>
      <c r="B186" s="19">
        <f t="shared" si="4"/>
        <v>68</v>
      </c>
      <c r="C186" s="18">
        <f t="shared" si="5"/>
        <v>1</v>
      </c>
      <c r="D186" s="12" t="s">
        <v>196</v>
      </c>
      <c r="E186" t="s">
        <v>183</v>
      </c>
      <c r="F186" t="s">
        <v>199</v>
      </c>
      <c r="J186">
        <v>6</v>
      </c>
      <c r="K186">
        <v>3</v>
      </c>
      <c r="O186">
        <v>4</v>
      </c>
      <c r="P186" s="11">
        <v>60</v>
      </c>
    </row>
    <row r="187" spans="1:16" x14ac:dyDescent="0.4">
      <c r="A187" s="18" t="str">
        <f>IF(D187="","",IF(D187=D186,LEFT(A186,LEN(A186)-2) &amp; RIGHT("00"&amp;COUNTIF($D$2:D187,D187),2),LEFT(A186,LEN(A186)-2)+1 &amp; "01"))</f>
        <v>6802</v>
      </c>
      <c r="B187" s="19">
        <f t="shared" si="4"/>
        <v>68</v>
      </c>
      <c r="C187" s="18">
        <f t="shared" si="5"/>
        <v>2</v>
      </c>
      <c r="D187" s="12" t="s">
        <v>196</v>
      </c>
      <c r="E187" t="s">
        <v>200</v>
      </c>
      <c r="I187" s="11" t="s">
        <v>201</v>
      </c>
      <c r="J187">
        <v>2</v>
      </c>
      <c r="N187" s="11">
        <v>2</v>
      </c>
      <c r="O187">
        <v>2</v>
      </c>
      <c r="P187" s="11">
        <v>60</v>
      </c>
    </row>
    <row r="188" spans="1:16" x14ac:dyDescent="0.4">
      <c r="A188" s="18" t="str">
        <f>IF(D188="","",IF(D188=D187,LEFT(A187,LEN(A187)-2) &amp; RIGHT("00"&amp;COUNTIF($D$2:D188,D188),2),LEFT(A187,LEN(A187)-2)+1 &amp; "01"))</f>
        <v>6901</v>
      </c>
      <c r="B188" s="19">
        <f t="shared" si="4"/>
        <v>69</v>
      </c>
      <c r="C188" s="18">
        <f t="shared" si="5"/>
        <v>1</v>
      </c>
      <c r="D188" s="12" t="s">
        <v>75</v>
      </c>
      <c r="E188" t="s">
        <v>34</v>
      </c>
      <c r="F188" t="s">
        <v>67</v>
      </c>
      <c r="J188">
        <v>5</v>
      </c>
      <c r="K188">
        <v>5</v>
      </c>
      <c r="O188">
        <v>5</v>
      </c>
      <c r="P188" s="11">
        <v>25</v>
      </c>
    </row>
    <row r="189" spans="1:16" x14ac:dyDescent="0.4">
      <c r="A189" s="18" t="str">
        <f>IF(D189="","",IF(D189=D188,LEFT(A188,LEN(A188)-2) &amp; RIGHT("00"&amp;COUNTIF($D$2:D189,D189),2),LEFT(A188,LEN(A188)-2)+1 &amp; "01"))</f>
        <v>6902</v>
      </c>
      <c r="B189" s="19">
        <f t="shared" si="4"/>
        <v>69</v>
      </c>
      <c r="C189" s="18">
        <f t="shared" si="5"/>
        <v>2</v>
      </c>
      <c r="D189" s="12" t="s">
        <v>75</v>
      </c>
      <c r="E189" t="s">
        <v>202</v>
      </c>
      <c r="F189" t="s">
        <v>106</v>
      </c>
      <c r="I189" s="11" t="s">
        <v>203</v>
      </c>
      <c r="J189">
        <v>6</v>
      </c>
      <c r="K189">
        <v>1</v>
      </c>
      <c r="N189" s="11">
        <v>10</v>
      </c>
      <c r="O189">
        <v>1</v>
      </c>
      <c r="P189" s="11">
        <v>10</v>
      </c>
    </row>
    <row r="190" spans="1:16" x14ac:dyDescent="0.4">
      <c r="A190" s="18" t="str">
        <f>IF(D190="","",IF(D190=D189,LEFT(A189,LEN(A189)-2) &amp; RIGHT("00"&amp;COUNTIF($D$2:D190,D190),2),LEFT(A189,LEN(A189)-2)+1 &amp; "01"))</f>
        <v>6903</v>
      </c>
      <c r="B190" s="19">
        <f t="shared" si="4"/>
        <v>69</v>
      </c>
      <c r="C190" s="18">
        <f t="shared" si="5"/>
        <v>3</v>
      </c>
      <c r="D190" s="12" t="s">
        <v>75</v>
      </c>
      <c r="E190" t="s">
        <v>204</v>
      </c>
      <c r="F190" t="s">
        <v>205</v>
      </c>
      <c r="G190" t="s">
        <v>67</v>
      </c>
      <c r="H190" t="s">
        <v>206</v>
      </c>
      <c r="I190" s="11" t="s">
        <v>203</v>
      </c>
      <c r="J190">
        <v>4</v>
      </c>
      <c r="K190">
        <v>3</v>
      </c>
      <c r="L190">
        <v>4</v>
      </c>
      <c r="M190">
        <v>2</v>
      </c>
      <c r="N190" s="11">
        <v>6</v>
      </c>
      <c r="O190">
        <v>1</v>
      </c>
      <c r="P190" s="11">
        <v>25</v>
      </c>
    </row>
    <row r="191" spans="1:16" x14ac:dyDescent="0.4">
      <c r="A191" s="18" t="str">
        <f>IF(D191="","",IF(D191=D190,LEFT(A190,LEN(A190)-2) &amp; RIGHT("00"&amp;COUNTIF($D$2:D191,D191),2),LEFT(A190,LEN(A190)-2)+1 &amp; "01"))</f>
        <v>6904</v>
      </c>
      <c r="B191" s="19">
        <f t="shared" si="4"/>
        <v>69</v>
      </c>
      <c r="C191" s="18">
        <f t="shared" si="5"/>
        <v>4</v>
      </c>
      <c r="D191" s="12" t="s">
        <v>75</v>
      </c>
      <c r="E191" t="s">
        <v>203</v>
      </c>
      <c r="F191" t="s">
        <v>172</v>
      </c>
      <c r="I191" s="11" t="s">
        <v>207</v>
      </c>
      <c r="J191">
        <v>16</v>
      </c>
      <c r="K191">
        <v>1</v>
      </c>
      <c r="N191" s="11">
        <v>16</v>
      </c>
      <c r="O191">
        <v>2</v>
      </c>
      <c r="P191" s="11">
        <v>5</v>
      </c>
    </row>
    <row r="192" spans="1:16" x14ac:dyDescent="0.4">
      <c r="A192" s="18" t="str">
        <f>IF(D192="","",IF(D192=D191,LEFT(A191,LEN(A191)-2) &amp; RIGHT("00"&amp;COUNTIF($D$2:D192,D192),2),LEFT(A191,LEN(A191)-2)+1 &amp; "01"))</f>
        <v>6905</v>
      </c>
      <c r="B192" s="19">
        <f t="shared" si="4"/>
        <v>69</v>
      </c>
      <c r="C192" s="18">
        <f t="shared" si="5"/>
        <v>5</v>
      </c>
      <c r="D192" s="12" t="s">
        <v>75</v>
      </c>
      <c r="E192" t="s">
        <v>208</v>
      </c>
      <c r="F192" t="s">
        <v>180</v>
      </c>
      <c r="I192" s="11" t="s">
        <v>207</v>
      </c>
      <c r="J192">
        <v>12</v>
      </c>
      <c r="K192">
        <v>4</v>
      </c>
      <c r="N192" s="11">
        <v>10</v>
      </c>
      <c r="O192">
        <v>2</v>
      </c>
      <c r="P192" s="11">
        <v>40</v>
      </c>
    </row>
    <row r="193" spans="1:16" x14ac:dyDescent="0.4">
      <c r="A193" s="18" t="str">
        <f>IF(D193="","",IF(D193=D192,LEFT(A192,LEN(A192)-2) &amp; RIGHT("00"&amp;COUNTIF($D$2:D193,D193),2),LEFT(A192,LEN(A192)-2)+1 &amp; "01"))</f>
        <v>7001</v>
      </c>
      <c r="B193" s="19">
        <f t="shared" si="4"/>
        <v>70</v>
      </c>
      <c r="C193" s="18">
        <f t="shared" si="5"/>
        <v>1</v>
      </c>
      <c r="D193" s="12" t="s">
        <v>58</v>
      </c>
      <c r="E193" t="s">
        <v>90</v>
      </c>
      <c r="F193" t="s">
        <v>48</v>
      </c>
      <c r="G193" t="s">
        <v>45</v>
      </c>
      <c r="J193">
        <v>4</v>
      </c>
      <c r="K193">
        <v>8</v>
      </c>
      <c r="L193">
        <v>16</v>
      </c>
      <c r="O193">
        <v>1</v>
      </c>
      <c r="P193" s="11">
        <v>2.5</v>
      </c>
    </row>
    <row r="194" spans="1:16" x14ac:dyDescent="0.4">
      <c r="A194" s="18" t="str">
        <f>IF(D194="","",IF(D194=D193,LEFT(A193,LEN(A193)-2) &amp; RIGHT("00"&amp;COUNTIF($D$2:D194,D194),2),LEFT(A193,LEN(A193)-2)+1 &amp; "01"))</f>
        <v>7002</v>
      </c>
      <c r="B194" s="19">
        <f t="shared" si="4"/>
        <v>70</v>
      </c>
      <c r="C194" s="18">
        <f t="shared" si="5"/>
        <v>2</v>
      </c>
      <c r="D194" s="12" t="s">
        <v>58</v>
      </c>
      <c r="E194" t="s">
        <v>90</v>
      </c>
      <c r="F194" t="s">
        <v>93</v>
      </c>
      <c r="G194" t="s">
        <v>49</v>
      </c>
      <c r="J194">
        <v>4</v>
      </c>
      <c r="K194">
        <v>14</v>
      </c>
      <c r="L194">
        <v>6</v>
      </c>
      <c r="O194">
        <v>1</v>
      </c>
      <c r="P194" s="11">
        <v>3.75</v>
      </c>
    </row>
    <row r="195" spans="1:16" x14ac:dyDescent="0.4">
      <c r="A195" s="18" t="str">
        <f>IF(D195="","",IF(D195=D194,LEFT(A194,LEN(A194)-2) &amp; RIGHT("00"&amp;COUNTIF($D$2:D195,D195),2),LEFT(A194,LEN(A194)-2)+1 &amp; "01"))</f>
        <v>7003</v>
      </c>
      <c r="B195" s="19">
        <f t="shared" ref="B195:B258" si="6">IFERROR(VALUE(LEFT(A195,LEN(A195)-2)),"")</f>
        <v>70</v>
      </c>
      <c r="C195" s="18">
        <f t="shared" ref="C195:C258" si="7">IFERROR(VALUE( RIGHT(A195,2)),"")</f>
        <v>3</v>
      </c>
      <c r="D195" s="12" t="s">
        <v>58</v>
      </c>
      <c r="E195" t="s">
        <v>90</v>
      </c>
      <c r="F195" t="s">
        <v>96</v>
      </c>
      <c r="J195">
        <v>3</v>
      </c>
      <c r="K195">
        <v>1</v>
      </c>
      <c r="O195">
        <v>2</v>
      </c>
      <c r="P195" s="11">
        <v>3.3330000000000002</v>
      </c>
    </row>
    <row r="196" spans="1:16" x14ac:dyDescent="0.4">
      <c r="A196" s="18" t="str">
        <f>IF(D196="","",IF(D196=D195,LEFT(A195,LEN(A195)-2) &amp; RIGHT("00"&amp;COUNTIF($D$2:D196,D196),2),LEFT(A195,LEN(A195)-2)+1 &amp; "01"))</f>
        <v>7101</v>
      </c>
      <c r="B196" s="19">
        <f t="shared" si="6"/>
        <v>71</v>
      </c>
      <c r="C196" s="18">
        <f t="shared" si="7"/>
        <v>1</v>
      </c>
      <c r="D196" s="12" t="s">
        <v>81</v>
      </c>
      <c r="E196" t="s">
        <v>9</v>
      </c>
      <c r="F196" t="s">
        <v>64</v>
      </c>
      <c r="G196" t="s">
        <v>76</v>
      </c>
      <c r="H196" t="s">
        <v>51</v>
      </c>
      <c r="J196">
        <v>5</v>
      </c>
      <c r="K196">
        <v>20</v>
      </c>
      <c r="L196">
        <v>5</v>
      </c>
      <c r="M196">
        <v>120</v>
      </c>
      <c r="O196">
        <v>1</v>
      </c>
      <c r="P196" s="11">
        <v>2</v>
      </c>
    </row>
    <row r="197" spans="1:16" x14ac:dyDescent="0.4">
      <c r="A197" s="18" t="str">
        <f>IF(D197="","",IF(D197=D196,LEFT(A196,LEN(A196)-2) &amp; RIGHT("00"&amp;COUNTIF($D$2:D197,D197),2),LEFT(A196,LEN(A196)-2)+1 &amp; "01"))</f>
        <v>7102</v>
      </c>
      <c r="B197" s="19">
        <f t="shared" si="6"/>
        <v>71</v>
      </c>
      <c r="C197" s="18">
        <f t="shared" si="7"/>
        <v>2</v>
      </c>
      <c r="D197" s="12" t="s">
        <v>81</v>
      </c>
      <c r="E197" t="s">
        <v>9</v>
      </c>
      <c r="F197" t="s">
        <v>76</v>
      </c>
      <c r="G197" t="s">
        <v>64</v>
      </c>
      <c r="H197" t="s">
        <v>50</v>
      </c>
      <c r="J197">
        <v>8</v>
      </c>
      <c r="K197">
        <v>10</v>
      </c>
      <c r="L197">
        <v>36</v>
      </c>
      <c r="M197">
        <v>22</v>
      </c>
      <c r="O197">
        <v>3</v>
      </c>
      <c r="P197" s="11">
        <v>2.8119999999999998</v>
      </c>
    </row>
    <row r="198" spans="1:16" x14ac:dyDescent="0.4">
      <c r="A198" s="18" t="str">
        <f>IF(D198="","",IF(D198=D197,LEFT(A197,LEN(A197)-2) &amp; RIGHT("00"&amp;COUNTIF($D$2:D198,D198),2),LEFT(A197,LEN(A197)-2)+1 &amp; "01"))</f>
        <v>7103</v>
      </c>
      <c r="B198" s="19">
        <f t="shared" si="6"/>
        <v>71</v>
      </c>
      <c r="C198" s="18">
        <f t="shared" si="7"/>
        <v>3</v>
      </c>
      <c r="D198" s="12" t="s">
        <v>81</v>
      </c>
      <c r="E198" t="s">
        <v>9</v>
      </c>
      <c r="F198" t="s">
        <v>76</v>
      </c>
      <c r="G198" t="s">
        <v>49</v>
      </c>
      <c r="H198" t="s">
        <v>51</v>
      </c>
      <c r="J198">
        <v>5</v>
      </c>
      <c r="K198">
        <v>3</v>
      </c>
      <c r="L198">
        <v>20</v>
      </c>
      <c r="M198">
        <v>104</v>
      </c>
      <c r="O198">
        <v>1</v>
      </c>
      <c r="P198" s="11">
        <v>3.75</v>
      </c>
    </row>
    <row r="199" spans="1:16" x14ac:dyDescent="0.4">
      <c r="A199" s="18" t="str">
        <f>IF(D199="","",IF(D199=D198,LEFT(A198,LEN(A198)-2) &amp; RIGHT("00"&amp;COUNTIF($D$2:D199,D199),2),LEFT(A198,LEN(A198)-2)+1 &amp; "01"))</f>
        <v>7201</v>
      </c>
      <c r="B199" s="19">
        <f t="shared" si="6"/>
        <v>72</v>
      </c>
      <c r="C199" s="18">
        <f t="shared" si="7"/>
        <v>1</v>
      </c>
      <c r="D199" s="12" t="s">
        <v>91</v>
      </c>
      <c r="E199" t="s">
        <v>79</v>
      </c>
      <c r="F199" t="s">
        <v>49</v>
      </c>
      <c r="G199" t="s">
        <v>65</v>
      </c>
      <c r="J199">
        <v>2</v>
      </c>
      <c r="K199">
        <v>15</v>
      </c>
      <c r="L199">
        <v>2</v>
      </c>
      <c r="O199">
        <v>1</v>
      </c>
      <c r="P199" s="11">
        <v>1</v>
      </c>
    </row>
    <row r="200" spans="1:16" x14ac:dyDescent="0.4">
      <c r="A200" s="18" t="str">
        <f>IF(D200="","",IF(D200=D199,LEFT(A199,LEN(A199)-2) &amp; RIGHT("00"&amp;COUNTIF($D$2:D200,D200),2),LEFT(A199,LEN(A199)-2)+1 &amp; "01"))</f>
        <v>7301</v>
      </c>
      <c r="B200" s="19">
        <f t="shared" si="6"/>
        <v>73</v>
      </c>
      <c r="C200" s="18">
        <f t="shared" si="7"/>
        <v>1</v>
      </c>
      <c r="D200" s="12" t="s">
        <v>92</v>
      </c>
      <c r="E200" t="s">
        <v>80</v>
      </c>
      <c r="F200" t="s">
        <v>90</v>
      </c>
      <c r="G200" t="s">
        <v>81</v>
      </c>
      <c r="H200" t="s">
        <v>58</v>
      </c>
      <c r="J200">
        <v>5</v>
      </c>
      <c r="K200">
        <v>5</v>
      </c>
      <c r="L200">
        <v>1</v>
      </c>
      <c r="M200">
        <v>2</v>
      </c>
      <c r="O200">
        <v>1</v>
      </c>
      <c r="P200" s="11">
        <v>1</v>
      </c>
    </row>
    <row r="201" spans="1:16" x14ac:dyDescent="0.4">
      <c r="A201" s="18" t="str">
        <f>IF(D201="","",IF(D201=D200,LEFT(A200,LEN(A200)-2) &amp; RIGHT("00"&amp;COUNTIF($D$2:D201,D201),2),LEFT(A200,LEN(A200)-2)+1 &amp; "01"))</f>
        <v>7401</v>
      </c>
      <c r="B201" s="19">
        <f t="shared" si="6"/>
        <v>74</v>
      </c>
      <c r="C201" s="18">
        <f t="shared" si="7"/>
        <v>1</v>
      </c>
      <c r="D201" s="12" t="s">
        <v>251</v>
      </c>
      <c r="O201">
        <v>1</v>
      </c>
      <c r="P201" s="11">
        <v>1</v>
      </c>
    </row>
    <row r="202" spans="1:16" x14ac:dyDescent="0.4">
      <c r="A202" s="18" t="str">
        <f>IF(D202="","",IF(D202=D201,LEFT(A201,LEN(A201)-2) &amp; RIGHT("00"&amp;COUNTIF($D$2:D202,D202),2),LEFT(A201,LEN(A201)-2)+1 &amp; "01"))</f>
        <v>7501</v>
      </c>
      <c r="B202" s="19">
        <f t="shared" si="6"/>
        <v>75</v>
      </c>
      <c r="C202" s="18">
        <f t="shared" si="7"/>
        <v>1</v>
      </c>
      <c r="D202" s="12" t="s">
        <v>209</v>
      </c>
      <c r="E202" t="s">
        <v>162</v>
      </c>
      <c r="F202" t="s">
        <v>159</v>
      </c>
      <c r="J202">
        <v>1</v>
      </c>
      <c r="K202">
        <v>5</v>
      </c>
      <c r="O202">
        <v>1</v>
      </c>
      <c r="P202" s="11">
        <v>15</v>
      </c>
    </row>
    <row r="203" spans="1:16" x14ac:dyDescent="0.4">
      <c r="A203" s="18" t="str">
        <f>IF(D203="","",IF(D203=D202,LEFT(A202,LEN(A202)-2) &amp; RIGHT("00"&amp;COUNTIF($D$2:D203,D203),2),LEFT(A202,LEN(A202)-2)+1 &amp; "01"))</f>
        <v>7502</v>
      </c>
      <c r="B203" s="19">
        <f t="shared" si="6"/>
        <v>75</v>
      </c>
      <c r="C203" s="18">
        <f t="shared" si="7"/>
        <v>2</v>
      </c>
      <c r="D203" s="12" t="s">
        <v>209</v>
      </c>
      <c r="E203" t="s">
        <v>89</v>
      </c>
      <c r="F203" t="s">
        <v>199</v>
      </c>
      <c r="J203">
        <v>1</v>
      </c>
      <c r="K203">
        <v>1</v>
      </c>
      <c r="O203">
        <v>1</v>
      </c>
      <c r="P203" s="11">
        <v>30</v>
      </c>
    </row>
    <row r="204" spans="1:16" x14ac:dyDescent="0.4">
      <c r="A204" s="18" t="str">
        <f>IF(D204="","",IF(D204=D203,LEFT(A203,LEN(A203)-2) &amp; RIGHT("00"&amp;COUNTIF($D$2:D204,D204),2),LEFT(A203,LEN(A203)-2)+1 &amp; "01"))</f>
        <v>7601</v>
      </c>
      <c r="B204" s="19">
        <f t="shared" si="6"/>
        <v>76</v>
      </c>
      <c r="C204" s="18">
        <f t="shared" si="7"/>
        <v>1</v>
      </c>
      <c r="D204" s="12" t="s">
        <v>210</v>
      </c>
      <c r="E204" t="s">
        <v>209</v>
      </c>
      <c r="F204" t="s">
        <v>206</v>
      </c>
      <c r="G204" t="s">
        <v>44</v>
      </c>
      <c r="J204">
        <v>2</v>
      </c>
      <c r="K204">
        <v>4</v>
      </c>
      <c r="L204">
        <v>2</v>
      </c>
      <c r="O204">
        <v>1</v>
      </c>
      <c r="P204" s="11">
        <v>7.5</v>
      </c>
    </row>
    <row r="205" spans="1:16" x14ac:dyDescent="0.4">
      <c r="A205" s="18" t="str">
        <f>IF(D205="","",IF(D205=D204,LEFT(A204,LEN(A204)-2) &amp; RIGHT("00"&amp;COUNTIF($D$2:D205,D205),2),LEFT(A204,LEN(A204)-2)+1 &amp; "01"))</f>
        <v>7701</v>
      </c>
      <c r="B205" s="19">
        <f t="shared" si="6"/>
        <v>77</v>
      </c>
      <c r="C205" s="18">
        <f t="shared" si="7"/>
        <v>1</v>
      </c>
      <c r="D205" s="12" t="s">
        <v>211</v>
      </c>
      <c r="E205" t="s">
        <v>163</v>
      </c>
      <c r="J205">
        <v>1</v>
      </c>
      <c r="O205">
        <v>1</v>
      </c>
      <c r="P205" s="11">
        <v>10</v>
      </c>
    </row>
    <row r="206" spans="1:16" x14ac:dyDescent="0.4">
      <c r="A206" s="18" t="str">
        <f>IF(D206="","",IF(D206=D205,LEFT(A205,LEN(A205)-2) &amp; RIGHT("00"&amp;COUNTIF($D$2:D206,D206),2),LEFT(A205,LEN(A205)-2)+1 &amp; "01"))</f>
        <v>7801</v>
      </c>
      <c r="B206" s="19">
        <f t="shared" si="6"/>
        <v>78</v>
      </c>
      <c r="C206" s="18">
        <f t="shared" si="7"/>
        <v>1</v>
      </c>
      <c r="D206" s="12" t="s">
        <v>61</v>
      </c>
      <c r="E206" t="s">
        <v>93</v>
      </c>
      <c r="F206" t="s">
        <v>48</v>
      </c>
      <c r="G206" t="s">
        <v>90</v>
      </c>
      <c r="J206">
        <v>56</v>
      </c>
      <c r="K206">
        <v>10</v>
      </c>
      <c r="L206">
        <v>1</v>
      </c>
      <c r="O206">
        <v>1</v>
      </c>
      <c r="P206" s="11">
        <v>3.75</v>
      </c>
    </row>
    <row r="207" spans="1:16" x14ac:dyDescent="0.4">
      <c r="A207" s="18" t="str">
        <f>IF(D207="","",IF(D207=D206,LEFT(A206,LEN(A206)-2) &amp; RIGHT("00"&amp;COUNTIF($D$2:D207,D207),2),LEFT(A206,LEN(A206)-2)+1 &amp; "01"))</f>
        <v>7802</v>
      </c>
      <c r="B207" s="19">
        <f t="shared" si="6"/>
        <v>78</v>
      </c>
      <c r="C207" s="18">
        <f t="shared" si="7"/>
        <v>2</v>
      </c>
      <c r="D207" s="12" t="s">
        <v>61</v>
      </c>
      <c r="E207" t="s">
        <v>93</v>
      </c>
      <c r="F207" t="s">
        <v>39</v>
      </c>
      <c r="G207" t="s">
        <v>90</v>
      </c>
      <c r="J207">
        <v>60</v>
      </c>
      <c r="K207">
        <v>25</v>
      </c>
      <c r="L207">
        <v>2</v>
      </c>
      <c r="O207">
        <v>2</v>
      </c>
      <c r="P207" s="11">
        <v>3</v>
      </c>
    </row>
    <row r="208" spans="1:16" x14ac:dyDescent="0.4">
      <c r="A208" s="18" t="str">
        <f>IF(D208="","",IF(D208=D207,LEFT(A207,LEN(A207)-2) &amp; RIGHT("00"&amp;COUNTIF($D$2:D208,D208),2),LEFT(A207,LEN(A207)-2)+1 &amp; "01"))</f>
        <v>7901</v>
      </c>
      <c r="B208" s="19">
        <f t="shared" si="6"/>
        <v>79</v>
      </c>
      <c r="C208" s="18">
        <f t="shared" si="7"/>
        <v>1</v>
      </c>
      <c r="D208" s="12" t="s">
        <v>103</v>
      </c>
      <c r="E208" t="s">
        <v>101</v>
      </c>
      <c r="F208" t="s">
        <v>73</v>
      </c>
      <c r="J208">
        <v>2</v>
      </c>
      <c r="K208">
        <v>1</v>
      </c>
      <c r="O208">
        <v>2</v>
      </c>
      <c r="P208" s="11">
        <v>20</v>
      </c>
    </row>
    <row r="209" spans="1:16" x14ac:dyDescent="0.4">
      <c r="A209" s="18" t="str">
        <f>IF(D209="","",IF(D209=D208,LEFT(A208,LEN(A208)-2) &amp; RIGHT("00"&amp;COUNTIF($D$2:D209,D209),2),LEFT(A208,LEN(A208)-2)+1 &amp; "01"))</f>
        <v>8001</v>
      </c>
      <c r="B209" s="19">
        <f t="shared" si="6"/>
        <v>80</v>
      </c>
      <c r="C209" s="18">
        <f t="shared" si="7"/>
        <v>1</v>
      </c>
      <c r="D209" s="12" t="s">
        <v>40</v>
      </c>
      <c r="E209" t="s">
        <v>41</v>
      </c>
      <c r="F209" t="s">
        <v>33</v>
      </c>
      <c r="I209" s="11" t="s">
        <v>39</v>
      </c>
      <c r="J209">
        <v>12</v>
      </c>
      <c r="K209">
        <v>18</v>
      </c>
      <c r="N209" s="11">
        <v>5</v>
      </c>
      <c r="O209">
        <v>12</v>
      </c>
      <c r="P209" s="11">
        <v>120</v>
      </c>
    </row>
    <row r="210" spans="1:16" x14ac:dyDescent="0.4">
      <c r="A210" s="18" t="str">
        <f>IF(D210="","",IF(D210=D209,LEFT(A209,LEN(A209)-2) &amp; RIGHT("00"&amp;COUNTIF($D$2:D210,D210),2),LEFT(A209,LEN(A209)-2)+1 &amp; "01"))</f>
        <v>8002</v>
      </c>
      <c r="B210" s="19">
        <f t="shared" si="6"/>
        <v>80</v>
      </c>
      <c r="C210" s="18">
        <f t="shared" si="7"/>
        <v>2</v>
      </c>
      <c r="D210" s="12" t="s">
        <v>40</v>
      </c>
      <c r="E210" t="s">
        <v>41</v>
      </c>
      <c r="F210" t="s">
        <v>33</v>
      </c>
      <c r="J210">
        <v>10</v>
      </c>
      <c r="K210">
        <v>10</v>
      </c>
      <c r="O210">
        <v>12</v>
      </c>
      <c r="P210" s="11">
        <v>240</v>
      </c>
    </row>
    <row r="211" spans="1:16" x14ac:dyDescent="0.4">
      <c r="A211" s="18" t="str">
        <f>IF(D211="","",IF(D211=D210,LEFT(A210,LEN(A210)-2) &amp; RIGHT("00"&amp;COUNTIF($D$2:D211,D211),2),LEFT(A210,LEN(A210)-2)+1 &amp; "01"))</f>
        <v>8003</v>
      </c>
      <c r="B211" s="19">
        <f t="shared" si="6"/>
        <v>80</v>
      </c>
      <c r="C211" s="18">
        <f t="shared" si="7"/>
        <v>3</v>
      </c>
      <c r="D211" s="12" t="s">
        <v>40</v>
      </c>
      <c r="E211" t="s">
        <v>212</v>
      </c>
      <c r="I211" s="11" t="s">
        <v>42</v>
      </c>
      <c r="J211">
        <v>2</v>
      </c>
      <c r="N211" s="11">
        <v>2</v>
      </c>
      <c r="O211">
        <v>2</v>
      </c>
      <c r="P211" s="11">
        <v>120</v>
      </c>
    </row>
    <row r="212" spans="1:16" x14ac:dyDescent="0.4">
      <c r="A212" s="18" t="str">
        <f>IF(D212="","",IF(D212=D211,LEFT(A211,LEN(A211)-2) &amp; RIGHT("00"&amp;COUNTIF($D$2:D212,D212),2),LEFT(A211,LEN(A211)-2)+1 &amp; "01"))</f>
        <v>8101</v>
      </c>
      <c r="B212" s="19">
        <f t="shared" si="6"/>
        <v>81</v>
      </c>
      <c r="C212" s="18">
        <f t="shared" si="7"/>
        <v>1</v>
      </c>
      <c r="D212" s="12" t="s">
        <v>236</v>
      </c>
      <c r="O212">
        <v>1</v>
      </c>
      <c r="P212" s="11">
        <v>1200</v>
      </c>
    </row>
    <row r="213" spans="1:16" x14ac:dyDescent="0.4">
      <c r="A213" s="18" t="str">
        <f>IF(D213="","",IF(D213=D212,LEFT(A212,LEN(A212)-2) &amp; RIGHT("00"&amp;COUNTIF($D$2:D213,D213),2),LEFT(A212,LEN(A212)-2)+1 &amp; "01"))</f>
        <v>8102</v>
      </c>
      <c r="B213" s="19">
        <f t="shared" si="6"/>
        <v>81</v>
      </c>
      <c r="C213" s="18">
        <f t="shared" si="7"/>
        <v>2</v>
      </c>
      <c r="D213" s="12" t="s">
        <v>236</v>
      </c>
      <c r="E213" t="s">
        <v>185</v>
      </c>
      <c r="F213" t="s">
        <v>37</v>
      </c>
      <c r="J213">
        <v>1</v>
      </c>
      <c r="K213">
        <v>15</v>
      </c>
      <c r="O213">
        <v>12</v>
      </c>
      <c r="P213" s="11">
        <v>120</v>
      </c>
    </row>
    <row r="214" spans="1:16" x14ac:dyDescent="0.4">
      <c r="A214" s="18" t="str">
        <f>IF(D214="","",IF(D214=D213,LEFT(A213,LEN(A213)-2) &amp; RIGHT("00"&amp;COUNTIF($D$2:D214,D214),2),LEFT(A213,LEN(A213)-2)+1 &amp; "01"))</f>
        <v>8103</v>
      </c>
      <c r="B214" s="19">
        <f t="shared" si="6"/>
        <v>81</v>
      </c>
      <c r="C214" s="18">
        <f t="shared" si="7"/>
        <v>3</v>
      </c>
      <c r="D214" s="12" t="s">
        <v>236</v>
      </c>
      <c r="E214" t="s">
        <v>185</v>
      </c>
      <c r="F214" t="s">
        <v>235</v>
      </c>
      <c r="J214">
        <v>1</v>
      </c>
      <c r="K214">
        <v>18</v>
      </c>
      <c r="O214">
        <v>12</v>
      </c>
      <c r="P214" s="11">
        <v>120</v>
      </c>
    </row>
    <row r="215" spans="1:16" x14ac:dyDescent="0.4">
      <c r="A215" s="18" t="str">
        <f>IF(D215="","",IF(D215=D214,LEFT(A214,LEN(A214)-2) &amp; RIGHT("00"&amp;COUNTIF($D$2:D215,D215),2),LEFT(A214,LEN(A214)-2)+1 &amp; "01"))</f>
        <v>8201</v>
      </c>
      <c r="B215" s="19">
        <f t="shared" si="6"/>
        <v>82</v>
      </c>
      <c r="C215" s="18">
        <f t="shared" si="7"/>
        <v>1</v>
      </c>
      <c r="D215" s="12" t="s">
        <v>212</v>
      </c>
      <c r="E215" t="s">
        <v>42</v>
      </c>
      <c r="F215" t="s">
        <v>40</v>
      </c>
      <c r="J215">
        <v>2</v>
      </c>
      <c r="K215">
        <v>2</v>
      </c>
      <c r="O215">
        <v>2</v>
      </c>
      <c r="P215" s="11">
        <v>120</v>
      </c>
    </row>
    <row r="216" spans="1:16" x14ac:dyDescent="0.4">
      <c r="A216" s="18" t="str">
        <f>IF(D216="","",IF(D216=D215,LEFT(A215,LEN(A215)-2) &amp; RIGHT("00"&amp;COUNTIF($D$2:D216,D216),2),LEFT(A215,LEN(A215)-2)+1 &amp; "01"))</f>
        <v>8301</v>
      </c>
      <c r="B216" s="19">
        <f t="shared" si="6"/>
        <v>83</v>
      </c>
      <c r="C216" s="18">
        <f t="shared" si="7"/>
        <v>1</v>
      </c>
      <c r="D216" s="12" t="s">
        <v>38</v>
      </c>
      <c r="E216" t="s">
        <v>40</v>
      </c>
      <c r="F216" t="s">
        <v>34</v>
      </c>
      <c r="I216" s="11" t="s">
        <v>33</v>
      </c>
      <c r="J216">
        <v>4</v>
      </c>
      <c r="K216">
        <v>2</v>
      </c>
      <c r="N216" s="11">
        <v>2</v>
      </c>
      <c r="O216">
        <v>6</v>
      </c>
      <c r="P216" s="11">
        <v>360</v>
      </c>
    </row>
    <row r="217" spans="1:16" x14ac:dyDescent="0.4">
      <c r="A217" s="18" t="str">
        <f>IF(D217="","",IF(D217=D216,LEFT(A216,LEN(A216)-2) &amp; RIGHT("00"&amp;COUNTIF($D$2:D217,D217),2),LEFT(A216,LEN(A216)-2)+1 &amp; "01"))</f>
        <v>8302</v>
      </c>
      <c r="B217" s="19">
        <f t="shared" si="6"/>
        <v>83</v>
      </c>
      <c r="C217" s="18">
        <f t="shared" si="7"/>
        <v>2</v>
      </c>
      <c r="D217" s="12" t="s">
        <v>38</v>
      </c>
      <c r="E217" t="s">
        <v>41</v>
      </c>
      <c r="F217" t="s">
        <v>34</v>
      </c>
      <c r="G217" t="s">
        <v>43</v>
      </c>
      <c r="H217" t="s">
        <v>33</v>
      </c>
      <c r="I217" s="11" t="s">
        <v>33</v>
      </c>
      <c r="J217">
        <v>15</v>
      </c>
      <c r="K217">
        <v>10</v>
      </c>
      <c r="L217">
        <v>5</v>
      </c>
      <c r="M217">
        <v>6</v>
      </c>
      <c r="N217" s="11">
        <v>5</v>
      </c>
      <c r="O217">
        <v>30</v>
      </c>
      <c r="P217" s="11">
        <v>300</v>
      </c>
    </row>
    <row r="218" spans="1:16" x14ac:dyDescent="0.4">
      <c r="A218" s="18" t="str">
        <f>IF(D218="","",IF(D218=D217,LEFT(A217,LEN(A217)-2) &amp; RIGHT("00"&amp;COUNTIF($D$2:D218,D218),2),LEFT(A217,LEN(A217)-2)+1 &amp; "01"))</f>
        <v>8303</v>
      </c>
      <c r="B218" s="19">
        <f t="shared" si="6"/>
        <v>83</v>
      </c>
      <c r="C218" s="18">
        <f t="shared" si="7"/>
        <v>3</v>
      </c>
      <c r="D218" s="12" t="s">
        <v>38</v>
      </c>
      <c r="E218" t="s">
        <v>40</v>
      </c>
      <c r="F218" t="s">
        <v>36</v>
      </c>
      <c r="I218" s="11" t="s">
        <v>33</v>
      </c>
      <c r="J218">
        <v>12</v>
      </c>
      <c r="K218">
        <v>4</v>
      </c>
      <c r="N218" s="11">
        <v>7</v>
      </c>
      <c r="O218">
        <v>20</v>
      </c>
      <c r="P218" s="11">
        <v>300</v>
      </c>
    </row>
    <row r="219" spans="1:16" x14ac:dyDescent="0.4">
      <c r="A219" s="18" t="str">
        <f>IF(D219="","",IF(D219=D218,LEFT(A218,LEN(A218)-2) &amp; RIGHT("00"&amp;COUNTIF($D$2:D219,D219),2),LEFT(A218,LEN(A218)-2)+1 &amp; "01"))</f>
        <v>8401</v>
      </c>
      <c r="B219" s="19">
        <f t="shared" si="6"/>
        <v>84</v>
      </c>
      <c r="C219" s="18">
        <f t="shared" si="7"/>
        <v>1</v>
      </c>
      <c r="D219" s="12" t="s">
        <v>29</v>
      </c>
      <c r="E219" t="s">
        <v>38</v>
      </c>
      <c r="F219" t="s">
        <v>39</v>
      </c>
      <c r="J219">
        <v>6</v>
      </c>
      <c r="K219">
        <v>5</v>
      </c>
      <c r="O219">
        <v>4</v>
      </c>
      <c r="P219" s="11">
        <v>60</v>
      </c>
    </row>
    <row r="220" spans="1:16" x14ac:dyDescent="0.4">
      <c r="A220" s="18" t="str">
        <f>IF(D220="","",IF(D220=D219,LEFT(A219,LEN(A219)-2) &amp; RIGHT("00"&amp;COUNTIF($D$2:D220,D220),2),LEFT(A219,LEN(A219)-2)+1 &amp; "01"))</f>
        <v>8402</v>
      </c>
      <c r="B220" s="19">
        <f t="shared" si="6"/>
        <v>84</v>
      </c>
      <c r="C220" s="18">
        <f t="shared" si="7"/>
        <v>2</v>
      </c>
      <c r="D220" s="12" t="s">
        <v>29</v>
      </c>
      <c r="E220" t="s">
        <v>38</v>
      </c>
      <c r="J220">
        <v>2</v>
      </c>
      <c r="O220">
        <v>1</v>
      </c>
      <c r="P220" s="11">
        <v>30</v>
      </c>
    </row>
    <row r="221" spans="1:16" x14ac:dyDescent="0.4">
      <c r="A221" s="18" t="str">
        <f>IF(D221="","",IF(D221=D220,LEFT(A220,LEN(A220)-2) &amp; RIGHT("00"&amp;COUNTIF($D$2:D221,D221),2),LEFT(A220,LEN(A220)-2)+1 &amp; "01"))</f>
        <v>8501</v>
      </c>
      <c r="B221" s="19">
        <f t="shared" si="6"/>
        <v>85</v>
      </c>
      <c r="C221" s="18">
        <f t="shared" si="7"/>
        <v>1</v>
      </c>
      <c r="D221" s="12" t="s">
        <v>94</v>
      </c>
      <c r="E221" t="s">
        <v>29</v>
      </c>
      <c r="F221" t="s">
        <v>26</v>
      </c>
      <c r="J221">
        <v>3</v>
      </c>
      <c r="K221">
        <v>1</v>
      </c>
      <c r="O221">
        <v>3</v>
      </c>
      <c r="P221" s="11">
        <v>30</v>
      </c>
    </row>
    <row r="222" spans="1:16" x14ac:dyDescent="0.4">
      <c r="A222" s="18" t="str">
        <f>IF(D222="","",IF(D222=D221,LEFT(A221,LEN(A221)-2) &amp; RIGHT("00"&amp;COUNTIF($D$2:D222,D222),2),LEFT(A221,LEN(A221)-2)+1 &amp; "01"))</f>
        <v>8601</v>
      </c>
      <c r="B222" s="19">
        <f t="shared" si="6"/>
        <v>86</v>
      </c>
      <c r="C222" s="18">
        <f t="shared" si="7"/>
        <v>1</v>
      </c>
      <c r="D222" s="12" t="s">
        <v>95</v>
      </c>
      <c r="E222" t="s">
        <v>29</v>
      </c>
      <c r="J222">
        <v>3</v>
      </c>
      <c r="O222">
        <v>2</v>
      </c>
      <c r="P222" s="11">
        <v>60</v>
      </c>
    </row>
    <row r="223" spans="1:16" x14ac:dyDescent="0.4">
      <c r="A223" s="18" t="str">
        <f>IF(D223="","",IF(D223=D222,LEFT(A222,LEN(A222)-2) &amp; RIGHT("00"&amp;COUNTIF($D$2:D223,D223),2),LEFT(A222,LEN(A222)-2)+1 &amp; "01"))</f>
        <v>8602</v>
      </c>
      <c r="B223" s="19">
        <f t="shared" si="6"/>
        <v>86</v>
      </c>
      <c r="C223" s="18">
        <f t="shared" si="7"/>
        <v>2</v>
      </c>
      <c r="D223" s="12" t="s">
        <v>95</v>
      </c>
      <c r="E223" t="s">
        <v>29</v>
      </c>
      <c r="F223" t="s">
        <v>26</v>
      </c>
      <c r="J223">
        <v>20</v>
      </c>
      <c r="K223">
        <v>10</v>
      </c>
      <c r="O223">
        <v>15</v>
      </c>
      <c r="P223" s="11">
        <v>112.5</v>
      </c>
    </row>
    <row r="224" spans="1:16" x14ac:dyDescent="0.4">
      <c r="A224" s="18" t="str">
        <f>IF(D224="","",IF(D224=D223,LEFT(A223,LEN(A223)-2) &amp; RIGHT("00"&amp;COUNTIF($D$2:D224,D224),2),LEFT(A223,LEN(A223)-2)+1 &amp; "01"))</f>
        <v>8701</v>
      </c>
      <c r="B224" s="19">
        <f t="shared" si="6"/>
        <v>87</v>
      </c>
      <c r="C224" s="18">
        <f t="shared" si="7"/>
        <v>1</v>
      </c>
      <c r="D224" s="12" t="s">
        <v>74</v>
      </c>
      <c r="E224" t="s">
        <v>72</v>
      </c>
      <c r="F224" t="s">
        <v>75</v>
      </c>
      <c r="J224">
        <v>6</v>
      </c>
      <c r="K224">
        <v>4</v>
      </c>
      <c r="O224">
        <v>5</v>
      </c>
      <c r="P224" s="11">
        <v>18.75</v>
      </c>
    </row>
    <row r="225" spans="1:16" x14ac:dyDescent="0.4">
      <c r="A225" s="18" t="str">
        <f>IF(D225="","",IF(D225=D224,LEFT(A224,LEN(A224)-2) &amp; RIGHT("00"&amp;COUNTIF($D$2:D225,D225),2),LEFT(A224,LEN(A224)-2)+1 &amp; "01"))</f>
        <v>8702</v>
      </c>
      <c r="B225" s="19">
        <f t="shared" si="6"/>
        <v>87</v>
      </c>
      <c r="C225" s="18">
        <f t="shared" si="7"/>
        <v>2</v>
      </c>
      <c r="D225" s="12" t="s">
        <v>74</v>
      </c>
      <c r="E225" t="s">
        <v>73</v>
      </c>
      <c r="F225" t="s">
        <v>75</v>
      </c>
      <c r="J225">
        <v>5</v>
      </c>
      <c r="K225">
        <v>4</v>
      </c>
      <c r="O225">
        <v>4</v>
      </c>
      <c r="P225" s="11">
        <v>30</v>
      </c>
    </row>
    <row r="226" spans="1:16" x14ac:dyDescent="0.4">
      <c r="A226" s="18" t="str">
        <f>IF(D226="","",IF(D226=D225,LEFT(A225,LEN(A225)-2) &amp; RIGHT("00"&amp;COUNTIF($D$2:D226,D226),2),LEFT(A225,LEN(A225)-2)+1 &amp; "01"))</f>
        <v>8703</v>
      </c>
      <c r="B226" s="19">
        <f t="shared" si="6"/>
        <v>87</v>
      </c>
      <c r="C226" s="18">
        <f t="shared" si="7"/>
        <v>3</v>
      </c>
      <c r="D226" s="12" t="s">
        <v>74</v>
      </c>
      <c r="E226" t="s">
        <v>72</v>
      </c>
      <c r="F226" t="s">
        <v>73</v>
      </c>
      <c r="G226" t="s">
        <v>67</v>
      </c>
      <c r="H226" t="s">
        <v>36</v>
      </c>
      <c r="J226">
        <v>2</v>
      </c>
      <c r="K226">
        <v>4</v>
      </c>
      <c r="L226">
        <v>3</v>
      </c>
      <c r="M226">
        <v>3</v>
      </c>
      <c r="O226">
        <v>6</v>
      </c>
      <c r="P226" s="11">
        <v>45</v>
      </c>
    </row>
    <row r="227" spans="1:16" x14ac:dyDescent="0.4">
      <c r="A227" s="18" t="str">
        <f>IF(D227="","",IF(D227=D226,LEFT(A226,LEN(A226)-2) &amp; RIGHT("00"&amp;COUNTIF($D$2:D227,D227),2),LEFT(A226,LEN(A226)-2)+1 &amp; "01"))</f>
        <v>8704</v>
      </c>
      <c r="B227" s="19">
        <f t="shared" si="6"/>
        <v>87</v>
      </c>
      <c r="C227" s="18">
        <f t="shared" si="7"/>
        <v>4</v>
      </c>
      <c r="D227" s="12" t="s">
        <v>74</v>
      </c>
      <c r="E227" t="s">
        <v>99</v>
      </c>
      <c r="I227" s="11" t="s">
        <v>42</v>
      </c>
      <c r="J227">
        <v>2</v>
      </c>
      <c r="N227" s="11">
        <v>2</v>
      </c>
      <c r="O227">
        <v>2</v>
      </c>
      <c r="P227" s="11">
        <v>20</v>
      </c>
    </row>
    <row r="228" spans="1:16" x14ac:dyDescent="0.4">
      <c r="A228" s="18" t="str">
        <f>IF(D228="","",IF(D228=D227,LEFT(A227,LEN(A227)-2) &amp; RIGHT("00"&amp;COUNTIF($D$2:D228,D228),2),LEFT(A227,LEN(A227)-2)+1 &amp; "01"))</f>
        <v>8801</v>
      </c>
      <c r="B228" s="19">
        <f t="shared" si="6"/>
        <v>88</v>
      </c>
      <c r="C228" s="18">
        <f t="shared" si="7"/>
        <v>1</v>
      </c>
      <c r="D228" s="12" t="s">
        <v>99</v>
      </c>
      <c r="E228" t="s">
        <v>42</v>
      </c>
      <c r="F228" t="s">
        <v>73</v>
      </c>
      <c r="J228">
        <v>2</v>
      </c>
      <c r="K228">
        <v>2</v>
      </c>
      <c r="O228">
        <v>2</v>
      </c>
      <c r="P228" s="11">
        <v>20</v>
      </c>
    </row>
    <row r="229" spans="1:16" x14ac:dyDescent="0.4">
      <c r="A229" s="18" t="str">
        <f>IF(D229="","",IF(D229=D228,LEFT(A228,LEN(A228)-2) &amp; RIGHT("00"&amp;COUNTIF($D$2:D229,D229),2),LEFT(A228,LEN(A228)-2)+1 &amp; "01"))</f>
        <v>8901</v>
      </c>
      <c r="B229" s="19">
        <f t="shared" si="6"/>
        <v>89</v>
      </c>
      <c r="C229" s="18">
        <f t="shared" si="7"/>
        <v>1</v>
      </c>
      <c r="D229" s="12" t="s">
        <v>82</v>
      </c>
      <c r="E229" t="s">
        <v>46</v>
      </c>
      <c r="J229">
        <v>1</v>
      </c>
      <c r="O229">
        <v>1</v>
      </c>
      <c r="P229" s="11">
        <v>15</v>
      </c>
    </row>
    <row r="230" spans="1:16" x14ac:dyDescent="0.4">
      <c r="A230" s="18" t="str">
        <f>IF(D230="","",IF(D230=D229,LEFT(A229,LEN(A229)-2) &amp; RIGHT("00"&amp;COUNTIF($D$2:D230,D230),2),LEFT(A229,LEN(A229)-2)+1 &amp; "01"))</f>
        <v>9001</v>
      </c>
      <c r="B230" s="19">
        <f t="shared" si="6"/>
        <v>90</v>
      </c>
      <c r="C230" s="18">
        <f t="shared" si="7"/>
        <v>1</v>
      </c>
      <c r="D230" s="12" t="s">
        <v>43</v>
      </c>
      <c r="E230" t="s">
        <v>67</v>
      </c>
      <c r="F230" t="s">
        <v>33</v>
      </c>
      <c r="J230">
        <v>5</v>
      </c>
      <c r="K230">
        <v>5</v>
      </c>
      <c r="O230">
        <v>5</v>
      </c>
      <c r="P230" s="11">
        <v>50</v>
      </c>
    </row>
    <row r="231" spans="1:16" x14ac:dyDescent="0.4">
      <c r="A231" s="18" t="str">
        <f>IF(D231="","",IF(D231=D230,LEFT(A230,LEN(A230)-2) &amp; RIGHT("00"&amp;COUNTIF($D$2:D231,D231),2),LEFT(A230,LEN(A230)-2)+1 &amp; "01"))</f>
        <v>9002</v>
      </c>
      <c r="B231" s="19">
        <f t="shared" si="6"/>
        <v>90</v>
      </c>
      <c r="C231" s="18">
        <f t="shared" si="7"/>
        <v>2</v>
      </c>
      <c r="D231" s="12" t="s">
        <v>43</v>
      </c>
      <c r="E231" t="s">
        <v>68</v>
      </c>
      <c r="F231" t="s">
        <v>50</v>
      </c>
      <c r="G231" t="s">
        <v>43</v>
      </c>
      <c r="I231" s="11" t="s">
        <v>69</v>
      </c>
      <c r="J231">
        <v>10</v>
      </c>
      <c r="K231">
        <v>3</v>
      </c>
      <c r="L231">
        <v>8</v>
      </c>
      <c r="N231" s="11">
        <v>5</v>
      </c>
      <c r="O231">
        <v>2</v>
      </c>
      <c r="P231" s="11">
        <v>10</v>
      </c>
    </row>
    <row r="232" spans="1:16" x14ac:dyDescent="0.4">
      <c r="A232" s="18" t="str">
        <f>IF(D232="","",IF(D232=D231,LEFT(A231,LEN(A231)-2) &amp; RIGHT("00"&amp;COUNTIF($D$2:D232,D232),2),LEFT(A231,LEN(A231)-2)+1 &amp; "01"))</f>
        <v>9003</v>
      </c>
      <c r="B232" s="19">
        <f t="shared" si="6"/>
        <v>90</v>
      </c>
      <c r="C232" s="18">
        <f t="shared" si="7"/>
        <v>3</v>
      </c>
      <c r="D232" s="12" t="s">
        <v>43</v>
      </c>
      <c r="E232" t="s">
        <v>213</v>
      </c>
      <c r="I232" s="11" t="s">
        <v>42</v>
      </c>
      <c r="J232">
        <v>1</v>
      </c>
      <c r="N232" s="11">
        <v>1</v>
      </c>
      <c r="O232">
        <v>1</v>
      </c>
      <c r="P232" s="11">
        <v>60</v>
      </c>
    </row>
    <row r="233" spans="1:16" x14ac:dyDescent="0.4">
      <c r="A233" s="18" t="str">
        <f>IF(D233="","",IF(D233=D232,LEFT(A232,LEN(A232)-2) &amp; RIGHT("00"&amp;COUNTIF($D$2:D233,D233),2),LEFT(A232,LEN(A232)-2)+1 &amp; "01"))</f>
        <v>9101</v>
      </c>
      <c r="B233" s="19">
        <f t="shared" si="6"/>
        <v>91</v>
      </c>
      <c r="C233" s="18">
        <f t="shared" si="7"/>
        <v>1</v>
      </c>
      <c r="D233" s="12" t="s">
        <v>213</v>
      </c>
      <c r="E233" t="s">
        <v>42</v>
      </c>
      <c r="F233" t="s">
        <v>43</v>
      </c>
      <c r="J233">
        <v>2</v>
      </c>
      <c r="K233">
        <v>2</v>
      </c>
      <c r="O233">
        <v>2</v>
      </c>
      <c r="P233" s="11">
        <v>40</v>
      </c>
    </row>
    <row r="234" spans="1:16" x14ac:dyDescent="0.4">
      <c r="A234" s="18" t="str">
        <f>IF(D234="","",IF(D234=D233,LEFT(A233,LEN(A233)-2) &amp; RIGHT("00"&amp;COUNTIF($D$2:D234,D234),2),LEFT(A233,LEN(A233)-2)+1 &amp; "01"))</f>
        <v>9201</v>
      </c>
      <c r="B234" s="19">
        <f t="shared" si="6"/>
        <v>92</v>
      </c>
      <c r="C234" s="18">
        <f t="shared" si="7"/>
        <v>1</v>
      </c>
      <c r="D234" s="12" t="s">
        <v>8</v>
      </c>
      <c r="E234" t="s">
        <v>43</v>
      </c>
      <c r="F234" t="s">
        <v>40</v>
      </c>
      <c r="G234" t="s">
        <v>95</v>
      </c>
      <c r="I234" s="11" t="s">
        <v>33</v>
      </c>
      <c r="J234">
        <v>2.5</v>
      </c>
      <c r="K234">
        <v>2</v>
      </c>
      <c r="L234">
        <v>1</v>
      </c>
      <c r="N234" s="11">
        <v>1.5</v>
      </c>
      <c r="O234">
        <v>1</v>
      </c>
      <c r="P234" s="11">
        <v>20</v>
      </c>
    </row>
    <row r="235" spans="1:16" x14ac:dyDescent="0.4">
      <c r="A235" s="18" t="str">
        <f>IF(D235="","",IF(D235=D234,LEFT(A234,LEN(A234)-2) &amp; RIGHT("00"&amp;COUNTIF($D$2:D235,D235),2),LEFT(A234,LEN(A234)-2)+1 &amp; "01"))</f>
        <v>9202</v>
      </c>
      <c r="B235" s="19">
        <f t="shared" si="6"/>
        <v>92</v>
      </c>
      <c r="C235" s="18">
        <f t="shared" si="7"/>
        <v>2</v>
      </c>
      <c r="D235" s="12" t="s">
        <v>8</v>
      </c>
      <c r="E235" t="s">
        <v>67</v>
      </c>
      <c r="F235" t="s">
        <v>94</v>
      </c>
      <c r="G235" t="s">
        <v>45</v>
      </c>
      <c r="H235" t="s">
        <v>47</v>
      </c>
      <c r="J235">
        <v>6</v>
      </c>
      <c r="K235">
        <v>7</v>
      </c>
      <c r="L235">
        <v>8</v>
      </c>
      <c r="M235">
        <v>12</v>
      </c>
      <c r="O235">
        <v>4</v>
      </c>
      <c r="P235" s="11">
        <v>30</v>
      </c>
    </row>
    <row r="236" spans="1:16" x14ac:dyDescent="0.4">
      <c r="A236" s="18" t="str">
        <f>IF(D236="","",IF(D236=D235,LEFT(A235,LEN(A235)-2) &amp; RIGHT("00"&amp;COUNTIF($D$2:D236,D236),2),LEFT(A235,LEN(A235)-2)+1 &amp; "01"))</f>
        <v>9301</v>
      </c>
      <c r="B236" s="19">
        <f t="shared" si="6"/>
        <v>93</v>
      </c>
      <c r="C236" s="18">
        <f t="shared" si="7"/>
        <v>1</v>
      </c>
      <c r="D236" s="12" t="s">
        <v>62</v>
      </c>
      <c r="E236" t="s">
        <v>95</v>
      </c>
      <c r="F236" t="s">
        <v>96</v>
      </c>
      <c r="G236" t="s">
        <v>58</v>
      </c>
      <c r="J236">
        <v>32</v>
      </c>
      <c r="K236">
        <v>1</v>
      </c>
      <c r="L236">
        <v>2</v>
      </c>
      <c r="O236">
        <v>2</v>
      </c>
      <c r="P236" s="11">
        <v>2.5</v>
      </c>
    </row>
    <row r="237" spans="1:16" x14ac:dyDescent="0.4">
      <c r="A237" s="18" t="str">
        <f>IF(D237="","",IF(D237=D236,LEFT(A236,LEN(A236)-2) &amp; RIGHT("00"&amp;COUNTIF($D$2:D237,D237),2),LEFT(A236,LEN(A236)-2)+1 &amp; "01"))</f>
        <v>9302</v>
      </c>
      <c r="B237" s="19">
        <f t="shared" si="6"/>
        <v>93</v>
      </c>
      <c r="C237" s="18">
        <f t="shared" si="7"/>
        <v>2</v>
      </c>
      <c r="D237" s="12" t="s">
        <v>62</v>
      </c>
      <c r="E237" t="s">
        <v>97</v>
      </c>
      <c r="F237" t="s">
        <v>61</v>
      </c>
      <c r="G237" t="s">
        <v>98</v>
      </c>
      <c r="J237">
        <v>4</v>
      </c>
      <c r="K237">
        <v>2</v>
      </c>
      <c r="L237">
        <v>12</v>
      </c>
      <c r="O237">
        <v>1</v>
      </c>
      <c r="P237" s="11">
        <v>3.75</v>
      </c>
    </row>
    <row r="238" spans="1:16" x14ac:dyDescent="0.4">
      <c r="A238" s="18" t="str">
        <f>IF(D238="","",IF(D238=D237,LEFT(A237,LEN(A237)-2) &amp; RIGHT("00"&amp;COUNTIF($D$2:D238,D238),2),LEFT(A237,LEN(A237)-2)+1 &amp; "01"))</f>
        <v>9303</v>
      </c>
      <c r="B238" s="19">
        <f t="shared" si="6"/>
        <v>93</v>
      </c>
      <c r="C238" s="18">
        <f t="shared" si="7"/>
        <v>3</v>
      </c>
      <c r="D238" s="12" t="s">
        <v>62</v>
      </c>
      <c r="E238" t="s">
        <v>214</v>
      </c>
      <c r="F238" t="s">
        <v>90</v>
      </c>
      <c r="G238" t="s">
        <v>95</v>
      </c>
      <c r="H238" t="s">
        <v>49</v>
      </c>
      <c r="J238">
        <v>1</v>
      </c>
      <c r="K238">
        <v>10</v>
      </c>
      <c r="L238">
        <v>60</v>
      </c>
      <c r="M238">
        <v>30</v>
      </c>
      <c r="O238">
        <v>3</v>
      </c>
      <c r="P238" s="11">
        <v>4.5</v>
      </c>
    </row>
    <row r="239" spans="1:16" x14ac:dyDescent="0.4">
      <c r="A239" s="18" t="str">
        <f>IF(D239="","",IF(D239=D238,LEFT(A238,LEN(A238)-2) &amp; RIGHT("00"&amp;COUNTIF($D$2:D239,D239),2),LEFT(A238,LEN(A238)-2)+1 &amp; "01"))</f>
        <v>9401</v>
      </c>
      <c r="B239" s="19">
        <f t="shared" si="6"/>
        <v>94</v>
      </c>
      <c r="C239" s="18">
        <f t="shared" si="7"/>
        <v>1</v>
      </c>
      <c r="D239" s="12" t="s">
        <v>55</v>
      </c>
      <c r="E239" t="s">
        <v>58</v>
      </c>
      <c r="F239" t="s">
        <v>59</v>
      </c>
      <c r="G239" t="s">
        <v>8</v>
      </c>
      <c r="H239" t="s">
        <v>47</v>
      </c>
      <c r="J239">
        <v>3</v>
      </c>
      <c r="K239">
        <v>1</v>
      </c>
      <c r="L239">
        <v>10</v>
      </c>
      <c r="M239">
        <v>25</v>
      </c>
      <c r="O239">
        <v>1</v>
      </c>
      <c r="P239" s="11">
        <v>2.4</v>
      </c>
    </row>
    <row r="240" spans="1:16" x14ac:dyDescent="0.4">
      <c r="A240" s="18" t="str">
        <f>IF(D240="","",IF(D240=D239,LEFT(A239,LEN(A239)-2) &amp; RIGHT("00"&amp;COUNTIF($D$2:D240,D240),2),LEFT(A239,LEN(A239)-2)+1 &amp; "01"))</f>
        <v>9402</v>
      </c>
      <c r="B240" s="19">
        <f t="shared" si="6"/>
        <v>94</v>
      </c>
      <c r="C240" s="18">
        <f t="shared" si="7"/>
        <v>2</v>
      </c>
      <c r="D240" s="12" t="s">
        <v>55</v>
      </c>
      <c r="E240" t="s">
        <v>58</v>
      </c>
      <c r="F240" t="s">
        <v>60</v>
      </c>
      <c r="G240" t="s">
        <v>61</v>
      </c>
      <c r="H240" t="s">
        <v>45</v>
      </c>
      <c r="J240">
        <v>4</v>
      </c>
      <c r="K240">
        <v>2</v>
      </c>
      <c r="L240">
        <v>3</v>
      </c>
      <c r="M240">
        <v>28</v>
      </c>
      <c r="O240">
        <v>1</v>
      </c>
      <c r="P240" s="11">
        <v>1.875</v>
      </c>
    </row>
    <row r="241" spans="1:16" x14ac:dyDescent="0.4">
      <c r="A241" s="18" t="str">
        <f>IF(D241="","",IF(D241=D240,LEFT(A240,LEN(A240)-2) &amp; RIGHT("00"&amp;COUNTIF($D$2:D241,D241),2),LEFT(A240,LEN(A240)-2)+1 &amp; "01"))</f>
        <v>9403</v>
      </c>
      <c r="B241" s="19">
        <f t="shared" si="6"/>
        <v>94</v>
      </c>
      <c r="C241" s="18">
        <f t="shared" si="7"/>
        <v>3</v>
      </c>
      <c r="D241" s="12" t="s">
        <v>55</v>
      </c>
      <c r="E241" t="s">
        <v>62</v>
      </c>
      <c r="F241" t="s">
        <v>63</v>
      </c>
      <c r="J241">
        <v>2</v>
      </c>
      <c r="K241">
        <v>2</v>
      </c>
      <c r="O241">
        <v>1</v>
      </c>
      <c r="P241" s="11">
        <v>3</v>
      </c>
    </row>
    <row r="242" spans="1:16" x14ac:dyDescent="0.4">
      <c r="A242" s="18" t="str">
        <f>IF(D242="","",IF(D242=D241,LEFT(A241,LEN(A241)-2) &amp; RIGHT("00"&amp;COUNTIF($D$2:D242,D242),2),LEFT(A241,LEN(A241)-2)+1 &amp; "01"))</f>
        <v>9501</v>
      </c>
      <c r="B242" s="19">
        <f t="shared" si="6"/>
        <v>95</v>
      </c>
      <c r="C242" s="18">
        <f t="shared" si="7"/>
        <v>1</v>
      </c>
      <c r="D242" s="12" t="s">
        <v>15</v>
      </c>
      <c r="E242" t="s">
        <v>92</v>
      </c>
      <c r="F242" t="s">
        <v>55</v>
      </c>
      <c r="J242">
        <v>2</v>
      </c>
      <c r="K242">
        <v>1</v>
      </c>
      <c r="O242">
        <v>1</v>
      </c>
      <c r="P242" s="11">
        <v>0.75</v>
      </c>
    </row>
    <row r="243" spans="1:16" x14ac:dyDescent="0.4">
      <c r="A243" s="18" t="str">
        <f>IF(D243="","",IF(D243=D242,LEFT(A242,LEN(A242)-2) &amp; RIGHT("00"&amp;COUNTIF($D$2:D243,D243),2),LEFT(A242,LEN(A242)-2)+1 &amp; "01"))</f>
        <v>9601</v>
      </c>
      <c r="B243" s="19">
        <f t="shared" si="6"/>
        <v>96</v>
      </c>
      <c r="C243" s="18">
        <f t="shared" si="7"/>
        <v>1</v>
      </c>
      <c r="D243" s="12" t="s">
        <v>215</v>
      </c>
      <c r="E243" t="s">
        <v>210</v>
      </c>
      <c r="F243" t="s">
        <v>93</v>
      </c>
      <c r="G243" t="s">
        <v>95</v>
      </c>
      <c r="J243">
        <v>1</v>
      </c>
      <c r="K243">
        <v>8</v>
      </c>
      <c r="L243">
        <v>1</v>
      </c>
      <c r="O243">
        <v>1</v>
      </c>
      <c r="P243" s="11">
        <v>3.75</v>
      </c>
    </row>
    <row r="244" spans="1:16" x14ac:dyDescent="0.4">
      <c r="A244" s="18" t="str">
        <f>IF(D244="","",IF(D244=D243,LEFT(A243,LEN(A243)-2) &amp; RIGHT("00"&amp;COUNTIF($D$2:D244,D244),2),LEFT(A243,LEN(A243)-2)+1 &amp; "01"))</f>
        <v>9701</v>
      </c>
      <c r="B244" s="19">
        <f t="shared" si="6"/>
        <v>97</v>
      </c>
      <c r="C244" s="18">
        <f t="shared" si="7"/>
        <v>1</v>
      </c>
      <c r="D244" s="12" t="s">
        <v>104</v>
      </c>
      <c r="E244" t="s">
        <v>29</v>
      </c>
      <c r="J244">
        <v>1</v>
      </c>
      <c r="O244">
        <v>1</v>
      </c>
      <c r="P244" s="11">
        <v>60</v>
      </c>
    </row>
    <row r="245" spans="1:16" x14ac:dyDescent="0.4">
      <c r="A245" s="18" t="str">
        <f>IF(D245="","",IF(D245=D244,LEFT(A244,LEN(A244)-2) &amp; RIGHT("00"&amp;COUNTIF($D$2:D245,D245),2),LEFT(A244,LEN(A244)-2)+1 &amp; "01"))</f>
        <v>9702</v>
      </c>
      <c r="B245" s="19">
        <f t="shared" si="6"/>
        <v>97</v>
      </c>
      <c r="C245" s="18">
        <f t="shared" si="7"/>
        <v>2</v>
      </c>
      <c r="D245" s="12" t="s">
        <v>104</v>
      </c>
      <c r="E245" t="s">
        <v>216</v>
      </c>
      <c r="I245" s="11" t="s">
        <v>107</v>
      </c>
      <c r="J245">
        <v>1</v>
      </c>
      <c r="N245" s="11">
        <v>4</v>
      </c>
      <c r="O245">
        <v>1</v>
      </c>
      <c r="P245" s="11">
        <v>60</v>
      </c>
    </row>
    <row r="246" spans="1:16" x14ac:dyDescent="0.4">
      <c r="A246" s="18" t="str">
        <f>IF(D246="","",IF(D246=D245,LEFT(A245,LEN(A245)-2) &amp; RIGHT("00"&amp;COUNTIF($D$2:D246,D246),2),LEFT(A245,LEN(A245)-2)+1 &amp; "01"))</f>
        <v>9703</v>
      </c>
      <c r="B246" s="19">
        <f t="shared" si="6"/>
        <v>97</v>
      </c>
      <c r="C246" s="18">
        <f t="shared" si="7"/>
        <v>3</v>
      </c>
      <c r="D246" s="12" t="s">
        <v>104</v>
      </c>
      <c r="E246" t="s">
        <v>105</v>
      </c>
      <c r="I246" s="11" t="s">
        <v>106</v>
      </c>
      <c r="J246">
        <v>1</v>
      </c>
      <c r="N246" s="11">
        <v>1</v>
      </c>
      <c r="O246">
        <v>1</v>
      </c>
      <c r="P246" s="11">
        <v>20</v>
      </c>
    </row>
    <row r="247" spans="1:16" x14ac:dyDescent="0.4">
      <c r="A247" s="18" t="str">
        <f>IF(D247="","",IF(D247=D246,LEFT(A246,LEN(A246)-2) &amp; RIGHT("00"&amp;COUNTIF($D$2:D247,D247),2),LEFT(A246,LEN(A246)-2)+1 &amp; "01"))</f>
        <v>9704</v>
      </c>
      <c r="B247" s="19">
        <f t="shared" si="6"/>
        <v>97</v>
      </c>
      <c r="C247" s="18">
        <f t="shared" si="7"/>
        <v>4</v>
      </c>
      <c r="D247" s="12" t="s">
        <v>104</v>
      </c>
      <c r="E247" t="s">
        <v>208</v>
      </c>
      <c r="I247" s="11" t="s">
        <v>203</v>
      </c>
      <c r="J247">
        <v>1</v>
      </c>
      <c r="N247" s="11">
        <v>2</v>
      </c>
      <c r="O247">
        <v>1</v>
      </c>
      <c r="P247" s="11">
        <v>60</v>
      </c>
    </row>
    <row r="248" spans="1:16" x14ac:dyDescent="0.4">
      <c r="A248" s="18" t="str">
        <f>IF(D248="","",IF(D248=D247,LEFT(A247,LEN(A247)-2) &amp; RIGHT("00"&amp;COUNTIF($D$2:D248,D248),2),LEFT(A247,LEN(A247)-2)+1 &amp; "01"))</f>
        <v>9705</v>
      </c>
      <c r="B248" s="19">
        <f t="shared" si="6"/>
        <v>97</v>
      </c>
      <c r="C248" s="18">
        <f t="shared" si="7"/>
        <v>5</v>
      </c>
      <c r="D248" s="12" t="s">
        <v>104</v>
      </c>
      <c r="E248" t="s">
        <v>217</v>
      </c>
      <c r="I248" s="11" t="s">
        <v>207</v>
      </c>
      <c r="J248">
        <v>2</v>
      </c>
      <c r="N248" s="11">
        <v>4</v>
      </c>
      <c r="O248">
        <v>2</v>
      </c>
      <c r="P248" s="11">
        <v>40</v>
      </c>
    </row>
    <row r="249" spans="1:16" x14ac:dyDescent="0.4">
      <c r="A249" s="18" t="str">
        <f>IF(D249="","",IF(D249=D248,LEFT(A248,LEN(A248)-2) &amp; RIGHT("00"&amp;COUNTIF($D$2:D249,D249),2),LEFT(A248,LEN(A248)-2)+1 &amp; "01"))</f>
        <v>9801</v>
      </c>
      <c r="B249" s="19">
        <f t="shared" si="6"/>
        <v>98</v>
      </c>
      <c r="C249" s="18">
        <f t="shared" si="7"/>
        <v>1</v>
      </c>
      <c r="D249" s="12" t="s">
        <v>216</v>
      </c>
      <c r="E249" t="s">
        <v>107</v>
      </c>
      <c r="F249" t="s">
        <v>104</v>
      </c>
      <c r="J249">
        <v>4</v>
      </c>
      <c r="K249">
        <v>1</v>
      </c>
      <c r="O249">
        <v>1</v>
      </c>
      <c r="P249" s="11">
        <v>60</v>
      </c>
    </row>
    <row r="250" spans="1:16" x14ac:dyDescent="0.4">
      <c r="A250" s="18" t="str">
        <f>IF(D250="","",IF(D250=D249,LEFT(A249,LEN(A249)-2) &amp; RIGHT("00"&amp;COUNTIF($D$2:D250,D250),2),LEFT(A249,LEN(A249)-2)+1 &amp; "01"))</f>
        <v>9901</v>
      </c>
      <c r="B250" s="19">
        <f t="shared" si="6"/>
        <v>99</v>
      </c>
      <c r="C250" s="18">
        <f t="shared" si="7"/>
        <v>1</v>
      </c>
      <c r="D250" s="12" t="s">
        <v>205</v>
      </c>
      <c r="O250">
        <v>1</v>
      </c>
      <c r="P250" s="11">
        <v>600</v>
      </c>
    </row>
    <row r="251" spans="1:16" x14ac:dyDescent="0.4">
      <c r="A251" s="18" t="str">
        <f>IF(D251="","",IF(D251=D250,LEFT(A250,LEN(A250)-2) &amp; RIGHT("00"&amp;COUNTIF($D$2:D251,D251),2),LEFT(A250,LEN(A250)-2)+1 &amp; "01"))</f>
        <v>9902</v>
      </c>
      <c r="B251" s="19">
        <f t="shared" si="6"/>
        <v>99</v>
      </c>
      <c r="C251" s="18">
        <f t="shared" si="7"/>
        <v>2</v>
      </c>
      <c r="D251" s="12" t="s">
        <v>205</v>
      </c>
      <c r="E251" t="s">
        <v>185</v>
      </c>
      <c r="F251" t="s">
        <v>236</v>
      </c>
      <c r="J251">
        <v>1</v>
      </c>
      <c r="K251">
        <v>10</v>
      </c>
      <c r="O251">
        <v>12</v>
      </c>
      <c r="P251" s="11">
        <v>120</v>
      </c>
    </row>
    <row r="252" spans="1:16" x14ac:dyDescent="0.4">
      <c r="A252" s="18" t="str">
        <f>IF(D252="","",IF(D252=D251,LEFT(A251,LEN(A251)-2) &amp; RIGHT("00"&amp;COUNTIF($D$2:D252,D252),2),LEFT(A251,LEN(A251)-2)+1 &amp; "01"))</f>
        <v>9903</v>
      </c>
      <c r="B252" s="19">
        <f t="shared" si="6"/>
        <v>99</v>
      </c>
      <c r="C252" s="18">
        <f t="shared" si="7"/>
        <v>3</v>
      </c>
      <c r="D252" s="12" t="s">
        <v>205</v>
      </c>
      <c r="E252" t="s">
        <v>185</v>
      </c>
      <c r="F252" t="s">
        <v>252</v>
      </c>
      <c r="J252">
        <v>1</v>
      </c>
      <c r="K252">
        <v>12</v>
      </c>
      <c r="O252">
        <v>12</v>
      </c>
      <c r="P252" s="11">
        <v>120</v>
      </c>
    </row>
    <row r="253" spans="1:16" x14ac:dyDescent="0.4">
      <c r="A253" s="18" t="str">
        <f>IF(D253="","",IF(D253=D252,LEFT(A252,LEN(A252)-2) &amp; RIGHT("00"&amp;COUNTIF($D$2:D253,D253),2),LEFT(A252,LEN(A252)-2)+1 &amp; "01"))</f>
        <v>10001</v>
      </c>
      <c r="B253" s="19">
        <f t="shared" si="6"/>
        <v>100</v>
      </c>
      <c r="C253" s="18">
        <f t="shared" si="7"/>
        <v>1</v>
      </c>
      <c r="D253" s="12" t="s">
        <v>97</v>
      </c>
      <c r="E253" t="s">
        <v>94</v>
      </c>
      <c r="F253" t="s">
        <v>56</v>
      </c>
      <c r="J253">
        <v>5</v>
      </c>
      <c r="K253">
        <v>3</v>
      </c>
      <c r="O253">
        <v>1</v>
      </c>
      <c r="P253" s="11">
        <v>7.5</v>
      </c>
    </row>
    <row r="254" spans="1:16" x14ac:dyDescent="0.4">
      <c r="A254" s="18" t="str">
        <f>IF(D254="","",IF(D254=D253,LEFT(A253,LEN(A253)-2) &amp; RIGHT("00"&amp;COUNTIF($D$2:D254,D254),2),LEFT(A253,LEN(A253)-2)+1 &amp; "01"))</f>
        <v>10002</v>
      </c>
      <c r="B254" s="19">
        <f t="shared" si="6"/>
        <v>100</v>
      </c>
      <c r="C254" s="18">
        <f t="shared" si="7"/>
        <v>2</v>
      </c>
      <c r="D254" s="12" t="s">
        <v>97</v>
      </c>
      <c r="E254" t="s">
        <v>95</v>
      </c>
      <c r="F254" t="s">
        <v>49</v>
      </c>
      <c r="J254">
        <v>3</v>
      </c>
      <c r="K254">
        <v>3</v>
      </c>
      <c r="O254">
        <v>1</v>
      </c>
      <c r="P254" s="11">
        <v>10</v>
      </c>
    </row>
    <row r="255" spans="1:16" x14ac:dyDescent="0.4">
      <c r="A255" s="18" t="str">
        <f>IF(D255="","",IF(D255=D254,LEFT(A254,LEN(A254)-2) &amp; RIGHT("00"&amp;COUNTIF($D$2:D255,D255),2),LEFT(A254,LEN(A254)-2)+1 &amp; "01"))</f>
        <v>10101</v>
      </c>
      <c r="B255" s="19">
        <f t="shared" si="6"/>
        <v>101</v>
      </c>
      <c r="C255" s="18">
        <f t="shared" si="7"/>
        <v>1</v>
      </c>
      <c r="D255" s="12" t="s">
        <v>63</v>
      </c>
      <c r="E255" t="s">
        <v>97</v>
      </c>
      <c r="F255" t="s">
        <v>49</v>
      </c>
      <c r="G255" t="s">
        <v>33</v>
      </c>
      <c r="H255" t="s">
        <v>107</v>
      </c>
      <c r="J255">
        <v>2</v>
      </c>
      <c r="K255">
        <v>2</v>
      </c>
      <c r="L255">
        <v>5</v>
      </c>
      <c r="M255">
        <v>25</v>
      </c>
      <c r="O255">
        <v>1</v>
      </c>
      <c r="P255" s="11">
        <v>6</v>
      </c>
    </row>
    <row r="256" spans="1:16" x14ac:dyDescent="0.4">
      <c r="A256" s="18" t="str">
        <f>IF(D256="","",IF(D256=D255,LEFT(A255,LEN(A255)-2) &amp; RIGHT("00"&amp;COUNTIF($D$2:D256,D256),2),LEFT(A255,LEN(A255)-2)+1 &amp; "01"))</f>
        <v>10102</v>
      </c>
      <c r="B256" s="19">
        <f t="shared" si="6"/>
        <v>101</v>
      </c>
      <c r="C256" s="18">
        <f t="shared" si="7"/>
        <v>2</v>
      </c>
      <c r="D256" s="12" t="s">
        <v>63</v>
      </c>
      <c r="E256" t="s">
        <v>97</v>
      </c>
      <c r="F256" t="s">
        <v>79</v>
      </c>
      <c r="G256" t="s">
        <v>107</v>
      </c>
      <c r="J256">
        <v>4</v>
      </c>
      <c r="K256">
        <v>1</v>
      </c>
      <c r="L256">
        <v>24</v>
      </c>
      <c r="O256">
        <v>2</v>
      </c>
      <c r="P256" s="11">
        <v>5</v>
      </c>
    </row>
    <row r="257" spans="1:16" x14ac:dyDescent="0.4">
      <c r="A257" s="18" t="str">
        <f>IF(D257="","",IF(D257=D256,LEFT(A256,LEN(A256)-2) &amp; RIGHT("00"&amp;COUNTIF($D$2:D257,D257),2),LEFT(A256,LEN(A256)-2)+1 &amp; "01"))</f>
        <v>10201</v>
      </c>
      <c r="B257" s="19">
        <f t="shared" si="6"/>
        <v>102</v>
      </c>
      <c r="C257" s="18">
        <f t="shared" si="7"/>
        <v>1</v>
      </c>
      <c r="D257" s="12" t="s">
        <v>108</v>
      </c>
      <c r="E257" t="s">
        <v>81</v>
      </c>
      <c r="F257" t="s">
        <v>95</v>
      </c>
      <c r="G257" t="s">
        <v>107</v>
      </c>
      <c r="J257">
        <v>1</v>
      </c>
      <c r="K257">
        <v>50</v>
      </c>
      <c r="L257">
        <v>25</v>
      </c>
      <c r="O257">
        <v>1</v>
      </c>
      <c r="P257" s="11">
        <v>1.5</v>
      </c>
    </row>
    <row r="258" spans="1:16" x14ac:dyDescent="0.4">
      <c r="A258" s="18" t="str">
        <f>IF(D258="","",IF(D258=D257,LEFT(A257,LEN(A257)-2) &amp; RIGHT("00"&amp;COUNTIF($D$2:D258,D258),2),LEFT(A257,LEN(A257)-2)+1 &amp; "01"))</f>
        <v>10202</v>
      </c>
      <c r="B258" s="19">
        <f t="shared" si="6"/>
        <v>102</v>
      </c>
      <c r="C258" s="18">
        <f t="shared" si="7"/>
        <v>2</v>
      </c>
      <c r="D258" s="12" t="s">
        <v>108</v>
      </c>
      <c r="E258" t="s">
        <v>81</v>
      </c>
      <c r="F258" t="s">
        <v>29</v>
      </c>
      <c r="G258" t="s">
        <v>106</v>
      </c>
      <c r="H258" t="s">
        <v>72</v>
      </c>
      <c r="J258">
        <v>1</v>
      </c>
      <c r="K258">
        <v>50</v>
      </c>
      <c r="L258">
        <v>8</v>
      </c>
      <c r="M258">
        <v>10</v>
      </c>
      <c r="O258">
        <v>1</v>
      </c>
      <c r="P258" s="11">
        <v>3</v>
      </c>
    </row>
    <row r="259" spans="1:16" x14ac:dyDescent="0.4">
      <c r="A259" s="18" t="str">
        <f>IF(D259="","",IF(D259=D258,LEFT(A258,LEN(A258)-2) &amp; RIGHT("00"&amp;COUNTIF($D$2:D259,D259),2),LEFT(A258,LEN(A258)-2)+1 &amp; "01"))</f>
        <v>10301</v>
      </c>
      <c r="B259" s="19">
        <f t="shared" ref="B259:B322" si="8">IFERROR(VALUE(LEFT(A259,LEN(A259)-2)),"")</f>
        <v>103</v>
      </c>
      <c r="C259" s="18">
        <f t="shared" ref="C259:C322" si="9">IFERROR(VALUE( RIGHT(A259,2)),"")</f>
        <v>1</v>
      </c>
      <c r="D259" s="12" t="s">
        <v>218</v>
      </c>
      <c r="E259" t="s">
        <v>78</v>
      </c>
      <c r="F259" t="s">
        <v>106</v>
      </c>
      <c r="I259" s="11" t="s">
        <v>219</v>
      </c>
      <c r="J259">
        <v>24</v>
      </c>
      <c r="K259">
        <v>2</v>
      </c>
      <c r="N259" s="11">
        <v>15</v>
      </c>
      <c r="O259">
        <v>12</v>
      </c>
      <c r="P259" s="11">
        <v>60</v>
      </c>
    </row>
    <row r="260" spans="1:16" x14ac:dyDescent="0.4">
      <c r="A260" s="18" t="str">
        <f>IF(D260="","",IF(D260=D259,LEFT(A259,LEN(A259)-2) &amp; RIGHT("00"&amp;COUNTIF($D$2:D260,D260),2),LEFT(A259,LEN(A259)-2)+1 &amp; "01"))</f>
        <v>10401</v>
      </c>
      <c r="B260" s="19">
        <f t="shared" si="8"/>
        <v>104</v>
      </c>
      <c r="C260" s="18">
        <f t="shared" si="9"/>
        <v>1</v>
      </c>
      <c r="D260" s="12" t="s">
        <v>106</v>
      </c>
      <c r="E260" t="s">
        <v>107</v>
      </c>
      <c r="F260" t="s">
        <v>33</v>
      </c>
      <c r="G260" t="s">
        <v>44</v>
      </c>
      <c r="J260">
        <v>12</v>
      </c>
      <c r="K260">
        <v>3</v>
      </c>
      <c r="L260">
        <v>1</v>
      </c>
      <c r="O260">
        <v>3</v>
      </c>
      <c r="P260" s="11">
        <v>30</v>
      </c>
    </row>
    <row r="261" spans="1:16" x14ac:dyDescent="0.4">
      <c r="A261" s="18" t="str">
        <f>IF(D261="","",IF(D261=D260,LEFT(A260,LEN(A260)-2) &amp; RIGHT("00"&amp;COUNTIF($D$2:D261,D261),2),LEFT(A260,LEN(A260)-2)+1 &amp; "01"))</f>
        <v>10402</v>
      </c>
      <c r="B261" s="19">
        <f t="shared" si="8"/>
        <v>104</v>
      </c>
      <c r="C261" s="18">
        <f t="shared" si="9"/>
        <v>2</v>
      </c>
      <c r="D261" s="12" t="s">
        <v>106</v>
      </c>
      <c r="E261" t="s">
        <v>113</v>
      </c>
      <c r="I261" s="11" t="s">
        <v>104</v>
      </c>
      <c r="J261">
        <v>1</v>
      </c>
      <c r="N261" s="11">
        <v>1</v>
      </c>
      <c r="O261">
        <v>1</v>
      </c>
      <c r="P261" s="11">
        <v>20</v>
      </c>
    </row>
    <row r="262" spans="1:16" x14ac:dyDescent="0.4">
      <c r="A262" s="18" t="str">
        <f>IF(D262="","",IF(D262=D261,LEFT(A261,LEN(A261)-2) &amp; RIGHT("00"&amp;COUNTIF($D$2:D262,D262),2),LEFT(A261,LEN(A261)-2)+1 &amp; "01"))</f>
        <v>10501</v>
      </c>
      <c r="B262" s="19">
        <f t="shared" si="8"/>
        <v>105</v>
      </c>
      <c r="C262" s="18">
        <f t="shared" si="9"/>
        <v>1</v>
      </c>
      <c r="D262" s="12" t="s">
        <v>110</v>
      </c>
      <c r="E262" t="s">
        <v>63</v>
      </c>
      <c r="F262" t="s">
        <v>62</v>
      </c>
      <c r="G262" t="s">
        <v>79</v>
      </c>
      <c r="H262" t="s">
        <v>49</v>
      </c>
      <c r="J262">
        <v>4</v>
      </c>
      <c r="K262">
        <v>2</v>
      </c>
      <c r="L262">
        <v>4</v>
      </c>
      <c r="M262">
        <v>24</v>
      </c>
      <c r="O262">
        <v>1</v>
      </c>
      <c r="P262" s="11">
        <v>1.875</v>
      </c>
    </row>
    <row r="263" spans="1:16" x14ac:dyDescent="0.4">
      <c r="A263" s="18" t="str">
        <f>IF(D263="","",IF(D263=D262,LEFT(A262,LEN(A262)-2) &amp; RIGHT("00"&amp;COUNTIF($D$2:D263,D263),2),LEFT(A262,LEN(A262)-2)+1 &amp; "01"))</f>
        <v>10502</v>
      </c>
      <c r="B263" s="19">
        <f t="shared" si="8"/>
        <v>105</v>
      </c>
      <c r="C263" s="18">
        <f t="shared" si="9"/>
        <v>2</v>
      </c>
      <c r="D263" s="12" t="s">
        <v>110</v>
      </c>
      <c r="E263" t="s">
        <v>79</v>
      </c>
      <c r="F263" t="s">
        <v>62</v>
      </c>
      <c r="G263" t="s">
        <v>59</v>
      </c>
      <c r="H263" t="s">
        <v>57</v>
      </c>
      <c r="J263">
        <v>7</v>
      </c>
      <c r="K263">
        <v>9</v>
      </c>
      <c r="L263">
        <v>5</v>
      </c>
      <c r="M263">
        <v>7</v>
      </c>
      <c r="O263">
        <v>3</v>
      </c>
      <c r="P263" s="11">
        <v>2.8119999999999998</v>
      </c>
    </row>
    <row r="264" spans="1:16" x14ac:dyDescent="0.4">
      <c r="A264" s="18" t="str">
        <f>IF(D264="","",IF(D264=D263,LEFT(A263,LEN(A263)-2) &amp; RIGHT("00"&amp;COUNTIF($D$2:D264,D264),2),LEFT(A263,LEN(A263)-2)+1 &amp; "01"))</f>
        <v>10503</v>
      </c>
      <c r="B264" s="19">
        <f t="shared" si="8"/>
        <v>105</v>
      </c>
      <c r="C264" s="18">
        <f t="shared" si="9"/>
        <v>3</v>
      </c>
      <c r="D264" s="12" t="s">
        <v>110</v>
      </c>
      <c r="E264" t="s">
        <v>79</v>
      </c>
      <c r="F264" t="s">
        <v>111</v>
      </c>
      <c r="G264" t="s">
        <v>216</v>
      </c>
      <c r="H264" t="s">
        <v>77</v>
      </c>
      <c r="J264">
        <v>4</v>
      </c>
      <c r="K264">
        <v>1</v>
      </c>
      <c r="L264">
        <v>24</v>
      </c>
      <c r="M264">
        <v>8</v>
      </c>
      <c r="O264">
        <v>2</v>
      </c>
      <c r="P264" s="11">
        <v>3.75</v>
      </c>
    </row>
    <row r="265" spans="1:16" x14ac:dyDescent="0.4">
      <c r="A265" s="18" t="str">
        <f>IF(D265="","",IF(D265=D264,LEFT(A264,LEN(A264)-2) &amp; RIGHT("00"&amp;COUNTIF($D$2:D265,D265),2),LEFT(A264,LEN(A264)-2)+1 &amp; "01"))</f>
        <v>10601</v>
      </c>
      <c r="B265" s="19">
        <f t="shared" si="8"/>
        <v>106</v>
      </c>
      <c r="C265" s="18">
        <f t="shared" si="9"/>
        <v>1</v>
      </c>
      <c r="D265" s="12" t="s">
        <v>112</v>
      </c>
      <c r="E265" t="s">
        <v>91</v>
      </c>
      <c r="F265" t="s">
        <v>110</v>
      </c>
      <c r="G265" t="s">
        <v>63</v>
      </c>
      <c r="H265" t="s">
        <v>108</v>
      </c>
      <c r="J265">
        <v>5</v>
      </c>
      <c r="K265">
        <v>2</v>
      </c>
      <c r="L265">
        <v>6</v>
      </c>
      <c r="M265">
        <v>2</v>
      </c>
      <c r="O265">
        <v>2</v>
      </c>
      <c r="P265" s="11">
        <v>1</v>
      </c>
    </row>
    <row r="266" spans="1:16" x14ac:dyDescent="0.4">
      <c r="A266" s="18" t="str">
        <f>IF(D266="","",IF(D266=D265,LEFT(A265,LEN(A265)-2) &amp; RIGHT("00"&amp;COUNTIF($D$2:D266,D266),2),LEFT(A265,LEN(A265)-2)+1 &amp; "01"))</f>
        <v>10701</v>
      </c>
      <c r="B266" s="19">
        <f t="shared" si="8"/>
        <v>107</v>
      </c>
      <c r="C266" s="18">
        <f t="shared" si="9"/>
        <v>1</v>
      </c>
      <c r="D266" s="12" t="s">
        <v>69</v>
      </c>
      <c r="E266" t="s">
        <v>68</v>
      </c>
      <c r="F266" t="s">
        <v>50</v>
      </c>
      <c r="G266" t="s">
        <v>43</v>
      </c>
      <c r="I266" s="11" t="s">
        <v>43</v>
      </c>
      <c r="J266">
        <v>10</v>
      </c>
      <c r="K266">
        <v>3</v>
      </c>
      <c r="L266">
        <v>8</v>
      </c>
      <c r="N266" s="11">
        <v>2</v>
      </c>
      <c r="O266">
        <v>5</v>
      </c>
      <c r="P266" s="11">
        <v>25</v>
      </c>
    </row>
    <row r="267" spans="1:16" x14ac:dyDescent="0.4">
      <c r="A267" s="18" t="str">
        <f>IF(D267="","",IF(D267=D266,LEFT(A266,LEN(A266)-2) &amp; RIGHT("00"&amp;COUNTIF($D$2:D267,D267),2),LEFT(A266,LEN(A266)-2)+1 &amp; "01"))</f>
        <v>10702</v>
      </c>
      <c r="B267" s="19">
        <f t="shared" si="8"/>
        <v>107</v>
      </c>
      <c r="C267" s="18">
        <f t="shared" si="9"/>
        <v>2</v>
      </c>
      <c r="D267" s="12" t="s">
        <v>69</v>
      </c>
      <c r="E267" t="s">
        <v>125</v>
      </c>
      <c r="F267" t="s">
        <v>126</v>
      </c>
      <c r="G267" t="s">
        <v>127</v>
      </c>
      <c r="H267" t="s">
        <v>128</v>
      </c>
      <c r="J267">
        <v>5</v>
      </c>
      <c r="K267">
        <v>3</v>
      </c>
      <c r="L267">
        <v>5</v>
      </c>
      <c r="M267">
        <v>15</v>
      </c>
      <c r="O267">
        <v>4</v>
      </c>
      <c r="P267" s="11">
        <v>20</v>
      </c>
    </row>
    <row r="268" spans="1:16" x14ac:dyDescent="0.4">
      <c r="A268" s="18" t="str">
        <f>IF(D268="","",IF(D268=D267,LEFT(A267,LEN(A267)-2) &amp; RIGHT("00"&amp;COUNTIF($D$2:D268,D268),2),LEFT(A267,LEN(A267)-2)+1 &amp; "01"))</f>
        <v>10801</v>
      </c>
      <c r="B268" s="19">
        <f t="shared" si="8"/>
        <v>108</v>
      </c>
      <c r="C268" s="18">
        <f t="shared" si="9"/>
        <v>1</v>
      </c>
      <c r="D268" s="12" t="s">
        <v>248</v>
      </c>
      <c r="O268">
        <v>1</v>
      </c>
      <c r="P268" s="11">
        <v>1200</v>
      </c>
    </row>
    <row r="269" spans="1:16" x14ac:dyDescent="0.4">
      <c r="A269" s="18" t="str">
        <f>IF(D269="","",IF(D269=D268,LEFT(A268,LEN(A268)-2) &amp; RIGHT("00"&amp;COUNTIF($D$2:D269,D269),2),LEFT(A268,LEN(A268)-2)+1 &amp; "01"))</f>
        <v>10802</v>
      </c>
      <c r="B269" s="19">
        <f t="shared" si="8"/>
        <v>108</v>
      </c>
      <c r="C269" s="18">
        <f t="shared" si="9"/>
        <v>2</v>
      </c>
      <c r="D269" s="12" t="s">
        <v>248</v>
      </c>
      <c r="E269" t="s">
        <v>185</v>
      </c>
      <c r="F269" t="s">
        <v>236</v>
      </c>
      <c r="J269">
        <v>1</v>
      </c>
      <c r="K269">
        <v>48</v>
      </c>
      <c r="O269">
        <v>12</v>
      </c>
      <c r="P269" s="11">
        <v>120</v>
      </c>
    </row>
    <row r="270" spans="1:16" x14ac:dyDescent="0.4">
      <c r="A270" s="18" t="str">
        <f>IF(D270="","",IF(D270=D269,LEFT(A269,LEN(A269)-2) &amp; RIGHT("00"&amp;COUNTIF($D$2:D270,D270),2),LEFT(A269,LEN(A269)-2)+1 &amp; "01"))</f>
        <v>10901</v>
      </c>
      <c r="B270" s="19">
        <f t="shared" si="8"/>
        <v>109</v>
      </c>
      <c r="C270" s="18">
        <f t="shared" si="9"/>
        <v>1</v>
      </c>
      <c r="D270" s="12" t="s">
        <v>59</v>
      </c>
      <c r="E270" t="s">
        <v>77</v>
      </c>
      <c r="F270" t="s">
        <v>60</v>
      </c>
      <c r="J270">
        <v>3</v>
      </c>
      <c r="K270">
        <v>2</v>
      </c>
      <c r="O270">
        <v>2</v>
      </c>
      <c r="P270" s="11">
        <v>4</v>
      </c>
    </row>
    <row r="271" spans="1:16" x14ac:dyDescent="0.4">
      <c r="A271" s="18" t="str">
        <f>IF(D271="","",IF(D271=D270,LEFT(A270,LEN(A270)-2) &amp; RIGHT("00"&amp;COUNTIF($D$2:D271,D271),2),LEFT(A270,LEN(A270)-2)+1 &amp; "01"))</f>
        <v>10902</v>
      </c>
      <c r="B271" s="19">
        <f t="shared" si="8"/>
        <v>109</v>
      </c>
      <c r="C271" s="18">
        <f t="shared" si="9"/>
        <v>2</v>
      </c>
      <c r="D271" s="12" t="s">
        <v>59</v>
      </c>
      <c r="E271" t="s">
        <v>77</v>
      </c>
      <c r="F271" t="s">
        <v>61</v>
      </c>
      <c r="J271">
        <v>2</v>
      </c>
      <c r="K271">
        <v>1</v>
      </c>
      <c r="O271">
        <v>2</v>
      </c>
      <c r="P271" s="11">
        <v>8</v>
      </c>
    </row>
    <row r="272" spans="1:16" x14ac:dyDescent="0.4">
      <c r="A272" s="18" t="str">
        <f>IF(D272="","",IF(D272=D271,LEFT(A271,LEN(A271)-2) &amp; RIGHT("00"&amp;COUNTIF($D$2:D272,D272),2),LEFT(A271,LEN(A271)-2)+1 &amp; "01"))</f>
        <v>11001</v>
      </c>
      <c r="B272" s="19">
        <f t="shared" si="8"/>
        <v>110</v>
      </c>
      <c r="C272" s="18">
        <f t="shared" si="9"/>
        <v>1</v>
      </c>
      <c r="D272" s="12" t="s">
        <v>100</v>
      </c>
      <c r="E272" t="s">
        <v>69</v>
      </c>
      <c r="F272" t="s">
        <v>76</v>
      </c>
      <c r="G272" t="s">
        <v>59</v>
      </c>
      <c r="J272">
        <v>50</v>
      </c>
      <c r="K272">
        <v>3</v>
      </c>
      <c r="L272">
        <v>5</v>
      </c>
      <c r="O272">
        <v>1</v>
      </c>
      <c r="P272" s="11">
        <v>0.4</v>
      </c>
    </row>
    <row r="273" spans="1:16" x14ac:dyDescent="0.4">
      <c r="A273" s="18" t="str">
        <f>IF(D273="","",IF(D273=D272,LEFT(A272,LEN(A272)-2) &amp; RIGHT("00"&amp;COUNTIF($D$2:D273,D273),2),LEFT(A272,LEN(A272)-2)+1 &amp; "01"))</f>
        <v>11002</v>
      </c>
      <c r="B273" s="19">
        <f t="shared" si="8"/>
        <v>110</v>
      </c>
      <c r="C273" s="18">
        <f t="shared" si="9"/>
        <v>2</v>
      </c>
      <c r="D273" s="12" t="s">
        <v>129</v>
      </c>
      <c r="E273" t="s">
        <v>157</v>
      </c>
      <c r="F273" t="s">
        <v>130</v>
      </c>
      <c r="G273" t="s">
        <v>131</v>
      </c>
      <c r="H273" t="s">
        <v>57</v>
      </c>
      <c r="J273">
        <v>100</v>
      </c>
      <c r="K273">
        <v>10</v>
      </c>
      <c r="L273">
        <v>3</v>
      </c>
      <c r="M273">
        <v>10</v>
      </c>
      <c r="O273">
        <v>3</v>
      </c>
      <c r="P273" s="11">
        <v>0.6</v>
      </c>
    </row>
    <row r="274" spans="1:16" x14ac:dyDescent="0.4">
      <c r="A274" s="18" t="str">
        <f>IF(D274="","",IF(D274=D273,LEFT(A273,LEN(A273)-2) &amp; RIGHT("00"&amp;COUNTIF($D$2:D274,D274),2),LEFT(A273,LEN(A273)-2)+1 &amp; "01"))</f>
        <v>11101</v>
      </c>
      <c r="B274" s="19">
        <f t="shared" si="8"/>
        <v>111</v>
      </c>
      <c r="C274" s="18">
        <f t="shared" si="9"/>
        <v>1</v>
      </c>
      <c r="D274" s="12" t="s">
        <v>6</v>
      </c>
      <c r="E274" t="s">
        <v>7</v>
      </c>
      <c r="F274" t="s">
        <v>59</v>
      </c>
      <c r="J274">
        <v>5</v>
      </c>
      <c r="K274">
        <v>2</v>
      </c>
      <c r="O274">
        <v>2</v>
      </c>
      <c r="P274" s="11">
        <v>1</v>
      </c>
    </row>
    <row r="275" spans="1:16" x14ac:dyDescent="0.4">
      <c r="A275" s="18" t="str">
        <f>IF(D275="","",IF(D275=D274,LEFT(A274,LEN(A274)-2) &amp; RIGHT("00"&amp;COUNTIF($D$2:D275,D275),2),LEFT(A274,LEN(A274)-2)+1 &amp; "01"))</f>
        <v>11201</v>
      </c>
      <c r="B275" s="19">
        <f t="shared" si="8"/>
        <v>112</v>
      </c>
      <c r="C275" s="18">
        <f t="shared" si="9"/>
        <v>1</v>
      </c>
      <c r="D275" s="12" t="s">
        <v>105</v>
      </c>
      <c r="E275" t="s">
        <v>106</v>
      </c>
      <c r="F275" t="s">
        <v>104</v>
      </c>
      <c r="J275">
        <v>1</v>
      </c>
      <c r="K275">
        <v>1</v>
      </c>
      <c r="O275">
        <v>1</v>
      </c>
      <c r="P275" s="11">
        <v>30</v>
      </c>
    </row>
    <row r="276" spans="1:16" x14ac:dyDescent="0.4">
      <c r="A276" s="18" t="str">
        <f>IF(D276="","",IF(D276=D275,LEFT(A275,LEN(A275)-2) &amp; RIGHT("00"&amp;COUNTIF($D$2:D276,D276),2),LEFT(A275,LEN(A275)-2)+1 &amp; "01"))</f>
        <v>11301</v>
      </c>
      <c r="B276" s="19">
        <f t="shared" si="8"/>
        <v>113</v>
      </c>
      <c r="C276" s="18">
        <f t="shared" si="9"/>
        <v>1</v>
      </c>
      <c r="D276" s="12" t="s">
        <v>265</v>
      </c>
      <c r="E276" t="s">
        <v>114</v>
      </c>
      <c r="F276" t="s">
        <v>39</v>
      </c>
      <c r="G276" t="s">
        <v>106</v>
      </c>
      <c r="H276" t="s">
        <v>43</v>
      </c>
      <c r="I276" s="11" t="s">
        <v>33</v>
      </c>
      <c r="J276">
        <v>15</v>
      </c>
      <c r="K276">
        <v>10</v>
      </c>
      <c r="L276">
        <v>6</v>
      </c>
      <c r="M276">
        <v>6</v>
      </c>
      <c r="N276" s="11">
        <v>6</v>
      </c>
      <c r="O276">
        <v>20</v>
      </c>
      <c r="P276" s="11">
        <v>50</v>
      </c>
    </row>
    <row r="277" spans="1:16" x14ac:dyDescent="0.4">
      <c r="A277" s="18" t="str">
        <f>IF(D277="","",IF(D277=D276,LEFT(A276,LEN(A276)-2) &amp; RIGHT("00"&amp;COUNTIF($D$2:D277,D277),2),LEFT(A276,LEN(A276)-2)+1 &amp; "01"))</f>
        <v>11302</v>
      </c>
      <c r="B277" s="19">
        <f t="shared" si="8"/>
        <v>113</v>
      </c>
      <c r="C277" s="18">
        <f t="shared" si="9"/>
        <v>2</v>
      </c>
      <c r="D277" s="12" t="s">
        <v>265</v>
      </c>
      <c r="E277" t="s">
        <v>125</v>
      </c>
      <c r="F277" t="s">
        <v>114</v>
      </c>
      <c r="G277" t="s">
        <v>156</v>
      </c>
      <c r="H277" t="s">
        <v>137</v>
      </c>
      <c r="I277" s="11" t="s">
        <v>144</v>
      </c>
      <c r="J277">
        <v>5</v>
      </c>
      <c r="K277">
        <v>5</v>
      </c>
      <c r="L277">
        <v>3</v>
      </c>
      <c r="M277">
        <v>5</v>
      </c>
      <c r="N277" s="11">
        <v>8</v>
      </c>
      <c r="O277">
        <v>20</v>
      </c>
      <c r="P277" s="11">
        <v>100</v>
      </c>
    </row>
    <row r="278" spans="1:16" x14ac:dyDescent="0.4">
      <c r="A278" s="18" t="str">
        <f>IF(D278="","",IF(D278=D277,LEFT(A277,LEN(A277)-2) &amp; RIGHT("00"&amp;COUNTIF($D$2:D278,D278),2),LEFT(A277,LEN(A277)-2)+1 &amp; "01"))</f>
        <v>11401</v>
      </c>
      <c r="B278" s="19">
        <f t="shared" si="8"/>
        <v>114</v>
      </c>
      <c r="C278" s="18">
        <f t="shared" si="9"/>
        <v>1</v>
      </c>
      <c r="D278" s="12" t="s">
        <v>114</v>
      </c>
      <c r="E278" t="s">
        <v>120</v>
      </c>
      <c r="F278" t="s">
        <v>33</v>
      </c>
      <c r="J278">
        <v>1</v>
      </c>
      <c r="K278">
        <v>1200</v>
      </c>
      <c r="O278">
        <v>50</v>
      </c>
      <c r="P278" s="11">
        <v>10</v>
      </c>
    </row>
    <row r="279" spans="1:16" x14ac:dyDescent="0.4">
      <c r="A279" s="18" t="str">
        <f>IF(D279="","",IF(D279=D278,LEFT(A278,LEN(A278)-2) &amp; RIGHT("00"&amp;COUNTIF($D$2:D279,D279),2),LEFT(A278,LEN(A278)-2)+1 &amp; "01"))</f>
        <v>11501</v>
      </c>
      <c r="B279" s="19">
        <f t="shared" si="8"/>
        <v>115</v>
      </c>
      <c r="C279" s="18">
        <f t="shared" si="9"/>
        <v>1</v>
      </c>
      <c r="D279" s="12" t="s">
        <v>115</v>
      </c>
      <c r="E279" t="s">
        <v>246</v>
      </c>
      <c r="F279" t="s">
        <v>114</v>
      </c>
      <c r="J279">
        <v>100</v>
      </c>
      <c r="K279">
        <v>25</v>
      </c>
      <c r="O279">
        <v>30</v>
      </c>
      <c r="P279" s="11">
        <v>30</v>
      </c>
    </row>
    <row r="280" spans="1:16" x14ac:dyDescent="0.4">
      <c r="A280" s="18" t="str">
        <f>IF(D280="","",IF(D280=D279,LEFT(A279,LEN(A279)-2) &amp; RIGHT("00"&amp;COUNTIF($D$2:D280,D280),2),LEFT(A279,LEN(A279)-2)+1 &amp; "01"))</f>
        <v>11601</v>
      </c>
      <c r="B280" s="19">
        <f t="shared" si="8"/>
        <v>116</v>
      </c>
      <c r="C280" s="18">
        <f t="shared" si="9"/>
        <v>1</v>
      </c>
      <c r="D280" s="12" t="s">
        <v>116</v>
      </c>
      <c r="E280" t="s">
        <v>115</v>
      </c>
      <c r="F280" t="s">
        <v>50</v>
      </c>
      <c r="J280">
        <v>2</v>
      </c>
      <c r="K280">
        <v>4</v>
      </c>
      <c r="O280">
        <v>1</v>
      </c>
      <c r="P280" s="11">
        <v>5</v>
      </c>
    </row>
    <row r="281" spans="1:16" x14ac:dyDescent="0.4">
      <c r="A281" s="18" t="str">
        <f>IF(D281="","",IF(D281=D280,LEFT(A280,LEN(A280)-2) &amp; RIGHT("00"&amp;COUNTIF($D$2:D281,D281),2),LEFT(A280,LEN(A280)-2)+1 &amp; "01"))</f>
        <v>11602</v>
      </c>
      <c r="B281" s="19">
        <f t="shared" si="8"/>
        <v>116</v>
      </c>
      <c r="C281" s="18">
        <f t="shared" si="9"/>
        <v>2</v>
      </c>
      <c r="D281" s="12" t="s">
        <v>116</v>
      </c>
      <c r="E281" t="s">
        <v>246</v>
      </c>
      <c r="F281" t="s">
        <v>95</v>
      </c>
      <c r="J281">
        <v>150</v>
      </c>
      <c r="K281">
        <v>20</v>
      </c>
      <c r="O281">
        <v>20</v>
      </c>
      <c r="P281" s="11">
        <v>10</v>
      </c>
    </row>
    <row r="282" spans="1:16" x14ac:dyDescent="0.4">
      <c r="A282" s="18" t="str">
        <f>IF(D282="","",IF(D282=D281,LEFT(A281,LEN(A281)-2) &amp; RIGHT("00"&amp;COUNTIF($D$2:D282,D282),2),LEFT(A281,LEN(A281)-2)+1 &amp; "01"))</f>
        <v>11701</v>
      </c>
      <c r="B282" s="19">
        <f t="shared" si="8"/>
        <v>117</v>
      </c>
      <c r="C282" s="18">
        <f t="shared" si="9"/>
        <v>1</v>
      </c>
      <c r="D282" s="12" t="s">
        <v>117</v>
      </c>
      <c r="E282" t="s">
        <v>116</v>
      </c>
      <c r="F282" t="s">
        <v>54</v>
      </c>
      <c r="G282" t="s">
        <v>59</v>
      </c>
      <c r="H282" t="s">
        <v>97</v>
      </c>
      <c r="J282">
        <v>30</v>
      </c>
      <c r="K282">
        <v>18</v>
      </c>
      <c r="L282">
        <v>6</v>
      </c>
      <c r="M282">
        <v>10</v>
      </c>
      <c r="O282">
        <v>1</v>
      </c>
      <c r="P282" s="11">
        <v>0.25</v>
      </c>
    </row>
    <row r="283" spans="1:16" x14ac:dyDescent="0.4">
      <c r="A283" s="18" t="str">
        <f>IF(D283="","",IF(D283=D282,LEFT(A282,LEN(A282)-2) &amp; RIGHT("00"&amp;COUNTIF($D$2:D283,D283),2),LEFT(A282,LEN(A282)-2)+1 &amp; "01"))</f>
        <v>11702</v>
      </c>
      <c r="B283" s="19">
        <f t="shared" si="8"/>
        <v>117</v>
      </c>
      <c r="C283" s="18">
        <f t="shared" si="9"/>
        <v>2</v>
      </c>
      <c r="D283" s="12" t="s">
        <v>117</v>
      </c>
      <c r="E283" t="s">
        <v>132</v>
      </c>
      <c r="F283" t="s">
        <v>133</v>
      </c>
      <c r="J283">
        <v>20</v>
      </c>
      <c r="K283">
        <v>1</v>
      </c>
      <c r="O283">
        <v>1</v>
      </c>
      <c r="P283" s="11">
        <v>0.5</v>
      </c>
    </row>
    <row r="284" spans="1:16" x14ac:dyDescent="0.4">
      <c r="A284" s="18" t="str">
        <f>IF(D284="","",IF(D284=D283,LEFT(A283,LEN(A283)-2) &amp; RIGHT("00"&amp;COUNTIF($D$2:D284,D284),2),LEFT(A283,LEN(A283)-2)+1 &amp; "01"))</f>
        <v>11801</v>
      </c>
      <c r="B284" s="19">
        <f t="shared" si="8"/>
        <v>118</v>
      </c>
      <c r="C284" s="18">
        <f t="shared" si="9"/>
        <v>1</v>
      </c>
      <c r="D284" s="12" t="s">
        <v>118</v>
      </c>
      <c r="E284" t="s">
        <v>26</v>
      </c>
      <c r="J284">
        <v>30</v>
      </c>
      <c r="O284">
        <v>5</v>
      </c>
      <c r="P284" s="11">
        <v>50</v>
      </c>
    </row>
    <row r="285" spans="1:16" x14ac:dyDescent="0.4">
      <c r="A285" s="18" t="str">
        <f>IF(D285="","",IF(D285=D284,LEFT(A284,LEN(A284)-2) &amp; RIGHT("00"&amp;COUNTIF($D$2:D285,D285),2),LEFT(A284,LEN(A284)-2)+1 &amp; "01"))</f>
        <v>11901</v>
      </c>
      <c r="B285" s="19">
        <f t="shared" si="8"/>
        <v>119</v>
      </c>
      <c r="C285" s="18">
        <f t="shared" si="9"/>
        <v>1</v>
      </c>
      <c r="D285" s="12" t="s">
        <v>119</v>
      </c>
      <c r="E285" t="s">
        <v>108</v>
      </c>
      <c r="F285" t="s">
        <v>62</v>
      </c>
      <c r="J285">
        <v>1</v>
      </c>
      <c r="K285">
        <v>2</v>
      </c>
      <c r="O285">
        <v>1</v>
      </c>
      <c r="P285" s="11">
        <v>1</v>
      </c>
    </row>
    <row r="286" spans="1:16" x14ac:dyDescent="0.4">
      <c r="A286" s="18" t="str">
        <f>IF(D286="","",IF(D286=D285,LEFT(A285,LEN(A285)-2) &amp; RIGHT("00"&amp;COUNTIF($D$2:D286,D286),2),LEFT(A285,LEN(A285)-2)+1 &amp; "01"))</f>
        <v>12001</v>
      </c>
      <c r="B286" s="19">
        <f t="shared" si="8"/>
        <v>120</v>
      </c>
      <c r="C286" s="18">
        <f t="shared" si="9"/>
        <v>1</v>
      </c>
      <c r="D286" s="12" t="s">
        <v>14</v>
      </c>
      <c r="E286" t="s">
        <v>118</v>
      </c>
      <c r="F286" t="s">
        <v>111</v>
      </c>
      <c r="J286">
        <v>200</v>
      </c>
      <c r="K286">
        <v>1</v>
      </c>
      <c r="O286">
        <v>1</v>
      </c>
      <c r="P286" s="11">
        <v>0.5</v>
      </c>
    </row>
    <row r="287" spans="1:16" x14ac:dyDescent="0.4">
      <c r="A287" s="18" t="str">
        <f>IF(D287="","",IF(D287=D286,LEFT(A286,LEN(A286)-2) &amp; RIGHT("00"&amp;COUNTIF($D$2:D287,D287),2),LEFT(A286,LEN(A286)-2)+1 &amp; "01"))</f>
        <v>12101</v>
      </c>
      <c r="B287" s="19">
        <f t="shared" si="8"/>
        <v>121</v>
      </c>
      <c r="C287" s="18">
        <f t="shared" si="9"/>
        <v>1</v>
      </c>
      <c r="D287" s="12" t="s">
        <v>220</v>
      </c>
      <c r="E287" t="s">
        <v>185</v>
      </c>
      <c r="F287" t="s">
        <v>221</v>
      </c>
      <c r="J287">
        <v>4</v>
      </c>
      <c r="K287">
        <v>24</v>
      </c>
      <c r="O287">
        <v>1</v>
      </c>
      <c r="P287" s="11">
        <v>10</v>
      </c>
    </row>
    <row r="288" spans="1:16" x14ac:dyDescent="0.4">
      <c r="A288" s="18" t="str">
        <f>IF(D288="","",IF(D288=D287,LEFT(A287,LEN(A287)-2) &amp; RIGHT("00"&amp;COUNTIF($D$2:D288,D288),2),LEFT(A287,LEN(A287)-2)+1 &amp; "01"))</f>
        <v>12102</v>
      </c>
      <c r="B288" s="19">
        <f t="shared" si="8"/>
        <v>121</v>
      </c>
      <c r="C288" s="18">
        <f t="shared" si="9"/>
        <v>2</v>
      </c>
      <c r="D288" s="12" t="s">
        <v>220</v>
      </c>
      <c r="E288" t="s">
        <v>185</v>
      </c>
      <c r="F288" t="s">
        <v>29</v>
      </c>
      <c r="J288">
        <v>2</v>
      </c>
      <c r="K288">
        <v>4</v>
      </c>
      <c r="O288">
        <v>1</v>
      </c>
      <c r="P288" s="11">
        <v>30</v>
      </c>
    </row>
    <row r="289" spans="1:16" x14ac:dyDescent="0.4">
      <c r="A289" s="18" t="str">
        <f>IF(D289="","",IF(D289=D288,LEFT(A288,LEN(A288)-2) &amp; RIGHT("00"&amp;COUNTIF($D$2:D289,D289),2),LEFT(A288,LEN(A288)-2)+1 &amp; "01"))</f>
        <v>12103</v>
      </c>
      <c r="B289" s="19">
        <f t="shared" si="8"/>
        <v>121</v>
      </c>
      <c r="C289" s="18">
        <f t="shared" si="9"/>
        <v>3</v>
      </c>
      <c r="D289" s="12" t="s">
        <v>220</v>
      </c>
      <c r="E289" t="s">
        <v>185</v>
      </c>
      <c r="F289" t="s">
        <v>28</v>
      </c>
      <c r="J289">
        <v>3</v>
      </c>
      <c r="K289">
        <v>4</v>
      </c>
      <c r="O289">
        <v>1</v>
      </c>
      <c r="P289" s="11">
        <v>15</v>
      </c>
    </row>
    <row r="290" spans="1:16" x14ac:dyDescent="0.4">
      <c r="A290" s="18" t="str">
        <f>IF(D290="","",IF(D290=D289,LEFT(A289,LEN(A289)-2) &amp; RIGHT("00"&amp;COUNTIF($D$2:D290,D290),2),LEFT(A289,LEN(A289)-2)+1 &amp; "01"))</f>
        <v>12201</v>
      </c>
      <c r="B290" s="19">
        <f t="shared" si="8"/>
        <v>122</v>
      </c>
      <c r="C290" s="18">
        <f t="shared" si="9"/>
        <v>1</v>
      </c>
      <c r="D290" s="12" t="s">
        <v>222</v>
      </c>
      <c r="E290" t="s">
        <v>220</v>
      </c>
      <c r="J290">
        <v>1</v>
      </c>
      <c r="O290">
        <v>3</v>
      </c>
      <c r="P290" s="11">
        <v>30</v>
      </c>
    </row>
    <row r="291" spans="1:16" x14ac:dyDescent="0.4">
      <c r="A291" s="18" t="str">
        <f>IF(D291="","",IF(D291=D290,LEFT(A290,LEN(A290)-2) &amp; RIGHT("00"&amp;COUNTIF($D$2:D291,D291),2),LEFT(A290,LEN(A290)-2)+1 &amp; "01"))</f>
        <v>12301</v>
      </c>
      <c r="B291" s="19">
        <f t="shared" si="8"/>
        <v>123</v>
      </c>
      <c r="C291" s="18">
        <f t="shared" si="9"/>
        <v>1</v>
      </c>
      <c r="D291" s="12" t="s">
        <v>223</v>
      </c>
      <c r="E291" t="s">
        <v>206</v>
      </c>
      <c r="J291">
        <v>20</v>
      </c>
      <c r="O291">
        <v>1</v>
      </c>
      <c r="P291" s="11">
        <v>30</v>
      </c>
    </row>
    <row r="292" spans="1:16" x14ac:dyDescent="0.4">
      <c r="A292" s="18" t="str">
        <f>IF(D292="","",IF(D292=D291,LEFT(A291,LEN(A291)-2) &amp; RIGHT("00"&amp;COUNTIF($D$2:D292,D292),2),LEFT(A291,LEN(A291)-2)+1 &amp; "01"))</f>
        <v>12302</v>
      </c>
      <c r="B292" s="19">
        <f t="shared" si="8"/>
        <v>123</v>
      </c>
      <c r="C292" s="18">
        <f t="shared" si="9"/>
        <v>2</v>
      </c>
      <c r="D292" s="12" t="s">
        <v>223</v>
      </c>
      <c r="E292" t="s">
        <v>206</v>
      </c>
      <c r="F292" t="s">
        <v>53</v>
      </c>
      <c r="J292">
        <v>12</v>
      </c>
      <c r="K292">
        <v>24</v>
      </c>
      <c r="O292">
        <v>1</v>
      </c>
      <c r="P292" s="11">
        <v>20</v>
      </c>
    </row>
    <row r="293" spans="1:16" x14ac:dyDescent="0.4">
      <c r="A293" s="18" t="str">
        <f>IF(D293="","",IF(D293=D292,LEFT(A292,LEN(A292)-2) &amp; RIGHT("00"&amp;COUNTIF($D$2:D293,D293),2),LEFT(A292,LEN(A292)-2)+1 &amp; "01"))</f>
        <v>12303</v>
      </c>
      <c r="B293" s="19">
        <f t="shared" si="8"/>
        <v>123</v>
      </c>
      <c r="C293" s="18">
        <f t="shared" si="9"/>
        <v>3</v>
      </c>
      <c r="D293" s="12" t="s">
        <v>223</v>
      </c>
      <c r="E293" t="s">
        <v>206</v>
      </c>
      <c r="F293" t="s">
        <v>219</v>
      </c>
      <c r="J293">
        <v>8</v>
      </c>
      <c r="K293">
        <v>3</v>
      </c>
      <c r="O293">
        <v>1</v>
      </c>
      <c r="P293" s="11">
        <v>15</v>
      </c>
    </row>
    <row r="294" spans="1:16" x14ac:dyDescent="0.4">
      <c r="A294" s="18" t="str">
        <f>IF(D294="","",IF(D294=D293,LEFT(A293,LEN(A293)-2) &amp; RIGHT("00"&amp;COUNTIF($D$2:D294,D294),2),LEFT(A293,LEN(A293)-2)+1 &amp; "01"))</f>
        <v>12304</v>
      </c>
      <c r="B294" s="19">
        <f t="shared" si="8"/>
        <v>123</v>
      </c>
      <c r="C294" s="18">
        <f t="shared" si="9"/>
        <v>4</v>
      </c>
      <c r="D294" s="12" t="s">
        <v>223</v>
      </c>
      <c r="E294" t="s">
        <v>71</v>
      </c>
      <c r="J294">
        <v>10</v>
      </c>
      <c r="O294">
        <v>2</v>
      </c>
      <c r="P294" s="11">
        <v>40</v>
      </c>
    </row>
    <row r="295" spans="1:16" x14ac:dyDescent="0.4">
      <c r="A295" s="18" t="str">
        <f>IF(D295="","",IF(D295=D294,LEFT(A294,LEN(A294)-2) &amp; RIGHT("00"&amp;COUNTIF($D$2:D295,D295),2),LEFT(A294,LEN(A294)-2)+1 &amp; "01"))</f>
        <v>12305</v>
      </c>
      <c r="B295" s="19">
        <f t="shared" si="8"/>
        <v>123</v>
      </c>
      <c r="C295" s="18">
        <f t="shared" si="9"/>
        <v>5</v>
      </c>
      <c r="D295" s="12" t="s">
        <v>223</v>
      </c>
      <c r="E295" t="s">
        <v>158</v>
      </c>
      <c r="J295">
        <v>24</v>
      </c>
      <c r="O295">
        <v>1</v>
      </c>
      <c r="P295" s="11">
        <v>30</v>
      </c>
    </row>
    <row r="296" spans="1:16" x14ac:dyDescent="0.4">
      <c r="A296" s="18" t="str">
        <f>IF(D296="","",IF(D296=D295,LEFT(A295,LEN(A295)-2) &amp; RIGHT("00"&amp;COUNTIF($D$2:D296,D296),2),LEFT(A295,LEN(A295)-2)+1 &amp; "01"))</f>
        <v>12306</v>
      </c>
      <c r="B296" s="19">
        <f t="shared" si="8"/>
        <v>123</v>
      </c>
      <c r="C296" s="18">
        <f t="shared" si="9"/>
        <v>6</v>
      </c>
      <c r="D296" s="12" t="s">
        <v>223</v>
      </c>
      <c r="E296" t="s">
        <v>206</v>
      </c>
      <c r="F296" t="s">
        <v>224</v>
      </c>
      <c r="J296">
        <v>30</v>
      </c>
      <c r="K296">
        <v>2</v>
      </c>
      <c r="O296">
        <v>3</v>
      </c>
      <c r="P296" s="11">
        <v>60</v>
      </c>
    </row>
    <row r="297" spans="1:16" x14ac:dyDescent="0.4">
      <c r="A297" s="18" t="str">
        <f>IF(D297="","",IF(D297=D296,LEFT(A296,LEN(A296)-2) &amp; RIGHT("00"&amp;COUNTIF($D$2:D297,D297),2),LEFT(A296,LEN(A296)-2)+1 &amp; "01"))</f>
        <v>12401</v>
      </c>
      <c r="B297" s="19">
        <f t="shared" si="8"/>
        <v>124</v>
      </c>
      <c r="C297" s="18">
        <f t="shared" si="9"/>
        <v>1</v>
      </c>
      <c r="D297" s="12" t="s">
        <v>179</v>
      </c>
      <c r="E297" t="s">
        <v>223</v>
      </c>
      <c r="J297">
        <v>2</v>
      </c>
      <c r="O297">
        <v>1</v>
      </c>
      <c r="P297" s="11">
        <v>6</v>
      </c>
    </row>
    <row r="298" spans="1:16" x14ac:dyDescent="0.4">
      <c r="A298" s="18" t="str">
        <f>IF(D298="","",IF(D298=D297,LEFT(A297,LEN(A297)-2) &amp; RIGHT("00"&amp;COUNTIF($D$2:D298,D298),2),LEFT(A297,LEN(A297)-2)+1 &amp; "01"))</f>
        <v>12501</v>
      </c>
      <c r="B298" s="19">
        <f t="shared" si="8"/>
        <v>125</v>
      </c>
      <c r="C298" s="18">
        <f t="shared" si="9"/>
        <v>1</v>
      </c>
      <c r="D298" s="12" t="s">
        <v>226</v>
      </c>
      <c r="E298" t="s">
        <v>227</v>
      </c>
      <c r="F298" t="s">
        <v>228</v>
      </c>
      <c r="G298" t="s">
        <v>229</v>
      </c>
      <c r="J298">
        <v>1</v>
      </c>
      <c r="K298">
        <v>80</v>
      </c>
      <c r="L298">
        <v>20</v>
      </c>
      <c r="O298">
        <v>4</v>
      </c>
      <c r="P298" s="11">
        <v>2</v>
      </c>
    </row>
    <row r="299" spans="1:16" x14ac:dyDescent="0.4">
      <c r="A299" s="18" t="str">
        <f>IF(D299="","",IF(D299=D298,LEFT(A298,LEN(A298)-2) &amp; RIGHT("00"&amp;COUNTIF($D$2:D299,D299),2),LEFT(A298,LEN(A298)-2)+1 &amp; "01"))</f>
        <v>12601</v>
      </c>
      <c r="B299" s="19">
        <f t="shared" si="8"/>
        <v>126</v>
      </c>
      <c r="C299" s="18">
        <f t="shared" si="9"/>
        <v>1</v>
      </c>
      <c r="D299" s="12" t="s">
        <v>181</v>
      </c>
      <c r="O299">
        <v>10</v>
      </c>
      <c r="P299" s="11">
        <v>200</v>
      </c>
    </row>
    <row r="300" spans="1:16" x14ac:dyDescent="0.4">
      <c r="A300" s="18" t="str">
        <f>IF(D300="","",IF(D300=D299,LEFT(A299,LEN(A299)-2) &amp; RIGHT("00"&amp;COUNTIF($D$2:D300,D300),2),LEFT(A299,LEN(A299)-2)+1 &amp; "01"))</f>
        <v>12701</v>
      </c>
      <c r="B300" s="19">
        <f t="shared" si="8"/>
        <v>127</v>
      </c>
      <c r="C300" s="18">
        <f t="shared" si="9"/>
        <v>1</v>
      </c>
      <c r="D300" s="12" t="s">
        <v>182</v>
      </c>
      <c r="E300" t="s">
        <v>185</v>
      </c>
      <c r="J300">
        <v>5</v>
      </c>
      <c r="O300">
        <v>10</v>
      </c>
      <c r="P300" s="11">
        <v>100</v>
      </c>
    </row>
    <row r="301" spans="1:16" x14ac:dyDescent="0.4">
      <c r="A301" s="18" t="str">
        <f>IF(D301="","",IF(D301=D300,LEFT(A300,LEN(A300)-2) &amp; RIGHT("00"&amp;COUNTIF($D$2:D301,D301),2),LEFT(A300,LEN(A300)-2)+1 &amp; "01"))</f>
        <v>12702</v>
      </c>
      <c r="B301" s="19">
        <f t="shared" si="8"/>
        <v>127</v>
      </c>
      <c r="C301" s="18">
        <f t="shared" si="9"/>
        <v>2</v>
      </c>
      <c r="D301" s="12" t="s">
        <v>182</v>
      </c>
      <c r="E301" t="s">
        <v>180</v>
      </c>
      <c r="F301" t="s">
        <v>96</v>
      </c>
      <c r="G301" t="s">
        <v>253</v>
      </c>
      <c r="H301" t="s">
        <v>181</v>
      </c>
      <c r="I301" s="11" t="s">
        <v>254</v>
      </c>
      <c r="J301">
        <v>6</v>
      </c>
      <c r="K301">
        <v>1</v>
      </c>
      <c r="L301">
        <v>9</v>
      </c>
      <c r="M301">
        <v>25</v>
      </c>
      <c r="N301" s="11">
        <v>1</v>
      </c>
      <c r="O301">
        <v>25</v>
      </c>
      <c r="P301" s="11">
        <v>125</v>
      </c>
    </row>
    <row r="302" spans="1:16" x14ac:dyDescent="0.4">
      <c r="A302" s="18" t="str">
        <f>IF(D302="","",IF(D302=D301,LEFT(A301,LEN(A301)-2) &amp; RIGHT("00"&amp;COUNTIF($D$2:D302,D302),2),LEFT(A301,LEN(A301)-2)+1 &amp; "01"))</f>
        <v>12703</v>
      </c>
      <c r="B302" s="19">
        <f t="shared" si="8"/>
        <v>127</v>
      </c>
      <c r="C302" s="18">
        <f t="shared" si="9"/>
        <v>3</v>
      </c>
      <c r="D302" s="12" t="s">
        <v>182</v>
      </c>
      <c r="E302" t="s">
        <v>179</v>
      </c>
      <c r="F302" t="s">
        <v>55</v>
      </c>
      <c r="G302" t="s">
        <v>255</v>
      </c>
      <c r="H302" t="s">
        <v>181</v>
      </c>
      <c r="I302" s="11" t="s">
        <v>256</v>
      </c>
      <c r="J302">
        <v>5</v>
      </c>
      <c r="K302">
        <v>1</v>
      </c>
      <c r="L302">
        <v>15</v>
      </c>
      <c r="M302">
        <v>25</v>
      </c>
      <c r="N302" s="11">
        <v>1</v>
      </c>
      <c r="O302">
        <v>25</v>
      </c>
      <c r="P302" s="11">
        <v>75</v>
      </c>
    </row>
    <row r="303" spans="1:16" x14ac:dyDescent="0.4">
      <c r="A303" s="18" t="str">
        <f>IF(D303="","",IF(D303=D302,LEFT(A302,LEN(A302)-2) &amp; RIGHT("00"&amp;COUNTIF($D$2:D303,D303),2),LEFT(A302,LEN(A302)-2)+1 &amp; "01"))</f>
        <v>12704</v>
      </c>
      <c r="B303" s="19">
        <f t="shared" si="8"/>
        <v>127</v>
      </c>
      <c r="C303" s="18">
        <f t="shared" si="9"/>
        <v>4</v>
      </c>
      <c r="D303" s="12" t="s">
        <v>182</v>
      </c>
      <c r="E303" t="s">
        <v>257</v>
      </c>
      <c r="F303" t="s">
        <v>256</v>
      </c>
      <c r="G303" t="s">
        <v>254</v>
      </c>
      <c r="H303" t="s">
        <v>181</v>
      </c>
      <c r="I303" s="11" t="s">
        <v>258</v>
      </c>
      <c r="J303">
        <v>1</v>
      </c>
      <c r="K303">
        <v>1</v>
      </c>
      <c r="L303">
        <v>1</v>
      </c>
      <c r="M303">
        <v>25</v>
      </c>
      <c r="N303" s="11">
        <v>1</v>
      </c>
      <c r="O303">
        <v>25</v>
      </c>
      <c r="P303" s="11">
        <v>100</v>
      </c>
    </row>
    <row r="304" spans="1:16" x14ac:dyDescent="0.4">
      <c r="A304" s="18" t="str">
        <f>IF(D304="","",IF(D304=D303,LEFT(A303,LEN(A303)-2) &amp; RIGHT("00"&amp;COUNTIF($D$2:D304,D304),2),LEFT(A303,LEN(A303)-2)+1 &amp; "01"))</f>
        <v>12705</v>
      </c>
      <c r="B304" s="19">
        <f t="shared" si="8"/>
        <v>127</v>
      </c>
      <c r="C304" s="18">
        <f t="shared" si="9"/>
        <v>5</v>
      </c>
      <c r="D304" s="12" t="s">
        <v>182</v>
      </c>
      <c r="E304" t="s">
        <v>259</v>
      </c>
      <c r="F304" t="s">
        <v>187</v>
      </c>
      <c r="G304" t="s">
        <v>255</v>
      </c>
      <c r="H304" t="s">
        <v>181</v>
      </c>
      <c r="I304" s="11" t="s">
        <v>260</v>
      </c>
      <c r="J304">
        <v>2</v>
      </c>
      <c r="K304">
        <v>2</v>
      </c>
      <c r="L304">
        <v>40</v>
      </c>
      <c r="M304">
        <v>20</v>
      </c>
      <c r="N304" s="11">
        <v>1</v>
      </c>
      <c r="O304">
        <v>20</v>
      </c>
      <c r="P304" s="11">
        <v>50</v>
      </c>
    </row>
    <row r="305" spans="1:16" x14ac:dyDescent="0.4">
      <c r="A305" s="18" t="str">
        <f>IF(D305="","",IF(D305=D304,LEFT(A304,LEN(A304)-2) &amp; RIGHT("00"&amp;COUNTIF($D$2:D305,D305),2),LEFT(A304,LEN(A304)-2)+1 &amp; "01"))</f>
        <v>12706</v>
      </c>
      <c r="B305" s="19">
        <f t="shared" si="8"/>
        <v>127</v>
      </c>
      <c r="C305" s="18">
        <f t="shared" si="9"/>
        <v>6</v>
      </c>
      <c r="D305" s="12" t="s">
        <v>182</v>
      </c>
      <c r="E305" t="s">
        <v>179</v>
      </c>
      <c r="F305" t="s">
        <v>180</v>
      </c>
      <c r="G305" t="s">
        <v>98</v>
      </c>
      <c r="H305" t="s">
        <v>181</v>
      </c>
      <c r="I305" s="11" t="s">
        <v>172</v>
      </c>
      <c r="J305">
        <v>2</v>
      </c>
      <c r="K305">
        <v>2</v>
      </c>
      <c r="L305">
        <v>12</v>
      </c>
      <c r="M305">
        <v>12</v>
      </c>
      <c r="N305" s="11">
        <v>1</v>
      </c>
      <c r="O305">
        <v>12</v>
      </c>
      <c r="P305" s="11">
        <v>60</v>
      </c>
    </row>
    <row r="306" spans="1:16" x14ac:dyDescent="0.4">
      <c r="A306" s="18" t="str">
        <f>IF(D306="","",IF(D306=D305,LEFT(A305,LEN(A305)-2) &amp; RIGHT("00"&amp;COUNTIF($D$2:D306,D306),2),LEFT(A305,LEN(A305)-2)+1 &amp; "01"))</f>
        <v>12707</v>
      </c>
      <c r="B306" s="19">
        <f t="shared" si="8"/>
        <v>127</v>
      </c>
      <c r="C306" s="18">
        <f t="shared" si="9"/>
        <v>7</v>
      </c>
      <c r="D306" s="12" t="s">
        <v>182</v>
      </c>
      <c r="E306" t="s">
        <v>188</v>
      </c>
      <c r="F306" t="s">
        <v>172</v>
      </c>
      <c r="G306" t="s">
        <v>254</v>
      </c>
      <c r="H306" t="s">
        <v>181</v>
      </c>
      <c r="I306" s="11" t="s">
        <v>261</v>
      </c>
      <c r="J306">
        <v>5</v>
      </c>
      <c r="K306">
        <v>3</v>
      </c>
      <c r="L306">
        <v>3</v>
      </c>
      <c r="M306">
        <v>24</v>
      </c>
      <c r="N306" s="11">
        <v>1</v>
      </c>
      <c r="O306">
        <v>24</v>
      </c>
      <c r="P306" s="11">
        <v>60</v>
      </c>
    </row>
    <row r="307" spans="1:16" x14ac:dyDescent="0.4">
      <c r="A307" s="18" t="str">
        <f>IF(D307="","",IF(D307=D306,LEFT(A306,LEN(A306)-2) &amp; RIGHT("00"&amp;COUNTIF($D$2:D307,D307),2),LEFT(A306,LEN(A306)-2)+1 &amp; "01"))</f>
        <v>12801</v>
      </c>
      <c r="B307" s="19">
        <f t="shared" si="8"/>
        <v>128</v>
      </c>
      <c r="C307" s="18">
        <f t="shared" si="9"/>
        <v>1</v>
      </c>
      <c r="D307" s="12" t="s">
        <v>180</v>
      </c>
      <c r="E307" t="s">
        <v>223</v>
      </c>
      <c r="F307" t="s">
        <v>182</v>
      </c>
      <c r="J307">
        <v>1</v>
      </c>
      <c r="K307">
        <v>5</v>
      </c>
      <c r="O307">
        <v>1</v>
      </c>
      <c r="P307" s="11">
        <v>30</v>
      </c>
    </row>
    <row r="308" spans="1:16" x14ac:dyDescent="0.4">
      <c r="A308" s="18" t="str">
        <f>IF(D308="","",IF(D308=D307,LEFT(A307,LEN(A307)-2) &amp; RIGHT("00"&amp;COUNTIF($D$2:D308,D308),2),LEFT(A307,LEN(A307)-2)+1 &amp; "01"))</f>
        <v>12802</v>
      </c>
      <c r="B308" s="19">
        <f t="shared" si="8"/>
        <v>128</v>
      </c>
      <c r="C308" s="18">
        <f t="shared" si="9"/>
        <v>2</v>
      </c>
      <c r="D308" s="12" t="s">
        <v>180</v>
      </c>
      <c r="E308" t="s">
        <v>179</v>
      </c>
      <c r="F308" t="s">
        <v>182</v>
      </c>
      <c r="J308">
        <v>1</v>
      </c>
      <c r="K308">
        <v>5</v>
      </c>
      <c r="O308">
        <v>2</v>
      </c>
      <c r="P308" s="11">
        <v>60</v>
      </c>
    </row>
    <row r="309" spans="1:16" x14ac:dyDescent="0.4">
      <c r="A309" s="18" t="str">
        <f>IF(D309="","",IF(D309=D308,LEFT(A308,LEN(A308)-2) &amp; RIGHT("00"&amp;COUNTIF($D$2:D309,D309),2),LEFT(A308,LEN(A308)-2)+1 &amp; "01"))</f>
        <v>12803</v>
      </c>
      <c r="B309" s="19">
        <f t="shared" si="8"/>
        <v>128</v>
      </c>
      <c r="C309" s="18">
        <f t="shared" si="9"/>
        <v>3</v>
      </c>
      <c r="D309" s="12" t="s">
        <v>180</v>
      </c>
      <c r="E309" t="s">
        <v>182</v>
      </c>
      <c r="J309">
        <v>10</v>
      </c>
      <c r="O309">
        <v>1</v>
      </c>
      <c r="P309" s="11">
        <v>20</v>
      </c>
    </row>
    <row r="310" spans="1:16" x14ac:dyDescent="0.4">
      <c r="A310" s="18" t="str">
        <f>IF(D310="","",IF(D310=D309,LEFT(A309,LEN(A309)-2) &amp; RIGHT("00"&amp;COUNTIF($D$2:D310,D310),2),LEFT(A309,LEN(A309)-2)+1 &amp; "01"))</f>
        <v>12901</v>
      </c>
      <c r="B310" s="19">
        <f t="shared" si="8"/>
        <v>129</v>
      </c>
      <c r="C310" s="18">
        <f t="shared" si="9"/>
        <v>1</v>
      </c>
      <c r="D310" s="12" t="s">
        <v>254</v>
      </c>
      <c r="E310" t="s">
        <v>180</v>
      </c>
      <c r="F310" t="s">
        <v>96</v>
      </c>
      <c r="G310" t="s">
        <v>253</v>
      </c>
      <c r="H310" t="s">
        <v>181</v>
      </c>
      <c r="I310" s="11" t="s">
        <v>182</v>
      </c>
      <c r="J310">
        <v>6</v>
      </c>
      <c r="K310">
        <v>1</v>
      </c>
      <c r="L310">
        <v>9</v>
      </c>
      <c r="M310">
        <v>25</v>
      </c>
      <c r="N310" s="11">
        <v>25</v>
      </c>
      <c r="O310">
        <v>1</v>
      </c>
      <c r="P310" s="11">
        <v>5</v>
      </c>
    </row>
    <row r="311" spans="1:16" x14ac:dyDescent="0.4">
      <c r="A311" s="18" t="str">
        <f>IF(D311="","",IF(D311=D310,LEFT(A310,LEN(A310)-2) &amp; RIGHT("00"&amp;COUNTIF($D$2:D311,D311),2),LEFT(A310,LEN(A310)-2)+1 &amp; "01"))</f>
        <v>13001</v>
      </c>
      <c r="B311" s="19">
        <f t="shared" si="8"/>
        <v>130</v>
      </c>
      <c r="C311" s="18">
        <f t="shared" si="9"/>
        <v>1</v>
      </c>
      <c r="D311" s="12" t="s">
        <v>256</v>
      </c>
      <c r="E311" t="s">
        <v>179</v>
      </c>
      <c r="F311" t="s">
        <v>55</v>
      </c>
      <c r="G311" t="s">
        <v>255</v>
      </c>
      <c r="H311" t="s">
        <v>181</v>
      </c>
      <c r="I311" s="11" t="s">
        <v>182</v>
      </c>
      <c r="J311">
        <v>5</v>
      </c>
      <c r="K311">
        <v>1</v>
      </c>
      <c r="L311">
        <v>15</v>
      </c>
      <c r="M311">
        <v>25</v>
      </c>
      <c r="N311" s="11">
        <v>25</v>
      </c>
      <c r="O311">
        <v>1</v>
      </c>
      <c r="P311" s="11">
        <v>3</v>
      </c>
    </row>
    <row r="312" spans="1:16" x14ac:dyDescent="0.4">
      <c r="A312" s="18" t="str">
        <f>IF(D312="","",IF(D312=D311,LEFT(A311,LEN(A311)-2) &amp; RIGHT("00"&amp;COUNTIF($D$2:D312,D312),2),LEFT(A311,LEN(A311)-2)+1 &amp; "01"))</f>
        <v>13101</v>
      </c>
      <c r="B312" s="19">
        <f t="shared" si="8"/>
        <v>131</v>
      </c>
      <c r="C312" s="18">
        <f t="shared" si="9"/>
        <v>1</v>
      </c>
      <c r="D312" s="12" t="s">
        <v>262</v>
      </c>
      <c r="E312" t="s">
        <v>257</v>
      </c>
      <c r="F312" t="s">
        <v>256</v>
      </c>
      <c r="G312" t="s">
        <v>254</v>
      </c>
      <c r="H312" t="s">
        <v>181</v>
      </c>
      <c r="I312" s="11" t="s">
        <v>182</v>
      </c>
      <c r="J312">
        <v>1</v>
      </c>
      <c r="K312">
        <v>1</v>
      </c>
      <c r="L312">
        <v>1</v>
      </c>
      <c r="M312">
        <v>25</v>
      </c>
      <c r="N312" s="11">
        <v>25</v>
      </c>
      <c r="O312">
        <v>1</v>
      </c>
      <c r="P312" s="11">
        <v>4</v>
      </c>
    </row>
    <row r="313" spans="1:16" x14ac:dyDescent="0.4">
      <c r="A313" s="18" t="str">
        <f>IF(D313="","",IF(D313=D312,LEFT(A312,LEN(A312)-2) &amp; RIGHT("00"&amp;COUNTIF($D$2:D313,D313),2),LEFT(A312,LEN(A312)-2)+1 &amp; "01"))</f>
        <v>13201</v>
      </c>
      <c r="B313" s="19">
        <f t="shared" si="8"/>
        <v>132</v>
      </c>
      <c r="C313" s="18">
        <f t="shared" si="9"/>
        <v>1</v>
      </c>
      <c r="D313" s="12" t="s">
        <v>259</v>
      </c>
      <c r="E313" t="s">
        <v>263</v>
      </c>
      <c r="F313" t="s">
        <v>264</v>
      </c>
      <c r="G313" t="s">
        <v>182</v>
      </c>
      <c r="J313">
        <v>1</v>
      </c>
      <c r="K313">
        <v>1</v>
      </c>
      <c r="L313">
        <v>20</v>
      </c>
      <c r="O313">
        <v>1</v>
      </c>
      <c r="P313" s="11">
        <v>10</v>
      </c>
    </row>
    <row r="314" spans="1:16" x14ac:dyDescent="0.4">
      <c r="A314" s="18" t="str">
        <f>IF(D314="","",IF(D314=D313,LEFT(A313,LEN(A313)-2) &amp; RIGHT("00"&amp;COUNTIF($D$2:D314,D314),2),LEFT(A313,LEN(A313)-2)+1 &amp; "01"))</f>
        <v>13301</v>
      </c>
      <c r="B314" s="19">
        <f t="shared" si="8"/>
        <v>133</v>
      </c>
      <c r="C314" s="18">
        <f t="shared" si="9"/>
        <v>1</v>
      </c>
      <c r="D314" s="12" t="s">
        <v>266</v>
      </c>
      <c r="E314" t="s">
        <v>267</v>
      </c>
      <c r="F314" t="s">
        <v>33</v>
      </c>
      <c r="J314">
        <v>1</v>
      </c>
      <c r="K314">
        <v>2400</v>
      </c>
      <c r="O314">
        <v>10</v>
      </c>
      <c r="P314" s="11">
        <v>1</v>
      </c>
    </row>
    <row r="315" spans="1:16" x14ac:dyDescent="0.4">
      <c r="A315" s="18" t="str">
        <f>IF(D315="","",IF(D315=D314,LEFT(A314,LEN(A314)-2) &amp; RIGHT("00"&amp;COUNTIF($D$2:D315,D315),2),LEFT(A314,LEN(A314)-2)+1 &amp; "01"))</f>
        <v>13401</v>
      </c>
      <c r="B315" s="19">
        <f t="shared" si="8"/>
        <v>134</v>
      </c>
      <c r="C315" s="18">
        <f t="shared" si="9"/>
        <v>1</v>
      </c>
      <c r="D315" s="12" t="s">
        <v>264</v>
      </c>
      <c r="E315" t="s">
        <v>268</v>
      </c>
      <c r="F315" t="s">
        <v>180</v>
      </c>
      <c r="G315" t="s">
        <v>269</v>
      </c>
      <c r="H315" t="s">
        <v>50</v>
      </c>
      <c r="J315">
        <v>1</v>
      </c>
      <c r="K315">
        <v>20</v>
      </c>
      <c r="L315">
        <v>100</v>
      </c>
      <c r="M315">
        <v>200</v>
      </c>
      <c r="O315">
        <v>10</v>
      </c>
      <c r="P315" s="11">
        <v>10</v>
      </c>
    </row>
    <row r="316" spans="1:16" x14ac:dyDescent="0.4">
      <c r="A316" s="18" t="str">
        <f>IF(D316="","",IF(D316=D315,LEFT(A315,LEN(A315)-2) &amp; RIGHT("00"&amp;COUNTIF($D$2:D316,D316),2),LEFT(A315,LEN(A315)-2)+1 &amp; "01"))</f>
        <v>13501</v>
      </c>
      <c r="B316" s="19">
        <f t="shared" si="8"/>
        <v>135</v>
      </c>
      <c r="C316" s="18">
        <f t="shared" si="9"/>
        <v>1</v>
      </c>
      <c r="D316" s="12" t="s">
        <v>260</v>
      </c>
      <c r="E316" t="s">
        <v>259</v>
      </c>
      <c r="F316" t="s">
        <v>187</v>
      </c>
      <c r="G316" t="s">
        <v>255</v>
      </c>
      <c r="H316" t="s">
        <v>181</v>
      </c>
      <c r="I316" s="11" t="s">
        <v>182</v>
      </c>
      <c r="J316">
        <v>2</v>
      </c>
      <c r="K316">
        <v>2</v>
      </c>
      <c r="L316">
        <v>40</v>
      </c>
      <c r="M316">
        <v>20</v>
      </c>
      <c r="N316" s="11">
        <v>20</v>
      </c>
      <c r="O316">
        <v>1</v>
      </c>
      <c r="P316" s="11">
        <v>2.5</v>
      </c>
    </row>
    <row r="317" spans="1:16" x14ac:dyDescent="0.4">
      <c r="A317" s="18" t="str">
        <f>IF(D317="","",IF(D317=D316,LEFT(A316,LEN(A316)-2) &amp; RIGHT("00"&amp;COUNTIF($D$2:D317,D317),2),LEFT(A316,LEN(A316)-2)+1 &amp; "01"))</f>
        <v>13601</v>
      </c>
      <c r="B317" s="19">
        <f t="shared" si="8"/>
        <v>136</v>
      </c>
      <c r="C317" s="18">
        <f t="shared" si="9"/>
        <v>1</v>
      </c>
      <c r="D317" s="12" t="s">
        <v>270</v>
      </c>
      <c r="E317" t="s">
        <v>271</v>
      </c>
      <c r="F317" t="s">
        <v>264</v>
      </c>
      <c r="G317" t="s">
        <v>254</v>
      </c>
      <c r="H317" t="s">
        <v>180</v>
      </c>
      <c r="J317">
        <v>1</v>
      </c>
      <c r="K317">
        <v>5</v>
      </c>
      <c r="L317">
        <v>2</v>
      </c>
      <c r="M317">
        <v>40</v>
      </c>
      <c r="O317">
        <v>1</v>
      </c>
      <c r="P317" s="11">
        <v>1</v>
      </c>
    </row>
    <row r="318" spans="1:16" x14ac:dyDescent="0.4">
      <c r="A318" s="18" t="str">
        <f>IF(D318="","",IF(D318=D317,LEFT(A317,LEN(A317)-2) &amp; RIGHT("00"&amp;COUNTIF($D$2:D318,D318),2),LEFT(A317,LEN(A317)-2)+1 &amp; "01"))</f>
        <v>13701</v>
      </c>
      <c r="B318" s="19">
        <f t="shared" si="8"/>
        <v>137</v>
      </c>
      <c r="C318" s="18">
        <f t="shared" si="9"/>
        <v>1</v>
      </c>
      <c r="D318" s="12" t="s">
        <v>203</v>
      </c>
      <c r="E318" t="s">
        <v>202</v>
      </c>
      <c r="F318" t="s">
        <v>106</v>
      </c>
      <c r="I318" s="11" t="s">
        <v>272</v>
      </c>
      <c r="J318">
        <v>6</v>
      </c>
      <c r="K318">
        <v>1</v>
      </c>
      <c r="N318" s="11">
        <v>1</v>
      </c>
      <c r="O318">
        <v>10</v>
      </c>
      <c r="P318" s="11">
        <v>100</v>
      </c>
    </row>
    <row r="319" spans="1:16" x14ac:dyDescent="0.4">
      <c r="A319" s="18" t="str">
        <f>IF(D319="","",IF(D319=D318,LEFT(A318,LEN(A318)-2) &amp; RIGHT("00"&amp;COUNTIF($D$2:D319,D319),2),LEFT(A318,LEN(A318)-2)+1 &amp; "01"))</f>
        <v>13702</v>
      </c>
      <c r="B319" s="19">
        <f t="shared" si="8"/>
        <v>137</v>
      </c>
      <c r="C319" s="18">
        <f t="shared" si="9"/>
        <v>2</v>
      </c>
      <c r="D319" s="12" t="s">
        <v>203</v>
      </c>
      <c r="E319" t="s">
        <v>208</v>
      </c>
      <c r="I319" s="11" t="s">
        <v>273</v>
      </c>
      <c r="J319">
        <v>1</v>
      </c>
      <c r="N319" s="11">
        <v>1</v>
      </c>
      <c r="O319">
        <v>2</v>
      </c>
      <c r="P319" s="11">
        <v>120</v>
      </c>
    </row>
    <row r="320" spans="1:16" x14ac:dyDescent="0.4">
      <c r="A320" s="18" t="str">
        <f>IF(D320="","",IF(D320=D319,LEFT(A319,LEN(A319)-2) &amp; RIGHT("00"&amp;COUNTIF($D$2:D320,D320),2),LEFT(A319,LEN(A319)-2)+1 &amp; "01"))</f>
        <v>13703</v>
      </c>
      <c r="B320" s="19">
        <f t="shared" si="8"/>
        <v>137</v>
      </c>
      <c r="C320" s="18">
        <f t="shared" si="9"/>
        <v>3</v>
      </c>
      <c r="D320" s="12" t="s">
        <v>203</v>
      </c>
      <c r="E320" t="s">
        <v>204</v>
      </c>
      <c r="F320" t="s">
        <v>205</v>
      </c>
      <c r="G320" t="s">
        <v>67</v>
      </c>
      <c r="H320" t="s">
        <v>206</v>
      </c>
      <c r="I320" s="11" t="s">
        <v>272</v>
      </c>
      <c r="J320">
        <v>4</v>
      </c>
      <c r="K320">
        <v>3</v>
      </c>
      <c r="L320">
        <v>4</v>
      </c>
      <c r="M320">
        <v>2</v>
      </c>
      <c r="N320" s="11">
        <v>1</v>
      </c>
      <c r="O320">
        <v>6</v>
      </c>
      <c r="P320" s="11">
        <v>150</v>
      </c>
    </row>
    <row r="321" spans="1:16" x14ac:dyDescent="0.4">
      <c r="A321" s="18" t="str">
        <f>IF(D321="","",IF(D321=D320,LEFT(A320,LEN(A320)-2) &amp; RIGHT("00"&amp;COUNTIF($D$2:D321,D321),2),LEFT(A320,LEN(A320)-2)+1 &amp; "01"))</f>
        <v>13801</v>
      </c>
      <c r="B321" s="19">
        <f t="shared" si="8"/>
        <v>138</v>
      </c>
      <c r="C321" s="18">
        <f t="shared" si="9"/>
        <v>1</v>
      </c>
      <c r="D321" s="12" t="s">
        <v>208</v>
      </c>
      <c r="E321" t="s">
        <v>203</v>
      </c>
      <c r="F321" t="s">
        <v>104</v>
      </c>
      <c r="J321">
        <v>2</v>
      </c>
      <c r="K321">
        <v>1</v>
      </c>
      <c r="O321">
        <v>1</v>
      </c>
      <c r="P321" s="11">
        <v>60</v>
      </c>
    </row>
    <row r="322" spans="1:16" x14ac:dyDescent="0.4">
      <c r="A322" s="18" t="str">
        <f>IF(D322="","",IF(D322=D321,LEFT(A321,LEN(A321)-2) &amp; RIGHT("00"&amp;COUNTIF($D$2:D322,D322),2),LEFT(A321,LEN(A321)-2)+1 &amp; "01"))</f>
        <v>13901</v>
      </c>
      <c r="B322" s="19">
        <f t="shared" si="8"/>
        <v>139</v>
      </c>
      <c r="C322" s="18">
        <f t="shared" si="9"/>
        <v>1</v>
      </c>
      <c r="D322" s="12" t="s">
        <v>207</v>
      </c>
      <c r="E322" t="s">
        <v>203</v>
      </c>
      <c r="F322" t="s">
        <v>172</v>
      </c>
      <c r="I322" s="11" t="s">
        <v>272</v>
      </c>
      <c r="J322">
        <v>16</v>
      </c>
      <c r="K322">
        <v>1</v>
      </c>
      <c r="N322" s="11">
        <v>2</v>
      </c>
      <c r="O322">
        <v>16</v>
      </c>
      <c r="P322" s="11">
        <v>40</v>
      </c>
    </row>
    <row r="323" spans="1:16" x14ac:dyDescent="0.4">
      <c r="A323" s="18" t="str">
        <f>IF(D323="","",IF(D323=D322,LEFT(A322,LEN(A322)-2) &amp; RIGHT("00"&amp;COUNTIF($D$2:D323,D323),2),LEFT(A322,LEN(A322)-2)+1 &amp; "01"))</f>
        <v>13902</v>
      </c>
      <c r="B323" s="19">
        <f t="shared" ref="B323:B386" si="10">IFERROR(VALUE(LEFT(A323,LEN(A323)-2)),"")</f>
        <v>139</v>
      </c>
      <c r="C323" s="18">
        <f t="shared" ref="C323:C343" si="11">IFERROR(VALUE( RIGHT(A323,2)),"")</f>
        <v>2</v>
      </c>
      <c r="D323" s="12" t="s">
        <v>207</v>
      </c>
      <c r="E323" t="s">
        <v>217</v>
      </c>
      <c r="I323" s="11" t="s">
        <v>273</v>
      </c>
      <c r="J323">
        <v>2</v>
      </c>
      <c r="N323" s="11">
        <v>2</v>
      </c>
      <c r="O323">
        <v>4</v>
      </c>
      <c r="P323" s="11">
        <v>80</v>
      </c>
    </row>
    <row r="324" spans="1:16" x14ac:dyDescent="0.4">
      <c r="A324" s="18" t="str">
        <f>IF(D324="","",IF(D324=D323,LEFT(A323,LEN(A323)-2) &amp; RIGHT("00"&amp;COUNTIF($D$2:D324,D324),2),LEFT(A323,LEN(A323)-2)+1 &amp; "01"))</f>
        <v>13903</v>
      </c>
      <c r="B324" s="19">
        <f t="shared" si="10"/>
        <v>139</v>
      </c>
      <c r="C324" s="18">
        <f t="shared" si="11"/>
        <v>3</v>
      </c>
      <c r="D324" s="12" t="s">
        <v>207</v>
      </c>
      <c r="E324" t="s">
        <v>208</v>
      </c>
      <c r="F324" t="s">
        <v>180</v>
      </c>
      <c r="I324" s="11" t="s">
        <v>272</v>
      </c>
      <c r="J324">
        <v>12</v>
      </c>
      <c r="K324">
        <v>4</v>
      </c>
      <c r="N324" s="11">
        <v>2</v>
      </c>
      <c r="O324">
        <v>10</v>
      </c>
      <c r="P324" s="11">
        <v>200</v>
      </c>
    </row>
    <row r="325" spans="1:16" x14ac:dyDescent="0.4">
      <c r="A325" s="18" t="str">
        <f>IF(D325="","",IF(D325=D324,LEFT(A324,LEN(A324)-2) &amp; RIGHT("00"&amp;COUNTIF($D$2:D325,D325),2),LEFT(A324,LEN(A324)-2)+1 &amp; "01"))</f>
        <v>14001</v>
      </c>
      <c r="B325" s="19">
        <f t="shared" si="10"/>
        <v>140</v>
      </c>
      <c r="C325" s="18">
        <f t="shared" si="11"/>
        <v>1</v>
      </c>
      <c r="D325" s="12" t="s">
        <v>217</v>
      </c>
      <c r="E325" t="s">
        <v>207</v>
      </c>
      <c r="F325" t="s">
        <v>104</v>
      </c>
      <c r="J325">
        <v>4</v>
      </c>
      <c r="K325">
        <v>2</v>
      </c>
      <c r="O325">
        <v>2</v>
      </c>
      <c r="P325" s="11">
        <v>40</v>
      </c>
    </row>
    <row r="326" spans="1:16" x14ac:dyDescent="0.4">
      <c r="A326" s="18" t="str">
        <f>IF(D326="","",IF(D326=D325,LEFT(A325,LEN(A325)-2) &amp; RIGHT("00"&amp;COUNTIF($D$2:D326,D326),2),LEFT(A325,LEN(A325)-2)+1 &amp; "01"))</f>
        <v>14101</v>
      </c>
      <c r="B326" s="19">
        <f t="shared" si="10"/>
        <v>141</v>
      </c>
      <c r="C326" s="18">
        <f t="shared" si="11"/>
        <v>1</v>
      </c>
      <c r="D326" s="12" t="s">
        <v>261</v>
      </c>
      <c r="E326" t="s">
        <v>188</v>
      </c>
      <c r="F326" t="s">
        <v>172</v>
      </c>
      <c r="G326" t="s">
        <v>254</v>
      </c>
      <c r="H326" t="s">
        <v>181</v>
      </c>
      <c r="I326" s="11" t="s">
        <v>182</v>
      </c>
      <c r="J326">
        <v>5</v>
      </c>
      <c r="K326">
        <v>3</v>
      </c>
      <c r="L326">
        <v>3</v>
      </c>
      <c r="M326">
        <v>24</v>
      </c>
      <c r="N326" s="11">
        <v>24</v>
      </c>
      <c r="O326">
        <v>1</v>
      </c>
      <c r="P326" s="11">
        <v>2.5</v>
      </c>
    </row>
    <row r="327" spans="1:16" x14ac:dyDescent="0.4">
      <c r="A327" s="18" t="str">
        <f>IF(D327="","",IF(D327=D326,LEFT(A326,LEN(A326)-2) &amp; RIGHT("00"&amp;COUNTIF($D$2:D327,D327),2),LEFT(A326,LEN(A326)-2)+1 &amp; "01"))</f>
        <v>14201</v>
      </c>
      <c r="B327" s="19">
        <f t="shared" si="10"/>
        <v>142</v>
      </c>
      <c r="C327" s="18">
        <f t="shared" si="11"/>
        <v>1</v>
      </c>
      <c r="D327" s="12" t="s">
        <v>109</v>
      </c>
      <c r="E327" t="s">
        <v>82</v>
      </c>
      <c r="F327" t="s">
        <v>93</v>
      </c>
      <c r="J327">
        <v>1</v>
      </c>
      <c r="K327">
        <v>5</v>
      </c>
      <c r="O327">
        <v>1</v>
      </c>
      <c r="P327" s="11">
        <v>10</v>
      </c>
    </row>
    <row r="328" spans="1:16" x14ac:dyDescent="0.4">
      <c r="A328" s="18" t="str">
        <f>IF(D328="","",IF(D328=D327,LEFT(A327,LEN(A327)-2) &amp; RIGHT("00"&amp;COUNTIF($D$2:D328,D328),2),LEFT(A327,LEN(A327)-2)+1 &amp; "01"))</f>
        <v>14301</v>
      </c>
      <c r="B328" s="19">
        <f t="shared" si="10"/>
        <v>143</v>
      </c>
      <c r="C328" s="18">
        <f t="shared" si="11"/>
        <v>1</v>
      </c>
      <c r="D328" s="12" t="s">
        <v>274</v>
      </c>
      <c r="E328" s="12" t="s">
        <v>275</v>
      </c>
      <c r="F328" t="s">
        <v>159</v>
      </c>
      <c r="J328">
        <v>1</v>
      </c>
      <c r="K328">
        <v>10</v>
      </c>
      <c r="O328">
        <v>1</v>
      </c>
      <c r="P328" s="11">
        <v>5</v>
      </c>
    </row>
    <row r="329" spans="1:16" x14ac:dyDescent="0.4">
      <c r="A329" s="18" t="str">
        <f>IF(D329="","",IF(D329=D328,LEFT(A328,LEN(A328)-2) &amp; RIGHT("00"&amp;COUNTIF($D$2:D329,D329),2),LEFT(A328,LEN(A328)-2)+1 &amp; "01"))</f>
        <v>14401</v>
      </c>
      <c r="B329" s="19">
        <f t="shared" si="10"/>
        <v>144</v>
      </c>
      <c r="C329" s="18">
        <f t="shared" si="11"/>
        <v>1</v>
      </c>
      <c r="D329" s="12" t="s">
        <v>276</v>
      </c>
      <c r="E329" s="12" t="s">
        <v>275</v>
      </c>
      <c r="F329" t="s">
        <v>96</v>
      </c>
      <c r="J329">
        <v>5</v>
      </c>
      <c r="K329">
        <v>1</v>
      </c>
      <c r="O329">
        <v>5</v>
      </c>
      <c r="P329" s="11">
        <v>5</v>
      </c>
    </row>
    <row r="330" spans="1:16" x14ac:dyDescent="0.4">
      <c r="A330" s="18" t="str">
        <f>IF(D330="","",IF(D330=D329,LEFT(A329,LEN(A329)-2) &amp; RIGHT("00"&amp;COUNTIF($D$2:D330,D330),2),LEFT(A329,LEN(A329)-2)+1 &amp; "01"))</f>
        <v>14501</v>
      </c>
      <c r="B330" s="19">
        <f t="shared" si="10"/>
        <v>145</v>
      </c>
      <c r="C330" s="18">
        <f t="shared" si="11"/>
        <v>1</v>
      </c>
      <c r="D330" s="12" t="s">
        <v>277</v>
      </c>
      <c r="E330" t="s">
        <v>278</v>
      </c>
      <c r="F330" t="s">
        <v>219</v>
      </c>
      <c r="J330">
        <v>2</v>
      </c>
      <c r="K330">
        <v>3</v>
      </c>
      <c r="O330">
        <v>1</v>
      </c>
      <c r="P330" s="11">
        <v>5</v>
      </c>
    </row>
    <row r="331" spans="1:16" x14ac:dyDescent="0.4">
      <c r="A331" s="18" t="str">
        <f>IF(D331="","",IF(D331=D330,LEFT(A330,LEN(A330)-2) &amp; RIGHT("00"&amp;COUNTIF($D$2:D331,D331),2),LEFT(A330,LEN(A330)-2)+1 &amp; "01"))</f>
        <v>14601</v>
      </c>
      <c r="B331" s="19">
        <f t="shared" si="10"/>
        <v>146</v>
      </c>
      <c r="C331" s="18">
        <f t="shared" si="11"/>
        <v>1</v>
      </c>
      <c r="D331" s="12" t="s">
        <v>279</v>
      </c>
      <c r="E331" s="12" t="s">
        <v>275</v>
      </c>
      <c r="F331" t="s">
        <v>280</v>
      </c>
      <c r="J331">
        <v>3</v>
      </c>
      <c r="K331">
        <v>4</v>
      </c>
      <c r="O331">
        <v>1</v>
      </c>
      <c r="P331" s="11">
        <v>2.5</v>
      </c>
    </row>
    <row r="332" spans="1:16" x14ac:dyDescent="0.4">
      <c r="A332" s="18" t="str">
        <f>IF(D332="","",IF(D332=D331,LEFT(A331,LEN(A331)-2) &amp; RIGHT("00"&amp;COUNTIF($D$2:D332,D332),2),LEFT(A331,LEN(A331)-2)+1 &amp; "01"))</f>
        <v>14701</v>
      </c>
      <c r="B332" s="19">
        <f t="shared" si="10"/>
        <v>147</v>
      </c>
      <c r="C332" s="18">
        <f t="shared" si="11"/>
        <v>1</v>
      </c>
      <c r="D332" s="12" t="s">
        <v>281</v>
      </c>
      <c r="E332" t="s">
        <v>278</v>
      </c>
      <c r="F332" t="s">
        <v>280</v>
      </c>
      <c r="G332" t="s">
        <v>64</v>
      </c>
      <c r="J332">
        <v>2</v>
      </c>
      <c r="K332">
        <v>2</v>
      </c>
      <c r="L332">
        <v>2</v>
      </c>
      <c r="O332">
        <v>1</v>
      </c>
      <c r="P332" s="11">
        <v>5</v>
      </c>
    </row>
    <row r="333" spans="1:16" x14ac:dyDescent="0.4">
      <c r="A333" s="18" t="str">
        <f>IF(D333="","",IF(D333=D332,LEFT(A332,LEN(A332)-2) &amp; RIGHT("00"&amp;COUNTIF($D$2:D333,D333),2),LEFT(A332,LEN(A332)-2)+1 &amp; "01"))</f>
        <v>14801</v>
      </c>
      <c r="B333" s="19">
        <f t="shared" si="10"/>
        <v>148</v>
      </c>
      <c r="C333" s="18">
        <f t="shared" si="11"/>
        <v>1</v>
      </c>
      <c r="D333" s="12" t="s">
        <v>102</v>
      </c>
      <c r="E333" t="s">
        <v>56</v>
      </c>
      <c r="F333" t="s">
        <v>103</v>
      </c>
      <c r="J333">
        <v>3</v>
      </c>
      <c r="K333">
        <v>2</v>
      </c>
      <c r="O333">
        <v>15</v>
      </c>
      <c r="P333" s="11">
        <v>75</v>
      </c>
    </row>
    <row r="334" spans="1:16" x14ac:dyDescent="0.4">
      <c r="A334" s="18" t="str">
        <f>IF(D334="","",IF(D334=D333,LEFT(A333,LEN(A333)-2) &amp; RIGHT("00"&amp;COUNTIF($D$2:D334,D334),2),LEFT(A333,LEN(A333)-2)+1 &amp; "01"))</f>
        <v>14901</v>
      </c>
      <c r="B334" s="19">
        <f t="shared" si="10"/>
        <v>149</v>
      </c>
      <c r="C334" s="18">
        <f t="shared" si="11"/>
        <v>1</v>
      </c>
      <c r="D334" s="12" t="s">
        <v>282</v>
      </c>
      <c r="E334" t="s">
        <v>283</v>
      </c>
      <c r="F334" t="s">
        <v>95</v>
      </c>
      <c r="G334" t="s">
        <v>202</v>
      </c>
      <c r="J334">
        <v>25</v>
      </c>
      <c r="K334">
        <v>3</v>
      </c>
      <c r="L334">
        <v>3</v>
      </c>
      <c r="O334">
        <v>50</v>
      </c>
      <c r="P334" s="11">
        <v>250</v>
      </c>
    </row>
    <row r="335" spans="1:16" x14ac:dyDescent="0.4">
      <c r="A335" s="18" t="str">
        <f>IF(D335="","",IF(D335=D334,LEFT(A334,LEN(A334)-2) &amp; RIGHT("00"&amp;COUNTIF($D$2:D335,D335),2),LEFT(A334,LEN(A334)-2)+1 &amp; "01"))</f>
        <v>14902</v>
      </c>
      <c r="B335" s="19">
        <f t="shared" si="10"/>
        <v>149</v>
      </c>
      <c r="C335" s="18">
        <f t="shared" si="11"/>
        <v>2</v>
      </c>
      <c r="D335" s="12" t="s">
        <v>282</v>
      </c>
      <c r="E335" t="s">
        <v>283</v>
      </c>
      <c r="F335" t="s">
        <v>95</v>
      </c>
      <c r="G335" t="s">
        <v>224</v>
      </c>
      <c r="J335">
        <v>25</v>
      </c>
      <c r="K335">
        <v>3</v>
      </c>
      <c r="L335">
        <v>3</v>
      </c>
      <c r="O335">
        <v>50</v>
      </c>
      <c r="P335" s="11">
        <v>250</v>
      </c>
    </row>
    <row r="336" spans="1:16" x14ac:dyDescent="0.4">
      <c r="A336" s="18" t="str">
        <f>IF(D336="","",IF(D336=D335,LEFT(A335,LEN(A335)-2) &amp; RIGHT("00"&amp;COUNTIF($D$2:D336,D336),2),LEFT(A335,LEN(A335)-2)+1 &amp; "01"))</f>
        <v>15001</v>
      </c>
      <c r="B336" s="19">
        <f t="shared" si="10"/>
        <v>150</v>
      </c>
      <c r="C336" s="18">
        <f t="shared" si="11"/>
        <v>1</v>
      </c>
      <c r="D336" s="12" t="s">
        <v>284</v>
      </c>
      <c r="E336" t="s">
        <v>283</v>
      </c>
      <c r="F336" t="s">
        <v>61</v>
      </c>
      <c r="J336">
        <v>20</v>
      </c>
      <c r="K336">
        <v>1</v>
      </c>
      <c r="O336">
        <v>10</v>
      </c>
      <c r="P336" s="11">
        <v>25</v>
      </c>
    </row>
    <row r="337" spans="1:16" x14ac:dyDescent="0.4">
      <c r="A337" s="18" t="str">
        <f>IF(D337="","",IF(D337=D336,LEFT(A336,LEN(A336)-2) &amp; RIGHT("00"&amp;COUNTIF($D$2:D337,D337),2),LEFT(A336,LEN(A336)-2)+1 &amp; "01"))</f>
        <v>15101</v>
      </c>
      <c r="B337" s="19">
        <f t="shared" si="10"/>
        <v>151</v>
      </c>
      <c r="C337" s="18">
        <f t="shared" si="11"/>
        <v>1</v>
      </c>
      <c r="D337" s="12" t="s">
        <v>285</v>
      </c>
      <c r="E337" s="12" t="s">
        <v>275</v>
      </c>
      <c r="F337" t="s">
        <v>286</v>
      </c>
      <c r="G337" t="s">
        <v>280</v>
      </c>
      <c r="H337" t="s">
        <v>287</v>
      </c>
      <c r="J337">
        <v>5</v>
      </c>
      <c r="K337">
        <v>20</v>
      </c>
      <c r="L337">
        <v>10</v>
      </c>
      <c r="M337">
        <v>6</v>
      </c>
      <c r="O337">
        <v>1</v>
      </c>
      <c r="P337" s="11">
        <v>0.5</v>
      </c>
    </row>
    <row r="338" spans="1:16" x14ac:dyDescent="0.4">
      <c r="A338" s="18" t="str">
        <f>IF(D338="","",IF(D338=D337,LEFT(A337,LEN(A337)-2) &amp; RIGHT("00"&amp;COUNTIF($D$2:D338,D338),2),LEFT(A337,LEN(A337)-2)+1 &amp; "01"))</f>
        <v/>
      </c>
      <c r="B338" s="19" t="str">
        <f t="shared" si="10"/>
        <v/>
      </c>
      <c r="C338" s="18" t="str">
        <f t="shared" si="11"/>
        <v/>
      </c>
    </row>
    <row r="339" spans="1:16" x14ac:dyDescent="0.4">
      <c r="A339" s="18" t="str">
        <f>IF(D339="","",IF(D339=D338,LEFT(A338,LEN(A338)-2) &amp; RIGHT("00"&amp;COUNTIF($D$2:D339,D339),2),LEFT(A338,LEN(A338)-2)+1 &amp; "01"))</f>
        <v/>
      </c>
      <c r="B339" s="19" t="str">
        <f t="shared" si="10"/>
        <v/>
      </c>
      <c r="C339" s="18" t="str">
        <f t="shared" si="11"/>
        <v/>
      </c>
    </row>
    <row r="340" spans="1:16" x14ac:dyDescent="0.4">
      <c r="A340" s="18" t="str">
        <f>IF(D340="","",IF(D340=D339,LEFT(A339,LEN(A339)-2) &amp; RIGHT("00"&amp;COUNTIF($D$2:D340,D340),2),LEFT(A339,LEN(A339)-2)+1 &amp; "01"))</f>
        <v/>
      </c>
      <c r="B340" s="19" t="str">
        <f t="shared" si="10"/>
        <v/>
      </c>
      <c r="C340" s="18" t="str">
        <f t="shared" si="11"/>
        <v/>
      </c>
    </row>
    <row r="341" spans="1:16" x14ac:dyDescent="0.4">
      <c r="A341" s="18" t="str">
        <f>IF(D341="","",IF(D341=D340,LEFT(A340,LEN(A340)-2) &amp; RIGHT("00"&amp;COUNTIF($D$2:D341,D341),2),LEFT(A340,LEN(A340)-2)+1 &amp; "01"))</f>
        <v/>
      </c>
      <c r="B341" s="19" t="str">
        <f t="shared" si="10"/>
        <v/>
      </c>
      <c r="C341" s="18" t="str">
        <f t="shared" si="11"/>
        <v/>
      </c>
    </row>
    <row r="342" spans="1:16" x14ac:dyDescent="0.4">
      <c r="A342" s="18" t="str">
        <f>IF(D342="","",IF(D342=D341,LEFT(A341,LEN(A341)-2) &amp; RIGHT("00"&amp;COUNTIF($D$2:D342,D342),2),LEFT(A341,LEN(A341)-2)+1 &amp; "01"))</f>
        <v/>
      </c>
      <c r="B342" s="19" t="str">
        <f t="shared" si="10"/>
        <v/>
      </c>
      <c r="C342" s="18" t="str">
        <f t="shared" si="11"/>
        <v/>
      </c>
    </row>
    <row r="343" spans="1:16" x14ac:dyDescent="0.4">
      <c r="A343" s="18" t="str">
        <f>IF(D343="","",IF(D343=D342,LEFT(A342,LEN(A342)-2) &amp; RIGHT("00"&amp;COUNTIF($D$2:D343,D343),2),LEFT(A342,LEN(A342)-2)+1 &amp; "01"))</f>
        <v/>
      </c>
      <c r="B343" s="19" t="str">
        <f t="shared" si="10"/>
        <v/>
      </c>
      <c r="C343" s="18" t="str">
        <f t="shared" si="11"/>
        <v/>
      </c>
    </row>
    <row r="344" spans="1:16" x14ac:dyDescent="0.4">
      <c r="A344" s="18" t="str">
        <f>IF(D344="","",IF(D344=D343,LEFT(A343,LEN(A343)-2) &amp; RIGHT("00"&amp;COUNTIF($D$2:D344,D344),2),LEFT(A343,LEN(A343)-2)+1 &amp; "01"))</f>
        <v/>
      </c>
      <c r="B344" s="19" t="str">
        <f t="shared" si="10"/>
        <v/>
      </c>
      <c r="C344" s="18" t="str">
        <f t="shared" ref="C344:C400" si="12">IFERROR(VALUE( RIGHT(A344,2)),"")</f>
        <v/>
      </c>
    </row>
    <row r="345" spans="1:16" x14ac:dyDescent="0.4">
      <c r="A345" s="18" t="str">
        <f>IF(D345="","",IF(D345=D344,LEFT(A344,LEN(A344)-2) &amp; RIGHT("00"&amp;COUNTIF($D$2:D345,D345),2),LEFT(A344,LEN(A344)-2)+1 &amp; "01"))</f>
        <v/>
      </c>
      <c r="B345" s="19" t="str">
        <f t="shared" si="10"/>
        <v/>
      </c>
      <c r="C345" s="18" t="str">
        <f t="shared" si="12"/>
        <v/>
      </c>
    </row>
    <row r="346" spans="1:16" x14ac:dyDescent="0.4">
      <c r="A346" s="18" t="str">
        <f>IF(D346="","",IF(D346=D345,LEFT(A345,LEN(A345)-2) &amp; RIGHT("00"&amp;COUNTIF($D$2:D346,D346),2),LEFT(A345,LEN(A345)-2)+1 &amp; "01"))</f>
        <v/>
      </c>
      <c r="B346" s="19" t="str">
        <f t="shared" si="10"/>
        <v/>
      </c>
      <c r="C346" s="18" t="str">
        <f t="shared" si="12"/>
        <v/>
      </c>
    </row>
    <row r="347" spans="1:16" x14ac:dyDescent="0.4">
      <c r="A347" s="18" t="str">
        <f>IF(D347="","",IF(D347=D346,LEFT(A346,LEN(A346)-2) &amp; RIGHT("00"&amp;COUNTIF($D$2:D347,D347),2),LEFT(A346,LEN(A346)-2)+1 &amp; "01"))</f>
        <v/>
      </c>
      <c r="B347" s="19" t="str">
        <f t="shared" si="10"/>
        <v/>
      </c>
      <c r="C347" s="18" t="str">
        <f t="shared" si="12"/>
        <v/>
      </c>
    </row>
    <row r="348" spans="1:16" x14ac:dyDescent="0.4">
      <c r="A348" s="18" t="str">
        <f>IF(D348="","",IF(D348=D347,LEFT(A347,LEN(A347)-2) &amp; RIGHT("00"&amp;COUNTIF($D$2:D348,D348),2),LEFT(A347,LEN(A347)-2)+1 &amp; "01"))</f>
        <v/>
      </c>
      <c r="B348" s="19" t="str">
        <f t="shared" si="10"/>
        <v/>
      </c>
      <c r="C348" s="18" t="str">
        <f t="shared" si="12"/>
        <v/>
      </c>
    </row>
    <row r="349" spans="1:16" x14ac:dyDescent="0.4">
      <c r="A349" s="18" t="str">
        <f>IF(D349="","",IF(D349=D348,LEFT(A348,LEN(A348)-2) &amp; RIGHT("00"&amp;COUNTIF($D$2:D349,D349),2),LEFT(A348,LEN(A348)-2)+1 &amp; "01"))</f>
        <v/>
      </c>
      <c r="B349" s="19" t="str">
        <f t="shared" si="10"/>
        <v/>
      </c>
      <c r="C349" s="18" t="str">
        <f t="shared" si="12"/>
        <v/>
      </c>
    </row>
    <row r="350" spans="1:16" x14ac:dyDescent="0.4">
      <c r="A350" s="18" t="str">
        <f>IF(D350="","",IF(D350=D349,LEFT(A349,LEN(A349)-2) &amp; RIGHT("00"&amp;COUNTIF($D$2:D350,D350),2),LEFT(A349,LEN(A349)-2)+1 &amp; "01"))</f>
        <v/>
      </c>
      <c r="B350" s="19" t="str">
        <f t="shared" si="10"/>
        <v/>
      </c>
      <c r="C350" s="18" t="str">
        <f t="shared" si="12"/>
        <v/>
      </c>
    </row>
    <row r="351" spans="1:16" x14ac:dyDescent="0.4">
      <c r="A351" s="18" t="str">
        <f>IF(D351="","",IF(D351=D350,LEFT(A350,LEN(A350)-2) &amp; RIGHT("00"&amp;COUNTIF($D$2:D351,D351),2),LEFT(A350,LEN(A350)-2)+1 &amp; "01"))</f>
        <v/>
      </c>
      <c r="B351" s="19" t="str">
        <f t="shared" si="10"/>
        <v/>
      </c>
      <c r="C351" s="18" t="str">
        <f t="shared" si="12"/>
        <v/>
      </c>
    </row>
    <row r="352" spans="1:16" x14ac:dyDescent="0.4">
      <c r="A352" s="18" t="str">
        <f>IF(D352="","",IF(D352=D351,LEFT(A351,LEN(A351)-2) &amp; RIGHT("00"&amp;COUNTIF($D$2:D352,D352),2),LEFT(A351,LEN(A351)-2)+1 &amp; "01"))</f>
        <v/>
      </c>
      <c r="B352" s="19" t="str">
        <f t="shared" si="10"/>
        <v/>
      </c>
      <c r="C352" s="18" t="str">
        <f t="shared" si="12"/>
        <v/>
      </c>
    </row>
    <row r="353" spans="1:3" x14ac:dyDescent="0.4">
      <c r="A353" s="18" t="str">
        <f>IF(D353="","",IF(D353=D352,LEFT(A352,LEN(A352)-2) &amp; RIGHT("00"&amp;COUNTIF($D$2:D353,D353),2),LEFT(A352,LEN(A352)-2)+1 &amp; "01"))</f>
        <v/>
      </c>
      <c r="B353" s="19" t="str">
        <f t="shared" si="10"/>
        <v/>
      </c>
      <c r="C353" s="18" t="str">
        <f t="shared" si="12"/>
        <v/>
      </c>
    </row>
    <row r="354" spans="1:3" x14ac:dyDescent="0.4">
      <c r="A354" s="18" t="str">
        <f>IF(D354="","",IF(D354=D353,LEFT(A353,LEN(A353)-2) &amp; RIGHT("00"&amp;COUNTIF($D$2:D354,D354),2),LEFT(A353,LEN(A353)-2)+1 &amp; "01"))</f>
        <v/>
      </c>
      <c r="B354" s="19" t="str">
        <f t="shared" si="10"/>
        <v/>
      </c>
      <c r="C354" s="18" t="str">
        <f t="shared" si="12"/>
        <v/>
      </c>
    </row>
    <row r="355" spans="1:3" x14ac:dyDescent="0.4">
      <c r="A355" s="18" t="str">
        <f>IF(D355="","",IF(D355=D354,LEFT(A354,LEN(A354)-2) &amp; RIGHT("00"&amp;COUNTIF($D$2:D355,D355),2),LEFT(A354,LEN(A354)-2)+1 &amp; "01"))</f>
        <v/>
      </c>
      <c r="B355" s="19" t="str">
        <f t="shared" si="10"/>
        <v/>
      </c>
      <c r="C355" s="18" t="str">
        <f t="shared" si="12"/>
        <v/>
      </c>
    </row>
    <row r="356" spans="1:3" x14ac:dyDescent="0.4">
      <c r="A356" s="18" t="str">
        <f>IF(D356="","",IF(D356=D355,LEFT(A355,LEN(A355)-2) &amp; RIGHT("00"&amp;COUNTIF($D$2:D356,D356),2),LEFT(A355,LEN(A355)-2)+1 &amp; "01"))</f>
        <v/>
      </c>
      <c r="B356" s="19" t="str">
        <f t="shared" si="10"/>
        <v/>
      </c>
      <c r="C356" s="18" t="str">
        <f t="shared" si="12"/>
        <v/>
      </c>
    </row>
    <row r="357" spans="1:3" x14ac:dyDescent="0.4">
      <c r="A357" s="18" t="str">
        <f>IF(D357="","",IF(D357=D356,LEFT(A356,LEN(A356)-2) &amp; RIGHT("00"&amp;COUNTIF($D$2:D357,D357),2),LEFT(A356,LEN(A356)-2)+1 &amp; "01"))</f>
        <v/>
      </c>
      <c r="B357" s="19" t="str">
        <f t="shared" si="10"/>
        <v/>
      </c>
      <c r="C357" s="18" t="str">
        <f t="shared" si="12"/>
        <v/>
      </c>
    </row>
    <row r="358" spans="1:3" x14ac:dyDescent="0.4">
      <c r="A358" s="18" t="str">
        <f>IF(D358="","",IF(D358=D357,LEFT(A357,LEN(A357)-2) &amp; RIGHT("00"&amp;COUNTIF($D$2:D358,D358),2),LEFT(A357,LEN(A357)-2)+1 &amp; "01"))</f>
        <v/>
      </c>
      <c r="B358" s="19" t="str">
        <f t="shared" si="10"/>
        <v/>
      </c>
      <c r="C358" s="18" t="str">
        <f t="shared" si="12"/>
        <v/>
      </c>
    </row>
    <row r="359" spans="1:3" x14ac:dyDescent="0.4">
      <c r="A359" s="18" t="str">
        <f>IF(D359="","",IF(D359=D358,LEFT(A358,LEN(A358)-2) &amp; RIGHT("00"&amp;COUNTIF($D$2:D359,D359),2),LEFT(A358,LEN(A358)-2)+1 &amp; "01"))</f>
        <v/>
      </c>
      <c r="B359" s="19" t="str">
        <f t="shared" si="10"/>
        <v/>
      </c>
      <c r="C359" s="18" t="str">
        <f t="shared" si="12"/>
        <v/>
      </c>
    </row>
    <row r="360" spans="1:3" x14ac:dyDescent="0.4">
      <c r="A360" s="18" t="str">
        <f>IF(D360="","",IF(D360=D359,LEFT(A359,LEN(A359)-2) &amp; RIGHT("00"&amp;COUNTIF($D$2:D360,D360),2),LEFT(A359,LEN(A359)-2)+1 &amp; "01"))</f>
        <v/>
      </c>
      <c r="B360" s="19" t="str">
        <f t="shared" si="10"/>
        <v/>
      </c>
      <c r="C360" s="18" t="str">
        <f t="shared" si="12"/>
        <v/>
      </c>
    </row>
    <row r="361" spans="1:3" x14ac:dyDescent="0.4">
      <c r="A361" s="18" t="str">
        <f>IF(D361="","",IF(D361=D360,LEFT(A360,LEN(A360)-2) &amp; RIGHT("00"&amp;COUNTIF($D$2:D361,D361),2),LEFT(A360,LEN(A360)-2)+1 &amp; "01"))</f>
        <v/>
      </c>
      <c r="B361" s="19" t="str">
        <f t="shared" si="10"/>
        <v/>
      </c>
      <c r="C361" s="18" t="str">
        <f t="shared" si="12"/>
        <v/>
      </c>
    </row>
    <row r="362" spans="1:3" x14ac:dyDescent="0.4">
      <c r="A362" s="18" t="str">
        <f>IF(D362="","",IF(D362=D361,LEFT(A361,LEN(A361)-2) &amp; RIGHT("00"&amp;COUNTIF($D$2:D362,D362),2),LEFT(A361,LEN(A361)-2)+1 &amp; "01"))</f>
        <v/>
      </c>
      <c r="B362" s="19" t="str">
        <f t="shared" si="10"/>
        <v/>
      </c>
      <c r="C362" s="18" t="str">
        <f t="shared" si="12"/>
        <v/>
      </c>
    </row>
    <row r="363" spans="1:3" x14ac:dyDescent="0.4">
      <c r="A363" s="18" t="str">
        <f>IF(D363="","",IF(D363=D362,LEFT(A362,LEN(A362)-2) &amp; RIGHT("00"&amp;COUNTIF($D$2:D363,D363),2),LEFT(A362,LEN(A362)-2)+1 &amp; "01"))</f>
        <v/>
      </c>
      <c r="B363" s="19" t="str">
        <f t="shared" si="10"/>
        <v/>
      </c>
      <c r="C363" s="18" t="str">
        <f t="shared" si="12"/>
        <v/>
      </c>
    </row>
    <row r="364" spans="1:3" x14ac:dyDescent="0.4">
      <c r="A364" s="18" t="str">
        <f>IF(D364="","",IF(D364=D363,LEFT(A363,LEN(A363)-2) &amp; RIGHT("00"&amp;COUNTIF($D$2:D364,D364),2),LEFT(A363,LEN(A363)-2)+1 &amp; "01"))</f>
        <v/>
      </c>
      <c r="B364" s="19" t="str">
        <f t="shared" si="10"/>
        <v/>
      </c>
      <c r="C364" s="18" t="str">
        <f t="shared" si="12"/>
        <v/>
      </c>
    </row>
    <row r="365" spans="1:3" x14ac:dyDescent="0.4">
      <c r="A365" s="18" t="str">
        <f>IF(D365="","",IF(D365=D364,LEFT(A364,LEN(A364)-2) &amp; RIGHT("00"&amp;COUNTIF($D$2:D365,D365),2),LEFT(A364,LEN(A364)-2)+1 &amp; "01"))</f>
        <v/>
      </c>
      <c r="B365" s="19" t="str">
        <f t="shared" si="10"/>
        <v/>
      </c>
      <c r="C365" s="18" t="str">
        <f t="shared" si="12"/>
        <v/>
      </c>
    </row>
    <row r="366" spans="1:3" x14ac:dyDescent="0.4">
      <c r="A366" s="18" t="str">
        <f>IF(D366="","",IF(D366=D365,LEFT(A365,LEN(A365)-2) &amp; RIGHT("00"&amp;COUNTIF($D$2:D366,D366),2),LEFT(A365,LEN(A365)-2)+1 &amp; "01"))</f>
        <v/>
      </c>
      <c r="B366" s="19" t="str">
        <f t="shared" si="10"/>
        <v/>
      </c>
      <c r="C366" s="18" t="str">
        <f t="shared" si="12"/>
        <v/>
      </c>
    </row>
    <row r="367" spans="1:3" x14ac:dyDescent="0.4">
      <c r="A367" s="18" t="str">
        <f>IF(D367="","",IF(D367=D366,LEFT(A366,LEN(A366)-2) &amp; RIGHT("00"&amp;COUNTIF($D$2:D367,D367),2),LEFT(A366,LEN(A366)-2)+1 &amp; "01"))</f>
        <v/>
      </c>
      <c r="B367" s="19" t="str">
        <f t="shared" si="10"/>
        <v/>
      </c>
      <c r="C367" s="18" t="str">
        <f t="shared" si="12"/>
        <v/>
      </c>
    </row>
    <row r="368" spans="1:3" x14ac:dyDescent="0.4">
      <c r="A368" s="18" t="str">
        <f>IF(D368="","",IF(D368=D367,LEFT(A367,LEN(A367)-2) &amp; RIGHT("00"&amp;COUNTIF($D$2:D368,D368),2),LEFT(A367,LEN(A367)-2)+1 &amp; "01"))</f>
        <v/>
      </c>
      <c r="B368" s="19" t="str">
        <f t="shared" si="10"/>
        <v/>
      </c>
      <c r="C368" s="18" t="str">
        <f t="shared" si="12"/>
        <v/>
      </c>
    </row>
    <row r="369" spans="1:3" x14ac:dyDescent="0.4">
      <c r="A369" s="18" t="str">
        <f>IF(D369="","",IF(D369=D368,LEFT(A368,LEN(A368)-2) &amp; RIGHT("00"&amp;COUNTIF($D$2:D369,D369),2),LEFT(A368,LEN(A368)-2)+1 &amp; "01"))</f>
        <v/>
      </c>
      <c r="B369" s="19" t="str">
        <f t="shared" si="10"/>
        <v/>
      </c>
      <c r="C369" s="18" t="str">
        <f t="shared" si="12"/>
        <v/>
      </c>
    </row>
    <row r="370" spans="1:3" x14ac:dyDescent="0.4">
      <c r="A370" s="18" t="str">
        <f>IF(D370="","",IF(D370=D369,LEFT(A369,LEN(A369)-2) &amp; RIGHT("00"&amp;COUNTIF($D$2:D370,D370),2),LEFT(A369,LEN(A369)-2)+1 &amp; "01"))</f>
        <v/>
      </c>
      <c r="B370" s="19" t="str">
        <f t="shared" si="10"/>
        <v/>
      </c>
      <c r="C370" s="18" t="str">
        <f t="shared" si="12"/>
        <v/>
      </c>
    </row>
    <row r="371" spans="1:3" x14ac:dyDescent="0.4">
      <c r="A371" s="18" t="str">
        <f>IF(D371="","",IF(D371=D370,LEFT(A370,LEN(A370)-2) &amp; RIGHT("00"&amp;COUNTIF($D$2:D371,D371),2),LEFT(A370,LEN(A370)-2)+1 &amp; "01"))</f>
        <v/>
      </c>
      <c r="B371" s="19" t="str">
        <f t="shared" si="10"/>
        <v/>
      </c>
      <c r="C371" s="18" t="str">
        <f t="shared" si="12"/>
        <v/>
      </c>
    </row>
    <row r="372" spans="1:3" x14ac:dyDescent="0.4">
      <c r="A372" s="18" t="str">
        <f>IF(D372="","",IF(D372=D371,LEFT(A371,LEN(A371)-2) &amp; RIGHT("00"&amp;COUNTIF($D$2:D372,D372),2),LEFT(A371,LEN(A371)-2)+1 &amp; "01"))</f>
        <v/>
      </c>
      <c r="B372" s="19" t="str">
        <f t="shared" si="10"/>
        <v/>
      </c>
      <c r="C372" s="18" t="str">
        <f t="shared" si="12"/>
        <v/>
      </c>
    </row>
    <row r="373" spans="1:3" x14ac:dyDescent="0.4">
      <c r="A373" s="18" t="str">
        <f>IF(D373="","",IF(D373=D372,LEFT(A372,LEN(A372)-2) &amp; RIGHT("00"&amp;COUNTIF($D$2:D373,D373),2),LEFT(A372,LEN(A372)-2)+1 &amp; "01"))</f>
        <v/>
      </c>
      <c r="B373" s="19" t="str">
        <f t="shared" si="10"/>
        <v/>
      </c>
      <c r="C373" s="18" t="str">
        <f t="shared" si="12"/>
        <v/>
      </c>
    </row>
    <row r="374" spans="1:3" x14ac:dyDescent="0.4">
      <c r="A374" s="18" t="str">
        <f>IF(D374="","",IF(D374=D373,LEFT(A373,LEN(A373)-2) &amp; RIGHT("00"&amp;COUNTIF($D$2:D374,D374),2),LEFT(A373,LEN(A373)-2)+1 &amp; "01"))</f>
        <v/>
      </c>
      <c r="B374" s="19" t="str">
        <f t="shared" si="10"/>
        <v/>
      </c>
      <c r="C374" s="18" t="str">
        <f t="shared" si="12"/>
        <v/>
      </c>
    </row>
    <row r="375" spans="1:3" x14ac:dyDescent="0.4">
      <c r="A375" s="18" t="str">
        <f>IF(D375="","",IF(D375=D374,LEFT(A374,LEN(A374)-2) &amp; RIGHT("00"&amp;COUNTIF($D$2:D375,D375),2),LEFT(A374,LEN(A374)-2)+1 &amp; "01"))</f>
        <v/>
      </c>
      <c r="B375" s="19" t="str">
        <f t="shared" si="10"/>
        <v/>
      </c>
      <c r="C375" s="18" t="str">
        <f t="shared" si="12"/>
        <v/>
      </c>
    </row>
    <row r="376" spans="1:3" x14ac:dyDescent="0.4">
      <c r="A376" s="18" t="str">
        <f>IF(D376="","",IF(D376=D375,LEFT(A375,LEN(A375)-2) &amp; RIGHT("00"&amp;COUNTIF($D$2:D376,D376),2),LEFT(A375,LEN(A375)-2)+1 &amp; "01"))</f>
        <v/>
      </c>
      <c r="B376" s="19" t="str">
        <f t="shared" si="10"/>
        <v/>
      </c>
      <c r="C376" s="18" t="str">
        <f t="shared" si="12"/>
        <v/>
      </c>
    </row>
    <row r="377" spans="1:3" x14ac:dyDescent="0.4">
      <c r="A377" s="18" t="str">
        <f>IF(D377="","",IF(D377=D376,LEFT(A376,LEN(A376)-2) &amp; RIGHT("00"&amp;COUNTIF($D$2:D377,D377),2),LEFT(A376,LEN(A376)-2)+1 &amp; "01"))</f>
        <v/>
      </c>
      <c r="B377" s="19" t="str">
        <f t="shared" si="10"/>
        <v/>
      </c>
      <c r="C377" s="18" t="str">
        <f t="shared" si="12"/>
        <v/>
      </c>
    </row>
    <row r="378" spans="1:3" x14ac:dyDescent="0.4">
      <c r="A378" s="18" t="str">
        <f>IF(D378="","",IF(D378=D377,LEFT(A377,LEN(A377)-2) &amp; RIGHT("00"&amp;COUNTIF($D$2:D378,D378),2),LEFT(A377,LEN(A377)-2)+1 &amp; "01"))</f>
        <v/>
      </c>
      <c r="B378" s="19" t="str">
        <f t="shared" si="10"/>
        <v/>
      </c>
      <c r="C378" s="18" t="str">
        <f t="shared" si="12"/>
        <v/>
      </c>
    </row>
    <row r="379" spans="1:3" x14ac:dyDescent="0.4">
      <c r="A379" s="18" t="str">
        <f>IF(D379="","",IF(D379=D378,LEFT(A378,LEN(A378)-2) &amp; RIGHT("00"&amp;COUNTIF($D$2:D379,D379),2),LEFT(A378,LEN(A378)-2)+1 &amp; "01"))</f>
        <v/>
      </c>
      <c r="B379" s="19" t="str">
        <f t="shared" si="10"/>
        <v/>
      </c>
      <c r="C379" s="18" t="str">
        <f t="shared" si="12"/>
        <v/>
      </c>
    </row>
    <row r="380" spans="1:3" x14ac:dyDescent="0.4">
      <c r="A380" s="18" t="str">
        <f>IF(D380="","",IF(D380=D379,LEFT(A379,LEN(A379)-2) &amp; RIGHT("00"&amp;COUNTIF($D$2:D380,D380),2),LEFT(A379,LEN(A379)-2)+1 &amp; "01"))</f>
        <v/>
      </c>
      <c r="B380" s="19" t="str">
        <f t="shared" si="10"/>
        <v/>
      </c>
      <c r="C380" s="18" t="str">
        <f t="shared" si="12"/>
        <v/>
      </c>
    </row>
    <row r="381" spans="1:3" x14ac:dyDescent="0.4">
      <c r="A381" s="18" t="str">
        <f>IF(D381="","",IF(D381=D380,LEFT(A380,LEN(A380)-2) &amp; RIGHT("00"&amp;COUNTIF($D$2:D381,D381),2),LEFT(A380,LEN(A380)-2)+1 &amp; "01"))</f>
        <v/>
      </c>
      <c r="B381" s="19" t="str">
        <f t="shared" si="10"/>
        <v/>
      </c>
      <c r="C381" s="18" t="str">
        <f t="shared" si="12"/>
        <v/>
      </c>
    </row>
    <row r="382" spans="1:3" x14ac:dyDescent="0.4">
      <c r="A382" s="18" t="str">
        <f>IF(D382="","",IF(D382=D381,LEFT(A381,LEN(A381)-2) &amp; RIGHT("00"&amp;COUNTIF($D$2:D382,D382),2),LEFT(A381,LEN(A381)-2)+1 &amp; "01"))</f>
        <v/>
      </c>
      <c r="B382" s="19" t="str">
        <f t="shared" si="10"/>
        <v/>
      </c>
      <c r="C382" s="18" t="str">
        <f t="shared" si="12"/>
        <v/>
      </c>
    </row>
    <row r="383" spans="1:3" x14ac:dyDescent="0.4">
      <c r="A383" s="18" t="str">
        <f>IF(D383="","",IF(D383=D382,LEFT(A382,LEN(A382)-2) &amp; RIGHT("00"&amp;COUNTIF($D$2:D383,D383),2),LEFT(A382,LEN(A382)-2)+1 &amp; "01"))</f>
        <v/>
      </c>
      <c r="B383" s="19" t="str">
        <f t="shared" si="10"/>
        <v/>
      </c>
      <c r="C383" s="18" t="str">
        <f t="shared" si="12"/>
        <v/>
      </c>
    </row>
    <row r="384" spans="1:3" x14ac:dyDescent="0.4">
      <c r="A384" s="18" t="str">
        <f>IF(D384="","",IF(D384=D383,LEFT(A383,LEN(A383)-2) &amp; RIGHT("00"&amp;COUNTIF($D$2:D384,D384),2),LEFT(A383,LEN(A383)-2)+1 &amp; "01"))</f>
        <v/>
      </c>
      <c r="B384" s="19" t="str">
        <f t="shared" si="10"/>
        <v/>
      </c>
      <c r="C384" s="18" t="str">
        <f t="shared" si="12"/>
        <v/>
      </c>
    </row>
    <row r="385" spans="1:3" x14ac:dyDescent="0.4">
      <c r="A385" s="18" t="str">
        <f>IF(D385="","",IF(D385=D384,LEFT(A384,LEN(A384)-2) &amp; RIGHT("00"&amp;COUNTIF($D$2:D385,D385),2),LEFT(A384,LEN(A384)-2)+1 &amp; "01"))</f>
        <v/>
      </c>
      <c r="B385" s="19" t="str">
        <f t="shared" si="10"/>
        <v/>
      </c>
      <c r="C385" s="18" t="str">
        <f t="shared" si="12"/>
        <v/>
      </c>
    </row>
    <row r="386" spans="1:3" x14ac:dyDescent="0.4">
      <c r="A386" s="18" t="str">
        <f>IF(D386="","",IF(D386=D385,LEFT(A385,LEN(A385)-2) &amp; RIGHT("00"&amp;COUNTIF($D$2:D386,D386),2),LEFT(A385,LEN(A385)-2)+1 &amp; "01"))</f>
        <v/>
      </c>
      <c r="B386" s="19" t="str">
        <f t="shared" si="10"/>
        <v/>
      </c>
      <c r="C386" s="18" t="str">
        <f t="shared" si="12"/>
        <v/>
      </c>
    </row>
    <row r="387" spans="1:3" x14ac:dyDescent="0.4">
      <c r="A387" s="18" t="str">
        <f>IF(D387="","",IF(D387=D386,LEFT(A386,LEN(A386)-2) &amp; RIGHT("00"&amp;COUNTIF($D$2:D387,D387),2),LEFT(A386,LEN(A386)-2)+1 &amp; "01"))</f>
        <v/>
      </c>
      <c r="B387" s="19" t="str">
        <f t="shared" ref="B387:B400" si="13">IFERROR(VALUE(LEFT(A387,LEN(A387)-2)),"")</f>
        <v/>
      </c>
      <c r="C387" s="18" t="str">
        <f t="shared" si="12"/>
        <v/>
      </c>
    </row>
    <row r="388" spans="1:3" x14ac:dyDescent="0.4">
      <c r="A388" s="18" t="str">
        <f>IF(D388="","",IF(D388=D387,LEFT(A387,LEN(A387)-2) &amp; RIGHT("00"&amp;COUNTIF($D$2:D388,D388),2),LEFT(A387,LEN(A387)-2)+1 &amp; "01"))</f>
        <v/>
      </c>
      <c r="B388" s="19" t="str">
        <f t="shared" si="13"/>
        <v/>
      </c>
      <c r="C388" s="18" t="str">
        <f t="shared" si="12"/>
        <v/>
      </c>
    </row>
    <row r="389" spans="1:3" x14ac:dyDescent="0.4">
      <c r="A389" s="18" t="str">
        <f>IF(D389="","",IF(D389=D388,LEFT(A388,LEN(A388)-2) &amp; RIGHT("00"&amp;COUNTIF($D$2:D389,D389),2),LEFT(A388,LEN(A388)-2)+1 &amp; "01"))</f>
        <v/>
      </c>
      <c r="B389" s="19" t="str">
        <f t="shared" si="13"/>
        <v/>
      </c>
      <c r="C389" s="18" t="str">
        <f t="shared" si="12"/>
        <v/>
      </c>
    </row>
    <row r="390" spans="1:3" x14ac:dyDescent="0.4">
      <c r="A390" s="18" t="str">
        <f>IF(D390="","",IF(D390=D389,LEFT(A389,LEN(A389)-2) &amp; RIGHT("00"&amp;COUNTIF($D$2:D390,D390),2),LEFT(A389,LEN(A389)-2)+1 &amp; "01"))</f>
        <v/>
      </c>
      <c r="B390" s="19" t="str">
        <f t="shared" si="13"/>
        <v/>
      </c>
      <c r="C390" s="18" t="str">
        <f t="shared" si="12"/>
        <v/>
      </c>
    </row>
    <row r="391" spans="1:3" x14ac:dyDescent="0.4">
      <c r="A391" s="18" t="str">
        <f>IF(D391="","",IF(D391=D390,LEFT(A390,LEN(A390)-2) &amp; RIGHT("00"&amp;COUNTIF($D$2:D391,D391),2),LEFT(A390,LEN(A390)-2)+1 &amp; "01"))</f>
        <v/>
      </c>
      <c r="B391" s="19" t="str">
        <f t="shared" si="13"/>
        <v/>
      </c>
      <c r="C391" s="18" t="str">
        <f t="shared" si="12"/>
        <v/>
      </c>
    </row>
    <row r="392" spans="1:3" x14ac:dyDescent="0.4">
      <c r="A392" s="18" t="str">
        <f>IF(D392="","",IF(D392=D391,LEFT(A391,LEN(A391)-2) &amp; RIGHT("00"&amp;COUNTIF($D$2:D392,D392),2),LEFT(A391,LEN(A391)-2)+1 &amp; "01"))</f>
        <v/>
      </c>
      <c r="B392" s="19" t="str">
        <f t="shared" si="13"/>
        <v/>
      </c>
      <c r="C392" s="18" t="str">
        <f t="shared" si="12"/>
        <v/>
      </c>
    </row>
    <row r="393" spans="1:3" x14ac:dyDescent="0.4">
      <c r="A393" s="18" t="str">
        <f>IF(D393="","",IF(D393=D392,LEFT(A392,LEN(A392)-2) &amp; RIGHT("00"&amp;COUNTIF($D$2:D393,D393),2),LEFT(A392,LEN(A392)-2)+1 &amp; "01"))</f>
        <v/>
      </c>
      <c r="B393" s="19" t="str">
        <f t="shared" si="13"/>
        <v/>
      </c>
      <c r="C393" s="18" t="str">
        <f t="shared" si="12"/>
        <v/>
      </c>
    </row>
    <row r="394" spans="1:3" x14ac:dyDescent="0.4">
      <c r="A394" s="18" t="str">
        <f>IF(D394="","",IF(D394=D393,LEFT(A393,LEN(A393)-2) &amp; RIGHT("00"&amp;COUNTIF($D$2:D394,D394),2),LEFT(A393,LEN(A393)-2)+1 &amp; "01"))</f>
        <v/>
      </c>
      <c r="B394" s="19" t="str">
        <f t="shared" si="13"/>
        <v/>
      </c>
      <c r="C394" s="18" t="str">
        <f t="shared" si="12"/>
        <v/>
      </c>
    </row>
    <row r="395" spans="1:3" x14ac:dyDescent="0.4">
      <c r="A395" s="18" t="str">
        <f>IF(D395="","",IF(D395=D394,LEFT(A394,LEN(A394)-2) &amp; RIGHT("00"&amp;COUNTIF($D$2:D395,D395),2),LEFT(A394,LEN(A394)-2)+1 &amp; "01"))</f>
        <v/>
      </c>
      <c r="B395" s="19" t="str">
        <f t="shared" si="13"/>
        <v/>
      </c>
      <c r="C395" s="18" t="str">
        <f t="shared" si="12"/>
        <v/>
      </c>
    </row>
    <row r="396" spans="1:3" x14ac:dyDescent="0.4">
      <c r="A396" s="18" t="str">
        <f>IF(D396="","",IF(D396=D395,LEFT(A395,LEN(A395)-2) &amp; RIGHT("00"&amp;COUNTIF($D$2:D396,D396),2),LEFT(A395,LEN(A395)-2)+1 &amp; "01"))</f>
        <v/>
      </c>
      <c r="B396" s="19" t="str">
        <f t="shared" si="13"/>
        <v/>
      </c>
      <c r="C396" s="18" t="str">
        <f t="shared" si="12"/>
        <v/>
      </c>
    </row>
    <row r="397" spans="1:3" x14ac:dyDescent="0.4">
      <c r="A397" s="18" t="str">
        <f>IF(D397="","",IF(D397=D396,LEFT(A396,LEN(A396)-2) &amp; RIGHT("00"&amp;COUNTIF($D$2:D397,D397),2),LEFT(A396,LEN(A396)-2)+1 &amp; "01"))</f>
        <v/>
      </c>
      <c r="B397" s="19" t="str">
        <f t="shared" si="13"/>
        <v/>
      </c>
      <c r="C397" s="18" t="str">
        <f t="shared" si="12"/>
        <v/>
      </c>
    </row>
    <row r="398" spans="1:3" x14ac:dyDescent="0.4">
      <c r="A398" s="18" t="str">
        <f>IF(D398="","",IF(D398=D397,LEFT(A397,LEN(A397)-2) &amp; RIGHT("00"&amp;COUNTIF($D$2:D398,D398),2),LEFT(A397,LEN(A397)-2)+1 &amp; "01"))</f>
        <v/>
      </c>
      <c r="B398" s="19" t="str">
        <f t="shared" si="13"/>
        <v/>
      </c>
      <c r="C398" s="18" t="str">
        <f t="shared" si="12"/>
        <v/>
      </c>
    </row>
    <row r="399" spans="1:3" x14ac:dyDescent="0.4">
      <c r="A399" s="18" t="str">
        <f>IF(D399="","",IF(D399=D398,LEFT(A398,LEN(A398)-2) &amp; RIGHT("00"&amp;COUNTIF($D$2:D399,D399),2),LEFT(A398,LEN(A398)-2)+1 &amp; "01"))</f>
        <v/>
      </c>
      <c r="B399" s="19" t="str">
        <f t="shared" si="13"/>
        <v/>
      </c>
      <c r="C399" s="18" t="str">
        <f t="shared" si="12"/>
        <v/>
      </c>
    </row>
    <row r="400" spans="1:3" x14ac:dyDescent="0.4">
      <c r="A400" s="18" t="str">
        <f>IF(D400="","",IF(D400=D399,LEFT(A399,LEN(A399)-2) &amp; RIGHT("00"&amp;COUNTIF($D$2:D400,D400),2),LEFT(A399,LEN(A399)-2)+1 &amp; "01"))</f>
        <v/>
      </c>
      <c r="B400" s="19" t="str">
        <f t="shared" si="13"/>
        <v/>
      </c>
      <c r="C400" s="18" t="str">
        <f t="shared" si="12"/>
        <v/>
      </c>
    </row>
  </sheetData>
  <sheetProtection sheet="1" objects="1" scenarios="1"/>
  <autoFilter ref="A1:P400" xr:uid="{5F067D9F-828A-4517-A8CC-8A6AF500C2F1}"/>
  <phoneticPr fontId="1"/>
  <pageMargins left="0.25" right="0.25" top="0.75" bottom="0.75" header="0.3" footer="0.3"/>
  <pageSetup paperSize="9" scale="54" fitToHeight="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82C2D2-1BEE-4C54-9AB8-BF9825CA208E}">
  <sheetPr codeName="Sheet7"/>
  <dimension ref="A1"/>
  <sheetViews>
    <sheetView workbookViewId="0">
      <selection activeCell="H16" sqref="H16"/>
    </sheetView>
  </sheetViews>
  <sheetFormatPr defaultRowHeight="18.75" x14ac:dyDescent="0.4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合計必要素材</vt:lpstr>
      <vt:lpstr>製造アイテム数</vt:lpstr>
      <vt:lpstr>テンプレート</vt:lpstr>
      <vt:lpstr>使用レシピ</vt:lpstr>
      <vt:lpstr>使用レシピ(ID)</vt:lpstr>
      <vt:lpstr>レシピ一覧</vt:lpstr>
      <vt:lpstr>Debug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NHS22 伊藤大悟</dc:creator>
  <cp:lastModifiedBy>NHAT14B19204 伊藤大悟</cp:lastModifiedBy>
  <cp:lastPrinted>2023-11-02T09:44:21Z</cp:lastPrinted>
  <dcterms:created xsi:type="dcterms:W3CDTF">2023-10-08T11:07:32Z</dcterms:created>
  <dcterms:modified xsi:type="dcterms:W3CDTF">2025-11-16T18:10:35Z</dcterms:modified>
</cp:coreProperties>
</file>