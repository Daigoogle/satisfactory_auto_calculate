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tisfactory\"/>
    </mc:Choice>
  </mc:AlternateContent>
  <xr:revisionPtr revIDLastSave="0" documentId="13_ncr:1_{F1E24D73-58C8-4086-B18A-0FC602EF3801}" xr6:coauthVersionLast="47" xr6:coauthVersionMax="47" xr10:uidLastSave="{00000000-0000-0000-0000-000000000000}"/>
  <bookViews>
    <workbookView xWindow="-120" yWindow="-120" windowWidth="29040" windowHeight="15720" activeTab="1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使用レシピ(ID)" sheetId="9" r:id="rId5"/>
    <sheet name="レシピ一覧" sheetId="6" r:id="rId6"/>
  </sheets>
  <functionGroups builtInGroupCount="19"/>
  <definedNames>
    <definedName name="_xlnm._FilterDatabase" localSheetId="5" hidden="1">レシピ一覧!$A$1:$P$400</definedName>
    <definedName name="_xlnm._FilterDatabase" localSheetId="1" hidden="1">製造アイテム数!$A$1:$P$1</definedName>
    <definedName name="_xleta.FIND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0" i="1"/>
  <c r="J11" i="1"/>
  <c r="J12" i="1"/>
  <c r="J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A344" i="6"/>
  <c r="B344" i="6" s="1"/>
  <c r="A345" i="6"/>
  <c r="B345" i="6" s="1"/>
  <c r="A346" i="6"/>
  <c r="C346" i="6" s="1"/>
  <c r="A347" i="6"/>
  <c r="B347" i="6" s="1"/>
  <c r="C347" i="6"/>
  <c r="A348" i="6"/>
  <c r="B348" i="6" s="1"/>
  <c r="C348" i="6"/>
  <c r="A349" i="6"/>
  <c r="B349" i="6" s="1"/>
  <c r="A350" i="6"/>
  <c r="C350" i="6" s="1"/>
  <c r="A351" i="6"/>
  <c r="B351" i="6" s="1"/>
  <c r="A352" i="6"/>
  <c r="B352" i="6" s="1"/>
  <c r="C352" i="6"/>
  <c r="A353" i="6"/>
  <c r="B353" i="6"/>
  <c r="C353" i="6"/>
  <c r="A354" i="6"/>
  <c r="C354" i="6" s="1"/>
  <c r="A355" i="6"/>
  <c r="A356" i="6"/>
  <c r="B356" i="6" s="1"/>
  <c r="A357" i="6"/>
  <c r="B357" i="6" s="1"/>
  <c r="A358" i="6"/>
  <c r="A359" i="6"/>
  <c r="C359" i="6" s="1"/>
  <c r="B359" i="6"/>
  <c r="A360" i="6"/>
  <c r="A361" i="6"/>
  <c r="A362" i="6"/>
  <c r="A363" i="6"/>
  <c r="B363" i="6" s="1"/>
  <c r="A364" i="6"/>
  <c r="C364" i="6" s="1"/>
  <c r="A365" i="6"/>
  <c r="B365" i="6" s="1"/>
  <c r="A366" i="6"/>
  <c r="C366" i="6" s="1"/>
  <c r="A367" i="6"/>
  <c r="A368" i="6"/>
  <c r="C368" i="6" s="1"/>
  <c r="A369" i="6"/>
  <c r="C369" i="6" s="1"/>
  <c r="B369" i="6"/>
  <c r="A370" i="6"/>
  <c r="B370" i="6" s="1"/>
  <c r="A371" i="6"/>
  <c r="B371" i="6" s="1"/>
  <c r="C371" i="6"/>
  <c r="A372" i="6"/>
  <c r="A373" i="6"/>
  <c r="B373" i="6" s="1"/>
  <c r="A374" i="6"/>
  <c r="B374" i="6"/>
  <c r="C374" i="6"/>
  <c r="A375" i="6"/>
  <c r="A376" i="6"/>
  <c r="A377" i="6"/>
  <c r="A378" i="6"/>
  <c r="B378" i="6" s="1"/>
  <c r="A379" i="6"/>
  <c r="B379" i="6" s="1"/>
  <c r="A380" i="6"/>
  <c r="A381" i="6"/>
  <c r="A382" i="6"/>
  <c r="A383" i="6"/>
  <c r="C383" i="6" s="1"/>
  <c r="B383" i="6"/>
  <c r="A384" i="6"/>
  <c r="B384" i="6"/>
  <c r="C384" i="6"/>
  <c r="A385" i="6"/>
  <c r="B385" i="6" s="1"/>
  <c r="A386" i="6"/>
  <c r="C386" i="6" s="1"/>
  <c r="A387" i="6"/>
  <c r="C387" i="6" s="1"/>
  <c r="B387" i="6"/>
  <c r="A388" i="6"/>
  <c r="A389" i="6"/>
  <c r="B389" i="6" s="1"/>
  <c r="A390" i="6"/>
  <c r="B390" i="6" s="1"/>
  <c r="C390" i="6"/>
  <c r="A391" i="6"/>
  <c r="C391" i="6" s="1"/>
  <c r="B391" i="6"/>
  <c r="A392" i="6"/>
  <c r="B392" i="6" s="1"/>
  <c r="C392" i="6"/>
  <c r="A393" i="6"/>
  <c r="C393" i="6" s="1"/>
  <c r="A394" i="6"/>
  <c r="C394" i="6" s="1"/>
  <c r="A395" i="6"/>
  <c r="A396" i="6"/>
  <c r="B396" i="6" s="1"/>
  <c r="A397" i="6"/>
  <c r="B397" i="6" s="1"/>
  <c r="A398" i="6"/>
  <c r="A399" i="6"/>
  <c r="B399" i="6" s="1"/>
  <c r="C399" i="6"/>
  <c r="A400" i="6"/>
  <c r="B400" i="6" s="1"/>
  <c r="C400" i="6"/>
  <c r="C2" i="6"/>
  <c r="B2" i="6"/>
  <c r="A338" i="6"/>
  <c r="C338" i="6" s="1"/>
  <c r="A339" i="6"/>
  <c r="B339" i="6" s="1"/>
  <c r="A340" i="6"/>
  <c r="B340" i="6" s="1"/>
  <c r="A341" i="6"/>
  <c r="C341" i="6" s="1"/>
  <c r="A342" i="6"/>
  <c r="B342" i="6" s="1"/>
  <c r="A343" i="6"/>
  <c r="C343" i="6" s="1"/>
  <c r="A3" i="6"/>
  <c r="B3" i="6" s="1"/>
  <c r="B350" i="6" l="1"/>
  <c r="C373" i="6"/>
  <c r="C351" i="6"/>
  <c r="C389" i="6"/>
  <c r="C349" i="6"/>
  <c r="B368" i="6"/>
  <c r="C3" i="6"/>
  <c r="B343" i="6"/>
  <c r="C379" i="6"/>
  <c r="C342" i="6"/>
  <c r="C396" i="6"/>
  <c r="C356" i="6"/>
  <c r="C340" i="6"/>
  <c r="B338" i="6"/>
  <c r="B366" i="6"/>
  <c r="B364" i="6"/>
  <c r="C363" i="6"/>
  <c r="B393" i="6"/>
  <c r="C375" i="6"/>
  <c r="B375" i="6"/>
  <c r="C358" i="6"/>
  <c r="B358" i="6"/>
  <c r="B355" i="6"/>
  <c r="C355" i="6"/>
  <c r="B381" i="6"/>
  <c r="C381" i="6"/>
  <c r="B380" i="6"/>
  <c r="C380" i="6"/>
  <c r="B361" i="6"/>
  <c r="C361" i="6"/>
  <c r="B341" i="6"/>
  <c r="B360" i="6"/>
  <c r="C360" i="6"/>
  <c r="C388" i="6"/>
  <c r="B388" i="6"/>
  <c r="B377" i="6"/>
  <c r="C377" i="6"/>
  <c r="C339" i="6"/>
  <c r="B376" i="6"/>
  <c r="C376" i="6"/>
  <c r="B382" i="6"/>
  <c r="C382" i="6"/>
  <c r="C378" i="6"/>
  <c r="B346" i="6"/>
  <c r="B395" i="6"/>
  <c r="C395" i="6"/>
  <c r="C362" i="6"/>
  <c r="B362" i="6"/>
  <c r="C345" i="6"/>
  <c r="B372" i="6"/>
  <c r="C372" i="6"/>
  <c r="B367" i="6"/>
  <c r="C367" i="6"/>
  <c r="C398" i="6"/>
  <c r="B398" i="6"/>
  <c r="B394" i="6"/>
  <c r="C357" i="6"/>
  <c r="B386" i="6"/>
  <c r="B354" i="6"/>
  <c r="C385" i="6"/>
  <c r="C370" i="6"/>
  <c r="C344" i="6"/>
  <c r="C397" i="6"/>
  <c r="C365" i="6"/>
  <c r="A4" i="6"/>
  <c r="B743" i="5" a="1"/>
  <c r="B743" i="5" s="1"/>
  <c r="C743" i="5" a="1"/>
  <c r="C743" i="5" s="1"/>
  <c r="B744" i="5" a="1"/>
  <c r="B744" i="5" s="1"/>
  <c r="C744" i="5" a="1"/>
  <c r="C744" i="5" s="1"/>
  <c r="B745" i="5" a="1"/>
  <c r="B745" i="5" s="1"/>
  <c r="C745" i="5" a="1"/>
  <c r="C745" i="5" s="1"/>
  <c r="B746" i="5" a="1"/>
  <c r="B746" i="5" s="1"/>
  <c r="C746" i="5" a="1"/>
  <c r="C746" i="5" s="1"/>
  <c r="B747" i="5" a="1"/>
  <c r="B747" i="5" s="1"/>
  <c r="C747" i="5" a="1"/>
  <c r="C747" i="5" s="1"/>
  <c r="B748" i="5" a="1"/>
  <c r="B748" i="5" s="1"/>
  <c r="C748" i="5" a="1"/>
  <c r="C748" i="5" s="1"/>
  <c r="B749" i="5" a="1"/>
  <c r="B749" i="5" s="1"/>
  <c r="C749" i="5" a="1"/>
  <c r="C749" i="5" s="1"/>
  <c r="B750" i="5" a="1"/>
  <c r="B750" i="5" s="1"/>
  <c r="C750" i="5" a="1"/>
  <c r="C750" i="5" s="1"/>
  <c r="B751" i="5" a="1"/>
  <c r="B751" i="5" s="1"/>
  <c r="C751" i="5" a="1"/>
  <c r="C751" i="5" s="1"/>
  <c r="B752" i="5" a="1"/>
  <c r="B752" i="5" s="1"/>
  <c r="C752" i="5" a="1"/>
  <c r="C752" i="5" s="1"/>
  <c r="B753" i="5" a="1"/>
  <c r="B753" i="5" s="1"/>
  <c r="C753" i="5" a="1"/>
  <c r="C753" i="5" s="1"/>
  <c r="B754" i="5" a="1"/>
  <c r="B754" i="5" s="1"/>
  <c r="C754" i="5" a="1"/>
  <c r="C754" i="5" s="1"/>
  <c r="B755" i="5" a="1"/>
  <c r="B755" i="5" s="1"/>
  <c r="C755" i="5" a="1"/>
  <c r="C755" i="5" s="1"/>
  <c r="B756" i="5" a="1"/>
  <c r="B756" i="5" s="1"/>
  <c r="C756" i="5" a="1"/>
  <c r="C756" i="5" s="1"/>
  <c r="B757" i="5" a="1"/>
  <c r="B757" i="5" s="1"/>
  <c r="C757" i="5" a="1"/>
  <c r="C757" i="5" s="1"/>
  <c r="B758" i="5" a="1"/>
  <c r="B758" i="5" s="1"/>
  <c r="C758" i="5" a="1"/>
  <c r="C758" i="5" s="1"/>
  <c r="B759" i="5" a="1"/>
  <c r="B759" i="5" s="1"/>
  <c r="C759" i="5" a="1"/>
  <c r="C759" i="5" s="1"/>
  <c r="B760" i="5" a="1"/>
  <c r="B760" i="5" s="1"/>
  <c r="C760" i="5" a="1"/>
  <c r="C760" i="5" s="1"/>
  <c r="B761" i="5" a="1"/>
  <c r="B761" i="5" s="1"/>
  <c r="C761" i="5" a="1"/>
  <c r="C761" i="5" s="1"/>
  <c r="B762" i="5" a="1"/>
  <c r="B762" i="5" s="1"/>
  <c r="C762" i="5" a="1"/>
  <c r="C762" i="5" s="1"/>
  <c r="B763" i="5" a="1"/>
  <c r="B763" i="5" s="1"/>
  <c r="C763" i="5" a="1"/>
  <c r="C763" i="5" s="1"/>
  <c r="B764" i="5" a="1"/>
  <c r="B764" i="5" s="1"/>
  <c r="C764" i="5" a="1"/>
  <c r="C764" i="5" s="1"/>
  <c r="B765" i="5" a="1"/>
  <c r="B765" i="5" s="1"/>
  <c r="C765" i="5" a="1"/>
  <c r="C765" i="5" s="1"/>
  <c r="B766" i="5" a="1"/>
  <c r="B766" i="5" s="1"/>
  <c r="C766" i="5" a="1"/>
  <c r="C766" i="5" s="1"/>
  <c r="B767" i="5" a="1"/>
  <c r="B767" i="5" s="1"/>
  <c r="C767" i="5" a="1"/>
  <c r="C767" i="5" s="1"/>
  <c r="B768" i="5" a="1"/>
  <c r="B768" i="5" s="1"/>
  <c r="C768" i="5" a="1"/>
  <c r="C768" i="5" s="1"/>
  <c r="B769" i="5" a="1"/>
  <c r="B769" i="5" s="1"/>
  <c r="C769" i="5" a="1"/>
  <c r="C769" i="5" s="1"/>
  <c r="B770" i="5" a="1"/>
  <c r="B770" i="5" s="1"/>
  <c r="C770" i="5" a="1"/>
  <c r="C770" i="5" s="1"/>
  <c r="B771" i="5" a="1"/>
  <c r="B771" i="5" s="1"/>
  <c r="C771" i="5" a="1"/>
  <c r="C771" i="5" s="1"/>
  <c r="B772" i="5" a="1"/>
  <c r="B772" i="5" s="1"/>
  <c r="C772" i="5" a="1"/>
  <c r="C772" i="5" s="1"/>
  <c r="B773" i="5" a="1"/>
  <c r="B773" i="5" s="1"/>
  <c r="C773" i="5" a="1"/>
  <c r="C773" i="5" s="1"/>
  <c r="B774" i="5" a="1"/>
  <c r="B774" i="5" s="1"/>
  <c r="C774" i="5" a="1"/>
  <c r="C774" i="5" s="1"/>
  <c r="B775" i="5" a="1"/>
  <c r="B775" i="5" s="1"/>
  <c r="C775" i="5" a="1"/>
  <c r="C775" i="5" s="1"/>
  <c r="B776" i="5" a="1"/>
  <c r="B776" i="5" s="1"/>
  <c r="C776" i="5" a="1"/>
  <c r="C776" i="5" s="1"/>
  <c r="B777" i="5" a="1"/>
  <c r="B777" i="5" s="1"/>
  <c r="C777" i="5" a="1"/>
  <c r="C777" i="5" s="1"/>
  <c r="B778" i="5" a="1"/>
  <c r="B778" i="5" s="1"/>
  <c r="C778" i="5" a="1"/>
  <c r="C778" i="5" s="1"/>
  <c r="B779" i="5" a="1"/>
  <c r="B779" i="5" s="1"/>
  <c r="C779" i="5" a="1"/>
  <c r="C779" i="5" s="1"/>
  <c r="B780" i="5" a="1"/>
  <c r="B780" i="5" s="1"/>
  <c r="C780" i="5" a="1"/>
  <c r="C780" i="5" s="1"/>
  <c r="B781" i="5" a="1"/>
  <c r="B781" i="5" s="1"/>
  <c r="C781" i="5" a="1"/>
  <c r="C781" i="5" s="1"/>
  <c r="B782" i="5" a="1"/>
  <c r="B782" i="5" s="1"/>
  <c r="C782" i="5" a="1"/>
  <c r="C782" i="5" s="1"/>
  <c r="B783" i="5" a="1"/>
  <c r="B783" i="5" s="1"/>
  <c r="C783" i="5" a="1"/>
  <c r="C783" i="5" s="1"/>
  <c r="B784" i="5" a="1"/>
  <c r="B784" i="5" s="1"/>
  <c r="C784" i="5" a="1"/>
  <c r="C784" i="5" s="1"/>
  <c r="B785" i="5" a="1"/>
  <c r="B785" i="5" s="1"/>
  <c r="C785" i="5" a="1"/>
  <c r="C785" i="5" s="1"/>
  <c r="B786" i="5" a="1"/>
  <c r="B786" i="5" s="1"/>
  <c r="C786" i="5" a="1"/>
  <c r="C786" i="5" s="1"/>
  <c r="B787" i="5" a="1"/>
  <c r="B787" i="5" s="1"/>
  <c r="C787" i="5" a="1"/>
  <c r="C787" i="5" s="1"/>
  <c r="B788" i="5" a="1"/>
  <c r="B788" i="5" s="1"/>
  <c r="C788" i="5" a="1"/>
  <c r="C788" i="5" s="1"/>
  <c r="B789" i="5" a="1"/>
  <c r="B789" i="5" s="1"/>
  <c r="C789" i="5" a="1"/>
  <c r="C789" i="5" s="1"/>
  <c r="B790" i="5" a="1"/>
  <c r="B790" i="5" s="1"/>
  <c r="C790" i="5" a="1"/>
  <c r="C790" i="5" s="1"/>
  <c r="B791" i="5" a="1"/>
  <c r="B791" i="5" s="1"/>
  <c r="C791" i="5" a="1"/>
  <c r="C791" i="5" s="1"/>
  <c r="B792" i="5" a="1"/>
  <c r="B792" i="5" s="1"/>
  <c r="C792" i="5" a="1"/>
  <c r="C792" i="5" s="1"/>
  <c r="B793" i="5" a="1"/>
  <c r="B793" i="5" s="1"/>
  <c r="C793" i="5" a="1"/>
  <c r="C793" i="5" s="1"/>
  <c r="B794" i="5" a="1"/>
  <c r="B794" i="5" s="1"/>
  <c r="C794" i="5" a="1"/>
  <c r="C794" i="5" s="1"/>
  <c r="B795" i="5" a="1"/>
  <c r="B795" i="5" s="1"/>
  <c r="C795" i="5" a="1"/>
  <c r="C795" i="5" s="1"/>
  <c r="B796" i="5" a="1"/>
  <c r="B796" i="5" s="1"/>
  <c r="C796" i="5" a="1"/>
  <c r="C796" i="5" s="1"/>
  <c r="B797" i="5" a="1"/>
  <c r="B797" i="5" s="1"/>
  <c r="C797" i="5" a="1"/>
  <c r="C797" i="5" s="1"/>
  <c r="B798" i="5" a="1"/>
  <c r="B798" i="5" s="1"/>
  <c r="C798" i="5" a="1"/>
  <c r="C798" i="5" s="1"/>
  <c r="B799" i="5" a="1"/>
  <c r="B799" i="5" s="1"/>
  <c r="C799" i="5" a="1"/>
  <c r="C799" i="5" s="1"/>
  <c r="B800" i="5" a="1"/>
  <c r="B800" i="5" s="1"/>
  <c r="C800" i="5" a="1"/>
  <c r="C800" i="5" s="1"/>
  <c r="B801" i="5" a="1"/>
  <c r="B801" i="5" s="1"/>
  <c r="C801" i="5" a="1"/>
  <c r="C801" i="5" s="1"/>
  <c r="B802" i="5" a="1"/>
  <c r="B802" i="5" s="1"/>
  <c r="C802" i="5" a="1"/>
  <c r="C802" i="5" s="1"/>
  <c r="B803" i="5" a="1"/>
  <c r="B803" i="5" s="1"/>
  <c r="C803" i="5" a="1"/>
  <c r="C803" i="5" s="1"/>
  <c r="B804" i="5" a="1"/>
  <c r="B804" i="5" s="1"/>
  <c r="C804" i="5" a="1"/>
  <c r="C804" i="5" s="1"/>
  <c r="B805" i="5" a="1"/>
  <c r="B805" i="5" s="1"/>
  <c r="C805" i="5" a="1"/>
  <c r="C805" i="5" s="1"/>
  <c r="B806" i="5" a="1"/>
  <c r="B806" i="5" s="1"/>
  <c r="C806" i="5" a="1"/>
  <c r="C806" i="5" s="1"/>
  <c r="B807" i="5" a="1"/>
  <c r="B807" i="5" s="1"/>
  <c r="C807" i="5" a="1"/>
  <c r="C807" i="5" s="1"/>
  <c r="B808" i="5" a="1"/>
  <c r="B808" i="5" s="1"/>
  <c r="C808" i="5" a="1"/>
  <c r="C808" i="5" s="1"/>
  <c r="B809" i="5" a="1"/>
  <c r="B809" i="5" s="1"/>
  <c r="C809" i="5" a="1"/>
  <c r="C809" i="5" s="1"/>
  <c r="B810" i="5" a="1"/>
  <c r="B810" i="5" s="1"/>
  <c r="C810" i="5" a="1"/>
  <c r="C810" i="5" s="1"/>
  <c r="B811" i="5" a="1"/>
  <c r="B811" i="5" s="1"/>
  <c r="C811" i="5" a="1"/>
  <c r="C811" i="5" s="1"/>
  <c r="B812" i="5" a="1"/>
  <c r="B812" i="5" s="1"/>
  <c r="C812" i="5" a="1"/>
  <c r="C812" i="5" s="1"/>
  <c r="B813" i="5" a="1"/>
  <c r="B813" i="5" s="1"/>
  <c r="C813" i="5" a="1"/>
  <c r="C813" i="5" s="1"/>
  <c r="B814" i="5" a="1"/>
  <c r="B814" i="5" s="1"/>
  <c r="C814" i="5" a="1"/>
  <c r="C814" i="5" s="1"/>
  <c r="B815" i="5" a="1"/>
  <c r="B815" i="5" s="1"/>
  <c r="C815" i="5" a="1"/>
  <c r="C815" i="5" s="1"/>
  <c r="B816" i="5" a="1"/>
  <c r="B816" i="5" s="1"/>
  <c r="C816" i="5" a="1"/>
  <c r="C816" i="5" s="1"/>
  <c r="B817" i="5" a="1"/>
  <c r="B817" i="5" s="1"/>
  <c r="C817" i="5" a="1"/>
  <c r="C817" i="5" s="1"/>
  <c r="B818" i="5" a="1"/>
  <c r="B818" i="5" s="1"/>
  <c r="C818" i="5" a="1"/>
  <c r="C818" i="5" s="1"/>
  <c r="B819" i="5" a="1"/>
  <c r="B819" i="5" s="1"/>
  <c r="C819" i="5" a="1"/>
  <c r="C819" i="5" s="1"/>
  <c r="B820" i="5" a="1"/>
  <c r="B820" i="5" s="1"/>
  <c r="C820" i="5" a="1"/>
  <c r="C820" i="5" s="1"/>
  <c r="B821" i="5" a="1"/>
  <c r="B821" i="5" s="1"/>
  <c r="C821" i="5" a="1"/>
  <c r="C821" i="5" s="1"/>
  <c r="B822" i="5" a="1"/>
  <c r="B822" i="5" s="1"/>
  <c r="C822" i="5" a="1"/>
  <c r="C822" i="5" s="1"/>
  <c r="B823" i="5" a="1"/>
  <c r="B823" i="5" s="1"/>
  <c r="C823" i="5" a="1"/>
  <c r="C823" i="5" s="1"/>
  <c r="B824" i="5" a="1"/>
  <c r="B824" i="5" s="1"/>
  <c r="C824" i="5" a="1"/>
  <c r="C824" i="5" s="1"/>
  <c r="B825" i="5" a="1"/>
  <c r="B825" i="5" s="1"/>
  <c r="C825" i="5" a="1"/>
  <c r="C825" i="5" s="1"/>
  <c r="B826" i="5" a="1"/>
  <c r="B826" i="5" s="1"/>
  <c r="C826" i="5" a="1"/>
  <c r="C826" i="5" s="1"/>
  <c r="B827" i="5" a="1"/>
  <c r="B827" i="5" s="1"/>
  <c r="C827" i="5" a="1"/>
  <c r="C827" i="5" s="1"/>
  <c r="B828" i="5" a="1"/>
  <c r="B828" i="5" s="1"/>
  <c r="C828" i="5" a="1"/>
  <c r="C828" i="5" s="1"/>
  <c r="B829" i="5" a="1"/>
  <c r="B829" i="5" s="1"/>
  <c r="C829" i="5" a="1"/>
  <c r="C829" i="5" s="1"/>
  <c r="B830" i="5" a="1"/>
  <c r="B830" i="5" s="1"/>
  <c r="C830" i="5" a="1"/>
  <c r="C830" i="5" s="1"/>
  <c r="B831" i="5" a="1"/>
  <c r="B831" i="5" s="1"/>
  <c r="C831" i="5" a="1"/>
  <c r="C831" i="5" s="1"/>
  <c r="B832" i="5" a="1"/>
  <c r="B832" i="5" s="1"/>
  <c r="C832" i="5" a="1"/>
  <c r="C832" i="5" s="1"/>
  <c r="B833" i="5" a="1"/>
  <c r="B833" i="5" s="1"/>
  <c r="C833" i="5" a="1"/>
  <c r="C833" i="5" s="1"/>
  <c r="B834" i="5" a="1"/>
  <c r="B834" i="5" s="1"/>
  <c r="C834" i="5" a="1"/>
  <c r="C834" i="5" s="1"/>
  <c r="B835" i="5" a="1"/>
  <c r="B835" i="5" s="1"/>
  <c r="C835" i="5" a="1"/>
  <c r="C835" i="5" s="1"/>
  <c r="B836" i="5" a="1"/>
  <c r="B836" i="5" s="1"/>
  <c r="C836" i="5" a="1"/>
  <c r="C836" i="5" s="1"/>
  <c r="B837" i="5" a="1"/>
  <c r="B837" i="5" s="1"/>
  <c r="C837" i="5" a="1"/>
  <c r="C837" i="5" s="1"/>
  <c r="B838" i="5" a="1"/>
  <c r="B838" i="5" s="1"/>
  <c r="C838" i="5" a="1"/>
  <c r="C838" i="5" s="1"/>
  <c r="B839" i="5" a="1"/>
  <c r="B839" i="5" s="1"/>
  <c r="C839" i="5" a="1"/>
  <c r="C839" i="5" s="1"/>
  <c r="B840" i="5" a="1"/>
  <c r="B840" i="5" s="1"/>
  <c r="C840" i="5" a="1"/>
  <c r="C840" i="5" s="1"/>
  <c r="B841" i="5" a="1"/>
  <c r="B841" i="5" s="1"/>
  <c r="C841" i="5" a="1"/>
  <c r="C841" i="5" s="1"/>
  <c r="B842" i="5" a="1"/>
  <c r="B842" i="5" s="1"/>
  <c r="C842" i="5" a="1"/>
  <c r="C842" i="5" s="1"/>
  <c r="B843" i="5" a="1"/>
  <c r="B843" i="5" s="1"/>
  <c r="C843" i="5" a="1"/>
  <c r="C843" i="5" s="1"/>
  <c r="B844" i="5" a="1"/>
  <c r="B844" i="5" s="1"/>
  <c r="C844" i="5" a="1"/>
  <c r="C844" i="5" s="1"/>
  <c r="B845" i="5" a="1"/>
  <c r="B845" i="5" s="1"/>
  <c r="C845" i="5" a="1"/>
  <c r="C845" i="5" s="1"/>
  <c r="B846" i="5" a="1"/>
  <c r="B846" i="5" s="1"/>
  <c r="C846" i="5" a="1"/>
  <c r="C846" i="5" s="1"/>
  <c r="B847" i="5" a="1"/>
  <c r="B847" i="5" s="1"/>
  <c r="C847" i="5" a="1"/>
  <c r="C847" i="5" s="1"/>
  <c r="B848" i="5" a="1"/>
  <c r="B848" i="5" s="1"/>
  <c r="C848" i="5" a="1"/>
  <c r="C848" i="5" s="1"/>
  <c r="B849" i="5" a="1"/>
  <c r="B849" i="5" s="1"/>
  <c r="C849" i="5" a="1"/>
  <c r="C849" i="5" s="1"/>
  <c r="B850" i="5" a="1"/>
  <c r="B850" i="5" s="1"/>
  <c r="C850" i="5" a="1"/>
  <c r="C850" i="5" s="1"/>
  <c r="B851" i="5" a="1"/>
  <c r="B851" i="5" s="1"/>
  <c r="C851" i="5" a="1"/>
  <c r="C851" i="5" s="1"/>
  <c r="B852" i="5" a="1"/>
  <c r="B852" i="5" s="1"/>
  <c r="C852" i="5" a="1"/>
  <c r="C852" i="5" s="1"/>
  <c r="B853" i="5" a="1"/>
  <c r="B853" i="5" s="1"/>
  <c r="C853" i="5" a="1"/>
  <c r="C853" i="5" s="1"/>
  <c r="B854" i="5" a="1"/>
  <c r="B854" i="5" s="1"/>
  <c r="C854" i="5" a="1"/>
  <c r="C854" i="5" s="1"/>
  <c r="B855" i="5" a="1"/>
  <c r="B855" i="5" s="1"/>
  <c r="C855" i="5" a="1"/>
  <c r="C855" i="5" s="1"/>
  <c r="B856" i="5" a="1"/>
  <c r="B856" i="5" s="1"/>
  <c r="C856" i="5" a="1"/>
  <c r="C856" i="5" s="1"/>
  <c r="B857" i="5" a="1"/>
  <c r="B857" i="5" s="1"/>
  <c r="C857" i="5" a="1"/>
  <c r="C857" i="5" s="1"/>
  <c r="B858" i="5" a="1"/>
  <c r="B858" i="5" s="1"/>
  <c r="C858" i="5" a="1"/>
  <c r="C858" i="5" s="1"/>
  <c r="B859" i="5" a="1"/>
  <c r="B859" i="5" s="1"/>
  <c r="C859" i="5" a="1"/>
  <c r="C859" i="5" s="1"/>
  <c r="B860" i="5" a="1"/>
  <c r="B860" i="5" s="1"/>
  <c r="C860" i="5" a="1"/>
  <c r="C860" i="5" s="1"/>
  <c r="B861" i="5" a="1"/>
  <c r="B861" i="5" s="1"/>
  <c r="C861" i="5" a="1"/>
  <c r="C861" i="5" s="1"/>
  <c r="B862" i="5" a="1"/>
  <c r="B862" i="5" s="1"/>
  <c r="C862" i="5" a="1"/>
  <c r="C862" i="5" s="1"/>
  <c r="B863" i="5" a="1"/>
  <c r="B863" i="5" s="1"/>
  <c r="C863" i="5" a="1"/>
  <c r="C863" i="5" s="1"/>
  <c r="B864" i="5" a="1"/>
  <c r="B864" i="5" s="1"/>
  <c r="C864" i="5" a="1"/>
  <c r="C864" i="5" s="1"/>
  <c r="B865" i="5" a="1"/>
  <c r="B865" i="5" s="1"/>
  <c r="C865" i="5" a="1"/>
  <c r="C865" i="5" s="1"/>
  <c r="B866" i="5" a="1"/>
  <c r="B866" i="5" s="1"/>
  <c r="C866" i="5" a="1"/>
  <c r="C866" i="5" s="1"/>
  <c r="B867" i="5" a="1"/>
  <c r="B867" i="5" s="1"/>
  <c r="C867" i="5" a="1"/>
  <c r="C867" i="5" s="1"/>
  <c r="B868" i="5" a="1"/>
  <c r="B868" i="5" s="1"/>
  <c r="C868" i="5" a="1"/>
  <c r="C868" i="5" s="1"/>
  <c r="B869" i="5" a="1"/>
  <c r="B869" i="5" s="1"/>
  <c r="C869" i="5" a="1"/>
  <c r="C869" i="5" s="1"/>
  <c r="B870" i="5" a="1"/>
  <c r="B870" i="5" s="1"/>
  <c r="C870" i="5" a="1"/>
  <c r="C870" i="5" s="1"/>
  <c r="B871" i="5" a="1"/>
  <c r="B871" i="5" s="1"/>
  <c r="C871" i="5" a="1"/>
  <c r="C871" i="5" s="1"/>
  <c r="B872" i="5" a="1"/>
  <c r="B872" i="5" s="1"/>
  <c r="C872" i="5" a="1"/>
  <c r="C872" i="5" s="1"/>
  <c r="B873" i="5" a="1"/>
  <c r="B873" i="5" s="1"/>
  <c r="C873" i="5" a="1"/>
  <c r="C873" i="5" s="1"/>
  <c r="B874" i="5" a="1"/>
  <c r="B874" i="5" s="1"/>
  <c r="C874" i="5" a="1"/>
  <c r="C874" i="5" s="1"/>
  <c r="B875" i="5" a="1"/>
  <c r="B875" i="5" s="1"/>
  <c r="C875" i="5" a="1"/>
  <c r="C875" i="5" s="1"/>
  <c r="B876" i="5" a="1"/>
  <c r="B876" i="5" s="1"/>
  <c r="C876" i="5" a="1"/>
  <c r="C876" i="5" s="1"/>
  <c r="B877" i="5" a="1"/>
  <c r="B877" i="5" s="1"/>
  <c r="C877" i="5" a="1"/>
  <c r="C877" i="5" s="1"/>
  <c r="B878" i="5" a="1"/>
  <c r="B878" i="5" s="1"/>
  <c r="C878" i="5" a="1"/>
  <c r="C878" i="5" s="1"/>
  <c r="B879" i="5" a="1"/>
  <c r="B879" i="5" s="1"/>
  <c r="C879" i="5" a="1"/>
  <c r="C879" i="5" s="1"/>
  <c r="B880" i="5" a="1"/>
  <c r="B880" i="5" s="1"/>
  <c r="C880" i="5" a="1"/>
  <c r="C880" i="5" s="1"/>
  <c r="B881" i="5" a="1"/>
  <c r="B881" i="5" s="1"/>
  <c r="C881" i="5" a="1"/>
  <c r="C881" i="5" s="1"/>
  <c r="B882" i="5" a="1"/>
  <c r="B882" i="5" s="1"/>
  <c r="C882" i="5" a="1"/>
  <c r="C882" i="5" s="1"/>
  <c r="B883" i="5" a="1"/>
  <c r="B883" i="5" s="1"/>
  <c r="C883" i="5" a="1"/>
  <c r="C883" i="5" s="1"/>
  <c r="B884" i="5" a="1"/>
  <c r="B884" i="5" s="1"/>
  <c r="C884" i="5" a="1"/>
  <c r="C884" i="5" s="1"/>
  <c r="B885" i="5" a="1"/>
  <c r="B885" i="5" s="1"/>
  <c r="C885" i="5" a="1"/>
  <c r="C885" i="5" s="1"/>
  <c r="B886" i="5" a="1"/>
  <c r="B886" i="5" s="1"/>
  <c r="C886" i="5" a="1"/>
  <c r="C886" i="5" s="1"/>
  <c r="B887" i="5" a="1"/>
  <c r="B887" i="5" s="1"/>
  <c r="C887" i="5" a="1"/>
  <c r="C887" i="5" s="1"/>
  <c r="B888" i="5" a="1"/>
  <c r="B888" i="5" s="1"/>
  <c r="C888" i="5" a="1"/>
  <c r="C888" i="5" s="1"/>
  <c r="B889" i="5" a="1"/>
  <c r="B889" i="5" s="1"/>
  <c r="C889" i="5" a="1"/>
  <c r="C889" i="5" s="1"/>
  <c r="B890" i="5" a="1"/>
  <c r="B890" i="5" s="1"/>
  <c r="C890" i="5" a="1"/>
  <c r="C890" i="5" s="1"/>
  <c r="B891" i="5" a="1"/>
  <c r="B891" i="5" s="1"/>
  <c r="C891" i="5" a="1"/>
  <c r="C891" i="5" s="1"/>
  <c r="B892" i="5" a="1"/>
  <c r="B892" i="5" s="1"/>
  <c r="C892" i="5" a="1"/>
  <c r="C892" i="5" s="1"/>
  <c r="B893" i="5" a="1"/>
  <c r="B893" i="5" s="1"/>
  <c r="C893" i="5" a="1"/>
  <c r="C893" i="5" s="1"/>
  <c r="B894" i="5" a="1"/>
  <c r="B894" i="5" s="1"/>
  <c r="C894" i="5" a="1"/>
  <c r="C894" i="5" s="1"/>
  <c r="B895" i="5" a="1"/>
  <c r="B895" i="5" s="1"/>
  <c r="C895" i="5" a="1"/>
  <c r="C895" i="5" s="1"/>
  <c r="B896" i="5" a="1"/>
  <c r="B896" i="5" s="1"/>
  <c r="C896" i="5" a="1"/>
  <c r="C896" i="5" s="1"/>
  <c r="B897" i="5" a="1"/>
  <c r="B897" i="5" s="1"/>
  <c r="C897" i="5" a="1"/>
  <c r="C897" i="5" s="1"/>
  <c r="B898" i="5" a="1"/>
  <c r="B898" i="5" s="1"/>
  <c r="C898" i="5" a="1"/>
  <c r="C898" i="5" s="1"/>
  <c r="B899" i="5" a="1"/>
  <c r="B899" i="5" s="1"/>
  <c r="C899" i="5" a="1"/>
  <c r="C899" i="5" s="1"/>
  <c r="B900" i="5" a="1"/>
  <c r="B900" i="5" s="1"/>
  <c r="C900" i="5" a="1"/>
  <c r="C900" i="5" s="1"/>
  <c r="B901" i="5" a="1"/>
  <c r="B901" i="5" s="1"/>
  <c r="C901" i="5" a="1"/>
  <c r="C901" i="5" s="1"/>
  <c r="B902" i="5" a="1"/>
  <c r="B902" i="5" s="1"/>
  <c r="C902" i="5" a="1"/>
  <c r="C902" i="5" s="1"/>
  <c r="B903" i="5" a="1"/>
  <c r="B903" i="5" s="1"/>
  <c r="C903" i="5" a="1"/>
  <c r="C903" i="5" s="1"/>
  <c r="B904" i="5" a="1"/>
  <c r="B904" i="5" s="1"/>
  <c r="C904" i="5" a="1"/>
  <c r="C904" i="5" s="1"/>
  <c r="B905" i="5" a="1"/>
  <c r="B905" i="5" s="1"/>
  <c r="C905" i="5" a="1"/>
  <c r="C905" i="5" s="1"/>
  <c r="B906" i="5" a="1"/>
  <c r="B906" i="5" s="1"/>
  <c r="C906" i="5" a="1"/>
  <c r="C906" i="5" s="1"/>
  <c r="B907" i="5" a="1"/>
  <c r="B907" i="5" s="1"/>
  <c r="C907" i="5" a="1"/>
  <c r="C907" i="5" s="1"/>
  <c r="B908" i="5" a="1"/>
  <c r="B908" i="5" s="1"/>
  <c r="C908" i="5" a="1"/>
  <c r="C908" i="5" s="1"/>
  <c r="B909" i="5" a="1"/>
  <c r="B909" i="5" s="1"/>
  <c r="C909" i="5" a="1"/>
  <c r="C909" i="5" s="1"/>
  <c r="B910" i="5" a="1"/>
  <c r="B910" i="5" s="1"/>
  <c r="C910" i="5" a="1"/>
  <c r="C910" i="5" s="1"/>
  <c r="B911" i="5" a="1"/>
  <c r="B911" i="5" s="1"/>
  <c r="C911" i="5" a="1"/>
  <c r="C911" i="5" s="1"/>
  <c r="B912" i="5" a="1"/>
  <c r="B912" i="5" s="1"/>
  <c r="C912" i="5" a="1"/>
  <c r="C912" i="5" s="1"/>
  <c r="B913" i="5" a="1"/>
  <c r="B913" i="5" s="1"/>
  <c r="C913" i="5" a="1"/>
  <c r="C913" i="5" s="1"/>
  <c r="B914" i="5" a="1"/>
  <c r="B914" i="5" s="1"/>
  <c r="C914" i="5" a="1"/>
  <c r="C914" i="5" s="1"/>
  <c r="B915" i="5" a="1"/>
  <c r="B915" i="5" s="1"/>
  <c r="C915" i="5" a="1"/>
  <c r="C915" i="5" s="1"/>
  <c r="B916" i="5" a="1"/>
  <c r="B916" i="5" s="1"/>
  <c r="C916" i="5" a="1"/>
  <c r="C916" i="5" s="1"/>
  <c r="B917" i="5" a="1"/>
  <c r="B917" i="5" s="1"/>
  <c r="C917" i="5" a="1"/>
  <c r="C917" i="5" s="1"/>
  <c r="B918" i="5" a="1"/>
  <c r="B918" i="5" s="1"/>
  <c r="C918" i="5" a="1"/>
  <c r="C918" i="5" s="1"/>
  <c r="B919" i="5" a="1"/>
  <c r="B919" i="5" s="1"/>
  <c r="C919" i="5" a="1"/>
  <c r="C919" i="5" s="1"/>
  <c r="B920" i="5" a="1"/>
  <c r="B920" i="5" s="1"/>
  <c r="C920" i="5" a="1"/>
  <c r="C920" i="5" s="1"/>
  <c r="B921" i="5" a="1"/>
  <c r="B921" i="5" s="1"/>
  <c r="C921" i="5" a="1"/>
  <c r="C921" i="5" s="1"/>
  <c r="B922" i="5" a="1"/>
  <c r="B922" i="5" s="1"/>
  <c r="C922" i="5" a="1"/>
  <c r="C922" i="5" s="1"/>
  <c r="B923" i="5" a="1"/>
  <c r="B923" i="5" s="1"/>
  <c r="C923" i="5" a="1"/>
  <c r="C923" i="5" s="1"/>
  <c r="B924" i="5" a="1"/>
  <c r="B924" i="5" s="1"/>
  <c r="C924" i="5" a="1"/>
  <c r="C924" i="5" s="1"/>
  <c r="B925" i="5" a="1"/>
  <c r="B925" i="5" s="1"/>
  <c r="C925" i="5" a="1"/>
  <c r="C925" i="5" s="1"/>
  <c r="B926" i="5" a="1"/>
  <c r="B926" i="5" s="1"/>
  <c r="C926" i="5" a="1"/>
  <c r="C926" i="5" s="1"/>
  <c r="B927" i="5" a="1"/>
  <c r="B927" i="5" s="1"/>
  <c r="C927" i="5" a="1"/>
  <c r="C927" i="5" s="1"/>
  <c r="B928" i="5" a="1"/>
  <c r="B928" i="5" s="1"/>
  <c r="C928" i="5" a="1"/>
  <c r="C928" i="5" s="1"/>
  <c r="B929" i="5" a="1"/>
  <c r="B929" i="5" s="1"/>
  <c r="C929" i="5" a="1"/>
  <c r="C929" i="5" s="1"/>
  <c r="B930" i="5" a="1"/>
  <c r="B930" i="5" s="1"/>
  <c r="C930" i="5" a="1"/>
  <c r="C930" i="5" s="1"/>
  <c r="B931" i="5" a="1"/>
  <c r="B931" i="5" s="1"/>
  <c r="C931" i="5" a="1"/>
  <c r="C931" i="5" s="1"/>
  <c r="B932" i="5" a="1"/>
  <c r="B932" i="5" s="1"/>
  <c r="C932" i="5" a="1"/>
  <c r="C932" i="5" s="1"/>
  <c r="B933" i="5" a="1"/>
  <c r="B933" i="5" s="1"/>
  <c r="C933" i="5" a="1"/>
  <c r="C933" i="5" s="1"/>
  <c r="B934" i="5" a="1"/>
  <c r="B934" i="5" s="1"/>
  <c r="C934" i="5" a="1"/>
  <c r="C934" i="5" s="1"/>
  <c r="B935" i="5" a="1"/>
  <c r="B935" i="5" s="1"/>
  <c r="C935" i="5" a="1"/>
  <c r="C935" i="5" s="1"/>
  <c r="B936" i="5" a="1"/>
  <c r="B936" i="5" s="1"/>
  <c r="C936" i="5" a="1"/>
  <c r="C936" i="5" s="1"/>
  <c r="B937" i="5" a="1"/>
  <c r="B937" i="5" s="1"/>
  <c r="C937" i="5" a="1"/>
  <c r="C937" i="5" s="1"/>
  <c r="B938" i="5" a="1"/>
  <c r="B938" i="5" s="1"/>
  <c r="C938" i="5" a="1"/>
  <c r="C938" i="5" s="1"/>
  <c r="B939" i="5" a="1"/>
  <c r="B939" i="5" s="1"/>
  <c r="C939" i="5" a="1"/>
  <c r="C939" i="5" s="1"/>
  <c r="B940" i="5" a="1"/>
  <c r="B940" i="5" s="1"/>
  <c r="C940" i="5" a="1"/>
  <c r="C940" i="5" s="1"/>
  <c r="B941" i="5" a="1"/>
  <c r="B941" i="5" s="1"/>
  <c r="C941" i="5" a="1"/>
  <c r="C941" i="5" s="1"/>
  <c r="B942" i="5" a="1"/>
  <c r="B942" i="5" s="1"/>
  <c r="C942" i="5" a="1"/>
  <c r="C942" i="5" s="1"/>
  <c r="B943" i="5" a="1"/>
  <c r="B943" i="5" s="1"/>
  <c r="C943" i="5" a="1"/>
  <c r="C943" i="5" s="1"/>
  <c r="B944" i="5" a="1"/>
  <c r="B944" i="5" s="1"/>
  <c r="C944" i="5" a="1"/>
  <c r="C944" i="5" s="1"/>
  <c r="B945" i="5" a="1"/>
  <c r="B945" i="5" s="1"/>
  <c r="C945" i="5" a="1"/>
  <c r="C945" i="5" s="1"/>
  <c r="B946" i="5" a="1"/>
  <c r="B946" i="5" s="1"/>
  <c r="C946" i="5" a="1"/>
  <c r="C946" i="5" s="1"/>
  <c r="B947" i="5" a="1"/>
  <c r="B947" i="5" s="1"/>
  <c r="C947" i="5" a="1"/>
  <c r="C947" i="5" s="1"/>
  <c r="B948" i="5" a="1"/>
  <c r="B948" i="5" s="1"/>
  <c r="C948" i="5" a="1"/>
  <c r="C948" i="5" s="1"/>
  <c r="B949" i="5" a="1"/>
  <c r="B949" i="5" s="1"/>
  <c r="C949" i="5" a="1"/>
  <c r="C949" i="5" s="1"/>
  <c r="B950" i="5" a="1"/>
  <c r="B950" i="5" s="1"/>
  <c r="C950" i="5" a="1"/>
  <c r="C950" i="5" s="1"/>
  <c r="B951" i="5" a="1"/>
  <c r="B951" i="5" s="1"/>
  <c r="C951" i="5" a="1"/>
  <c r="C951" i="5" s="1"/>
  <c r="B952" i="5" a="1"/>
  <c r="B952" i="5" s="1"/>
  <c r="C952" i="5" a="1"/>
  <c r="C952" i="5" s="1"/>
  <c r="B953" i="5" a="1"/>
  <c r="B953" i="5" s="1"/>
  <c r="C953" i="5" a="1"/>
  <c r="C953" i="5" s="1"/>
  <c r="B954" i="5" a="1"/>
  <c r="B954" i="5" s="1"/>
  <c r="C954" i="5" a="1"/>
  <c r="C954" i="5" s="1"/>
  <c r="B955" i="5" a="1"/>
  <c r="B955" i="5" s="1"/>
  <c r="C955" i="5" a="1"/>
  <c r="C955" i="5" s="1"/>
  <c r="B956" i="5" a="1"/>
  <c r="B956" i="5" s="1"/>
  <c r="C956" i="5" a="1"/>
  <c r="C956" i="5" s="1"/>
  <c r="B957" i="5" a="1"/>
  <c r="B957" i="5" s="1"/>
  <c r="C957" i="5" a="1"/>
  <c r="C957" i="5" s="1"/>
  <c r="B958" i="5" a="1"/>
  <c r="B958" i="5" s="1"/>
  <c r="C958" i="5" a="1"/>
  <c r="C958" i="5" s="1"/>
  <c r="B959" i="5" a="1"/>
  <c r="B959" i="5" s="1"/>
  <c r="C959" i="5" a="1"/>
  <c r="C959" i="5" s="1"/>
  <c r="B960" i="5" a="1"/>
  <c r="B960" i="5" s="1"/>
  <c r="C960" i="5" a="1"/>
  <c r="C960" i="5" s="1"/>
  <c r="B961" i="5" a="1"/>
  <c r="B961" i="5" s="1"/>
  <c r="C961" i="5" a="1"/>
  <c r="C961" i="5" s="1"/>
  <c r="B962" i="5" a="1"/>
  <c r="B962" i="5" s="1"/>
  <c r="C962" i="5" a="1"/>
  <c r="C962" i="5" s="1"/>
  <c r="B963" i="5" a="1"/>
  <c r="B963" i="5" s="1"/>
  <c r="C963" i="5" a="1"/>
  <c r="C963" i="5" s="1"/>
  <c r="B964" i="5" a="1"/>
  <c r="B964" i="5" s="1"/>
  <c r="C964" i="5" a="1"/>
  <c r="C964" i="5" s="1"/>
  <c r="B965" i="5" a="1"/>
  <c r="B965" i="5" s="1"/>
  <c r="C965" i="5" a="1"/>
  <c r="C965" i="5" s="1"/>
  <c r="B966" i="5" a="1"/>
  <c r="B966" i="5" s="1"/>
  <c r="C966" i="5" a="1"/>
  <c r="C966" i="5" s="1"/>
  <c r="B967" i="5" a="1"/>
  <c r="B967" i="5" s="1"/>
  <c r="C967" i="5" a="1"/>
  <c r="C967" i="5" s="1"/>
  <c r="B968" i="5" a="1"/>
  <c r="B968" i="5" s="1"/>
  <c r="C968" i="5" a="1"/>
  <c r="C968" i="5" s="1"/>
  <c r="B969" i="5" a="1"/>
  <c r="B969" i="5" s="1"/>
  <c r="C969" i="5" a="1"/>
  <c r="C969" i="5" s="1"/>
  <c r="B970" i="5" a="1"/>
  <c r="B970" i="5" s="1"/>
  <c r="C970" i="5" a="1"/>
  <c r="C970" i="5" s="1"/>
  <c r="B971" i="5" a="1"/>
  <c r="B971" i="5" s="1"/>
  <c r="C971" i="5" a="1"/>
  <c r="C971" i="5" s="1"/>
  <c r="B972" i="5" a="1"/>
  <c r="B972" i="5" s="1"/>
  <c r="C972" i="5" a="1"/>
  <c r="C972" i="5" s="1"/>
  <c r="B973" i="5" a="1"/>
  <c r="B973" i="5" s="1"/>
  <c r="C973" i="5" a="1"/>
  <c r="C973" i="5" s="1"/>
  <c r="B974" i="5" a="1"/>
  <c r="B974" i="5" s="1"/>
  <c r="C974" i="5" a="1"/>
  <c r="C974" i="5" s="1"/>
  <c r="B975" i="5" a="1"/>
  <c r="B975" i="5" s="1"/>
  <c r="C975" i="5" a="1"/>
  <c r="C975" i="5" s="1"/>
  <c r="B976" i="5" a="1"/>
  <c r="B976" i="5" s="1"/>
  <c r="C976" i="5" a="1"/>
  <c r="C976" i="5" s="1"/>
  <c r="B977" i="5" a="1"/>
  <c r="B977" i="5" s="1"/>
  <c r="C977" i="5" a="1"/>
  <c r="C977" i="5" s="1"/>
  <c r="B978" i="5" a="1"/>
  <c r="B978" i="5" s="1"/>
  <c r="C978" i="5" a="1"/>
  <c r="C978" i="5" s="1"/>
  <c r="B979" i="5" a="1"/>
  <c r="B979" i="5" s="1"/>
  <c r="C979" i="5" a="1"/>
  <c r="C979" i="5" s="1"/>
  <c r="B980" i="5" a="1"/>
  <c r="B980" i="5" s="1"/>
  <c r="C980" i="5" a="1"/>
  <c r="C980" i="5" s="1"/>
  <c r="B981" i="5" a="1"/>
  <c r="B981" i="5" s="1"/>
  <c r="C981" i="5" a="1"/>
  <c r="C981" i="5" s="1"/>
  <c r="B982" i="5" a="1"/>
  <c r="B982" i="5" s="1"/>
  <c r="C982" i="5" a="1"/>
  <c r="C982" i="5" s="1"/>
  <c r="B983" i="5" a="1"/>
  <c r="B983" i="5" s="1"/>
  <c r="C983" i="5" a="1"/>
  <c r="C983" i="5" s="1"/>
  <c r="B984" i="5" a="1"/>
  <c r="B984" i="5" s="1"/>
  <c r="C984" i="5" a="1"/>
  <c r="C984" i="5" s="1"/>
  <c r="B985" i="5" a="1"/>
  <c r="B985" i="5" s="1"/>
  <c r="C985" i="5" a="1"/>
  <c r="C985" i="5" s="1"/>
  <c r="B986" i="5" a="1"/>
  <c r="B986" i="5" s="1"/>
  <c r="C986" i="5" a="1"/>
  <c r="C986" i="5" s="1"/>
  <c r="B987" i="5" a="1"/>
  <c r="B987" i="5" s="1"/>
  <c r="C987" i="5" a="1"/>
  <c r="C987" i="5" s="1"/>
  <c r="B988" i="5" a="1"/>
  <c r="B988" i="5" s="1"/>
  <c r="C988" i="5" a="1"/>
  <c r="C988" i="5" s="1"/>
  <c r="B989" i="5" a="1"/>
  <c r="B989" i="5" s="1"/>
  <c r="C989" i="5" a="1"/>
  <c r="C989" i="5" s="1"/>
  <c r="B990" i="5" a="1"/>
  <c r="B990" i="5" s="1"/>
  <c r="C990" i="5" a="1"/>
  <c r="C990" i="5" s="1"/>
  <c r="B991" i="5" a="1"/>
  <c r="B991" i="5" s="1"/>
  <c r="C991" i="5" a="1"/>
  <c r="C991" i="5" s="1"/>
  <c r="B992" i="5" a="1"/>
  <c r="B992" i="5" s="1"/>
  <c r="C992" i="5" a="1"/>
  <c r="C992" i="5" s="1"/>
  <c r="B993" i="5" a="1"/>
  <c r="B993" i="5" s="1"/>
  <c r="C993" i="5" a="1"/>
  <c r="C993" i="5" s="1"/>
  <c r="B994" i="5" a="1"/>
  <c r="B994" i="5" s="1"/>
  <c r="C994" i="5" a="1"/>
  <c r="C994" i="5" s="1"/>
  <c r="B995" i="5" a="1"/>
  <c r="B995" i="5" s="1"/>
  <c r="C995" i="5" a="1"/>
  <c r="C995" i="5" s="1"/>
  <c r="B996" i="5" a="1"/>
  <c r="B996" i="5" s="1"/>
  <c r="C996" i="5" a="1"/>
  <c r="C996" i="5" s="1"/>
  <c r="B997" i="5" a="1"/>
  <c r="B997" i="5" s="1"/>
  <c r="C997" i="5" a="1"/>
  <c r="C997" i="5" s="1"/>
  <c r="B998" i="5" a="1"/>
  <c r="B998" i="5" s="1"/>
  <c r="C998" i="5" a="1"/>
  <c r="C998" i="5" s="1"/>
  <c r="B999" i="5" a="1"/>
  <c r="B999" i="5" s="1"/>
  <c r="C999" i="5" a="1"/>
  <c r="C999" i="5" s="1"/>
  <c r="B1000" i="5" a="1"/>
  <c r="B1000" i="5" s="1"/>
  <c r="C1000" i="5" a="1"/>
  <c r="C1000" i="5" s="1"/>
  <c r="C4" i="6" l="1"/>
  <c r="B4" i="6"/>
  <c r="A5" i="6"/>
  <c r="B680" i="5" a="1"/>
  <c r="B680" i="5" s="1"/>
  <c r="B5" i="6" l="1"/>
  <c r="C5" i="6"/>
  <c r="A6" i="6"/>
  <c r="B683" i="5" a="1"/>
  <c r="B683" i="5" s="1"/>
  <c r="B6" i="6" l="1"/>
  <c r="C6" i="6"/>
  <c r="A7" i="6"/>
  <c r="C632" i="5" a="1"/>
  <c r="C632" i="5" s="1"/>
  <c r="C633" i="5" a="1"/>
  <c r="C633" i="5" s="1"/>
  <c r="C634" i="5" a="1"/>
  <c r="C634" i="5" s="1"/>
  <c r="C642" i="5" a="1"/>
  <c r="C642" i="5" s="1"/>
  <c r="C641" i="5" a="1"/>
  <c r="C641" i="5" s="1"/>
  <c r="B7" i="6" l="1"/>
  <c r="C7" i="6"/>
  <c r="A8" i="6"/>
  <c r="A9" i="6" s="1"/>
  <c r="C698" i="5" a="1"/>
  <c r="C698" i="5" s="1"/>
  <c r="C697" i="5" a="1"/>
  <c r="C697" i="5" s="1"/>
  <c r="C691" i="5" a="1"/>
  <c r="C691" i="5" s="1"/>
  <c r="C645" i="5" a="1"/>
  <c r="C645" i="5" s="1"/>
  <c r="C666" i="5" a="1"/>
  <c r="C666" i="5" s="1"/>
  <c r="C638" i="5" a="1"/>
  <c r="C638" i="5" s="1"/>
  <c r="C643" i="5" a="1"/>
  <c r="C643" i="5" s="1"/>
  <c r="C636" i="5" a="1"/>
  <c r="C636" i="5" s="1"/>
  <c r="C640" i="5" a="1"/>
  <c r="C640" i="5" s="1"/>
  <c r="C635" i="5" a="1"/>
  <c r="C635" i="5" s="1"/>
  <c r="B632" i="5" a="1"/>
  <c r="B632" i="5" s="1"/>
  <c r="C656" i="5" a="1"/>
  <c r="C656" i="5" s="1"/>
  <c r="B9" i="6" l="1"/>
  <c r="C9" i="6"/>
  <c r="C8" i="6"/>
  <c r="B8" i="6"/>
  <c r="A10" i="6"/>
  <c r="B698" i="5" a="1"/>
  <c r="B698" i="5" s="1"/>
  <c r="B691" i="5" a="1"/>
  <c r="B691" i="5" s="1"/>
  <c r="C649" i="5" a="1"/>
  <c r="C649" i="5" s="1"/>
  <c r="B701" i="5" a="1"/>
  <c r="B701" i="5" s="1"/>
  <c r="B642" i="5" a="1"/>
  <c r="B642" i="5" s="1"/>
  <c r="B700" i="5" a="1"/>
  <c r="B700" i="5" s="1"/>
  <c r="B641" i="5" a="1"/>
  <c r="B641" i="5" s="1"/>
  <c r="B699" i="5" a="1"/>
  <c r="B699" i="5" s="1"/>
  <c r="C665" i="5" a="1"/>
  <c r="C665" i="5" s="1"/>
  <c r="C644" i="5" a="1"/>
  <c r="C644" i="5" s="1"/>
  <c r="C647" i="5" a="1"/>
  <c r="C647" i="5" s="1"/>
  <c r="B645" i="5" a="1"/>
  <c r="B645" i="5" s="1"/>
  <c r="B643" i="5" a="1"/>
  <c r="B643" i="5" s="1"/>
  <c r="C663" i="5" a="1"/>
  <c r="C663" i="5" s="1"/>
  <c r="B636" i="5" a="1"/>
  <c r="B636" i="5" s="1"/>
  <c r="B640" i="5" a="1"/>
  <c r="B640" i="5" s="1"/>
  <c r="B635" i="5" a="1"/>
  <c r="B635" i="5" s="1"/>
  <c r="C654" i="5" a="1"/>
  <c r="C654" i="5" s="1"/>
  <c r="C10" i="6" l="1"/>
  <c r="B10" i="6"/>
  <c r="A11" i="6"/>
  <c r="C646" i="5" a="1"/>
  <c r="C646" i="5" s="1"/>
  <c r="C650" i="5" a="1"/>
  <c r="C650" i="5" s="1"/>
  <c r="B656" i="5" a="1"/>
  <c r="B656" i="5" s="1"/>
  <c r="C701" i="5" a="1"/>
  <c r="C701" i="5" s="1"/>
  <c r="C653" i="5" a="1"/>
  <c r="C653" i="5" s="1"/>
  <c r="B649" i="5" a="1"/>
  <c r="B649" i="5" s="1"/>
  <c r="B666" i="5" a="1"/>
  <c r="B666" i="5" s="1"/>
  <c r="B721" i="5" a="1"/>
  <c r="B721" i="5" s="1"/>
  <c r="B722" i="5" a="1"/>
  <c r="B722" i="5" s="1"/>
  <c r="B696" i="5" a="1"/>
  <c r="B696" i="5" s="1"/>
  <c r="B695" i="5" a="1"/>
  <c r="B695" i="5" s="1"/>
  <c r="B675" i="5" a="1"/>
  <c r="B675" i="5" s="1"/>
  <c r="C637" i="5" a="1"/>
  <c r="C637" i="5" s="1"/>
  <c r="C648" i="5" a="1"/>
  <c r="C648" i="5" s="1"/>
  <c r="C659" i="5" a="1"/>
  <c r="C659" i="5" s="1"/>
  <c r="B650" i="5" a="1"/>
  <c r="B650" i="5" s="1"/>
  <c r="C667" i="5" a="1"/>
  <c r="C667" i="5" s="1"/>
  <c r="C664" i="5" a="1"/>
  <c r="C664" i="5" s="1"/>
  <c r="B644" i="5" a="1"/>
  <c r="B644" i="5" s="1"/>
  <c r="B647" i="5" a="1"/>
  <c r="B647" i="5" s="1"/>
  <c r="C11" i="6" l="1"/>
  <c r="B11" i="6"/>
  <c r="A12" i="6"/>
  <c r="B646" i="5" a="1"/>
  <c r="B646" i="5" s="1"/>
  <c r="B654" i="5" a="1"/>
  <c r="B654" i="5" s="1"/>
  <c r="B665" i="5" a="1"/>
  <c r="B665" i="5" s="1"/>
  <c r="B703" i="5" a="1"/>
  <c r="B703" i="5" s="1"/>
  <c r="B678" i="5" a="1"/>
  <c r="B678" i="5" s="1"/>
  <c r="B663" i="5" a="1"/>
  <c r="B663" i="5" s="1"/>
  <c r="C657" i="5" a="1"/>
  <c r="C657" i="5" s="1"/>
  <c r="C658" i="5" a="1"/>
  <c r="C658" i="5" s="1"/>
  <c r="C674" i="5" a="1"/>
  <c r="C674" i="5" s="1"/>
  <c r="B648" i="5" a="1"/>
  <c r="B648" i="5" s="1"/>
  <c r="B659" i="5" a="1"/>
  <c r="B659" i="5" s="1"/>
  <c r="B12" i="6" l="1"/>
  <c r="C12" i="6"/>
  <c r="A13" i="6"/>
  <c r="B664" i="5" a="1"/>
  <c r="B664" i="5" s="1"/>
  <c r="B660" i="5" a="1"/>
  <c r="B660" i="5" s="1"/>
  <c r="B724" i="5" a="1"/>
  <c r="B724" i="5" s="1"/>
  <c r="B723" i="5" a="1"/>
  <c r="B723" i="5" s="1"/>
  <c r="C13" i="6" l="1"/>
  <c r="B13" i="6"/>
  <c r="A14" i="6"/>
  <c r="C673" i="5" a="1"/>
  <c r="C673" i="5" s="1"/>
  <c r="C708" i="5" a="1"/>
  <c r="C708" i="5" s="1"/>
  <c r="C672" i="5" a="1"/>
  <c r="C672" i="5" s="1"/>
  <c r="C707" i="5" a="1"/>
  <c r="C707" i="5" s="1"/>
  <c r="B14" i="6" l="1"/>
  <c r="C14" i="6"/>
  <c r="A15" i="6"/>
  <c r="B673" i="5" a="1"/>
  <c r="B673" i="5" s="1"/>
  <c r="B708" i="5" a="1"/>
  <c r="B708" i="5" s="1"/>
  <c r="B672" i="5" a="1"/>
  <c r="B672" i="5" s="1"/>
  <c r="B707" i="5" a="1"/>
  <c r="B707" i="5" s="1"/>
  <c r="B15" i="6" l="1"/>
  <c r="C15" i="6"/>
  <c r="A16" i="6"/>
  <c r="C682" i="5" a="1"/>
  <c r="C682" i="5" s="1"/>
  <c r="B16" i="6" l="1"/>
  <c r="C16" i="6"/>
  <c r="A17" i="6"/>
  <c r="B682" i="5" a="1"/>
  <c r="B682" i="5" s="1"/>
  <c r="C689" i="5" a="1"/>
  <c r="C689" i="5" s="1"/>
  <c r="C17" i="6" l="1"/>
  <c r="B17" i="6"/>
  <c r="A18" i="6"/>
  <c r="C639" i="5" a="1"/>
  <c r="C639" i="5" s="1"/>
  <c r="C18" i="6" l="1"/>
  <c r="B18" i="6"/>
  <c r="A19" i="6"/>
  <c r="C696" i="5" a="1"/>
  <c r="C696" i="5" s="1"/>
  <c r="C695" i="5" a="1"/>
  <c r="C695" i="5" s="1"/>
  <c r="B639" i="5" a="1"/>
  <c r="B639" i="5" s="1"/>
  <c r="B19" i="6" l="1"/>
  <c r="C19" i="6"/>
  <c r="A20" i="6"/>
  <c r="B638" i="5" a="1"/>
  <c r="B638" i="5" s="1"/>
  <c r="C20" i="6" l="1"/>
  <c r="B20" i="6"/>
  <c r="A21" i="6"/>
  <c r="B375" i="5" a="1"/>
  <c r="B375" i="5" s="1"/>
  <c r="B314" i="5" a="1"/>
  <c r="B314" i="5" s="1"/>
  <c r="B310" i="5" a="1"/>
  <c r="B310" i="5" s="1"/>
  <c r="B311" i="5" a="1"/>
  <c r="B311" i="5" s="1"/>
  <c r="B21" i="6" l="1"/>
  <c r="C21" i="6"/>
  <c r="A22" i="6"/>
  <c r="C248" i="5" a="1"/>
  <c r="C248" i="5" s="1"/>
  <c r="B479" i="5" a="1"/>
  <c r="B479" i="5" s="1"/>
  <c r="B512" i="5" s="1" a="1"/>
  <c r="B512" i="5" s="1"/>
  <c r="B478" i="5" a="1"/>
  <c r="B478" i="5" s="1"/>
  <c r="B506" i="5" a="1"/>
  <c r="B506" i="5" s="1"/>
  <c r="B393" i="5" a="1"/>
  <c r="B393" i="5" s="1"/>
  <c r="B507" i="5" a="1"/>
  <c r="B507" i="5" s="1"/>
  <c r="B526" i="5" a="1"/>
  <c r="B526" i="5" s="1"/>
  <c r="B527" i="5" a="1"/>
  <c r="B527" i="5" s="1"/>
  <c r="B470" i="5" a="1"/>
  <c r="B470" i="5" s="1"/>
  <c r="B504" i="5" a="1"/>
  <c r="B504" i="5" s="1"/>
  <c r="B22" i="6" l="1"/>
  <c r="C22" i="6"/>
  <c r="A23" i="6"/>
  <c r="C249" i="5" a="1"/>
  <c r="C249" i="5" s="1"/>
  <c r="C247" i="5" a="1"/>
  <c r="C247" i="5" s="1"/>
  <c r="B586" i="5" a="1"/>
  <c r="B586" i="5" s="1"/>
  <c r="B23" i="6" l="1"/>
  <c r="C23" i="6"/>
  <c r="A24" i="6"/>
  <c r="C296" i="5" a="1"/>
  <c r="C296" i="5" s="1"/>
  <c r="C258" i="5" a="1"/>
  <c r="C258" i="5" s="1"/>
  <c r="C256" i="5" a="1"/>
  <c r="C256" i="5" s="1"/>
  <c r="C255" i="5" a="1"/>
  <c r="C255" i="5" s="1"/>
  <c r="B249" i="5" a="1"/>
  <c r="B249" i="5" s="1"/>
  <c r="B247" i="5" a="1"/>
  <c r="B247" i="5" s="1"/>
  <c r="B248" i="5" a="1"/>
  <c r="B248" i="5" s="1"/>
  <c r="C246" i="5" a="1"/>
  <c r="C246" i="5" s="1"/>
  <c r="C245" i="5" a="1"/>
  <c r="C245" i="5" s="1"/>
  <c r="C244" i="5" a="1"/>
  <c r="C244" i="5" s="1"/>
  <c r="B608" i="5" a="1"/>
  <c r="B608" i="5" s="1"/>
  <c r="B24" i="6" l="1"/>
  <c r="C24" i="6"/>
  <c r="A25" i="6"/>
  <c r="C305" i="5" a="1"/>
  <c r="C305" i="5" s="1"/>
  <c r="C304" i="5" a="1"/>
  <c r="C304" i="5" s="1"/>
  <c r="C302" i="5" a="1"/>
  <c r="C302" i="5" s="1"/>
  <c r="B296" i="5" a="1"/>
  <c r="B296" i="5" s="1"/>
  <c r="C295" i="5" a="1"/>
  <c r="C295" i="5" s="1"/>
  <c r="C267" i="5" a="1"/>
  <c r="C267" i="5" s="1"/>
  <c r="C266" i="5" a="1"/>
  <c r="C266" i="5" s="1"/>
  <c r="B260" i="5" a="1"/>
  <c r="B260" i="5" s="1"/>
  <c r="B258" i="5" a="1"/>
  <c r="B258" i="5" s="1"/>
  <c r="B256" i="5" a="1"/>
  <c r="B256" i="5" s="1"/>
  <c r="B255" i="5" a="1"/>
  <c r="B255" i="5" s="1"/>
  <c r="B246" i="5" a="1"/>
  <c r="B246" i="5" s="1"/>
  <c r="B245" i="5" a="1"/>
  <c r="B245" i="5" s="1"/>
  <c r="B244" i="5" a="1"/>
  <c r="B244" i="5" s="1"/>
  <c r="B622" i="5" a="1"/>
  <c r="B622" i="5" s="1"/>
  <c r="B623" i="5" a="1"/>
  <c r="B623" i="5" s="1"/>
  <c r="C25" i="6" l="1"/>
  <c r="B25" i="6"/>
  <c r="A26" i="6"/>
  <c r="C307" i="5" a="1"/>
  <c r="C307" i="5" s="1"/>
  <c r="C306" i="5" a="1"/>
  <c r="C306" i="5" s="1"/>
  <c r="B305" i="5" a="1"/>
  <c r="B305" i="5" s="1"/>
  <c r="B304" i="5" a="1"/>
  <c r="B304" i="5" s="1"/>
  <c r="B302" i="5" a="1"/>
  <c r="B302" i="5" s="1"/>
  <c r="C301" i="5" a="1"/>
  <c r="C301" i="5" s="1"/>
  <c r="C300" i="5" a="1"/>
  <c r="C300" i="5" s="1"/>
  <c r="C299" i="5" a="1"/>
  <c r="C299" i="5" s="1"/>
  <c r="C297" i="5" a="1"/>
  <c r="C297" i="5" s="1"/>
  <c r="B295" i="5" a="1"/>
  <c r="B295" i="5" s="1"/>
  <c r="C294" i="5" a="1"/>
  <c r="C294" i="5" s="1"/>
  <c r="C291" i="5" a="1"/>
  <c r="C291" i="5" s="1"/>
  <c r="B267" i="5" a="1"/>
  <c r="B267" i="5" s="1"/>
  <c r="B266" i="5" a="1"/>
  <c r="B266" i="5" s="1"/>
  <c r="B26" i="6" l="1"/>
  <c r="C26" i="6"/>
  <c r="A27" i="6"/>
  <c r="C347" i="5" a="1"/>
  <c r="C347" i="5" s="1"/>
  <c r="C342" i="5" a="1"/>
  <c r="C342" i="5" s="1"/>
  <c r="C341" i="5" a="1"/>
  <c r="C341" i="5" s="1"/>
  <c r="C328" i="5" a="1"/>
  <c r="C328" i="5" s="1"/>
  <c r="B307" i="5" a="1"/>
  <c r="B307" i="5" s="1"/>
  <c r="B306" i="5" a="1"/>
  <c r="B306" i="5" s="1"/>
  <c r="B301" i="5" a="1"/>
  <c r="B301" i="5" s="1"/>
  <c r="B300" i="5" a="1"/>
  <c r="B300" i="5" s="1"/>
  <c r="B299" i="5" a="1"/>
  <c r="B299" i="5" s="1"/>
  <c r="B297" i="5" a="1"/>
  <c r="B297" i="5" s="1"/>
  <c r="B294" i="5" a="1"/>
  <c r="B294" i="5" s="1"/>
  <c r="B291" i="5" a="1"/>
  <c r="B291" i="5" s="1"/>
  <c r="C290" i="5" a="1"/>
  <c r="C290" i="5" s="1"/>
  <c r="C288" i="5" a="1"/>
  <c r="C288" i="5" s="1"/>
  <c r="C287" i="5" a="1"/>
  <c r="C287" i="5" s="1"/>
  <c r="C286" i="5" a="1"/>
  <c r="C286" i="5" s="1"/>
  <c r="B27" i="6" l="1"/>
  <c r="C27" i="6"/>
  <c r="A28" i="6"/>
  <c r="C348" i="5" a="1"/>
  <c r="C348" i="5" s="1"/>
  <c r="C346" i="5" a="1"/>
  <c r="C346" i="5" s="1"/>
  <c r="B342" i="5" a="1"/>
  <c r="B342" i="5" s="1"/>
  <c r="B341" i="5" a="1"/>
  <c r="B341" i="5" s="1"/>
  <c r="C333" i="5" a="1"/>
  <c r="C333" i="5" s="1"/>
  <c r="C332" i="5" a="1"/>
  <c r="C332" i="5" s="1"/>
  <c r="B328" i="5" a="1"/>
  <c r="B328" i="5" s="1"/>
  <c r="C327" i="5" a="1"/>
  <c r="C327" i="5" s="1"/>
  <c r="C326" i="5" a="1"/>
  <c r="C326" i="5" s="1"/>
  <c r="B290" i="5" a="1"/>
  <c r="B290" i="5" s="1"/>
  <c r="B288" i="5" a="1"/>
  <c r="B288" i="5" s="1"/>
  <c r="B287" i="5" a="1"/>
  <c r="B287" i="5" s="1"/>
  <c r="B286" i="5" a="1"/>
  <c r="B286" i="5" s="1"/>
  <c r="C28" i="6" l="1"/>
  <c r="B28" i="6"/>
  <c r="A29" i="6"/>
  <c r="B348" i="5" a="1"/>
  <c r="B348" i="5" s="1"/>
  <c r="B347" i="5" a="1"/>
  <c r="B347" i="5" s="1"/>
  <c r="B346" i="5" a="1"/>
  <c r="B346" i="5" s="1"/>
  <c r="B333" i="5" a="1"/>
  <c r="B333" i="5" s="1"/>
  <c r="B332" i="5" a="1"/>
  <c r="B332" i="5" s="1"/>
  <c r="B326" i="5" a="1"/>
  <c r="B326" i="5" s="1"/>
  <c r="B327" i="5" a="1"/>
  <c r="B327" i="5" s="1"/>
  <c r="C323" i="5" a="1"/>
  <c r="C323" i="5" s="1"/>
  <c r="C322" i="5" a="1"/>
  <c r="C322" i="5" s="1"/>
  <c r="C321" i="5" a="1"/>
  <c r="C321" i="5" s="1"/>
  <c r="C320" i="5" a="1"/>
  <c r="C320" i="5" s="1"/>
  <c r="C319" i="5" a="1"/>
  <c r="C319" i="5" s="1"/>
  <c r="B29" i="6" l="1"/>
  <c r="C29" i="6"/>
  <c r="A30" i="6"/>
  <c r="B323" i="5" a="1"/>
  <c r="B323" i="5" s="1"/>
  <c r="B322" i="5" a="1"/>
  <c r="B322" i="5" s="1"/>
  <c r="B320" i="5" a="1"/>
  <c r="B320" i="5" s="1"/>
  <c r="B321" i="5" a="1"/>
  <c r="B321" i="5" s="1"/>
  <c r="B319" i="5" a="1"/>
  <c r="B319" i="5" s="1"/>
  <c r="B30" i="6" l="1"/>
  <c r="C30" i="6"/>
  <c r="A31" i="6"/>
  <c r="C353" i="5" a="1"/>
  <c r="C353" i="5" s="1"/>
  <c r="C352" i="5" a="1"/>
  <c r="C352" i="5" s="1"/>
  <c r="C350" i="5" a="1"/>
  <c r="C350" i="5" s="1"/>
  <c r="C349" i="5" a="1"/>
  <c r="C349" i="5" s="1"/>
  <c r="B31" i="6" l="1"/>
  <c r="C31" i="6"/>
  <c r="A32" i="6"/>
  <c r="B353" i="5" a="1"/>
  <c r="B353" i="5" s="1"/>
  <c r="B352" i="5" a="1"/>
  <c r="B352" i="5" s="1"/>
  <c r="B350" i="5" a="1"/>
  <c r="B350" i="5" s="1"/>
  <c r="B349" i="5" a="1"/>
  <c r="B349" i="5" s="1"/>
  <c r="B32" i="6" l="1"/>
  <c r="C32" i="6"/>
  <c r="A33" i="6"/>
  <c r="C369" i="5" a="1"/>
  <c r="C369" i="5" s="1"/>
  <c r="C33" i="6" l="1"/>
  <c r="B33" i="6"/>
  <c r="A34" i="6"/>
  <c r="B369" i="5" a="1"/>
  <c r="B369" i="5" s="1"/>
  <c r="C34" i="6" l="1"/>
  <c r="B34" i="6"/>
  <c r="A35" i="6"/>
  <c r="C273" i="5" a="1"/>
  <c r="C273" i="5" s="1"/>
  <c r="C259" i="5" a="1"/>
  <c r="C259" i="5" s="1"/>
  <c r="C270" i="5" a="1"/>
  <c r="C270" i="5" s="1"/>
  <c r="C281" i="5" a="1"/>
  <c r="C281" i="5" s="1"/>
  <c r="C253" i="5" a="1"/>
  <c r="C253" i="5" s="1"/>
  <c r="C261" i="5" a="1"/>
  <c r="C261" i="5" s="1"/>
  <c r="C242" i="5" a="1"/>
  <c r="C242" i="5" s="1"/>
  <c r="C240" i="5" a="1"/>
  <c r="C240" i="5" s="1"/>
  <c r="C262" i="5" a="1"/>
  <c r="C262" i="5" s="1"/>
  <c r="C268" i="5" a="1"/>
  <c r="C268" i="5" s="1"/>
  <c r="C243" i="5" a="1"/>
  <c r="C243" i="5" s="1"/>
  <c r="C272" i="5" a="1"/>
  <c r="C272" i="5" s="1"/>
  <c r="C260" i="5" a="1"/>
  <c r="C260" i="5" s="1"/>
  <c r="C250" i="5" a="1"/>
  <c r="C250" i="5" s="1"/>
  <c r="B35" i="6" l="1"/>
  <c r="C35" i="6"/>
  <c r="A36" i="6"/>
  <c r="C324" i="5" a="1"/>
  <c r="C324" i="5" s="1"/>
  <c r="B272" i="5" a="1"/>
  <c r="B272" i="5" s="1"/>
  <c r="B268" i="5" a="1"/>
  <c r="B268" i="5" s="1"/>
  <c r="C325" i="5" a="1"/>
  <c r="C325" i="5" s="1"/>
  <c r="C308" i="5" a="1"/>
  <c r="C308" i="5" s="1"/>
  <c r="B270" i="5" a="1"/>
  <c r="B270" i="5" s="1"/>
  <c r="B250" i="5" a="1"/>
  <c r="B250" i="5" s="1"/>
  <c r="B253" i="5" a="1"/>
  <c r="B253" i="5" s="1"/>
  <c r="B259" i="5" a="1"/>
  <c r="B259" i="5" s="1"/>
  <c r="B273" i="5" a="1"/>
  <c r="B273" i="5" s="1"/>
  <c r="B261" i="5" a="1"/>
  <c r="B261" i="5" s="1"/>
  <c r="B262" i="5" a="1"/>
  <c r="B262" i="5" s="1"/>
  <c r="B281" i="5" a="1"/>
  <c r="B281" i="5" s="1"/>
  <c r="B240" i="5" a="1"/>
  <c r="B240" i="5" s="1"/>
  <c r="B242" i="5" a="1"/>
  <c r="B242" i="5" s="1"/>
  <c r="C303" i="5" a="1"/>
  <c r="C303" i="5" s="1"/>
  <c r="B243" i="5" a="1"/>
  <c r="B243" i="5" s="1"/>
  <c r="C36" i="6" l="1"/>
  <c r="B36" i="6"/>
  <c r="A37" i="6"/>
  <c r="C312" i="5" a="1"/>
  <c r="C312" i="5" s="1"/>
  <c r="C313" i="5" a="1"/>
  <c r="C313" i="5" s="1"/>
  <c r="B325" i="5" a="1"/>
  <c r="B325" i="5" s="1"/>
  <c r="B308" i="5" a="1"/>
  <c r="B308" i="5" s="1"/>
  <c r="B303" i="5" a="1"/>
  <c r="B303" i="5" s="1"/>
  <c r="B324" i="5" a="1"/>
  <c r="B324" i="5" s="1"/>
  <c r="C317" i="5" a="1"/>
  <c r="C317" i="5" s="1"/>
  <c r="B37" i="6" l="1"/>
  <c r="C37" i="6"/>
  <c r="A38" i="6"/>
  <c r="C340" i="5" a="1"/>
  <c r="C340" i="5" s="1"/>
  <c r="B313" i="5" a="1"/>
  <c r="B313" i="5" s="1"/>
  <c r="B312" i="5" a="1"/>
  <c r="B312" i="5" s="1"/>
  <c r="C38" i="6" l="1"/>
  <c r="B38" i="6"/>
  <c r="A39" i="6"/>
  <c r="B340" i="5" a="1"/>
  <c r="B340" i="5" s="1"/>
  <c r="C39" i="6" l="1"/>
  <c r="B39" i="6"/>
  <c r="A40" i="6"/>
  <c r="C280" i="5" a="1"/>
  <c r="C280" i="5" s="1"/>
  <c r="C263" i="5" a="1"/>
  <c r="C263" i="5" s="1"/>
  <c r="C275" i="5" a="1"/>
  <c r="C275" i="5" s="1"/>
  <c r="C40" i="6" l="1"/>
  <c r="B40" i="6"/>
  <c r="A41" i="6"/>
  <c r="B280" i="5" a="1"/>
  <c r="B280" i="5" s="1"/>
  <c r="C318" i="5" a="1"/>
  <c r="C318" i="5" s="1"/>
  <c r="B275" i="5" a="1"/>
  <c r="B275" i="5" s="1"/>
  <c r="C310" i="5" a="1"/>
  <c r="C310" i="5" s="1"/>
  <c r="B263" i="5" a="1"/>
  <c r="B263" i="5" s="1"/>
  <c r="B41" i="6" l="1"/>
  <c r="C41" i="6"/>
  <c r="A42" i="6"/>
  <c r="B318" i="5" a="1"/>
  <c r="B318" i="5" s="1"/>
  <c r="B42" i="6" l="1"/>
  <c r="C42" i="6"/>
  <c r="A43" i="6"/>
  <c r="C43" i="6" l="1"/>
  <c r="B43" i="6"/>
  <c r="A44" i="6"/>
  <c r="B44" i="6" l="1"/>
  <c r="C44" i="6"/>
  <c r="A45" i="6"/>
  <c r="C45" i="6" l="1"/>
  <c r="B45" i="6"/>
  <c r="A46" i="6"/>
  <c r="B46" i="6" l="1"/>
  <c r="C46" i="6"/>
  <c r="A47" i="6"/>
  <c r="B47" i="6" l="1"/>
  <c r="C47" i="6"/>
  <c r="A48" i="6"/>
  <c r="B48" i="6" l="1"/>
  <c r="C48" i="6"/>
  <c r="A49" i="6"/>
  <c r="C49" i="6" l="1"/>
  <c r="B49" i="6"/>
  <c r="A50" i="6"/>
  <c r="C50" i="6" l="1"/>
  <c r="B50" i="6"/>
  <c r="A51" i="6"/>
  <c r="B51" i="6" l="1"/>
  <c r="C51" i="6"/>
  <c r="A52" i="6"/>
  <c r="C52" i="6" l="1"/>
  <c r="B52" i="6"/>
  <c r="A53" i="6"/>
  <c r="B53" i="6" l="1"/>
  <c r="C53" i="6"/>
  <c r="A54" i="6"/>
  <c r="B54" i="6" l="1"/>
  <c r="C54" i="6"/>
  <c r="A55" i="6"/>
  <c r="B55" i="6" l="1"/>
  <c r="C55" i="6"/>
  <c r="A56" i="6"/>
  <c r="B56" i="6" l="1"/>
  <c r="C56" i="6"/>
  <c r="A57" i="6"/>
  <c r="C57" i="6" l="1"/>
  <c r="B57" i="6"/>
  <c r="A58" i="6"/>
  <c r="B58" i="6" l="1"/>
  <c r="C58" i="6"/>
  <c r="A59" i="6"/>
  <c r="C59" i="6" l="1"/>
  <c r="B59" i="6"/>
  <c r="A60" i="6"/>
  <c r="C60" i="6" l="1"/>
  <c r="B60" i="6"/>
  <c r="A61" i="6"/>
  <c r="B61" i="6" l="1"/>
  <c r="C61" i="6"/>
  <c r="A62" i="6"/>
  <c r="B62" i="6" l="1"/>
  <c r="C62" i="6"/>
  <c r="A63" i="6"/>
  <c r="B63" i="6" l="1"/>
  <c r="C63" i="6"/>
  <c r="A64" i="6"/>
  <c r="B64" i="6" l="1"/>
  <c r="C64" i="6"/>
  <c r="A65" i="6"/>
  <c r="C65" i="6" l="1"/>
  <c r="B65" i="6"/>
  <c r="A66" i="6"/>
  <c r="C66" i="6" l="1"/>
  <c r="B66" i="6"/>
  <c r="A67" i="6"/>
  <c r="B67" i="6" l="1"/>
  <c r="C67" i="6"/>
  <c r="A68" i="6"/>
  <c r="C68" i="6" l="1"/>
  <c r="B68" i="6"/>
  <c r="A69" i="6"/>
  <c r="B69" i="6" l="1"/>
  <c r="C69" i="6"/>
  <c r="A70" i="6"/>
  <c r="C70" i="6" l="1"/>
  <c r="B70" i="6"/>
  <c r="A71" i="6"/>
  <c r="B71" i="6" l="1"/>
  <c r="C71" i="6"/>
  <c r="A72" i="6"/>
  <c r="B72" i="6" l="1"/>
  <c r="C72" i="6"/>
  <c r="A73" i="6"/>
  <c r="B73" i="6" l="1"/>
  <c r="C73" i="6"/>
  <c r="A74" i="6"/>
  <c r="B74" i="6" l="1"/>
  <c r="C74" i="6"/>
  <c r="A75" i="6"/>
  <c r="C75" i="6" l="1"/>
  <c r="B75" i="6"/>
  <c r="A76" i="6"/>
  <c r="B76" i="6" l="1"/>
  <c r="C76" i="6"/>
  <c r="A77" i="6"/>
  <c r="B77" i="6" l="1"/>
  <c r="C77" i="6"/>
  <c r="A78" i="6"/>
  <c r="B78" i="6" l="1"/>
  <c r="C78" i="6"/>
  <c r="A79" i="6"/>
  <c r="B79" i="6" l="1"/>
  <c r="C79" i="6"/>
  <c r="A80" i="6"/>
  <c r="B80" i="6" l="1"/>
  <c r="C80" i="6"/>
  <c r="A81" i="6"/>
  <c r="C81" i="6" l="1"/>
  <c r="B81" i="6"/>
  <c r="A82" i="6"/>
  <c r="C82" i="6" l="1"/>
  <c r="B82" i="6"/>
  <c r="A83" i="6"/>
  <c r="B83" i="6" l="1"/>
  <c r="C83" i="6"/>
  <c r="A84" i="6"/>
  <c r="C84" i="6" l="1"/>
  <c r="B84" i="6"/>
  <c r="A85" i="6"/>
  <c r="B85" i="6" l="1"/>
  <c r="C85" i="6"/>
  <c r="A86" i="6"/>
  <c r="C86" i="6" l="1"/>
  <c r="B86" i="6"/>
  <c r="A87" i="6"/>
  <c r="B87" i="6" l="1"/>
  <c r="C87" i="6"/>
  <c r="A88" i="6"/>
  <c r="C88" i="6" l="1"/>
  <c r="B88" i="6"/>
  <c r="A89" i="6"/>
  <c r="B89" i="6" l="1"/>
  <c r="C89" i="6"/>
  <c r="A90" i="6"/>
  <c r="B90" i="6" l="1"/>
  <c r="C90" i="6"/>
  <c r="A91" i="6"/>
  <c r="B91" i="6" l="1"/>
  <c r="C91" i="6"/>
  <c r="A92" i="6"/>
  <c r="C92" i="6" l="1"/>
  <c r="B92" i="6"/>
  <c r="A93" i="6"/>
  <c r="C93" i="6" l="1"/>
  <c r="B93" i="6"/>
  <c r="A94" i="6"/>
  <c r="B94" i="6" l="1"/>
  <c r="C94" i="6"/>
  <c r="A95" i="6"/>
  <c r="B95" i="6" l="1"/>
  <c r="C95" i="6"/>
  <c r="A96" i="6"/>
  <c r="B96" i="6" l="1"/>
  <c r="C96" i="6"/>
  <c r="A97" i="6"/>
  <c r="C97" i="6" l="1"/>
  <c r="B97" i="6"/>
  <c r="A98" i="6"/>
  <c r="C98" i="6" l="1"/>
  <c r="B98" i="6"/>
  <c r="A99" i="6"/>
  <c r="B99" i="6" l="1"/>
  <c r="C99" i="6"/>
  <c r="A100" i="6"/>
  <c r="C100" i="6" l="1"/>
  <c r="B100" i="6"/>
  <c r="A101" i="6"/>
  <c r="B101" i="6" l="1"/>
  <c r="C101" i="6"/>
  <c r="A102" i="6"/>
  <c r="B102" i="6" l="1"/>
  <c r="C102" i="6"/>
  <c r="A103" i="6"/>
  <c r="B103" i="6" l="1"/>
  <c r="C103" i="6"/>
  <c r="A104" i="6"/>
  <c r="C104" i="6" l="1"/>
  <c r="B104" i="6"/>
  <c r="A105" i="6"/>
  <c r="C105" i="6" l="1"/>
  <c r="B105" i="6"/>
  <c r="A106" i="6"/>
  <c r="B106" i="6" l="1"/>
  <c r="C106" i="6"/>
  <c r="A107" i="6"/>
  <c r="C107" i="6" l="1"/>
  <c r="B107" i="6"/>
  <c r="A108" i="6"/>
  <c r="C108" i="6" l="1"/>
  <c r="B108" i="6"/>
  <c r="A109" i="6"/>
  <c r="C109" i="6" l="1"/>
  <c r="B109" i="6"/>
  <c r="A110" i="6"/>
  <c r="B110" i="6" l="1"/>
  <c r="C110" i="6"/>
  <c r="A111" i="6"/>
  <c r="B111" i="6" l="1"/>
  <c r="C111" i="6"/>
  <c r="A112" i="6"/>
  <c r="B112" i="6" l="1"/>
  <c r="C112" i="6"/>
  <c r="A113" i="6"/>
  <c r="B113" i="6" l="1"/>
  <c r="C113" i="6"/>
  <c r="A114" i="6"/>
  <c r="C114" i="6" l="1"/>
  <c r="B114" i="6"/>
  <c r="A115" i="6"/>
  <c r="B115" i="6" l="1"/>
  <c r="C115" i="6"/>
  <c r="A116" i="6"/>
  <c r="B116" i="6" l="1"/>
  <c r="C116" i="6"/>
  <c r="A117" i="6"/>
  <c r="B117" i="6" l="1"/>
  <c r="C117" i="6"/>
  <c r="A118" i="6"/>
  <c r="B118" i="6" l="1"/>
  <c r="C118" i="6"/>
  <c r="A119" i="6"/>
  <c r="B119" i="6" l="1"/>
  <c r="C119" i="6"/>
  <c r="A120" i="6"/>
  <c r="B120" i="6" l="1"/>
  <c r="C120" i="6"/>
  <c r="A121" i="6"/>
  <c r="C121" i="6" l="1"/>
  <c r="B121" i="6"/>
  <c r="A122" i="6"/>
  <c r="B122" i="6" l="1"/>
  <c r="C122" i="6"/>
  <c r="A123" i="6"/>
  <c r="B123" i="6" l="1"/>
  <c r="C123" i="6"/>
  <c r="A124" i="6"/>
  <c r="B124" i="6" l="1"/>
  <c r="C124" i="6"/>
  <c r="A125" i="6"/>
  <c r="B125" i="6" l="1"/>
  <c r="C125" i="6"/>
  <c r="A126" i="6"/>
  <c r="B126" i="6" l="1"/>
  <c r="C126" i="6"/>
  <c r="A127" i="6"/>
  <c r="C127" i="6" l="1"/>
  <c r="B127" i="6"/>
  <c r="A128" i="6"/>
  <c r="B128" i="6" l="1"/>
  <c r="C128" i="6"/>
  <c r="A129" i="6"/>
  <c r="C129" i="6" l="1"/>
  <c r="B129" i="6"/>
  <c r="A130" i="6"/>
  <c r="B130" i="6" l="1"/>
  <c r="C130" i="6"/>
  <c r="A131" i="6"/>
  <c r="B131" i="6" l="1"/>
  <c r="C131" i="6"/>
  <c r="A132" i="6"/>
  <c r="B132" i="6" l="1"/>
  <c r="C132" i="6"/>
  <c r="A133" i="6"/>
  <c r="C133" i="6" l="1"/>
  <c r="B133" i="6"/>
  <c r="A134" i="6"/>
  <c r="B134" i="6" l="1"/>
  <c r="C134" i="6"/>
  <c r="A135" i="6"/>
  <c r="C135" i="6" l="1"/>
  <c r="B135" i="6"/>
  <c r="A136" i="6"/>
  <c r="B136" i="6" l="1"/>
  <c r="C136" i="6"/>
  <c r="A137" i="6"/>
  <c r="B137" i="6" l="1"/>
  <c r="C137" i="6"/>
  <c r="A138" i="6"/>
  <c r="B138" i="6" l="1"/>
  <c r="C138" i="6"/>
  <c r="A139" i="6"/>
  <c r="B139" i="6" l="1"/>
  <c r="C139" i="6"/>
  <c r="A140" i="6"/>
  <c r="B140" i="6" l="1"/>
  <c r="C140" i="6"/>
  <c r="A141" i="6"/>
  <c r="B141" i="6" l="1"/>
  <c r="C141" i="6"/>
  <c r="A142" i="6"/>
  <c r="C142" i="6" l="1"/>
  <c r="B142" i="6"/>
  <c r="A143" i="6"/>
  <c r="B143" i="6" l="1"/>
  <c r="C143" i="6"/>
  <c r="A144" i="6"/>
  <c r="C144" i="6" l="1"/>
  <c r="B144" i="6"/>
  <c r="A145" i="6"/>
  <c r="B145" i="6" l="1"/>
  <c r="C145" i="6"/>
  <c r="A146" i="6"/>
  <c r="B146" i="6" l="1"/>
  <c r="C146" i="6"/>
  <c r="A147" i="6"/>
  <c r="B147" i="6" l="1"/>
  <c r="C147" i="6"/>
  <c r="A148" i="6"/>
  <c r="C148" i="6" l="1"/>
  <c r="B148" i="6"/>
  <c r="A149" i="6"/>
  <c r="B149" i="6" l="1"/>
  <c r="C149" i="6"/>
  <c r="A150" i="6"/>
  <c r="B150" i="6" l="1"/>
  <c r="C150" i="6"/>
  <c r="A151" i="6"/>
  <c r="C151" i="6" l="1"/>
  <c r="B151" i="6"/>
  <c r="A152" i="6"/>
  <c r="B152" i="6" l="1"/>
  <c r="C152" i="6"/>
  <c r="A153" i="6"/>
  <c r="C153" i="6" l="1"/>
  <c r="B153" i="6"/>
  <c r="A154" i="6"/>
  <c r="B154" i="6" l="1"/>
  <c r="C154" i="6"/>
  <c r="A155" i="6"/>
  <c r="C155" i="6" l="1"/>
  <c r="B155" i="6"/>
  <c r="A156" i="6"/>
  <c r="B156" i="6" l="1"/>
  <c r="C156" i="6"/>
  <c r="A157" i="6"/>
  <c r="B157" i="6" l="1"/>
  <c r="C157" i="6"/>
  <c r="A158" i="6"/>
  <c r="B158" i="6" l="1"/>
  <c r="C158" i="6"/>
  <c r="A159" i="6"/>
  <c r="B159" i="6" l="1"/>
  <c r="C159" i="6"/>
  <c r="A160" i="6"/>
  <c r="C160" i="6" l="1"/>
  <c r="B160" i="6"/>
  <c r="A161" i="6"/>
  <c r="C161" i="6" l="1"/>
  <c r="B161" i="6"/>
  <c r="A162" i="6"/>
  <c r="B162" i="6" l="1"/>
  <c r="C162" i="6"/>
  <c r="A163" i="6"/>
  <c r="B163" i="6" l="1"/>
  <c r="C163" i="6"/>
  <c r="A164" i="6"/>
  <c r="C164" i="6" l="1"/>
  <c r="B164" i="6"/>
  <c r="A165" i="6"/>
  <c r="B165" i="6" l="1"/>
  <c r="C165" i="6"/>
  <c r="A166" i="6"/>
  <c r="B166" i="6" l="1"/>
  <c r="C166" i="6"/>
  <c r="A167" i="6"/>
  <c r="B167" i="6" l="1"/>
  <c r="C167" i="6"/>
  <c r="A168" i="6"/>
  <c r="B168" i="6" l="1"/>
  <c r="C168" i="6"/>
  <c r="A169" i="6"/>
  <c r="B169" i="6" l="1"/>
  <c r="C169" i="6"/>
  <c r="A170" i="6"/>
  <c r="B170" i="6" l="1"/>
  <c r="C170" i="6"/>
  <c r="A171" i="6"/>
  <c r="C171" i="6" l="1"/>
  <c r="B171" i="6"/>
  <c r="A172" i="6"/>
  <c r="B172" i="6" l="1"/>
  <c r="C172" i="6"/>
  <c r="A173" i="6"/>
  <c r="C173" i="6" l="1"/>
  <c r="B173" i="6"/>
  <c r="A174" i="6"/>
  <c r="B174" i="6" l="1"/>
  <c r="C174" i="6"/>
  <c r="A175" i="6"/>
  <c r="B175" i="6" l="1"/>
  <c r="C175" i="6"/>
  <c r="A176" i="6"/>
  <c r="B176" i="6" l="1"/>
  <c r="C176" i="6"/>
  <c r="A177" i="6"/>
  <c r="B177" i="6" l="1"/>
  <c r="C177" i="6"/>
  <c r="A178" i="6"/>
  <c r="C178" i="6" l="1"/>
  <c r="B178" i="6"/>
  <c r="A179" i="6"/>
  <c r="B179" i="6" l="1"/>
  <c r="C179" i="6"/>
  <c r="A180" i="6"/>
  <c r="B180" i="6" l="1"/>
  <c r="C180" i="6"/>
  <c r="A181" i="6"/>
  <c r="C181" i="6" l="1"/>
  <c r="B181" i="6"/>
  <c r="A182" i="6"/>
  <c r="C182" i="6" l="1"/>
  <c r="B182" i="6"/>
  <c r="A183" i="6"/>
  <c r="B183" i="6" l="1"/>
  <c r="C183" i="6"/>
  <c r="A184" i="6"/>
  <c r="B184" i="6" l="1"/>
  <c r="C184" i="6"/>
  <c r="A185" i="6"/>
  <c r="B185" i="6" l="1"/>
  <c r="C185" i="6"/>
  <c r="A186" i="6"/>
  <c r="B186" i="6" l="1"/>
  <c r="C186" i="6"/>
  <c r="A187" i="6"/>
  <c r="B187" i="6" l="1"/>
  <c r="C187" i="6"/>
  <c r="A188" i="6"/>
  <c r="B188" i="6" l="1"/>
  <c r="C188" i="6"/>
  <c r="A189" i="6"/>
  <c r="C189" i="6" l="1"/>
  <c r="B189" i="6"/>
  <c r="A190" i="6"/>
  <c r="C190" i="6" l="1"/>
  <c r="B190" i="6"/>
  <c r="A191" i="6"/>
  <c r="B191" i="6" l="1"/>
  <c r="C191" i="6"/>
  <c r="A192" i="6"/>
  <c r="C192" i="6" l="1"/>
  <c r="B192" i="6"/>
  <c r="A193" i="6"/>
  <c r="B193" i="6" l="1"/>
  <c r="C193" i="6"/>
  <c r="A194" i="6"/>
  <c r="B194" i="6" l="1"/>
  <c r="C194" i="6"/>
  <c r="A195" i="6"/>
  <c r="B195" i="6" l="1"/>
  <c r="C195" i="6"/>
  <c r="A196" i="6"/>
  <c r="B196" i="6" l="1"/>
  <c r="C196" i="6"/>
  <c r="A197" i="6"/>
  <c r="B197" i="6" l="1"/>
  <c r="C197" i="6"/>
  <c r="A198" i="6"/>
  <c r="C198" i="6" l="1"/>
  <c r="B198" i="6"/>
  <c r="A199" i="6"/>
  <c r="B199" i="6" l="1"/>
  <c r="C199" i="6"/>
  <c r="A200" i="6"/>
  <c r="B200" i="6" l="1"/>
  <c r="C200" i="6"/>
  <c r="A201" i="6"/>
  <c r="B201" i="6" l="1"/>
  <c r="C201" i="6"/>
  <c r="A202" i="6"/>
  <c r="C202" i="6" l="1"/>
  <c r="B202" i="6"/>
  <c r="A203" i="6"/>
  <c r="B203" i="6" l="1"/>
  <c r="C203" i="6"/>
  <c r="A204" i="6"/>
  <c r="C204" i="6" l="1"/>
  <c r="B204" i="6"/>
  <c r="A205" i="6"/>
  <c r="B205" i="6" l="1"/>
  <c r="C205" i="6"/>
  <c r="A206" i="6"/>
  <c r="B206" i="6" l="1"/>
  <c r="C206" i="6"/>
  <c r="A207" i="6"/>
  <c r="B207" i="6" l="1"/>
  <c r="C207" i="6"/>
  <c r="A208" i="6"/>
  <c r="B208" i="6" l="1"/>
  <c r="C208" i="6"/>
  <c r="A209" i="6"/>
  <c r="C209" i="6" l="1"/>
  <c r="B209" i="6"/>
  <c r="A210" i="6"/>
  <c r="C210" i="6" l="1"/>
  <c r="B210" i="6"/>
  <c r="A211" i="6"/>
  <c r="B211" i="6" l="1"/>
  <c r="C211" i="6"/>
  <c r="A212" i="6"/>
  <c r="B212" i="6" l="1"/>
  <c r="C212" i="6"/>
  <c r="A213" i="6"/>
  <c r="B213" i="6" l="1"/>
  <c r="C213" i="6"/>
  <c r="A214" i="6"/>
  <c r="B214" i="6" l="1"/>
  <c r="C214" i="6"/>
  <c r="A215" i="6"/>
  <c r="B215" i="6" l="1"/>
  <c r="C215" i="6"/>
  <c r="A216" i="6"/>
  <c r="B216" i="6" l="1"/>
  <c r="C216" i="6"/>
  <c r="A217" i="6"/>
  <c r="B217" i="6" l="1"/>
  <c r="C217" i="6"/>
  <c r="A218" i="6"/>
  <c r="B218" i="6" l="1"/>
  <c r="C218" i="6"/>
  <c r="A219" i="6"/>
  <c r="B219" i="6" l="1"/>
  <c r="C219" i="6"/>
  <c r="A220" i="6"/>
  <c r="C220" i="6" l="1"/>
  <c r="B220" i="6"/>
  <c r="A221" i="6"/>
  <c r="B221" i="6" l="1"/>
  <c r="C221" i="6"/>
  <c r="A222" i="6"/>
  <c r="C222" i="6" l="1"/>
  <c r="B222" i="6"/>
  <c r="A223" i="6"/>
  <c r="B223" i="6" l="1"/>
  <c r="C223" i="6"/>
  <c r="A224" i="6"/>
  <c r="B224" i="6" l="1"/>
  <c r="C224" i="6"/>
  <c r="A225" i="6"/>
  <c r="B225" i="6" l="1"/>
  <c r="C225" i="6"/>
  <c r="A226" i="6"/>
  <c r="B226" i="6" l="1"/>
  <c r="C226" i="6"/>
  <c r="A227" i="6"/>
  <c r="B227" i="6" l="1"/>
  <c r="C227" i="6"/>
  <c r="A228" i="6"/>
  <c r="B228" i="6" l="1"/>
  <c r="C228" i="6"/>
  <c r="A229" i="6"/>
  <c r="C229" i="6" l="1"/>
  <c r="B229" i="6"/>
  <c r="A230" i="6"/>
  <c r="B230" i="6" l="1"/>
  <c r="C230" i="6"/>
  <c r="A231" i="6"/>
  <c r="B231" i="6" l="1"/>
  <c r="C231" i="6"/>
  <c r="A232" i="6"/>
  <c r="B232" i="6" l="1"/>
  <c r="C232" i="6"/>
  <c r="A233" i="6"/>
  <c r="C233" i="6" l="1"/>
  <c r="B233" i="6"/>
  <c r="A234" i="6"/>
  <c r="C234" i="6" l="1"/>
  <c r="B234" i="6"/>
  <c r="A235" i="6"/>
  <c r="B235" i="6" l="1"/>
  <c r="C235" i="6"/>
  <c r="A236" i="6"/>
  <c r="B236" i="6" l="1"/>
  <c r="C236" i="6"/>
  <c r="A237" i="6"/>
  <c r="B237" i="6" l="1"/>
  <c r="C237" i="6"/>
  <c r="A238" i="6"/>
  <c r="C238" i="6" l="1"/>
  <c r="B238" i="6"/>
  <c r="A239" i="6"/>
  <c r="B239" i="6" l="1"/>
  <c r="C239" i="6"/>
  <c r="A240" i="6"/>
  <c r="B240" i="6" l="1"/>
  <c r="C240" i="6"/>
  <c r="A241" i="6"/>
  <c r="C241" i="6" l="1"/>
  <c r="B241" i="6"/>
  <c r="A242" i="6"/>
  <c r="B242" i="6" l="1"/>
  <c r="C242" i="6"/>
  <c r="A243" i="6"/>
  <c r="B243" i="6" l="1"/>
  <c r="C243" i="6"/>
  <c r="A244" i="6"/>
  <c r="B244" i="6" l="1"/>
  <c r="C244" i="6"/>
  <c r="A245" i="6"/>
  <c r="B245" i="6" l="1"/>
  <c r="C245" i="6"/>
  <c r="A246" i="6"/>
  <c r="B246" i="6" l="1"/>
  <c r="C246" i="6"/>
  <c r="A247" i="6"/>
  <c r="B247" i="6" l="1"/>
  <c r="C247" i="6"/>
  <c r="A248" i="6"/>
  <c r="B248" i="6" l="1"/>
  <c r="C248" i="6"/>
  <c r="A249" i="6"/>
  <c r="B249" i="6" l="1"/>
  <c r="C249" i="6"/>
  <c r="A250" i="6"/>
  <c r="B250" i="6" l="1"/>
  <c r="C250" i="6"/>
  <c r="A251" i="6"/>
  <c r="B251" i="6" l="1"/>
  <c r="C251" i="6"/>
  <c r="A252" i="6"/>
  <c r="B252" i="6" l="1"/>
  <c r="C252" i="6"/>
  <c r="A253" i="6"/>
  <c r="B253" i="6" l="1"/>
  <c r="C253" i="6"/>
  <c r="A254" i="6"/>
  <c r="B254" i="6" l="1"/>
  <c r="C254" i="6"/>
  <c r="A255" i="6"/>
  <c r="C255" i="6" l="1"/>
  <c r="B255" i="6"/>
  <c r="A256" i="6"/>
  <c r="B256" i="6" l="1"/>
  <c r="C256" i="6"/>
  <c r="A257" i="6"/>
  <c r="B257" i="6" l="1"/>
  <c r="C257" i="6"/>
  <c r="A258" i="6"/>
  <c r="B258" i="6" l="1"/>
  <c r="C258" i="6"/>
  <c r="A259" i="6"/>
  <c r="B259" i="6" l="1"/>
  <c r="C259" i="6"/>
  <c r="A260" i="6"/>
  <c r="C260" i="6" l="1"/>
  <c r="B260" i="6"/>
  <c r="A261" i="6"/>
  <c r="B261" i="6" l="1"/>
  <c r="C261" i="6"/>
  <c r="A262" i="6"/>
  <c r="C262" i="6" l="1"/>
  <c r="B262" i="6"/>
  <c r="A263" i="6"/>
  <c r="B263" i="6" l="1"/>
  <c r="C263" i="6"/>
  <c r="A264" i="6"/>
  <c r="B264" i="6" l="1"/>
  <c r="C264" i="6"/>
  <c r="A265" i="6"/>
  <c r="C265" i="6" l="1"/>
  <c r="B265" i="6"/>
  <c r="A266" i="6"/>
  <c r="C266" i="6" l="1"/>
  <c r="B266" i="6"/>
  <c r="A267" i="6"/>
  <c r="B267" i="6" l="1"/>
  <c r="C267" i="6"/>
  <c r="A268" i="6"/>
  <c r="B268" i="6" l="1"/>
  <c r="C268" i="6"/>
  <c r="A269" i="6"/>
  <c r="C269" i="6" l="1"/>
  <c r="B269" i="6"/>
  <c r="A270" i="6"/>
  <c r="C270" i="6" l="1"/>
  <c r="B270" i="6"/>
  <c r="A271" i="6"/>
  <c r="B271" i="6" l="1"/>
  <c r="C271" i="6"/>
  <c r="A272" i="6"/>
  <c r="B272" i="6" l="1"/>
  <c r="C272" i="6"/>
  <c r="A273" i="6"/>
  <c r="C273" i="6" l="1"/>
  <c r="B273" i="6"/>
  <c r="A274" i="6"/>
  <c r="C274" i="6" l="1"/>
  <c r="B274" i="6"/>
  <c r="A275" i="6"/>
  <c r="B275" i="6" l="1"/>
  <c r="C275" i="6"/>
  <c r="A276" i="6"/>
  <c r="B276" i="6" l="1"/>
  <c r="C276" i="6"/>
  <c r="A277" i="6"/>
  <c r="B277" i="6" l="1"/>
  <c r="C277" i="6"/>
  <c r="A278" i="6"/>
  <c r="B278" i="6" l="1"/>
  <c r="C278" i="6"/>
  <c r="A279" i="6"/>
  <c r="C279" i="6" l="1"/>
  <c r="B279" i="6"/>
  <c r="A280" i="6"/>
  <c r="B280" i="6" l="1"/>
  <c r="C280" i="6"/>
  <c r="A281" i="6"/>
  <c r="C281" i="6" l="1"/>
  <c r="B281" i="6"/>
  <c r="A282" i="6"/>
  <c r="C282" i="6" l="1"/>
  <c r="B282" i="6"/>
  <c r="A283" i="6"/>
  <c r="B283" i="6" l="1"/>
  <c r="C283" i="6"/>
  <c r="A284" i="6"/>
  <c r="B284" i="6" l="1"/>
  <c r="C284" i="6"/>
  <c r="A285" i="6"/>
  <c r="B285" i="6" l="1"/>
  <c r="C285" i="6"/>
  <c r="A286" i="6"/>
  <c r="B286" i="6" l="1"/>
  <c r="C286" i="6"/>
  <c r="A287" i="6"/>
  <c r="B287" i="6" l="1"/>
  <c r="C287" i="6"/>
  <c r="A288" i="6"/>
  <c r="C288" i="6" l="1"/>
  <c r="B288" i="6"/>
  <c r="A289" i="6"/>
  <c r="B289" i="6" l="1"/>
  <c r="C289" i="6"/>
  <c r="A290" i="6"/>
  <c r="B290" i="6" l="1"/>
  <c r="C290" i="6"/>
  <c r="A291" i="6"/>
  <c r="B291" i="6" l="1"/>
  <c r="C291" i="6"/>
  <c r="A292" i="6"/>
  <c r="B292" i="6" l="1"/>
  <c r="C292" i="6"/>
  <c r="A293" i="6"/>
  <c r="B293" i="6" l="1"/>
  <c r="C293" i="6"/>
  <c r="A294" i="6"/>
  <c r="B294" i="6" l="1"/>
  <c r="C294" i="6"/>
  <c r="A295" i="6"/>
  <c r="B295" i="6" l="1"/>
  <c r="C295" i="6"/>
  <c r="A296" i="6"/>
  <c r="B296" i="6" l="1"/>
  <c r="C296" i="6"/>
  <c r="A297" i="6"/>
  <c r="B297" i="6" l="1"/>
  <c r="C297" i="6"/>
  <c r="A298" i="6"/>
  <c r="B298" i="6" l="1"/>
  <c r="C298" i="6"/>
  <c r="A299" i="6"/>
  <c r="B299" i="6" l="1"/>
  <c r="C299" i="6"/>
  <c r="A300" i="6"/>
  <c r="B300" i="6" l="1"/>
  <c r="C300" i="6"/>
  <c r="A301" i="6"/>
  <c r="C301" i="6" l="1"/>
  <c r="B301" i="6"/>
  <c r="A302" i="6"/>
  <c r="C302" i="6" l="1"/>
  <c r="B302" i="6"/>
  <c r="A303" i="6"/>
  <c r="B303" i="6" l="1"/>
  <c r="C303" i="6"/>
  <c r="A304" i="6"/>
  <c r="C304" i="6" l="1"/>
  <c r="B304" i="6"/>
  <c r="A305" i="6"/>
  <c r="C305" i="6" l="1"/>
  <c r="B305" i="6"/>
  <c r="A306" i="6"/>
  <c r="C306" i="6" l="1"/>
  <c r="B306" i="6"/>
  <c r="A307" i="6"/>
  <c r="C307" i="6" l="1"/>
  <c r="B307" i="6"/>
  <c r="A308" i="6"/>
  <c r="B308" i="6" l="1"/>
  <c r="C308" i="6"/>
  <c r="A309" i="6"/>
  <c r="B309" i="6" l="1"/>
  <c r="C309" i="6"/>
  <c r="A310" i="6"/>
  <c r="B310" i="6" l="1"/>
  <c r="C310" i="6"/>
  <c r="A311" i="6"/>
  <c r="B311" i="6" l="1"/>
  <c r="C311" i="6"/>
  <c r="A312" i="6"/>
  <c r="B312" i="6" l="1"/>
  <c r="C312" i="6"/>
  <c r="A313" i="6"/>
  <c r="C313" i="6" l="1"/>
  <c r="B313" i="6"/>
  <c r="A314" i="6"/>
  <c r="B314" i="6" l="1"/>
  <c r="C314" i="6"/>
  <c r="A315" i="6"/>
  <c r="B315" i="6" l="1"/>
  <c r="C315" i="6"/>
  <c r="A316" i="6"/>
  <c r="B316" i="6" l="1"/>
  <c r="C316" i="6"/>
  <c r="A317" i="6"/>
  <c r="B317" i="6" l="1"/>
  <c r="C317" i="6"/>
  <c r="A318" i="6"/>
  <c r="B318" i="6" l="1"/>
  <c r="C318" i="6"/>
  <c r="A319" i="6"/>
  <c r="C319" i="6" l="1"/>
  <c r="B319" i="6"/>
  <c r="A320" i="6"/>
  <c r="B320" i="6" l="1"/>
  <c r="C320" i="6"/>
  <c r="A321" i="6"/>
  <c r="B321" i="6" l="1"/>
  <c r="C321" i="6"/>
  <c r="A322" i="6"/>
  <c r="B322" i="6" l="1"/>
  <c r="C322" i="6"/>
  <c r="A323" i="6"/>
  <c r="B323" i="6" l="1"/>
  <c r="C323" i="6"/>
  <c r="A324" i="6"/>
  <c r="B324" i="6" l="1"/>
  <c r="C324" i="6"/>
  <c r="A325" i="6"/>
  <c r="B325" i="6" l="1"/>
  <c r="C325" i="6"/>
  <c r="A326" i="6"/>
  <c r="B326" i="6" l="1"/>
  <c r="C326" i="6"/>
  <c r="A327" i="6"/>
  <c r="C327" i="6" l="1"/>
  <c r="B327" i="6"/>
  <c r="A328" i="6"/>
  <c r="B328" i="6" l="1"/>
  <c r="C328" i="6"/>
  <c r="A329" i="6"/>
  <c r="B329" i="6" l="1"/>
  <c r="C329" i="6"/>
  <c r="A330" i="6"/>
  <c r="B330" i="6" l="1"/>
  <c r="C330" i="6"/>
  <c r="A331" i="6"/>
  <c r="B331" i="6" l="1"/>
  <c r="C331" i="6"/>
  <c r="A332" i="6"/>
  <c r="C332" i="6" l="1"/>
  <c r="B332" i="6"/>
  <c r="A333" i="6"/>
  <c r="C333" i="6" l="1"/>
  <c r="B333" i="6"/>
  <c r="A334" i="6"/>
  <c r="C334" i="6" l="1"/>
  <c r="B334" i="6"/>
  <c r="A335" i="6"/>
  <c r="B335" i="6" l="1"/>
  <c r="C335" i="6"/>
  <c r="A336" i="6"/>
  <c r="C336" i="6" l="1"/>
  <c r="B336" i="6"/>
  <c r="A337" i="6"/>
  <c r="B337" i="6" l="1"/>
  <c r="C337" i="6"/>
  <c r="C48" i="7"/>
  <c r="C2" i="7"/>
  <c r="C40" i="7"/>
  <c r="C22" i="7"/>
  <c r="C185" i="7"/>
  <c r="C11" i="7"/>
  <c r="C17" i="7"/>
  <c r="C122" i="7"/>
  <c r="C107" i="7"/>
  <c r="C85" i="7"/>
  <c r="C166" i="7"/>
  <c r="C171" i="7"/>
  <c r="C124" i="7"/>
  <c r="C10" i="7"/>
  <c r="C186" i="7"/>
  <c r="C96" i="7"/>
  <c r="C82" i="7"/>
  <c r="C66" i="7"/>
  <c r="C76" i="7"/>
  <c r="C59" i="7"/>
  <c r="C74" i="7"/>
  <c r="C92" i="7"/>
  <c r="C75" i="7"/>
  <c r="C51" i="7"/>
  <c r="C146" i="7"/>
  <c r="C181" i="7"/>
  <c r="C100" i="7"/>
  <c r="C158" i="7"/>
  <c r="C149" i="7"/>
  <c r="C144" i="7"/>
  <c r="C87" i="7"/>
  <c r="C70" i="7"/>
  <c r="C125" i="7"/>
  <c r="C121" i="7"/>
  <c r="C73" i="7"/>
  <c r="C154" i="7"/>
  <c r="C15" i="7"/>
  <c r="C137" i="7"/>
  <c r="C24" i="7"/>
  <c r="C61" i="7"/>
  <c r="C169" i="7"/>
  <c r="C67" i="7"/>
  <c r="C57" i="7"/>
  <c r="C128" i="7"/>
  <c r="C164" i="7"/>
  <c r="C120" i="7"/>
  <c r="C112" i="7"/>
  <c r="C139" i="7"/>
  <c r="C173" i="7"/>
  <c r="C77" i="7"/>
  <c r="C136" i="7"/>
  <c r="C54" i="7"/>
  <c r="C117" i="7"/>
  <c r="C159" i="7"/>
  <c r="C43" i="7"/>
  <c r="C133" i="7"/>
  <c r="C174" i="7"/>
  <c r="C195" i="7"/>
  <c r="C37" i="7"/>
  <c r="C88" i="7"/>
  <c r="C69" i="7"/>
  <c r="C55" i="7"/>
  <c r="C179" i="7"/>
  <c r="C200" i="7"/>
  <c r="C45" i="7"/>
  <c r="C172" i="7"/>
  <c r="C170" i="7"/>
  <c r="C162" i="7"/>
  <c r="C35" i="7"/>
  <c r="C65" i="7"/>
  <c r="C199" i="7"/>
  <c r="C135" i="7"/>
  <c r="C194" i="7"/>
  <c r="C64" i="7"/>
  <c r="C187" i="7"/>
  <c r="C68" i="7"/>
  <c r="C188" i="7"/>
  <c r="C148" i="7"/>
  <c r="C34" i="7"/>
  <c r="C110" i="7"/>
  <c r="C102" i="7"/>
  <c r="C109" i="7"/>
  <c r="C130" i="7"/>
  <c r="C196" i="7"/>
  <c r="C27" i="7"/>
  <c r="C140" i="7"/>
  <c r="C189" i="7"/>
  <c r="C53" i="7"/>
  <c r="C198" i="7"/>
  <c r="C163" i="7"/>
  <c r="C145" i="7"/>
  <c r="C131" i="7"/>
  <c r="C103" i="7"/>
  <c r="C116" i="7"/>
  <c r="C28" i="7"/>
  <c r="C71" i="7"/>
  <c r="C16" i="7"/>
  <c r="C32" i="7"/>
  <c r="C153" i="7"/>
  <c r="C42" i="7"/>
  <c r="C29" i="7"/>
  <c r="C93" i="7"/>
  <c r="C50" i="7"/>
  <c r="C79" i="7"/>
  <c r="C6" i="7"/>
  <c r="C31" i="7"/>
  <c r="C97" i="7"/>
  <c r="C119" i="7"/>
  <c r="C38" i="7"/>
  <c r="C118" i="7"/>
  <c r="C81" i="7"/>
  <c r="C18" i="7"/>
  <c r="C197" i="7"/>
  <c r="C138" i="7"/>
  <c r="C44" i="7"/>
  <c r="C14" i="7"/>
  <c r="C115" i="7"/>
  <c r="C99" i="7"/>
  <c r="C108" i="7"/>
  <c r="C126" i="7"/>
  <c r="C132" i="7"/>
  <c r="C78" i="7"/>
  <c r="C160" i="7"/>
  <c r="C46" i="7"/>
  <c r="C177" i="7"/>
  <c r="C151" i="7"/>
  <c r="C63" i="7"/>
  <c r="C56" i="7"/>
  <c r="C113" i="7"/>
  <c r="C98" i="7"/>
  <c r="C9" i="7"/>
  <c r="C80" i="7"/>
  <c r="C72" i="7"/>
  <c r="C8" i="7"/>
  <c r="C182" i="7"/>
  <c r="C105" i="7"/>
  <c r="C39" i="7"/>
  <c r="C114" i="7"/>
  <c r="C176" i="7"/>
  <c r="C152" i="7"/>
  <c r="C52" i="7"/>
  <c r="C89" i="7"/>
  <c r="C3" i="7"/>
  <c r="C91" i="7"/>
  <c r="C36" i="7"/>
  <c r="C123" i="7"/>
  <c r="C106" i="7"/>
  <c r="C156" i="7"/>
  <c r="C161" i="7"/>
  <c r="C62" i="7"/>
  <c r="C150" i="7"/>
  <c r="C180" i="7"/>
  <c r="C41" i="7"/>
  <c r="C86" i="7"/>
  <c r="C141" i="7"/>
  <c r="C191" i="7"/>
  <c r="C84" i="7"/>
  <c r="C178" i="7"/>
  <c r="C165" i="7"/>
  <c r="C95" i="7"/>
  <c r="C49" i="7"/>
  <c r="C13" i="7"/>
  <c r="C142" i="7"/>
  <c r="C192" i="7"/>
  <c r="C90" i="7"/>
  <c r="C184" i="7"/>
  <c r="C94" i="7"/>
  <c r="C168" i="7"/>
  <c r="C129" i="7"/>
  <c r="C7" i="7"/>
  <c r="C23" i="7"/>
  <c r="C47" i="7"/>
  <c r="C143" i="7"/>
  <c r="C111" i="7"/>
  <c r="C21" i="7"/>
  <c r="C147" i="7"/>
  <c r="C190" i="7"/>
  <c r="C33" i="7"/>
  <c r="C193" i="7"/>
  <c r="C5" i="7"/>
  <c r="C20" i="7"/>
  <c r="C26" i="7"/>
  <c r="C19" i="7"/>
  <c r="C175" i="7"/>
  <c r="C58" i="7"/>
  <c r="C134" i="7"/>
  <c r="C30" i="7"/>
  <c r="C101" i="7"/>
  <c r="C60" i="7"/>
  <c r="C157" i="7"/>
  <c r="C104" i="7"/>
  <c r="C155" i="7"/>
  <c r="C83" i="7"/>
  <c r="C183" i="7"/>
  <c r="C4" i="7"/>
  <c r="C167" i="7"/>
  <c r="C12" i="7"/>
  <c r="C25" i="7"/>
  <c r="C127" i="7"/>
  <c r="A101" i="9" l="1"/>
  <c r="E101" i="7"/>
  <c r="E41" i="7"/>
  <c r="A41" i="9"/>
  <c r="E132" i="7"/>
  <c r="A132" i="9"/>
  <c r="E198" i="7"/>
  <c r="A198" i="9"/>
  <c r="A174" i="9"/>
  <c r="E174" i="7"/>
  <c r="A146" i="9"/>
  <c r="E146" i="7"/>
  <c r="D146" i="7" s="1"/>
  <c r="E178" i="7"/>
  <c r="D178" i="7" s="1"/>
  <c r="A178" i="9"/>
  <c r="E78" i="7"/>
  <c r="A78" i="9"/>
  <c r="A99" i="9"/>
  <c r="E99" i="7"/>
  <c r="D99" i="7" s="1"/>
  <c r="A140" i="9"/>
  <c r="E140" i="7"/>
  <c r="A159" i="9"/>
  <c r="E159" i="7"/>
  <c r="D159" i="7" s="1"/>
  <c r="A92" i="9"/>
  <c r="E92" i="7"/>
  <c r="D92" i="7" s="1"/>
  <c r="E37" i="7"/>
  <c r="A37" i="9"/>
  <c r="E115" i="7"/>
  <c r="D115" i="7" s="1"/>
  <c r="A115" i="9"/>
  <c r="A117" i="9"/>
  <c r="E117" i="7"/>
  <c r="D117" i="7" s="1"/>
  <c r="A74" i="9"/>
  <c r="E74" i="7"/>
  <c r="E69" i="7"/>
  <c r="A69" i="9"/>
  <c r="E141" i="7"/>
  <c r="A141" i="9"/>
  <c r="E51" i="7"/>
  <c r="A51" i="9"/>
  <c r="E26" i="7"/>
  <c r="A26" i="9"/>
  <c r="A193" i="9"/>
  <c r="E193" i="7"/>
  <c r="E106" i="7"/>
  <c r="A106" i="9"/>
  <c r="A44" i="9"/>
  <c r="E44" i="7"/>
  <c r="E130" i="7"/>
  <c r="D130" i="7" s="1"/>
  <c r="A130" i="9"/>
  <c r="A136" i="9"/>
  <c r="E136" i="7"/>
  <c r="A76" i="9"/>
  <c r="E76" i="7"/>
  <c r="E33" i="7"/>
  <c r="A33" i="9"/>
  <c r="E123" i="7"/>
  <c r="A123" i="9"/>
  <c r="A138" i="9"/>
  <c r="E138" i="7"/>
  <c r="D138" i="7" s="1"/>
  <c r="E109" i="7"/>
  <c r="D109" i="7" s="1"/>
  <c r="A109" i="9"/>
  <c r="A77" i="9"/>
  <c r="E77" i="7"/>
  <c r="E66" i="7"/>
  <c r="A66" i="9"/>
  <c r="A60" i="9"/>
  <c r="E60" i="7"/>
  <c r="A158" i="9"/>
  <c r="E158" i="7"/>
  <c r="E181" i="7"/>
  <c r="A181" i="9"/>
  <c r="A43" i="9"/>
  <c r="E43" i="7"/>
  <c r="E36" i="7"/>
  <c r="A36" i="9"/>
  <c r="E110" i="7"/>
  <c r="A110" i="9"/>
  <c r="E148" i="7"/>
  <c r="D148" i="7" s="1"/>
  <c r="A148" i="9"/>
  <c r="E47" i="7"/>
  <c r="A47" i="9"/>
  <c r="A152" i="9"/>
  <c r="E152" i="7"/>
  <c r="D152" i="7" s="1"/>
  <c r="E119" i="7"/>
  <c r="D119" i="7" s="1"/>
  <c r="A119" i="9"/>
  <c r="A68" i="9"/>
  <c r="E68" i="7"/>
  <c r="A128" i="9"/>
  <c r="E128" i="7"/>
  <c r="D128" i="7" s="1"/>
  <c r="A171" i="9"/>
  <c r="E171" i="7"/>
  <c r="D171" i="7" s="1"/>
  <c r="A100" i="9"/>
  <c r="E100" i="7"/>
  <c r="D100" i="7" s="1"/>
  <c r="A59" i="9"/>
  <c r="E59" i="7"/>
  <c r="A21" i="9"/>
  <c r="E21" i="7"/>
  <c r="A97" i="9"/>
  <c r="E97" i="7"/>
  <c r="E57" i="7"/>
  <c r="A57" i="9"/>
  <c r="E166" i="7"/>
  <c r="A166" i="9"/>
  <c r="E116" i="7"/>
  <c r="A116" i="9"/>
  <c r="E58" i="7"/>
  <c r="A58" i="9"/>
  <c r="A156" i="9"/>
  <c r="E156" i="7"/>
  <c r="D156" i="7" s="1"/>
  <c r="E112" i="7"/>
  <c r="A112" i="9"/>
  <c r="A23" i="9"/>
  <c r="E23" i="7"/>
  <c r="A31" i="9"/>
  <c r="E31" i="7"/>
  <c r="A64" i="9"/>
  <c r="E64" i="7"/>
  <c r="A67" i="9"/>
  <c r="E67" i="7"/>
  <c r="E85" i="7"/>
  <c r="A85" i="9"/>
  <c r="E177" i="7"/>
  <c r="D177" i="7" s="1"/>
  <c r="A177" i="9"/>
  <c r="A53" i="9"/>
  <c r="E53" i="7"/>
  <c r="E14" i="7"/>
  <c r="A14" i="9"/>
  <c r="A89" i="9"/>
  <c r="E89" i="7"/>
  <c r="D89" i="7" s="1"/>
  <c r="A39" i="9"/>
  <c r="E39" i="7"/>
  <c r="A6" i="9"/>
  <c r="E6" i="7"/>
  <c r="A194" i="9"/>
  <c r="E194" i="7"/>
  <c r="E169" i="7"/>
  <c r="D169" i="7" s="1"/>
  <c r="A169" i="9"/>
  <c r="A107" i="9"/>
  <c r="E107" i="7"/>
  <c r="D107" i="7" s="1"/>
  <c r="A145" i="9"/>
  <c r="E145" i="7"/>
  <c r="D145" i="7" s="1"/>
  <c r="A62" i="9"/>
  <c r="E62" i="7"/>
  <c r="A139" i="9"/>
  <c r="E139" i="7"/>
  <c r="D139" i="7" s="1"/>
  <c r="E143" i="7"/>
  <c r="A143" i="9"/>
  <c r="A7" i="9"/>
  <c r="E7" i="7"/>
  <c r="E79" i="7"/>
  <c r="A79" i="9"/>
  <c r="A135" i="9"/>
  <c r="E135" i="7"/>
  <c r="D135" i="7" s="1"/>
  <c r="A61" i="9"/>
  <c r="E61" i="7"/>
  <c r="A122" i="9"/>
  <c r="E122" i="7"/>
  <c r="D122" i="7" s="1"/>
  <c r="A55" i="9"/>
  <c r="E55" i="7"/>
  <c r="E163" i="7"/>
  <c r="D163" i="7" s="1"/>
  <c r="A163" i="9"/>
  <c r="E54" i="7"/>
  <c r="A54" i="9"/>
  <c r="A120" i="9"/>
  <c r="E120" i="7"/>
  <c r="A94" i="9"/>
  <c r="E94" i="7"/>
  <c r="A50" i="9"/>
  <c r="E50" i="7"/>
  <c r="A199" i="9"/>
  <c r="E199" i="7"/>
  <c r="D199" i="7" s="1"/>
  <c r="E24" i="7"/>
  <c r="A24" i="9"/>
  <c r="A17" i="9"/>
  <c r="E17" i="7"/>
  <c r="E191" i="7"/>
  <c r="D191" i="7" s="1"/>
  <c r="A191" i="9"/>
  <c r="E133" i="7"/>
  <c r="D133" i="7" s="1"/>
  <c r="A133" i="9"/>
  <c r="A173" i="9"/>
  <c r="E173" i="7"/>
  <c r="D173" i="7" s="1"/>
  <c r="E10" i="7"/>
  <c r="A10" i="9"/>
  <c r="E127" i="7"/>
  <c r="D127" i="7" s="1"/>
  <c r="A127" i="9"/>
  <c r="A8" i="9"/>
  <c r="E8" i="7"/>
  <c r="E65" i="7"/>
  <c r="A65" i="9"/>
  <c r="A137" i="9"/>
  <c r="E137" i="7"/>
  <c r="D137" i="7" s="1"/>
  <c r="A11" i="9"/>
  <c r="E11" i="7"/>
  <c r="E151" i="7"/>
  <c r="A151" i="9"/>
  <c r="E88" i="7"/>
  <c r="A88" i="9"/>
  <c r="E134" i="7"/>
  <c r="A134" i="9"/>
  <c r="E150" i="7"/>
  <c r="A150" i="9"/>
  <c r="E20" i="7"/>
  <c r="A20" i="9"/>
  <c r="A197" i="9"/>
  <c r="E197" i="7"/>
  <c r="D197" i="7" s="1"/>
  <c r="A96" i="9"/>
  <c r="E96" i="7"/>
  <c r="E3" i="7"/>
  <c r="A3" i="9"/>
  <c r="E38" i="7"/>
  <c r="A38" i="9"/>
  <c r="E176" i="7"/>
  <c r="D176" i="7" s="1"/>
  <c r="A176" i="9"/>
  <c r="E25" i="7"/>
  <c r="A25" i="9"/>
  <c r="A184" i="9"/>
  <c r="E184" i="7"/>
  <c r="D184" i="7" s="1"/>
  <c r="A93" i="9"/>
  <c r="E93" i="7"/>
  <c r="D93" i="7" s="1"/>
  <c r="A12" i="9"/>
  <c r="E12" i="7"/>
  <c r="A90" i="9"/>
  <c r="E90" i="7"/>
  <c r="D90" i="7" s="1"/>
  <c r="A72" i="9"/>
  <c r="E72" i="7"/>
  <c r="A29" i="9"/>
  <c r="E29" i="7"/>
  <c r="E35" i="7"/>
  <c r="A35" i="9"/>
  <c r="E15" i="7"/>
  <c r="A15" i="9"/>
  <c r="A185" i="9"/>
  <c r="E185" i="7"/>
  <c r="A46" i="9"/>
  <c r="E46" i="7"/>
  <c r="E19" i="7"/>
  <c r="A19" i="9"/>
  <c r="A5" i="9"/>
  <c r="E5" i="7"/>
  <c r="E81" i="7"/>
  <c r="A81" i="9"/>
  <c r="E187" i="7"/>
  <c r="D187" i="7" s="1"/>
  <c r="A187" i="9"/>
  <c r="E42" i="7"/>
  <c r="A42" i="9"/>
  <c r="E162" i="7"/>
  <c r="D162" i="7" s="1"/>
  <c r="A162" i="9"/>
  <c r="A154" i="9"/>
  <c r="E154" i="7"/>
  <c r="D154" i="7" s="1"/>
  <c r="A22" i="9"/>
  <c r="E22" i="7"/>
  <c r="E84" i="7"/>
  <c r="A84" i="9"/>
  <c r="E126" i="7"/>
  <c r="D126" i="7" s="1"/>
  <c r="A126" i="9"/>
  <c r="E190" i="7"/>
  <c r="D190" i="7" s="1"/>
  <c r="A190" i="9"/>
  <c r="A186" i="9"/>
  <c r="E186" i="7"/>
  <c r="E105" i="7"/>
  <c r="A105" i="9"/>
  <c r="E9" i="7"/>
  <c r="A9" i="9"/>
  <c r="E170" i="7"/>
  <c r="A170" i="9"/>
  <c r="A73" i="9"/>
  <c r="E73" i="7"/>
  <c r="A40" i="9"/>
  <c r="E40" i="7"/>
  <c r="A157" i="9"/>
  <c r="E157" i="7"/>
  <c r="D157" i="7" s="1"/>
  <c r="E86" i="7"/>
  <c r="A86" i="9"/>
  <c r="A161" i="9"/>
  <c r="E161" i="7"/>
  <c r="D161" i="7" s="1"/>
  <c r="E147" i="7"/>
  <c r="D147" i="7" s="1"/>
  <c r="A147" i="9"/>
  <c r="E52" i="7"/>
  <c r="A52" i="9"/>
  <c r="A182" i="9"/>
  <c r="E182" i="7"/>
  <c r="D182" i="7" s="1"/>
  <c r="A98" i="9"/>
  <c r="E98" i="7"/>
  <c r="D98" i="7" s="1"/>
  <c r="A172" i="9"/>
  <c r="E172" i="7"/>
  <c r="D172" i="7" s="1"/>
  <c r="A121" i="9"/>
  <c r="E121" i="7"/>
  <c r="D121" i="7" s="1"/>
  <c r="B2" i="7"/>
  <c r="J2" i="7" s="1"/>
  <c r="E2" i="7"/>
  <c r="A2" i="9"/>
  <c r="A149" i="9"/>
  <c r="E149" i="7"/>
  <c r="A160" i="9"/>
  <c r="E160" i="7"/>
  <c r="E180" i="7"/>
  <c r="D180" i="7" s="1"/>
  <c r="A180" i="9"/>
  <c r="E189" i="7"/>
  <c r="A189" i="9"/>
  <c r="A196" i="9"/>
  <c r="E196" i="7"/>
  <c r="D196" i="7" s="1"/>
  <c r="A91" i="9"/>
  <c r="E91" i="7"/>
  <c r="D91" i="7" s="1"/>
  <c r="E111" i="7"/>
  <c r="D111" i="7" s="1"/>
  <c r="A111" i="9"/>
  <c r="A188" i="9"/>
  <c r="E188" i="7"/>
  <c r="D188" i="7" s="1"/>
  <c r="A114" i="9"/>
  <c r="E114" i="7"/>
  <c r="D114" i="7" s="1"/>
  <c r="E80" i="7"/>
  <c r="A80" i="9"/>
  <c r="E153" i="7"/>
  <c r="D153" i="7" s="1"/>
  <c r="A153" i="9"/>
  <c r="E32" i="7"/>
  <c r="A32" i="9"/>
  <c r="A49" i="9"/>
  <c r="E49" i="7"/>
  <c r="E113" i="7"/>
  <c r="D113" i="7" s="1"/>
  <c r="A113" i="9"/>
  <c r="E16" i="7"/>
  <c r="A16" i="9"/>
  <c r="A45" i="9"/>
  <c r="E45" i="7"/>
  <c r="A125" i="9"/>
  <c r="E125" i="7"/>
  <c r="E48" i="7"/>
  <c r="A48" i="9"/>
  <c r="A103" i="9"/>
  <c r="E103" i="7"/>
  <c r="D103" i="7" s="1"/>
  <c r="A30" i="9"/>
  <c r="E30" i="7"/>
  <c r="E175" i="7"/>
  <c r="D175" i="7" s="1"/>
  <c r="A175" i="9"/>
  <c r="A75" i="9"/>
  <c r="E75" i="7"/>
  <c r="A102" i="9"/>
  <c r="E102" i="7"/>
  <c r="D102" i="7" s="1"/>
  <c r="E18" i="7"/>
  <c r="A18" i="9"/>
  <c r="A118" i="9"/>
  <c r="E118" i="7"/>
  <c r="D118" i="7" s="1"/>
  <c r="E124" i="7"/>
  <c r="D124" i="7" s="1"/>
  <c r="A124" i="9"/>
  <c r="A168" i="9"/>
  <c r="E168" i="7"/>
  <c r="D168" i="7" s="1"/>
  <c r="A192" i="9"/>
  <c r="E192" i="7"/>
  <c r="D192" i="7" s="1"/>
  <c r="A142" i="9"/>
  <c r="E142" i="7"/>
  <c r="D142" i="7" s="1"/>
  <c r="A13" i="9"/>
  <c r="E13" i="7"/>
  <c r="E155" i="7"/>
  <c r="D155" i="7" s="1"/>
  <c r="A155" i="9"/>
  <c r="A95" i="9"/>
  <c r="E95" i="7"/>
  <c r="A56" i="9"/>
  <c r="E56" i="7"/>
  <c r="A71" i="9"/>
  <c r="E71" i="7"/>
  <c r="A200" i="9"/>
  <c r="E200" i="7"/>
  <c r="D200" i="7" s="1"/>
  <c r="A70" i="9"/>
  <c r="E70" i="7"/>
  <c r="E144" i="7"/>
  <c r="D144" i="7" s="1"/>
  <c r="A144" i="9"/>
  <c r="E131" i="7"/>
  <c r="D131" i="7" s="1"/>
  <c r="A131" i="9"/>
  <c r="A195" i="9"/>
  <c r="E195" i="7"/>
  <c r="D195" i="7" s="1"/>
  <c r="A108" i="9"/>
  <c r="E108" i="7"/>
  <c r="D108" i="7" s="1"/>
  <c r="A27" i="9"/>
  <c r="E27" i="7"/>
  <c r="E82" i="7"/>
  <c r="A82" i="9"/>
  <c r="E34" i="7"/>
  <c r="A34" i="9"/>
  <c r="A164" i="9"/>
  <c r="E164" i="7"/>
  <c r="D164" i="7" s="1"/>
  <c r="E129" i="7"/>
  <c r="D129" i="7" s="1"/>
  <c r="A129" i="9"/>
  <c r="A167" i="9"/>
  <c r="E167" i="7"/>
  <c r="D167" i="7" s="1"/>
  <c r="E4" i="7"/>
  <c r="A4" i="9"/>
  <c r="A183" i="9"/>
  <c r="E183" i="7"/>
  <c r="E83" i="7"/>
  <c r="A83" i="9"/>
  <c r="A104" i="9"/>
  <c r="E104" i="7"/>
  <c r="A165" i="9"/>
  <c r="E165" i="7"/>
  <c r="D165" i="7" s="1"/>
  <c r="A63" i="9"/>
  <c r="E63" i="7"/>
  <c r="A28" i="9"/>
  <c r="E28" i="7"/>
  <c r="E179" i="7"/>
  <c r="D179" i="7" s="1"/>
  <c r="A179" i="9"/>
  <c r="E87" i="7"/>
  <c r="A87" i="9"/>
  <c r="B104" i="7"/>
  <c r="D104" i="7"/>
  <c r="B147" i="7"/>
  <c r="B90" i="7"/>
  <c r="B41" i="7"/>
  <c r="B108" i="7"/>
  <c r="B18" i="7"/>
  <c r="B189" i="7"/>
  <c r="D189" i="7"/>
  <c r="B135" i="7"/>
  <c r="B87" i="7"/>
  <c r="B140" i="7"/>
  <c r="D140" i="7"/>
  <c r="B76" i="7"/>
  <c r="B85" i="7"/>
  <c r="B192" i="7"/>
  <c r="B180" i="7"/>
  <c r="B105" i="7"/>
  <c r="D105" i="7"/>
  <c r="B56" i="7"/>
  <c r="B45" i="7"/>
  <c r="B164" i="7"/>
  <c r="B144" i="7"/>
  <c r="B107" i="7"/>
  <c r="B157" i="7"/>
  <c r="B150" i="7"/>
  <c r="D150" i="7"/>
  <c r="B52" i="7"/>
  <c r="B63" i="7"/>
  <c r="B81" i="7"/>
  <c r="B200" i="7"/>
  <c r="B62" i="7"/>
  <c r="B66" i="7"/>
  <c r="B60" i="7"/>
  <c r="B101" i="7"/>
  <c r="D101" i="7"/>
  <c r="B21" i="7"/>
  <c r="B153" i="7"/>
  <c r="B158" i="7"/>
  <c r="D158" i="7"/>
  <c r="B4" i="7"/>
  <c r="B152" i="7"/>
  <c r="B151" i="7"/>
  <c r="D151" i="7"/>
  <c r="B32" i="7"/>
  <c r="B30" i="7"/>
  <c r="B195" i="7"/>
  <c r="B55" i="7"/>
  <c r="B188" i="7"/>
  <c r="B46" i="7"/>
  <c r="B128" i="7"/>
  <c r="B29" i="7"/>
  <c r="B167" i="7"/>
  <c r="B86" i="7"/>
  <c r="B89" i="7"/>
  <c r="B93" i="7"/>
  <c r="B148" i="7"/>
  <c r="B54" i="7"/>
  <c r="B120" i="7"/>
  <c r="D120" i="7"/>
  <c r="B111" i="7"/>
  <c r="B13" i="7"/>
  <c r="B177" i="7"/>
  <c r="B99" i="7"/>
  <c r="B119" i="7"/>
  <c r="B136" i="7"/>
  <c r="D136" i="7"/>
  <c r="B143" i="7"/>
  <c r="D143" i="7"/>
  <c r="B115" i="7"/>
  <c r="B97" i="7"/>
  <c r="D97" i="7"/>
  <c r="B82" i="7"/>
  <c r="B47" i="7"/>
  <c r="B176" i="7"/>
  <c r="B14" i="7"/>
  <c r="B31" i="7"/>
  <c r="B16" i="7"/>
  <c r="B68" i="7"/>
  <c r="B23" i="7"/>
  <c r="B49" i="7"/>
  <c r="B156" i="7"/>
  <c r="B6" i="7"/>
  <c r="B174" i="7"/>
  <c r="D174" i="7"/>
  <c r="B77" i="7"/>
  <c r="B187" i="7"/>
  <c r="B65" i="7"/>
  <c r="B15" i="7"/>
  <c r="B57" i="7"/>
  <c r="B17" i="7"/>
  <c r="B58" i="7"/>
  <c r="B7" i="7"/>
  <c r="B123" i="7"/>
  <c r="D123" i="7"/>
  <c r="B113" i="7"/>
  <c r="B112" i="7"/>
  <c r="D112" i="7"/>
  <c r="B24" i="7"/>
  <c r="B70" i="7"/>
  <c r="B166" i="7"/>
  <c r="D166" i="7"/>
  <c r="B142" i="7"/>
  <c r="B161" i="7"/>
  <c r="B118" i="7"/>
  <c r="B42" i="7"/>
  <c r="B27" i="7"/>
  <c r="B149" i="7"/>
  <c r="D149" i="7"/>
  <c r="B38" i="7"/>
  <c r="B199" i="7"/>
  <c r="B179" i="7"/>
  <c r="B137" i="7"/>
  <c r="B100" i="7"/>
  <c r="B11" i="7"/>
  <c r="B134" i="7"/>
  <c r="D134" i="7"/>
  <c r="B160" i="7"/>
  <c r="D160" i="7"/>
  <c r="B79" i="7"/>
  <c r="B71" i="7"/>
  <c r="B35" i="7"/>
  <c r="B173" i="7"/>
  <c r="B181" i="7"/>
  <c r="D181" i="7"/>
  <c r="B96" i="7"/>
  <c r="D96" i="7"/>
  <c r="B95" i="7"/>
  <c r="D95" i="7"/>
  <c r="B106" i="7"/>
  <c r="D106" i="7"/>
  <c r="B44" i="7"/>
  <c r="B28" i="7"/>
  <c r="B162" i="7"/>
  <c r="B133" i="7"/>
  <c r="B67" i="7"/>
  <c r="B122" i="7"/>
  <c r="B169" i="7"/>
  <c r="B146" i="7"/>
  <c r="B175" i="7"/>
  <c r="B116" i="7"/>
  <c r="D116" i="7"/>
  <c r="B196" i="7"/>
  <c r="B51" i="7"/>
  <c r="B186" i="7"/>
  <c r="D186" i="7"/>
  <c r="B165" i="7"/>
  <c r="B103" i="7"/>
  <c r="B130" i="7"/>
  <c r="B43" i="7"/>
  <c r="B74" i="7"/>
  <c r="B19" i="7"/>
  <c r="B129" i="7"/>
  <c r="B178" i="7"/>
  <c r="B182" i="7"/>
  <c r="B138" i="7"/>
  <c r="B131" i="7"/>
  <c r="B109" i="7"/>
  <c r="B69" i="7"/>
  <c r="B154" i="7"/>
  <c r="B185" i="7"/>
  <c r="D185" i="7"/>
  <c r="B168" i="7"/>
  <c r="B36" i="7"/>
  <c r="B197" i="7"/>
  <c r="B145" i="7"/>
  <c r="B102" i="7"/>
  <c r="B64" i="7"/>
  <c r="B88" i="7"/>
  <c r="D88" i="7"/>
  <c r="B73" i="7"/>
  <c r="B26" i="7"/>
  <c r="B114" i="7"/>
  <c r="B163" i="7"/>
  <c r="B20" i="7"/>
  <c r="B8" i="7"/>
  <c r="B194" i="7"/>
  <c r="D194" i="7"/>
  <c r="B159" i="7"/>
  <c r="B139" i="7"/>
  <c r="B121" i="7"/>
  <c r="B94" i="7"/>
  <c r="D94" i="7"/>
  <c r="B39" i="7"/>
  <c r="B10" i="7"/>
  <c r="B127" i="7"/>
  <c r="B72" i="7"/>
  <c r="B78" i="7"/>
  <c r="B110" i="7"/>
  <c r="D110" i="7"/>
  <c r="B117" i="7"/>
  <c r="B22" i="7"/>
  <c r="B25" i="7"/>
  <c r="B183" i="7"/>
  <c r="D183" i="7"/>
  <c r="B5" i="7"/>
  <c r="B91" i="7"/>
  <c r="B80" i="7"/>
  <c r="B132" i="7"/>
  <c r="D132" i="7"/>
  <c r="B125" i="7"/>
  <c r="D125" i="7"/>
  <c r="B59" i="7"/>
  <c r="B124" i="7"/>
  <c r="B40" i="7"/>
  <c r="B12" i="7"/>
  <c r="B193" i="7"/>
  <c r="D193" i="7"/>
  <c r="B84" i="7"/>
  <c r="B170" i="7"/>
  <c r="D170" i="7"/>
  <c r="B37" i="7"/>
  <c r="B83" i="7"/>
  <c r="B33" i="7"/>
  <c r="B191" i="7"/>
  <c r="B9" i="7"/>
  <c r="B126" i="7"/>
  <c r="B50" i="7"/>
  <c r="B198" i="7"/>
  <c r="D198" i="7"/>
  <c r="B75" i="7"/>
  <c r="B171" i="7"/>
  <c r="B48" i="7"/>
  <c r="B3" i="7"/>
  <c r="B53" i="7"/>
  <c r="B172" i="7"/>
  <c r="B92" i="7"/>
  <c r="B155" i="7"/>
  <c r="B190" i="7"/>
  <c r="B184" i="7"/>
  <c r="B141" i="7"/>
  <c r="D141" i="7"/>
  <c r="B98" i="7"/>
  <c r="B34" i="7"/>
  <c r="B61" i="7"/>
  <c r="I2" i="8" l="1"/>
  <c r="F2" i="9"/>
  <c r="I2" i="7"/>
  <c r="Q2" i="7"/>
  <c r="P2" i="7"/>
  <c r="H2" i="7"/>
  <c r="N2" i="7"/>
  <c r="O2" i="7"/>
  <c r="M2" i="7"/>
  <c r="F2" i="7"/>
  <c r="B2" i="9" s="1"/>
  <c r="G2" i="7"/>
  <c r="L2" i="7"/>
  <c r="K2" i="7"/>
  <c r="L177" i="7"/>
  <c r="H177" i="9" s="1"/>
  <c r="M177" i="7"/>
  <c r="I177" i="9" s="1"/>
  <c r="N177" i="7"/>
  <c r="J177" i="9" s="1"/>
  <c r="I177" i="7"/>
  <c r="E177" i="9" s="1"/>
  <c r="J177" i="7"/>
  <c r="F177" i="9" s="1"/>
  <c r="Q177" i="7"/>
  <c r="M177" i="9" s="1"/>
  <c r="P177" i="7"/>
  <c r="L177" i="9" s="1"/>
  <c r="F177" i="7"/>
  <c r="B177" i="9" s="1"/>
  <c r="K177" i="7"/>
  <c r="G177" i="9" s="1"/>
  <c r="G177" i="7"/>
  <c r="C177" i="9" s="1"/>
  <c r="H177" i="7"/>
  <c r="D177" i="9" s="1"/>
  <c r="O177" i="7"/>
  <c r="K177" i="9" s="1"/>
  <c r="F121" i="7"/>
  <c r="B121" i="9" s="1"/>
  <c r="M121" i="7"/>
  <c r="I121" i="9" s="1"/>
  <c r="G121" i="7"/>
  <c r="C121" i="9" s="1"/>
  <c r="J121" i="7"/>
  <c r="F121" i="9" s="1"/>
  <c r="K121" i="7"/>
  <c r="G121" i="9" s="1"/>
  <c r="O121" i="7"/>
  <c r="K121" i="9" s="1"/>
  <c r="H121" i="7"/>
  <c r="D121" i="9" s="1"/>
  <c r="L121" i="7"/>
  <c r="H121" i="9" s="1"/>
  <c r="N121" i="7"/>
  <c r="J121" i="9" s="1"/>
  <c r="P121" i="7"/>
  <c r="L121" i="9" s="1"/>
  <c r="I121" i="7"/>
  <c r="E121" i="9" s="1"/>
  <c r="Q121" i="7"/>
  <c r="M121" i="9" s="1"/>
  <c r="H137" i="7"/>
  <c r="D137" i="9" s="1"/>
  <c r="M137" i="7"/>
  <c r="I137" i="9" s="1"/>
  <c r="I137" i="7"/>
  <c r="E137" i="9" s="1"/>
  <c r="O137" i="7"/>
  <c r="K137" i="9" s="1"/>
  <c r="J137" i="7"/>
  <c r="F137" i="9" s="1"/>
  <c r="N137" i="7"/>
  <c r="J137" i="9" s="1"/>
  <c r="K137" i="7"/>
  <c r="G137" i="9" s="1"/>
  <c r="L137" i="7"/>
  <c r="H137" i="9" s="1"/>
  <c r="P137" i="7"/>
  <c r="L137" i="9" s="1"/>
  <c r="F137" i="7"/>
  <c r="B137" i="9" s="1"/>
  <c r="G137" i="7"/>
  <c r="C137" i="9" s="1"/>
  <c r="Q137" i="7"/>
  <c r="M137" i="9" s="1"/>
  <c r="K158" i="7"/>
  <c r="G158" i="9" s="1"/>
  <c r="L158" i="7"/>
  <c r="H158" i="9" s="1"/>
  <c r="G158" i="7"/>
  <c r="C158" i="9" s="1"/>
  <c r="H158" i="7"/>
  <c r="D158" i="9" s="1"/>
  <c r="F158" i="7"/>
  <c r="B158" i="9" s="1"/>
  <c r="O158" i="7"/>
  <c r="K158" i="9" s="1"/>
  <c r="P158" i="7"/>
  <c r="L158" i="9" s="1"/>
  <c r="Q158" i="7"/>
  <c r="M158" i="9" s="1"/>
  <c r="N158" i="7"/>
  <c r="J158" i="9" s="1"/>
  <c r="I158" i="7"/>
  <c r="E158" i="9" s="1"/>
  <c r="J158" i="7"/>
  <c r="F158" i="9" s="1"/>
  <c r="M158" i="7"/>
  <c r="I158" i="9" s="1"/>
  <c r="J155" i="7"/>
  <c r="F155" i="9" s="1"/>
  <c r="K155" i="7"/>
  <c r="G155" i="9" s="1"/>
  <c r="L155" i="7"/>
  <c r="H155" i="9" s="1"/>
  <c r="O155" i="7"/>
  <c r="K155" i="9" s="1"/>
  <c r="P155" i="7"/>
  <c r="L155" i="9" s="1"/>
  <c r="G155" i="7"/>
  <c r="C155" i="9" s="1"/>
  <c r="F155" i="7"/>
  <c r="B155" i="9" s="1"/>
  <c r="N155" i="7"/>
  <c r="J155" i="9" s="1"/>
  <c r="H155" i="7"/>
  <c r="D155" i="9" s="1"/>
  <c r="M155" i="7"/>
  <c r="I155" i="9" s="1"/>
  <c r="Q155" i="7"/>
  <c r="M155" i="9" s="1"/>
  <c r="I155" i="7"/>
  <c r="E155" i="9" s="1"/>
  <c r="A59" i="8"/>
  <c r="J59" i="7"/>
  <c r="K59" i="7"/>
  <c r="L59" i="7"/>
  <c r="H59" i="7"/>
  <c r="G59" i="7"/>
  <c r="I59" i="7"/>
  <c r="M59" i="7"/>
  <c r="N59" i="7"/>
  <c r="O59" i="7"/>
  <c r="P59" i="7"/>
  <c r="Q59" i="7"/>
  <c r="F59" i="7"/>
  <c r="O194" i="7"/>
  <c r="K194" i="9" s="1"/>
  <c r="P194" i="7"/>
  <c r="L194" i="9" s="1"/>
  <c r="Q194" i="7"/>
  <c r="M194" i="9" s="1"/>
  <c r="K194" i="7"/>
  <c r="G194" i="9" s="1"/>
  <c r="L194" i="7"/>
  <c r="H194" i="9" s="1"/>
  <c r="M194" i="7"/>
  <c r="I194" i="9" s="1"/>
  <c r="N194" i="7"/>
  <c r="J194" i="9" s="1"/>
  <c r="I194" i="7"/>
  <c r="E194" i="9" s="1"/>
  <c r="G194" i="7"/>
  <c r="C194" i="9" s="1"/>
  <c r="J194" i="7"/>
  <c r="F194" i="9" s="1"/>
  <c r="F194" i="7"/>
  <c r="B194" i="9" s="1"/>
  <c r="H194" i="7"/>
  <c r="D194" i="9" s="1"/>
  <c r="H133" i="7"/>
  <c r="D133" i="9" s="1"/>
  <c r="I133" i="7"/>
  <c r="E133" i="9" s="1"/>
  <c r="J133" i="7"/>
  <c r="F133" i="9" s="1"/>
  <c r="F133" i="7"/>
  <c r="B133" i="9" s="1"/>
  <c r="G133" i="7"/>
  <c r="C133" i="9" s="1"/>
  <c r="N133" i="7"/>
  <c r="J133" i="9" s="1"/>
  <c r="K133" i="7"/>
  <c r="G133" i="9" s="1"/>
  <c r="M133" i="7"/>
  <c r="I133" i="9" s="1"/>
  <c r="Q133" i="7"/>
  <c r="M133" i="9" s="1"/>
  <c r="L133" i="7"/>
  <c r="H133" i="9" s="1"/>
  <c r="O133" i="7"/>
  <c r="K133" i="9" s="1"/>
  <c r="P133" i="7"/>
  <c r="L133" i="9" s="1"/>
  <c r="A60" i="8"/>
  <c r="M60" i="7"/>
  <c r="O60" i="7"/>
  <c r="N60" i="7"/>
  <c r="K60" i="7"/>
  <c r="L60" i="7"/>
  <c r="P60" i="7"/>
  <c r="Q60" i="7"/>
  <c r="G60" i="7"/>
  <c r="H60" i="7"/>
  <c r="I60" i="7"/>
  <c r="J60" i="7"/>
  <c r="F60" i="7"/>
  <c r="N135" i="7"/>
  <c r="J135" i="9" s="1"/>
  <c r="O135" i="7"/>
  <c r="K135" i="9" s="1"/>
  <c r="P135" i="7"/>
  <c r="L135" i="9" s="1"/>
  <c r="F135" i="7"/>
  <c r="B135" i="9" s="1"/>
  <c r="G135" i="7"/>
  <c r="C135" i="9" s="1"/>
  <c r="J135" i="7"/>
  <c r="F135" i="9" s="1"/>
  <c r="K135" i="7"/>
  <c r="G135" i="9" s="1"/>
  <c r="Q135" i="7"/>
  <c r="M135" i="9" s="1"/>
  <c r="H135" i="7"/>
  <c r="D135" i="9" s="1"/>
  <c r="I135" i="7"/>
  <c r="E135" i="9" s="1"/>
  <c r="L135" i="7"/>
  <c r="H135" i="9" s="1"/>
  <c r="M135" i="7"/>
  <c r="I135" i="9" s="1"/>
  <c r="F111" i="7"/>
  <c r="B111" i="9" s="1"/>
  <c r="G111" i="7"/>
  <c r="C111" i="9" s="1"/>
  <c r="H111" i="7"/>
  <c r="D111" i="9" s="1"/>
  <c r="M111" i="7"/>
  <c r="I111" i="9" s="1"/>
  <c r="I111" i="7"/>
  <c r="E111" i="9" s="1"/>
  <c r="L111" i="7"/>
  <c r="H111" i="9" s="1"/>
  <c r="J111" i="7"/>
  <c r="F111" i="9" s="1"/>
  <c r="O111" i="7"/>
  <c r="K111" i="9" s="1"/>
  <c r="P111" i="7"/>
  <c r="L111" i="9" s="1"/>
  <c r="K111" i="7"/>
  <c r="G111" i="9" s="1"/>
  <c r="N111" i="7"/>
  <c r="J111" i="9" s="1"/>
  <c r="Q111" i="7"/>
  <c r="M111" i="9" s="1"/>
  <c r="M122" i="7"/>
  <c r="I122" i="9" s="1"/>
  <c r="Q122" i="7"/>
  <c r="M122" i="9" s="1"/>
  <c r="N122" i="7"/>
  <c r="J122" i="9" s="1"/>
  <c r="P122" i="7"/>
  <c r="L122" i="9" s="1"/>
  <c r="O122" i="7"/>
  <c r="K122" i="9" s="1"/>
  <c r="I122" i="7"/>
  <c r="E122" i="9" s="1"/>
  <c r="J122" i="7"/>
  <c r="F122" i="9" s="1"/>
  <c r="K122" i="7"/>
  <c r="G122" i="9" s="1"/>
  <c r="L122" i="7"/>
  <c r="H122" i="9" s="1"/>
  <c r="G122" i="7"/>
  <c r="C122" i="9" s="1"/>
  <c r="F122" i="7"/>
  <c r="B122" i="9" s="1"/>
  <c r="H122" i="7"/>
  <c r="D122" i="9" s="1"/>
  <c r="A21" i="8"/>
  <c r="L21" i="7"/>
  <c r="M21" i="7"/>
  <c r="P21" i="7"/>
  <c r="Q21" i="7"/>
  <c r="N21" i="7"/>
  <c r="O21" i="7"/>
  <c r="G21" i="7"/>
  <c r="F21" i="7"/>
  <c r="H21" i="7"/>
  <c r="J21" i="7"/>
  <c r="I21" i="7"/>
  <c r="K21" i="7"/>
  <c r="F190" i="7"/>
  <c r="B190" i="9" s="1"/>
  <c r="P190" i="7"/>
  <c r="L190" i="9" s="1"/>
  <c r="Q190" i="7"/>
  <c r="M190" i="9" s="1"/>
  <c r="L190" i="7"/>
  <c r="H190" i="9" s="1"/>
  <c r="M190" i="7"/>
  <c r="I190" i="9" s="1"/>
  <c r="O190" i="7"/>
  <c r="K190" i="9" s="1"/>
  <c r="N190" i="7"/>
  <c r="J190" i="9" s="1"/>
  <c r="I190" i="7"/>
  <c r="E190" i="9" s="1"/>
  <c r="G190" i="7"/>
  <c r="C190" i="9" s="1"/>
  <c r="J190" i="7"/>
  <c r="F190" i="9" s="1"/>
  <c r="K190" i="7"/>
  <c r="G190" i="9" s="1"/>
  <c r="H190" i="7"/>
  <c r="D190" i="9" s="1"/>
  <c r="A67" i="8"/>
  <c r="G67" i="7"/>
  <c r="I67" i="7"/>
  <c r="H67" i="7"/>
  <c r="J67" i="7"/>
  <c r="F67" i="7"/>
  <c r="Q67" i="7"/>
  <c r="K67" i="7"/>
  <c r="M67" i="7"/>
  <c r="O67" i="7"/>
  <c r="N67" i="7"/>
  <c r="P67" i="7"/>
  <c r="L67" i="7"/>
  <c r="N199" i="7"/>
  <c r="J199" i="9" s="1"/>
  <c r="O199" i="7"/>
  <c r="K199" i="9" s="1"/>
  <c r="P199" i="7"/>
  <c r="L199" i="9" s="1"/>
  <c r="F199" i="7"/>
  <c r="B199" i="9" s="1"/>
  <c r="G199" i="7"/>
  <c r="C199" i="9" s="1"/>
  <c r="J199" i="7"/>
  <c r="F199" i="9" s="1"/>
  <c r="K199" i="7"/>
  <c r="G199" i="9" s="1"/>
  <c r="L199" i="7"/>
  <c r="H199" i="9" s="1"/>
  <c r="M199" i="7"/>
  <c r="I199" i="9" s="1"/>
  <c r="H199" i="7"/>
  <c r="D199" i="9" s="1"/>
  <c r="I199" i="7"/>
  <c r="E199" i="9" s="1"/>
  <c r="Q199" i="7"/>
  <c r="M199" i="9" s="1"/>
  <c r="Q120" i="7"/>
  <c r="M120" i="9" s="1"/>
  <c r="I120" i="7"/>
  <c r="E120" i="9" s="1"/>
  <c r="J120" i="7"/>
  <c r="F120" i="9" s="1"/>
  <c r="G120" i="7"/>
  <c r="C120" i="9" s="1"/>
  <c r="K120" i="7"/>
  <c r="G120" i="9" s="1"/>
  <c r="L120" i="7"/>
  <c r="H120" i="9" s="1"/>
  <c r="F120" i="7"/>
  <c r="B120" i="9" s="1"/>
  <c r="H120" i="7"/>
  <c r="D120" i="9" s="1"/>
  <c r="P120" i="7"/>
  <c r="L120" i="9" s="1"/>
  <c r="N120" i="7"/>
  <c r="J120" i="9" s="1"/>
  <c r="O120" i="7"/>
  <c r="K120" i="9" s="1"/>
  <c r="M120" i="7"/>
  <c r="I120" i="9" s="1"/>
  <c r="G138" i="7"/>
  <c r="C138" i="9" s="1"/>
  <c r="H138" i="7"/>
  <c r="D138" i="9" s="1"/>
  <c r="I138" i="7"/>
  <c r="E138" i="9" s="1"/>
  <c r="P138" i="7"/>
  <c r="L138" i="9" s="1"/>
  <c r="Q138" i="7"/>
  <c r="M138" i="9" s="1"/>
  <c r="N138" i="7"/>
  <c r="J138" i="9" s="1"/>
  <c r="J138" i="7"/>
  <c r="F138" i="9" s="1"/>
  <c r="L138" i="7"/>
  <c r="H138" i="9" s="1"/>
  <c r="F138" i="7"/>
  <c r="B138" i="9" s="1"/>
  <c r="M138" i="7"/>
  <c r="I138" i="9" s="1"/>
  <c r="O138" i="7"/>
  <c r="K138" i="9" s="1"/>
  <c r="K138" i="7"/>
  <c r="G138" i="9" s="1"/>
  <c r="A54" i="8"/>
  <c r="K54" i="7"/>
  <c r="L54" i="7"/>
  <c r="M54" i="7"/>
  <c r="H54" i="7"/>
  <c r="I54" i="7"/>
  <c r="P54" i="7"/>
  <c r="J54" i="7"/>
  <c r="Q54" i="7"/>
  <c r="N54" i="7"/>
  <c r="O54" i="7"/>
  <c r="F54" i="7"/>
  <c r="G54" i="7"/>
  <c r="K182" i="7"/>
  <c r="G182" i="9" s="1"/>
  <c r="L182" i="7"/>
  <c r="H182" i="9" s="1"/>
  <c r="M182" i="7"/>
  <c r="I182" i="9" s="1"/>
  <c r="Q182" i="7"/>
  <c r="M182" i="9" s="1"/>
  <c r="P182" i="7"/>
  <c r="L182" i="9" s="1"/>
  <c r="F182" i="7"/>
  <c r="B182" i="9" s="1"/>
  <c r="I182" i="7"/>
  <c r="E182" i="9" s="1"/>
  <c r="J182" i="7"/>
  <c r="F182" i="9" s="1"/>
  <c r="G182" i="7"/>
  <c r="C182" i="9" s="1"/>
  <c r="N182" i="7"/>
  <c r="J182" i="9" s="1"/>
  <c r="H182" i="7"/>
  <c r="D182" i="9" s="1"/>
  <c r="O182" i="7"/>
  <c r="K182" i="9" s="1"/>
  <c r="O162" i="7"/>
  <c r="K162" i="9" s="1"/>
  <c r="P162" i="7"/>
  <c r="L162" i="9" s="1"/>
  <c r="Q162" i="7"/>
  <c r="M162" i="9" s="1"/>
  <c r="M162" i="7"/>
  <c r="I162" i="9" s="1"/>
  <c r="N162" i="7"/>
  <c r="J162" i="9" s="1"/>
  <c r="J162" i="7"/>
  <c r="F162" i="9" s="1"/>
  <c r="I162" i="7"/>
  <c r="E162" i="9" s="1"/>
  <c r="K162" i="7"/>
  <c r="G162" i="9" s="1"/>
  <c r="H162" i="7"/>
  <c r="D162" i="9" s="1"/>
  <c r="F162" i="7"/>
  <c r="B162" i="9" s="1"/>
  <c r="G162" i="7"/>
  <c r="C162" i="9" s="1"/>
  <c r="L162" i="7"/>
  <c r="H162" i="9" s="1"/>
  <c r="A27" i="8"/>
  <c r="J27" i="7"/>
  <c r="K27" i="7"/>
  <c r="M27" i="7"/>
  <c r="L27" i="7"/>
  <c r="F27" i="7"/>
  <c r="N27" i="7"/>
  <c r="I27" i="7"/>
  <c r="H27" i="7"/>
  <c r="G27" i="7"/>
  <c r="O27" i="7"/>
  <c r="P27" i="7"/>
  <c r="Q27" i="7"/>
  <c r="A49" i="8"/>
  <c r="L49" i="7"/>
  <c r="M49" i="7"/>
  <c r="N49" i="7"/>
  <c r="P49" i="7"/>
  <c r="Q49" i="7"/>
  <c r="F49" i="7"/>
  <c r="G49" i="7"/>
  <c r="I49" i="7"/>
  <c r="H49" i="7"/>
  <c r="K49" i="7"/>
  <c r="J49" i="7"/>
  <c r="O49" i="7"/>
  <c r="A62" i="8"/>
  <c r="F62" i="7"/>
  <c r="G62" i="7"/>
  <c r="H62" i="7"/>
  <c r="I62" i="7"/>
  <c r="K62" i="7"/>
  <c r="J62" i="7"/>
  <c r="Q62" i="7"/>
  <c r="L62" i="7"/>
  <c r="M62" i="7"/>
  <c r="N62" i="7"/>
  <c r="O62" i="7"/>
  <c r="P62" i="7"/>
  <c r="P189" i="7"/>
  <c r="L189" i="9" s="1"/>
  <c r="Q189" i="7"/>
  <c r="M189" i="9" s="1"/>
  <c r="I189" i="7"/>
  <c r="E189" i="9" s="1"/>
  <c r="J189" i="7"/>
  <c r="F189" i="9" s="1"/>
  <c r="K189" i="7"/>
  <c r="G189" i="9" s="1"/>
  <c r="L189" i="7"/>
  <c r="H189" i="9" s="1"/>
  <c r="N189" i="7"/>
  <c r="J189" i="9" s="1"/>
  <c r="M189" i="7"/>
  <c r="I189" i="9" s="1"/>
  <c r="O189" i="7"/>
  <c r="K189" i="9" s="1"/>
  <c r="G189" i="7"/>
  <c r="C189" i="9" s="1"/>
  <c r="F189" i="7"/>
  <c r="B189" i="9" s="1"/>
  <c r="H189" i="7"/>
  <c r="D189" i="9" s="1"/>
  <c r="Q184" i="7"/>
  <c r="M184" i="9" s="1"/>
  <c r="F184" i="7"/>
  <c r="B184" i="9" s="1"/>
  <c r="G184" i="7"/>
  <c r="C184" i="9" s="1"/>
  <c r="H184" i="7"/>
  <c r="D184" i="9" s="1"/>
  <c r="J184" i="7"/>
  <c r="F184" i="9" s="1"/>
  <c r="K184" i="7"/>
  <c r="G184" i="9" s="1"/>
  <c r="I184" i="7"/>
  <c r="E184" i="9" s="1"/>
  <c r="L184" i="7"/>
  <c r="H184" i="9" s="1"/>
  <c r="M184" i="7"/>
  <c r="I184" i="9" s="1"/>
  <c r="N184" i="7"/>
  <c r="J184" i="9" s="1"/>
  <c r="O184" i="7"/>
  <c r="K184" i="9" s="1"/>
  <c r="P184" i="7"/>
  <c r="L184" i="9" s="1"/>
  <c r="A12" i="8"/>
  <c r="M12" i="7"/>
  <c r="N12" i="7"/>
  <c r="O12" i="7"/>
  <c r="P12" i="7"/>
  <c r="I12" i="7"/>
  <c r="J12" i="7"/>
  <c r="L12" i="7"/>
  <c r="Q12" i="7"/>
  <c r="F12" i="7"/>
  <c r="K12" i="7"/>
  <c r="G12" i="7"/>
  <c r="H12" i="7"/>
  <c r="J139" i="7"/>
  <c r="F139" i="9" s="1"/>
  <c r="K139" i="7"/>
  <c r="G139" i="9" s="1"/>
  <c r="G139" i="7"/>
  <c r="C139" i="9" s="1"/>
  <c r="H139" i="7"/>
  <c r="D139" i="9" s="1"/>
  <c r="I139" i="7"/>
  <c r="E139" i="9" s="1"/>
  <c r="L139" i="7"/>
  <c r="H139" i="9" s="1"/>
  <c r="P139" i="7"/>
  <c r="L139" i="9" s="1"/>
  <c r="F139" i="7"/>
  <c r="B139" i="9" s="1"/>
  <c r="M139" i="7"/>
  <c r="I139" i="9" s="1"/>
  <c r="N139" i="7"/>
  <c r="J139" i="9" s="1"/>
  <c r="O139" i="7"/>
  <c r="K139" i="9" s="1"/>
  <c r="Q139" i="7"/>
  <c r="M139" i="9" s="1"/>
  <c r="F179" i="7"/>
  <c r="B179" i="9" s="1"/>
  <c r="L179" i="7"/>
  <c r="H179" i="9" s="1"/>
  <c r="N179" i="7"/>
  <c r="J179" i="9" s="1"/>
  <c r="P179" i="7"/>
  <c r="L179" i="9" s="1"/>
  <c r="G179" i="7"/>
  <c r="C179" i="9" s="1"/>
  <c r="J179" i="7"/>
  <c r="F179" i="9" s="1"/>
  <c r="H179" i="7"/>
  <c r="D179" i="9" s="1"/>
  <c r="K179" i="7"/>
  <c r="G179" i="9" s="1"/>
  <c r="O179" i="7"/>
  <c r="K179" i="9" s="1"/>
  <c r="I179" i="7"/>
  <c r="E179" i="9" s="1"/>
  <c r="M179" i="7"/>
  <c r="I179" i="9" s="1"/>
  <c r="Q179" i="7"/>
  <c r="M179" i="9" s="1"/>
  <c r="A77" i="8"/>
  <c r="G77" i="7"/>
  <c r="F77" i="7"/>
  <c r="M77" i="7"/>
  <c r="N77" i="7"/>
  <c r="P77" i="7"/>
  <c r="Q77" i="7"/>
  <c r="O77" i="7"/>
  <c r="H77" i="7"/>
  <c r="I77" i="7"/>
  <c r="J77" i="7"/>
  <c r="K77" i="7"/>
  <c r="L77" i="7"/>
  <c r="I131" i="7"/>
  <c r="E131" i="9" s="1"/>
  <c r="J131" i="7"/>
  <c r="F131" i="9" s="1"/>
  <c r="L131" i="7"/>
  <c r="H131" i="9" s="1"/>
  <c r="O131" i="7"/>
  <c r="K131" i="9" s="1"/>
  <c r="P131" i="7"/>
  <c r="L131" i="9" s="1"/>
  <c r="M131" i="7"/>
  <c r="I131" i="9" s="1"/>
  <c r="N131" i="7"/>
  <c r="J131" i="9" s="1"/>
  <c r="Q131" i="7"/>
  <c r="M131" i="9" s="1"/>
  <c r="G131" i="7"/>
  <c r="C131" i="9" s="1"/>
  <c r="H131" i="7"/>
  <c r="D131" i="9" s="1"/>
  <c r="K131" i="7"/>
  <c r="G131" i="9" s="1"/>
  <c r="F131" i="7"/>
  <c r="B131" i="9" s="1"/>
  <c r="M140" i="7"/>
  <c r="I140" i="9" s="1"/>
  <c r="N140" i="7"/>
  <c r="J140" i="9" s="1"/>
  <c r="O140" i="7"/>
  <c r="K140" i="9" s="1"/>
  <c r="F140" i="7"/>
  <c r="B140" i="9" s="1"/>
  <c r="J140" i="7"/>
  <c r="F140" i="9" s="1"/>
  <c r="P140" i="7"/>
  <c r="L140" i="9" s="1"/>
  <c r="Q140" i="7"/>
  <c r="M140" i="9" s="1"/>
  <c r="G140" i="7"/>
  <c r="C140" i="9" s="1"/>
  <c r="H140" i="7"/>
  <c r="D140" i="9" s="1"/>
  <c r="K140" i="7"/>
  <c r="G140" i="9" s="1"/>
  <c r="L140" i="7"/>
  <c r="H140" i="9" s="1"/>
  <c r="I140" i="7"/>
  <c r="E140" i="9" s="1"/>
  <c r="F159" i="7"/>
  <c r="B159" i="9" s="1"/>
  <c r="K159" i="7"/>
  <c r="G159" i="9" s="1"/>
  <c r="L159" i="7"/>
  <c r="H159" i="9" s="1"/>
  <c r="M159" i="7"/>
  <c r="I159" i="9" s="1"/>
  <c r="P159" i="7"/>
  <c r="L159" i="9" s="1"/>
  <c r="Q159" i="7"/>
  <c r="M159" i="9" s="1"/>
  <c r="G159" i="7"/>
  <c r="C159" i="9" s="1"/>
  <c r="J159" i="7"/>
  <c r="F159" i="9" s="1"/>
  <c r="N159" i="7"/>
  <c r="J159" i="9" s="1"/>
  <c r="H159" i="7"/>
  <c r="D159" i="9" s="1"/>
  <c r="I159" i="7"/>
  <c r="E159" i="9" s="1"/>
  <c r="O159" i="7"/>
  <c r="K159" i="9" s="1"/>
  <c r="M174" i="7"/>
  <c r="I174" i="9" s="1"/>
  <c r="N174" i="7"/>
  <c r="J174" i="9" s="1"/>
  <c r="P174" i="7"/>
  <c r="L174" i="9" s="1"/>
  <c r="Q174" i="7"/>
  <c r="M174" i="9" s="1"/>
  <c r="L174" i="7"/>
  <c r="H174" i="9" s="1"/>
  <c r="O174" i="7"/>
  <c r="K174" i="9" s="1"/>
  <c r="G174" i="7"/>
  <c r="C174" i="9" s="1"/>
  <c r="I174" i="7"/>
  <c r="E174" i="9" s="1"/>
  <c r="J174" i="7"/>
  <c r="F174" i="9" s="1"/>
  <c r="K174" i="7"/>
  <c r="G174" i="9" s="1"/>
  <c r="F174" i="7"/>
  <c r="B174" i="9" s="1"/>
  <c r="H174" i="7"/>
  <c r="D174" i="9" s="1"/>
  <c r="A68" i="8"/>
  <c r="N68" i="7"/>
  <c r="O68" i="7"/>
  <c r="P68" i="7"/>
  <c r="I68" i="7"/>
  <c r="M68" i="7"/>
  <c r="K68" i="7"/>
  <c r="F68" i="7"/>
  <c r="L68" i="7"/>
  <c r="Q68" i="7"/>
  <c r="G68" i="7"/>
  <c r="H68" i="7"/>
  <c r="J68" i="7"/>
  <c r="Q200" i="7"/>
  <c r="M200" i="9" s="1"/>
  <c r="F200" i="7"/>
  <c r="B200" i="9" s="1"/>
  <c r="G200" i="7"/>
  <c r="C200" i="9" s="1"/>
  <c r="I200" i="7"/>
  <c r="E200" i="9" s="1"/>
  <c r="J200" i="7"/>
  <c r="F200" i="9" s="1"/>
  <c r="P200" i="7"/>
  <c r="L200" i="9" s="1"/>
  <c r="N200" i="7"/>
  <c r="J200" i="9" s="1"/>
  <c r="H200" i="7"/>
  <c r="D200" i="9" s="1"/>
  <c r="K200" i="7"/>
  <c r="G200" i="9" s="1"/>
  <c r="L200" i="7"/>
  <c r="H200" i="9" s="1"/>
  <c r="M200" i="7"/>
  <c r="I200" i="9" s="1"/>
  <c r="O200" i="7"/>
  <c r="K200" i="9" s="1"/>
  <c r="A6" i="8"/>
  <c r="O6" i="7"/>
  <c r="P6" i="7"/>
  <c r="H6" i="7"/>
  <c r="I6" i="7"/>
  <c r="J6" i="7"/>
  <c r="M6" i="7"/>
  <c r="N6" i="7"/>
  <c r="K6" i="7"/>
  <c r="L6" i="7"/>
  <c r="Q6" i="7"/>
  <c r="F6" i="7"/>
  <c r="G6" i="7"/>
  <c r="L166" i="7"/>
  <c r="H166" i="9" s="1"/>
  <c r="M166" i="7"/>
  <c r="I166" i="9" s="1"/>
  <c r="G166" i="7"/>
  <c r="C166" i="9" s="1"/>
  <c r="H166" i="7"/>
  <c r="D166" i="9" s="1"/>
  <c r="J166" i="7"/>
  <c r="F166" i="9" s="1"/>
  <c r="N166" i="7"/>
  <c r="J166" i="9" s="1"/>
  <c r="P166" i="7"/>
  <c r="L166" i="9" s="1"/>
  <c r="I166" i="7"/>
  <c r="E166" i="9" s="1"/>
  <c r="K166" i="7"/>
  <c r="G166" i="9" s="1"/>
  <c r="Q166" i="7"/>
  <c r="M166" i="9" s="1"/>
  <c r="O166" i="7"/>
  <c r="K166" i="9" s="1"/>
  <c r="F166" i="7"/>
  <c r="B166" i="9" s="1"/>
  <c r="A82" i="8"/>
  <c r="J82" i="7"/>
  <c r="L82" i="7"/>
  <c r="K82" i="7"/>
  <c r="G82" i="7"/>
  <c r="F82" i="7"/>
  <c r="H82" i="7"/>
  <c r="M82" i="7"/>
  <c r="N82" i="7"/>
  <c r="P82" i="7"/>
  <c r="Q82" i="7"/>
  <c r="O82" i="7"/>
  <c r="I82" i="7"/>
  <c r="I128" i="7"/>
  <c r="E128" i="9" s="1"/>
  <c r="J128" i="7"/>
  <c r="F128" i="9" s="1"/>
  <c r="K128" i="7"/>
  <c r="G128" i="9" s="1"/>
  <c r="M128" i="7"/>
  <c r="I128" i="9" s="1"/>
  <c r="N128" i="7"/>
  <c r="J128" i="9" s="1"/>
  <c r="L128" i="7"/>
  <c r="H128" i="9" s="1"/>
  <c r="O128" i="7"/>
  <c r="K128" i="9" s="1"/>
  <c r="P128" i="7"/>
  <c r="L128" i="9" s="1"/>
  <c r="Q128" i="7"/>
  <c r="M128" i="9" s="1"/>
  <c r="H128" i="7"/>
  <c r="D128" i="9" s="1"/>
  <c r="G128" i="7"/>
  <c r="C128" i="9" s="1"/>
  <c r="F128" i="7"/>
  <c r="B128" i="9" s="1"/>
  <c r="P157" i="7"/>
  <c r="L157" i="9" s="1"/>
  <c r="Q157" i="7"/>
  <c r="M157" i="9" s="1"/>
  <c r="J157" i="7"/>
  <c r="F157" i="9" s="1"/>
  <c r="N157" i="7"/>
  <c r="J157" i="9" s="1"/>
  <c r="K157" i="7"/>
  <c r="G157" i="9" s="1"/>
  <c r="L157" i="7"/>
  <c r="H157" i="9" s="1"/>
  <c r="M157" i="7"/>
  <c r="I157" i="9" s="1"/>
  <c r="O157" i="7"/>
  <c r="K157" i="9" s="1"/>
  <c r="H157" i="7"/>
  <c r="D157" i="9" s="1"/>
  <c r="F157" i="7"/>
  <c r="B157" i="9" s="1"/>
  <c r="G157" i="7"/>
  <c r="C157" i="9" s="1"/>
  <c r="I157" i="7"/>
  <c r="E157" i="9" s="1"/>
  <c r="A13" i="8"/>
  <c r="M13" i="7"/>
  <c r="F13" i="7"/>
  <c r="L13" i="7"/>
  <c r="G13" i="7"/>
  <c r="H13" i="7"/>
  <c r="I13" i="7"/>
  <c r="J13" i="7"/>
  <c r="K13" i="7"/>
  <c r="N13" i="7"/>
  <c r="O13" i="7"/>
  <c r="P13" i="7"/>
  <c r="Q13" i="7"/>
  <c r="A85" i="8"/>
  <c r="F85" i="7"/>
  <c r="G85" i="7"/>
  <c r="H85" i="7"/>
  <c r="J85" i="7"/>
  <c r="I85" i="7"/>
  <c r="N85" i="7"/>
  <c r="O85" i="7"/>
  <c r="K85" i="7"/>
  <c r="Q85" i="7"/>
  <c r="L85" i="7"/>
  <c r="M85" i="7"/>
  <c r="P85" i="7"/>
  <c r="N193" i="7"/>
  <c r="J193" i="9" s="1"/>
  <c r="O193" i="7"/>
  <c r="K193" i="9" s="1"/>
  <c r="G193" i="7"/>
  <c r="C193" i="9" s="1"/>
  <c r="J193" i="7"/>
  <c r="F193" i="9" s="1"/>
  <c r="H193" i="7"/>
  <c r="D193" i="9" s="1"/>
  <c r="F193" i="7"/>
  <c r="B193" i="9" s="1"/>
  <c r="I193" i="7"/>
  <c r="E193" i="9" s="1"/>
  <c r="K193" i="7"/>
  <c r="G193" i="9" s="1"/>
  <c r="L193" i="7"/>
  <c r="H193" i="9" s="1"/>
  <c r="P193" i="7"/>
  <c r="L193" i="9" s="1"/>
  <c r="M193" i="7"/>
  <c r="I193" i="9" s="1"/>
  <c r="Q193" i="7"/>
  <c r="M193" i="9" s="1"/>
  <c r="L109" i="7"/>
  <c r="H109" i="9" s="1"/>
  <c r="M109" i="7"/>
  <c r="I109" i="9" s="1"/>
  <c r="F109" i="7"/>
  <c r="B109" i="9" s="1"/>
  <c r="J109" i="7"/>
  <c r="F109" i="9" s="1"/>
  <c r="G109" i="7"/>
  <c r="C109" i="9" s="1"/>
  <c r="I109" i="7"/>
  <c r="E109" i="9" s="1"/>
  <c r="O109" i="7"/>
  <c r="K109" i="9" s="1"/>
  <c r="P109" i="7"/>
  <c r="L109" i="9" s="1"/>
  <c r="H109" i="7"/>
  <c r="D109" i="9" s="1"/>
  <c r="K109" i="7"/>
  <c r="G109" i="9" s="1"/>
  <c r="N109" i="7"/>
  <c r="J109" i="9" s="1"/>
  <c r="Q109" i="7"/>
  <c r="M109" i="9" s="1"/>
  <c r="A38" i="8"/>
  <c r="P38" i="7"/>
  <c r="Q38" i="7"/>
  <c r="N38" i="7"/>
  <c r="O38" i="7"/>
  <c r="H38" i="7"/>
  <c r="G38" i="7"/>
  <c r="F38" i="7"/>
  <c r="I38" i="7"/>
  <c r="K38" i="7"/>
  <c r="M38" i="7"/>
  <c r="J38" i="7"/>
  <c r="L38" i="7"/>
  <c r="H101" i="7"/>
  <c r="D101" i="9" s="1"/>
  <c r="I101" i="7"/>
  <c r="E101" i="9" s="1"/>
  <c r="J101" i="7"/>
  <c r="F101" i="9" s="1"/>
  <c r="K101" i="7"/>
  <c r="G101" i="9" s="1"/>
  <c r="L101" i="7"/>
  <c r="H101" i="9" s="1"/>
  <c r="P101" i="7"/>
  <c r="L101" i="9" s="1"/>
  <c r="N101" i="7"/>
  <c r="J101" i="9" s="1"/>
  <c r="F101" i="7"/>
  <c r="B101" i="9" s="1"/>
  <c r="M101" i="7"/>
  <c r="I101" i="9" s="1"/>
  <c r="Q101" i="7"/>
  <c r="M101" i="9" s="1"/>
  <c r="G101" i="7"/>
  <c r="C101" i="9" s="1"/>
  <c r="O101" i="7"/>
  <c r="K101" i="9" s="1"/>
  <c r="A8" i="8"/>
  <c r="K8" i="7"/>
  <c r="L8" i="7"/>
  <c r="M8" i="7"/>
  <c r="O8" i="7"/>
  <c r="P8" i="7"/>
  <c r="J8" i="7"/>
  <c r="N8" i="7"/>
  <c r="F8" i="7"/>
  <c r="H8" i="7"/>
  <c r="I8" i="7"/>
  <c r="G8" i="7"/>
  <c r="Q8" i="7"/>
  <c r="H156" i="7"/>
  <c r="D156" i="9" s="1"/>
  <c r="F156" i="7"/>
  <c r="B156" i="9" s="1"/>
  <c r="G156" i="7"/>
  <c r="C156" i="9" s="1"/>
  <c r="I156" i="7"/>
  <c r="E156" i="9" s="1"/>
  <c r="J156" i="7"/>
  <c r="F156" i="9" s="1"/>
  <c r="P156" i="7"/>
  <c r="L156" i="9" s="1"/>
  <c r="Q156" i="7"/>
  <c r="M156" i="9" s="1"/>
  <c r="L156" i="7"/>
  <c r="H156" i="9" s="1"/>
  <c r="M156" i="7"/>
  <c r="I156" i="9" s="1"/>
  <c r="O156" i="7"/>
  <c r="K156" i="9" s="1"/>
  <c r="K156" i="7"/>
  <c r="G156" i="9" s="1"/>
  <c r="N156" i="7"/>
  <c r="J156" i="9" s="1"/>
  <c r="A66" i="8"/>
  <c r="O66" i="7"/>
  <c r="P66" i="7"/>
  <c r="Q66" i="7"/>
  <c r="G66" i="7"/>
  <c r="F66" i="7"/>
  <c r="L66" i="7"/>
  <c r="M66" i="7"/>
  <c r="N66" i="7"/>
  <c r="I66" i="7"/>
  <c r="H66" i="7"/>
  <c r="K66" i="7"/>
  <c r="J66" i="7"/>
  <c r="L92" i="7"/>
  <c r="H92" i="9" s="1"/>
  <c r="K92" i="7"/>
  <c r="G92" i="9" s="1"/>
  <c r="H92" i="7"/>
  <c r="D92" i="9" s="1"/>
  <c r="O92" i="7"/>
  <c r="K92" i="9" s="1"/>
  <c r="F92" i="7"/>
  <c r="B92" i="9" s="1"/>
  <c r="G92" i="7"/>
  <c r="C92" i="9" s="1"/>
  <c r="I92" i="7"/>
  <c r="E92" i="9" s="1"/>
  <c r="M92" i="7"/>
  <c r="I92" i="9" s="1"/>
  <c r="N92" i="7"/>
  <c r="J92" i="9" s="1"/>
  <c r="Q92" i="7"/>
  <c r="M92" i="9" s="1"/>
  <c r="J92" i="7"/>
  <c r="F92" i="9" s="1"/>
  <c r="P92" i="7"/>
  <c r="L92" i="9" s="1"/>
  <c r="A20" i="8"/>
  <c r="F20" i="7"/>
  <c r="G20" i="7"/>
  <c r="H20" i="7"/>
  <c r="Q20" i="7"/>
  <c r="J20" i="7"/>
  <c r="I20" i="7"/>
  <c r="K20" i="7"/>
  <c r="N20" i="7"/>
  <c r="P20" i="7"/>
  <c r="L20" i="7"/>
  <c r="M20" i="7"/>
  <c r="O20" i="7"/>
  <c r="A42" i="8"/>
  <c r="G42" i="7"/>
  <c r="H42" i="7"/>
  <c r="I42" i="7"/>
  <c r="P42" i="7"/>
  <c r="L42" i="7"/>
  <c r="F42" i="7"/>
  <c r="M42" i="7"/>
  <c r="N42" i="7"/>
  <c r="J42" i="7"/>
  <c r="K42" i="7"/>
  <c r="O42" i="7"/>
  <c r="Q42" i="7"/>
  <c r="P93" i="7"/>
  <c r="L93" i="9" s="1"/>
  <c r="Q93" i="7"/>
  <c r="M93" i="9" s="1"/>
  <c r="G93" i="7"/>
  <c r="C93" i="9" s="1"/>
  <c r="H93" i="7"/>
  <c r="D93" i="9" s="1"/>
  <c r="I93" i="7"/>
  <c r="E93" i="9" s="1"/>
  <c r="L93" i="7"/>
  <c r="H93" i="9" s="1"/>
  <c r="M93" i="7"/>
  <c r="I93" i="9" s="1"/>
  <c r="N93" i="7"/>
  <c r="J93" i="9" s="1"/>
  <c r="O93" i="7"/>
  <c r="K93" i="9" s="1"/>
  <c r="J93" i="7"/>
  <c r="F93" i="9" s="1"/>
  <c r="K93" i="7"/>
  <c r="G93" i="9" s="1"/>
  <c r="F93" i="7"/>
  <c r="B93" i="9" s="1"/>
  <c r="A18" i="8"/>
  <c r="G18" i="7"/>
  <c r="H18" i="7"/>
  <c r="I18" i="7"/>
  <c r="J18" i="7"/>
  <c r="L18" i="7"/>
  <c r="F18" i="7"/>
  <c r="K18" i="7"/>
  <c r="Q18" i="7"/>
  <c r="N18" i="7"/>
  <c r="O18" i="7"/>
  <c r="M18" i="7"/>
  <c r="P18" i="7"/>
  <c r="M172" i="7"/>
  <c r="I172" i="9" s="1"/>
  <c r="N172" i="7"/>
  <c r="J172" i="9" s="1"/>
  <c r="O172" i="7"/>
  <c r="K172" i="9" s="1"/>
  <c r="H172" i="7"/>
  <c r="D172" i="9" s="1"/>
  <c r="F172" i="7"/>
  <c r="B172" i="9" s="1"/>
  <c r="J172" i="7"/>
  <c r="F172" i="9" s="1"/>
  <c r="G172" i="7"/>
  <c r="C172" i="9" s="1"/>
  <c r="I172" i="7"/>
  <c r="E172" i="9" s="1"/>
  <c r="K172" i="7"/>
  <c r="G172" i="9" s="1"/>
  <c r="L172" i="7"/>
  <c r="H172" i="9" s="1"/>
  <c r="P172" i="7"/>
  <c r="L172" i="9" s="1"/>
  <c r="Q172" i="7"/>
  <c r="M172" i="9" s="1"/>
  <c r="K90" i="7"/>
  <c r="G90" i="9" s="1"/>
  <c r="M90" i="7"/>
  <c r="I90" i="9" s="1"/>
  <c r="L90" i="7"/>
  <c r="H90" i="9" s="1"/>
  <c r="J90" i="7"/>
  <c r="F90" i="9" s="1"/>
  <c r="N90" i="7"/>
  <c r="J90" i="9" s="1"/>
  <c r="O90" i="7"/>
  <c r="K90" i="9" s="1"/>
  <c r="P90" i="7"/>
  <c r="L90" i="9" s="1"/>
  <c r="Q90" i="7"/>
  <c r="M90" i="9" s="1"/>
  <c r="I90" i="7"/>
  <c r="E90" i="9" s="1"/>
  <c r="G90" i="7"/>
  <c r="C90" i="9" s="1"/>
  <c r="H90" i="7"/>
  <c r="D90" i="9" s="1"/>
  <c r="F90" i="7"/>
  <c r="B90" i="9" s="1"/>
  <c r="Q171" i="7"/>
  <c r="M171" i="9" s="1"/>
  <c r="P171" i="7"/>
  <c r="L171" i="9" s="1"/>
  <c r="H171" i="7"/>
  <c r="D171" i="9" s="1"/>
  <c r="K171" i="7"/>
  <c r="G171" i="9" s="1"/>
  <c r="L171" i="7"/>
  <c r="H171" i="9" s="1"/>
  <c r="O171" i="7"/>
  <c r="K171" i="9" s="1"/>
  <c r="F171" i="7"/>
  <c r="B171" i="9" s="1"/>
  <c r="I171" i="7"/>
  <c r="E171" i="9" s="1"/>
  <c r="J171" i="7"/>
  <c r="F171" i="9" s="1"/>
  <c r="G171" i="7"/>
  <c r="C171" i="9" s="1"/>
  <c r="M171" i="7"/>
  <c r="I171" i="9" s="1"/>
  <c r="N171" i="7"/>
  <c r="J171" i="9" s="1"/>
  <c r="A24" i="8"/>
  <c r="Q24" i="7"/>
  <c r="G24" i="7"/>
  <c r="H24" i="7"/>
  <c r="J24" i="7"/>
  <c r="L24" i="7"/>
  <c r="P24" i="7"/>
  <c r="I24" i="7"/>
  <c r="O24" i="7"/>
  <c r="N24" i="7"/>
  <c r="F24" i="7"/>
  <c r="K24" i="7"/>
  <c r="M24" i="7"/>
  <c r="F97" i="7"/>
  <c r="B97" i="9" s="1"/>
  <c r="G97" i="7"/>
  <c r="C97" i="9" s="1"/>
  <c r="I97" i="7"/>
  <c r="E97" i="9" s="1"/>
  <c r="H97" i="7"/>
  <c r="D97" i="9" s="1"/>
  <c r="J97" i="7"/>
  <c r="F97" i="9" s="1"/>
  <c r="K97" i="7"/>
  <c r="G97" i="9" s="1"/>
  <c r="N97" i="7"/>
  <c r="J97" i="9" s="1"/>
  <c r="O97" i="7"/>
  <c r="K97" i="9" s="1"/>
  <c r="L97" i="7"/>
  <c r="H97" i="9" s="1"/>
  <c r="M97" i="7"/>
  <c r="I97" i="9" s="1"/>
  <c r="P97" i="7"/>
  <c r="L97" i="9" s="1"/>
  <c r="Q97" i="7"/>
  <c r="M97" i="9" s="1"/>
  <c r="I107" i="7"/>
  <c r="E107" i="9" s="1"/>
  <c r="K107" i="7"/>
  <c r="G107" i="9" s="1"/>
  <c r="M107" i="7"/>
  <c r="I107" i="9" s="1"/>
  <c r="H107" i="7"/>
  <c r="D107" i="9" s="1"/>
  <c r="G107" i="7"/>
  <c r="C107" i="9" s="1"/>
  <c r="J107" i="7"/>
  <c r="F107" i="9" s="1"/>
  <c r="F107" i="7"/>
  <c r="B107" i="9" s="1"/>
  <c r="L107" i="7"/>
  <c r="H107" i="9" s="1"/>
  <c r="N107" i="7"/>
  <c r="J107" i="9" s="1"/>
  <c r="O107" i="7"/>
  <c r="K107" i="9" s="1"/>
  <c r="P107" i="7"/>
  <c r="L107" i="9" s="1"/>
  <c r="Q107" i="7"/>
  <c r="M107" i="9" s="1"/>
  <c r="M117" i="7"/>
  <c r="I117" i="9" s="1"/>
  <c r="N117" i="7"/>
  <c r="J117" i="9" s="1"/>
  <c r="K117" i="7"/>
  <c r="G117" i="9" s="1"/>
  <c r="F117" i="7"/>
  <c r="B117" i="9" s="1"/>
  <c r="H117" i="7"/>
  <c r="D117" i="9" s="1"/>
  <c r="I117" i="7"/>
  <c r="E117" i="9" s="1"/>
  <c r="J117" i="7"/>
  <c r="F117" i="9" s="1"/>
  <c r="L117" i="7"/>
  <c r="H117" i="9" s="1"/>
  <c r="G117" i="7"/>
  <c r="C117" i="9" s="1"/>
  <c r="O117" i="7"/>
  <c r="K117" i="9" s="1"/>
  <c r="P117" i="7"/>
  <c r="L117" i="9" s="1"/>
  <c r="Q117" i="7"/>
  <c r="M117" i="9" s="1"/>
  <c r="I188" i="7"/>
  <c r="E188" i="9" s="1"/>
  <c r="J188" i="7"/>
  <c r="F188" i="9" s="1"/>
  <c r="H188" i="7"/>
  <c r="D188" i="9" s="1"/>
  <c r="G188" i="7"/>
  <c r="C188" i="9" s="1"/>
  <c r="F188" i="7"/>
  <c r="B188" i="9" s="1"/>
  <c r="N188" i="7"/>
  <c r="J188" i="9" s="1"/>
  <c r="Q188" i="7"/>
  <c r="M188" i="9" s="1"/>
  <c r="K188" i="7"/>
  <c r="G188" i="9" s="1"/>
  <c r="L188" i="7"/>
  <c r="H188" i="9" s="1"/>
  <c r="M188" i="7"/>
  <c r="I188" i="9" s="1"/>
  <c r="O188" i="7"/>
  <c r="K188" i="9" s="1"/>
  <c r="P188" i="7"/>
  <c r="L188" i="9" s="1"/>
  <c r="A69" i="8"/>
  <c r="H69" i="7"/>
  <c r="I69" i="7"/>
  <c r="J69" i="7"/>
  <c r="N69" i="7"/>
  <c r="O69" i="7"/>
  <c r="P69" i="7"/>
  <c r="Q69" i="7"/>
  <c r="F69" i="7"/>
  <c r="G69" i="7"/>
  <c r="M69" i="7"/>
  <c r="K69" i="7"/>
  <c r="L69" i="7"/>
  <c r="A65" i="8"/>
  <c r="H65" i="7"/>
  <c r="L65" i="7"/>
  <c r="N65" i="7"/>
  <c r="Q65" i="7"/>
  <c r="I65" i="7"/>
  <c r="P65" i="7"/>
  <c r="J65" i="7"/>
  <c r="M65" i="7"/>
  <c r="O65" i="7"/>
  <c r="K65" i="7"/>
  <c r="F65" i="7"/>
  <c r="G65" i="7"/>
  <c r="F141" i="7"/>
  <c r="B141" i="9" s="1"/>
  <c r="I141" i="7"/>
  <c r="E141" i="9" s="1"/>
  <c r="J141" i="7"/>
  <c r="F141" i="9" s="1"/>
  <c r="L141" i="7"/>
  <c r="H141" i="9" s="1"/>
  <c r="M141" i="7"/>
  <c r="I141" i="9" s="1"/>
  <c r="K141" i="7"/>
  <c r="G141" i="9" s="1"/>
  <c r="O141" i="7"/>
  <c r="K141" i="9" s="1"/>
  <c r="H141" i="7"/>
  <c r="D141" i="9" s="1"/>
  <c r="Q141" i="7"/>
  <c r="M141" i="9" s="1"/>
  <c r="G141" i="7"/>
  <c r="C141" i="9" s="1"/>
  <c r="N141" i="7"/>
  <c r="J141" i="9" s="1"/>
  <c r="P141" i="7"/>
  <c r="L141" i="9" s="1"/>
  <c r="A87" i="8"/>
  <c r="O87" i="7"/>
  <c r="P87" i="7"/>
  <c r="Q87" i="7"/>
  <c r="K87" i="7"/>
  <c r="L87" i="7"/>
  <c r="M87" i="7"/>
  <c r="N87" i="7"/>
  <c r="F87" i="7"/>
  <c r="H87" i="7"/>
  <c r="J87" i="7"/>
  <c r="G87" i="7"/>
  <c r="I87" i="7"/>
  <c r="G124" i="7"/>
  <c r="C124" i="9" s="1"/>
  <c r="F124" i="7"/>
  <c r="B124" i="9" s="1"/>
  <c r="H124" i="7"/>
  <c r="D124" i="9" s="1"/>
  <c r="K124" i="7"/>
  <c r="G124" i="9" s="1"/>
  <c r="L124" i="7"/>
  <c r="H124" i="9" s="1"/>
  <c r="N124" i="7"/>
  <c r="J124" i="9" s="1"/>
  <c r="O124" i="7"/>
  <c r="K124" i="9" s="1"/>
  <c r="J124" i="7"/>
  <c r="F124" i="9" s="1"/>
  <c r="Q124" i="7"/>
  <c r="M124" i="9" s="1"/>
  <c r="I124" i="7"/>
  <c r="E124" i="9" s="1"/>
  <c r="M124" i="7"/>
  <c r="I124" i="9" s="1"/>
  <c r="P124" i="7"/>
  <c r="L124" i="9" s="1"/>
  <c r="A41" i="8"/>
  <c r="L41" i="7"/>
  <c r="N41" i="7"/>
  <c r="M41" i="7"/>
  <c r="Q41" i="7"/>
  <c r="K41" i="7"/>
  <c r="P41" i="7"/>
  <c r="I41" i="7"/>
  <c r="J41" i="7"/>
  <c r="F41" i="7"/>
  <c r="H41" i="7"/>
  <c r="O41" i="7"/>
  <c r="G41" i="7"/>
  <c r="A26" i="8"/>
  <c r="J26" i="7"/>
  <c r="K26" i="7"/>
  <c r="F26" i="7"/>
  <c r="N26" i="7"/>
  <c r="G26" i="7"/>
  <c r="M26" i="7"/>
  <c r="O26" i="7"/>
  <c r="H26" i="7"/>
  <c r="P26" i="7"/>
  <c r="I26" i="7"/>
  <c r="L26" i="7"/>
  <c r="Q26" i="7"/>
  <c r="H176" i="7"/>
  <c r="D176" i="9" s="1"/>
  <c r="F176" i="7"/>
  <c r="B176" i="9" s="1"/>
  <c r="J176" i="7"/>
  <c r="F176" i="9" s="1"/>
  <c r="I176" i="7"/>
  <c r="E176" i="9" s="1"/>
  <c r="G176" i="7"/>
  <c r="C176" i="9" s="1"/>
  <c r="K176" i="7"/>
  <c r="G176" i="9" s="1"/>
  <c r="L176" i="7"/>
  <c r="H176" i="9" s="1"/>
  <c r="M176" i="7"/>
  <c r="I176" i="9" s="1"/>
  <c r="P176" i="7"/>
  <c r="L176" i="9" s="1"/>
  <c r="N176" i="7"/>
  <c r="J176" i="9" s="1"/>
  <c r="O176" i="7"/>
  <c r="K176" i="9" s="1"/>
  <c r="Q176" i="7"/>
  <c r="M176" i="9" s="1"/>
  <c r="K150" i="7"/>
  <c r="G150" i="9" s="1"/>
  <c r="L150" i="7"/>
  <c r="H150" i="9" s="1"/>
  <c r="M150" i="7"/>
  <c r="I150" i="9" s="1"/>
  <c r="G150" i="7"/>
  <c r="C150" i="9" s="1"/>
  <c r="H150" i="7"/>
  <c r="D150" i="9" s="1"/>
  <c r="Q150" i="7"/>
  <c r="M150" i="9" s="1"/>
  <c r="J150" i="7"/>
  <c r="F150" i="9" s="1"/>
  <c r="P150" i="7"/>
  <c r="L150" i="9" s="1"/>
  <c r="F150" i="7"/>
  <c r="B150" i="9" s="1"/>
  <c r="N150" i="7"/>
  <c r="J150" i="9" s="1"/>
  <c r="O150" i="7"/>
  <c r="K150" i="9" s="1"/>
  <c r="I150" i="7"/>
  <c r="E150" i="9" s="1"/>
  <c r="Q88" i="7"/>
  <c r="M88" i="9" s="1"/>
  <c r="F88" i="7"/>
  <c r="B88" i="9" s="1"/>
  <c r="G88" i="7"/>
  <c r="C88" i="9" s="1"/>
  <c r="H88" i="7"/>
  <c r="D88" i="9" s="1"/>
  <c r="I88" i="7"/>
  <c r="E88" i="9" s="1"/>
  <c r="J88" i="7"/>
  <c r="F88" i="9" s="1"/>
  <c r="K88" i="7"/>
  <c r="G88" i="9" s="1"/>
  <c r="L88" i="7"/>
  <c r="H88" i="9" s="1"/>
  <c r="P88" i="7"/>
  <c r="L88" i="9" s="1"/>
  <c r="M88" i="7"/>
  <c r="I88" i="9" s="1"/>
  <c r="N88" i="7"/>
  <c r="J88" i="9" s="1"/>
  <c r="O88" i="7"/>
  <c r="K88" i="9" s="1"/>
  <c r="K147" i="7"/>
  <c r="G147" i="9" s="1"/>
  <c r="L147" i="7"/>
  <c r="H147" i="9" s="1"/>
  <c r="J147" i="7"/>
  <c r="F147" i="9" s="1"/>
  <c r="M147" i="7"/>
  <c r="I147" i="9" s="1"/>
  <c r="N147" i="7"/>
  <c r="J147" i="9" s="1"/>
  <c r="Q147" i="7"/>
  <c r="M147" i="9" s="1"/>
  <c r="F147" i="7"/>
  <c r="B147" i="9" s="1"/>
  <c r="G147" i="7"/>
  <c r="C147" i="9" s="1"/>
  <c r="H147" i="7"/>
  <c r="D147" i="9" s="1"/>
  <c r="I147" i="7"/>
  <c r="E147" i="9" s="1"/>
  <c r="P147" i="7"/>
  <c r="L147" i="9" s="1"/>
  <c r="O147" i="7"/>
  <c r="K147" i="9" s="1"/>
  <c r="A64" i="8"/>
  <c r="I64" i="7"/>
  <c r="J64" i="7"/>
  <c r="K64" i="7"/>
  <c r="H64" i="7"/>
  <c r="F64" i="7"/>
  <c r="G64" i="7"/>
  <c r="O64" i="7"/>
  <c r="Q64" i="7"/>
  <c r="L64" i="7"/>
  <c r="M64" i="7"/>
  <c r="N64" i="7"/>
  <c r="P64" i="7"/>
  <c r="H165" i="7"/>
  <c r="D165" i="9" s="1"/>
  <c r="I165" i="7"/>
  <c r="E165" i="9" s="1"/>
  <c r="J165" i="7"/>
  <c r="F165" i="9" s="1"/>
  <c r="K165" i="7"/>
  <c r="G165" i="9" s="1"/>
  <c r="Q165" i="7"/>
  <c r="M165" i="9" s="1"/>
  <c r="L165" i="7"/>
  <c r="H165" i="9" s="1"/>
  <c r="P165" i="7"/>
  <c r="L165" i="9" s="1"/>
  <c r="M165" i="7"/>
  <c r="I165" i="9" s="1"/>
  <c r="N165" i="7"/>
  <c r="J165" i="9" s="1"/>
  <c r="O165" i="7"/>
  <c r="K165" i="9" s="1"/>
  <c r="F165" i="7"/>
  <c r="B165" i="9" s="1"/>
  <c r="G165" i="7"/>
  <c r="C165" i="9" s="1"/>
  <c r="A9" i="8"/>
  <c r="L9" i="7"/>
  <c r="M9" i="7"/>
  <c r="J9" i="7"/>
  <c r="Q9" i="7"/>
  <c r="K9" i="7"/>
  <c r="N9" i="7"/>
  <c r="O9" i="7"/>
  <c r="P9" i="7"/>
  <c r="F9" i="7"/>
  <c r="G9" i="7"/>
  <c r="H9" i="7"/>
  <c r="I9" i="7"/>
  <c r="J110" i="7"/>
  <c r="F110" i="9" s="1"/>
  <c r="P110" i="7"/>
  <c r="L110" i="9" s="1"/>
  <c r="Q110" i="7"/>
  <c r="M110" i="9" s="1"/>
  <c r="K110" i="7"/>
  <c r="G110" i="9" s="1"/>
  <c r="N110" i="7"/>
  <c r="J110" i="9" s="1"/>
  <c r="L110" i="7"/>
  <c r="H110" i="9" s="1"/>
  <c r="M110" i="7"/>
  <c r="I110" i="9" s="1"/>
  <c r="O110" i="7"/>
  <c r="K110" i="9" s="1"/>
  <c r="F110" i="7"/>
  <c r="B110" i="9" s="1"/>
  <c r="G110" i="7"/>
  <c r="C110" i="9" s="1"/>
  <c r="H110" i="7"/>
  <c r="D110" i="9" s="1"/>
  <c r="I110" i="7"/>
  <c r="E110" i="9" s="1"/>
  <c r="K186" i="7"/>
  <c r="G186" i="9" s="1"/>
  <c r="L186" i="7"/>
  <c r="H186" i="9" s="1"/>
  <c r="P186" i="7"/>
  <c r="L186" i="9" s="1"/>
  <c r="M186" i="7"/>
  <c r="I186" i="9" s="1"/>
  <c r="N186" i="7"/>
  <c r="J186" i="9" s="1"/>
  <c r="O186" i="7"/>
  <c r="K186" i="9" s="1"/>
  <c r="Q186" i="7"/>
  <c r="M186" i="9" s="1"/>
  <c r="F186" i="7"/>
  <c r="B186" i="9" s="1"/>
  <c r="H186" i="7"/>
  <c r="D186" i="9" s="1"/>
  <c r="I186" i="7"/>
  <c r="E186" i="9" s="1"/>
  <c r="G186" i="7"/>
  <c r="C186" i="9" s="1"/>
  <c r="J186" i="7"/>
  <c r="F186" i="9" s="1"/>
  <c r="A71" i="8"/>
  <c r="N71" i="7"/>
  <c r="O71" i="7"/>
  <c r="P71" i="7"/>
  <c r="J71" i="7"/>
  <c r="L71" i="7"/>
  <c r="K71" i="7"/>
  <c r="F71" i="7"/>
  <c r="I71" i="7"/>
  <c r="Q71" i="7"/>
  <c r="H71" i="7"/>
  <c r="M71" i="7"/>
  <c r="G71" i="7"/>
  <c r="A78" i="8"/>
  <c r="K78" i="7"/>
  <c r="O78" i="7"/>
  <c r="Q78" i="7"/>
  <c r="L78" i="7"/>
  <c r="M78" i="7"/>
  <c r="P78" i="7"/>
  <c r="N78" i="7"/>
  <c r="G78" i="7"/>
  <c r="H78" i="7"/>
  <c r="F78" i="7"/>
  <c r="I78" i="7"/>
  <c r="J78" i="7"/>
  <c r="H197" i="7"/>
  <c r="D197" i="9" s="1"/>
  <c r="I197" i="7"/>
  <c r="E197" i="9" s="1"/>
  <c r="J197" i="7"/>
  <c r="F197" i="9" s="1"/>
  <c r="N197" i="7"/>
  <c r="J197" i="9" s="1"/>
  <c r="O197" i="7"/>
  <c r="K197" i="9" s="1"/>
  <c r="P197" i="7"/>
  <c r="L197" i="9" s="1"/>
  <c r="Q197" i="7"/>
  <c r="M197" i="9" s="1"/>
  <c r="F197" i="7"/>
  <c r="B197" i="9" s="1"/>
  <c r="M197" i="7"/>
  <c r="I197" i="9" s="1"/>
  <c r="G197" i="7"/>
  <c r="C197" i="9" s="1"/>
  <c r="K197" i="7"/>
  <c r="G197" i="9" s="1"/>
  <c r="L197" i="7"/>
  <c r="H197" i="9" s="1"/>
  <c r="A51" i="8"/>
  <c r="H51" i="7"/>
  <c r="M51" i="7"/>
  <c r="P51" i="7"/>
  <c r="I51" i="7"/>
  <c r="N51" i="7"/>
  <c r="O51" i="7"/>
  <c r="J51" i="7"/>
  <c r="K51" i="7"/>
  <c r="L51" i="7"/>
  <c r="F51" i="7"/>
  <c r="Q51" i="7"/>
  <c r="G51" i="7"/>
  <c r="A79" i="8"/>
  <c r="F79" i="7"/>
  <c r="G79" i="7"/>
  <c r="H79" i="7"/>
  <c r="N79" i="7"/>
  <c r="O79" i="7"/>
  <c r="P79" i="7"/>
  <c r="I79" i="7"/>
  <c r="J79" i="7"/>
  <c r="K79" i="7"/>
  <c r="L79" i="7"/>
  <c r="M79" i="7"/>
  <c r="Q79" i="7"/>
  <c r="L113" i="7"/>
  <c r="H113" i="9" s="1"/>
  <c r="M113" i="7"/>
  <c r="I113" i="9" s="1"/>
  <c r="N113" i="7"/>
  <c r="J113" i="9" s="1"/>
  <c r="I113" i="7"/>
  <c r="E113" i="9" s="1"/>
  <c r="J113" i="7"/>
  <c r="F113" i="9" s="1"/>
  <c r="K113" i="7"/>
  <c r="G113" i="9" s="1"/>
  <c r="Q113" i="7"/>
  <c r="M113" i="9" s="1"/>
  <c r="O113" i="7"/>
  <c r="K113" i="9" s="1"/>
  <c r="P113" i="7"/>
  <c r="L113" i="9" s="1"/>
  <c r="H113" i="7"/>
  <c r="D113" i="9" s="1"/>
  <c r="F113" i="7"/>
  <c r="B113" i="9" s="1"/>
  <c r="G113" i="7"/>
  <c r="C113" i="9" s="1"/>
  <c r="F143" i="7"/>
  <c r="B143" i="9" s="1"/>
  <c r="G143" i="7"/>
  <c r="C143" i="9" s="1"/>
  <c r="H143" i="7"/>
  <c r="D143" i="9" s="1"/>
  <c r="L143" i="7"/>
  <c r="H143" i="9" s="1"/>
  <c r="M143" i="7"/>
  <c r="I143" i="9" s="1"/>
  <c r="I143" i="7"/>
  <c r="E143" i="9" s="1"/>
  <c r="K143" i="7"/>
  <c r="G143" i="9" s="1"/>
  <c r="O143" i="7"/>
  <c r="K143" i="9" s="1"/>
  <c r="J143" i="7"/>
  <c r="F143" i="9" s="1"/>
  <c r="N143" i="7"/>
  <c r="J143" i="9" s="1"/>
  <c r="Q143" i="7"/>
  <c r="M143" i="9" s="1"/>
  <c r="P143" i="7"/>
  <c r="L143" i="9" s="1"/>
  <c r="H195" i="7"/>
  <c r="D195" i="9" s="1"/>
  <c r="L195" i="7"/>
  <c r="H195" i="9" s="1"/>
  <c r="M195" i="7"/>
  <c r="I195" i="9" s="1"/>
  <c r="I195" i="7"/>
  <c r="E195" i="9" s="1"/>
  <c r="J195" i="7"/>
  <c r="F195" i="9" s="1"/>
  <c r="K195" i="7"/>
  <c r="G195" i="9" s="1"/>
  <c r="N195" i="7"/>
  <c r="J195" i="9" s="1"/>
  <c r="O195" i="7"/>
  <c r="K195" i="9" s="1"/>
  <c r="F195" i="7"/>
  <c r="B195" i="9" s="1"/>
  <c r="Q195" i="7"/>
  <c r="M195" i="9" s="1"/>
  <c r="P195" i="7"/>
  <c r="L195" i="9" s="1"/>
  <c r="G195" i="7"/>
  <c r="C195" i="9" s="1"/>
  <c r="F164" i="7"/>
  <c r="B164" i="9" s="1"/>
  <c r="I164" i="7"/>
  <c r="E164" i="9" s="1"/>
  <c r="K164" i="7"/>
  <c r="G164" i="9" s="1"/>
  <c r="G164" i="7"/>
  <c r="C164" i="9" s="1"/>
  <c r="H164" i="7"/>
  <c r="D164" i="9" s="1"/>
  <c r="J164" i="7"/>
  <c r="F164" i="9" s="1"/>
  <c r="L164" i="7"/>
  <c r="H164" i="9" s="1"/>
  <c r="N164" i="7"/>
  <c r="J164" i="9" s="1"/>
  <c r="M164" i="7"/>
  <c r="I164" i="9" s="1"/>
  <c r="O164" i="7"/>
  <c r="K164" i="9" s="1"/>
  <c r="P164" i="7"/>
  <c r="L164" i="9" s="1"/>
  <c r="Q164" i="7"/>
  <c r="M164" i="9" s="1"/>
  <c r="F89" i="7"/>
  <c r="B89" i="9" s="1"/>
  <c r="P89" i="7"/>
  <c r="L89" i="9" s="1"/>
  <c r="Q89" i="7"/>
  <c r="M89" i="9" s="1"/>
  <c r="H89" i="7"/>
  <c r="D89" i="9" s="1"/>
  <c r="N89" i="7"/>
  <c r="J89" i="9" s="1"/>
  <c r="J89" i="7"/>
  <c r="F89" i="9" s="1"/>
  <c r="L89" i="7"/>
  <c r="H89" i="9" s="1"/>
  <c r="I89" i="7"/>
  <c r="E89" i="9" s="1"/>
  <c r="K89" i="7"/>
  <c r="G89" i="9" s="1"/>
  <c r="G89" i="7"/>
  <c r="C89" i="9" s="1"/>
  <c r="M89" i="7"/>
  <c r="I89" i="9" s="1"/>
  <c r="O89" i="7"/>
  <c r="K89" i="9" s="1"/>
  <c r="A3" i="8"/>
  <c r="F3" i="7"/>
  <c r="G3" i="7"/>
  <c r="M3" i="7"/>
  <c r="H3" i="7"/>
  <c r="L3" i="7"/>
  <c r="I3" i="7"/>
  <c r="N3" i="7"/>
  <c r="J3" i="7"/>
  <c r="K3" i="7"/>
  <c r="O3" i="7"/>
  <c r="P3" i="7"/>
  <c r="Q3" i="7"/>
  <c r="A86" i="8"/>
  <c r="K86" i="7"/>
  <c r="L86" i="7"/>
  <c r="M86" i="7"/>
  <c r="J86" i="7"/>
  <c r="N86" i="7"/>
  <c r="Q86" i="7"/>
  <c r="F86" i="7"/>
  <c r="I86" i="7"/>
  <c r="G86" i="7"/>
  <c r="H86" i="7"/>
  <c r="O86" i="7"/>
  <c r="P86" i="7"/>
  <c r="F142" i="7"/>
  <c r="B142" i="9" s="1"/>
  <c r="G142" i="7"/>
  <c r="C142" i="9" s="1"/>
  <c r="Q142" i="7"/>
  <c r="M142" i="9" s="1"/>
  <c r="L142" i="7"/>
  <c r="H142" i="9" s="1"/>
  <c r="O142" i="7"/>
  <c r="K142" i="9" s="1"/>
  <c r="M142" i="7"/>
  <c r="I142" i="9" s="1"/>
  <c r="P142" i="7"/>
  <c r="L142" i="9" s="1"/>
  <c r="N142" i="7"/>
  <c r="J142" i="9" s="1"/>
  <c r="H142" i="7"/>
  <c r="D142" i="9" s="1"/>
  <c r="K142" i="7"/>
  <c r="G142" i="9" s="1"/>
  <c r="J142" i="7"/>
  <c r="F142" i="9" s="1"/>
  <c r="I142" i="7"/>
  <c r="E142" i="9" s="1"/>
  <c r="A29" i="8"/>
  <c r="P29" i="7"/>
  <c r="Q29" i="7"/>
  <c r="G29" i="7"/>
  <c r="H29" i="7"/>
  <c r="J29" i="7"/>
  <c r="O29" i="7"/>
  <c r="K29" i="7"/>
  <c r="L29" i="7"/>
  <c r="M29" i="7"/>
  <c r="N29" i="7"/>
  <c r="I29" i="7"/>
  <c r="F29" i="7"/>
  <c r="A75" i="8"/>
  <c r="L75" i="7"/>
  <c r="M75" i="7"/>
  <c r="N75" i="7"/>
  <c r="P75" i="7"/>
  <c r="O75" i="7"/>
  <c r="Q75" i="7"/>
  <c r="K75" i="7"/>
  <c r="F75" i="7"/>
  <c r="J75" i="7"/>
  <c r="G75" i="7"/>
  <c r="I75" i="7"/>
  <c r="H75" i="7"/>
  <c r="O130" i="7"/>
  <c r="K130" i="9" s="1"/>
  <c r="P130" i="7"/>
  <c r="L130" i="9" s="1"/>
  <c r="Q130" i="7"/>
  <c r="M130" i="9" s="1"/>
  <c r="K130" i="7"/>
  <c r="G130" i="9" s="1"/>
  <c r="L130" i="7"/>
  <c r="H130" i="9" s="1"/>
  <c r="M130" i="7"/>
  <c r="I130" i="9" s="1"/>
  <c r="N130" i="7"/>
  <c r="J130" i="9" s="1"/>
  <c r="H130" i="7"/>
  <c r="D130" i="9" s="1"/>
  <c r="G130" i="7"/>
  <c r="C130" i="9" s="1"/>
  <c r="J130" i="7"/>
  <c r="F130" i="9" s="1"/>
  <c r="F130" i="7"/>
  <c r="B130" i="9" s="1"/>
  <c r="I130" i="7"/>
  <c r="E130" i="9" s="1"/>
  <c r="A47" i="8"/>
  <c r="F47" i="7"/>
  <c r="G47" i="7"/>
  <c r="H47" i="7"/>
  <c r="I47" i="7"/>
  <c r="P47" i="7"/>
  <c r="Q47" i="7"/>
  <c r="N47" i="7"/>
  <c r="O47" i="7"/>
  <c r="M47" i="7"/>
  <c r="J47" i="7"/>
  <c r="K47" i="7"/>
  <c r="L47" i="7"/>
  <c r="N173" i="7"/>
  <c r="J173" i="9" s="1"/>
  <c r="F173" i="7"/>
  <c r="B173" i="9" s="1"/>
  <c r="H173" i="7"/>
  <c r="D173" i="9" s="1"/>
  <c r="K173" i="7"/>
  <c r="G173" i="9" s="1"/>
  <c r="Q173" i="7"/>
  <c r="M173" i="9" s="1"/>
  <c r="G173" i="7"/>
  <c r="C173" i="9" s="1"/>
  <c r="I173" i="7"/>
  <c r="E173" i="9" s="1"/>
  <c r="J173" i="7"/>
  <c r="F173" i="9" s="1"/>
  <c r="M173" i="7"/>
  <c r="I173" i="9" s="1"/>
  <c r="O173" i="7"/>
  <c r="K173" i="9" s="1"/>
  <c r="P173" i="7"/>
  <c r="L173" i="9" s="1"/>
  <c r="L173" i="7"/>
  <c r="H173" i="9" s="1"/>
  <c r="I126" i="7"/>
  <c r="E126" i="9" s="1"/>
  <c r="J126" i="7"/>
  <c r="F126" i="9" s="1"/>
  <c r="G126" i="7"/>
  <c r="C126" i="9" s="1"/>
  <c r="H126" i="7"/>
  <c r="D126" i="9" s="1"/>
  <c r="F126" i="7"/>
  <c r="B126" i="9" s="1"/>
  <c r="K126" i="7"/>
  <c r="G126" i="9" s="1"/>
  <c r="Q126" i="7"/>
  <c r="M126" i="9" s="1"/>
  <c r="M126" i="7"/>
  <c r="I126" i="9" s="1"/>
  <c r="N126" i="7"/>
  <c r="J126" i="9" s="1"/>
  <c r="O126" i="7"/>
  <c r="K126" i="9" s="1"/>
  <c r="P126" i="7"/>
  <c r="L126" i="9" s="1"/>
  <c r="L126" i="7"/>
  <c r="H126" i="9" s="1"/>
  <c r="O144" i="7"/>
  <c r="K144" i="9" s="1"/>
  <c r="P144" i="7"/>
  <c r="L144" i="9" s="1"/>
  <c r="G144" i="7"/>
  <c r="C144" i="9" s="1"/>
  <c r="F144" i="7"/>
  <c r="B144" i="9" s="1"/>
  <c r="H144" i="7"/>
  <c r="D144" i="9" s="1"/>
  <c r="I144" i="7"/>
  <c r="E144" i="9" s="1"/>
  <c r="K144" i="7"/>
  <c r="G144" i="9" s="1"/>
  <c r="M144" i="7"/>
  <c r="I144" i="9" s="1"/>
  <c r="L144" i="7"/>
  <c r="H144" i="9" s="1"/>
  <c r="N144" i="7"/>
  <c r="J144" i="9" s="1"/>
  <c r="Q144" i="7"/>
  <c r="M144" i="9" s="1"/>
  <c r="J144" i="7"/>
  <c r="F144" i="9" s="1"/>
  <c r="A36" i="8"/>
  <c r="G36" i="7"/>
  <c r="H36" i="7"/>
  <c r="I36" i="7"/>
  <c r="F36" i="7"/>
  <c r="K36" i="7"/>
  <c r="J36" i="7"/>
  <c r="L36" i="7"/>
  <c r="N36" i="7"/>
  <c r="O36" i="7"/>
  <c r="M36" i="7"/>
  <c r="P36" i="7"/>
  <c r="Q36" i="7"/>
  <c r="J196" i="7"/>
  <c r="F196" i="9" s="1"/>
  <c r="K196" i="7"/>
  <c r="G196" i="9" s="1"/>
  <c r="F196" i="7"/>
  <c r="B196" i="9" s="1"/>
  <c r="G196" i="7"/>
  <c r="C196" i="9" s="1"/>
  <c r="H196" i="7"/>
  <c r="D196" i="9" s="1"/>
  <c r="Q196" i="7"/>
  <c r="M196" i="9" s="1"/>
  <c r="I196" i="7"/>
  <c r="E196" i="9" s="1"/>
  <c r="O196" i="7"/>
  <c r="K196" i="9" s="1"/>
  <c r="M196" i="7"/>
  <c r="I196" i="9" s="1"/>
  <c r="N196" i="7"/>
  <c r="J196" i="9" s="1"/>
  <c r="P196" i="7"/>
  <c r="L196" i="9" s="1"/>
  <c r="L196" i="7"/>
  <c r="H196" i="9" s="1"/>
  <c r="I160" i="7"/>
  <c r="E160" i="9" s="1"/>
  <c r="J160" i="7"/>
  <c r="F160" i="9" s="1"/>
  <c r="K160" i="7"/>
  <c r="G160" i="9" s="1"/>
  <c r="H160" i="7"/>
  <c r="D160" i="9" s="1"/>
  <c r="N160" i="7"/>
  <c r="J160" i="9" s="1"/>
  <c r="L160" i="7"/>
  <c r="H160" i="9" s="1"/>
  <c r="P160" i="7"/>
  <c r="L160" i="9" s="1"/>
  <c r="Q160" i="7"/>
  <c r="M160" i="9" s="1"/>
  <c r="M160" i="7"/>
  <c r="I160" i="9" s="1"/>
  <c r="O160" i="7"/>
  <c r="K160" i="9" s="1"/>
  <c r="F160" i="7"/>
  <c r="B160" i="9" s="1"/>
  <c r="G160" i="7"/>
  <c r="C160" i="9" s="1"/>
  <c r="J123" i="7"/>
  <c r="F123" i="9" s="1"/>
  <c r="K123" i="7"/>
  <c r="G123" i="9" s="1"/>
  <c r="L123" i="7"/>
  <c r="H123" i="9" s="1"/>
  <c r="F123" i="7"/>
  <c r="B123" i="9" s="1"/>
  <c r="M123" i="7"/>
  <c r="I123" i="9" s="1"/>
  <c r="G123" i="7"/>
  <c r="C123" i="9" s="1"/>
  <c r="H123" i="7"/>
  <c r="D123" i="9" s="1"/>
  <c r="I123" i="7"/>
  <c r="E123" i="9" s="1"/>
  <c r="P123" i="7"/>
  <c r="L123" i="9" s="1"/>
  <c r="N123" i="7"/>
  <c r="J123" i="9" s="1"/>
  <c r="O123" i="7"/>
  <c r="K123" i="9" s="1"/>
  <c r="Q123" i="7"/>
  <c r="M123" i="9" s="1"/>
  <c r="N136" i="7"/>
  <c r="J136" i="9" s="1"/>
  <c r="O136" i="7"/>
  <c r="K136" i="9" s="1"/>
  <c r="F136" i="7"/>
  <c r="B136" i="9" s="1"/>
  <c r="G136" i="7"/>
  <c r="C136" i="9" s="1"/>
  <c r="H136" i="7"/>
  <c r="D136" i="9" s="1"/>
  <c r="J136" i="7"/>
  <c r="F136" i="9" s="1"/>
  <c r="I136" i="7"/>
  <c r="E136" i="9" s="1"/>
  <c r="M136" i="7"/>
  <c r="I136" i="9" s="1"/>
  <c r="L136" i="7"/>
  <c r="H136" i="9" s="1"/>
  <c r="Q136" i="7"/>
  <c r="M136" i="9" s="1"/>
  <c r="K136" i="7"/>
  <c r="G136" i="9" s="1"/>
  <c r="P136" i="7"/>
  <c r="L136" i="9" s="1"/>
  <c r="A32" i="8"/>
  <c r="I32" i="7"/>
  <c r="J32" i="7"/>
  <c r="K32" i="7"/>
  <c r="N32" i="7"/>
  <c r="O32" i="7"/>
  <c r="P32" i="7"/>
  <c r="Q32" i="7"/>
  <c r="L32" i="7"/>
  <c r="M32" i="7"/>
  <c r="F32" i="7"/>
  <c r="G32" i="7"/>
  <c r="H32" i="7"/>
  <c r="A56" i="8"/>
  <c r="Q56" i="7"/>
  <c r="I56" i="7"/>
  <c r="L56" i="7"/>
  <c r="M56" i="7"/>
  <c r="N56" i="7"/>
  <c r="P56" i="7"/>
  <c r="O56" i="7"/>
  <c r="G56" i="7"/>
  <c r="J56" i="7"/>
  <c r="F56" i="7"/>
  <c r="H56" i="7"/>
  <c r="K56" i="7"/>
  <c r="H169" i="7"/>
  <c r="D169" i="9" s="1"/>
  <c r="I169" i="7"/>
  <c r="E169" i="9" s="1"/>
  <c r="K169" i="7"/>
  <c r="G169" i="9" s="1"/>
  <c r="M169" i="7"/>
  <c r="I169" i="9" s="1"/>
  <c r="N169" i="7"/>
  <c r="J169" i="9" s="1"/>
  <c r="O169" i="7"/>
  <c r="K169" i="9" s="1"/>
  <c r="F169" i="7"/>
  <c r="B169" i="9" s="1"/>
  <c r="G169" i="7"/>
  <c r="C169" i="9" s="1"/>
  <c r="J169" i="7"/>
  <c r="F169" i="9" s="1"/>
  <c r="L169" i="7"/>
  <c r="H169" i="9" s="1"/>
  <c r="P169" i="7"/>
  <c r="L169" i="9" s="1"/>
  <c r="Q169" i="7"/>
  <c r="M169" i="9" s="1"/>
  <c r="J187" i="7"/>
  <c r="F187" i="9" s="1"/>
  <c r="K187" i="7"/>
  <c r="G187" i="9" s="1"/>
  <c r="L187" i="7"/>
  <c r="H187" i="9" s="1"/>
  <c r="G187" i="7"/>
  <c r="C187" i="9" s="1"/>
  <c r="P187" i="7"/>
  <c r="L187" i="9" s="1"/>
  <c r="H187" i="7"/>
  <c r="D187" i="9" s="1"/>
  <c r="M187" i="7"/>
  <c r="I187" i="9" s="1"/>
  <c r="N187" i="7"/>
  <c r="J187" i="9" s="1"/>
  <c r="O187" i="7"/>
  <c r="K187" i="9" s="1"/>
  <c r="Q187" i="7"/>
  <c r="M187" i="9" s="1"/>
  <c r="I187" i="7"/>
  <c r="E187" i="9" s="1"/>
  <c r="F187" i="7"/>
  <c r="B187" i="9" s="1"/>
  <c r="A76" i="8"/>
  <c r="M76" i="7"/>
  <c r="N76" i="7"/>
  <c r="O76" i="7"/>
  <c r="F76" i="7"/>
  <c r="G76" i="7"/>
  <c r="I76" i="7"/>
  <c r="L76" i="7"/>
  <c r="Q76" i="7"/>
  <c r="P76" i="7"/>
  <c r="K76" i="7"/>
  <c r="H76" i="7"/>
  <c r="J76" i="7"/>
  <c r="G149" i="7"/>
  <c r="C149" i="9" s="1"/>
  <c r="J149" i="7"/>
  <c r="F149" i="9" s="1"/>
  <c r="K149" i="7"/>
  <c r="G149" i="9" s="1"/>
  <c r="F149" i="7"/>
  <c r="B149" i="9" s="1"/>
  <c r="H149" i="7"/>
  <c r="D149" i="9" s="1"/>
  <c r="I149" i="7"/>
  <c r="E149" i="9" s="1"/>
  <c r="L149" i="7"/>
  <c r="H149" i="9" s="1"/>
  <c r="M149" i="7"/>
  <c r="I149" i="9" s="1"/>
  <c r="O149" i="7"/>
  <c r="K149" i="9" s="1"/>
  <c r="N149" i="7"/>
  <c r="J149" i="9" s="1"/>
  <c r="P149" i="7"/>
  <c r="L149" i="9" s="1"/>
  <c r="Q149" i="7"/>
  <c r="M149" i="9" s="1"/>
  <c r="P125" i="7"/>
  <c r="L125" i="9" s="1"/>
  <c r="Q125" i="7"/>
  <c r="M125" i="9" s="1"/>
  <c r="N125" i="7"/>
  <c r="J125" i="9" s="1"/>
  <c r="O125" i="7"/>
  <c r="K125" i="9" s="1"/>
  <c r="K125" i="7"/>
  <c r="G125" i="9" s="1"/>
  <c r="L125" i="7"/>
  <c r="H125" i="9" s="1"/>
  <c r="M125" i="7"/>
  <c r="I125" i="9" s="1"/>
  <c r="F125" i="7"/>
  <c r="B125" i="9" s="1"/>
  <c r="G125" i="7"/>
  <c r="C125" i="9" s="1"/>
  <c r="H125" i="7"/>
  <c r="D125" i="9" s="1"/>
  <c r="I125" i="7"/>
  <c r="E125" i="9" s="1"/>
  <c r="J125" i="7"/>
  <c r="F125" i="9" s="1"/>
  <c r="J178" i="7"/>
  <c r="F178" i="9" s="1"/>
  <c r="K178" i="7"/>
  <c r="G178" i="9" s="1"/>
  <c r="F178" i="7"/>
  <c r="B178" i="9" s="1"/>
  <c r="G178" i="7"/>
  <c r="C178" i="9" s="1"/>
  <c r="H178" i="7"/>
  <c r="D178" i="9" s="1"/>
  <c r="I178" i="7"/>
  <c r="E178" i="9" s="1"/>
  <c r="O178" i="7"/>
  <c r="K178" i="9" s="1"/>
  <c r="L178" i="7"/>
  <c r="H178" i="9" s="1"/>
  <c r="N178" i="7"/>
  <c r="J178" i="9" s="1"/>
  <c r="P178" i="7"/>
  <c r="L178" i="9" s="1"/>
  <c r="M178" i="7"/>
  <c r="I178" i="9" s="1"/>
  <c r="Q178" i="7"/>
  <c r="M178" i="9" s="1"/>
  <c r="A5" i="8"/>
  <c r="H5" i="7"/>
  <c r="I5" i="7"/>
  <c r="J5" i="7"/>
  <c r="N5" i="7"/>
  <c r="P5" i="7"/>
  <c r="O5" i="7"/>
  <c r="G5" i="7"/>
  <c r="M5" i="7"/>
  <c r="F5" i="7"/>
  <c r="K5" i="7"/>
  <c r="L5" i="7"/>
  <c r="Q5" i="7"/>
  <c r="A43" i="8"/>
  <c r="N43" i="7"/>
  <c r="O43" i="7"/>
  <c r="P43" i="7"/>
  <c r="Q43" i="7"/>
  <c r="H43" i="7"/>
  <c r="F43" i="7"/>
  <c r="G43" i="7"/>
  <c r="M43" i="7"/>
  <c r="K43" i="7"/>
  <c r="I43" i="7"/>
  <c r="J43" i="7"/>
  <c r="L43" i="7"/>
  <c r="A46" i="8"/>
  <c r="Q46" i="7"/>
  <c r="O46" i="7"/>
  <c r="P46" i="7"/>
  <c r="H46" i="7"/>
  <c r="M46" i="7"/>
  <c r="F46" i="7"/>
  <c r="I46" i="7"/>
  <c r="N46" i="7"/>
  <c r="J46" i="7"/>
  <c r="G46" i="7"/>
  <c r="K46" i="7"/>
  <c r="L46" i="7"/>
  <c r="A50" i="8"/>
  <c r="Q50" i="7"/>
  <c r="F50" i="7"/>
  <c r="I50" i="7"/>
  <c r="J50" i="7"/>
  <c r="K50" i="7"/>
  <c r="G50" i="7"/>
  <c r="H50" i="7"/>
  <c r="L50" i="7"/>
  <c r="O50" i="7"/>
  <c r="M50" i="7"/>
  <c r="N50" i="7"/>
  <c r="P50" i="7"/>
  <c r="K102" i="7"/>
  <c r="G102" i="9" s="1"/>
  <c r="O102" i="7"/>
  <c r="K102" i="9" s="1"/>
  <c r="Q102" i="7"/>
  <c r="M102" i="9" s="1"/>
  <c r="L102" i="7"/>
  <c r="H102" i="9" s="1"/>
  <c r="P102" i="7"/>
  <c r="L102" i="9" s="1"/>
  <c r="M102" i="7"/>
  <c r="I102" i="9" s="1"/>
  <c r="N102" i="7"/>
  <c r="J102" i="9" s="1"/>
  <c r="H102" i="7"/>
  <c r="D102" i="9" s="1"/>
  <c r="I102" i="7"/>
  <c r="E102" i="9" s="1"/>
  <c r="J102" i="7"/>
  <c r="F102" i="9" s="1"/>
  <c r="G102" i="7"/>
  <c r="C102" i="9" s="1"/>
  <c r="F102" i="7"/>
  <c r="B102" i="9" s="1"/>
  <c r="F153" i="7"/>
  <c r="D744" i="5" s="1"/>
  <c r="G153" i="7"/>
  <c r="E935" i="5" s="1"/>
  <c r="H153" i="7"/>
  <c r="F636" i="5" s="1"/>
  <c r="M153" i="7"/>
  <c r="L994" i="5" s="1"/>
  <c r="O153" i="7"/>
  <c r="N640" i="5" s="1"/>
  <c r="Q153" i="7"/>
  <c r="M153" i="9" s="1"/>
  <c r="I153" i="7"/>
  <c r="G925" i="5" s="1"/>
  <c r="K153" i="7"/>
  <c r="J958" i="5" s="1"/>
  <c r="J153" i="7"/>
  <c r="H803" i="5" s="1"/>
  <c r="N153" i="7"/>
  <c r="L153" i="7"/>
  <c r="P153" i="7"/>
  <c r="I944" i="5" s="1"/>
  <c r="A40" i="8"/>
  <c r="G40" i="7"/>
  <c r="J40" i="7"/>
  <c r="L40" i="7"/>
  <c r="K40" i="7"/>
  <c r="M40" i="7"/>
  <c r="F40" i="7"/>
  <c r="I40" i="7"/>
  <c r="O40" i="7"/>
  <c r="H40" i="7"/>
  <c r="N40" i="7"/>
  <c r="P40" i="7"/>
  <c r="Q40" i="7"/>
  <c r="A44" i="8"/>
  <c r="M44" i="7"/>
  <c r="N44" i="7"/>
  <c r="O44" i="7"/>
  <c r="H44" i="7"/>
  <c r="I44" i="7"/>
  <c r="J44" i="7"/>
  <c r="G44" i="7"/>
  <c r="F44" i="7"/>
  <c r="K44" i="7"/>
  <c r="P44" i="7"/>
  <c r="L44" i="7"/>
  <c r="Q44" i="7"/>
  <c r="A53" i="8"/>
  <c r="M53" i="7"/>
  <c r="H53" i="7"/>
  <c r="K53" i="7"/>
  <c r="F53" i="7"/>
  <c r="G53" i="7"/>
  <c r="I53" i="7"/>
  <c r="J53" i="7"/>
  <c r="N53" i="7"/>
  <c r="L53" i="7"/>
  <c r="P53" i="7"/>
  <c r="O53" i="7"/>
  <c r="Q53" i="7"/>
  <c r="A80" i="8"/>
  <c r="M80" i="7"/>
  <c r="Q80" i="7"/>
  <c r="N80" i="7"/>
  <c r="O80" i="7"/>
  <c r="P80" i="7"/>
  <c r="F80" i="7"/>
  <c r="G80" i="7"/>
  <c r="H80" i="7"/>
  <c r="I80" i="7"/>
  <c r="J80" i="7"/>
  <c r="K80" i="7"/>
  <c r="L80" i="7"/>
  <c r="F129" i="7"/>
  <c r="B129" i="9" s="1"/>
  <c r="G129" i="7"/>
  <c r="C129" i="9" s="1"/>
  <c r="H129" i="7"/>
  <c r="D129" i="9" s="1"/>
  <c r="I129" i="7"/>
  <c r="E129" i="9" s="1"/>
  <c r="K129" i="7"/>
  <c r="G129" i="9" s="1"/>
  <c r="M129" i="7"/>
  <c r="I129" i="9" s="1"/>
  <c r="J129" i="7"/>
  <c r="F129" i="9" s="1"/>
  <c r="L129" i="7"/>
  <c r="H129" i="9" s="1"/>
  <c r="N129" i="7"/>
  <c r="J129" i="9" s="1"/>
  <c r="P129" i="7"/>
  <c r="L129" i="9" s="1"/>
  <c r="Q129" i="7"/>
  <c r="M129" i="9" s="1"/>
  <c r="O129" i="7"/>
  <c r="K129" i="9" s="1"/>
  <c r="A16" i="8"/>
  <c r="O16" i="7"/>
  <c r="P16" i="7"/>
  <c r="Q16" i="7"/>
  <c r="G16" i="7"/>
  <c r="L16" i="7"/>
  <c r="M16" i="7"/>
  <c r="H16" i="7"/>
  <c r="I16" i="7"/>
  <c r="J16" i="7"/>
  <c r="K16" i="7"/>
  <c r="N16" i="7"/>
  <c r="F16" i="7"/>
  <c r="M108" i="7"/>
  <c r="I108" i="9" s="1"/>
  <c r="N108" i="7"/>
  <c r="J108" i="9" s="1"/>
  <c r="O108" i="7"/>
  <c r="K108" i="9" s="1"/>
  <c r="G108" i="7"/>
  <c r="C108" i="9" s="1"/>
  <c r="H108" i="7"/>
  <c r="D108" i="9" s="1"/>
  <c r="I108" i="7"/>
  <c r="E108" i="9" s="1"/>
  <c r="L108" i="7"/>
  <c r="H108" i="9" s="1"/>
  <c r="P108" i="7"/>
  <c r="L108" i="9" s="1"/>
  <c r="Q108" i="7"/>
  <c r="M108" i="9" s="1"/>
  <c r="J108" i="7"/>
  <c r="F108" i="9" s="1"/>
  <c r="K108" i="7"/>
  <c r="G108" i="9" s="1"/>
  <c r="F108" i="7"/>
  <c r="B108" i="9" s="1"/>
  <c r="A19" i="8"/>
  <c r="L19" i="7"/>
  <c r="M19" i="7"/>
  <c r="N19" i="7"/>
  <c r="I19" i="7"/>
  <c r="J19" i="7"/>
  <c r="K19" i="7"/>
  <c r="Q19" i="7"/>
  <c r="O19" i="7"/>
  <c r="P19" i="7"/>
  <c r="H19" i="7"/>
  <c r="F19" i="7"/>
  <c r="G19" i="7"/>
  <c r="A31" i="8"/>
  <c r="P31" i="7"/>
  <c r="Q31" i="7"/>
  <c r="I31" i="7"/>
  <c r="K31" i="7"/>
  <c r="L31" i="7"/>
  <c r="F31" i="7"/>
  <c r="J31" i="7"/>
  <c r="M31" i="7"/>
  <c r="G31" i="7"/>
  <c r="H31" i="7"/>
  <c r="N31" i="7"/>
  <c r="O31" i="7"/>
  <c r="M183" i="7"/>
  <c r="I183" i="9" s="1"/>
  <c r="P183" i="7"/>
  <c r="L183" i="9" s="1"/>
  <c r="N183" i="7"/>
  <c r="J183" i="9" s="1"/>
  <c r="Q183" i="7"/>
  <c r="M183" i="9" s="1"/>
  <c r="O183" i="7"/>
  <c r="K183" i="9" s="1"/>
  <c r="L183" i="7"/>
  <c r="H183" i="9" s="1"/>
  <c r="F183" i="7"/>
  <c r="B183" i="9" s="1"/>
  <c r="K183" i="7"/>
  <c r="G183" i="9" s="1"/>
  <c r="G183" i="7"/>
  <c r="C183" i="9" s="1"/>
  <c r="H183" i="7"/>
  <c r="D183" i="9" s="1"/>
  <c r="I183" i="7"/>
  <c r="E183" i="9" s="1"/>
  <c r="J183" i="7"/>
  <c r="F183" i="9" s="1"/>
  <c r="I96" i="7"/>
  <c r="E96" i="9" s="1"/>
  <c r="J96" i="7"/>
  <c r="F96" i="9" s="1"/>
  <c r="K96" i="7"/>
  <c r="G96" i="9" s="1"/>
  <c r="N96" i="7"/>
  <c r="J96" i="9" s="1"/>
  <c r="O96" i="7"/>
  <c r="K96" i="9" s="1"/>
  <c r="P96" i="7"/>
  <c r="L96" i="9" s="1"/>
  <c r="Q96" i="7"/>
  <c r="M96" i="9" s="1"/>
  <c r="G96" i="7"/>
  <c r="C96" i="9" s="1"/>
  <c r="L96" i="7"/>
  <c r="H96" i="9" s="1"/>
  <c r="M96" i="7"/>
  <c r="I96" i="9" s="1"/>
  <c r="H96" i="7"/>
  <c r="D96" i="9" s="1"/>
  <c r="F96" i="7"/>
  <c r="B96" i="9" s="1"/>
  <c r="A25" i="8"/>
  <c r="F25" i="7"/>
  <c r="I25" i="7"/>
  <c r="J25" i="7"/>
  <c r="K25" i="7"/>
  <c r="P25" i="7"/>
  <c r="Q25" i="7"/>
  <c r="L25" i="7"/>
  <c r="M25" i="7"/>
  <c r="N25" i="7"/>
  <c r="O25" i="7"/>
  <c r="H25" i="7"/>
  <c r="G25" i="7"/>
  <c r="F198" i="7"/>
  <c r="B198" i="9" s="1"/>
  <c r="L198" i="7"/>
  <c r="H198" i="9" s="1"/>
  <c r="G198" i="7"/>
  <c r="C198" i="9" s="1"/>
  <c r="H198" i="7"/>
  <c r="D198" i="9" s="1"/>
  <c r="I198" i="7"/>
  <c r="E198" i="9" s="1"/>
  <c r="J198" i="7"/>
  <c r="F198" i="9" s="1"/>
  <c r="K198" i="7"/>
  <c r="G198" i="9" s="1"/>
  <c r="M198" i="7"/>
  <c r="I198" i="9" s="1"/>
  <c r="O198" i="7"/>
  <c r="K198" i="9" s="1"/>
  <c r="P198" i="7"/>
  <c r="L198" i="9" s="1"/>
  <c r="Q198" i="7"/>
  <c r="M198" i="9" s="1"/>
  <c r="N198" i="7"/>
  <c r="J198" i="9" s="1"/>
  <c r="A22" i="8"/>
  <c r="K22" i="7"/>
  <c r="L22" i="7"/>
  <c r="N22" i="7"/>
  <c r="M22" i="7"/>
  <c r="I22" i="7"/>
  <c r="J22" i="7"/>
  <c r="O22" i="7"/>
  <c r="F22" i="7"/>
  <c r="G22" i="7"/>
  <c r="H22" i="7"/>
  <c r="Q22" i="7"/>
  <c r="P22" i="7"/>
  <c r="A35" i="8"/>
  <c r="N35" i="7"/>
  <c r="O35" i="7"/>
  <c r="P35" i="7"/>
  <c r="Q35" i="7"/>
  <c r="F35" i="7"/>
  <c r="G35" i="7"/>
  <c r="J35" i="7"/>
  <c r="H35" i="7"/>
  <c r="K35" i="7"/>
  <c r="L35" i="7"/>
  <c r="I35" i="7"/>
  <c r="M35" i="7"/>
  <c r="J115" i="7"/>
  <c r="F115" i="9" s="1"/>
  <c r="K115" i="7"/>
  <c r="G115" i="9" s="1"/>
  <c r="N115" i="7"/>
  <c r="J115" i="9" s="1"/>
  <c r="F115" i="7"/>
  <c r="B115" i="9" s="1"/>
  <c r="I115" i="7"/>
  <c r="E115" i="9" s="1"/>
  <c r="G115" i="7"/>
  <c r="C115" i="9" s="1"/>
  <c r="M115" i="7"/>
  <c r="I115" i="9" s="1"/>
  <c r="H115" i="7"/>
  <c r="D115" i="9" s="1"/>
  <c r="O115" i="7"/>
  <c r="K115" i="9" s="1"/>
  <c r="L115" i="7"/>
  <c r="H115" i="9" s="1"/>
  <c r="P115" i="7"/>
  <c r="L115" i="9" s="1"/>
  <c r="Q115" i="7"/>
  <c r="M115" i="9" s="1"/>
  <c r="F191" i="7"/>
  <c r="B191" i="9" s="1"/>
  <c r="H191" i="7"/>
  <c r="D191" i="9" s="1"/>
  <c r="I191" i="7"/>
  <c r="E191" i="9" s="1"/>
  <c r="G191" i="7"/>
  <c r="C191" i="9" s="1"/>
  <c r="K191" i="7"/>
  <c r="G191" i="9" s="1"/>
  <c r="M191" i="7"/>
  <c r="I191" i="9" s="1"/>
  <c r="N191" i="7"/>
  <c r="J191" i="9" s="1"/>
  <c r="P191" i="7"/>
  <c r="L191" i="9" s="1"/>
  <c r="J191" i="7"/>
  <c r="F191" i="9" s="1"/>
  <c r="L191" i="7"/>
  <c r="H191" i="9" s="1"/>
  <c r="O191" i="7"/>
  <c r="K191" i="9" s="1"/>
  <c r="Q191" i="7"/>
  <c r="M191" i="9" s="1"/>
  <c r="A7" i="8"/>
  <c r="N7" i="7"/>
  <c r="O7" i="7"/>
  <c r="P7" i="7"/>
  <c r="Q7" i="7"/>
  <c r="M7" i="7"/>
  <c r="F7" i="7"/>
  <c r="J7" i="7"/>
  <c r="L7" i="7"/>
  <c r="G7" i="7"/>
  <c r="H7" i="7"/>
  <c r="I7" i="7"/>
  <c r="K7" i="7"/>
  <c r="A61" i="8"/>
  <c r="P61" i="7"/>
  <c r="Q61" i="7"/>
  <c r="F61" i="7"/>
  <c r="H61" i="7"/>
  <c r="G61" i="7"/>
  <c r="I61" i="7"/>
  <c r="J61" i="7"/>
  <c r="O61" i="7"/>
  <c r="K61" i="7"/>
  <c r="N61" i="7"/>
  <c r="L61" i="7"/>
  <c r="M61" i="7"/>
  <c r="A10" i="8"/>
  <c r="G10" i="7"/>
  <c r="H10" i="7"/>
  <c r="I10" i="7"/>
  <c r="J10" i="7"/>
  <c r="F10" i="7"/>
  <c r="K10" i="7"/>
  <c r="L10" i="7"/>
  <c r="M10" i="7"/>
  <c r="N10" i="7"/>
  <c r="O10" i="7"/>
  <c r="P10" i="7"/>
  <c r="Q10" i="7"/>
  <c r="F116" i="7"/>
  <c r="B116" i="9" s="1"/>
  <c r="G116" i="7"/>
  <c r="C116" i="9" s="1"/>
  <c r="Q116" i="7"/>
  <c r="M116" i="9" s="1"/>
  <c r="M116" i="7"/>
  <c r="I116" i="9" s="1"/>
  <c r="H116" i="7"/>
  <c r="D116" i="9" s="1"/>
  <c r="K116" i="7"/>
  <c r="G116" i="9" s="1"/>
  <c r="L116" i="7"/>
  <c r="H116" i="9" s="1"/>
  <c r="I116" i="7"/>
  <c r="E116" i="9" s="1"/>
  <c r="J116" i="7"/>
  <c r="F116" i="9" s="1"/>
  <c r="O116" i="7"/>
  <c r="K116" i="9" s="1"/>
  <c r="N116" i="7"/>
  <c r="J116" i="9" s="1"/>
  <c r="P116" i="7"/>
  <c r="L116" i="9" s="1"/>
  <c r="F134" i="7"/>
  <c r="B134" i="9" s="1"/>
  <c r="J134" i="7"/>
  <c r="F134" i="9" s="1"/>
  <c r="K134" i="7"/>
  <c r="G134" i="9" s="1"/>
  <c r="N134" i="7"/>
  <c r="J134" i="9" s="1"/>
  <c r="O134" i="7"/>
  <c r="K134" i="9" s="1"/>
  <c r="P134" i="7"/>
  <c r="L134" i="9" s="1"/>
  <c r="L134" i="7"/>
  <c r="H134" i="9" s="1"/>
  <c r="Q134" i="7"/>
  <c r="M134" i="9" s="1"/>
  <c r="M134" i="7"/>
  <c r="I134" i="9" s="1"/>
  <c r="I134" i="7"/>
  <c r="E134" i="9" s="1"/>
  <c r="G134" i="7"/>
  <c r="C134" i="9" s="1"/>
  <c r="H134" i="7"/>
  <c r="D134" i="9" s="1"/>
  <c r="A58" i="8"/>
  <c r="F58" i="7"/>
  <c r="G58" i="7"/>
  <c r="I58" i="7"/>
  <c r="H58" i="7"/>
  <c r="L58" i="7"/>
  <c r="J58" i="7"/>
  <c r="K58" i="7"/>
  <c r="O58" i="7"/>
  <c r="M58" i="7"/>
  <c r="N58" i="7"/>
  <c r="P58" i="7"/>
  <c r="Q58" i="7"/>
  <c r="O119" i="7"/>
  <c r="K119" i="9" s="1"/>
  <c r="P119" i="7"/>
  <c r="L119" i="9" s="1"/>
  <c r="Q119" i="7"/>
  <c r="M119" i="9" s="1"/>
  <c r="F119" i="7"/>
  <c r="B119" i="9" s="1"/>
  <c r="I119" i="7"/>
  <c r="E119" i="9" s="1"/>
  <c r="M119" i="7"/>
  <c r="I119" i="9" s="1"/>
  <c r="G119" i="7"/>
  <c r="C119" i="9" s="1"/>
  <c r="H119" i="7"/>
  <c r="D119" i="9" s="1"/>
  <c r="J119" i="7"/>
  <c r="F119" i="9" s="1"/>
  <c r="K119" i="7"/>
  <c r="G119" i="9" s="1"/>
  <c r="L119" i="7"/>
  <c r="H119" i="9" s="1"/>
  <c r="N119" i="7"/>
  <c r="J119" i="9" s="1"/>
  <c r="N151" i="7"/>
  <c r="J151" i="9" s="1"/>
  <c r="O151" i="7"/>
  <c r="K151" i="9" s="1"/>
  <c r="P151" i="7"/>
  <c r="L151" i="9" s="1"/>
  <c r="Q151" i="7"/>
  <c r="M151" i="9" s="1"/>
  <c r="L151" i="7"/>
  <c r="H151" i="9" s="1"/>
  <c r="H151" i="7"/>
  <c r="D151" i="9" s="1"/>
  <c r="F151" i="7"/>
  <c r="B151" i="9" s="1"/>
  <c r="J151" i="7"/>
  <c r="F151" i="9" s="1"/>
  <c r="G151" i="7"/>
  <c r="C151" i="9" s="1"/>
  <c r="I151" i="7"/>
  <c r="E151" i="9" s="1"/>
  <c r="K151" i="7"/>
  <c r="G151" i="9" s="1"/>
  <c r="M151" i="7"/>
  <c r="I151" i="9" s="1"/>
  <c r="I105" i="7"/>
  <c r="E105" i="9" s="1"/>
  <c r="N105" i="7"/>
  <c r="J105" i="9" s="1"/>
  <c r="P105" i="7"/>
  <c r="L105" i="9" s="1"/>
  <c r="J105" i="7"/>
  <c r="F105" i="9" s="1"/>
  <c r="O105" i="7"/>
  <c r="K105" i="9" s="1"/>
  <c r="K105" i="7"/>
  <c r="G105" i="9" s="1"/>
  <c r="M105" i="7"/>
  <c r="I105" i="9" s="1"/>
  <c r="Q105" i="7"/>
  <c r="M105" i="9" s="1"/>
  <c r="L105" i="7"/>
  <c r="H105" i="9" s="1"/>
  <c r="G105" i="7"/>
  <c r="C105" i="9" s="1"/>
  <c r="F105" i="7"/>
  <c r="B105" i="9" s="1"/>
  <c r="H105" i="7"/>
  <c r="D105" i="9" s="1"/>
  <c r="F148" i="7"/>
  <c r="B148" i="9" s="1"/>
  <c r="G148" i="7"/>
  <c r="C148" i="9" s="1"/>
  <c r="P148" i="7"/>
  <c r="L148" i="9" s="1"/>
  <c r="Q148" i="7"/>
  <c r="M148" i="9" s="1"/>
  <c r="H148" i="7"/>
  <c r="D148" i="9" s="1"/>
  <c r="I148" i="7"/>
  <c r="E148" i="9" s="1"/>
  <c r="L148" i="7"/>
  <c r="H148" i="9" s="1"/>
  <c r="N148" i="7"/>
  <c r="J148" i="9" s="1"/>
  <c r="K148" i="7"/>
  <c r="G148" i="9" s="1"/>
  <c r="M148" i="7"/>
  <c r="I148" i="9" s="1"/>
  <c r="J148" i="7"/>
  <c r="F148" i="9" s="1"/>
  <c r="O148" i="7"/>
  <c r="K148" i="9" s="1"/>
  <c r="G161" i="7"/>
  <c r="C161" i="9" s="1"/>
  <c r="H161" i="7"/>
  <c r="D161" i="9" s="1"/>
  <c r="F161" i="7"/>
  <c r="B161" i="9" s="1"/>
  <c r="I161" i="7"/>
  <c r="E161" i="9" s="1"/>
  <c r="J161" i="7"/>
  <c r="F161" i="9" s="1"/>
  <c r="M161" i="7"/>
  <c r="I161" i="9" s="1"/>
  <c r="K161" i="7"/>
  <c r="G161" i="9" s="1"/>
  <c r="L161" i="7"/>
  <c r="H161" i="9" s="1"/>
  <c r="N161" i="7"/>
  <c r="J161" i="9" s="1"/>
  <c r="O161" i="7"/>
  <c r="K161" i="9" s="1"/>
  <c r="P161" i="7"/>
  <c r="L161" i="9" s="1"/>
  <c r="Q161" i="7"/>
  <c r="M161" i="9" s="1"/>
  <c r="A14" i="8"/>
  <c r="F14" i="7"/>
  <c r="G14" i="7"/>
  <c r="I14" i="7"/>
  <c r="H14" i="7"/>
  <c r="L14" i="7"/>
  <c r="N14" i="7"/>
  <c r="O14" i="7"/>
  <c r="M14" i="7"/>
  <c r="J14" i="7"/>
  <c r="K14" i="7"/>
  <c r="P14" i="7"/>
  <c r="Q14" i="7"/>
  <c r="A52" i="8"/>
  <c r="F52" i="7"/>
  <c r="G52" i="7"/>
  <c r="L52" i="7"/>
  <c r="M52" i="7"/>
  <c r="N52" i="7"/>
  <c r="O52" i="7"/>
  <c r="P52" i="7"/>
  <c r="Q52" i="7"/>
  <c r="J52" i="7"/>
  <c r="I52" i="7"/>
  <c r="K52" i="7"/>
  <c r="H52" i="7"/>
  <c r="A73" i="8"/>
  <c r="G73" i="7"/>
  <c r="F73" i="7"/>
  <c r="H73" i="7"/>
  <c r="M73" i="7"/>
  <c r="N73" i="7"/>
  <c r="O73" i="7"/>
  <c r="Q73" i="7"/>
  <c r="P73" i="7"/>
  <c r="J73" i="7"/>
  <c r="K73" i="7"/>
  <c r="I73" i="7"/>
  <c r="L73" i="7"/>
  <c r="P95" i="7"/>
  <c r="L95" i="9" s="1"/>
  <c r="Q95" i="7"/>
  <c r="M95" i="9" s="1"/>
  <c r="F95" i="7"/>
  <c r="B95" i="9" s="1"/>
  <c r="H95" i="7"/>
  <c r="D95" i="9" s="1"/>
  <c r="J95" i="7"/>
  <c r="F95" i="9" s="1"/>
  <c r="G95" i="7"/>
  <c r="C95" i="9" s="1"/>
  <c r="I95" i="7"/>
  <c r="E95" i="9" s="1"/>
  <c r="K95" i="7"/>
  <c r="G95" i="9" s="1"/>
  <c r="N95" i="7"/>
  <c r="J95" i="9" s="1"/>
  <c r="O95" i="7"/>
  <c r="K95" i="9" s="1"/>
  <c r="M95" i="7"/>
  <c r="I95" i="9" s="1"/>
  <c r="L95" i="7"/>
  <c r="H95" i="9" s="1"/>
  <c r="N103" i="7"/>
  <c r="J103" i="9" s="1"/>
  <c r="O103" i="7"/>
  <c r="K103" i="9" s="1"/>
  <c r="P103" i="7"/>
  <c r="L103" i="9" s="1"/>
  <c r="F103" i="7"/>
  <c r="B103" i="9" s="1"/>
  <c r="Q103" i="7"/>
  <c r="M103" i="9" s="1"/>
  <c r="H103" i="7"/>
  <c r="D103" i="9" s="1"/>
  <c r="K103" i="7"/>
  <c r="G103" i="9" s="1"/>
  <c r="I103" i="7"/>
  <c r="E103" i="9" s="1"/>
  <c r="J103" i="7"/>
  <c r="F103" i="9" s="1"/>
  <c r="M103" i="7"/>
  <c r="I103" i="9" s="1"/>
  <c r="G103" i="7"/>
  <c r="C103" i="9" s="1"/>
  <c r="L103" i="7"/>
  <c r="H103" i="9" s="1"/>
  <c r="F181" i="7"/>
  <c r="B181" i="9" s="1"/>
  <c r="H181" i="7"/>
  <c r="D181" i="9" s="1"/>
  <c r="J181" i="7"/>
  <c r="F181" i="9" s="1"/>
  <c r="G181" i="7"/>
  <c r="C181" i="9" s="1"/>
  <c r="I181" i="7"/>
  <c r="E181" i="9" s="1"/>
  <c r="K181" i="7"/>
  <c r="G181" i="9" s="1"/>
  <c r="M181" i="7"/>
  <c r="I181" i="9" s="1"/>
  <c r="N181" i="7"/>
  <c r="J181" i="9" s="1"/>
  <c r="O181" i="7"/>
  <c r="K181" i="9" s="1"/>
  <c r="P181" i="7"/>
  <c r="L181" i="9" s="1"/>
  <c r="Q181" i="7"/>
  <c r="M181" i="9" s="1"/>
  <c r="L181" i="7"/>
  <c r="H181" i="9" s="1"/>
  <c r="A70" i="8"/>
  <c r="F70" i="7"/>
  <c r="G70" i="7"/>
  <c r="H70" i="7"/>
  <c r="I70" i="7"/>
  <c r="L70" i="7"/>
  <c r="J70" i="7"/>
  <c r="K70" i="7"/>
  <c r="M70" i="7"/>
  <c r="N70" i="7"/>
  <c r="P70" i="7"/>
  <c r="O70" i="7"/>
  <c r="Q70" i="7"/>
  <c r="G104" i="7"/>
  <c r="C104" i="9" s="1"/>
  <c r="H104" i="7"/>
  <c r="D104" i="9" s="1"/>
  <c r="F104" i="7"/>
  <c r="B104" i="9" s="1"/>
  <c r="J104" i="7"/>
  <c r="F104" i="9" s="1"/>
  <c r="I104" i="7"/>
  <c r="E104" i="9" s="1"/>
  <c r="O104" i="7"/>
  <c r="K104" i="9" s="1"/>
  <c r="L104" i="7"/>
  <c r="H104" i="9" s="1"/>
  <c r="M104" i="7"/>
  <c r="I104" i="9" s="1"/>
  <c r="P104" i="7"/>
  <c r="L104" i="9" s="1"/>
  <c r="K104" i="7"/>
  <c r="G104" i="9" s="1"/>
  <c r="Q104" i="7"/>
  <c r="M104" i="9" s="1"/>
  <c r="N104" i="7"/>
  <c r="J104" i="9" s="1"/>
  <c r="A45" i="8"/>
  <c r="L45" i="7"/>
  <c r="G45" i="7"/>
  <c r="M45" i="7"/>
  <c r="H45" i="7"/>
  <c r="I45" i="7"/>
  <c r="P45" i="7"/>
  <c r="J45" i="7"/>
  <c r="K45" i="7"/>
  <c r="N45" i="7"/>
  <c r="O45" i="7"/>
  <c r="Q45" i="7"/>
  <c r="F45" i="7"/>
  <c r="A83" i="8"/>
  <c r="G83" i="7"/>
  <c r="H83" i="7"/>
  <c r="F83" i="7"/>
  <c r="J83" i="7"/>
  <c r="K83" i="7"/>
  <c r="N83" i="7"/>
  <c r="I83" i="7"/>
  <c r="M83" i="7"/>
  <c r="O83" i="7"/>
  <c r="L83" i="7"/>
  <c r="P83" i="7"/>
  <c r="Q83" i="7"/>
  <c r="A37" i="8"/>
  <c r="H37" i="7"/>
  <c r="I37" i="7"/>
  <c r="J37" i="7"/>
  <c r="K37" i="7"/>
  <c r="F37" i="7"/>
  <c r="O37" i="7"/>
  <c r="Q37" i="7"/>
  <c r="G37" i="7"/>
  <c r="M37" i="7"/>
  <c r="N37" i="7"/>
  <c r="P37" i="7"/>
  <c r="L37" i="7"/>
  <c r="A17" i="8"/>
  <c r="L17" i="7"/>
  <c r="M17" i="7"/>
  <c r="N17" i="7"/>
  <c r="O17" i="7"/>
  <c r="H17" i="7"/>
  <c r="I17" i="7"/>
  <c r="J17" i="7"/>
  <c r="K17" i="7"/>
  <c r="P17" i="7"/>
  <c r="Q17" i="7"/>
  <c r="F17" i="7"/>
  <c r="G17" i="7"/>
  <c r="A84" i="8"/>
  <c r="F84" i="7"/>
  <c r="G84" i="7"/>
  <c r="L84" i="7"/>
  <c r="M84" i="7"/>
  <c r="Q84" i="7"/>
  <c r="N84" i="7"/>
  <c r="O84" i="7"/>
  <c r="P84" i="7"/>
  <c r="J84" i="7"/>
  <c r="K84" i="7"/>
  <c r="H84" i="7"/>
  <c r="I84" i="7"/>
  <c r="H146" i="7"/>
  <c r="D146" i="9" s="1"/>
  <c r="F146" i="7"/>
  <c r="B146" i="9" s="1"/>
  <c r="I146" i="7"/>
  <c r="E146" i="9" s="1"/>
  <c r="J146" i="7"/>
  <c r="F146" i="9" s="1"/>
  <c r="K146" i="7"/>
  <c r="G146" i="9" s="1"/>
  <c r="G146" i="7"/>
  <c r="C146" i="9" s="1"/>
  <c r="L146" i="7"/>
  <c r="H146" i="9" s="1"/>
  <c r="M146" i="7"/>
  <c r="I146" i="9" s="1"/>
  <c r="N146" i="7"/>
  <c r="J146" i="9" s="1"/>
  <c r="O146" i="7"/>
  <c r="K146" i="9" s="1"/>
  <c r="P146" i="7"/>
  <c r="L146" i="9" s="1"/>
  <c r="Q146" i="7"/>
  <c r="M146" i="9" s="1"/>
  <c r="I192" i="7"/>
  <c r="E192" i="9" s="1"/>
  <c r="J192" i="7"/>
  <c r="F192" i="9" s="1"/>
  <c r="K192" i="7"/>
  <c r="G192" i="9" s="1"/>
  <c r="G192" i="7"/>
  <c r="C192" i="9" s="1"/>
  <c r="M192" i="7"/>
  <c r="I192" i="9" s="1"/>
  <c r="H192" i="7"/>
  <c r="D192" i="9" s="1"/>
  <c r="O192" i="7"/>
  <c r="K192" i="9" s="1"/>
  <c r="P192" i="7"/>
  <c r="L192" i="9" s="1"/>
  <c r="Q192" i="7"/>
  <c r="M192" i="9" s="1"/>
  <c r="L192" i="7"/>
  <c r="H192" i="9" s="1"/>
  <c r="N192" i="7"/>
  <c r="J192" i="9" s="1"/>
  <c r="F192" i="7"/>
  <c r="B192" i="9" s="1"/>
  <c r="K118" i="7"/>
  <c r="L118" i="7"/>
  <c r="M118" i="7"/>
  <c r="O118" i="7"/>
  <c r="P118" i="7"/>
  <c r="Q118" i="7"/>
  <c r="M118" i="9" s="1"/>
  <c r="G118" i="7"/>
  <c r="H118" i="7"/>
  <c r="J118" i="7"/>
  <c r="I118" i="7"/>
  <c r="N118" i="7"/>
  <c r="F118" i="7"/>
  <c r="A81" i="8"/>
  <c r="L81" i="7"/>
  <c r="M81" i="7"/>
  <c r="N81" i="7"/>
  <c r="J81" i="7"/>
  <c r="K81" i="7"/>
  <c r="O81" i="7"/>
  <c r="P81" i="7"/>
  <c r="Q81" i="7"/>
  <c r="H81" i="7"/>
  <c r="I81" i="7"/>
  <c r="F81" i="7"/>
  <c r="G81" i="7"/>
  <c r="Q114" i="7"/>
  <c r="M114" i="9" s="1"/>
  <c r="F114" i="7"/>
  <c r="B114" i="9" s="1"/>
  <c r="J114" i="7"/>
  <c r="F114" i="9" s="1"/>
  <c r="L114" i="7"/>
  <c r="H114" i="9" s="1"/>
  <c r="M114" i="7"/>
  <c r="I114" i="9" s="1"/>
  <c r="G114" i="7"/>
  <c r="C114" i="9" s="1"/>
  <c r="K114" i="7"/>
  <c r="G114" i="9" s="1"/>
  <c r="H114" i="7"/>
  <c r="D114" i="9" s="1"/>
  <c r="I114" i="7"/>
  <c r="E114" i="9" s="1"/>
  <c r="N114" i="7"/>
  <c r="J114" i="9" s="1"/>
  <c r="P114" i="7"/>
  <c r="L114" i="9" s="1"/>
  <c r="O114" i="7"/>
  <c r="K114" i="9" s="1"/>
  <c r="G106" i="7"/>
  <c r="C106" i="9" s="1"/>
  <c r="H106" i="7"/>
  <c r="D106" i="9" s="1"/>
  <c r="I106" i="7"/>
  <c r="E106" i="9" s="1"/>
  <c r="P106" i="7"/>
  <c r="L106" i="9" s="1"/>
  <c r="Q106" i="7"/>
  <c r="M106" i="9" s="1"/>
  <c r="N106" i="7"/>
  <c r="J106" i="9" s="1"/>
  <c r="O106" i="7"/>
  <c r="K106" i="9" s="1"/>
  <c r="J106" i="7"/>
  <c r="F106" i="9" s="1"/>
  <c r="K106" i="7"/>
  <c r="G106" i="9" s="1"/>
  <c r="F106" i="7"/>
  <c r="B106" i="9" s="1"/>
  <c r="L106" i="7"/>
  <c r="H106" i="9" s="1"/>
  <c r="M106" i="7"/>
  <c r="I106" i="9" s="1"/>
  <c r="A63" i="8"/>
  <c r="I63" i="7"/>
  <c r="J63" i="7"/>
  <c r="K63" i="7"/>
  <c r="M63" i="7"/>
  <c r="N63" i="7"/>
  <c r="O63" i="7"/>
  <c r="P63" i="7"/>
  <c r="Q63" i="7"/>
  <c r="L63" i="7"/>
  <c r="F63" i="7"/>
  <c r="G63" i="7"/>
  <c r="H63" i="7"/>
  <c r="A48" i="8"/>
  <c r="H48" i="7"/>
  <c r="G48" i="7"/>
  <c r="N48" i="7"/>
  <c r="O48" i="7"/>
  <c r="I48" i="7"/>
  <c r="J48" i="7"/>
  <c r="M48" i="7"/>
  <c r="P48" i="7"/>
  <c r="K48" i="7"/>
  <c r="L48" i="7"/>
  <c r="Q48" i="7"/>
  <c r="F48" i="7"/>
  <c r="J91" i="7"/>
  <c r="F91" i="9" s="1"/>
  <c r="K91" i="7"/>
  <c r="G91" i="9" s="1"/>
  <c r="L91" i="7"/>
  <c r="H91" i="9" s="1"/>
  <c r="G91" i="7"/>
  <c r="C91" i="9" s="1"/>
  <c r="H91" i="7"/>
  <c r="D91" i="9" s="1"/>
  <c r="F91" i="7"/>
  <c r="B91" i="9" s="1"/>
  <c r="I91" i="7"/>
  <c r="E91" i="9" s="1"/>
  <c r="P91" i="7"/>
  <c r="L91" i="9" s="1"/>
  <c r="N91" i="7"/>
  <c r="J91" i="9" s="1"/>
  <c r="M91" i="7"/>
  <c r="I91" i="9" s="1"/>
  <c r="O91" i="7"/>
  <c r="K91" i="9" s="1"/>
  <c r="Q91" i="7"/>
  <c r="M91" i="9" s="1"/>
  <c r="A74" i="8"/>
  <c r="G74" i="7"/>
  <c r="H74" i="7"/>
  <c r="I74" i="7"/>
  <c r="F74" i="7"/>
  <c r="J74" i="7"/>
  <c r="K74" i="7"/>
  <c r="L74" i="7"/>
  <c r="O74" i="7"/>
  <c r="M74" i="7"/>
  <c r="N74" i="7"/>
  <c r="Q74" i="7"/>
  <c r="P74" i="7"/>
  <c r="L145" i="7"/>
  <c r="H145" i="9" s="1"/>
  <c r="M145" i="7"/>
  <c r="I145" i="9" s="1"/>
  <c r="N145" i="7"/>
  <c r="J145" i="9" s="1"/>
  <c r="K145" i="7"/>
  <c r="G145" i="9" s="1"/>
  <c r="O145" i="7"/>
  <c r="K145" i="9" s="1"/>
  <c r="P145" i="7"/>
  <c r="L145" i="9" s="1"/>
  <c r="Q145" i="7"/>
  <c r="M145" i="9" s="1"/>
  <c r="I145" i="7"/>
  <c r="E145" i="9" s="1"/>
  <c r="F145" i="7"/>
  <c r="B145" i="9" s="1"/>
  <c r="G145" i="7"/>
  <c r="C145" i="9" s="1"/>
  <c r="H145" i="7"/>
  <c r="D145" i="9" s="1"/>
  <c r="J145" i="7"/>
  <c r="F145" i="9" s="1"/>
  <c r="H112" i="7"/>
  <c r="D112" i="9" s="1"/>
  <c r="I112" i="7"/>
  <c r="E112" i="9" s="1"/>
  <c r="F112" i="7"/>
  <c r="B112" i="9" s="1"/>
  <c r="G112" i="7"/>
  <c r="C112" i="9" s="1"/>
  <c r="L112" i="7"/>
  <c r="H112" i="9" s="1"/>
  <c r="Q112" i="7"/>
  <c r="M112" i="9" s="1"/>
  <c r="O112" i="7"/>
  <c r="K112" i="9" s="1"/>
  <c r="P112" i="7"/>
  <c r="L112" i="9" s="1"/>
  <c r="K112" i="7"/>
  <c r="G112" i="9" s="1"/>
  <c r="N112" i="7"/>
  <c r="J112" i="9" s="1"/>
  <c r="J112" i="7"/>
  <c r="F112" i="9" s="1"/>
  <c r="M112" i="7"/>
  <c r="I112" i="9" s="1"/>
  <c r="A55" i="8"/>
  <c r="H55" i="7"/>
  <c r="J55" i="7"/>
  <c r="I55" i="7"/>
  <c r="F55" i="7"/>
  <c r="L55" i="7"/>
  <c r="O55" i="7"/>
  <c r="Q55" i="7"/>
  <c r="G55" i="7"/>
  <c r="M55" i="7"/>
  <c r="N55" i="7"/>
  <c r="P55" i="7"/>
  <c r="K55" i="7"/>
  <c r="A72" i="8"/>
  <c r="M72" i="7"/>
  <c r="N72" i="7"/>
  <c r="Q72" i="7"/>
  <c r="O72" i="7"/>
  <c r="P72" i="7"/>
  <c r="F72" i="7"/>
  <c r="L72" i="7"/>
  <c r="G72" i="7"/>
  <c r="H72" i="7"/>
  <c r="I72" i="7"/>
  <c r="J72" i="7"/>
  <c r="K72" i="7"/>
  <c r="I127" i="7"/>
  <c r="E127" i="9" s="1"/>
  <c r="N127" i="7"/>
  <c r="J127" i="9" s="1"/>
  <c r="H127" i="7"/>
  <c r="D127" i="9" s="1"/>
  <c r="K127" i="7"/>
  <c r="G127" i="9" s="1"/>
  <c r="F127" i="7"/>
  <c r="B127" i="9" s="1"/>
  <c r="G127" i="7"/>
  <c r="C127" i="9" s="1"/>
  <c r="J127" i="7"/>
  <c r="F127" i="9" s="1"/>
  <c r="L127" i="7"/>
  <c r="H127" i="9" s="1"/>
  <c r="M127" i="7"/>
  <c r="I127" i="9" s="1"/>
  <c r="O127" i="7"/>
  <c r="K127" i="9" s="1"/>
  <c r="P127" i="7"/>
  <c r="L127" i="9" s="1"/>
  <c r="Q127" i="7"/>
  <c r="M127" i="9" s="1"/>
  <c r="A39" i="8"/>
  <c r="N39" i="7"/>
  <c r="O39" i="7"/>
  <c r="P39" i="7"/>
  <c r="I39" i="7"/>
  <c r="L39" i="7"/>
  <c r="K39" i="7"/>
  <c r="F39" i="7"/>
  <c r="J39" i="7"/>
  <c r="G39" i="7"/>
  <c r="H39" i="7"/>
  <c r="Q39" i="7"/>
  <c r="M39" i="7"/>
  <c r="F185" i="7"/>
  <c r="B185" i="9" s="1"/>
  <c r="M185" i="7"/>
  <c r="I185" i="9" s="1"/>
  <c r="N185" i="7"/>
  <c r="J185" i="9" s="1"/>
  <c r="G185" i="7"/>
  <c r="C185" i="9" s="1"/>
  <c r="P185" i="7"/>
  <c r="L185" i="9" s="1"/>
  <c r="H185" i="7"/>
  <c r="D185" i="9" s="1"/>
  <c r="I185" i="7"/>
  <c r="E185" i="9" s="1"/>
  <c r="O185" i="7"/>
  <c r="K185" i="9" s="1"/>
  <c r="Q185" i="7"/>
  <c r="M185" i="9" s="1"/>
  <c r="J185" i="7"/>
  <c r="F185" i="9" s="1"/>
  <c r="K185" i="7"/>
  <c r="G185" i="9" s="1"/>
  <c r="L185" i="7"/>
  <c r="H185" i="9" s="1"/>
  <c r="A11" i="8"/>
  <c r="H11" i="7"/>
  <c r="I11" i="7"/>
  <c r="J11" i="7"/>
  <c r="F11" i="7"/>
  <c r="O11" i="7"/>
  <c r="G11" i="7"/>
  <c r="N11" i="7"/>
  <c r="Q11" i="7"/>
  <c r="K11" i="7"/>
  <c r="M11" i="7"/>
  <c r="P11" i="7"/>
  <c r="L11" i="7"/>
  <c r="F175" i="7"/>
  <c r="B175" i="9" s="1"/>
  <c r="G175" i="7"/>
  <c r="C175" i="9" s="1"/>
  <c r="H175" i="7"/>
  <c r="D175" i="9" s="1"/>
  <c r="M175" i="7"/>
  <c r="I175" i="9" s="1"/>
  <c r="N175" i="7"/>
  <c r="J175" i="9" s="1"/>
  <c r="J175" i="7"/>
  <c r="F175" i="9" s="1"/>
  <c r="K175" i="7"/>
  <c r="G175" i="9" s="1"/>
  <c r="I175" i="7"/>
  <c r="E175" i="9" s="1"/>
  <c r="L175" i="7"/>
  <c r="H175" i="9" s="1"/>
  <c r="Q175" i="7"/>
  <c r="M175" i="9" s="1"/>
  <c r="O175" i="7"/>
  <c r="K175" i="9" s="1"/>
  <c r="P175" i="7"/>
  <c r="L175" i="9" s="1"/>
  <c r="A57" i="8"/>
  <c r="F57" i="7"/>
  <c r="Q57" i="7"/>
  <c r="K57" i="7"/>
  <c r="P57" i="7"/>
  <c r="L57" i="7"/>
  <c r="M57" i="7"/>
  <c r="N57" i="7"/>
  <c r="O57" i="7"/>
  <c r="J57" i="7"/>
  <c r="G57" i="7"/>
  <c r="H57" i="7"/>
  <c r="I57" i="7"/>
  <c r="M99" i="7"/>
  <c r="I99" i="9" s="1"/>
  <c r="N99" i="7"/>
  <c r="J99" i="9" s="1"/>
  <c r="O99" i="7"/>
  <c r="K99" i="9" s="1"/>
  <c r="P99" i="7"/>
  <c r="L99" i="9" s="1"/>
  <c r="Q99" i="7"/>
  <c r="M99" i="9" s="1"/>
  <c r="F99" i="7"/>
  <c r="B99" i="9" s="1"/>
  <c r="H99" i="7"/>
  <c r="D99" i="9" s="1"/>
  <c r="J99" i="7"/>
  <c r="F99" i="9" s="1"/>
  <c r="L99" i="7"/>
  <c r="H99" i="9" s="1"/>
  <c r="G99" i="7"/>
  <c r="C99" i="9" s="1"/>
  <c r="I99" i="7"/>
  <c r="E99" i="9" s="1"/>
  <c r="K99" i="7"/>
  <c r="G99" i="9" s="1"/>
  <c r="Q152" i="7"/>
  <c r="M152" i="9" s="1"/>
  <c r="P152" i="7"/>
  <c r="L152" i="9" s="1"/>
  <c r="F152" i="7"/>
  <c r="B152" i="9" s="1"/>
  <c r="H152" i="7"/>
  <c r="D152" i="9" s="1"/>
  <c r="I152" i="7"/>
  <c r="E152" i="9" s="1"/>
  <c r="G152" i="7"/>
  <c r="C152" i="9" s="1"/>
  <c r="J152" i="7"/>
  <c r="F152" i="9" s="1"/>
  <c r="K152" i="7"/>
  <c r="G152" i="9" s="1"/>
  <c r="N152" i="7"/>
  <c r="J152" i="9" s="1"/>
  <c r="O152" i="7"/>
  <c r="K152" i="9" s="1"/>
  <c r="L152" i="7"/>
  <c r="H152" i="9" s="1"/>
  <c r="M152" i="7"/>
  <c r="I152" i="9" s="1"/>
  <c r="F180" i="7"/>
  <c r="B180" i="9" s="1"/>
  <c r="G180" i="7"/>
  <c r="C180" i="9" s="1"/>
  <c r="H180" i="7"/>
  <c r="D180" i="9" s="1"/>
  <c r="I180" i="7"/>
  <c r="E180" i="9" s="1"/>
  <c r="O180" i="7"/>
  <c r="K180" i="9" s="1"/>
  <c r="P180" i="7"/>
  <c r="L180" i="9" s="1"/>
  <c r="Q180" i="7"/>
  <c r="M180" i="9" s="1"/>
  <c r="J180" i="7"/>
  <c r="F180" i="9" s="1"/>
  <c r="K180" i="7"/>
  <c r="G180" i="9" s="1"/>
  <c r="M180" i="7"/>
  <c r="I180" i="9" s="1"/>
  <c r="N180" i="7"/>
  <c r="J180" i="9" s="1"/>
  <c r="L180" i="7"/>
  <c r="H180" i="9" s="1"/>
  <c r="A28" i="8"/>
  <c r="F28" i="7"/>
  <c r="H28" i="7"/>
  <c r="G28" i="7"/>
  <c r="L28" i="7"/>
  <c r="Q28" i="7"/>
  <c r="K28" i="7"/>
  <c r="M28" i="7"/>
  <c r="O28" i="7"/>
  <c r="I28" i="7"/>
  <c r="J28" i="7"/>
  <c r="N28" i="7"/>
  <c r="P28" i="7"/>
  <c r="A23" i="8"/>
  <c r="N23" i="7"/>
  <c r="O23" i="7"/>
  <c r="J23" i="7"/>
  <c r="M23" i="7"/>
  <c r="F23" i="7"/>
  <c r="K23" i="7"/>
  <c r="G23" i="7"/>
  <c r="L23" i="7"/>
  <c r="H23" i="7"/>
  <c r="I23" i="7"/>
  <c r="Q23" i="7"/>
  <c r="P23" i="7"/>
  <c r="F132" i="7"/>
  <c r="B132" i="9" s="1"/>
  <c r="G132" i="7"/>
  <c r="C132" i="9" s="1"/>
  <c r="H132" i="7"/>
  <c r="D132" i="9" s="1"/>
  <c r="J132" i="7"/>
  <c r="F132" i="9" s="1"/>
  <c r="I132" i="7"/>
  <c r="E132" i="9" s="1"/>
  <c r="O132" i="7"/>
  <c r="K132" i="9" s="1"/>
  <c r="N132" i="7"/>
  <c r="J132" i="9" s="1"/>
  <c r="P132" i="7"/>
  <c r="L132" i="9" s="1"/>
  <c r="Q132" i="7"/>
  <c r="M132" i="9" s="1"/>
  <c r="K132" i="7"/>
  <c r="G132" i="9" s="1"/>
  <c r="L132" i="7"/>
  <c r="H132" i="9" s="1"/>
  <c r="M132" i="7"/>
  <c r="I132" i="9" s="1"/>
  <c r="P163" i="7"/>
  <c r="L163" i="9" s="1"/>
  <c r="Q163" i="7"/>
  <c r="M163" i="9" s="1"/>
  <c r="I163" i="7"/>
  <c r="E163" i="9" s="1"/>
  <c r="N163" i="7"/>
  <c r="J163" i="9" s="1"/>
  <c r="J163" i="7"/>
  <c r="F163" i="9" s="1"/>
  <c r="M163" i="7"/>
  <c r="I163" i="9" s="1"/>
  <c r="K163" i="7"/>
  <c r="G163" i="9" s="1"/>
  <c r="L163" i="7"/>
  <c r="H163" i="9" s="1"/>
  <c r="O163" i="7"/>
  <c r="K163" i="9" s="1"/>
  <c r="G163" i="7"/>
  <c r="C163" i="9" s="1"/>
  <c r="F163" i="7"/>
  <c r="B163" i="9" s="1"/>
  <c r="H163" i="7"/>
  <c r="D163" i="9" s="1"/>
  <c r="N167" i="7"/>
  <c r="J167" i="9" s="1"/>
  <c r="O167" i="7"/>
  <c r="K167" i="9" s="1"/>
  <c r="P167" i="7"/>
  <c r="L167" i="9" s="1"/>
  <c r="H167" i="7"/>
  <c r="D167" i="9" s="1"/>
  <c r="M167" i="7"/>
  <c r="I167" i="9" s="1"/>
  <c r="I167" i="7"/>
  <c r="E167" i="9" s="1"/>
  <c r="J167" i="7"/>
  <c r="F167" i="9" s="1"/>
  <c r="K167" i="7"/>
  <c r="G167" i="9" s="1"/>
  <c r="L167" i="7"/>
  <c r="H167" i="9" s="1"/>
  <c r="Q167" i="7"/>
  <c r="M167" i="9" s="1"/>
  <c r="G167" i="7"/>
  <c r="C167" i="9" s="1"/>
  <c r="F167" i="7"/>
  <c r="B167" i="9" s="1"/>
  <c r="A30" i="8"/>
  <c r="O30" i="7"/>
  <c r="P30" i="7"/>
  <c r="Q30" i="7"/>
  <c r="F30" i="7"/>
  <c r="G30" i="7"/>
  <c r="H30" i="7"/>
  <c r="K30" i="7"/>
  <c r="J30" i="7"/>
  <c r="N30" i="7"/>
  <c r="L30" i="7"/>
  <c r="I30" i="7"/>
  <c r="M30" i="7"/>
  <c r="A33" i="8"/>
  <c r="K33" i="7"/>
  <c r="L33" i="7"/>
  <c r="M33" i="7"/>
  <c r="G33" i="7"/>
  <c r="F33" i="7"/>
  <c r="H33" i="7"/>
  <c r="I33" i="7"/>
  <c r="P33" i="7"/>
  <c r="Q33" i="7"/>
  <c r="O33" i="7"/>
  <c r="J33" i="7"/>
  <c r="N33" i="7"/>
  <c r="G168" i="7"/>
  <c r="C168" i="9" s="1"/>
  <c r="I168" i="7"/>
  <c r="E168" i="9" s="1"/>
  <c r="F168" i="7"/>
  <c r="B168" i="9" s="1"/>
  <c r="H168" i="7"/>
  <c r="D168" i="9" s="1"/>
  <c r="J168" i="7"/>
  <c r="F168" i="9" s="1"/>
  <c r="K168" i="7"/>
  <c r="G168" i="9" s="1"/>
  <c r="Q168" i="7"/>
  <c r="M168" i="9" s="1"/>
  <c r="M168" i="7"/>
  <c r="I168" i="9" s="1"/>
  <c r="N168" i="7"/>
  <c r="J168" i="9" s="1"/>
  <c r="O168" i="7"/>
  <c r="K168" i="9" s="1"/>
  <c r="P168" i="7"/>
  <c r="L168" i="9" s="1"/>
  <c r="L168" i="7"/>
  <c r="H168" i="9" s="1"/>
  <c r="A34" i="8"/>
  <c r="O34" i="7"/>
  <c r="P34" i="7"/>
  <c r="Q34" i="7"/>
  <c r="L34" i="7"/>
  <c r="G34" i="7"/>
  <c r="H34" i="7"/>
  <c r="I34" i="7"/>
  <c r="F34" i="7"/>
  <c r="K34" i="7"/>
  <c r="M34" i="7"/>
  <c r="N34" i="7"/>
  <c r="J34" i="7"/>
  <c r="O98" i="7"/>
  <c r="K98" i="9" s="1"/>
  <c r="P98" i="7"/>
  <c r="L98" i="9" s="1"/>
  <c r="Q98" i="7"/>
  <c r="M98" i="9" s="1"/>
  <c r="L98" i="7"/>
  <c r="H98" i="9" s="1"/>
  <c r="M98" i="7"/>
  <c r="I98" i="9" s="1"/>
  <c r="N98" i="7"/>
  <c r="J98" i="9" s="1"/>
  <c r="H98" i="7"/>
  <c r="D98" i="9" s="1"/>
  <c r="I98" i="7"/>
  <c r="E98" i="9" s="1"/>
  <c r="J98" i="7"/>
  <c r="F98" i="9" s="1"/>
  <c r="K98" i="7"/>
  <c r="G98" i="9" s="1"/>
  <c r="F98" i="7"/>
  <c r="B98" i="9" s="1"/>
  <c r="G98" i="7"/>
  <c r="C98" i="9" s="1"/>
  <c r="G170" i="7"/>
  <c r="C170" i="9" s="1"/>
  <c r="H170" i="7"/>
  <c r="D170" i="9" s="1"/>
  <c r="I170" i="7"/>
  <c r="E170" i="9" s="1"/>
  <c r="J170" i="7"/>
  <c r="F170" i="9" s="1"/>
  <c r="L170" i="7"/>
  <c r="H170" i="9" s="1"/>
  <c r="O170" i="7"/>
  <c r="K170" i="9" s="1"/>
  <c r="P170" i="7"/>
  <c r="L170" i="9" s="1"/>
  <c r="Q170" i="7"/>
  <c r="M170" i="9" s="1"/>
  <c r="F170" i="7"/>
  <c r="B170" i="9" s="1"/>
  <c r="K170" i="7"/>
  <c r="G170" i="9" s="1"/>
  <c r="M170" i="7"/>
  <c r="I170" i="9" s="1"/>
  <c r="N170" i="7"/>
  <c r="J170" i="9" s="1"/>
  <c r="H94" i="7"/>
  <c r="D94" i="9" s="1"/>
  <c r="G94" i="7"/>
  <c r="C94" i="9" s="1"/>
  <c r="I94" i="7"/>
  <c r="E94" i="9" s="1"/>
  <c r="J94" i="7"/>
  <c r="F94" i="9" s="1"/>
  <c r="F94" i="7"/>
  <c r="B94" i="9" s="1"/>
  <c r="M94" i="7"/>
  <c r="I94" i="9" s="1"/>
  <c r="N94" i="7"/>
  <c r="J94" i="9" s="1"/>
  <c r="Q94" i="7"/>
  <c r="M94" i="9" s="1"/>
  <c r="O94" i="7"/>
  <c r="K94" i="9" s="1"/>
  <c r="P94" i="7"/>
  <c r="L94" i="9" s="1"/>
  <c r="K94" i="7"/>
  <c r="G94" i="9" s="1"/>
  <c r="L94" i="7"/>
  <c r="H94" i="9" s="1"/>
  <c r="L154" i="7"/>
  <c r="H154" i="9" s="1"/>
  <c r="M154" i="7"/>
  <c r="O154" i="7"/>
  <c r="K154" i="9" s="1"/>
  <c r="P154" i="7"/>
  <c r="L154" i="9" s="1"/>
  <c r="Q154" i="7"/>
  <c r="M154" i="9" s="1"/>
  <c r="N154" i="7"/>
  <c r="J154" i="9" s="1"/>
  <c r="K154" i="7"/>
  <c r="G154" i="7"/>
  <c r="H154" i="7"/>
  <c r="F154" i="7"/>
  <c r="I154" i="7"/>
  <c r="J154" i="7"/>
  <c r="F154" i="9" s="1"/>
  <c r="H100" i="7"/>
  <c r="D100" i="9" s="1"/>
  <c r="F100" i="7"/>
  <c r="B100" i="9" s="1"/>
  <c r="G100" i="7"/>
  <c r="C100" i="9" s="1"/>
  <c r="Q100" i="7"/>
  <c r="M100" i="9" s="1"/>
  <c r="J100" i="7"/>
  <c r="F100" i="9" s="1"/>
  <c r="K100" i="7"/>
  <c r="G100" i="9" s="1"/>
  <c r="M100" i="7"/>
  <c r="I100" i="9" s="1"/>
  <c r="P100" i="7"/>
  <c r="L100" i="9" s="1"/>
  <c r="I100" i="7"/>
  <c r="E100" i="9" s="1"/>
  <c r="L100" i="7"/>
  <c r="H100" i="9" s="1"/>
  <c r="N100" i="7"/>
  <c r="J100" i="9" s="1"/>
  <c r="O100" i="7"/>
  <c r="K100" i="9" s="1"/>
  <c r="A15" i="8"/>
  <c r="F15" i="7"/>
  <c r="G15" i="7"/>
  <c r="I15" i="7"/>
  <c r="H15" i="7"/>
  <c r="J15" i="7"/>
  <c r="K15" i="7"/>
  <c r="L15" i="7"/>
  <c r="N15" i="7"/>
  <c r="Q15" i="7"/>
  <c r="M15" i="7"/>
  <c r="O15" i="7"/>
  <c r="P15" i="7"/>
  <c r="A4" i="8"/>
  <c r="F4" i="7"/>
  <c r="G4" i="7"/>
  <c r="H4" i="7"/>
  <c r="K4" i="7"/>
  <c r="O4" i="7"/>
  <c r="I4" i="7"/>
  <c r="M4" i="7"/>
  <c r="J4" i="7"/>
  <c r="L4" i="7"/>
  <c r="N4" i="7"/>
  <c r="P4" i="7"/>
  <c r="Q4" i="7"/>
  <c r="D29" i="7"/>
  <c r="D29" i="8"/>
  <c r="D82" i="7"/>
  <c r="D82" i="8"/>
  <c r="D39" i="7"/>
  <c r="D39" i="8"/>
  <c r="D27" i="7"/>
  <c r="D27" i="8"/>
  <c r="D75" i="7"/>
  <c r="D75" i="8"/>
  <c r="D66" i="7"/>
  <c r="D66" i="8"/>
  <c r="D85" i="7"/>
  <c r="D85" i="8"/>
  <c r="D65" i="7"/>
  <c r="D65" i="8"/>
  <c r="D77" i="7"/>
  <c r="D77" i="8"/>
  <c r="D61" i="7"/>
  <c r="D61" i="8"/>
  <c r="D80" i="7"/>
  <c r="D80" i="8"/>
  <c r="D35" i="7"/>
  <c r="D35" i="8"/>
  <c r="D9" i="7"/>
  <c r="D9" i="8"/>
  <c r="D69" i="7"/>
  <c r="D69" i="8"/>
  <c r="D63" i="7"/>
  <c r="D63" i="8"/>
  <c r="D34" i="7"/>
  <c r="D34" i="8"/>
  <c r="D6" i="7"/>
  <c r="D6" i="8"/>
  <c r="D5" i="7"/>
  <c r="D5" i="8"/>
  <c r="D8" i="7"/>
  <c r="D8" i="8"/>
  <c r="D79" i="7"/>
  <c r="D79" i="8"/>
  <c r="D70" i="7"/>
  <c r="D70" i="8"/>
  <c r="D36" i="7"/>
  <c r="D36" i="8"/>
  <c r="D33" i="7"/>
  <c r="D33" i="8"/>
  <c r="D20" i="7"/>
  <c r="D20" i="8"/>
  <c r="D50" i="7"/>
  <c r="D50" i="8"/>
  <c r="D59" i="7"/>
  <c r="D59" i="8"/>
  <c r="D46" i="7"/>
  <c r="D46" i="8"/>
  <c r="D21" i="7"/>
  <c r="D21" i="8"/>
  <c r="D42" i="7"/>
  <c r="D42" i="8"/>
  <c r="D60" i="7"/>
  <c r="D60" i="8"/>
  <c r="D51" i="7"/>
  <c r="D51" i="8"/>
  <c r="D62" i="7"/>
  <c r="D62" i="8"/>
  <c r="D76" i="7"/>
  <c r="D76" i="8"/>
  <c r="D71" i="7"/>
  <c r="D71" i="8"/>
  <c r="D55" i="7"/>
  <c r="D55" i="8"/>
  <c r="D81" i="7"/>
  <c r="D81" i="8"/>
  <c r="D87" i="7"/>
  <c r="D87" i="8"/>
  <c r="D24" i="7"/>
  <c r="D24" i="8"/>
  <c r="D83" i="7"/>
  <c r="D83" i="8"/>
  <c r="D25" i="7"/>
  <c r="D25" i="8"/>
  <c r="D49" i="7"/>
  <c r="D49" i="8"/>
  <c r="D13" i="7"/>
  <c r="D13" i="8"/>
  <c r="D30" i="7"/>
  <c r="D30" i="8"/>
  <c r="D52" i="7"/>
  <c r="D52" i="8"/>
  <c r="A2" i="8"/>
  <c r="D22" i="7"/>
  <c r="D22" i="8"/>
  <c r="D11" i="7"/>
  <c r="D11" i="8"/>
  <c r="D23" i="7"/>
  <c r="D23" i="8"/>
  <c r="D2" i="7"/>
  <c r="D2" i="8"/>
  <c r="M909" i="5"/>
  <c r="M948" i="5"/>
  <c r="O908" i="5"/>
  <c r="K928" i="5"/>
  <c r="K838" i="5"/>
  <c r="I643" i="5"/>
  <c r="O763" i="5"/>
  <c r="O327" i="5"/>
  <c r="K261" i="5"/>
  <c r="I642" i="5"/>
  <c r="K318" i="5"/>
  <c r="K664" i="5"/>
  <c r="L959" i="5"/>
  <c r="L840" i="5"/>
  <c r="L294" i="5"/>
  <c r="L874" i="5"/>
  <c r="O804" i="5"/>
  <c r="O353" i="5"/>
  <c r="O286" i="5"/>
  <c r="O350" i="5"/>
  <c r="O632" i="5"/>
  <c r="I658" i="5"/>
  <c r="K332" i="5"/>
  <c r="I275" i="5"/>
  <c r="I841" i="5"/>
  <c r="I939" i="5"/>
  <c r="O291" i="5"/>
  <c r="K853" i="5"/>
  <c r="K959" i="5"/>
  <c r="K801" i="5"/>
  <c r="K259" i="5"/>
  <c r="K782" i="5"/>
  <c r="K812" i="5"/>
  <c r="M873" i="5"/>
  <c r="I785" i="5"/>
  <c r="O743" i="5"/>
  <c r="O867" i="5"/>
  <c r="K943" i="5"/>
  <c r="D18" i="7"/>
  <c r="D18" i="8"/>
  <c r="D37" i="7"/>
  <c r="D37" i="8"/>
  <c r="D26" i="7"/>
  <c r="D26" i="8"/>
  <c r="D67" i="7"/>
  <c r="D67" i="8"/>
  <c r="D68" i="7"/>
  <c r="D68" i="8"/>
  <c r="D32" i="7"/>
  <c r="D32" i="8"/>
  <c r="D73" i="7"/>
  <c r="D73" i="8"/>
  <c r="D7" i="7"/>
  <c r="D7" i="8"/>
  <c r="D16" i="7"/>
  <c r="D16" i="8"/>
  <c r="D54" i="7"/>
  <c r="D54" i="8"/>
  <c r="D41" i="7"/>
  <c r="D41" i="8"/>
  <c r="D84" i="7"/>
  <c r="D84" i="8"/>
  <c r="D78" i="7"/>
  <c r="D78" i="8"/>
  <c r="D19" i="7"/>
  <c r="D19" i="8"/>
  <c r="D58" i="7"/>
  <c r="D58" i="8"/>
  <c r="D31" i="7"/>
  <c r="D31" i="8"/>
  <c r="D53" i="7"/>
  <c r="D53" i="8"/>
  <c r="D72" i="7"/>
  <c r="D72" i="8"/>
  <c r="D64" i="7"/>
  <c r="D64" i="8"/>
  <c r="D74" i="7"/>
  <c r="D74" i="8"/>
  <c r="D28" i="7"/>
  <c r="D28" i="8"/>
  <c r="D17" i="7"/>
  <c r="D17" i="8"/>
  <c r="D14" i="7"/>
  <c r="D14" i="8"/>
  <c r="D4" i="7"/>
  <c r="D4" i="8"/>
  <c r="D3" i="7"/>
  <c r="D3" i="8"/>
  <c r="D12" i="7"/>
  <c r="D12" i="8"/>
  <c r="D43" i="7"/>
  <c r="D43" i="8"/>
  <c r="D44" i="7"/>
  <c r="D44" i="8"/>
  <c r="D38" i="7"/>
  <c r="D38" i="8"/>
  <c r="D57" i="7"/>
  <c r="D57" i="8"/>
  <c r="D45" i="7"/>
  <c r="D45" i="8"/>
  <c r="D48" i="7"/>
  <c r="D48" i="8"/>
  <c r="D40" i="7"/>
  <c r="D40" i="8"/>
  <c r="D10" i="7"/>
  <c r="D10" i="8"/>
  <c r="D15" i="7"/>
  <c r="D15" i="8"/>
  <c r="D47" i="7"/>
  <c r="D47" i="8"/>
  <c r="D86" i="7"/>
  <c r="D86" i="8"/>
  <c r="D56" i="7"/>
  <c r="D56" i="8"/>
  <c r="N240" i="5" l="1"/>
  <c r="N632" i="5"/>
  <c r="L751" i="5"/>
  <c r="E775" i="5"/>
  <c r="N658" i="5"/>
  <c r="L910" i="5"/>
  <c r="L275" i="5"/>
  <c r="E325" i="5"/>
  <c r="E641" i="5"/>
  <c r="N879" i="5"/>
  <c r="G830" i="5"/>
  <c r="L813" i="5"/>
  <c r="G906" i="5"/>
  <c r="N646" i="5"/>
  <c r="J637" i="5"/>
  <c r="J926" i="5"/>
  <c r="N869" i="5"/>
  <c r="N961" i="5"/>
  <c r="G805" i="5"/>
  <c r="E753" i="5"/>
  <c r="J931" i="5"/>
  <c r="L913" i="5"/>
  <c r="L887" i="5"/>
  <c r="G889" i="5"/>
  <c r="E291" i="5"/>
  <c r="L745" i="5"/>
  <c r="L296" i="5"/>
  <c r="N946" i="5"/>
  <c r="E757" i="5"/>
  <c r="L921" i="5"/>
  <c r="G922" i="5"/>
  <c r="N889" i="5"/>
  <c r="L803" i="5"/>
  <c r="L317" i="5"/>
  <c r="E349" i="5"/>
  <c r="N707" i="5"/>
  <c r="L940" i="5"/>
  <c r="L806" i="5"/>
  <c r="L938" i="5"/>
  <c r="N915" i="5"/>
  <c r="L996" i="5"/>
  <c r="L821" i="5"/>
  <c r="F975" i="5"/>
  <c r="L747" i="5"/>
  <c r="L657" i="5"/>
  <c r="F905" i="5"/>
  <c r="N290" i="5"/>
  <c r="J835" i="5"/>
  <c r="L948" i="5"/>
  <c r="L765" i="5"/>
  <c r="E807" i="5"/>
  <c r="F813" i="5"/>
  <c r="L784" i="5"/>
  <c r="L863" i="5"/>
  <c r="L830" i="5"/>
  <c r="E266" i="5"/>
  <c r="E913" i="5"/>
  <c r="L756" i="5"/>
  <c r="L642" i="5"/>
  <c r="J789" i="5"/>
  <c r="L956" i="5"/>
  <c r="N831" i="5"/>
  <c r="L856" i="5"/>
  <c r="E653" i="5"/>
  <c r="J986" i="5"/>
  <c r="J845" i="5"/>
  <c r="J898" i="5"/>
  <c r="L290" i="5"/>
  <c r="E749" i="5"/>
  <c r="N950" i="5"/>
  <c r="E916" i="5"/>
  <c r="G778" i="5"/>
  <c r="L836" i="5"/>
  <c r="E788" i="5"/>
  <c r="E953" i="5"/>
  <c r="F981" i="5"/>
  <c r="J270" i="5"/>
  <c r="N633" i="5"/>
  <c r="F868" i="5"/>
  <c r="F260" i="5"/>
  <c r="L341" i="5"/>
  <c r="E263" i="5"/>
  <c r="C413" i="5" s="1" a="1"/>
  <c r="C413" i="5" s="1"/>
  <c r="L923" i="5"/>
  <c r="L928" i="5"/>
  <c r="L804" i="5"/>
  <c r="E772" i="5"/>
  <c r="L707" i="5"/>
  <c r="L974" i="5"/>
  <c r="L838" i="5"/>
  <c r="J253" i="5"/>
  <c r="E869" i="5"/>
  <c r="L917" i="5"/>
  <c r="E659" i="5"/>
  <c r="L860" i="5"/>
  <c r="E906" i="5"/>
  <c r="L653" i="5"/>
  <c r="F242" i="5"/>
  <c r="G319" i="5"/>
  <c r="L786" i="5"/>
  <c r="L995" i="5"/>
  <c r="L805" i="5"/>
  <c r="L919" i="5"/>
  <c r="F266" i="5"/>
  <c r="F926" i="5"/>
  <c r="L788" i="5"/>
  <c r="L308" i="5"/>
  <c r="L321" i="5"/>
  <c r="L763" i="5"/>
  <c r="L245" i="5"/>
  <c r="L960" i="5"/>
  <c r="F984" i="5"/>
  <c r="E905" i="5"/>
  <c r="J791" i="5"/>
  <c r="N273" i="5"/>
  <c r="L762" i="5"/>
  <c r="L904" i="5"/>
  <c r="L766" i="5"/>
  <c r="L952" i="5"/>
  <c r="L779" i="5"/>
  <c r="L772" i="5"/>
  <c r="L253" i="5"/>
  <c r="L250" i="5"/>
  <c r="E312" i="5"/>
  <c r="C472" i="5" s="1" a="1"/>
  <c r="C472" i="5" s="1"/>
  <c r="J472" i="5" s="1"/>
  <c r="E333" i="5"/>
  <c r="L811" i="5"/>
  <c r="L943" i="5"/>
  <c r="L847" i="5"/>
  <c r="N853" i="5"/>
  <c r="F971" i="5"/>
  <c r="E332" i="5"/>
  <c r="I875" i="5"/>
  <c r="L933" i="5"/>
  <c r="D758" i="5"/>
  <c r="D640" i="5"/>
  <c r="D794" i="5"/>
  <c r="D919" i="5"/>
  <c r="D911" i="5"/>
  <c r="D997" i="5"/>
  <c r="D826" i="5"/>
  <c r="D814" i="5"/>
  <c r="D899" i="5"/>
  <c r="D939" i="5"/>
  <c r="D980" i="5"/>
  <c r="D852" i="5"/>
  <c r="D780" i="5"/>
  <c r="E2" i="8"/>
  <c r="D894" i="5"/>
  <c r="D773" i="5"/>
  <c r="D286" i="5"/>
  <c r="C440" i="5" s="1" a="1"/>
  <c r="C440" i="5" s="1"/>
  <c r="J440" i="5" s="1"/>
  <c r="D875" i="5"/>
  <c r="D798" i="5"/>
  <c r="D943" i="5"/>
  <c r="L918" i="5"/>
  <c r="L349" i="5"/>
  <c r="L971" i="5"/>
  <c r="O779" i="5"/>
  <c r="I323" i="5"/>
  <c r="L864" i="5"/>
  <c r="O819" i="5"/>
  <c r="L305" i="5"/>
  <c r="L323" i="5"/>
  <c r="L834" i="5"/>
  <c r="I950" i="5"/>
  <c r="L842" i="5"/>
  <c r="L633" i="5"/>
  <c r="L649" i="5"/>
  <c r="L848" i="5"/>
  <c r="L328" i="5"/>
  <c r="D955" i="5"/>
  <c r="D245" i="5"/>
  <c r="C397" i="5" s="1" a="1"/>
  <c r="C397" i="5" s="1"/>
  <c r="H397" i="5" s="1"/>
  <c r="F4" i="8"/>
  <c r="C4" i="9"/>
  <c r="E272" i="5"/>
  <c r="C154" i="9"/>
  <c r="F11" i="8"/>
  <c r="C11" i="9"/>
  <c r="K55" i="8"/>
  <c r="H55" i="9"/>
  <c r="M74" i="8"/>
  <c r="J74" i="9"/>
  <c r="M48" i="8"/>
  <c r="J48" i="9"/>
  <c r="K4" i="5"/>
  <c r="H118" i="9"/>
  <c r="M84" i="8"/>
  <c r="J84" i="9"/>
  <c r="L73" i="8"/>
  <c r="I73" i="9"/>
  <c r="J58" i="8"/>
  <c r="G58" i="9"/>
  <c r="P10" i="8"/>
  <c r="M10" i="9"/>
  <c r="H35" i="8"/>
  <c r="E35" i="9"/>
  <c r="M19" i="8"/>
  <c r="J19" i="9"/>
  <c r="G53" i="8"/>
  <c r="D53" i="9"/>
  <c r="H794" i="5"/>
  <c r="F153" i="9"/>
  <c r="P50" i="8"/>
  <c r="M50" i="9"/>
  <c r="L5" i="8"/>
  <c r="I5" i="9"/>
  <c r="F32" i="8"/>
  <c r="C32" i="9"/>
  <c r="M36" i="8"/>
  <c r="J36" i="9"/>
  <c r="K3" i="8"/>
  <c r="H3" i="9"/>
  <c r="M71" i="8"/>
  <c r="J71" i="9"/>
  <c r="M9" i="8"/>
  <c r="J9" i="9"/>
  <c r="O87" i="8"/>
  <c r="L87" i="9"/>
  <c r="K24" i="8"/>
  <c r="H24" i="9"/>
  <c r="O85" i="8"/>
  <c r="L85" i="9"/>
  <c r="O49" i="8"/>
  <c r="L49" i="9"/>
  <c r="J67" i="8"/>
  <c r="G67" i="9"/>
  <c r="M57" i="8"/>
  <c r="J57" i="9"/>
  <c r="J266" i="5"/>
  <c r="G154" i="9"/>
  <c r="H57" i="8"/>
  <c r="E57" i="9"/>
  <c r="N11" i="8"/>
  <c r="K11" i="9"/>
  <c r="L74" i="8"/>
  <c r="I74" i="9"/>
  <c r="F48" i="8"/>
  <c r="C48" i="9"/>
  <c r="J4" i="5"/>
  <c r="G118" i="9"/>
  <c r="P84" i="8"/>
  <c r="M84" i="9"/>
  <c r="P83" i="8"/>
  <c r="M83" i="9"/>
  <c r="G73" i="8"/>
  <c r="D73" i="9"/>
  <c r="I58" i="8"/>
  <c r="F58" i="9"/>
  <c r="O10" i="8"/>
  <c r="L10" i="9"/>
  <c r="L7" i="8"/>
  <c r="I7" i="9"/>
  <c r="K35" i="8"/>
  <c r="H35" i="9"/>
  <c r="L19" i="8"/>
  <c r="I19" i="9"/>
  <c r="L53" i="8"/>
  <c r="I53" i="9"/>
  <c r="J808" i="5"/>
  <c r="G153" i="9"/>
  <c r="F5" i="8"/>
  <c r="C5" i="9"/>
  <c r="K36" i="8"/>
  <c r="H36" i="9"/>
  <c r="G3" i="8"/>
  <c r="D3" i="9"/>
  <c r="J9" i="8"/>
  <c r="G9" i="9"/>
  <c r="I41" i="8"/>
  <c r="F41" i="9"/>
  <c r="N87" i="8"/>
  <c r="K87" i="9"/>
  <c r="P69" i="8"/>
  <c r="M69" i="9"/>
  <c r="I24" i="8"/>
  <c r="F24" i="9"/>
  <c r="F38" i="8"/>
  <c r="C38" i="9"/>
  <c r="L85" i="8"/>
  <c r="I85" i="9"/>
  <c r="K77" i="8"/>
  <c r="H77" i="9"/>
  <c r="M49" i="8"/>
  <c r="J49" i="9"/>
  <c r="P67" i="8"/>
  <c r="M67" i="9"/>
  <c r="G57" i="8"/>
  <c r="D57" i="9"/>
  <c r="H55" i="8"/>
  <c r="E55" i="9"/>
  <c r="N74" i="8"/>
  <c r="K74" i="9"/>
  <c r="G48" i="8"/>
  <c r="D48" i="9"/>
  <c r="L84" i="8"/>
  <c r="I84" i="9"/>
  <c r="O83" i="8"/>
  <c r="L83" i="9"/>
  <c r="K58" i="8"/>
  <c r="H58" i="9"/>
  <c r="N10" i="8"/>
  <c r="K10" i="9"/>
  <c r="P7" i="8"/>
  <c r="M7" i="9"/>
  <c r="J35" i="8"/>
  <c r="G35" i="9"/>
  <c r="K19" i="8"/>
  <c r="H19" i="9"/>
  <c r="G756" i="5"/>
  <c r="E153" i="9"/>
  <c r="K46" i="8"/>
  <c r="H46" i="9"/>
  <c r="N5" i="8"/>
  <c r="K5" i="9"/>
  <c r="L32" i="8"/>
  <c r="I32" i="9"/>
  <c r="I36" i="8"/>
  <c r="F36" i="9"/>
  <c r="L3" i="8"/>
  <c r="I3" i="9"/>
  <c r="P79" i="8"/>
  <c r="M79" i="9"/>
  <c r="P9" i="8"/>
  <c r="M9" i="9"/>
  <c r="H41" i="8"/>
  <c r="E41" i="9"/>
  <c r="O69" i="8"/>
  <c r="L69" i="9"/>
  <c r="G24" i="8"/>
  <c r="D24" i="9"/>
  <c r="P8" i="8"/>
  <c r="M8" i="9"/>
  <c r="G38" i="8"/>
  <c r="D38" i="9"/>
  <c r="K85" i="8"/>
  <c r="H85" i="9"/>
  <c r="J77" i="8"/>
  <c r="G77" i="9"/>
  <c r="L49" i="8"/>
  <c r="I49" i="9"/>
  <c r="O15" i="8"/>
  <c r="L15" i="9"/>
  <c r="O23" i="8"/>
  <c r="L23" i="9"/>
  <c r="F57" i="8"/>
  <c r="C57" i="9"/>
  <c r="I11" i="8"/>
  <c r="F11" i="9"/>
  <c r="I55" i="8"/>
  <c r="F55" i="9"/>
  <c r="K74" i="8"/>
  <c r="H74" i="9"/>
  <c r="K84" i="8"/>
  <c r="H84" i="9"/>
  <c r="K83" i="8"/>
  <c r="H83" i="9"/>
  <c r="F73" i="8"/>
  <c r="C73" i="9"/>
  <c r="G58" i="8"/>
  <c r="D58" i="9"/>
  <c r="M10" i="8"/>
  <c r="J10" i="9"/>
  <c r="O7" i="8"/>
  <c r="L7" i="9"/>
  <c r="G35" i="8"/>
  <c r="D35" i="9"/>
  <c r="P44" i="8"/>
  <c r="M44" i="9"/>
  <c r="J46" i="8"/>
  <c r="G46" i="9"/>
  <c r="O5" i="8"/>
  <c r="L5" i="9"/>
  <c r="K32" i="8"/>
  <c r="H32" i="9"/>
  <c r="J36" i="8"/>
  <c r="G36" i="9"/>
  <c r="F3" i="8"/>
  <c r="C3" i="9"/>
  <c r="L79" i="8"/>
  <c r="I79" i="9"/>
  <c r="I9" i="8"/>
  <c r="F9" i="9"/>
  <c r="O41" i="8"/>
  <c r="L41" i="9"/>
  <c r="N69" i="8"/>
  <c r="K69" i="9"/>
  <c r="F24" i="8"/>
  <c r="C24" i="9"/>
  <c r="P42" i="8"/>
  <c r="M42" i="9"/>
  <c r="F8" i="8"/>
  <c r="C8" i="9"/>
  <c r="N38" i="8"/>
  <c r="K38" i="9"/>
  <c r="P85" i="8"/>
  <c r="M85" i="9"/>
  <c r="I77" i="8"/>
  <c r="F77" i="9"/>
  <c r="K49" i="8"/>
  <c r="H49" i="9"/>
  <c r="I67" i="8"/>
  <c r="F67" i="9"/>
  <c r="K44" i="8"/>
  <c r="H44" i="9"/>
  <c r="N845" i="5"/>
  <c r="K153" i="9"/>
  <c r="F46" i="8"/>
  <c r="C46" i="9"/>
  <c r="M5" i="8"/>
  <c r="J5" i="9"/>
  <c r="P32" i="8"/>
  <c r="M32" i="9"/>
  <c r="K79" i="8"/>
  <c r="H79" i="9"/>
  <c r="L9" i="8"/>
  <c r="I9" i="9"/>
  <c r="J41" i="8"/>
  <c r="G41" i="9"/>
  <c r="M69" i="8"/>
  <c r="J69" i="9"/>
  <c r="P24" i="8"/>
  <c r="M24" i="9"/>
  <c r="N42" i="8"/>
  <c r="K42" i="9"/>
  <c r="H8" i="8"/>
  <c r="E8" i="9"/>
  <c r="M38" i="8"/>
  <c r="J38" i="9"/>
  <c r="J85" i="8"/>
  <c r="G85" i="9"/>
  <c r="I68" i="8"/>
  <c r="F68" i="9"/>
  <c r="H77" i="8"/>
  <c r="E77" i="9"/>
  <c r="G67" i="8"/>
  <c r="D67" i="9"/>
  <c r="H58" i="8"/>
  <c r="E58" i="9"/>
  <c r="L10" i="8"/>
  <c r="I10" i="9"/>
  <c r="N7" i="8"/>
  <c r="K7" i="9"/>
  <c r="I35" i="8"/>
  <c r="F35" i="9"/>
  <c r="L15" i="8"/>
  <c r="I15" i="9"/>
  <c r="M33" i="8"/>
  <c r="J33" i="9"/>
  <c r="H23" i="8"/>
  <c r="E23" i="9"/>
  <c r="N57" i="8"/>
  <c r="K57" i="9"/>
  <c r="G11" i="8"/>
  <c r="D11" i="9"/>
  <c r="I74" i="8"/>
  <c r="F74" i="9"/>
  <c r="F63" i="8"/>
  <c r="C63" i="9"/>
  <c r="L83" i="8"/>
  <c r="I83" i="9"/>
  <c r="G52" i="8"/>
  <c r="D52" i="9"/>
  <c r="F58" i="8"/>
  <c r="C58" i="9"/>
  <c r="K10" i="8"/>
  <c r="H10" i="9"/>
  <c r="M7" i="8"/>
  <c r="J7" i="9"/>
  <c r="F35" i="8"/>
  <c r="C35" i="9"/>
  <c r="F25" i="8"/>
  <c r="C25" i="9"/>
  <c r="O44" i="8"/>
  <c r="L44" i="9"/>
  <c r="L903" i="5"/>
  <c r="I153" i="9"/>
  <c r="I46" i="8"/>
  <c r="F46" i="9"/>
  <c r="I5" i="8"/>
  <c r="F5" i="9"/>
  <c r="O32" i="8"/>
  <c r="L32" i="9"/>
  <c r="H36" i="8"/>
  <c r="E36" i="9"/>
  <c r="J79" i="8"/>
  <c r="G79" i="9"/>
  <c r="K9" i="8"/>
  <c r="H9" i="9"/>
  <c r="P41" i="8"/>
  <c r="M41" i="9"/>
  <c r="I69" i="8"/>
  <c r="F69" i="9"/>
  <c r="J42" i="8"/>
  <c r="G42" i="9"/>
  <c r="G8" i="8"/>
  <c r="D8" i="9"/>
  <c r="P38" i="8"/>
  <c r="M38" i="9"/>
  <c r="N85" i="8"/>
  <c r="K85" i="9"/>
  <c r="G68" i="8"/>
  <c r="D68" i="9"/>
  <c r="G77" i="8"/>
  <c r="D77" i="9"/>
  <c r="P27" i="8"/>
  <c r="M27" i="9"/>
  <c r="H67" i="8"/>
  <c r="E67" i="9"/>
  <c r="J52" i="8"/>
  <c r="G52" i="9"/>
  <c r="J10" i="8"/>
  <c r="G10" i="9"/>
  <c r="G25" i="8"/>
  <c r="D25" i="9"/>
  <c r="J44" i="8"/>
  <c r="G44" i="9"/>
  <c r="F955" i="5"/>
  <c r="D153" i="9"/>
  <c r="M46" i="8"/>
  <c r="J46" i="9"/>
  <c r="H5" i="8"/>
  <c r="E5" i="9"/>
  <c r="N32" i="8"/>
  <c r="K32" i="9"/>
  <c r="G36" i="8"/>
  <c r="D36" i="9"/>
  <c r="G75" i="8"/>
  <c r="D75" i="9"/>
  <c r="I79" i="8"/>
  <c r="F79" i="9"/>
  <c r="L41" i="8"/>
  <c r="I41" i="9"/>
  <c r="H69" i="8"/>
  <c r="E69" i="9"/>
  <c r="I42" i="8"/>
  <c r="F42" i="9"/>
  <c r="O38" i="8"/>
  <c r="L38" i="9"/>
  <c r="M85" i="8"/>
  <c r="J85" i="9"/>
  <c r="F68" i="8"/>
  <c r="C68" i="9"/>
  <c r="N77" i="8"/>
  <c r="K77" i="9"/>
  <c r="G12" i="8"/>
  <c r="D12" i="9"/>
  <c r="O27" i="8"/>
  <c r="L27" i="9"/>
  <c r="F67" i="8"/>
  <c r="C67" i="9"/>
  <c r="I60" i="8"/>
  <c r="F60" i="9"/>
  <c r="F84" i="8"/>
  <c r="C84" i="9"/>
  <c r="M15" i="8"/>
  <c r="J15" i="9"/>
  <c r="N33" i="8"/>
  <c r="K33" i="9"/>
  <c r="K23" i="8"/>
  <c r="H23" i="9"/>
  <c r="L57" i="8"/>
  <c r="I57" i="9"/>
  <c r="H74" i="8"/>
  <c r="E74" i="9"/>
  <c r="K63" i="8"/>
  <c r="H63" i="9"/>
  <c r="F17" i="8"/>
  <c r="C17" i="9"/>
  <c r="M83" i="8"/>
  <c r="J83" i="9"/>
  <c r="P70" i="8"/>
  <c r="M70" i="9"/>
  <c r="H52" i="8"/>
  <c r="E52" i="9"/>
  <c r="P35" i="8"/>
  <c r="M35" i="9"/>
  <c r="N25" i="8"/>
  <c r="K25" i="9"/>
  <c r="E862" i="5"/>
  <c r="C153" i="9"/>
  <c r="H46" i="8"/>
  <c r="E46" i="9"/>
  <c r="G5" i="8"/>
  <c r="D5" i="9"/>
  <c r="M32" i="8"/>
  <c r="J32" i="9"/>
  <c r="F36" i="8"/>
  <c r="C36" i="9"/>
  <c r="H75" i="8"/>
  <c r="E75" i="9"/>
  <c r="H79" i="8"/>
  <c r="E79" i="9"/>
  <c r="M41" i="8"/>
  <c r="J41" i="9"/>
  <c r="G69" i="8"/>
  <c r="D69" i="9"/>
  <c r="M42" i="8"/>
  <c r="J42" i="9"/>
  <c r="M8" i="8"/>
  <c r="J8" i="9"/>
  <c r="H85" i="8"/>
  <c r="E85" i="9"/>
  <c r="P68" i="8"/>
  <c r="M68" i="9"/>
  <c r="P77" i="8"/>
  <c r="M77" i="9"/>
  <c r="F12" i="8"/>
  <c r="C12" i="9"/>
  <c r="N27" i="8"/>
  <c r="K27" i="9"/>
  <c r="H60" i="8"/>
  <c r="E60" i="9"/>
  <c r="K15" i="8"/>
  <c r="H15" i="9"/>
  <c r="P33" i="8"/>
  <c r="M33" i="9"/>
  <c r="F23" i="8"/>
  <c r="C23" i="9"/>
  <c r="K57" i="8"/>
  <c r="H57" i="9"/>
  <c r="G74" i="8"/>
  <c r="D74" i="9"/>
  <c r="P63" i="8"/>
  <c r="M63" i="9"/>
  <c r="J83" i="8"/>
  <c r="G83" i="9"/>
  <c r="N70" i="8"/>
  <c r="K70" i="9"/>
  <c r="I52" i="8"/>
  <c r="F52" i="9"/>
  <c r="I10" i="8"/>
  <c r="F10" i="9"/>
  <c r="O35" i="8"/>
  <c r="L35" i="9"/>
  <c r="M25" i="8"/>
  <c r="J25" i="9"/>
  <c r="F44" i="8"/>
  <c r="C44" i="9"/>
  <c r="J32" i="8"/>
  <c r="G32" i="9"/>
  <c r="F75" i="8"/>
  <c r="C75" i="9"/>
  <c r="O79" i="8"/>
  <c r="L79" i="9"/>
  <c r="I78" i="8"/>
  <c r="F78" i="9"/>
  <c r="K41" i="8"/>
  <c r="H41" i="9"/>
  <c r="L42" i="8"/>
  <c r="I42" i="9"/>
  <c r="I8" i="8"/>
  <c r="F8" i="9"/>
  <c r="I85" i="8"/>
  <c r="F85" i="9"/>
  <c r="K68" i="8"/>
  <c r="H68" i="9"/>
  <c r="O77" i="8"/>
  <c r="L77" i="9"/>
  <c r="J12" i="8"/>
  <c r="G12" i="9"/>
  <c r="F27" i="8"/>
  <c r="C27" i="9"/>
  <c r="G60" i="8"/>
  <c r="D60" i="9"/>
  <c r="J15" i="8"/>
  <c r="G15" i="9"/>
  <c r="O33" i="8"/>
  <c r="L33" i="9"/>
  <c r="J23" i="8"/>
  <c r="G23" i="9"/>
  <c r="O57" i="8"/>
  <c r="L57" i="9"/>
  <c r="F74" i="8"/>
  <c r="C74" i="9"/>
  <c r="O63" i="8"/>
  <c r="L63" i="9"/>
  <c r="F81" i="8"/>
  <c r="C81" i="9"/>
  <c r="P17" i="8"/>
  <c r="M17" i="9"/>
  <c r="I83" i="8"/>
  <c r="F83" i="9"/>
  <c r="O70" i="8"/>
  <c r="L70" i="9"/>
  <c r="P52" i="8"/>
  <c r="M52" i="9"/>
  <c r="H10" i="8"/>
  <c r="E10" i="9"/>
  <c r="N35" i="8"/>
  <c r="K35" i="9"/>
  <c r="L25" i="8"/>
  <c r="I25" i="9"/>
  <c r="K80" i="8"/>
  <c r="H80" i="9"/>
  <c r="I44" i="8"/>
  <c r="F44" i="9"/>
  <c r="L46" i="8"/>
  <c r="I46" i="9"/>
  <c r="I32" i="8"/>
  <c r="F32" i="9"/>
  <c r="I75" i="8"/>
  <c r="F75" i="9"/>
  <c r="N79" i="8"/>
  <c r="K79" i="9"/>
  <c r="H78" i="8"/>
  <c r="E78" i="9"/>
  <c r="I66" i="8"/>
  <c r="F66" i="9"/>
  <c r="O8" i="8"/>
  <c r="L8" i="9"/>
  <c r="G85" i="8"/>
  <c r="D85" i="9"/>
  <c r="M77" i="8"/>
  <c r="J77" i="9"/>
  <c r="G27" i="8"/>
  <c r="D27" i="9"/>
  <c r="F60" i="8"/>
  <c r="C60" i="9"/>
  <c r="I15" i="8"/>
  <c r="F15" i="9"/>
  <c r="H33" i="8"/>
  <c r="E33" i="9"/>
  <c r="J57" i="8"/>
  <c r="G57" i="9"/>
  <c r="N63" i="8"/>
  <c r="K63" i="9"/>
  <c r="O17" i="8"/>
  <c r="L17" i="9"/>
  <c r="M70" i="8"/>
  <c r="J70" i="9"/>
  <c r="O52" i="8"/>
  <c r="L52" i="9"/>
  <c r="G10" i="8"/>
  <c r="D10" i="9"/>
  <c r="M35" i="8"/>
  <c r="J35" i="9"/>
  <c r="K25" i="8"/>
  <c r="H25" i="9"/>
  <c r="N31" i="8"/>
  <c r="K31" i="9"/>
  <c r="J80" i="8"/>
  <c r="G80" i="9"/>
  <c r="H44" i="8"/>
  <c r="E44" i="9"/>
  <c r="G46" i="8"/>
  <c r="D46" i="9"/>
  <c r="H32" i="8"/>
  <c r="E32" i="9"/>
  <c r="M79" i="8"/>
  <c r="J79" i="9"/>
  <c r="O18" i="8"/>
  <c r="L18" i="9"/>
  <c r="K42" i="8"/>
  <c r="H42" i="9"/>
  <c r="J66" i="8"/>
  <c r="G66" i="9"/>
  <c r="N8" i="8"/>
  <c r="K8" i="9"/>
  <c r="F85" i="8"/>
  <c r="C85" i="9"/>
  <c r="J68" i="8"/>
  <c r="G68" i="9"/>
  <c r="L77" i="8"/>
  <c r="I77" i="9"/>
  <c r="P12" i="8"/>
  <c r="M12" i="9"/>
  <c r="H27" i="8"/>
  <c r="E27" i="9"/>
  <c r="F54" i="8"/>
  <c r="C54" i="9"/>
  <c r="P60" i="8"/>
  <c r="M60" i="9"/>
  <c r="G15" i="8"/>
  <c r="D15" i="9"/>
  <c r="L23" i="8"/>
  <c r="I23" i="9"/>
  <c r="P57" i="8"/>
  <c r="M57" i="9"/>
  <c r="M63" i="8"/>
  <c r="J63" i="9"/>
  <c r="G83" i="8"/>
  <c r="D83" i="9"/>
  <c r="N52" i="8"/>
  <c r="K52" i="9"/>
  <c r="F10" i="8"/>
  <c r="C10" i="9"/>
  <c r="P25" i="8"/>
  <c r="M25" i="9"/>
  <c r="M31" i="8"/>
  <c r="J31" i="9"/>
  <c r="I80" i="8"/>
  <c r="F80" i="9"/>
  <c r="J75" i="8"/>
  <c r="G75" i="9"/>
  <c r="G79" i="8"/>
  <c r="D79" i="9"/>
  <c r="G78" i="8"/>
  <c r="D78" i="9"/>
  <c r="L18" i="8"/>
  <c r="I18" i="9"/>
  <c r="O42" i="8"/>
  <c r="L42" i="9"/>
  <c r="G66" i="8"/>
  <c r="D66" i="9"/>
  <c r="L8" i="8"/>
  <c r="I8" i="9"/>
  <c r="F6" i="8"/>
  <c r="C6" i="9"/>
  <c r="L68" i="8"/>
  <c r="I68" i="9"/>
  <c r="K12" i="8"/>
  <c r="H12" i="9"/>
  <c r="O62" i="8"/>
  <c r="L62" i="9"/>
  <c r="M27" i="8"/>
  <c r="J27" i="9"/>
  <c r="O60" i="8"/>
  <c r="L60" i="9"/>
  <c r="P59" i="8"/>
  <c r="M59" i="9"/>
  <c r="G33" i="8"/>
  <c r="D33" i="9"/>
  <c r="H81" i="8"/>
  <c r="E81" i="9"/>
  <c r="J17" i="8"/>
  <c r="G17" i="9"/>
  <c r="L70" i="8"/>
  <c r="I70" i="9"/>
  <c r="G44" i="8"/>
  <c r="D44" i="9"/>
  <c r="O46" i="8"/>
  <c r="L46" i="9"/>
  <c r="F637" i="5"/>
  <c r="N794" i="5"/>
  <c r="N768" i="5"/>
  <c r="H15" i="8"/>
  <c r="E15" i="9"/>
  <c r="I34" i="8"/>
  <c r="F34" i="9"/>
  <c r="I23" i="8"/>
  <c r="F23" i="9"/>
  <c r="J72" i="8"/>
  <c r="G72" i="9"/>
  <c r="L63" i="8"/>
  <c r="I63" i="9"/>
  <c r="G81" i="8"/>
  <c r="D81" i="9"/>
  <c r="I17" i="8"/>
  <c r="F17" i="9"/>
  <c r="F83" i="8"/>
  <c r="C83" i="9"/>
  <c r="J70" i="8"/>
  <c r="G70" i="9"/>
  <c r="M52" i="8"/>
  <c r="J52" i="9"/>
  <c r="O22" i="8"/>
  <c r="L22" i="9"/>
  <c r="O25" i="8"/>
  <c r="L25" i="9"/>
  <c r="G31" i="8"/>
  <c r="D31" i="9"/>
  <c r="H80" i="8"/>
  <c r="E80" i="9"/>
  <c r="N44" i="8"/>
  <c r="K44" i="9"/>
  <c r="N46" i="8"/>
  <c r="K46" i="9"/>
  <c r="P75" i="8"/>
  <c r="M75" i="9"/>
  <c r="O86" i="8"/>
  <c r="L86" i="9"/>
  <c r="F79" i="8"/>
  <c r="C79" i="9"/>
  <c r="F78" i="8"/>
  <c r="C78" i="9"/>
  <c r="N18" i="8"/>
  <c r="K18" i="9"/>
  <c r="H42" i="8"/>
  <c r="E42" i="9"/>
  <c r="H66" i="8"/>
  <c r="E66" i="9"/>
  <c r="K8" i="8"/>
  <c r="H8" i="9"/>
  <c r="H68" i="8"/>
  <c r="E68" i="9"/>
  <c r="F77" i="8"/>
  <c r="C77" i="9"/>
  <c r="I12" i="8"/>
  <c r="F12" i="9"/>
  <c r="N62" i="8"/>
  <c r="K62" i="9"/>
  <c r="N54" i="8"/>
  <c r="K54" i="9"/>
  <c r="K60" i="8"/>
  <c r="H60" i="9"/>
  <c r="O59" i="8"/>
  <c r="L59" i="9"/>
  <c r="F33" i="8"/>
  <c r="C33" i="9"/>
  <c r="N23" i="8"/>
  <c r="K23" i="9"/>
  <c r="I72" i="8"/>
  <c r="F72" i="9"/>
  <c r="J63" i="8"/>
  <c r="G63" i="9"/>
  <c r="P81" i="8"/>
  <c r="M81" i="9"/>
  <c r="H17" i="8"/>
  <c r="E17" i="9"/>
  <c r="I70" i="8"/>
  <c r="F70" i="9"/>
  <c r="L52" i="8"/>
  <c r="I52" i="9"/>
  <c r="L61" i="8"/>
  <c r="I61" i="9"/>
  <c r="P22" i="8"/>
  <c r="M22" i="9"/>
  <c r="J25" i="8"/>
  <c r="G25" i="9"/>
  <c r="F31" i="8"/>
  <c r="C31" i="9"/>
  <c r="G80" i="8"/>
  <c r="D80" i="9"/>
  <c r="M44" i="8"/>
  <c r="J44" i="9"/>
  <c r="P46" i="8"/>
  <c r="M46" i="9"/>
  <c r="I76" i="8"/>
  <c r="F76" i="9"/>
  <c r="K47" i="8"/>
  <c r="H47" i="9"/>
  <c r="N75" i="8"/>
  <c r="K75" i="9"/>
  <c r="N86" i="8"/>
  <c r="K86" i="9"/>
  <c r="M78" i="8"/>
  <c r="J78" i="9"/>
  <c r="M18" i="8"/>
  <c r="J18" i="9"/>
  <c r="G42" i="8"/>
  <c r="D42" i="9"/>
  <c r="M66" i="8"/>
  <c r="J66" i="9"/>
  <c r="J8" i="8"/>
  <c r="G8" i="9"/>
  <c r="P13" i="8"/>
  <c r="M13" i="9"/>
  <c r="P6" i="8"/>
  <c r="M6" i="9"/>
  <c r="O68" i="8"/>
  <c r="L68" i="9"/>
  <c r="H12" i="8"/>
  <c r="E12" i="9"/>
  <c r="M62" i="8"/>
  <c r="J62" i="9"/>
  <c r="K27" i="8"/>
  <c r="H27" i="9"/>
  <c r="M54" i="8"/>
  <c r="J54" i="9"/>
  <c r="J60" i="8"/>
  <c r="G60" i="9"/>
  <c r="N59" i="8"/>
  <c r="K59" i="9"/>
  <c r="P23" i="8"/>
  <c r="M23" i="9"/>
  <c r="P15" i="8"/>
  <c r="M15" i="9"/>
  <c r="F15" i="8"/>
  <c r="C15" i="9"/>
  <c r="L34" i="8"/>
  <c r="I34" i="9"/>
  <c r="L33" i="8"/>
  <c r="I33" i="9"/>
  <c r="M23" i="8"/>
  <c r="J23" i="9"/>
  <c r="H72" i="8"/>
  <c r="E72" i="9"/>
  <c r="I63" i="8"/>
  <c r="F63" i="9"/>
  <c r="O81" i="8"/>
  <c r="L81" i="9"/>
  <c r="G17" i="8"/>
  <c r="D17" i="9"/>
  <c r="K70" i="8"/>
  <c r="H70" i="9"/>
  <c r="K52" i="8"/>
  <c r="H52" i="9"/>
  <c r="K61" i="8"/>
  <c r="H61" i="9"/>
  <c r="G22" i="8"/>
  <c r="D22" i="9"/>
  <c r="I25" i="8"/>
  <c r="F25" i="9"/>
  <c r="L31" i="8"/>
  <c r="I31" i="9"/>
  <c r="F80" i="8"/>
  <c r="C80" i="9"/>
  <c r="L44" i="8"/>
  <c r="I44" i="9"/>
  <c r="G76" i="8"/>
  <c r="D76" i="9"/>
  <c r="J47" i="8"/>
  <c r="G47" i="9"/>
  <c r="O75" i="8"/>
  <c r="L75" i="9"/>
  <c r="G86" i="8"/>
  <c r="D86" i="9"/>
  <c r="O78" i="8"/>
  <c r="L78" i="9"/>
  <c r="P18" i="8"/>
  <c r="M18" i="9"/>
  <c r="F42" i="8"/>
  <c r="C42" i="9"/>
  <c r="L66" i="8"/>
  <c r="I66" i="9"/>
  <c r="O13" i="8"/>
  <c r="L13" i="9"/>
  <c r="K6" i="8"/>
  <c r="H6" i="9"/>
  <c r="N68" i="8"/>
  <c r="K68" i="9"/>
  <c r="O12" i="8"/>
  <c r="L12" i="9"/>
  <c r="L62" i="8"/>
  <c r="I62" i="9"/>
  <c r="L27" i="8"/>
  <c r="I27" i="9"/>
  <c r="P54" i="8"/>
  <c r="M54" i="9"/>
  <c r="M60" i="8"/>
  <c r="J60" i="9"/>
  <c r="M59" i="8"/>
  <c r="J59" i="9"/>
  <c r="J34" i="8"/>
  <c r="G34" i="9"/>
  <c r="K33" i="8"/>
  <c r="H33" i="9"/>
  <c r="G72" i="8"/>
  <c r="D72" i="9"/>
  <c r="H63" i="8"/>
  <c r="E63" i="9"/>
  <c r="N81" i="8"/>
  <c r="K81" i="9"/>
  <c r="N17" i="8"/>
  <c r="K17" i="9"/>
  <c r="P45" i="8"/>
  <c r="M45" i="9"/>
  <c r="H70" i="8"/>
  <c r="E70" i="9"/>
  <c r="F52" i="8"/>
  <c r="C52" i="9"/>
  <c r="M61" i="8"/>
  <c r="J61" i="9"/>
  <c r="F22" i="8"/>
  <c r="C22" i="9"/>
  <c r="H25" i="8"/>
  <c r="E25" i="9"/>
  <c r="I31" i="8"/>
  <c r="F31" i="9"/>
  <c r="K43" i="8"/>
  <c r="H43" i="9"/>
  <c r="J76" i="8"/>
  <c r="G76" i="9"/>
  <c r="I47" i="8"/>
  <c r="F47" i="9"/>
  <c r="M75" i="8"/>
  <c r="J75" i="9"/>
  <c r="F86" i="8"/>
  <c r="C86" i="9"/>
  <c r="F51" i="8"/>
  <c r="C51" i="9"/>
  <c r="L78" i="8"/>
  <c r="I78" i="9"/>
  <c r="F65" i="8"/>
  <c r="C65" i="9"/>
  <c r="J18" i="8"/>
  <c r="G18" i="9"/>
  <c r="K66" i="8"/>
  <c r="H66" i="9"/>
  <c r="N13" i="8"/>
  <c r="K13" i="9"/>
  <c r="J6" i="8"/>
  <c r="G6" i="9"/>
  <c r="M68" i="8"/>
  <c r="J68" i="9"/>
  <c r="N12" i="8"/>
  <c r="K12" i="9"/>
  <c r="K62" i="8"/>
  <c r="H62" i="9"/>
  <c r="J27" i="8"/>
  <c r="G27" i="9"/>
  <c r="I54" i="8"/>
  <c r="F54" i="9"/>
  <c r="N60" i="8"/>
  <c r="K60" i="9"/>
  <c r="L59" i="8"/>
  <c r="I59" i="9"/>
  <c r="M34" i="8"/>
  <c r="J34" i="9"/>
  <c r="F875" i="5"/>
  <c r="F350" i="5"/>
  <c r="J33" i="8"/>
  <c r="G33" i="9"/>
  <c r="O28" i="8"/>
  <c r="L28" i="9"/>
  <c r="F72" i="8"/>
  <c r="C72" i="9"/>
  <c r="J81" i="8"/>
  <c r="G81" i="9"/>
  <c r="M17" i="8"/>
  <c r="J17" i="9"/>
  <c r="N45" i="8"/>
  <c r="K45" i="9"/>
  <c r="G70" i="8"/>
  <c r="D70" i="9"/>
  <c r="J61" i="8"/>
  <c r="G61" i="9"/>
  <c r="O80" i="8"/>
  <c r="L80" i="9"/>
  <c r="P40" i="8"/>
  <c r="M40" i="9"/>
  <c r="I43" i="8"/>
  <c r="F43" i="9"/>
  <c r="O76" i="8"/>
  <c r="L76" i="9"/>
  <c r="L47" i="8"/>
  <c r="I47" i="9"/>
  <c r="L75" i="8"/>
  <c r="I75" i="9"/>
  <c r="H86" i="8"/>
  <c r="E86" i="9"/>
  <c r="P51" i="8"/>
  <c r="M51" i="9"/>
  <c r="K78" i="8"/>
  <c r="H78" i="9"/>
  <c r="P26" i="8"/>
  <c r="M26" i="9"/>
  <c r="N20" i="8"/>
  <c r="K20" i="9"/>
  <c r="M13" i="8"/>
  <c r="J13" i="9"/>
  <c r="M6" i="8"/>
  <c r="J6" i="9"/>
  <c r="M12" i="8"/>
  <c r="J12" i="9"/>
  <c r="P62" i="8"/>
  <c r="M62" i="9"/>
  <c r="I27" i="8"/>
  <c r="F27" i="9"/>
  <c r="O54" i="8"/>
  <c r="L54" i="9"/>
  <c r="L60" i="8"/>
  <c r="I60" i="9"/>
  <c r="H59" i="8"/>
  <c r="E59" i="9"/>
  <c r="H34" i="8"/>
  <c r="E34" i="9"/>
  <c r="M28" i="8"/>
  <c r="J28" i="9"/>
  <c r="K72" i="8"/>
  <c r="H72" i="9"/>
  <c r="I81" i="8"/>
  <c r="F81" i="9"/>
  <c r="L17" i="8"/>
  <c r="I17" i="9"/>
  <c r="M45" i="8"/>
  <c r="J45" i="9"/>
  <c r="F70" i="8"/>
  <c r="C70" i="9"/>
  <c r="N61" i="8"/>
  <c r="K61" i="9"/>
  <c r="N22" i="8"/>
  <c r="K22" i="9"/>
  <c r="K31" i="8"/>
  <c r="H31" i="9"/>
  <c r="M16" i="8"/>
  <c r="J16" i="9"/>
  <c r="N80" i="8"/>
  <c r="K80" i="9"/>
  <c r="O40" i="8"/>
  <c r="L40" i="9"/>
  <c r="H43" i="8"/>
  <c r="E43" i="9"/>
  <c r="P76" i="8"/>
  <c r="M76" i="9"/>
  <c r="N47" i="8"/>
  <c r="K47" i="9"/>
  <c r="K75" i="8"/>
  <c r="H75" i="9"/>
  <c r="P78" i="8"/>
  <c r="M78" i="9"/>
  <c r="K26" i="8"/>
  <c r="H26" i="9"/>
  <c r="J65" i="8"/>
  <c r="G65" i="9"/>
  <c r="K18" i="8"/>
  <c r="H18" i="9"/>
  <c r="L20" i="8"/>
  <c r="I20" i="9"/>
  <c r="F66" i="8"/>
  <c r="C66" i="9"/>
  <c r="J13" i="8"/>
  <c r="G13" i="9"/>
  <c r="L6" i="8"/>
  <c r="I6" i="9"/>
  <c r="L12" i="8"/>
  <c r="I12" i="9"/>
  <c r="I62" i="8"/>
  <c r="F62" i="9"/>
  <c r="H54" i="8"/>
  <c r="E54" i="9"/>
  <c r="F59" i="8"/>
  <c r="C59" i="9"/>
  <c r="L30" i="8"/>
  <c r="I30" i="9"/>
  <c r="M81" i="8"/>
  <c r="J81" i="9"/>
  <c r="K17" i="8"/>
  <c r="H17" i="9"/>
  <c r="J45" i="8"/>
  <c r="G45" i="9"/>
  <c r="P14" i="8"/>
  <c r="M14" i="9"/>
  <c r="I61" i="8"/>
  <c r="F61" i="9"/>
  <c r="I22" i="8"/>
  <c r="F22" i="9"/>
  <c r="J31" i="8"/>
  <c r="G31" i="9"/>
  <c r="J16" i="8"/>
  <c r="G16" i="9"/>
  <c r="M80" i="8"/>
  <c r="J80" i="9"/>
  <c r="M40" i="8"/>
  <c r="J40" i="9"/>
  <c r="J43" i="8"/>
  <c r="G43" i="9"/>
  <c r="K76" i="8"/>
  <c r="H76" i="9"/>
  <c r="J56" i="8"/>
  <c r="G56" i="9"/>
  <c r="M47" i="8"/>
  <c r="J47" i="9"/>
  <c r="P86" i="8"/>
  <c r="M86" i="9"/>
  <c r="K51" i="8"/>
  <c r="H51" i="9"/>
  <c r="N78" i="8"/>
  <c r="K78" i="9"/>
  <c r="H26" i="8"/>
  <c r="E26" i="9"/>
  <c r="N65" i="8"/>
  <c r="K65" i="9"/>
  <c r="I18" i="8"/>
  <c r="F18" i="9"/>
  <c r="K20" i="8"/>
  <c r="H20" i="9"/>
  <c r="P66" i="8"/>
  <c r="M66" i="9"/>
  <c r="I13" i="8"/>
  <c r="F13" i="9"/>
  <c r="H82" i="8"/>
  <c r="E82" i="9"/>
  <c r="I6" i="8"/>
  <c r="F6" i="9"/>
  <c r="J62" i="8"/>
  <c r="G62" i="9"/>
  <c r="G54" i="8"/>
  <c r="D54" i="9"/>
  <c r="G59" i="8"/>
  <c r="D59" i="9"/>
  <c r="I28" i="8"/>
  <c r="F28" i="9"/>
  <c r="F34" i="8"/>
  <c r="C34" i="9"/>
  <c r="H30" i="8"/>
  <c r="E30" i="9"/>
  <c r="H28" i="8"/>
  <c r="E28" i="9"/>
  <c r="L39" i="8"/>
  <c r="I39" i="9"/>
  <c r="O72" i="8"/>
  <c r="L72" i="9"/>
  <c r="L81" i="8"/>
  <c r="I81" i="9"/>
  <c r="I45" i="8"/>
  <c r="F45" i="9"/>
  <c r="O14" i="8"/>
  <c r="L14" i="9"/>
  <c r="H61" i="8"/>
  <c r="E61" i="9"/>
  <c r="H22" i="8"/>
  <c r="E22" i="9"/>
  <c r="H31" i="8"/>
  <c r="E31" i="9"/>
  <c r="I16" i="8"/>
  <c r="F16" i="9"/>
  <c r="P80" i="8"/>
  <c r="M80" i="9"/>
  <c r="G40" i="8"/>
  <c r="D40" i="9"/>
  <c r="L43" i="8"/>
  <c r="I43" i="9"/>
  <c r="H76" i="8"/>
  <c r="E76" i="9"/>
  <c r="G56" i="8"/>
  <c r="D56" i="9"/>
  <c r="P47" i="8"/>
  <c r="M47" i="9"/>
  <c r="M86" i="8"/>
  <c r="J86" i="9"/>
  <c r="J51" i="8"/>
  <c r="G51" i="9"/>
  <c r="J78" i="8"/>
  <c r="G78" i="9"/>
  <c r="O64" i="8"/>
  <c r="L64" i="9"/>
  <c r="O26" i="8"/>
  <c r="L26" i="9"/>
  <c r="L65" i="8"/>
  <c r="I65" i="9"/>
  <c r="H18" i="8"/>
  <c r="E18" i="9"/>
  <c r="O20" i="8"/>
  <c r="L20" i="9"/>
  <c r="O66" i="8"/>
  <c r="L66" i="9"/>
  <c r="H13" i="8"/>
  <c r="E13" i="9"/>
  <c r="N82" i="8"/>
  <c r="K82" i="9"/>
  <c r="H6" i="8"/>
  <c r="E6" i="9"/>
  <c r="H62" i="8"/>
  <c r="E62" i="9"/>
  <c r="L54" i="8"/>
  <c r="I54" i="9"/>
  <c r="K59" i="8"/>
  <c r="H59" i="9"/>
  <c r="J2" i="8"/>
  <c r="G2" i="9"/>
  <c r="N83" i="8"/>
  <c r="K83" i="9"/>
  <c r="I33" i="8"/>
  <c r="F33" i="9"/>
  <c r="G34" i="8"/>
  <c r="D34" i="9"/>
  <c r="K34" i="8"/>
  <c r="H34" i="9"/>
  <c r="K30" i="8"/>
  <c r="H30" i="9"/>
  <c r="N28" i="8"/>
  <c r="K28" i="9"/>
  <c r="P39" i="8"/>
  <c r="M39" i="9"/>
  <c r="N72" i="8"/>
  <c r="K72" i="9"/>
  <c r="K81" i="8"/>
  <c r="H81" i="9"/>
  <c r="K37" i="8"/>
  <c r="H37" i="9"/>
  <c r="O45" i="8"/>
  <c r="L45" i="9"/>
  <c r="J14" i="8"/>
  <c r="G14" i="9"/>
  <c r="F61" i="8"/>
  <c r="C61" i="9"/>
  <c r="L22" i="8"/>
  <c r="I22" i="9"/>
  <c r="P31" i="8"/>
  <c r="M31" i="9"/>
  <c r="H16" i="8"/>
  <c r="E16" i="9"/>
  <c r="L80" i="8"/>
  <c r="I80" i="9"/>
  <c r="N40" i="8"/>
  <c r="K40" i="9"/>
  <c r="F43" i="8"/>
  <c r="C43" i="9"/>
  <c r="F76" i="8"/>
  <c r="C76" i="9"/>
  <c r="O47" i="8"/>
  <c r="L47" i="9"/>
  <c r="H29" i="8"/>
  <c r="E29" i="9"/>
  <c r="I86" i="8"/>
  <c r="F86" i="9"/>
  <c r="I51" i="8"/>
  <c r="F51" i="9"/>
  <c r="M64" i="8"/>
  <c r="J64" i="9"/>
  <c r="G26" i="8"/>
  <c r="D26" i="9"/>
  <c r="I65" i="8"/>
  <c r="F65" i="9"/>
  <c r="G18" i="8"/>
  <c r="D18" i="9"/>
  <c r="M20" i="8"/>
  <c r="J20" i="9"/>
  <c r="N66" i="8"/>
  <c r="K66" i="9"/>
  <c r="G13" i="8"/>
  <c r="D13" i="9"/>
  <c r="P82" i="8"/>
  <c r="M82" i="9"/>
  <c r="G6" i="8"/>
  <c r="D6" i="9"/>
  <c r="G62" i="8"/>
  <c r="D62" i="9"/>
  <c r="K54" i="8"/>
  <c r="H54" i="9"/>
  <c r="J21" i="8"/>
  <c r="G21" i="9"/>
  <c r="J59" i="8"/>
  <c r="G59" i="9"/>
  <c r="K2" i="8"/>
  <c r="H2" i="9"/>
  <c r="G23" i="8"/>
  <c r="D23" i="9"/>
  <c r="M30" i="8"/>
  <c r="J30" i="9"/>
  <c r="L28" i="8"/>
  <c r="I28" i="9"/>
  <c r="G39" i="8"/>
  <c r="D39" i="9"/>
  <c r="P72" i="8"/>
  <c r="M72" i="9"/>
  <c r="O37" i="8"/>
  <c r="L37" i="9"/>
  <c r="H45" i="8"/>
  <c r="E45" i="9"/>
  <c r="I14" i="8"/>
  <c r="F14" i="9"/>
  <c r="G61" i="8"/>
  <c r="D61" i="9"/>
  <c r="M22" i="8"/>
  <c r="J22" i="9"/>
  <c r="O31" i="8"/>
  <c r="L31" i="9"/>
  <c r="G16" i="8"/>
  <c r="D16" i="9"/>
  <c r="H40" i="8"/>
  <c r="E40" i="9"/>
  <c r="O50" i="8"/>
  <c r="L50" i="9"/>
  <c r="I56" i="8"/>
  <c r="F56" i="9"/>
  <c r="H47" i="8"/>
  <c r="E47" i="9"/>
  <c r="M29" i="8"/>
  <c r="J29" i="9"/>
  <c r="L86" i="8"/>
  <c r="I86" i="9"/>
  <c r="N51" i="8"/>
  <c r="K51" i="9"/>
  <c r="F71" i="8"/>
  <c r="C71" i="9"/>
  <c r="L64" i="8"/>
  <c r="I64" i="9"/>
  <c r="N26" i="8"/>
  <c r="K26" i="9"/>
  <c r="O65" i="8"/>
  <c r="L65" i="9"/>
  <c r="F18" i="8"/>
  <c r="C18" i="9"/>
  <c r="J20" i="8"/>
  <c r="G20" i="9"/>
  <c r="F13" i="8"/>
  <c r="C13" i="9"/>
  <c r="O82" i="8"/>
  <c r="L82" i="9"/>
  <c r="O6" i="8"/>
  <c r="L6" i="9"/>
  <c r="F62" i="8"/>
  <c r="C62" i="9"/>
  <c r="J54" i="8"/>
  <c r="G54" i="9"/>
  <c r="H21" i="8"/>
  <c r="E21" i="9"/>
  <c r="I59" i="8"/>
  <c r="F59" i="9"/>
  <c r="F2" i="8"/>
  <c r="C2" i="9"/>
  <c r="G63" i="8"/>
  <c r="D63" i="9"/>
  <c r="P34" i="8"/>
  <c r="M34" i="9"/>
  <c r="P4" i="8"/>
  <c r="M4" i="9"/>
  <c r="O34" i="8"/>
  <c r="L34" i="9"/>
  <c r="I30" i="8"/>
  <c r="F30" i="9"/>
  <c r="J28" i="8"/>
  <c r="G28" i="9"/>
  <c r="F39" i="8"/>
  <c r="C39" i="9"/>
  <c r="M72" i="8"/>
  <c r="J72" i="9"/>
  <c r="M37" i="8"/>
  <c r="J37" i="9"/>
  <c r="G45" i="8"/>
  <c r="D45" i="9"/>
  <c r="L14" i="8"/>
  <c r="I14" i="9"/>
  <c r="K22" i="8"/>
  <c r="H22" i="9"/>
  <c r="L16" i="8"/>
  <c r="I16" i="9"/>
  <c r="P53" i="8"/>
  <c r="M53" i="9"/>
  <c r="M50" i="8"/>
  <c r="J50" i="9"/>
  <c r="G43" i="8"/>
  <c r="D43" i="9"/>
  <c r="N76" i="8"/>
  <c r="K76" i="9"/>
  <c r="F56" i="8"/>
  <c r="C56" i="9"/>
  <c r="G47" i="8"/>
  <c r="D47" i="9"/>
  <c r="L29" i="8"/>
  <c r="I29" i="9"/>
  <c r="K86" i="8"/>
  <c r="H86" i="9"/>
  <c r="M51" i="8"/>
  <c r="J51" i="9"/>
  <c r="L71" i="8"/>
  <c r="I71" i="9"/>
  <c r="K64" i="8"/>
  <c r="H64" i="9"/>
  <c r="L26" i="8"/>
  <c r="I26" i="9"/>
  <c r="H87" i="8"/>
  <c r="E87" i="9"/>
  <c r="H65" i="8"/>
  <c r="E65" i="9"/>
  <c r="H20" i="8"/>
  <c r="E20" i="9"/>
  <c r="K13" i="8"/>
  <c r="H13" i="9"/>
  <c r="M82" i="8"/>
  <c r="J82" i="9"/>
  <c r="N6" i="8"/>
  <c r="K6" i="9"/>
  <c r="I21" i="8"/>
  <c r="F21" i="9"/>
  <c r="H11" i="8"/>
  <c r="E11" i="9"/>
  <c r="O4" i="8"/>
  <c r="L4" i="9"/>
  <c r="N34" i="8"/>
  <c r="K34" i="9"/>
  <c r="J30" i="8"/>
  <c r="G30" i="9"/>
  <c r="P28" i="8"/>
  <c r="M28" i="9"/>
  <c r="I39" i="8"/>
  <c r="F39" i="9"/>
  <c r="L72" i="8"/>
  <c r="I72" i="9"/>
  <c r="M4" i="5"/>
  <c r="J118" i="9"/>
  <c r="L37" i="8"/>
  <c r="I37" i="9"/>
  <c r="L45" i="8"/>
  <c r="I45" i="9"/>
  <c r="N14" i="8"/>
  <c r="K14" i="9"/>
  <c r="P61" i="8"/>
  <c r="M61" i="9"/>
  <c r="J22" i="8"/>
  <c r="G22" i="9"/>
  <c r="F19" i="8"/>
  <c r="C19" i="9"/>
  <c r="K16" i="8"/>
  <c r="H16" i="9"/>
  <c r="N53" i="8"/>
  <c r="K53" i="9"/>
  <c r="L40" i="8"/>
  <c r="I40" i="9"/>
  <c r="L50" i="8"/>
  <c r="I50" i="9"/>
  <c r="P43" i="8"/>
  <c r="M43" i="9"/>
  <c r="M76" i="8"/>
  <c r="J76" i="9"/>
  <c r="N56" i="8"/>
  <c r="K56" i="9"/>
  <c r="F47" i="8"/>
  <c r="C47" i="9"/>
  <c r="K29" i="8"/>
  <c r="H29" i="9"/>
  <c r="J86" i="8"/>
  <c r="G86" i="9"/>
  <c r="H51" i="8"/>
  <c r="E51" i="9"/>
  <c r="G71" i="8"/>
  <c r="D71" i="9"/>
  <c r="P64" i="8"/>
  <c r="M64" i="9"/>
  <c r="F26" i="8"/>
  <c r="C26" i="9"/>
  <c r="F87" i="8"/>
  <c r="C87" i="9"/>
  <c r="P65" i="8"/>
  <c r="M65" i="9"/>
  <c r="I20" i="8"/>
  <c r="F20" i="9"/>
  <c r="L82" i="8"/>
  <c r="I82" i="9"/>
  <c r="G21" i="8"/>
  <c r="D21" i="9"/>
  <c r="L2" i="8"/>
  <c r="I2" i="9"/>
  <c r="G30" i="8"/>
  <c r="D30" i="9"/>
  <c r="K73" i="8"/>
  <c r="H73" i="9"/>
  <c r="M14" i="8"/>
  <c r="J14" i="9"/>
  <c r="F16" i="8"/>
  <c r="C16" i="9"/>
  <c r="O53" i="8"/>
  <c r="L53" i="9"/>
  <c r="J40" i="8"/>
  <c r="G40" i="9"/>
  <c r="N50" i="8"/>
  <c r="K50" i="9"/>
  <c r="O43" i="8"/>
  <c r="L43" i="9"/>
  <c r="L76" i="8"/>
  <c r="I76" i="9"/>
  <c r="O56" i="8"/>
  <c r="L56" i="9"/>
  <c r="J29" i="8"/>
  <c r="G29" i="9"/>
  <c r="O51" i="8"/>
  <c r="L51" i="9"/>
  <c r="P71" i="8"/>
  <c r="M71" i="9"/>
  <c r="N64" i="8"/>
  <c r="K64" i="9"/>
  <c r="M26" i="8"/>
  <c r="J26" i="9"/>
  <c r="I87" i="8"/>
  <c r="F87" i="9"/>
  <c r="M65" i="8"/>
  <c r="J65" i="9"/>
  <c r="P20" i="8"/>
  <c r="M20" i="9"/>
  <c r="L13" i="8"/>
  <c r="I13" i="9"/>
  <c r="G82" i="8"/>
  <c r="D82" i="9"/>
  <c r="N49" i="8"/>
  <c r="K49" i="9"/>
  <c r="N2" i="8"/>
  <c r="K2" i="9"/>
  <c r="J39" i="8"/>
  <c r="G39" i="9"/>
  <c r="J55" i="8"/>
  <c r="G55" i="9"/>
  <c r="K48" i="8"/>
  <c r="H48" i="9"/>
  <c r="H4" i="5"/>
  <c r="F118" i="9"/>
  <c r="P37" i="8"/>
  <c r="M37" i="9"/>
  <c r="K45" i="8"/>
  <c r="H45" i="9"/>
  <c r="H73" i="8"/>
  <c r="E73" i="9"/>
  <c r="K14" i="8"/>
  <c r="H14" i="9"/>
  <c r="G19" i="8"/>
  <c r="D19" i="9"/>
  <c r="P16" i="8"/>
  <c r="M16" i="9"/>
  <c r="K53" i="8"/>
  <c r="H53" i="9"/>
  <c r="K40" i="8"/>
  <c r="H40" i="9"/>
  <c r="K50" i="8"/>
  <c r="H50" i="9"/>
  <c r="N43" i="8"/>
  <c r="K43" i="9"/>
  <c r="M56" i="8"/>
  <c r="J56" i="9"/>
  <c r="N29" i="8"/>
  <c r="K29" i="9"/>
  <c r="P3" i="8"/>
  <c r="M3" i="9"/>
  <c r="L51" i="8"/>
  <c r="I51" i="9"/>
  <c r="H71" i="8"/>
  <c r="E71" i="9"/>
  <c r="F64" i="8"/>
  <c r="C64" i="9"/>
  <c r="G87" i="8"/>
  <c r="D87" i="9"/>
  <c r="K65" i="8"/>
  <c r="H65" i="9"/>
  <c r="L24" i="8"/>
  <c r="I24" i="9"/>
  <c r="G20" i="8"/>
  <c r="D20" i="9"/>
  <c r="I49" i="8"/>
  <c r="F49" i="9"/>
  <c r="F21" i="8"/>
  <c r="C21" i="9"/>
  <c r="M2" i="8"/>
  <c r="J2" i="9"/>
  <c r="N15" i="8"/>
  <c r="K15" i="9"/>
  <c r="L639" i="5"/>
  <c r="I154" i="9"/>
  <c r="K11" i="8"/>
  <c r="H11" i="9"/>
  <c r="H84" i="8"/>
  <c r="E84" i="9"/>
  <c r="M53" i="8"/>
  <c r="J53" i="9"/>
  <c r="G50" i="8"/>
  <c r="D50" i="9"/>
  <c r="I29" i="8"/>
  <c r="F29" i="9"/>
  <c r="O3" i="8"/>
  <c r="L3" i="9"/>
  <c r="G51" i="8"/>
  <c r="D51" i="9"/>
  <c r="H9" i="8"/>
  <c r="E9" i="9"/>
  <c r="J26" i="8"/>
  <c r="G26" i="9"/>
  <c r="G65" i="8"/>
  <c r="D65" i="9"/>
  <c r="J24" i="8"/>
  <c r="G24" i="9"/>
  <c r="F20" i="8"/>
  <c r="C20" i="9"/>
  <c r="F82" i="8"/>
  <c r="C82" i="9"/>
  <c r="J49" i="8"/>
  <c r="G49" i="9"/>
  <c r="N21" i="8"/>
  <c r="K21" i="9"/>
  <c r="G2" i="8"/>
  <c r="D2" i="9"/>
  <c r="J74" i="8"/>
  <c r="G74" i="9"/>
  <c r="M4" i="8"/>
  <c r="J4" i="9"/>
  <c r="F37" i="8"/>
  <c r="C37" i="9"/>
  <c r="F28" i="8"/>
  <c r="C28" i="9"/>
  <c r="G28" i="8"/>
  <c r="D28" i="9"/>
  <c r="F4" i="5"/>
  <c r="D118" i="9"/>
  <c r="J73" i="8"/>
  <c r="G73" i="9"/>
  <c r="G14" i="8"/>
  <c r="D14" i="9"/>
  <c r="J7" i="8"/>
  <c r="G7" i="9"/>
  <c r="O19" i="8"/>
  <c r="L19" i="9"/>
  <c r="O16" i="8"/>
  <c r="L16" i="9"/>
  <c r="I40" i="8"/>
  <c r="F40" i="9"/>
  <c r="M43" i="8"/>
  <c r="J43" i="9"/>
  <c r="L56" i="8"/>
  <c r="I56" i="9"/>
  <c r="F828" i="5"/>
  <c r="F701" i="5"/>
  <c r="L4" i="8"/>
  <c r="I4" i="9"/>
  <c r="P30" i="8"/>
  <c r="M30" i="9"/>
  <c r="O11" i="8"/>
  <c r="L11" i="9"/>
  <c r="H39" i="8"/>
  <c r="E39" i="9"/>
  <c r="M55" i="8"/>
  <c r="J55" i="9"/>
  <c r="O48" i="8"/>
  <c r="L48" i="9"/>
  <c r="E4" i="5"/>
  <c r="C6" i="5" s="1" a="1"/>
  <c r="C6" i="5" s="1"/>
  <c r="G6" i="5" s="1"/>
  <c r="C118" i="9"/>
  <c r="G84" i="8"/>
  <c r="D84" i="9"/>
  <c r="I73" i="8"/>
  <c r="F73" i="9"/>
  <c r="H14" i="8"/>
  <c r="E14" i="9"/>
  <c r="P58" i="8"/>
  <c r="M58" i="9"/>
  <c r="H7" i="8"/>
  <c r="E7" i="9"/>
  <c r="N19" i="8"/>
  <c r="K19" i="9"/>
  <c r="N16" i="8"/>
  <c r="K16" i="9"/>
  <c r="I53" i="8"/>
  <c r="F53" i="9"/>
  <c r="F40" i="8"/>
  <c r="C40" i="9"/>
  <c r="F50" i="8"/>
  <c r="C50" i="9"/>
  <c r="K56" i="8"/>
  <c r="H56" i="9"/>
  <c r="G29" i="8"/>
  <c r="D29" i="9"/>
  <c r="N3" i="8"/>
  <c r="K3" i="9"/>
  <c r="J71" i="8"/>
  <c r="G71" i="9"/>
  <c r="G9" i="8"/>
  <c r="D9" i="9"/>
  <c r="G64" i="8"/>
  <c r="D64" i="9"/>
  <c r="I26" i="8"/>
  <c r="F26" i="9"/>
  <c r="M87" i="8"/>
  <c r="J87" i="9"/>
  <c r="K38" i="8"/>
  <c r="H38" i="9"/>
  <c r="J82" i="8"/>
  <c r="G82" i="9"/>
  <c r="G49" i="8"/>
  <c r="D49" i="9"/>
  <c r="K67" i="8"/>
  <c r="H67" i="9"/>
  <c r="M21" i="8"/>
  <c r="J21" i="9"/>
  <c r="O2" i="8"/>
  <c r="L2" i="9"/>
  <c r="G55" i="8"/>
  <c r="D55" i="9"/>
  <c r="K28" i="8"/>
  <c r="H28" i="9"/>
  <c r="F45" i="8"/>
  <c r="C45" i="9"/>
  <c r="K4" i="8"/>
  <c r="H4" i="9"/>
  <c r="H4" i="8"/>
  <c r="E4" i="9"/>
  <c r="O30" i="8"/>
  <c r="L30" i="9"/>
  <c r="L11" i="8"/>
  <c r="I11" i="9"/>
  <c r="O39" i="8"/>
  <c r="L39" i="9"/>
  <c r="L55" i="8"/>
  <c r="I55" i="9"/>
  <c r="L48" i="8"/>
  <c r="I48" i="9"/>
  <c r="J84" i="8"/>
  <c r="G84" i="9"/>
  <c r="J37" i="8"/>
  <c r="G37" i="9"/>
  <c r="O73" i="8"/>
  <c r="L73" i="9"/>
  <c r="F14" i="8"/>
  <c r="C14" i="9"/>
  <c r="O58" i="8"/>
  <c r="L58" i="9"/>
  <c r="G7" i="8"/>
  <c r="D7" i="9"/>
  <c r="P19" i="8"/>
  <c r="M19" i="9"/>
  <c r="H53" i="8"/>
  <c r="E53" i="9"/>
  <c r="J50" i="8"/>
  <c r="G50" i="9"/>
  <c r="P5" i="8"/>
  <c r="M5" i="9"/>
  <c r="H56" i="8"/>
  <c r="E56" i="9"/>
  <c r="P36" i="8"/>
  <c r="M36" i="9"/>
  <c r="F29" i="8"/>
  <c r="C29" i="9"/>
  <c r="J3" i="8"/>
  <c r="G3" i="9"/>
  <c r="K71" i="8"/>
  <c r="H71" i="9"/>
  <c r="F9" i="8"/>
  <c r="C9" i="9"/>
  <c r="J64" i="8"/>
  <c r="G64" i="9"/>
  <c r="L87" i="8"/>
  <c r="I87" i="9"/>
  <c r="K69" i="8"/>
  <c r="H69" i="9"/>
  <c r="M24" i="8"/>
  <c r="J24" i="9"/>
  <c r="I38" i="8"/>
  <c r="F38" i="9"/>
  <c r="K82" i="8"/>
  <c r="H82" i="9"/>
  <c r="H49" i="8"/>
  <c r="E49" i="9"/>
  <c r="O67" i="8"/>
  <c r="L67" i="9"/>
  <c r="P21" i="8"/>
  <c r="M21" i="9"/>
  <c r="P2" i="8"/>
  <c r="M2" i="9"/>
  <c r="F30" i="8"/>
  <c r="C30" i="9"/>
  <c r="J48" i="8"/>
  <c r="G48" i="9"/>
  <c r="N4" i="8"/>
  <c r="K4" i="9"/>
  <c r="G867" i="5"/>
  <c r="E154" i="9"/>
  <c r="N30" i="8"/>
  <c r="K30" i="9"/>
  <c r="J11" i="8"/>
  <c r="G11" i="9"/>
  <c r="N39" i="8"/>
  <c r="K39" i="9"/>
  <c r="F55" i="8"/>
  <c r="C55" i="9"/>
  <c r="I48" i="8"/>
  <c r="F48" i="9"/>
  <c r="I4" i="5"/>
  <c r="L118" i="9"/>
  <c r="I84" i="8"/>
  <c r="F84" i="9"/>
  <c r="I37" i="8"/>
  <c r="F37" i="9"/>
  <c r="P73" i="8"/>
  <c r="M73" i="9"/>
  <c r="M58" i="8"/>
  <c r="J58" i="9"/>
  <c r="F7" i="8"/>
  <c r="C7" i="9"/>
  <c r="J19" i="8"/>
  <c r="G19" i="9"/>
  <c r="F53" i="8"/>
  <c r="C53" i="9"/>
  <c r="I649" i="5"/>
  <c r="L153" i="9"/>
  <c r="I50" i="8"/>
  <c r="F50" i="9"/>
  <c r="K5" i="8"/>
  <c r="H5" i="9"/>
  <c r="P56" i="8"/>
  <c r="M56" i="9"/>
  <c r="O36" i="8"/>
  <c r="L36" i="9"/>
  <c r="P29" i="8"/>
  <c r="M29" i="9"/>
  <c r="I3" i="8"/>
  <c r="F3" i="9"/>
  <c r="I71" i="8"/>
  <c r="F71" i="9"/>
  <c r="I64" i="8"/>
  <c r="F64" i="9"/>
  <c r="F41" i="8"/>
  <c r="C41" i="9"/>
  <c r="K87" i="8"/>
  <c r="H87" i="9"/>
  <c r="J69" i="8"/>
  <c r="G69" i="9"/>
  <c r="N24" i="8"/>
  <c r="K24" i="9"/>
  <c r="L38" i="8"/>
  <c r="I38" i="9"/>
  <c r="I82" i="8"/>
  <c r="F82" i="9"/>
  <c r="F49" i="8"/>
  <c r="C49" i="9"/>
  <c r="M67" i="8"/>
  <c r="J67" i="9"/>
  <c r="O21" i="8"/>
  <c r="L21" i="9"/>
  <c r="H2" i="8"/>
  <c r="E2" i="9"/>
  <c r="I57" i="8"/>
  <c r="F57" i="9"/>
  <c r="H83" i="8"/>
  <c r="E83" i="9"/>
  <c r="G4" i="5"/>
  <c r="E118" i="9"/>
  <c r="O61" i="8"/>
  <c r="L61" i="9"/>
  <c r="K39" i="8"/>
  <c r="H39" i="9"/>
  <c r="N37" i="8"/>
  <c r="K37" i="9"/>
  <c r="J4" i="8"/>
  <c r="G4" i="9"/>
  <c r="P11" i="8"/>
  <c r="M11" i="9"/>
  <c r="M39" i="8"/>
  <c r="J39" i="9"/>
  <c r="P55" i="8"/>
  <c r="M55" i="9"/>
  <c r="O74" i="8"/>
  <c r="L74" i="9"/>
  <c r="H48" i="8"/>
  <c r="E48" i="9"/>
  <c r="N4" i="5"/>
  <c r="K118" i="9"/>
  <c r="O84" i="8"/>
  <c r="L84" i="9"/>
  <c r="H37" i="8"/>
  <c r="E37" i="9"/>
  <c r="N73" i="8"/>
  <c r="K73" i="9"/>
  <c r="L58" i="8"/>
  <c r="I58" i="9"/>
  <c r="K7" i="8"/>
  <c r="H7" i="9"/>
  <c r="I19" i="8"/>
  <c r="F19" i="9"/>
  <c r="K645" i="5"/>
  <c r="H153" i="9"/>
  <c r="H50" i="8"/>
  <c r="E50" i="9"/>
  <c r="J5" i="8"/>
  <c r="G5" i="9"/>
  <c r="L36" i="8"/>
  <c r="I36" i="9"/>
  <c r="O29" i="8"/>
  <c r="L29" i="9"/>
  <c r="M3" i="8"/>
  <c r="J3" i="9"/>
  <c r="O71" i="8"/>
  <c r="L71" i="9"/>
  <c r="O9" i="8"/>
  <c r="L9" i="9"/>
  <c r="H64" i="8"/>
  <c r="E64" i="9"/>
  <c r="N41" i="8"/>
  <c r="K41" i="9"/>
  <c r="J87" i="8"/>
  <c r="G87" i="9"/>
  <c r="L69" i="8"/>
  <c r="I69" i="9"/>
  <c r="H24" i="8"/>
  <c r="E24" i="9"/>
  <c r="J38" i="8"/>
  <c r="G38" i="9"/>
  <c r="N67" i="8"/>
  <c r="K67" i="9"/>
  <c r="L21" i="8"/>
  <c r="I21" i="9"/>
  <c r="P48" i="8"/>
  <c r="M48" i="9"/>
  <c r="I4" i="8"/>
  <c r="F4" i="9"/>
  <c r="O55" i="8"/>
  <c r="L55" i="9"/>
  <c r="F895" i="5"/>
  <c r="G4" i="8"/>
  <c r="D4" i="9"/>
  <c r="F299" i="5"/>
  <c r="D154" i="9"/>
  <c r="M11" i="8"/>
  <c r="J11" i="9"/>
  <c r="N55" i="8"/>
  <c r="K55" i="9"/>
  <c r="P74" i="8"/>
  <c r="M74" i="9"/>
  <c r="N48" i="8"/>
  <c r="K48" i="9"/>
  <c r="L4" i="5"/>
  <c r="I118" i="9"/>
  <c r="N84" i="8"/>
  <c r="K84" i="9"/>
  <c r="G37" i="8"/>
  <c r="D37" i="9"/>
  <c r="M73" i="8"/>
  <c r="J73" i="9"/>
  <c r="N58" i="8"/>
  <c r="K58" i="9"/>
  <c r="I7" i="8"/>
  <c r="F7" i="9"/>
  <c r="L35" i="8"/>
  <c r="I35" i="9"/>
  <c r="H19" i="8"/>
  <c r="E19" i="9"/>
  <c r="J53" i="8"/>
  <c r="G53" i="9"/>
  <c r="M350" i="5"/>
  <c r="J153" i="9"/>
  <c r="G32" i="8"/>
  <c r="D32" i="9"/>
  <c r="N36" i="8"/>
  <c r="K36" i="9"/>
  <c r="H3" i="8"/>
  <c r="E3" i="9"/>
  <c r="N71" i="8"/>
  <c r="K71" i="9"/>
  <c r="N9" i="8"/>
  <c r="K9" i="9"/>
  <c r="G41" i="8"/>
  <c r="D41" i="9"/>
  <c r="P87" i="8"/>
  <c r="M87" i="9"/>
  <c r="F69" i="8"/>
  <c r="C69" i="9"/>
  <c r="O24" i="8"/>
  <c r="L24" i="9"/>
  <c r="H38" i="8"/>
  <c r="E38" i="9"/>
  <c r="P49" i="8"/>
  <c r="M49" i="9"/>
  <c r="L67" i="8"/>
  <c r="I67" i="9"/>
  <c r="K21" i="8"/>
  <c r="H21" i="9"/>
  <c r="E29" i="8"/>
  <c r="B29" i="9"/>
  <c r="E56" i="8"/>
  <c r="B56" i="9"/>
  <c r="E62" i="8"/>
  <c r="B62" i="9"/>
  <c r="E49" i="8"/>
  <c r="B49" i="9"/>
  <c r="E43" i="8"/>
  <c r="B43" i="9"/>
  <c r="E61" i="8"/>
  <c r="B61" i="9"/>
  <c r="E69" i="8"/>
  <c r="B69" i="9"/>
  <c r="E73" i="8"/>
  <c r="B73" i="9"/>
  <c r="E67" i="8"/>
  <c r="B67" i="9"/>
  <c r="E13" i="8"/>
  <c r="B13" i="9"/>
  <c r="E39" i="8"/>
  <c r="B39" i="9"/>
  <c r="E47" i="8"/>
  <c r="B47" i="9"/>
  <c r="E26" i="8"/>
  <c r="B26" i="9"/>
  <c r="E64" i="8"/>
  <c r="B64" i="9"/>
  <c r="E37" i="8"/>
  <c r="B37" i="9"/>
  <c r="E20" i="8"/>
  <c r="B20" i="9"/>
  <c r="E38" i="8"/>
  <c r="B38" i="9"/>
  <c r="E32" i="8"/>
  <c r="B32" i="9"/>
  <c r="D772" i="5"/>
  <c r="E36" i="8"/>
  <c r="B36" i="9"/>
  <c r="E3" i="8"/>
  <c r="B3" i="9"/>
  <c r="E84" i="8"/>
  <c r="B84" i="9"/>
  <c r="E60" i="8"/>
  <c r="B60" i="9"/>
  <c r="E63" i="8"/>
  <c r="B63" i="9"/>
  <c r="E58" i="8"/>
  <c r="B58" i="9"/>
  <c r="E35" i="8"/>
  <c r="B35" i="9"/>
  <c r="E8" i="8"/>
  <c r="B8" i="9"/>
  <c r="D882" i="5"/>
  <c r="E10" i="8"/>
  <c r="B10" i="9"/>
  <c r="E44" i="8"/>
  <c r="B44" i="9"/>
  <c r="E4" i="8"/>
  <c r="B4" i="9"/>
  <c r="E11" i="8"/>
  <c r="B11" i="9"/>
  <c r="E46" i="8"/>
  <c r="B46" i="9"/>
  <c r="E87" i="8"/>
  <c r="B87" i="9"/>
  <c r="E74" i="8"/>
  <c r="B74" i="9"/>
  <c r="E42" i="8"/>
  <c r="B42" i="9"/>
  <c r="E68" i="8"/>
  <c r="B68" i="9"/>
  <c r="E12" i="8"/>
  <c r="B12" i="9"/>
  <c r="E23" i="8"/>
  <c r="B23" i="9"/>
  <c r="E81" i="8"/>
  <c r="B81" i="9"/>
  <c r="E83" i="8"/>
  <c r="B83" i="9"/>
  <c r="E75" i="8"/>
  <c r="B75" i="9"/>
  <c r="E78" i="8"/>
  <c r="B78" i="9"/>
  <c r="E59" i="8"/>
  <c r="B59" i="9"/>
  <c r="E21" i="8"/>
  <c r="B21" i="9"/>
  <c r="E17" i="8"/>
  <c r="B17" i="9"/>
  <c r="E85" i="8"/>
  <c r="B85" i="9"/>
  <c r="E77" i="8"/>
  <c r="B77" i="9"/>
  <c r="E54" i="8"/>
  <c r="B54" i="9"/>
  <c r="E28" i="8"/>
  <c r="B28" i="9"/>
  <c r="E33" i="8"/>
  <c r="B33" i="9"/>
  <c r="E57" i="8"/>
  <c r="B57" i="9"/>
  <c r="E6" i="8"/>
  <c r="B6" i="9"/>
  <c r="E27" i="8"/>
  <c r="B27" i="9"/>
  <c r="E71" i="8"/>
  <c r="B71" i="9"/>
  <c r="E79" i="8"/>
  <c r="B79" i="9"/>
  <c r="D4" i="5"/>
  <c r="C5" i="5" s="1" a="1"/>
  <c r="C5" i="5" s="1"/>
  <c r="B118" i="9"/>
  <c r="E19" i="8"/>
  <c r="B19" i="9"/>
  <c r="E9" i="8"/>
  <c r="B9" i="9"/>
  <c r="D268" i="5"/>
  <c r="B154" i="9"/>
  <c r="E7" i="8"/>
  <c r="B7" i="9"/>
  <c r="D825" i="5"/>
  <c r="B153" i="9"/>
  <c r="D784" i="5"/>
  <c r="E15" i="8"/>
  <c r="B15" i="9"/>
  <c r="E45" i="8"/>
  <c r="B45" i="9"/>
  <c r="E76" i="8"/>
  <c r="B76" i="9"/>
  <c r="E40" i="8"/>
  <c r="B40" i="9"/>
  <c r="E24" i="8"/>
  <c r="B24" i="9"/>
  <c r="E50" i="8"/>
  <c r="B50" i="9"/>
  <c r="E41" i="8"/>
  <c r="B41" i="9"/>
  <c r="E55" i="8"/>
  <c r="B55" i="9"/>
  <c r="D782" i="5"/>
  <c r="D918" i="5"/>
  <c r="E80" i="8"/>
  <c r="B80" i="9"/>
  <c r="E48" i="8"/>
  <c r="B48" i="9"/>
  <c r="E82" i="8"/>
  <c r="B82" i="9"/>
  <c r="E30" i="8"/>
  <c r="B30" i="9"/>
  <c r="E14" i="8"/>
  <c r="B14" i="9"/>
  <c r="E53" i="8"/>
  <c r="B53" i="9"/>
  <c r="E5" i="8"/>
  <c r="B5" i="9"/>
  <c r="E34" i="8"/>
  <c r="B34" i="9"/>
  <c r="E52" i="8"/>
  <c r="B52" i="9"/>
  <c r="E22" i="8"/>
  <c r="B22" i="9"/>
  <c r="E25" i="8"/>
  <c r="B25" i="9"/>
  <c r="E31" i="8"/>
  <c r="B31" i="9"/>
  <c r="E16" i="8"/>
  <c r="B16" i="9"/>
  <c r="E65" i="8"/>
  <c r="B65" i="9"/>
  <c r="E18" i="8"/>
  <c r="B18" i="9"/>
  <c r="E66" i="8"/>
  <c r="B66" i="9"/>
  <c r="E86" i="8"/>
  <c r="B86" i="9"/>
  <c r="E51" i="8"/>
  <c r="B51" i="9"/>
  <c r="E72" i="8"/>
  <c r="B72" i="9"/>
  <c r="E70" i="8"/>
  <c r="B70" i="9"/>
  <c r="O885" i="5"/>
  <c r="I835" i="5"/>
  <c r="K323" i="5"/>
  <c r="I994" i="5"/>
  <c r="O835" i="5"/>
  <c r="E781" i="5"/>
  <c r="E779" i="5"/>
  <c r="E994" i="5"/>
  <c r="I943" i="5"/>
  <c r="O801" i="5"/>
  <c r="I783" i="5"/>
  <c r="I332" i="5"/>
  <c r="G844" i="5"/>
  <c r="O250" i="5"/>
  <c r="O854" i="5"/>
  <c r="K757" i="5"/>
  <c r="O883" i="5"/>
  <c r="O862" i="5"/>
  <c r="I929" i="5"/>
  <c r="O910" i="5"/>
  <c r="E637" i="5"/>
  <c r="E945" i="5"/>
  <c r="I937" i="5"/>
  <c r="K929" i="5"/>
  <c r="K795" i="5"/>
  <c r="O642" i="5"/>
  <c r="I266" i="5"/>
  <c r="K855" i="5"/>
  <c r="O323" i="5"/>
  <c r="K708" i="5"/>
  <c r="K985" i="5"/>
  <c r="I286" i="5"/>
  <c r="K697" i="5"/>
  <c r="K981" i="5"/>
  <c r="E745" i="5"/>
  <c r="I701" i="5"/>
  <c r="O258" i="5"/>
  <c r="E777" i="5"/>
  <c r="E647" i="5"/>
  <c r="K939" i="5"/>
  <c r="O823" i="5"/>
  <c r="E820" i="5"/>
  <c r="O267" i="5"/>
  <c r="K997" i="5"/>
  <c r="O803" i="5"/>
  <c r="O809" i="5"/>
  <c r="O843" i="5"/>
  <c r="E904" i="5"/>
  <c r="K991" i="5"/>
  <c r="O747" i="5"/>
  <c r="E858" i="5"/>
  <c r="H786" i="5"/>
  <c r="O864" i="5"/>
  <c r="I914" i="5"/>
  <c r="M776" i="5"/>
  <c r="I901" i="5"/>
  <c r="G258" i="5"/>
  <c r="K762" i="5"/>
  <c r="M291" i="5"/>
  <c r="I830" i="5"/>
  <c r="O850" i="5"/>
  <c r="I873" i="5"/>
  <c r="E834" i="5"/>
  <c r="M750" i="5"/>
  <c r="K306" i="5"/>
  <c r="E911" i="5"/>
  <c r="O794" i="5"/>
  <c r="I647" i="5"/>
  <c r="O846" i="5"/>
  <c r="K794" i="5"/>
  <c r="I935" i="5"/>
  <c r="I952" i="5"/>
  <c r="K792" i="5"/>
  <c r="E965" i="5"/>
  <c r="E966" i="5"/>
  <c r="N973" i="5"/>
  <c r="N910" i="5"/>
  <c r="N784" i="5"/>
  <c r="O246" i="5"/>
  <c r="K632" i="5"/>
  <c r="K768" i="5"/>
  <c r="E886" i="5"/>
  <c r="E918" i="5"/>
  <c r="I792" i="5"/>
  <c r="O659" i="5"/>
  <c r="E967" i="5"/>
  <c r="I918" i="5"/>
  <c r="I825" i="5"/>
  <c r="I806" i="5"/>
  <c r="I756" i="5"/>
  <c r="I641" i="5"/>
  <c r="E861" i="5"/>
  <c r="E843" i="5"/>
  <c r="L901" i="5"/>
  <c r="L748" i="5"/>
  <c r="L333" i="5"/>
  <c r="L286" i="5"/>
  <c r="F804" i="5"/>
  <c r="I640" i="5"/>
  <c r="M305" i="5"/>
  <c r="L291" i="5"/>
  <c r="O4" i="5"/>
  <c r="L794" i="5"/>
  <c r="O260" i="5"/>
  <c r="L945" i="5"/>
  <c r="I744" i="5"/>
  <c r="L925" i="5"/>
  <c r="N899" i="5"/>
  <c r="L926" i="5"/>
  <c r="I922" i="5"/>
  <c r="L853" i="5"/>
  <c r="I340" i="5"/>
  <c r="L634" i="5"/>
  <c r="O294" i="5"/>
  <c r="L936" i="5"/>
  <c r="L911" i="5"/>
  <c r="I880" i="5"/>
  <c r="N991" i="5"/>
  <c r="F998" i="5"/>
  <c r="L787" i="5"/>
  <c r="I905" i="5"/>
  <c r="F674" i="5"/>
  <c r="O307" i="5"/>
  <c r="O792" i="5"/>
  <c r="L797" i="5"/>
  <c r="J976" i="5"/>
  <c r="N863" i="5"/>
  <c r="O855" i="5"/>
  <c r="L288" i="5"/>
  <c r="O295" i="5"/>
  <c r="N937" i="5"/>
  <c r="O262" i="5"/>
  <c r="O643" i="5"/>
  <c r="O950" i="5"/>
  <c r="L927" i="5"/>
  <c r="O326" i="5"/>
  <c r="N817" i="5"/>
  <c r="L981" i="5"/>
  <c r="N294" i="5"/>
  <c r="I300" i="5"/>
  <c r="O967" i="5"/>
  <c r="O253" i="5"/>
  <c r="L244" i="5"/>
  <c r="L767" i="5"/>
  <c r="I674" i="5"/>
  <c r="L870" i="5"/>
  <c r="L978" i="5"/>
  <c r="O861" i="5"/>
  <c r="O907" i="5"/>
  <c r="L879" i="5"/>
  <c r="L650" i="5"/>
  <c r="I856" i="5"/>
  <c r="M954" i="5"/>
  <c r="O649" i="5"/>
  <c r="O921" i="5"/>
  <c r="L826" i="5"/>
  <c r="O827" i="5"/>
  <c r="L823" i="5"/>
  <c r="O994" i="5"/>
  <c r="I812" i="5"/>
  <c r="I767" i="5"/>
  <c r="N328" i="5"/>
  <c r="O751" i="5"/>
  <c r="N909" i="5"/>
  <c r="M863" i="5"/>
  <c r="I771" i="5"/>
  <c r="L867" i="5"/>
  <c r="L777" i="5"/>
  <c r="J809" i="5"/>
  <c r="K903" i="5"/>
  <c r="K898" i="5"/>
  <c r="K904" i="5"/>
  <c r="N643" i="5"/>
  <c r="M268" i="5"/>
  <c r="N962" i="5"/>
  <c r="N878" i="5"/>
  <c r="N281" i="5"/>
  <c r="N895" i="5"/>
  <c r="N291" i="5"/>
  <c r="N788" i="5"/>
  <c r="K644" i="5"/>
  <c r="H774" i="5"/>
  <c r="K910" i="5"/>
  <c r="K860" i="5"/>
  <c r="K935" i="5"/>
  <c r="K750" i="5"/>
  <c r="K820" i="5"/>
  <c r="K900" i="5"/>
  <c r="N970" i="5"/>
  <c r="K268" i="5"/>
  <c r="H885" i="5"/>
  <c r="J243" i="5"/>
  <c r="K799" i="5"/>
  <c r="J967" i="5"/>
  <c r="N272" i="5"/>
  <c r="K816" i="5"/>
  <c r="K954" i="5"/>
  <c r="J951" i="5"/>
  <c r="K322" i="5"/>
  <c r="N760" i="5"/>
  <c r="N981" i="5"/>
  <c r="K656" i="5"/>
  <c r="K886" i="5"/>
  <c r="K837" i="5"/>
  <c r="N332" i="5"/>
  <c r="K328" i="5"/>
  <c r="N823" i="5"/>
  <c r="J319" i="5"/>
  <c r="N813" i="5"/>
  <c r="K653" i="5"/>
  <c r="F986" i="5"/>
  <c r="H790" i="5"/>
  <c r="K798" i="5"/>
  <c r="K804" i="5"/>
  <c r="K796" i="5"/>
  <c r="N772" i="5"/>
  <c r="M996" i="5"/>
  <c r="M319" i="5"/>
  <c r="K858" i="5"/>
  <c r="M323" i="5"/>
  <c r="J691" i="5"/>
  <c r="K839" i="5"/>
  <c r="J866" i="5"/>
  <c r="E902" i="5"/>
  <c r="F849" i="5"/>
  <c r="I328" i="5"/>
  <c r="J857" i="5"/>
  <c r="I261" i="5"/>
  <c r="K633" i="5"/>
  <c r="J770" i="5"/>
  <c r="E857" i="5"/>
  <c r="N1000" i="5"/>
  <c r="N954" i="5"/>
  <c r="N887" i="5"/>
  <c r="F649" i="5"/>
  <c r="E909" i="5"/>
  <c r="K964" i="5"/>
  <c r="N987" i="5"/>
  <c r="K297" i="5"/>
  <c r="K944" i="5"/>
  <c r="N881" i="5"/>
  <c r="K938" i="5"/>
  <c r="K919" i="5"/>
  <c r="F281" i="5"/>
  <c r="K863" i="5"/>
  <c r="K915" i="5"/>
  <c r="I966" i="5"/>
  <c r="N657" i="5"/>
  <c r="O962" i="5"/>
  <c r="K861" i="5"/>
  <c r="E933" i="5"/>
  <c r="K846" i="5"/>
  <c r="K887" i="5"/>
  <c r="D645" i="5"/>
  <c r="C703" i="5" s="1" a="1"/>
  <c r="C703" i="5" s="1"/>
  <c r="M703" i="5" s="1"/>
  <c r="N318" i="5"/>
  <c r="O943" i="5"/>
  <c r="D813" i="5"/>
  <c r="D748" i="5"/>
  <c r="I697" i="5"/>
  <c r="O760" i="5"/>
  <c r="F317" i="5"/>
  <c r="N803" i="5"/>
  <c r="N993" i="5"/>
  <c r="K906" i="5"/>
  <c r="K951" i="5"/>
  <c r="K979" i="5"/>
  <c r="F979" i="5"/>
  <c r="K890" i="5"/>
  <c r="I245" i="5"/>
  <c r="D648" i="5"/>
  <c r="N636" i="5"/>
  <c r="N342" i="5"/>
  <c r="K634" i="5"/>
  <c r="N934" i="5"/>
  <c r="N304" i="5"/>
  <c r="I369" i="5"/>
  <c r="O261" i="5"/>
  <c r="K765" i="5"/>
  <c r="F250" i="5"/>
  <c r="I353" i="5"/>
  <c r="K966" i="5"/>
  <c r="N796" i="5"/>
  <c r="N995" i="5"/>
  <c r="L899" i="5"/>
  <c r="N900" i="5"/>
  <c r="K305" i="5"/>
  <c r="K790" i="5"/>
  <c r="M308" i="5"/>
  <c r="K834" i="5"/>
  <c r="K249" i="5"/>
  <c r="K806" i="5"/>
  <c r="N944" i="5"/>
  <c r="F990" i="5"/>
  <c r="E927" i="5"/>
  <c r="J962" i="5"/>
  <c r="K883" i="5"/>
  <c r="E951" i="5"/>
  <c r="K817" i="5"/>
  <c r="K960" i="5"/>
  <c r="J332" i="5"/>
  <c r="O929" i="5"/>
  <c r="J765" i="5"/>
  <c r="E988" i="5"/>
  <c r="N369" i="5"/>
  <c r="F972" i="5"/>
  <c r="K905" i="5"/>
  <c r="K889" i="5"/>
  <c r="K996" i="5"/>
  <c r="K286" i="5"/>
  <c r="N649" i="5"/>
  <c r="E997" i="5"/>
  <c r="I308" i="5"/>
  <c r="K643" i="5"/>
  <c r="K308" i="5"/>
  <c r="K948" i="5"/>
  <c r="K805" i="5"/>
  <c r="J840" i="5"/>
  <c r="N317" i="5"/>
  <c r="N299" i="5"/>
  <c r="D745" i="5"/>
  <c r="K756" i="5"/>
  <c r="K840" i="5"/>
  <c r="K654" i="5"/>
  <c r="K783" i="5"/>
  <c r="J884" i="5"/>
  <c r="J259" i="5"/>
  <c r="D873" i="5"/>
  <c r="K895" i="5"/>
  <c r="E644" i="5"/>
  <c r="N783" i="5"/>
  <c r="O807" i="5"/>
  <c r="D847" i="5"/>
  <c r="M963" i="5"/>
  <c r="E950" i="5"/>
  <c r="K350" i="5"/>
  <c r="O305" i="5"/>
  <c r="E761" i="5"/>
  <c r="K880" i="5"/>
  <c r="N262" i="5"/>
  <c r="H839" i="5"/>
  <c r="J301" i="5"/>
  <c r="K287" i="5"/>
  <c r="K868" i="5"/>
  <c r="L893" i="5"/>
  <c r="I646" i="5"/>
  <c r="I243" i="5"/>
  <c r="K333" i="5"/>
  <c r="J969" i="5"/>
  <c r="K270" i="5"/>
  <c r="N809" i="5"/>
  <c r="K875" i="5"/>
  <c r="N945" i="5"/>
  <c r="F848" i="5"/>
  <c r="F1000" i="5"/>
  <c r="E889" i="5"/>
  <c r="F874" i="5"/>
  <c r="D961" i="5"/>
  <c r="N647" i="5"/>
  <c r="I247" i="5"/>
  <c r="J932" i="5"/>
  <c r="K649" i="5"/>
  <c r="D863" i="5"/>
  <c r="O666" i="5"/>
  <c r="J696" i="5"/>
  <c r="F866" i="5"/>
  <c r="M795" i="5"/>
  <c r="K824" i="5"/>
  <c r="K245" i="5"/>
  <c r="J826" i="5"/>
  <c r="K942" i="5"/>
  <c r="K892" i="5"/>
  <c r="K876" i="5"/>
  <c r="F855" i="5"/>
  <c r="N748" i="5"/>
  <c r="K977" i="5"/>
  <c r="K916" i="5"/>
  <c r="K844" i="5"/>
  <c r="F889" i="5"/>
  <c r="I809" i="5"/>
  <c r="N348" i="5"/>
  <c r="E246" i="5"/>
  <c r="H745" i="5"/>
  <c r="O892" i="5"/>
  <c r="K658" i="5"/>
  <c r="I808" i="5"/>
  <c r="E352" i="5"/>
  <c r="K759" i="5"/>
  <c r="K255" i="5"/>
  <c r="K957" i="5"/>
  <c r="K707" i="5"/>
  <c r="E674" i="5"/>
  <c r="K989" i="5"/>
  <c r="K657" i="5"/>
  <c r="L920" i="5"/>
  <c r="H294" i="5"/>
  <c r="I664" i="5"/>
  <c r="L890" i="5"/>
  <c r="I708" i="5"/>
  <c r="K666" i="5"/>
  <c r="K244" i="5"/>
  <c r="K326" i="5"/>
  <c r="J945" i="5"/>
  <c r="K766" i="5"/>
  <c r="K897" i="5"/>
  <c r="F919" i="5"/>
  <c r="K923" i="5"/>
  <c r="D770" i="5"/>
  <c r="N822" i="5"/>
  <c r="I798" i="5"/>
  <c r="D896" i="5"/>
  <c r="K262" i="5"/>
  <c r="H954" i="5"/>
  <c r="K862" i="5"/>
  <c r="N674" i="5"/>
  <c r="N312" i="5"/>
  <c r="N834" i="5"/>
  <c r="N645" i="5"/>
  <c r="H929" i="5"/>
  <c r="H778" i="5"/>
  <c r="H848" i="5"/>
  <c r="H653" i="5"/>
  <c r="H942" i="5"/>
  <c r="H761" i="5"/>
  <c r="H340" i="5"/>
  <c r="H666" i="5"/>
  <c r="H904" i="5"/>
  <c r="H880" i="5"/>
  <c r="H325" i="5"/>
  <c r="H851" i="5"/>
  <c r="H967" i="5"/>
  <c r="H886" i="5"/>
  <c r="H980" i="5"/>
  <c r="H792" i="5"/>
  <c r="H632" i="5"/>
  <c r="H249" i="5"/>
  <c r="H822" i="5"/>
  <c r="H810" i="5"/>
  <c r="H633" i="5"/>
  <c r="H793" i="5"/>
  <c r="H643" i="5"/>
  <c r="H873" i="5"/>
  <c r="H820" i="5"/>
  <c r="H634" i="5"/>
  <c r="H300" i="5"/>
  <c r="H247" i="5"/>
  <c r="H784" i="5"/>
  <c r="H857" i="5"/>
  <c r="H916" i="5"/>
  <c r="H302" i="5"/>
  <c r="H827" i="5"/>
  <c r="H346" i="5"/>
  <c r="H927" i="5"/>
  <c r="H291" i="5"/>
  <c r="H831" i="5"/>
  <c r="H324" i="5"/>
  <c r="H250" i="5"/>
  <c r="H663" i="5"/>
  <c r="F824" i="5"/>
  <c r="M960" i="5"/>
  <c r="M993" i="5"/>
  <c r="M785" i="5"/>
  <c r="M770" i="5"/>
  <c r="M987" i="5"/>
  <c r="M781" i="5"/>
  <c r="M862" i="5"/>
  <c r="M962" i="5"/>
  <c r="M340" i="5"/>
  <c r="M867" i="5"/>
  <c r="M245" i="5"/>
  <c r="M798" i="5"/>
  <c r="M1000" i="5"/>
  <c r="M303" i="5"/>
  <c r="M369" i="5"/>
  <c r="M991" i="5"/>
  <c r="M658" i="5"/>
  <c r="M296" i="5"/>
  <c r="M318" i="5"/>
  <c r="M638" i="5"/>
  <c r="M767" i="5"/>
  <c r="M856" i="5"/>
  <c r="M959" i="5"/>
  <c r="M777" i="5"/>
  <c r="M924" i="5"/>
  <c r="M985" i="5"/>
  <c r="M843" i="5"/>
  <c r="M828" i="5"/>
  <c r="M907" i="5"/>
  <c r="M664" i="5"/>
  <c r="M918" i="5"/>
  <c r="M826" i="5"/>
  <c r="M836" i="5"/>
  <c r="M782" i="5"/>
  <c r="M901" i="5"/>
  <c r="M858" i="5"/>
  <c r="D689" i="5"/>
  <c r="C719" i="5" s="1" a="1"/>
  <c r="C719" i="5" s="1"/>
  <c r="G719" i="5" s="1"/>
  <c r="D752" i="5"/>
  <c r="G645" i="5"/>
  <c r="H894" i="5"/>
  <c r="M921" i="5"/>
  <c r="E895" i="5"/>
  <c r="G848" i="5"/>
  <c r="D870" i="5"/>
  <c r="F982" i="5"/>
  <c r="F890" i="5"/>
  <c r="G672" i="5"/>
  <c r="E840" i="5"/>
  <c r="D809" i="5"/>
  <c r="E792" i="5"/>
  <c r="D287" i="5"/>
  <c r="C442" i="5" s="1" a="1"/>
  <c r="C442" i="5" s="1"/>
  <c r="J442" i="5" s="1"/>
  <c r="F762" i="5"/>
  <c r="E815" i="5"/>
  <c r="D839" i="5"/>
  <c r="D892" i="5"/>
  <c r="E903" i="5"/>
  <c r="D935" i="5"/>
  <c r="D319" i="5"/>
  <c r="C480" i="5" s="1" a="1"/>
  <c r="C480" i="5" s="1"/>
  <c r="F480" i="5" s="1"/>
  <c r="F320" i="5"/>
  <c r="E832" i="5"/>
  <c r="F918" i="5"/>
  <c r="F744" i="5"/>
  <c r="M818" i="5"/>
  <c r="F773" i="5"/>
  <c r="F974" i="5"/>
  <c r="D294" i="5"/>
  <c r="C451" i="5" s="1" a="1"/>
  <c r="C451" i="5" s="1"/>
  <c r="G451" i="5" s="1"/>
  <c r="E885" i="5"/>
  <c r="E342" i="5"/>
  <c r="E682" i="5"/>
  <c r="C718" i="5" s="1" a="1"/>
  <c r="C718" i="5" s="1"/>
  <c r="H718" i="5" s="1"/>
  <c r="D308" i="5"/>
  <c r="C466" i="5" s="1" a="1"/>
  <c r="C466" i="5" s="1"/>
  <c r="F466" i="5" s="1"/>
  <c r="H353" i="5"/>
  <c r="D634" i="5"/>
  <c r="F755" i="5"/>
  <c r="E255" i="5"/>
  <c r="C404" i="5" s="1" a="1"/>
  <c r="C404" i="5" s="1"/>
  <c r="I404" i="5" s="1"/>
  <c r="F992" i="5"/>
  <c r="F935" i="5"/>
  <c r="D632" i="5"/>
  <c r="E838" i="5"/>
  <c r="E744" i="5"/>
  <c r="F261" i="5"/>
  <c r="E835" i="5"/>
  <c r="D929" i="5"/>
  <c r="D756" i="5"/>
  <c r="D790" i="5"/>
  <c r="F815" i="5"/>
  <c r="F806" i="5"/>
  <c r="D831" i="5"/>
  <c r="F642" i="5"/>
  <c r="E634" i="5"/>
  <c r="D310" i="5"/>
  <c r="C468" i="5" s="1" a="1"/>
  <c r="C468" i="5" s="1"/>
  <c r="I468" i="5" s="1"/>
  <c r="D823" i="5"/>
  <c r="E955" i="5"/>
  <c r="G905" i="5"/>
  <c r="F769" i="5"/>
  <c r="F786" i="5"/>
  <c r="F768" i="5"/>
  <c r="E942" i="5"/>
  <c r="H295" i="5"/>
  <c r="E944" i="5"/>
  <c r="E925" i="5"/>
  <c r="M831" i="5"/>
  <c r="D936" i="5"/>
  <c r="F835" i="5"/>
  <c r="D306" i="5"/>
  <c r="E305" i="5"/>
  <c r="D301" i="5"/>
  <c r="C458" i="5" s="1" a="1"/>
  <c r="C458" i="5" s="1"/>
  <c r="K458" i="5" s="1"/>
  <c r="F943" i="5"/>
  <c r="H912" i="5"/>
  <c r="D898" i="5"/>
  <c r="F301" i="5"/>
  <c r="D332" i="5"/>
  <c r="C494" i="5" s="1" a="1"/>
  <c r="C494" i="5" s="1"/>
  <c r="E494" i="5" s="1"/>
  <c r="D908" i="5"/>
  <c r="E968" i="5"/>
  <c r="F244" i="5"/>
  <c r="E649" i="5"/>
  <c r="E802" i="5"/>
  <c r="G640" i="5"/>
  <c r="E758" i="5"/>
  <c r="M249" i="5"/>
  <c r="H645" i="5"/>
  <c r="E307" i="5"/>
  <c r="E937" i="5"/>
  <c r="H859" i="5"/>
  <c r="F860" i="5"/>
  <c r="E847" i="5"/>
  <c r="E250" i="5"/>
  <c r="E746" i="5"/>
  <c r="E876" i="5"/>
  <c r="E258" i="5"/>
  <c r="G253" i="5"/>
  <c r="G755" i="5"/>
  <c r="G317" i="5"/>
  <c r="G912" i="5"/>
  <c r="G892" i="5"/>
  <c r="G297" i="5"/>
  <c r="G644" i="5"/>
  <c r="G883" i="5"/>
  <c r="G242" i="5"/>
  <c r="G325" i="5"/>
  <c r="G928" i="5"/>
  <c r="G310" i="5"/>
  <c r="G307" i="5"/>
  <c r="G797" i="5"/>
  <c r="G897" i="5"/>
  <c r="G760" i="5"/>
  <c r="G769" i="5"/>
  <c r="G291" i="5"/>
  <c r="G880" i="5"/>
  <c r="G921" i="5"/>
  <c r="G935" i="5"/>
  <c r="G641" i="5"/>
  <c r="G689" i="5"/>
  <c r="G934" i="5"/>
  <c r="G976" i="5"/>
  <c r="G633" i="5"/>
  <c r="G696" i="5"/>
  <c r="G969" i="5"/>
  <c r="G864" i="5"/>
  <c r="G927" i="5"/>
  <c r="G673" i="5"/>
  <c r="G949" i="5"/>
  <c r="G991" i="5"/>
  <c r="G340" i="5"/>
  <c r="G779" i="5"/>
  <c r="G795" i="5"/>
  <c r="G747" i="5"/>
  <c r="G834" i="5"/>
  <c r="G877" i="5"/>
  <c r="G936" i="5"/>
  <c r="G350" i="5"/>
  <c r="G353" i="5"/>
  <c r="G944" i="5"/>
  <c r="G776" i="5"/>
  <c r="G967" i="5"/>
  <c r="G985" i="5"/>
  <c r="G904" i="5"/>
  <c r="D272" i="5"/>
  <c r="C423" i="5" s="1" a="1"/>
  <c r="C423" i="5" s="1"/>
  <c r="E423" i="5" s="1"/>
  <c r="C553" i="5" s="1" a="1"/>
  <c r="C553" i="5" s="1"/>
  <c r="D835" i="5"/>
  <c r="E848" i="5"/>
  <c r="D259" i="5"/>
  <c r="C407" i="5" s="1" a="1"/>
  <c r="C407" i="5" s="1"/>
  <c r="M407" i="5" s="1"/>
  <c r="E785" i="5"/>
  <c r="H673" i="5"/>
  <c r="F273" i="5"/>
  <c r="D708" i="5"/>
  <c r="F847" i="5"/>
  <c r="D920" i="5"/>
  <c r="E654" i="5"/>
  <c r="E299" i="5"/>
  <c r="E910" i="5"/>
  <c r="E970" i="5"/>
  <c r="H855" i="5"/>
  <c r="G819" i="5"/>
  <c r="M888" i="5"/>
  <c r="D341" i="5"/>
  <c r="E664" i="5"/>
  <c r="H802" i="5"/>
  <c r="E793" i="5"/>
  <c r="F759" i="5"/>
  <c r="G773" i="5"/>
  <c r="D866" i="5"/>
  <c r="F275" i="5"/>
  <c r="D933" i="5"/>
  <c r="E743" i="5"/>
  <c r="D905" i="5"/>
  <c r="E830" i="5"/>
  <c r="D834" i="5"/>
  <c r="D249" i="5"/>
  <c r="F900" i="5"/>
  <c r="E929" i="5"/>
  <c r="F996" i="5"/>
  <c r="D776" i="5"/>
  <c r="E773" i="5"/>
  <c r="F862" i="5"/>
  <c r="D753" i="5"/>
  <c r="D819" i="5"/>
  <c r="D816" i="5"/>
  <c r="E998" i="5"/>
  <c r="E914" i="5"/>
  <c r="D930" i="5"/>
  <c r="D778" i="5"/>
  <c r="F782" i="5"/>
  <c r="F748" i="5"/>
  <c r="E791" i="5"/>
  <c r="D948" i="5"/>
  <c r="D864" i="5"/>
  <c r="F770" i="5"/>
  <c r="E260" i="5"/>
  <c r="M946" i="5"/>
  <c r="M632" i="5"/>
  <c r="E863" i="5"/>
  <c r="G812" i="5"/>
  <c r="M919" i="5"/>
  <c r="E977" i="5"/>
  <c r="E656" i="5"/>
  <c r="C670" i="5" s="1" a="1"/>
  <c r="C670" i="5" s="1"/>
  <c r="L670" i="5" s="1"/>
  <c r="F988" i="5"/>
  <c r="E833" i="5"/>
  <c r="D913" i="5"/>
  <c r="F936" i="5"/>
  <c r="F958" i="5"/>
  <c r="F966" i="5"/>
  <c r="F791" i="5"/>
  <c r="F764" i="5"/>
  <c r="F825" i="5"/>
  <c r="F663" i="5"/>
  <c r="F682" i="5"/>
  <c r="F912" i="5"/>
  <c r="F870" i="5"/>
  <c r="F916" i="5"/>
  <c r="F751" i="5"/>
  <c r="F321" i="5"/>
  <c r="F667" i="5"/>
  <c r="F290" i="5"/>
  <c r="F322" i="5"/>
  <c r="F774" i="5"/>
  <c r="F318" i="5"/>
  <c r="F743" i="5"/>
  <c r="F777" i="5"/>
  <c r="F976" i="5"/>
  <c r="F858" i="5"/>
  <c r="F832" i="5"/>
  <c r="F954" i="5"/>
  <c r="F914" i="5"/>
  <c r="F248" i="5"/>
  <c r="F313" i="5"/>
  <c r="F852" i="5"/>
  <c r="F754" i="5"/>
  <c r="F861" i="5"/>
  <c r="F841" i="5"/>
  <c r="F267" i="5"/>
  <c r="F779" i="5"/>
  <c r="F772" i="5"/>
  <c r="F836" i="5"/>
  <c r="F965" i="5"/>
  <c r="F305" i="5"/>
  <c r="F897" i="5"/>
  <c r="F785" i="5"/>
  <c r="F801" i="5"/>
  <c r="F872" i="5"/>
  <c r="F970" i="5"/>
  <c r="F845" i="5"/>
  <c r="F830" i="5"/>
  <c r="F765" i="5"/>
  <c r="F263" i="5"/>
  <c r="F640" i="5"/>
  <c r="F635" i="5"/>
  <c r="F831" i="5"/>
  <c r="F757" i="5"/>
  <c r="F932" i="5"/>
  <c r="F953" i="5"/>
  <c r="F962" i="5"/>
  <c r="F819" i="5"/>
  <c r="F857" i="5"/>
  <c r="F756" i="5"/>
  <c r="F850" i="5"/>
  <c r="F997" i="5"/>
  <c r="F306" i="5"/>
  <c r="F340" i="5"/>
  <c r="F949" i="5"/>
  <c r="F259" i="5"/>
  <c r="F944" i="5"/>
  <c r="F761" i="5"/>
  <c r="F921" i="5"/>
  <c r="F800" i="5"/>
  <c r="F891" i="5"/>
  <c r="F989" i="5"/>
  <c r="F924" i="5"/>
  <c r="F814" i="5"/>
  <c r="F793" i="5"/>
  <c r="F805" i="5"/>
  <c r="F325" i="5"/>
  <c r="F656" i="5"/>
  <c r="F991" i="5"/>
  <c r="F352" i="5"/>
  <c r="F820" i="5"/>
  <c r="F781" i="5"/>
  <c r="F846" i="5"/>
  <c r="F286" i="5"/>
  <c r="F798" i="5"/>
  <c r="F246" i="5"/>
  <c r="F654" i="5"/>
  <c r="F799" i="5"/>
  <c r="F783" i="5"/>
  <c r="F369" i="5"/>
  <c r="F745" i="5"/>
  <c r="F980" i="5"/>
  <c r="F240" i="5"/>
  <c r="F977" i="5"/>
  <c r="F695" i="5"/>
  <c r="F262" i="5"/>
  <c r="F776" i="5"/>
  <c r="F632" i="5"/>
  <c r="F940" i="5"/>
  <c r="F842" i="5"/>
  <c r="F995" i="5"/>
  <c r="F778" i="5"/>
  <c r="F634" i="5"/>
  <c r="F946" i="5"/>
  <c r="F288" i="5"/>
  <c r="F797" i="5"/>
  <c r="F326" i="5"/>
  <c r="F795" i="5"/>
  <c r="F303" i="5"/>
  <c r="C463" i="5" s="1" a="1"/>
  <c r="C463" i="5" s="1"/>
  <c r="E463" i="5" s="1"/>
  <c r="C572" i="5" s="1" a="1"/>
  <c r="C572" i="5" s="1"/>
  <c r="F892" i="5"/>
  <c r="F941" i="5"/>
  <c r="F809" i="5"/>
  <c r="F913" i="5"/>
  <c r="E992" i="5"/>
  <c r="H255" i="5"/>
  <c r="E667" i="5"/>
  <c r="F760" i="5"/>
  <c r="E801" i="5"/>
  <c r="F867" i="5"/>
  <c r="G243" i="5"/>
  <c r="E322" i="5"/>
  <c r="H764" i="5"/>
  <c r="D781" i="5"/>
  <c r="E663" i="5"/>
  <c r="D369" i="5"/>
  <c r="C514" i="5" s="1" a="1"/>
  <c r="C514" i="5" s="1"/>
  <c r="F514" i="5" s="1"/>
  <c r="E860" i="5"/>
  <c r="G701" i="5"/>
  <c r="G811" i="5"/>
  <c r="F280" i="5"/>
  <c r="D829" i="5"/>
  <c r="E919" i="5"/>
  <c r="E818" i="5"/>
  <c r="E819" i="5"/>
  <c r="E979" i="5"/>
  <c r="E306" i="5"/>
  <c r="E808" i="5"/>
  <c r="E947" i="5"/>
  <c r="E244" i="5"/>
  <c r="E856" i="5"/>
  <c r="E324" i="5"/>
  <c r="E984" i="5"/>
  <c r="E643" i="5"/>
  <c r="E281" i="5"/>
  <c r="E859" i="5"/>
  <c r="E813" i="5"/>
  <c r="E240" i="5"/>
  <c r="E936" i="5"/>
  <c r="E303" i="5"/>
  <c r="C462" i="5" s="1" a="1"/>
  <c r="C462" i="5" s="1"/>
  <c r="H462" i="5" s="1"/>
  <c r="E771" i="5"/>
  <c r="E846" i="5"/>
  <c r="E295" i="5"/>
  <c r="E811" i="5"/>
  <c r="E867" i="5"/>
  <c r="E962" i="5"/>
  <c r="E765" i="5"/>
  <c r="E940" i="5"/>
  <c r="E827" i="5"/>
  <c r="E923" i="5"/>
  <c r="E831" i="5"/>
  <c r="E969" i="5"/>
  <c r="E943" i="5"/>
  <c r="E908" i="5"/>
  <c r="E844" i="5"/>
  <c r="E879" i="5"/>
  <c r="E987" i="5"/>
  <c r="E954" i="5"/>
  <c r="E836" i="5"/>
  <c r="E751" i="5"/>
  <c r="E797" i="5"/>
  <c r="E243" i="5"/>
  <c r="E982" i="5"/>
  <c r="E841" i="5"/>
  <c r="E290" i="5"/>
  <c r="E318" i="5"/>
  <c r="E822" i="5"/>
  <c r="E985" i="5"/>
  <c r="E899" i="5"/>
  <c r="E980" i="5"/>
  <c r="E642" i="5"/>
  <c r="E308" i="5"/>
  <c r="E301" i="5"/>
  <c r="C459" i="5" s="1" a="1"/>
  <c r="C459" i="5" s="1"/>
  <c r="L459" i="5" s="1"/>
  <c r="E959" i="5"/>
  <c r="E262" i="5"/>
  <c r="E795" i="5"/>
  <c r="E242" i="5"/>
  <c r="E851" i="5"/>
  <c r="E804" i="5"/>
  <c r="E803" i="5"/>
  <c r="E764" i="5"/>
  <c r="E948" i="5"/>
  <c r="E248" i="5"/>
  <c r="E852" i="5"/>
  <c r="E894" i="5"/>
  <c r="E890" i="5"/>
  <c r="E698" i="5"/>
  <c r="E907" i="5"/>
  <c r="E849" i="5"/>
  <c r="E762" i="5"/>
  <c r="E776" i="5"/>
  <c r="E887" i="5"/>
  <c r="E855" i="5"/>
  <c r="E920" i="5"/>
  <c r="E882" i="5"/>
  <c r="E812" i="5"/>
  <c r="E973" i="5"/>
  <c r="E787" i="5"/>
  <c r="E770" i="5"/>
  <c r="E648" i="5"/>
  <c r="E924" i="5"/>
  <c r="E1000" i="5"/>
  <c r="E672" i="5"/>
  <c r="E993" i="5"/>
  <c r="E297" i="5"/>
  <c r="E341" i="5"/>
  <c r="E798" i="5"/>
  <c r="E883" i="5"/>
  <c r="E884" i="5"/>
  <c r="E636" i="5"/>
  <c r="E691" i="5"/>
  <c r="E650" i="5"/>
  <c r="E810" i="5"/>
  <c r="E868" i="5"/>
  <c r="E870" i="5"/>
  <c r="E780" i="5"/>
  <c r="E790" i="5"/>
  <c r="E320" i="5"/>
  <c r="C483" i="5" s="1" a="1"/>
  <c r="C483" i="5" s="1"/>
  <c r="N483" i="5" s="1"/>
  <c r="E850" i="5"/>
  <c r="E658" i="5"/>
  <c r="E878" i="5"/>
  <c r="E665" i="5"/>
  <c r="E946" i="5"/>
  <c r="E875" i="5"/>
  <c r="E747" i="5"/>
  <c r="E934" i="5"/>
  <c r="E247" i="5"/>
  <c r="C400" i="5" s="1" a="1"/>
  <c r="C400" i="5" s="1"/>
  <c r="E400" i="5" s="1"/>
  <c r="C540" i="5" s="1" a="1"/>
  <c r="C540" i="5" s="1"/>
  <c r="E768" i="5"/>
  <c r="E826" i="5"/>
  <c r="E893" i="5"/>
  <c r="E350" i="5"/>
  <c r="E689" i="5"/>
  <c r="C720" i="5" s="1" a="1"/>
  <c r="C720" i="5" s="1"/>
  <c r="I720" i="5" s="1"/>
  <c r="E800" i="5"/>
  <c r="E287" i="5"/>
  <c r="E369" i="5"/>
  <c r="E353" i="5"/>
  <c r="E958" i="5"/>
  <c r="E267" i="5"/>
  <c r="E774" i="5"/>
  <c r="E897" i="5"/>
  <c r="E319" i="5"/>
  <c r="C481" i="5" s="1" a="1"/>
  <c r="C481" i="5" s="1"/>
  <c r="K481" i="5" s="1"/>
  <c r="E296" i="5"/>
  <c r="E327" i="5"/>
  <c r="E981" i="5"/>
  <c r="E891" i="5"/>
  <c r="E760" i="5"/>
  <c r="E978" i="5"/>
  <c r="E273" i="5"/>
  <c r="C425" i="5" s="1" a="1"/>
  <c r="C425" i="5" s="1"/>
  <c r="L425" i="5" s="1"/>
  <c r="E823" i="5"/>
  <c r="E829" i="5"/>
  <c r="E253" i="5"/>
  <c r="E898" i="5"/>
  <c r="E317" i="5"/>
  <c r="C479" i="5" s="1" a="1"/>
  <c r="C479" i="5" s="1"/>
  <c r="H479" i="5" s="1"/>
  <c r="E866" i="5"/>
  <c r="E249" i="5"/>
  <c r="E949" i="5"/>
  <c r="E922" i="5"/>
  <c r="E288" i="5"/>
  <c r="C444" i="5" s="1" a="1"/>
  <c r="C444" i="5" s="1"/>
  <c r="H444" i="5" s="1"/>
  <c r="E854" i="5"/>
  <c r="E917" i="5"/>
  <c r="E640" i="5"/>
  <c r="C655" i="5" s="1" a="1"/>
  <c r="C655" i="5" s="1"/>
  <c r="K655" i="5" s="1"/>
  <c r="E806" i="5"/>
  <c r="E817" i="5"/>
  <c r="E763" i="5"/>
  <c r="E340" i="5"/>
  <c r="E930" i="5"/>
  <c r="E639" i="5"/>
  <c r="C702" i="5" s="1" a="1"/>
  <c r="C702" i="5" s="1"/>
  <c r="I702" i="5" s="1"/>
  <c r="E657" i="5"/>
  <c r="E783" i="5"/>
  <c r="E708" i="5"/>
  <c r="E707" i="5"/>
  <c r="C726" i="5" s="1" a="1"/>
  <c r="C726" i="5" s="1"/>
  <c r="M726" i="5" s="1"/>
  <c r="E824" i="5"/>
  <c r="D853" i="5"/>
  <c r="E766" i="5"/>
  <c r="E939" i="5"/>
  <c r="F837" i="5"/>
  <c r="D320" i="5"/>
  <c r="C482" i="5" s="1" a="1"/>
  <c r="C482" i="5" s="1"/>
  <c r="I482" i="5" s="1"/>
  <c r="F823" i="5"/>
  <c r="D767" i="5"/>
  <c r="G939" i="5"/>
  <c r="F319" i="5"/>
  <c r="F853" i="5"/>
  <c r="G653" i="5"/>
  <c r="M248" i="5"/>
  <c r="F906" i="5"/>
  <c r="D771" i="5"/>
  <c r="D297" i="5"/>
  <c r="C454" i="5" s="1" a="1"/>
  <c r="C454" i="5" s="1"/>
  <c r="O454" i="5" s="1"/>
  <c r="D303" i="5"/>
  <c r="C461" i="5" s="1" a="1"/>
  <c r="C461" i="5" s="1"/>
  <c r="M461" i="5" s="1"/>
  <c r="D820" i="5"/>
  <c r="D707" i="5"/>
  <c r="C725" i="5" s="1" a="1"/>
  <c r="C725" i="5" s="1"/>
  <c r="L725" i="5" s="1"/>
  <c r="D969" i="5"/>
  <c r="D957" i="5"/>
  <c r="D633" i="5"/>
  <c r="D916" i="5"/>
  <c r="D321" i="5"/>
  <c r="D326" i="5"/>
  <c r="D860" i="5"/>
  <c r="D757" i="5"/>
  <c r="D796" i="5"/>
  <c r="D262" i="5"/>
  <c r="D763" i="5"/>
  <c r="D759" i="5"/>
  <c r="D267" i="5"/>
  <c r="D280" i="5"/>
  <c r="D861" i="5"/>
  <c r="D804" i="5"/>
  <c r="D240" i="5"/>
  <c r="D850" i="5"/>
  <c r="D844" i="5"/>
  <c r="D881" i="5"/>
  <c r="D243" i="5"/>
  <c r="D746" i="5"/>
  <c r="D901" i="5"/>
  <c r="D907" i="5"/>
  <c r="D952" i="5"/>
  <c r="D340" i="5"/>
  <c r="C500" i="5" s="1" a="1"/>
  <c r="C500" i="5" s="1"/>
  <c r="I500" i="5" s="1"/>
  <c r="D806" i="5"/>
  <c r="D792" i="5"/>
  <c r="D877" i="5"/>
  <c r="D273" i="5"/>
  <c r="C424" i="5" s="1" a="1"/>
  <c r="C424" i="5" s="1"/>
  <c r="J424" i="5" s="1"/>
  <c r="D305" i="5"/>
  <c r="D698" i="5"/>
  <c r="D261" i="5"/>
  <c r="C410" i="5" s="1" a="1"/>
  <c r="C410" i="5" s="1"/>
  <c r="L410" i="5" s="1"/>
  <c r="D879" i="5"/>
  <c r="D883" i="5"/>
  <c r="D304" i="5"/>
  <c r="D664" i="5"/>
  <c r="D841" i="5"/>
  <c r="D917" i="5"/>
  <c r="D837" i="5"/>
  <c r="D872" i="5"/>
  <c r="D636" i="5"/>
  <c r="C662" i="5" s="1" a="1"/>
  <c r="C662" i="5" s="1"/>
  <c r="G662" i="5" s="1"/>
  <c r="D927" i="5"/>
  <c r="D743" i="5"/>
  <c r="D937" i="5"/>
  <c r="D325" i="5"/>
  <c r="D938" i="5"/>
  <c r="D783" i="5"/>
  <c r="D971" i="5"/>
  <c r="D926" i="5"/>
  <c r="D800" i="5"/>
  <c r="D1000" i="5"/>
  <c r="D996" i="5"/>
  <c r="D795" i="5"/>
  <c r="D978" i="5"/>
  <c r="D281" i="5"/>
  <c r="D963" i="5"/>
  <c r="D888" i="5"/>
  <c r="D993" i="5"/>
  <c r="D989" i="5"/>
  <c r="D962" i="5"/>
  <c r="D958" i="5"/>
  <c r="D666" i="5"/>
  <c r="D275" i="5"/>
  <c r="C428" i="5" s="1" a="1"/>
  <c r="C428" i="5" s="1"/>
  <c r="G428" i="5" s="1"/>
  <c r="D755" i="5"/>
  <c r="D672" i="5"/>
  <c r="D242" i="5"/>
  <c r="D947" i="5"/>
  <c r="D986" i="5"/>
  <c r="D691" i="5"/>
  <c r="D313" i="5"/>
  <c r="C473" i="5" s="1" a="1"/>
  <c r="C473" i="5" s="1"/>
  <c r="D473" i="5" s="1"/>
  <c r="D639" i="5"/>
  <c r="D903" i="5"/>
  <c r="D253" i="5"/>
  <c r="D924" i="5"/>
  <c r="D761" i="5"/>
  <c r="D851" i="5"/>
  <c r="D965" i="5"/>
  <c r="D638" i="5"/>
  <c r="C651" i="5" s="1" a="1"/>
  <c r="C651" i="5" s="1"/>
  <c r="D651" i="5" s="1"/>
  <c r="C661" i="5" s="1" a="1"/>
  <c r="C661" i="5" s="1"/>
  <c r="D266" i="5"/>
  <c r="D673" i="5"/>
  <c r="C709" i="5" s="1" a="1"/>
  <c r="C709" i="5" s="1"/>
  <c r="F709" i="5" s="1"/>
  <c r="D674" i="5"/>
  <c r="G894" i="5"/>
  <c r="E865" i="5"/>
  <c r="E673" i="5"/>
  <c r="C710" i="5" s="1" a="1"/>
  <c r="C710" i="5" s="1"/>
  <c r="H710" i="5" s="1"/>
  <c r="F883" i="5"/>
  <c r="D801" i="5"/>
  <c r="F983" i="5"/>
  <c r="E310" i="5"/>
  <c r="C469" i="5" s="1" a="1"/>
  <c r="C469" i="5" s="1"/>
  <c r="K469" i="5" s="1"/>
  <c r="E300" i="5"/>
  <c r="E796" i="5"/>
  <c r="H272" i="5"/>
  <c r="E816" i="5"/>
  <c r="D288" i="5"/>
  <c r="C443" i="5" s="1" a="1"/>
  <c r="C443" i="5" s="1"/>
  <c r="J443" i="5" s="1"/>
  <c r="F942" i="5"/>
  <c r="F312" i="5"/>
  <c r="E326" i="5"/>
  <c r="E313" i="5"/>
  <c r="C474" i="5" s="1" a="1"/>
  <c r="C474" i="5" s="1"/>
  <c r="O474" i="5" s="1"/>
  <c r="H290" i="5"/>
  <c r="H997" i="5"/>
  <c r="M892" i="5"/>
  <c r="F969" i="5"/>
  <c r="D647" i="5"/>
  <c r="F894" i="5"/>
  <c r="E941" i="5"/>
  <c r="F787" i="5"/>
  <c r="H658" i="5"/>
  <c r="F811" i="5"/>
  <c r="E752" i="5"/>
  <c r="H834" i="5"/>
  <c r="H830" i="5"/>
  <c r="H275" i="5"/>
  <c r="H908" i="5"/>
  <c r="D765" i="5"/>
  <c r="F803" i="5"/>
  <c r="D944" i="5"/>
  <c r="G916" i="5"/>
  <c r="H322" i="5"/>
  <c r="E888" i="5"/>
  <c r="E304" i="5"/>
  <c r="D307" i="5"/>
  <c r="C465" i="5" s="1" a="1"/>
  <c r="C465" i="5" s="1"/>
  <c r="F465" i="5" s="1"/>
  <c r="E280" i="5"/>
  <c r="F910" i="5"/>
  <c r="E995" i="5"/>
  <c r="D949" i="5"/>
  <c r="D295" i="5"/>
  <c r="C452" i="5" s="1" a="1"/>
  <c r="C452" i="5" s="1"/>
  <c r="K452" i="5" s="1"/>
  <c r="E921" i="5"/>
  <c r="H934" i="5"/>
  <c r="G988" i="5"/>
  <c r="H957" i="5"/>
  <c r="E701" i="5"/>
  <c r="G951" i="5"/>
  <c r="O644" i="5"/>
  <c r="N667" i="5"/>
  <c r="O774" i="5"/>
  <c r="O947" i="5"/>
  <c r="N907" i="5"/>
  <c r="L781" i="5"/>
  <c r="I847" i="5"/>
  <c r="O912" i="5"/>
  <c r="O957" i="5"/>
  <c r="I842" i="5"/>
  <c r="K961" i="5"/>
  <c r="J865" i="5"/>
  <c r="O941" i="5"/>
  <c r="K865" i="5"/>
  <c r="L989" i="5"/>
  <c r="I320" i="5"/>
  <c r="J320" i="5"/>
  <c r="O871" i="5"/>
  <c r="O896" i="5"/>
  <c r="L353" i="5"/>
  <c r="I970" i="5"/>
  <c r="K826" i="5"/>
  <c r="I996" i="5"/>
  <c r="L673" i="5"/>
  <c r="J879" i="5"/>
  <c r="J634" i="5"/>
  <c r="N913" i="5"/>
  <c r="J798" i="5"/>
  <c r="O902" i="5"/>
  <c r="L780" i="5"/>
  <c r="N778" i="5"/>
  <c r="K859" i="5"/>
  <c r="N964" i="5"/>
  <c r="N885" i="5"/>
  <c r="K1000" i="5"/>
  <c r="L320" i="5"/>
  <c r="I838" i="5"/>
  <c r="J773" i="5"/>
  <c r="K637" i="5"/>
  <c r="O256" i="5"/>
  <c r="L701" i="5"/>
  <c r="K258" i="5"/>
  <c r="J758" i="5"/>
  <c r="N928" i="5"/>
  <c r="O894" i="5"/>
  <c r="O798" i="5"/>
  <c r="N697" i="5"/>
  <c r="K983" i="5"/>
  <c r="O280" i="5"/>
  <c r="I906" i="5"/>
  <c r="K833" i="5"/>
  <c r="L957" i="5"/>
  <c r="K902" i="5"/>
  <c r="K299" i="5"/>
  <c r="K650" i="5"/>
  <c r="K770" i="5"/>
  <c r="N810" i="5"/>
  <c r="J261" i="5"/>
  <c r="K952" i="5"/>
  <c r="L966" i="5"/>
  <c r="L808" i="5"/>
  <c r="O303" i="5"/>
  <c r="L782" i="5"/>
  <c r="L752" i="5"/>
  <c r="K250" i="5"/>
  <c r="I637" i="5"/>
  <c r="O997" i="5"/>
  <c r="L812" i="5"/>
  <c r="L248" i="5"/>
  <c r="N313" i="5"/>
  <c r="L810" i="5"/>
  <c r="N814" i="5"/>
  <c r="N873" i="5"/>
  <c r="I270" i="5"/>
  <c r="K636" i="5"/>
  <c r="I305" i="5"/>
  <c r="I648" i="5"/>
  <c r="I984" i="5"/>
  <c r="K992" i="5"/>
  <c r="K281" i="5"/>
  <c r="L946" i="5"/>
  <c r="O856" i="5"/>
  <c r="K873" i="5"/>
  <c r="O926" i="5"/>
  <c r="K296" i="5"/>
  <c r="K325" i="5"/>
  <c r="J635" i="5"/>
  <c r="J917" i="5"/>
  <c r="K947" i="5"/>
  <c r="N948" i="5"/>
  <c r="L916" i="5"/>
  <c r="O318" i="5"/>
  <c r="N870" i="5"/>
  <c r="N639" i="5"/>
  <c r="J296" i="5"/>
  <c r="I915" i="5"/>
  <c r="I844" i="5"/>
  <c r="L267" i="5"/>
  <c r="J819" i="5"/>
  <c r="L857" i="5"/>
  <c r="K925" i="5"/>
  <c r="N871" i="5"/>
  <c r="I949" i="5"/>
  <c r="L641" i="5"/>
  <c r="K304" i="5"/>
  <c r="K317" i="5"/>
  <c r="K926" i="5"/>
  <c r="N979" i="5"/>
  <c r="L862" i="5"/>
  <c r="J752" i="5"/>
  <c r="K988" i="5"/>
  <c r="K970" i="5"/>
  <c r="N780" i="5"/>
  <c r="J944" i="5"/>
  <c r="I751" i="5"/>
  <c r="L1000" i="5"/>
  <c r="L958" i="5"/>
  <c r="I991" i="5"/>
  <c r="J255" i="5"/>
  <c r="I763" i="5"/>
  <c r="R763" i="5" s="1"/>
  <c r="L844" i="5"/>
  <c r="O968" i="5"/>
  <c r="J793" i="5"/>
  <c r="L873" i="5"/>
  <c r="K912" i="5"/>
  <c r="J921" i="5"/>
  <c r="L993" i="5"/>
  <c r="O646" i="5"/>
  <c r="I666" i="5"/>
  <c r="K780" i="5"/>
  <c r="J788" i="5"/>
  <c r="J242" i="5"/>
  <c r="J648" i="5"/>
  <c r="J291" i="5"/>
  <c r="M772" i="5"/>
  <c r="M840" i="5"/>
  <c r="J641" i="5"/>
  <c r="J904" i="5"/>
  <c r="J640" i="5"/>
  <c r="J814" i="5"/>
  <c r="M994" i="5"/>
  <c r="H836" i="5"/>
  <c r="H248" i="5"/>
  <c r="H665" i="5"/>
  <c r="H644" i="5"/>
  <c r="H313" i="5"/>
  <c r="H844" i="5"/>
  <c r="H994" i="5"/>
  <c r="H937" i="5"/>
  <c r="H833" i="5"/>
  <c r="H933" i="5"/>
  <c r="H815" i="5"/>
  <c r="H960" i="5"/>
  <c r="H321" i="5"/>
  <c r="H304" i="5"/>
  <c r="H966" i="5"/>
  <c r="H806" i="5"/>
  <c r="H887" i="5"/>
  <c r="H872" i="5"/>
  <c r="H952" i="5"/>
  <c r="H915" i="5"/>
  <c r="H841" i="5"/>
  <c r="H860" i="5"/>
  <c r="H864" i="5"/>
  <c r="H955" i="5"/>
  <c r="H785" i="5"/>
  <c r="H637" i="5"/>
  <c r="H896" i="5"/>
  <c r="H789" i="5"/>
  <c r="H320" i="5"/>
  <c r="H906" i="5"/>
  <c r="H773" i="5"/>
  <c r="H858" i="5"/>
  <c r="H753" i="5"/>
  <c r="H995" i="5"/>
  <c r="H697" i="5"/>
  <c r="H958" i="5"/>
  <c r="H1000" i="5"/>
  <c r="H256" i="5"/>
  <c r="H890" i="5"/>
  <c r="H926" i="5"/>
  <c r="H835" i="5"/>
  <c r="H843" i="5"/>
  <c r="H985" i="5"/>
  <c r="H876" i="5"/>
  <c r="H863" i="5"/>
  <c r="H986" i="5"/>
  <c r="H352" i="5"/>
  <c r="H811" i="5"/>
  <c r="H667" i="5"/>
  <c r="H814" i="5"/>
  <c r="H240" i="5"/>
  <c r="H747" i="5"/>
  <c r="H762" i="5"/>
  <c r="H244" i="5"/>
  <c r="H648" i="5"/>
  <c r="H303" i="5"/>
  <c r="H852" i="5"/>
  <c r="H824" i="5"/>
  <c r="H268" i="5"/>
  <c r="H767" i="5"/>
  <c r="H350" i="5"/>
  <c r="H782" i="5"/>
  <c r="H752" i="5"/>
  <c r="H750" i="5"/>
  <c r="H845" i="5"/>
  <c r="H866" i="5"/>
  <c r="H743" i="5"/>
  <c r="H766" i="5"/>
  <c r="H935" i="5"/>
  <c r="H889" i="5"/>
  <c r="H907" i="5"/>
  <c r="H917" i="5"/>
  <c r="H349" i="5"/>
  <c r="H959" i="5"/>
  <c r="H245" i="5"/>
  <c r="H280" i="5"/>
  <c r="H979" i="5"/>
  <c r="H800" i="5"/>
  <c r="H969" i="5"/>
  <c r="H263" i="5"/>
  <c r="H763" i="5"/>
  <c r="H299" i="5"/>
  <c r="H819" i="5"/>
  <c r="H805" i="5"/>
  <c r="H327" i="5"/>
  <c r="H641" i="5"/>
  <c r="H748" i="5"/>
  <c r="H897" i="5"/>
  <c r="H891" i="5"/>
  <c r="H910" i="5"/>
  <c r="H809" i="5"/>
  <c r="H757" i="5"/>
  <c r="H868" i="5"/>
  <c r="H900" i="5"/>
  <c r="H253" i="5"/>
  <c r="H826" i="5"/>
  <c r="H853" i="5"/>
  <c r="H649" i="5"/>
  <c r="H769" i="5"/>
  <c r="H816" i="5"/>
  <c r="H638" i="5"/>
  <c r="H759" i="5"/>
  <c r="H914" i="5"/>
  <c r="H312" i="5"/>
  <c r="H970" i="5"/>
  <c r="H961" i="5"/>
  <c r="H310" i="5"/>
  <c r="H347" i="5"/>
  <c r="H646" i="5"/>
  <c r="H286" i="5"/>
  <c r="H288" i="5"/>
  <c r="H947" i="5"/>
  <c r="H829" i="5"/>
  <c r="H696" i="5"/>
  <c r="H837" i="5"/>
  <c r="H899" i="5"/>
  <c r="H788" i="5"/>
  <c r="H796" i="5"/>
  <c r="H318" i="5"/>
  <c r="H787" i="5"/>
  <c r="H953" i="5"/>
  <c r="H823" i="5"/>
  <c r="H674" i="5"/>
  <c r="H922" i="5"/>
  <c r="H878" i="5"/>
  <c r="H751" i="5"/>
  <c r="H965" i="5"/>
  <c r="H950" i="5"/>
  <c r="H972" i="5"/>
  <c r="H749" i="5"/>
  <c r="H871" i="5"/>
  <c r="H987" i="5"/>
  <c r="H902" i="5"/>
  <c r="H348" i="5"/>
  <c r="H832" i="5"/>
  <c r="H923" i="5"/>
  <c r="H911" i="5"/>
  <c r="H828" i="5"/>
  <c r="H877" i="5"/>
  <c r="H870" i="5"/>
  <c r="H962" i="5"/>
  <c r="H909" i="5"/>
  <c r="H847" i="5"/>
  <c r="H892" i="5"/>
  <c r="H297" i="5"/>
  <c r="H781" i="5"/>
  <c r="H270" i="5"/>
  <c r="H783" i="5"/>
  <c r="H317" i="5"/>
  <c r="H998" i="5"/>
  <c r="H701" i="5"/>
  <c r="H267" i="5"/>
  <c r="H771" i="5"/>
  <c r="H978" i="5"/>
  <c r="H901" i="5"/>
  <c r="H755" i="5"/>
  <c r="H262" i="5"/>
  <c r="H999" i="5"/>
  <c r="H261" i="5"/>
  <c r="H963" i="5"/>
  <c r="H777" i="5"/>
  <c r="H281" i="5"/>
  <c r="H301" i="5"/>
  <c r="H921" i="5"/>
  <c r="H989" i="5"/>
  <c r="H770" i="5"/>
  <c r="H821" i="5"/>
  <c r="H881" i="5"/>
  <c r="H977" i="5"/>
  <c r="H639" i="5"/>
  <c r="H808" i="5"/>
  <c r="H797" i="5"/>
  <c r="H647" i="5"/>
  <c r="H333" i="5"/>
  <c r="H266" i="5"/>
  <c r="H698" i="5"/>
  <c r="H243" i="5"/>
  <c r="H635" i="5"/>
  <c r="H758" i="5"/>
  <c r="H689" i="5"/>
  <c r="H246" i="5"/>
  <c r="H807" i="5"/>
  <c r="H984" i="5"/>
  <c r="H920" i="5"/>
  <c r="H319" i="5"/>
  <c r="H296" i="5"/>
  <c r="H258" i="5"/>
  <c r="H919" i="5"/>
  <c r="H945" i="5"/>
  <c r="H983" i="5"/>
  <c r="H856" i="5"/>
  <c r="I986" i="5"/>
  <c r="I781" i="5"/>
  <c r="J654" i="5"/>
  <c r="M880" i="5"/>
  <c r="O984" i="5"/>
  <c r="I817" i="5"/>
  <c r="H879" i="5"/>
  <c r="G313" i="5"/>
  <c r="G757" i="5"/>
  <c r="G349" i="5"/>
  <c r="G869" i="5"/>
  <c r="G775" i="5"/>
  <c r="G749" i="5"/>
  <c r="G995" i="5"/>
  <c r="G957" i="5"/>
  <c r="G306" i="5"/>
  <c r="G823" i="5"/>
  <c r="G847" i="5"/>
  <c r="G658" i="5"/>
  <c r="G858" i="5"/>
  <c r="G764" i="5"/>
  <c r="G321" i="5"/>
  <c r="G910" i="5"/>
  <c r="G840" i="5"/>
  <c r="G962" i="5"/>
  <c r="G654" i="5"/>
  <c r="G272" i="5"/>
  <c r="G814" i="5"/>
  <c r="G827" i="5"/>
  <c r="G767" i="5"/>
  <c r="G743" i="5"/>
  <c r="G308" i="5"/>
  <c r="G809" i="5"/>
  <c r="G870" i="5"/>
  <c r="G268" i="5"/>
  <c r="G845" i="5"/>
  <c r="G913" i="5"/>
  <c r="G997" i="5"/>
  <c r="G804" i="5"/>
  <c r="G318" i="5"/>
  <c r="G246" i="5"/>
  <c r="G648" i="5"/>
  <c r="G836" i="5"/>
  <c r="G973" i="5"/>
  <c r="G940" i="5"/>
  <c r="G937" i="5"/>
  <c r="G744" i="5"/>
  <c r="G893" i="5"/>
  <c r="G754" i="5"/>
  <c r="G932" i="5"/>
  <c r="G907" i="5"/>
  <c r="G249" i="5"/>
  <c r="G946" i="5"/>
  <c r="G816" i="5"/>
  <c r="G854" i="5"/>
  <c r="G926" i="5"/>
  <c r="G799" i="5"/>
  <c r="G888" i="5"/>
  <c r="G674" i="5"/>
  <c r="G917" i="5"/>
  <c r="G787" i="5"/>
  <c r="G872" i="5"/>
  <c r="G663" i="5"/>
  <c r="G989" i="5"/>
  <c r="G839" i="5"/>
  <c r="G891" i="5"/>
  <c r="G245" i="5"/>
  <c r="G250" i="5"/>
  <c r="G772" i="5"/>
  <c r="G853" i="5"/>
  <c r="G890" i="5"/>
  <c r="G826" i="5"/>
  <c r="G960" i="5"/>
  <c r="G833" i="5"/>
  <c r="G825" i="5"/>
  <c r="G766" i="5"/>
  <c r="G247" i="5"/>
  <c r="G255" i="5"/>
  <c r="C406" i="5" s="1" a="1"/>
  <c r="C406" i="5" s="1"/>
  <c r="J406" i="5" s="1"/>
  <c r="G818" i="5"/>
  <c r="G765" i="5"/>
  <c r="G881" i="5"/>
  <c r="G261" i="5"/>
  <c r="G918" i="5"/>
  <c r="G924" i="5"/>
  <c r="G302" i="5"/>
  <c r="G884" i="5"/>
  <c r="G822" i="5"/>
  <c r="G981" i="5"/>
  <c r="G326" i="5"/>
  <c r="G300" i="5"/>
  <c r="G784" i="5"/>
  <c r="G828" i="5"/>
  <c r="G266" i="5"/>
  <c r="G835" i="5"/>
  <c r="G855" i="5"/>
  <c r="G813" i="5"/>
  <c r="G287" i="5"/>
  <c r="G945" i="5"/>
  <c r="G312" i="5"/>
  <c r="G861" i="5"/>
  <c r="G792" i="5"/>
  <c r="G771" i="5"/>
  <c r="G860" i="5"/>
  <c r="G986" i="5"/>
  <c r="G664" i="5"/>
  <c r="G824" i="5"/>
  <c r="G803" i="5"/>
  <c r="G305" i="5"/>
  <c r="G286" i="5"/>
  <c r="G837" i="5"/>
  <c r="G666" i="5"/>
  <c r="G987" i="5"/>
  <c r="G649" i="5"/>
  <c r="G328" i="5"/>
  <c r="G851" i="5"/>
  <c r="G659" i="5"/>
  <c r="G369" i="5"/>
  <c r="G327" i="5"/>
  <c r="G301" i="5"/>
  <c r="G667" i="5"/>
  <c r="G975" i="5"/>
  <c r="G982" i="5"/>
  <c r="G682" i="5"/>
  <c r="G635" i="5"/>
  <c r="G831" i="5"/>
  <c r="G903" i="5"/>
  <c r="G748" i="5"/>
  <c r="G288" i="5"/>
  <c r="G817" i="5"/>
  <c r="G801" i="5"/>
  <c r="G911" i="5"/>
  <c r="G802" i="5"/>
  <c r="G979" i="5"/>
  <c r="G333" i="5"/>
  <c r="G852" i="5"/>
  <c r="G296" i="5"/>
  <c r="G785" i="5"/>
  <c r="G857" i="5"/>
  <c r="G342" i="5"/>
  <c r="G994" i="5"/>
  <c r="G954" i="5"/>
  <c r="G707" i="5"/>
  <c r="G896" i="5"/>
  <c r="G650" i="5"/>
  <c r="G634" i="5"/>
  <c r="G953" i="5"/>
  <c r="G941" i="5"/>
  <c r="G977" i="5"/>
  <c r="G971" i="5"/>
  <c r="G952" i="5"/>
  <c r="G820" i="5"/>
  <c r="G698" i="5"/>
  <c r="G882" i="5"/>
  <c r="G791" i="5"/>
  <c r="G899" i="5"/>
  <c r="G862" i="5"/>
  <c r="G346" i="5"/>
  <c r="G332" i="5"/>
  <c r="G281" i="5"/>
  <c r="G863" i="5"/>
  <c r="G943" i="5"/>
  <c r="G983" i="5"/>
  <c r="G875" i="5"/>
  <c r="G270" i="5"/>
  <c r="G998" i="5"/>
  <c r="G964" i="5"/>
  <c r="G974" i="5"/>
  <c r="G746" i="5"/>
  <c r="G780" i="5"/>
  <c r="G806" i="5"/>
  <c r="G931" i="5"/>
  <c r="G866" i="5"/>
  <c r="G632" i="5"/>
  <c r="G850" i="5"/>
  <c r="G294" i="5"/>
  <c r="G909" i="5"/>
  <c r="G978" i="5"/>
  <c r="G761" i="5"/>
  <c r="G320" i="5"/>
  <c r="G808" i="5"/>
  <c r="G783" i="5"/>
  <c r="G947" i="5"/>
  <c r="G267" i="5"/>
  <c r="G656" i="5"/>
  <c r="G832" i="5"/>
  <c r="G763" i="5"/>
  <c r="G886" i="5"/>
  <c r="G708" i="5"/>
  <c r="G849" i="5"/>
  <c r="G262" i="5"/>
  <c r="G902" i="5"/>
  <c r="G876" i="5"/>
  <c r="G240" i="5"/>
  <c r="G923" i="5"/>
  <c r="G299" i="5"/>
  <c r="G920" i="5"/>
  <c r="G642" i="5"/>
  <c r="G800" i="5"/>
  <c r="G993" i="5"/>
  <c r="G984" i="5"/>
  <c r="G260" i="5"/>
  <c r="G324" i="5"/>
  <c r="G665" i="5"/>
  <c r="G636" i="5"/>
  <c r="G990" i="5"/>
  <c r="G878" i="5"/>
  <c r="G273" i="5"/>
  <c r="G275" i="5"/>
  <c r="G968" i="5"/>
  <c r="G697" i="5"/>
  <c r="G256" i="5"/>
  <c r="G341" i="5"/>
  <c r="G695" i="5"/>
  <c r="G752" i="5"/>
  <c r="G965" i="5"/>
  <c r="G919" i="5"/>
  <c r="G762" i="5"/>
  <c r="G793" i="5"/>
  <c r="G750" i="5"/>
  <c r="G972" i="5"/>
  <c r="J816" i="5"/>
  <c r="J249" i="5"/>
  <c r="J851" i="5"/>
  <c r="J797" i="5"/>
  <c r="M933" i="5"/>
  <c r="J260" i="5"/>
  <c r="M244" i="5"/>
  <c r="J876" i="5"/>
  <c r="M765" i="5"/>
  <c r="H791" i="5"/>
  <c r="J925" i="5"/>
  <c r="M903" i="5"/>
  <c r="J352" i="5"/>
  <c r="H931" i="5"/>
  <c r="J829" i="5"/>
  <c r="M764" i="5"/>
  <c r="H779" i="5"/>
  <c r="N912" i="5"/>
  <c r="I707" i="5"/>
  <c r="N943" i="5"/>
  <c r="G966" i="5"/>
  <c r="I903" i="5"/>
  <c r="J290" i="5"/>
  <c r="O933" i="5"/>
  <c r="O882" i="5"/>
  <c r="I762" i="5"/>
  <c r="M913" i="5"/>
  <c r="N901" i="5"/>
  <c r="H708" i="5"/>
  <c r="J983" i="5"/>
  <c r="J750" i="5"/>
  <c r="O948" i="5"/>
  <c r="G1000" i="5"/>
  <c r="M666" i="5"/>
  <c r="J913" i="5"/>
  <c r="J682" i="5"/>
  <c r="N288" i="5"/>
  <c r="M766" i="5"/>
  <c r="N767" i="5"/>
  <c r="N350" i="5"/>
  <c r="M258" i="5"/>
  <c r="I897" i="5"/>
  <c r="J342" i="5"/>
  <c r="J927" i="5"/>
  <c r="I788" i="5"/>
  <c r="O767" i="5"/>
  <c r="N952" i="5"/>
  <c r="O945" i="5"/>
  <c r="G768" i="5"/>
  <c r="I803" i="5"/>
  <c r="G691" i="5"/>
  <c r="J245" i="5"/>
  <c r="G639" i="5"/>
  <c r="I934" i="5"/>
  <c r="G637" i="5"/>
  <c r="M758" i="5"/>
  <c r="H756" i="5"/>
  <c r="N753" i="5"/>
  <c r="J784" i="5"/>
  <c r="J638" i="5"/>
  <c r="M294" i="5"/>
  <c r="J303" i="5"/>
  <c r="I656" i="5"/>
  <c r="G961" i="5"/>
  <c r="M349" i="5"/>
  <c r="H825" i="5"/>
  <c r="I858" i="5"/>
  <c r="I352" i="5"/>
  <c r="M332" i="5"/>
  <c r="I291" i="5"/>
  <c r="J333" i="5"/>
  <c r="O900" i="5"/>
  <c r="H956" i="5"/>
  <c r="I790" i="5"/>
  <c r="H640" i="5"/>
  <c r="H918" i="5"/>
  <c r="H772" i="5"/>
  <c r="G774" i="5"/>
  <c r="N800" i="5"/>
  <c r="G898" i="5"/>
  <c r="J822" i="5"/>
  <c r="I288" i="5"/>
  <c r="J695" i="5"/>
  <c r="G942" i="5"/>
  <c r="H242" i="5"/>
  <c r="H861" i="5"/>
  <c r="N905" i="5"/>
  <c r="O836" i="5"/>
  <c r="G751" i="5"/>
  <c r="M974" i="5"/>
  <c r="M792" i="5"/>
  <c r="H964" i="5"/>
  <c r="O839" i="5"/>
  <c r="M327" i="5"/>
  <c r="N876" i="5"/>
  <c r="M654" i="5"/>
  <c r="H992" i="5"/>
  <c r="J295" i="5"/>
  <c r="I971" i="5"/>
  <c r="M804" i="5"/>
  <c r="I824" i="5"/>
  <c r="J297" i="5"/>
  <c r="M815" i="5"/>
  <c r="O785" i="5"/>
  <c r="I965" i="5"/>
  <c r="I849" i="5"/>
  <c r="G955" i="5"/>
  <c r="J665" i="5"/>
  <c r="M807" i="5"/>
  <c r="G929" i="5"/>
  <c r="G348" i="5"/>
  <c r="M783" i="5"/>
  <c r="J350" i="5"/>
  <c r="J751" i="5"/>
  <c r="J896" i="5"/>
  <c r="M846" i="5"/>
  <c r="M778" i="5"/>
  <c r="M975" i="5"/>
  <c r="I769" i="5"/>
  <c r="N776" i="5"/>
  <c r="H650" i="5"/>
  <c r="H939" i="5"/>
  <c r="N930" i="5"/>
  <c r="I959" i="5"/>
  <c r="H948" i="5"/>
  <c r="I636" i="5"/>
  <c r="J811" i="5"/>
  <c r="M281" i="5"/>
  <c r="M925" i="5"/>
  <c r="N877" i="5"/>
  <c r="N353" i="5"/>
  <c r="G745" i="5"/>
  <c r="I923" i="5"/>
  <c r="H273" i="5"/>
  <c r="G789" i="5"/>
  <c r="N673" i="5"/>
  <c r="O324" i="5"/>
  <c r="H682" i="5"/>
  <c r="J852" i="5"/>
  <c r="I639" i="5"/>
  <c r="M984" i="5"/>
  <c r="G859" i="5"/>
  <c r="I998" i="5"/>
  <c r="O304" i="5"/>
  <c r="I877" i="5"/>
  <c r="H308" i="5"/>
  <c r="M788" i="5"/>
  <c r="N866" i="5"/>
  <c r="M995" i="5"/>
  <c r="M905" i="5"/>
  <c r="M288" i="5"/>
  <c r="H332" i="5"/>
  <c r="N775" i="5"/>
  <c r="H951" i="5"/>
  <c r="O637" i="5"/>
  <c r="N648" i="5"/>
  <c r="O340" i="5"/>
  <c r="O996" i="5"/>
  <c r="I272" i="5"/>
  <c r="I980" i="5"/>
  <c r="G322" i="5"/>
  <c r="M927" i="5"/>
  <c r="O810" i="5"/>
  <c r="I322" i="5"/>
  <c r="G970" i="5"/>
  <c r="H707" i="5"/>
  <c r="I248" i="5"/>
  <c r="G838" i="5"/>
  <c r="L835" i="5"/>
  <c r="L313" i="5"/>
  <c r="L297" i="5"/>
  <c r="L876" i="5"/>
  <c r="L300" i="5"/>
  <c r="L931" i="5"/>
  <c r="L939" i="5"/>
  <c r="L801" i="5"/>
  <c r="L247" i="5"/>
  <c r="L982" i="5"/>
  <c r="L259" i="5"/>
  <c r="L262" i="5"/>
  <c r="L695" i="5"/>
  <c r="L318" i="5"/>
  <c r="L871" i="5"/>
  <c r="L894" i="5"/>
  <c r="L672" i="5"/>
  <c r="L825" i="5"/>
  <c r="L837" i="5"/>
  <c r="L999" i="5"/>
  <c r="L758" i="5"/>
  <c r="L792" i="5"/>
  <c r="L325" i="5"/>
  <c r="L888" i="5"/>
  <c r="L843" i="5"/>
  <c r="L667" i="5"/>
  <c r="L822" i="5"/>
  <c r="L243" i="5"/>
  <c r="L303" i="5"/>
  <c r="L807" i="5"/>
  <c r="L775" i="5"/>
  <c r="L773" i="5"/>
  <c r="L885" i="5"/>
  <c r="L793" i="5"/>
  <c r="L287" i="5"/>
  <c r="L656" i="5"/>
  <c r="L800" i="5"/>
  <c r="L768" i="5"/>
  <c r="L954" i="5"/>
  <c r="L295" i="5"/>
  <c r="L889" i="5"/>
  <c r="L350" i="5"/>
  <c r="L875" i="5"/>
  <c r="L249" i="5"/>
  <c r="L833" i="5"/>
  <c r="L759" i="5"/>
  <c r="L369" i="5"/>
  <c r="L883" i="5"/>
  <c r="L898" i="5"/>
  <c r="L312" i="5"/>
  <c r="L855" i="5"/>
  <c r="L273" i="5"/>
  <c r="L268" i="5"/>
  <c r="L776" i="5"/>
  <c r="L990" i="5"/>
  <c r="L852" i="5"/>
  <c r="L988" i="5"/>
  <c r="L884" i="5"/>
  <c r="L977" i="5"/>
  <c r="L854" i="5"/>
  <c r="L984" i="5"/>
  <c r="L905" i="5"/>
  <c r="L272" i="5"/>
  <c r="L637" i="5"/>
  <c r="L270" i="5"/>
  <c r="L824" i="5"/>
  <c r="L963" i="5"/>
  <c r="L307" i="5"/>
  <c r="L242" i="5"/>
  <c r="L897" i="5"/>
  <c r="L648" i="5"/>
  <c r="L968" i="5"/>
  <c r="L666" i="5"/>
  <c r="L306" i="5"/>
  <c r="L900" i="5"/>
  <c r="L746" i="5"/>
  <c r="L831" i="5"/>
  <c r="L935" i="5"/>
  <c r="L744" i="5"/>
  <c r="L302" i="5"/>
  <c r="L932" i="5"/>
  <c r="L789" i="5"/>
  <c r="L815" i="5"/>
  <c r="L310" i="5"/>
  <c r="L828" i="5"/>
  <c r="L998" i="5"/>
  <c r="L319" i="5"/>
  <c r="L340" i="5"/>
  <c r="L260" i="5"/>
  <c r="L691" i="5"/>
  <c r="L697" i="5"/>
  <c r="L770" i="5"/>
  <c r="L980" i="5"/>
  <c r="L997" i="5"/>
  <c r="L643" i="5"/>
  <c r="L951" i="5"/>
  <c r="L790" i="5"/>
  <c r="L924" i="5"/>
  <c r="L785" i="5"/>
  <c r="L930" i="5"/>
  <c r="L764" i="5"/>
  <c r="L757" i="5"/>
  <c r="L983" i="5"/>
  <c r="L689" i="5"/>
  <c r="L985" i="5"/>
  <c r="L912" i="5"/>
  <c r="L342" i="5"/>
  <c r="L937" i="5"/>
  <c r="L861" i="5"/>
  <c r="L240" i="5"/>
  <c r="L962" i="5"/>
  <c r="L975" i="5"/>
  <c r="L658" i="5"/>
  <c r="L967" i="5"/>
  <c r="L645" i="5"/>
  <c r="L964" i="5"/>
  <c r="L816" i="5"/>
  <c r="L263" i="5"/>
  <c r="L942" i="5"/>
  <c r="L934" i="5"/>
  <c r="L636" i="5"/>
  <c r="L281" i="5"/>
  <c r="L881" i="5"/>
  <c r="L347" i="5"/>
  <c r="L829" i="5"/>
  <c r="L850" i="5"/>
  <c r="L839" i="5"/>
  <c r="L352" i="5"/>
  <c r="L944" i="5"/>
  <c r="L969" i="5"/>
  <c r="L886" i="5"/>
  <c r="L761" i="5"/>
  <c r="L895" i="5"/>
  <c r="L769" i="5"/>
  <c r="L774" i="5"/>
  <c r="L845" i="5"/>
  <c r="L949" i="5"/>
  <c r="L682" i="5"/>
  <c r="L798" i="5"/>
  <c r="L906" i="5"/>
  <c r="L955" i="5"/>
  <c r="L902" i="5"/>
  <c r="L896" i="5"/>
  <c r="L654" i="5"/>
  <c r="L965" i="5"/>
  <c r="L696" i="5"/>
  <c r="L891" i="5"/>
  <c r="L877" i="5"/>
  <c r="L755" i="5"/>
  <c r="L664" i="5"/>
  <c r="L849" i="5"/>
  <c r="L809" i="5"/>
  <c r="L802" i="5"/>
  <c r="L922" i="5"/>
  <c r="L979" i="5"/>
  <c r="L914" i="5"/>
  <c r="L266" i="5"/>
  <c r="L869" i="5"/>
  <c r="L771" i="5"/>
  <c r="L858" i="5"/>
  <c r="L846" i="5"/>
  <c r="L827" i="5"/>
  <c r="L638" i="5"/>
  <c r="L941" i="5"/>
  <c r="L743" i="5"/>
  <c r="L750" i="5"/>
  <c r="L348" i="5"/>
  <c r="L644" i="5"/>
  <c r="L973" i="5"/>
  <c r="L909" i="5"/>
  <c r="L892" i="5"/>
  <c r="L992" i="5"/>
  <c r="L950" i="5"/>
  <c r="L819" i="5"/>
  <c r="L976" i="5"/>
  <c r="L841" i="5"/>
  <c r="L818" i="5"/>
  <c r="L907" i="5"/>
  <c r="L878" i="5"/>
  <c r="L326" i="5"/>
  <c r="L753" i="5"/>
  <c r="L346" i="5"/>
  <c r="L817" i="5"/>
  <c r="L929" i="5"/>
  <c r="L866" i="5"/>
  <c r="L970" i="5"/>
  <c r="L301" i="5"/>
  <c r="L987" i="5"/>
  <c r="L882" i="5"/>
  <c r="L632" i="5"/>
  <c r="L754" i="5"/>
  <c r="L322" i="5"/>
  <c r="L647" i="5"/>
  <c r="L332" i="5"/>
  <c r="L961" i="5"/>
  <c r="L832" i="5"/>
  <c r="L261" i="5"/>
  <c r="L255" i="5"/>
  <c r="L915" i="5"/>
  <c r="L708" i="5"/>
  <c r="L947" i="5"/>
  <c r="L256" i="5"/>
  <c r="L795" i="5"/>
  <c r="J878" i="5"/>
  <c r="M642" i="5"/>
  <c r="H981" i="5"/>
  <c r="J891" i="5"/>
  <c r="O342" i="5"/>
  <c r="N902" i="5"/>
  <c r="M691" i="5"/>
  <c r="N811" i="5"/>
  <c r="H854" i="5"/>
  <c r="H903" i="5"/>
  <c r="N994" i="5"/>
  <c r="M902" i="5"/>
  <c r="J749" i="5"/>
  <c r="G958" i="5"/>
  <c r="M633" i="5"/>
  <c r="H898" i="5"/>
  <c r="J775" i="5"/>
  <c r="N846" i="5"/>
  <c r="O242" i="5"/>
  <c r="O848" i="5"/>
  <c r="G303" i="5"/>
  <c r="C464" i="5" s="1" a="1"/>
  <c r="C464" i="5" s="1"/>
  <c r="L464" i="5" s="1"/>
  <c r="I659" i="5"/>
  <c r="G290" i="5"/>
  <c r="J306" i="5"/>
  <c r="N827" i="5"/>
  <c r="O935" i="5"/>
  <c r="I765" i="5"/>
  <c r="G873" i="5"/>
  <c r="M809" i="5"/>
  <c r="O830" i="5"/>
  <c r="H260" i="5"/>
  <c r="J980" i="5"/>
  <c r="K987" i="5"/>
  <c r="K930" i="5"/>
  <c r="K748" i="5"/>
  <c r="K829" i="5"/>
  <c r="K803" i="5"/>
  <c r="K793" i="5"/>
  <c r="K843" i="5"/>
  <c r="K303" i="5"/>
  <c r="K995" i="5"/>
  <c r="K831" i="5"/>
  <c r="K974" i="5"/>
  <c r="K950" i="5"/>
  <c r="K641" i="5"/>
  <c r="K682" i="5"/>
  <c r="K773" i="5"/>
  <c r="K324" i="5"/>
  <c r="K924" i="5"/>
  <c r="K320" i="5"/>
  <c r="K672" i="5"/>
  <c r="K342" i="5"/>
  <c r="K819" i="5"/>
  <c r="K346" i="5"/>
  <c r="K877" i="5"/>
  <c r="K956" i="5"/>
  <c r="K854" i="5"/>
  <c r="K260" i="5"/>
  <c r="K781" i="5"/>
  <c r="K240" i="5"/>
  <c r="K771" i="5"/>
  <c r="K310" i="5"/>
  <c r="K272" i="5"/>
  <c r="K280" i="5"/>
  <c r="K663" i="5"/>
  <c r="K779" i="5"/>
  <c r="K786" i="5"/>
  <c r="K953" i="5"/>
  <c r="K319" i="5"/>
  <c r="K763" i="5"/>
  <c r="K778" i="5"/>
  <c r="K933" i="5"/>
  <c r="K937" i="5"/>
  <c r="K955" i="5"/>
  <c r="K777" i="5"/>
  <c r="K872" i="5"/>
  <c r="K340" i="5"/>
  <c r="K914" i="5"/>
  <c r="K994" i="5"/>
  <c r="K761" i="5"/>
  <c r="K253" i="5"/>
  <c r="K818" i="5"/>
  <c r="K848" i="5"/>
  <c r="K760" i="5"/>
  <c r="K830" i="5"/>
  <c r="K918" i="5"/>
  <c r="K856" i="5"/>
  <c r="K841" i="5"/>
  <c r="K982" i="5"/>
  <c r="K263" i="5"/>
  <c r="K965" i="5"/>
  <c r="K797" i="5"/>
  <c r="K962" i="5"/>
  <c r="K909" i="5"/>
  <c r="K745" i="5"/>
  <c r="K312" i="5"/>
  <c r="K940" i="5"/>
  <c r="K275" i="5"/>
  <c r="K642" i="5"/>
  <c r="K242" i="5"/>
  <c r="K815" i="5"/>
  <c r="K907" i="5"/>
  <c r="K369" i="5"/>
  <c r="K866" i="5"/>
  <c r="K349" i="5"/>
  <c r="K321" i="5"/>
  <c r="K821" i="5"/>
  <c r="K291" i="5"/>
  <c r="K921" i="5"/>
  <c r="K802" i="5"/>
  <c r="K698" i="5"/>
  <c r="K913" i="5"/>
  <c r="K927" i="5"/>
  <c r="K908" i="5"/>
  <c r="K917" i="5"/>
  <c r="K767" i="5"/>
  <c r="K313" i="5"/>
  <c r="K976" i="5"/>
  <c r="K288" i="5"/>
  <c r="K775" i="5"/>
  <c r="K896" i="5"/>
  <c r="K674" i="5"/>
  <c r="K949" i="5"/>
  <c r="K755" i="5"/>
  <c r="K998" i="5"/>
  <c r="K747" i="5"/>
  <c r="K936" i="5"/>
  <c r="K993" i="5"/>
  <c r="K673" i="5"/>
  <c r="K810" i="5"/>
  <c r="K295" i="5"/>
  <c r="K827" i="5"/>
  <c r="K894" i="5"/>
  <c r="K879" i="5"/>
  <c r="K764" i="5"/>
  <c r="K811" i="5"/>
  <c r="K963" i="5"/>
  <c r="K635" i="5"/>
  <c r="K695" i="5"/>
  <c r="K307" i="5"/>
  <c r="K871" i="5"/>
  <c r="K665" i="5"/>
  <c r="K758" i="5"/>
  <c r="K884" i="5"/>
  <c r="K784" i="5"/>
  <c r="K832" i="5"/>
  <c r="K975" i="5"/>
  <c r="K807" i="5"/>
  <c r="K789" i="5"/>
  <c r="K743" i="5"/>
  <c r="K791" i="5"/>
  <c r="K772" i="5"/>
  <c r="K814" i="5"/>
  <c r="K769" i="5"/>
  <c r="K659" i="5"/>
  <c r="K327" i="5"/>
  <c r="K290" i="5"/>
  <c r="K294" i="5"/>
  <c r="K352" i="5"/>
  <c r="K986" i="5"/>
  <c r="K850" i="5"/>
  <c r="K888" i="5"/>
  <c r="K971" i="5"/>
  <c r="K972" i="5"/>
  <c r="K800" i="5"/>
  <c r="K869" i="5"/>
  <c r="K774" i="5"/>
  <c r="K999" i="5"/>
  <c r="K638" i="5"/>
  <c r="K835" i="5"/>
  <c r="K870" i="5"/>
  <c r="K941" i="5"/>
  <c r="K849" i="5"/>
  <c r="K248" i="5"/>
  <c r="K744" i="5"/>
  <c r="K667" i="5"/>
  <c r="K969" i="5"/>
  <c r="K273" i="5"/>
  <c r="K243" i="5"/>
  <c r="K842" i="5"/>
  <c r="K867" i="5"/>
  <c r="K852" i="5"/>
  <c r="K878" i="5"/>
  <c r="K882" i="5"/>
  <c r="K347" i="5"/>
  <c r="K266" i="5"/>
  <c r="K246" i="5"/>
  <c r="K353" i="5"/>
  <c r="K701" i="5"/>
  <c r="K691" i="5"/>
  <c r="K787" i="5"/>
  <c r="K822" i="5"/>
  <c r="K648" i="5"/>
  <c r="K864" i="5"/>
  <c r="K752" i="5"/>
  <c r="K931" i="5"/>
  <c r="K893" i="5"/>
  <c r="K845" i="5"/>
  <c r="K932" i="5"/>
  <c r="K300" i="5"/>
  <c r="K984" i="5"/>
  <c r="K922" i="5"/>
  <c r="K920" i="5"/>
  <c r="K934" i="5"/>
  <c r="K823" i="5"/>
  <c r="K256" i="5"/>
  <c r="K751" i="5"/>
  <c r="K911" i="5"/>
  <c r="K640" i="5"/>
  <c r="K341" i="5"/>
  <c r="K647" i="5"/>
  <c r="K696" i="5"/>
  <c r="K828" i="5"/>
  <c r="K967" i="5"/>
  <c r="K808" i="5"/>
  <c r="K899" i="5"/>
  <c r="K348" i="5"/>
  <c r="K247" i="5"/>
  <c r="K980" i="5"/>
  <c r="K754" i="5"/>
  <c r="K851" i="5"/>
  <c r="K990" i="5"/>
  <c r="K958" i="5"/>
  <c r="K857" i="5"/>
  <c r="K891" i="5"/>
  <c r="K881" i="5"/>
  <c r="K302" i="5"/>
  <c r="K785" i="5"/>
  <c r="K753" i="5"/>
  <c r="K901" i="5"/>
  <c r="J915" i="5"/>
  <c r="M885" i="5"/>
  <c r="M779" i="5"/>
  <c r="M988" i="5"/>
  <c r="H895" i="5"/>
  <c r="J864" i="5"/>
  <c r="M806" i="5"/>
  <c r="O665" i="5"/>
  <c r="N921" i="5"/>
  <c r="N747" i="5"/>
  <c r="J841" i="5"/>
  <c r="G871" i="5"/>
  <c r="H938" i="5"/>
  <c r="N244" i="5"/>
  <c r="N634" i="5"/>
  <c r="I682" i="5"/>
  <c r="I304" i="5"/>
  <c r="M769" i="5"/>
  <c r="H936" i="5"/>
  <c r="J885" i="5"/>
  <c r="H768" i="5"/>
  <c r="H287" i="5"/>
  <c r="H930" i="5"/>
  <c r="I262" i="5"/>
  <c r="O938" i="5"/>
  <c r="I893" i="5"/>
  <c r="N882" i="5"/>
  <c r="H776" i="5"/>
  <c r="J933" i="5"/>
  <c r="M898" i="5"/>
  <c r="M841" i="5"/>
  <c r="J978" i="5"/>
  <c r="O983" i="5"/>
  <c r="O946" i="5"/>
  <c r="H924" i="5"/>
  <c r="J997" i="5"/>
  <c r="L796" i="5"/>
  <c r="O820" i="5"/>
  <c r="G796" i="5"/>
  <c r="H369" i="5"/>
  <c r="H996" i="5"/>
  <c r="G770" i="5"/>
  <c r="L663" i="5"/>
  <c r="N918" i="5"/>
  <c r="J767" i="5"/>
  <c r="O870" i="5"/>
  <c r="M830" i="5"/>
  <c r="H993" i="5"/>
  <c r="M272" i="5"/>
  <c r="L646" i="5"/>
  <c r="H817" i="5"/>
  <c r="M877" i="5"/>
  <c r="N808" i="5"/>
  <c r="K646" i="5"/>
  <c r="O904" i="5"/>
  <c r="J998" i="5"/>
  <c r="K874" i="5"/>
  <c r="M786" i="5"/>
  <c r="K825" i="5"/>
  <c r="O901" i="5"/>
  <c r="O858" i="5"/>
  <c r="G933" i="5"/>
  <c r="G856" i="5"/>
  <c r="K945" i="5"/>
  <c r="O789" i="5"/>
  <c r="O923" i="5"/>
  <c r="O995" i="5"/>
  <c r="J294" i="5"/>
  <c r="J994" i="5"/>
  <c r="J990" i="5"/>
  <c r="J807" i="5"/>
  <c r="J950" i="5"/>
  <c r="J281" i="5"/>
  <c r="J240" i="5"/>
  <c r="J886" i="5"/>
  <c r="J642" i="5"/>
  <c r="J813" i="5"/>
  <c r="J919" i="5"/>
  <c r="J317" i="5"/>
  <c r="J972" i="5"/>
  <c r="J909" i="5"/>
  <c r="J965" i="5"/>
  <c r="J923" i="5"/>
  <c r="J340" i="5"/>
  <c r="J953" i="5"/>
  <c r="J776" i="5"/>
  <c r="J806" i="5"/>
  <c r="J887" i="5"/>
  <c r="J894" i="5"/>
  <c r="J964" i="5"/>
  <c r="J895" i="5"/>
  <c r="J849" i="5"/>
  <c r="J244" i="5"/>
  <c r="J697" i="5"/>
  <c r="J901" i="5"/>
  <c r="J783" i="5"/>
  <c r="J863" i="5"/>
  <c r="J963" i="5"/>
  <c r="J862" i="5"/>
  <c r="J815" i="5"/>
  <c r="J318" i="5"/>
  <c r="J946" i="5"/>
  <c r="J929" i="5"/>
  <c r="J304" i="5"/>
  <c r="J825" i="5"/>
  <c r="J956" i="5"/>
  <c r="J832" i="5"/>
  <c r="J349" i="5"/>
  <c r="J267" i="5"/>
  <c r="J889" i="5"/>
  <c r="J327" i="5"/>
  <c r="J262" i="5"/>
  <c r="J312" i="5"/>
  <c r="J838" i="5"/>
  <c r="J818" i="5"/>
  <c r="J346" i="5"/>
  <c r="J780" i="5"/>
  <c r="J817" i="5"/>
  <c r="J984" i="5"/>
  <c r="J804" i="5"/>
  <c r="J632" i="5"/>
  <c r="J916" i="5"/>
  <c r="J782" i="5"/>
  <c r="J893" i="5"/>
  <c r="J636" i="5"/>
  <c r="J842" i="5"/>
  <c r="J328" i="5"/>
  <c r="J861" i="5"/>
  <c r="J658" i="5"/>
  <c r="J899" i="5"/>
  <c r="J247" i="5"/>
  <c r="J310" i="5"/>
  <c r="J903" i="5"/>
  <c r="J766" i="5"/>
  <c r="J369" i="5"/>
  <c r="J755" i="5"/>
  <c r="J977" i="5"/>
  <c r="J905" i="5"/>
  <c r="J989" i="5"/>
  <c r="J947" i="5"/>
  <c r="J759" i="5"/>
  <c r="J796" i="5"/>
  <c r="J966" i="5"/>
  <c r="J979" i="5"/>
  <c r="J971" i="5"/>
  <c r="J650" i="5"/>
  <c r="J656" i="5"/>
  <c r="J970" i="5"/>
  <c r="J974" i="5"/>
  <c r="J810" i="5"/>
  <c r="J308" i="5"/>
  <c r="J698" i="5"/>
  <c r="J828" i="5"/>
  <c r="J890" i="5"/>
  <c r="J246" i="5"/>
  <c r="J859" i="5"/>
  <c r="J954" i="5"/>
  <c r="J756" i="5"/>
  <c r="J943" i="5"/>
  <c r="J1000" i="5"/>
  <c r="J912" i="5"/>
  <c r="J847" i="5"/>
  <c r="J875" i="5"/>
  <c r="J643" i="5"/>
  <c r="J757" i="5"/>
  <c r="J286" i="5"/>
  <c r="J981" i="5"/>
  <c r="J991" i="5"/>
  <c r="J754" i="5"/>
  <c r="J326" i="5"/>
  <c r="J959" i="5"/>
  <c r="J906" i="5"/>
  <c r="J707" i="5"/>
  <c r="J322" i="5"/>
  <c r="J918" i="5"/>
  <c r="J785" i="5"/>
  <c r="J272" i="5"/>
  <c r="J302" i="5"/>
  <c r="J273" i="5"/>
  <c r="J305" i="5"/>
  <c r="J937" i="5"/>
  <c r="J823" i="5"/>
  <c r="J666" i="5"/>
  <c r="J777" i="5"/>
  <c r="J753" i="5"/>
  <c r="J633" i="5"/>
  <c r="J995" i="5"/>
  <c r="J256" i="5"/>
  <c r="J778" i="5"/>
  <c r="J902" i="5"/>
  <c r="J746" i="5"/>
  <c r="J914" i="5"/>
  <c r="J639" i="5"/>
  <c r="J792" i="5"/>
  <c r="J848" i="5"/>
  <c r="J348" i="5"/>
  <c r="J824" i="5"/>
  <c r="J674" i="5"/>
  <c r="J999" i="5"/>
  <c r="J961" i="5"/>
  <c r="J985" i="5"/>
  <c r="J874" i="5"/>
  <c r="J341" i="5"/>
  <c r="J760" i="5"/>
  <c r="J663" i="5"/>
  <c r="J853" i="5"/>
  <c r="J287" i="5"/>
  <c r="J768" i="5"/>
  <c r="J353" i="5"/>
  <c r="J708" i="5"/>
  <c r="J664" i="5"/>
  <c r="J934" i="5"/>
  <c r="J868" i="5"/>
  <c r="J689" i="5"/>
  <c r="J873" i="5"/>
  <c r="J659" i="5"/>
  <c r="J908" i="5"/>
  <c r="J936" i="5"/>
  <c r="J871" i="5"/>
  <c r="J860" i="5"/>
  <c r="J248" i="5"/>
  <c r="J854" i="5"/>
  <c r="J844" i="5"/>
  <c r="J307" i="5"/>
  <c r="J250" i="5"/>
  <c r="J938" i="5"/>
  <c r="J781" i="5"/>
  <c r="J888" i="5"/>
  <c r="J748" i="5"/>
  <c r="J300" i="5"/>
  <c r="J803" i="5"/>
  <c r="J957" i="5"/>
  <c r="J883" i="5"/>
  <c r="J939" i="5"/>
  <c r="J672" i="5"/>
  <c r="J881" i="5"/>
  <c r="J827" i="5"/>
  <c r="J920" i="5"/>
  <c r="J836" i="5"/>
  <c r="J801" i="5"/>
  <c r="J855" i="5"/>
  <c r="J812" i="5"/>
  <c r="J846" i="5"/>
  <c r="J763" i="5"/>
  <c r="J856" i="5"/>
  <c r="J975" i="5"/>
  <c r="J263" i="5"/>
  <c r="J858" i="5"/>
  <c r="J802" i="5"/>
  <c r="J771" i="5"/>
  <c r="J657" i="5"/>
  <c r="J843" i="5"/>
  <c r="J880" i="5"/>
  <c r="J869" i="5"/>
  <c r="J744" i="5"/>
  <c r="J761" i="5"/>
  <c r="J948" i="5"/>
  <c r="J646" i="5"/>
  <c r="J275" i="5"/>
  <c r="J313" i="5"/>
  <c r="J831" i="5"/>
  <c r="J897" i="5"/>
  <c r="J800" i="5"/>
  <c r="J790" i="5"/>
  <c r="J993" i="5"/>
  <c r="J968" i="5"/>
  <c r="J794" i="5"/>
  <c r="M890" i="5"/>
  <c r="H775" i="5"/>
  <c r="J649" i="5"/>
  <c r="O689" i="5"/>
  <c r="M762" i="5"/>
  <c r="J900" i="5"/>
  <c r="I977" i="5"/>
  <c r="I919" i="5"/>
  <c r="I884" i="5"/>
  <c r="I255" i="5"/>
  <c r="H928" i="5"/>
  <c r="O973" i="5"/>
  <c r="M253" i="5"/>
  <c r="I319" i="5"/>
  <c r="I819" i="5"/>
  <c r="N308" i="5"/>
  <c r="O829" i="5"/>
  <c r="J653" i="5"/>
  <c r="H974" i="5"/>
  <c r="M929" i="5"/>
  <c r="H838" i="5"/>
  <c r="O965" i="5"/>
  <c r="O744" i="5"/>
  <c r="N701" i="5"/>
  <c r="J667" i="5"/>
  <c r="M640" i="5"/>
  <c r="I941" i="5"/>
  <c r="M751" i="5"/>
  <c r="O889" i="5"/>
  <c r="G758" i="5"/>
  <c r="I861" i="5"/>
  <c r="J935" i="5"/>
  <c r="J821" i="5"/>
  <c r="O959" i="5"/>
  <c r="M799" i="5"/>
  <c r="I259" i="5"/>
  <c r="H882" i="5"/>
  <c r="N653" i="5"/>
  <c r="N280" i="5"/>
  <c r="M821" i="5"/>
  <c r="N757" i="5"/>
  <c r="I800" i="5"/>
  <c r="N957" i="5"/>
  <c r="J949" i="5"/>
  <c r="J268" i="5"/>
  <c r="O748" i="5"/>
  <c r="L972" i="5"/>
  <c r="L640" i="5"/>
  <c r="M965" i="5"/>
  <c r="J987" i="5"/>
  <c r="H328" i="5"/>
  <c r="G248" i="5"/>
  <c r="I978" i="5"/>
  <c r="L880" i="5"/>
  <c r="M307" i="5"/>
  <c r="G643" i="5"/>
  <c r="M649" i="5"/>
  <c r="K836" i="5"/>
  <c r="N785" i="5"/>
  <c r="G841" i="5"/>
  <c r="J745" i="5"/>
  <c r="J779" i="5"/>
  <c r="K968" i="5"/>
  <c r="G788" i="5"/>
  <c r="K813" i="5"/>
  <c r="G948" i="5"/>
  <c r="M895" i="5"/>
  <c r="K639" i="5"/>
  <c r="J996" i="5"/>
  <c r="O932" i="5"/>
  <c r="L304" i="5"/>
  <c r="J647" i="5"/>
  <c r="M957" i="5"/>
  <c r="M310" i="5"/>
  <c r="J325" i="5"/>
  <c r="H973" i="5"/>
  <c r="H813" i="5"/>
  <c r="J892" i="5"/>
  <c r="H801" i="5"/>
  <c r="I818" i="5"/>
  <c r="H636" i="5"/>
  <c r="M871" i="5"/>
  <c r="I758" i="5"/>
  <c r="M932" i="5"/>
  <c r="M943" i="5"/>
  <c r="N695" i="5"/>
  <c r="I749" i="5"/>
  <c r="G900" i="5"/>
  <c r="N851" i="5"/>
  <c r="N696" i="5"/>
  <c r="M780" i="5"/>
  <c r="H905" i="5"/>
  <c r="H846" i="5"/>
  <c r="N708" i="5"/>
  <c r="M917" i="5"/>
  <c r="G347" i="5"/>
  <c r="N242" i="5"/>
  <c r="M940" i="5"/>
  <c r="M824" i="5"/>
  <c r="M810" i="5"/>
  <c r="G842" i="5"/>
  <c r="N867" i="5"/>
  <c r="N352" i="5"/>
  <c r="H795" i="5"/>
  <c r="G963" i="5"/>
  <c r="O991" i="5"/>
  <c r="O845" i="5"/>
  <c r="M667" i="5"/>
  <c r="H867" i="5"/>
  <c r="M650" i="5"/>
  <c r="M967" i="5"/>
  <c r="M745" i="5"/>
  <c r="N341" i="5"/>
  <c r="H305" i="5"/>
  <c r="L986" i="5"/>
  <c r="M789" i="5"/>
  <c r="L820" i="5"/>
  <c r="L868" i="5"/>
  <c r="O281" i="5"/>
  <c r="J942" i="5"/>
  <c r="O925" i="5"/>
  <c r="K973" i="5"/>
  <c r="O990" i="5"/>
  <c r="G263" i="5"/>
  <c r="G815" i="5"/>
  <c r="I871" i="5"/>
  <c r="G782" i="5"/>
  <c r="M834" i="5"/>
  <c r="G846" i="5"/>
  <c r="L665" i="5"/>
  <c r="L778" i="5"/>
  <c r="J952" i="5"/>
  <c r="M833" i="5"/>
  <c r="J769" i="5"/>
  <c r="H672" i="5"/>
  <c r="H664" i="5"/>
  <c r="I828" i="5"/>
  <c r="H326" i="5"/>
  <c r="H341" i="5"/>
  <c r="I786" i="5"/>
  <c r="M250" i="5"/>
  <c r="O873" i="5"/>
  <c r="J833" i="5"/>
  <c r="H850" i="5"/>
  <c r="G798" i="5"/>
  <c r="M326" i="5"/>
  <c r="M926" i="5"/>
  <c r="O875" i="5"/>
  <c r="G865" i="5"/>
  <c r="N966" i="5"/>
  <c r="M938" i="5"/>
  <c r="G915" i="5"/>
  <c r="I867" i="5"/>
  <c r="H990" i="5"/>
  <c r="O963" i="5"/>
  <c r="G930" i="5"/>
  <c r="J882" i="5"/>
  <c r="N826" i="5"/>
  <c r="H944" i="5"/>
  <c r="I963" i="5"/>
  <c r="N804" i="5"/>
  <c r="J982" i="5"/>
  <c r="H865" i="5"/>
  <c r="M797" i="5"/>
  <c r="J867" i="5"/>
  <c r="L865" i="5"/>
  <c r="I926" i="5"/>
  <c r="N744" i="5"/>
  <c r="I968" i="5"/>
  <c r="M803" i="5"/>
  <c r="I280" i="5"/>
  <c r="N746" i="5"/>
  <c r="M979" i="5"/>
  <c r="N259" i="5"/>
  <c r="G829" i="5"/>
  <c r="I989" i="5"/>
  <c r="J992" i="5"/>
  <c r="L749" i="5"/>
  <c r="L635" i="5"/>
  <c r="J941" i="5"/>
  <c r="G950" i="5"/>
  <c r="K267" i="5"/>
  <c r="I890" i="5"/>
  <c r="O891" i="5"/>
  <c r="J280" i="5"/>
  <c r="N847" i="5"/>
  <c r="O341" i="5"/>
  <c r="N960" i="5"/>
  <c r="H975" i="5"/>
  <c r="O633" i="5"/>
  <c r="N287" i="5"/>
  <c r="J799" i="5"/>
  <c r="N755" i="5"/>
  <c r="L258" i="5"/>
  <c r="O837" i="5"/>
  <c r="G753" i="5"/>
  <c r="I301" i="5"/>
  <c r="L791" i="5"/>
  <c r="M999" i="5"/>
  <c r="M306" i="5"/>
  <c r="L783" i="5"/>
  <c r="K885" i="5"/>
  <c r="J644" i="5"/>
  <c r="I938" i="5"/>
  <c r="I920" i="5"/>
  <c r="J928" i="5"/>
  <c r="H798" i="5"/>
  <c r="G914" i="5"/>
  <c r="J872" i="5"/>
  <c r="M819" i="5"/>
  <c r="J764" i="5"/>
  <c r="I240" i="5"/>
  <c r="I823" i="5"/>
  <c r="I324" i="5"/>
  <c r="O750" i="5"/>
  <c r="M267" i="5"/>
  <c r="H940" i="5"/>
  <c r="M256" i="5"/>
  <c r="O857" i="5"/>
  <c r="H991" i="5"/>
  <c r="N665" i="5"/>
  <c r="O911" i="5"/>
  <c r="H691" i="5"/>
  <c r="M992" i="5"/>
  <c r="N324" i="5"/>
  <c r="N848" i="5"/>
  <c r="J772" i="5"/>
  <c r="G646" i="5"/>
  <c r="I967" i="5"/>
  <c r="H307" i="5"/>
  <c r="O784" i="5"/>
  <c r="J299" i="5"/>
  <c r="N777" i="5"/>
  <c r="H306" i="5"/>
  <c r="M876" i="5"/>
  <c r="M346" i="5"/>
  <c r="G992" i="5"/>
  <c r="G781" i="5"/>
  <c r="I876" i="5"/>
  <c r="N997" i="5"/>
  <c r="H913" i="5"/>
  <c r="G868" i="5"/>
  <c r="H883" i="5"/>
  <c r="I753" i="5"/>
  <c r="N296" i="5"/>
  <c r="I879" i="5"/>
  <c r="J922" i="5"/>
  <c r="L859" i="5"/>
  <c r="K978" i="5"/>
  <c r="G786" i="5"/>
  <c r="O672" i="5"/>
  <c r="K749" i="5"/>
  <c r="O849" i="5"/>
  <c r="J743" i="5"/>
  <c r="G794" i="5"/>
  <c r="N837" i="5"/>
  <c r="N955" i="5"/>
  <c r="K946" i="5"/>
  <c r="J834" i="5"/>
  <c r="M753" i="5"/>
  <c r="M793" i="5"/>
  <c r="M698" i="5"/>
  <c r="M820" i="5"/>
  <c r="M761" i="5"/>
  <c r="M656" i="5"/>
  <c r="M817" i="5"/>
  <c r="M874" i="5"/>
  <c r="M313" i="5"/>
  <c r="M978" i="5"/>
  <c r="M773" i="5"/>
  <c r="M791" i="5"/>
  <c r="M328" i="5"/>
  <c r="M977" i="5"/>
  <c r="M286" i="5"/>
  <c r="M790" i="5"/>
  <c r="M297" i="5"/>
  <c r="M852" i="5"/>
  <c r="M801" i="5"/>
  <c r="M976" i="5"/>
  <c r="M665" i="5"/>
  <c r="M982" i="5"/>
  <c r="M958" i="5"/>
  <c r="M707" i="5"/>
  <c r="M646" i="5"/>
  <c r="M897" i="5"/>
  <c r="M325" i="5"/>
  <c r="M864" i="5"/>
  <c r="M743" i="5"/>
  <c r="M857" i="5"/>
  <c r="M971" i="5"/>
  <c r="M240" i="5"/>
  <c r="M859" i="5"/>
  <c r="M844" i="5"/>
  <c r="M260" i="5"/>
  <c r="M347" i="5"/>
  <c r="M941" i="5"/>
  <c r="M295" i="5"/>
  <c r="M972" i="5"/>
  <c r="M304" i="5"/>
  <c r="M645" i="5"/>
  <c r="M981" i="5"/>
  <c r="M263" i="5"/>
  <c r="M348" i="5"/>
  <c r="M774" i="5"/>
  <c r="M763" i="5"/>
  <c r="M643" i="5"/>
  <c r="M848" i="5"/>
  <c r="M983" i="5"/>
  <c r="M850" i="5"/>
  <c r="M968" i="5"/>
  <c r="M287" i="5"/>
  <c r="M931" i="5"/>
  <c r="M768" i="5"/>
  <c r="M302" i="5"/>
  <c r="M839" i="5"/>
  <c r="M317" i="5"/>
  <c r="M937" i="5"/>
  <c r="M822" i="5"/>
  <c r="M673" i="5"/>
  <c r="M887" i="5"/>
  <c r="M832" i="5"/>
  <c r="M842" i="5"/>
  <c r="M997" i="5"/>
  <c r="M353" i="5"/>
  <c r="M637" i="5"/>
  <c r="M912" i="5"/>
  <c r="M273" i="5"/>
  <c r="M910" i="5"/>
  <c r="M935" i="5"/>
  <c r="M853" i="5"/>
  <c r="M825" i="5"/>
  <c r="M837" i="5"/>
  <c r="M973" i="5"/>
  <c r="M747" i="5"/>
  <c r="M882" i="5"/>
  <c r="M794" i="5"/>
  <c r="M865" i="5"/>
  <c r="M689" i="5"/>
  <c r="M802" i="5"/>
  <c r="M749" i="5"/>
  <c r="M989" i="5"/>
  <c r="M324" i="5"/>
  <c r="M870" i="5"/>
  <c r="M911" i="5"/>
  <c r="M827" i="5"/>
  <c r="M697" i="5"/>
  <c r="M784" i="5"/>
  <c r="M796" i="5"/>
  <c r="M301" i="5"/>
  <c r="M280" i="5"/>
  <c r="M961" i="5"/>
  <c r="M953" i="5"/>
  <c r="M936" i="5"/>
  <c r="M760" i="5"/>
  <c r="M922" i="5"/>
  <c r="M884" i="5"/>
  <c r="M657" i="5"/>
  <c r="M986" i="5"/>
  <c r="M695" i="5"/>
  <c r="M928" i="5"/>
  <c r="M262" i="5"/>
  <c r="M966" i="5"/>
  <c r="M242" i="5"/>
  <c r="M290" i="5"/>
  <c r="M752" i="5"/>
  <c r="M838" i="5"/>
  <c r="M247" i="5"/>
  <c r="M914" i="5"/>
  <c r="M969" i="5"/>
  <c r="M908" i="5"/>
  <c r="M847" i="5"/>
  <c r="M923" i="5"/>
  <c r="M342" i="5"/>
  <c r="M970" i="5"/>
  <c r="M945" i="5"/>
  <c r="M696" i="5"/>
  <c r="M708" i="5"/>
  <c r="M771" i="5"/>
  <c r="M333" i="5"/>
  <c r="M875" i="5"/>
  <c r="M744" i="5"/>
  <c r="M854" i="5"/>
  <c r="M814" i="5"/>
  <c r="M835" i="5"/>
  <c r="M823" i="5"/>
  <c r="M868" i="5"/>
  <c r="M891" i="5"/>
  <c r="M243" i="5"/>
  <c r="M816" i="5"/>
  <c r="M866" i="5"/>
  <c r="M259" i="5"/>
  <c r="M955" i="5"/>
  <c r="M663" i="5"/>
  <c r="M682" i="5"/>
  <c r="M672" i="5"/>
  <c r="M906" i="5"/>
  <c r="M270" i="5"/>
  <c r="M951" i="5"/>
  <c r="M942" i="5"/>
  <c r="M899" i="5"/>
  <c r="M812" i="5"/>
  <c r="M949" i="5"/>
  <c r="M648" i="5"/>
  <c r="M944" i="5"/>
  <c r="M964" i="5"/>
  <c r="M851" i="5"/>
  <c r="M341" i="5"/>
  <c r="M956" i="5"/>
  <c r="M881" i="5"/>
  <c r="M947" i="5"/>
  <c r="M653" i="5"/>
  <c r="M636" i="5"/>
  <c r="M872" i="5"/>
  <c r="M641" i="5"/>
  <c r="M320" i="5"/>
  <c r="M920" i="5"/>
  <c r="M266" i="5"/>
  <c r="M845" i="5"/>
  <c r="M886" i="5"/>
  <c r="M754" i="5"/>
  <c r="M900" i="5"/>
  <c r="M861" i="5"/>
  <c r="M787" i="5"/>
  <c r="M746" i="5"/>
  <c r="M930" i="5"/>
  <c r="M950" i="5"/>
  <c r="M255" i="5"/>
  <c r="M748" i="5"/>
  <c r="M322" i="5"/>
  <c r="M674" i="5"/>
  <c r="M980" i="5"/>
  <c r="M811" i="5"/>
  <c r="M312" i="5"/>
  <c r="M352" i="5"/>
  <c r="M299" i="5"/>
  <c r="M775" i="5"/>
  <c r="M829" i="5"/>
  <c r="M275" i="5"/>
  <c r="M300" i="5"/>
  <c r="M659" i="5"/>
  <c r="M916" i="5"/>
  <c r="M246" i="5"/>
  <c r="M894" i="5"/>
  <c r="M759" i="5"/>
  <c r="M647" i="5"/>
  <c r="M800" i="5"/>
  <c r="M855" i="5"/>
  <c r="M639" i="5"/>
  <c r="M635" i="5"/>
  <c r="M755" i="5"/>
  <c r="J324" i="5"/>
  <c r="H893" i="5"/>
  <c r="J762" i="5"/>
  <c r="H862" i="5"/>
  <c r="M990" i="5"/>
  <c r="H812" i="5"/>
  <c r="H804" i="5"/>
  <c r="O974" i="5"/>
  <c r="M644" i="5"/>
  <c r="N268" i="5"/>
  <c r="N917" i="5"/>
  <c r="H925" i="5"/>
  <c r="O781" i="5"/>
  <c r="N975" i="5"/>
  <c r="J787" i="5"/>
  <c r="N663" i="5"/>
  <c r="N983" i="5"/>
  <c r="G244" i="5"/>
  <c r="O288" i="5"/>
  <c r="I748" i="5"/>
  <c r="I865" i="5"/>
  <c r="G821" i="5"/>
  <c r="I940" i="5"/>
  <c r="H941" i="5"/>
  <c r="O247" i="5"/>
  <c r="H342" i="5"/>
  <c r="J347" i="5"/>
  <c r="G280" i="5"/>
  <c r="O952" i="5"/>
  <c r="G352" i="5"/>
  <c r="J837" i="5"/>
  <c r="M634" i="5"/>
  <c r="G938" i="5"/>
  <c r="G980" i="5"/>
  <c r="G657" i="5"/>
  <c r="H760" i="5"/>
  <c r="M889" i="5"/>
  <c r="H874" i="5"/>
  <c r="H849" i="5"/>
  <c r="L698" i="5"/>
  <c r="O302" i="5"/>
  <c r="L324" i="5"/>
  <c r="J830" i="5"/>
  <c r="M896" i="5"/>
  <c r="G874" i="5"/>
  <c r="O956" i="5"/>
  <c r="O266" i="5"/>
  <c r="H840" i="5"/>
  <c r="N857" i="5"/>
  <c r="H654" i="5"/>
  <c r="L872" i="5"/>
  <c r="O667" i="5"/>
  <c r="K847" i="5"/>
  <c r="M939" i="5"/>
  <c r="O940" i="5"/>
  <c r="H259" i="5"/>
  <c r="J747" i="5"/>
  <c r="N949" i="5"/>
  <c r="N835" i="5"/>
  <c r="L674" i="5"/>
  <c r="M915" i="5"/>
  <c r="L659" i="5"/>
  <c r="K301" i="5"/>
  <c r="K746" i="5"/>
  <c r="G959" i="5"/>
  <c r="M904" i="5"/>
  <c r="O772" i="5"/>
  <c r="L280" i="5"/>
  <c r="J795" i="5"/>
  <c r="I850" i="5"/>
  <c r="N941" i="5"/>
  <c r="G323" i="5"/>
  <c r="C488" i="5" s="1" a="1"/>
  <c r="C488" i="5" s="1"/>
  <c r="K488" i="5" s="1"/>
  <c r="J930" i="5"/>
  <c r="J786" i="5"/>
  <c r="M849" i="5"/>
  <c r="J960" i="5"/>
  <c r="J940" i="5"/>
  <c r="H656" i="5"/>
  <c r="J870" i="5"/>
  <c r="H968" i="5"/>
  <c r="H657" i="5"/>
  <c r="O976" i="5"/>
  <c r="I930" i="5"/>
  <c r="I958" i="5"/>
  <c r="I878" i="5"/>
  <c r="O915" i="5"/>
  <c r="I834" i="5"/>
  <c r="I899" i="5"/>
  <c r="I932" i="5"/>
  <c r="I837" i="5"/>
  <c r="O922" i="5"/>
  <c r="O814" i="5"/>
  <c r="I644" i="5"/>
  <c r="I310" i="5"/>
  <c r="I273" i="5"/>
  <c r="O851" i="5"/>
  <c r="I864" i="5"/>
  <c r="O881" i="5"/>
  <c r="O654" i="5"/>
  <c r="I653" i="5"/>
  <c r="I942" i="5"/>
  <c r="I299" i="5"/>
  <c r="O808" i="5"/>
  <c r="I256" i="5"/>
  <c r="I775" i="5"/>
  <c r="I796" i="5"/>
  <c r="I855" i="5"/>
  <c r="O321" i="5"/>
  <c r="I807" i="5"/>
  <c r="O888" i="5"/>
  <c r="O999" i="5"/>
  <c r="O787" i="5"/>
  <c r="I907" i="5"/>
  <c r="O805" i="5"/>
  <c r="I635" i="5"/>
  <c r="O988" i="5"/>
  <c r="I242" i="5"/>
  <c r="O745" i="5"/>
  <c r="I780" i="5"/>
  <c r="I755" i="5"/>
  <c r="O913" i="5"/>
  <c r="O920" i="5"/>
  <c r="I313" i="5"/>
  <c r="O972" i="5"/>
  <c r="O890" i="5"/>
  <c r="O249" i="5"/>
  <c r="I632" i="5"/>
  <c r="I883" i="5"/>
  <c r="O758" i="5"/>
  <c r="I797" i="5"/>
  <c r="O812" i="5"/>
  <c r="O647" i="5"/>
  <c r="I816" i="5"/>
  <c r="O895" i="5"/>
  <c r="I859" i="5"/>
  <c r="I840" i="5"/>
  <c r="O886" i="5"/>
  <c r="I768" i="5"/>
  <c r="O749" i="5"/>
  <c r="I253" i="5"/>
  <c r="I900" i="5"/>
  <c r="I946" i="5"/>
  <c r="O998" i="5"/>
  <c r="I953" i="5"/>
  <c r="I851" i="5"/>
  <c r="I260" i="5"/>
  <c r="O332" i="5"/>
  <c r="I695" i="5"/>
  <c r="O673" i="5"/>
  <c r="I999" i="5"/>
  <c r="O980" i="5"/>
  <c r="I948" i="5"/>
  <c r="O761" i="5"/>
  <c r="I927" i="5"/>
  <c r="I764" i="5"/>
  <c r="I904" i="5"/>
  <c r="I954" i="5"/>
  <c r="I997" i="5"/>
  <c r="I820" i="5"/>
  <c r="I784" i="5"/>
  <c r="O657" i="5"/>
  <c r="I924" i="5"/>
  <c r="O955" i="5"/>
  <c r="O954" i="5"/>
  <c r="O245" i="5"/>
  <c r="O815" i="5"/>
  <c r="I750" i="5"/>
  <c r="O909" i="5"/>
  <c r="O301" i="5"/>
  <c r="O664" i="5"/>
  <c r="I947" i="5"/>
  <c r="I326" i="5"/>
  <c r="I961" i="5"/>
  <c r="I886" i="5"/>
  <c r="I987" i="5"/>
  <c r="I795" i="5"/>
  <c r="O325" i="5"/>
  <c r="I892" i="5"/>
  <c r="O759" i="5"/>
  <c r="I862" i="5"/>
  <c r="O853" i="5"/>
  <c r="I787" i="5"/>
  <c r="O931" i="5"/>
  <c r="O992" i="5"/>
  <c r="O296" i="5"/>
  <c r="O977" i="5"/>
  <c r="O635" i="5"/>
  <c r="I889" i="5"/>
  <c r="O958" i="5"/>
  <c r="I698" i="5"/>
  <c r="I857" i="5"/>
  <c r="O263" i="5"/>
  <c r="I988" i="5"/>
  <c r="O847" i="5"/>
  <c r="O806" i="5"/>
  <c r="I843" i="5"/>
  <c r="I979" i="5"/>
  <c r="I854" i="5"/>
  <c r="O863" i="5"/>
  <c r="O310" i="5"/>
  <c r="O243" i="5"/>
  <c r="O639" i="5"/>
  <c r="O944" i="5"/>
  <c r="O876" i="5"/>
  <c r="O987" i="5"/>
  <c r="I894" i="5"/>
  <c r="O348" i="5"/>
  <c r="O866" i="5"/>
  <c r="I964" i="5"/>
  <c r="I691" i="5"/>
  <c r="O970" i="5"/>
  <c r="O328" i="5"/>
  <c r="O852" i="5"/>
  <c r="O993" i="5"/>
  <c r="I654" i="5"/>
  <c r="I745" i="5"/>
  <c r="I916" i="5"/>
  <c r="O989" i="5"/>
  <c r="O874" i="5"/>
  <c r="O333" i="5"/>
  <c r="O300" i="5"/>
  <c r="I983" i="5"/>
  <c r="I761" i="5"/>
  <c r="O796" i="5"/>
  <c r="O924" i="5"/>
  <c r="I910" i="5"/>
  <c r="O844" i="5"/>
  <c r="O319" i="5"/>
  <c r="O821" i="5"/>
  <c r="O906" i="5"/>
  <c r="I917" i="5"/>
  <c r="O898" i="5"/>
  <c r="I836" i="5"/>
  <c r="O708" i="5"/>
  <c r="O299" i="5"/>
  <c r="O953" i="5"/>
  <c r="O698" i="5"/>
  <c r="O701" i="5"/>
  <c r="I960" i="5"/>
  <c r="I860" i="5"/>
  <c r="I909" i="5"/>
  <c r="O773" i="5"/>
  <c r="I992" i="5"/>
  <c r="O762" i="5"/>
  <c r="I774" i="5"/>
  <c r="O930" i="5"/>
  <c r="O780" i="5"/>
  <c r="O978" i="5"/>
  <c r="I312" i="5"/>
  <c r="O349" i="5"/>
  <c r="O936" i="5"/>
  <c r="I852" i="5"/>
  <c r="O268" i="5"/>
  <c r="I933" i="5"/>
  <c r="I760" i="5"/>
  <c r="I777" i="5"/>
  <c r="I754" i="5"/>
  <c r="O777" i="5"/>
  <c r="O865" i="5"/>
  <c r="O790" i="5"/>
  <c r="I833" i="5"/>
  <c r="O859" i="5"/>
  <c r="O696" i="5"/>
  <c r="O818" i="5"/>
  <c r="O813" i="5"/>
  <c r="I891" i="5"/>
  <c r="I985" i="5"/>
  <c r="O799" i="5"/>
  <c r="O346" i="5"/>
  <c r="I776" i="5"/>
  <c r="O816" i="5"/>
  <c r="O878" i="5"/>
  <c r="O771" i="5"/>
  <c r="I290" i="5"/>
  <c r="I295" i="5"/>
  <c r="I882" i="5"/>
  <c r="O942" i="5"/>
  <c r="I845" i="5"/>
  <c r="I945" i="5"/>
  <c r="O877" i="5"/>
  <c r="O975" i="5"/>
  <c r="O917" i="5"/>
  <c r="I645" i="5"/>
  <c r="O880" i="5"/>
  <c r="O322" i="5"/>
  <c r="O755" i="5"/>
  <c r="I673" i="5"/>
  <c r="O811" i="5"/>
  <c r="O831" i="5"/>
  <c r="O695" i="5"/>
  <c r="O899" i="5"/>
  <c r="O782" i="5"/>
  <c r="I802" i="5"/>
  <c r="O287" i="5"/>
  <c r="O240" i="5"/>
  <c r="O834" i="5"/>
  <c r="O756" i="5"/>
  <c r="I743" i="5"/>
  <c r="I955" i="5"/>
  <c r="I831" i="5"/>
  <c r="I347" i="5"/>
  <c r="I898" i="5"/>
  <c r="O636" i="5"/>
  <c r="O769" i="5"/>
  <c r="I874" i="5"/>
  <c r="O832" i="5"/>
  <c r="I801" i="5"/>
  <c r="O879" i="5"/>
  <c r="O919" i="5"/>
  <c r="O259" i="5"/>
  <c r="I870" i="5"/>
  <c r="I696" i="5"/>
  <c r="O793" i="5"/>
  <c r="I773" i="5"/>
  <c r="I349" i="5"/>
  <c r="O648" i="5"/>
  <c r="O776" i="5"/>
  <c r="I296" i="5"/>
  <c r="I799" i="5"/>
  <c r="O869" i="5"/>
  <c r="O313" i="5"/>
  <c r="I951" i="5"/>
  <c r="O826" i="5"/>
  <c r="O638" i="5"/>
  <c r="I1000" i="5"/>
  <c r="I936" i="5"/>
  <c r="I667" i="5"/>
  <c r="I990" i="5"/>
  <c r="I902" i="5"/>
  <c r="I888" i="5"/>
  <c r="I268" i="5"/>
  <c r="O905" i="5"/>
  <c r="I287" i="5"/>
  <c r="I962" i="5"/>
  <c r="O775" i="5"/>
  <c r="I348" i="5"/>
  <c r="I814" i="5"/>
  <c r="I908" i="5"/>
  <c r="I853" i="5"/>
  <c r="O964" i="5"/>
  <c r="I766" i="5"/>
  <c r="O306" i="5"/>
  <c r="I244" i="5"/>
  <c r="I297" i="5"/>
  <c r="O833" i="5"/>
  <c r="I633" i="5"/>
  <c r="I327" i="5"/>
  <c r="I826" i="5"/>
  <c r="I931" i="5"/>
  <c r="O320" i="5"/>
  <c r="I782" i="5"/>
  <c r="O788" i="5"/>
  <c r="I746" i="5"/>
  <c r="O312" i="5"/>
  <c r="O982" i="5"/>
  <c r="I832" i="5"/>
  <c r="I303" i="5"/>
  <c r="O272" i="5"/>
  <c r="O903" i="5"/>
  <c r="O641" i="5"/>
  <c r="I759" i="5"/>
  <c r="I341" i="5"/>
  <c r="O273" i="5"/>
  <c r="I869" i="5"/>
  <c r="I928" i="5"/>
  <c r="O914" i="5"/>
  <c r="O347" i="5"/>
  <c r="O918" i="5"/>
  <c r="I921" i="5"/>
  <c r="I969" i="5"/>
  <c r="O791" i="5"/>
  <c r="O290" i="5"/>
  <c r="I793" i="5"/>
  <c r="O828" i="5"/>
  <c r="I267" i="5"/>
  <c r="I321" i="5"/>
  <c r="O971" i="5"/>
  <c r="O822" i="5"/>
  <c r="O949" i="5"/>
  <c r="I794" i="5"/>
  <c r="I810" i="5"/>
  <c r="I672" i="5"/>
  <c r="O960" i="5"/>
  <c r="I993" i="5"/>
  <c r="O824" i="5"/>
  <c r="I779" i="5"/>
  <c r="O951" i="5"/>
  <c r="I302" i="5"/>
  <c r="I791" i="5"/>
  <c r="I306" i="5"/>
  <c r="I747" i="5"/>
  <c r="O778" i="5"/>
  <c r="I346" i="5"/>
  <c r="O928" i="5"/>
  <c r="I657" i="5"/>
  <c r="O786" i="5"/>
  <c r="I956" i="5"/>
  <c r="I976" i="5"/>
  <c r="O658" i="5"/>
  <c r="O817" i="5"/>
  <c r="I634" i="5"/>
  <c r="I911" i="5"/>
  <c r="I868" i="5"/>
  <c r="O770" i="5"/>
  <c r="O746" i="5"/>
  <c r="O653" i="5"/>
  <c r="I815" i="5"/>
  <c r="O979" i="5"/>
  <c r="I974" i="5"/>
  <c r="I263" i="5"/>
  <c r="I281" i="5"/>
  <c r="O986" i="5"/>
  <c r="O927" i="5"/>
  <c r="O255" i="5"/>
  <c r="O764" i="5"/>
  <c r="I973" i="5"/>
  <c r="I895" i="5"/>
  <c r="O887" i="5"/>
  <c r="O893" i="5"/>
  <c r="I881" i="5"/>
  <c r="I885" i="5"/>
  <c r="O884" i="5"/>
  <c r="O752" i="5"/>
  <c r="I246" i="5"/>
  <c r="I975" i="5"/>
  <c r="O797" i="5"/>
  <c r="O768" i="5"/>
  <c r="O802" i="5"/>
  <c r="O783" i="5"/>
  <c r="I317" i="5"/>
  <c r="I866" i="5"/>
  <c r="O842" i="5"/>
  <c r="I821" i="5"/>
  <c r="O800" i="5"/>
  <c r="I872" i="5"/>
  <c r="O656" i="5"/>
  <c r="O969" i="5"/>
  <c r="O352" i="5"/>
  <c r="O860" i="5"/>
  <c r="I995" i="5"/>
  <c r="O757" i="5"/>
  <c r="I972" i="5"/>
  <c r="I887" i="5"/>
  <c r="O934" i="5"/>
  <c r="I318" i="5"/>
  <c r="I827" i="5"/>
  <c r="I665" i="5"/>
  <c r="I805" i="5"/>
  <c r="O697" i="5"/>
  <c r="I822" i="5"/>
  <c r="O897" i="5"/>
  <c r="I350" i="5"/>
  <c r="I913" i="5"/>
  <c r="I638" i="5"/>
  <c r="I650" i="5"/>
  <c r="O981" i="5"/>
  <c r="I258" i="5"/>
  <c r="O275" i="5"/>
  <c r="O640" i="5"/>
  <c r="I846" i="5"/>
  <c r="I912" i="5"/>
  <c r="I307" i="5"/>
  <c r="O937" i="5"/>
  <c r="O634" i="5"/>
  <c r="O840" i="5"/>
  <c r="I982" i="5"/>
  <c r="I896" i="5"/>
  <c r="I689" i="5"/>
  <c r="O674" i="5"/>
  <c r="I789" i="5"/>
  <c r="O825" i="5"/>
  <c r="O682" i="5"/>
  <c r="I325" i="5"/>
  <c r="I829" i="5"/>
  <c r="O753" i="5"/>
  <c r="I333" i="5"/>
  <c r="I778" i="5"/>
  <c r="I757" i="5"/>
  <c r="O754" i="5"/>
  <c r="O691" i="5"/>
  <c r="O766" i="5"/>
  <c r="O317" i="5"/>
  <c r="I957" i="5"/>
  <c r="O985" i="5"/>
  <c r="I925" i="5"/>
  <c r="O765" i="5"/>
  <c r="O244" i="5"/>
  <c r="I250" i="5"/>
  <c r="I249" i="5"/>
  <c r="I342" i="5"/>
  <c r="O297" i="5"/>
  <c r="O663" i="5"/>
  <c r="O650" i="5"/>
  <c r="I813" i="5"/>
  <c r="H323" i="5"/>
  <c r="O868" i="5"/>
  <c r="H642" i="5"/>
  <c r="J645" i="5"/>
  <c r="I772" i="5"/>
  <c r="H765" i="5"/>
  <c r="N843" i="5"/>
  <c r="G647" i="5"/>
  <c r="O270" i="5"/>
  <c r="N247" i="5"/>
  <c r="J323" i="5"/>
  <c r="H842" i="5"/>
  <c r="J877" i="5"/>
  <c r="G879" i="5"/>
  <c r="H746" i="5"/>
  <c r="M998" i="5"/>
  <c r="M952" i="5"/>
  <c r="H932" i="5"/>
  <c r="I752" i="5"/>
  <c r="O841" i="5"/>
  <c r="O916" i="5"/>
  <c r="H946" i="5"/>
  <c r="M757" i="5"/>
  <c r="I848" i="5"/>
  <c r="I663" i="5"/>
  <c r="M879" i="5"/>
  <c r="G843" i="5"/>
  <c r="M701" i="5"/>
  <c r="N896" i="5"/>
  <c r="J988" i="5"/>
  <c r="H780" i="5"/>
  <c r="H799" i="5"/>
  <c r="J839" i="5"/>
  <c r="N929" i="5"/>
  <c r="G885" i="5"/>
  <c r="I981" i="5"/>
  <c r="G999" i="5"/>
  <c r="J820" i="5"/>
  <c r="I863" i="5"/>
  <c r="J774" i="5"/>
  <c r="I804" i="5"/>
  <c r="G956" i="5"/>
  <c r="L953" i="5"/>
  <c r="G996" i="5"/>
  <c r="N833" i="5"/>
  <c r="J258" i="5"/>
  <c r="L799" i="5"/>
  <c r="O369" i="5"/>
  <c r="M869" i="5"/>
  <c r="G295" i="5"/>
  <c r="K776" i="5"/>
  <c r="L246" i="5"/>
  <c r="L814" i="5"/>
  <c r="M813" i="5"/>
  <c r="L908" i="5"/>
  <c r="L991" i="5"/>
  <c r="H659" i="5"/>
  <c r="J911" i="5"/>
  <c r="H875" i="5"/>
  <c r="H943" i="5"/>
  <c r="H884" i="5"/>
  <c r="J973" i="5"/>
  <c r="N836" i="5"/>
  <c r="N763" i="5"/>
  <c r="N250" i="5"/>
  <c r="N758" i="5"/>
  <c r="N931" i="5"/>
  <c r="N939" i="5"/>
  <c r="N346" i="5"/>
  <c r="N754" i="5"/>
  <c r="N791" i="5"/>
  <c r="N306" i="5"/>
  <c r="N875" i="5"/>
  <c r="N858" i="5"/>
  <c r="N842" i="5"/>
  <c r="N249" i="5"/>
  <c r="N956" i="5"/>
  <c r="N248" i="5"/>
  <c r="N818" i="5"/>
  <c r="N779" i="5"/>
  <c r="N322" i="5"/>
  <c r="N932" i="5"/>
  <c r="N838" i="5"/>
  <c r="N883" i="5"/>
  <c r="N325" i="5"/>
  <c r="N893" i="5"/>
  <c r="N781" i="5"/>
  <c r="N642" i="5"/>
  <c r="N923" i="5"/>
  <c r="N815" i="5"/>
  <c r="N310" i="5"/>
  <c r="N819" i="5"/>
  <c r="N323" i="5"/>
  <c r="N911" i="5"/>
  <c r="N798" i="5"/>
  <c r="N850" i="5"/>
  <c r="N245" i="5"/>
  <c r="N302" i="5"/>
  <c r="N256" i="5"/>
  <c r="N689" i="5"/>
  <c r="N953" i="5"/>
  <c r="N267" i="5"/>
  <c r="N965" i="5"/>
  <c r="N812" i="5"/>
  <c r="N659" i="5"/>
  <c r="N938" i="5"/>
  <c r="N969" i="5"/>
  <c r="N940" i="5"/>
  <c r="N874" i="5"/>
  <c r="N868" i="5"/>
  <c r="N844" i="5"/>
  <c r="N849" i="5"/>
  <c r="N752" i="5"/>
  <c r="N920" i="5"/>
  <c r="N769" i="5"/>
  <c r="N906" i="5"/>
  <c r="N855" i="5"/>
  <c r="N260" i="5"/>
  <c r="N891" i="5"/>
  <c r="N698" i="5"/>
  <c r="N750" i="5"/>
  <c r="N792" i="5"/>
  <c r="N919" i="5"/>
  <c r="N980" i="5"/>
  <c r="N839" i="5"/>
  <c r="N654" i="5"/>
  <c r="N263" i="5"/>
  <c r="N880" i="5"/>
  <c r="N829" i="5"/>
  <c r="N985" i="5"/>
  <c r="N824" i="5"/>
  <c r="N807" i="5"/>
  <c r="N914" i="5"/>
  <c r="N925" i="5"/>
  <c r="N865" i="5"/>
  <c r="N774" i="5"/>
  <c r="N793" i="5"/>
  <c r="N797" i="5"/>
  <c r="N892" i="5"/>
  <c r="N951" i="5"/>
  <c r="N255" i="5"/>
  <c r="N897" i="5"/>
  <c r="N890" i="5"/>
  <c r="N766" i="5"/>
  <c r="N990" i="5"/>
  <c r="N974" i="5"/>
  <c r="N999" i="5"/>
  <c r="N300" i="5"/>
  <c r="N275" i="5"/>
  <c r="N862" i="5"/>
  <c r="N916" i="5"/>
  <c r="N672" i="5"/>
  <c r="N825" i="5"/>
  <c r="N998" i="5"/>
  <c r="N996" i="5"/>
  <c r="N971" i="5"/>
  <c r="N321" i="5"/>
  <c r="N903" i="5"/>
  <c r="N988" i="5"/>
  <c r="N984" i="5"/>
  <c r="N832" i="5"/>
  <c r="N246" i="5"/>
  <c r="N799" i="5"/>
  <c r="N976" i="5"/>
  <c r="N261" i="5"/>
  <c r="N319" i="5"/>
  <c r="N751" i="5"/>
  <c r="N926" i="5"/>
  <c r="N349" i="5"/>
  <c r="N327" i="5"/>
  <c r="N816" i="5"/>
  <c r="N782" i="5"/>
  <c r="N650" i="5"/>
  <c r="N786" i="5"/>
  <c r="N935" i="5"/>
  <c r="N989" i="5"/>
  <c r="N635" i="5"/>
  <c r="N861" i="5"/>
  <c r="N759" i="5"/>
  <c r="N888" i="5"/>
  <c r="N691" i="5"/>
  <c r="N258" i="5"/>
  <c r="N743" i="5"/>
  <c r="N773" i="5"/>
  <c r="N326" i="5"/>
  <c r="N968" i="5"/>
  <c r="N347" i="5"/>
  <c r="N841" i="5"/>
  <c r="N933" i="5"/>
  <c r="N641" i="5"/>
  <c r="N864" i="5"/>
  <c r="N764" i="5"/>
  <c r="N986" i="5"/>
  <c r="N770" i="5"/>
  <c r="N795" i="5"/>
  <c r="N286" i="5"/>
  <c r="N749" i="5"/>
  <c r="N320" i="5"/>
  <c r="N947" i="5"/>
  <c r="N936" i="5"/>
  <c r="N872" i="5"/>
  <c r="N297" i="5"/>
  <c r="N644" i="5"/>
  <c r="N806" i="5"/>
  <c r="N340" i="5"/>
  <c r="N638" i="5"/>
  <c r="N305" i="5"/>
  <c r="N840" i="5"/>
  <c r="N927" i="5"/>
  <c r="N908" i="5"/>
  <c r="N295" i="5"/>
  <c r="N790" i="5"/>
  <c r="N963" i="5"/>
  <c r="N761" i="5"/>
  <c r="N856" i="5"/>
  <c r="N942" i="5"/>
  <c r="N656" i="5"/>
  <c r="N972" i="5"/>
  <c r="N860" i="5"/>
  <c r="N886" i="5"/>
  <c r="N854" i="5"/>
  <c r="N958" i="5"/>
  <c r="N978" i="5"/>
  <c r="N802" i="5"/>
  <c r="N301" i="5"/>
  <c r="N805" i="5"/>
  <c r="N859" i="5"/>
  <c r="N756" i="5"/>
  <c r="N992" i="5"/>
  <c r="N821" i="5"/>
  <c r="N922" i="5"/>
  <c r="N789" i="5"/>
  <c r="N771" i="5"/>
  <c r="N270" i="5"/>
  <c r="N303" i="5"/>
  <c r="N682" i="5"/>
  <c r="N852" i="5"/>
  <c r="N982" i="5"/>
  <c r="N637" i="5"/>
  <c r="N787" i="5"/>
  <c r="N959" i="5"/>
  <c r="N924" i="5"/>
  <c r="N967" i="5"/>
  <c r="N765" i="5"/>
  <c r="N243" i="5"/>
  <c r="N830" i="5"/>
  <c r="N307" i="5"/>
  <c r="N898" i="5"/>
  <c r="N884" i="5"/>
  <c r="N801" i="5"/>
  <c r="N894" i="5"/>
  <c r="N666" i="5"/>
  <c r="N828" i="5"/>
  <c r="J850" i="5"/>
  <c r="M893" i="5"/>
  <c r="J288" i="5"/>
  <c r="N266" i="5"/>
  <c r="J955" i="5"/>
  <c r="G895" i="5"/>
  <c r="M808" i="5"/>
  <c r="O707" i="5"/>
  <c r="G887" i="5"/>
  <c r="M878" i="5"/>
  <c r="O966" i="5"/>
  <c r="H949" i="5"/>
  <c r="I770" i="5"/>
  <c r="G759" i="5"/>
  <c r="N253" i="5"/>
  <c r="G810" i="5"/>
  <c r="N745" i="5"/>
  <c r="J321" i="5"/>
  <c r="H982" i="5"/>
  <c r="G777" i="5"/>
  <c r="M860" i="5"/>
  <c r="G807" i="5"/>
  <c r="J673" i="5"/>
  <c r="O872" i="5"/>
  <c r="M805" i="5"/>
  <c r="M883" i="5"/>
  <c r="N664" i="5"/>
  <c r="H971" i="5"/>
  <c r="H754" i="5"/>
  <c r="I294" i="5"/>
  <c r="O795" i="5"/>
  <c r="J910" i="5"/>
  <c r="M261" i="5"/>
  <c r="I811" i="5"/>
  <c r="O961" i="5"/>
  <c r="N333" i="5"/>
  <c r="G901" i="5"/>
  <c r="M321" i="5"/>
  <c r="L327" i="5"/>
  <c r="O248" i="5"/>
  <c r="G908" i="5"/>
  <c r="L760" i="5"/>
  <c r="G638" i="5"/>
  <c r="L851" i="5"/>
  <c r="I839" i="5"/>
  <c r="H976" i="5"/>
  <c r="H818" i="5"/>
  <c r="G790" i="5"/>
  <c r="H744" i="5"/>
  <c r="H988" i="5"/>
  <c r="N820" i="5"/>
  <c r="N904" i="5"/>
  <c r="K689" i="5"/>
  <c r="O1000" i="5"/>
  <c r="O838" i="5"/>
  <c r="K809" i="5"/>
  <c r="N977" i="5"/>
  <c r="H888" i="5"/>
  <c r="O645" i="5"/>
  <c r="O939" i="5"/>
  <c r="L299" i="5"/>
  <c r="H869" i="5"/>
  <c r="O308" i="5"/>
  <c r="M756" i="5"/>
  <c r="J701" i="5"/>
  <c r="G304" i="5"/>
  <c r="J907" i="5"/>
  <c r="G259" i="5"/>
  <c r="M934" i="5"/>
  <c r="K788" i="5"/>
  <c r="H695" i="5"/>
  <c r="J805" i="5"/>
  <c r="J924" i="5"/>
  <c r="N762" i="5"/>
  <c r="F945" i="5"/>
  <c r="F708" i="5"/>
  <c r="F333" i="5"/>
  <c r="F956" i="5"/>
  <c r="F287" i="5"/>
  <c r="F272" i="5"/>
  <c r="F871" i="5"/>
  <c r="F294" i="5"/>
  <c r="F672" i="5"/>
  <c r="F790" i="5"/>
  <c r="F328" i="5"/>
  <c r="F698" i="5"/>
  <c r="F324" i="5"/>
  <c r="F877" i="5"/>
  <c r="F920" i="5"/>
  <c r="F302" i="5"/>
  <c r="F643" i="5"/>
  <c r="F304" i="5"/>
  <c r="F645" i="5"/>
  <c r="F780" i="5"/>
  <c r="F973" i="5"/>
  <c r="F247" i="5"/>
  <c r="C401" i="5" s="1" a="1"/>
  <c r="C401" i="5" s="1"/>
  <c r="L401" i="5" s="1"/>
  <c r="F887" i="5"/>
  <c r="F856" i="5"/>
  <c r="F633" i="5"/>
  <c r="F917" i="5"/>
  <c r="F967" i="5"/>
  <c r="F869" i="5"/>
  <c r="F838" i="5"/>
  <c r="F696" i="5"/>
  <c r="F948" i="5"/>
  <c r="F938" i="5"/>
  <c r="F859" i="5"/>
  <c r="F771" i="5"/>
  <c r="F985" i="5"/>
  <c r="F843" i="5"/>
  <c r="F258" i="5"/>
  <c r="F968" i="5"/>
  <c r="F747" i="5"/>
  <c r="F291" i="5"/>
  <c r="F763" i="5"/>
  <c r="F775" i="5"/>
  <c r="F885" i="5"/>
  <c r="F323" i="5"/>
  <c r="C487" i="5" s="1" a="1"/>
  <c r="C487" i="5" s="1"/>
  <c r="O487" i="5" s="1"/>
  <c r="F951" i="5"/>
  <c r="F353" i="5"/>
  <c r="F794" i="5"/>
  <c r="F928" i="5"/>
  <c r="F886" i="5"/>
  <c r="F753" i="5"/>
  <c r="F915" i="5"/>
  <c r="F999" i="5"/>
  <c r="F249" i="5"/>
  <c r="F863" i="5"/>
  <c r="F332" i="5"/>
  <c r="F925" i="5"/>
  <c r="F826" i="5"/>
  <c r="F664" i="5"/>
  <c r="F930" i="5"/>
  <c r="F950" i="5"/>
  <c r="F933" i="5"/>
  <c r="F817" i="5"/>
  <c r="F896" i="5"/>
  <c r="F638" i="5"/>
  <c r="F952" i="5"/>
  <c r="F255" i="5"/>
  <c r="C405" i="5" s="1" a="1"/>
  <c r="C405" i="5" s="1"/>
  <c r="O405" i="5" s="1"/>
  <c r="F994" i="5"/>
  <c r="F844" i="5"/>
  <c r="F808" i="5"/>
  <c r="F893" i="5"/>
  <c r="F927" i="5"/>
  <c r="F878" i="5"/>
  <c r="F243" i="5"/>
  <c r="F907" i="5"/>
  <c r="F308" i="5"/>
  <c r="F987" i="5"/>
  <c r="F833" i="5"/>
  <c r="F821" i="5"/>
  <c r="F807" i="5"/>
  <c r="F788" i="5"/>
  <c r="F957" i="5"/>
  <c r="F639" i="5"/>
  <c r="F647" i="5"/>
  <c r="F270" i="5"/>
  <c r="F784" i="5"/>
  <c r="F767" i="5"/>
  <c r="F818" i="5"/>
  <c r="F882" i="5"/>
  <c r="F873" i="5"/>
  <c r="F665" i="5"/>
  <c r="F347" i="5"/>
  <c r="F908" i="5"/>
  <c r="F839" i="5"/>
  <c r="F834" i="5"/>
  <c r="F939" i="5"/>
  <c r="F659" i="5"/>
  <c r="F792" i="5"/>
  <c r="F854" i="5"/>
  <c r="F673" i="5"/>
  <c r="F812" i="5"/>
  <c r="F295" i="5"/>
  <c r="F827" i="5"/>
  <c r="F964" i="5"/>
  <c r="F245" i="5"/>
  <c r="F766" i="5"/>
  <c r="F947" i="5"/>
  <c r="F934" i="5"/>
  <c r="F349" i="5"/>
  <c r="F707" i="5"/>
  <c r="F802" i="5"/>
  <c r="F789" i="5"/>
  <c r="F901" i="5"/>
  <c r="F310" i="5"/>
  <c r="F902" i="5"/>
  <c r="F876" i="5"/>
  <c r="F993" i="5"/>
  <c r="F307" i="5"/>
  <c r="F864" i="5"/>
  <c r="F881" i="5"/>
  <c r="F657" i="5"/>
  <c r="F348" i="5"/>
  <c r="F978" i="5"/>
  <c r="F253" i="5"/>
  <c r="F750" i="5"/>
  <c r="F658" i="5"/>
  <c r="F899" i="5"/>
  <c r="F646" i="5"/>
  <c r="F300" i="5"/>
  <c r="F937" i="5"/>
  <c r="F749" i="5"/>
  <c r="F810" i="5"/>
  <c r="F691" i="5"/>
  <c r="F256" i="5"/>
  <c r="F346" i="5"/>
  <c r="F697" i="5"/>
  <c r="F650" i="5"/>
  <c r="F961" i="5"/>
  <c r="F327" i="5"/>
  <c r="F822" i="5"/>
  <c r="F758" i="5"/>
  <c r="F752" i="5"/>
  <c r="F959" i="5"/>
  <c r="F644" i="5"/>
  <c r="F929" i="5"/>
  <c r="F342" i="5"/>
  <c r="F888" i="5"/>
  <c r="F851" i="5"/>
  <c r="F297" i="5"/>
  <c r="F653" i="5"/>
  <c r="F268" i="5"/>
  <c r="F909" i="5"/>
  <c r="F898" i="5"/>
  <c r="F884" i="5"/>
  <c r="F296" i="5"/>
  <c r="F689" i="5"/>
  <c r="F341" i="5"/>
  <c r="F666" i="5"/>
  <c r="F641" i="5"/>
  <c r="F923" i="5"/>
  <c r="F865" i="5"/>
  <c r="F880" i="5"/>
  <c r="F746" i="5"/>
  <c r="F903" i="5"/>
  <c r="F879" i="5"/>
  <c r="F911" i="5"/>
  <c r="F829" i="5"/>
  <c r="F963" i="5"/>
  <c r="F931" i="5"/>
  <c r="F904" i="5"/>
  <c r="F840" i="5"/>
  <c r="F922" i="5"/>
  <c r="F796" i="5"/>
  <c r="F816" i="5"/>
  <c r="F960" i="5"/>
  <c r="F648" i="5"/>
  <c r="D954" i="5"/>
  <c r="D802" i="5"/>
  <c r="D263" i="5"/>
  <c r="C412" i="5" s="1" a="1"/>
  <c r="C412" i="5" s="1"/>
  <c r="N412" i="5" s="1"/>
  <c r="D951" i="5"/>
  <c r="D348" i="5"/>
  <c r="D642" i="5"/>
  <c r="D846" i="5"/>
  <c r="D349" i="5"/>
  <c r="C505" i="5" s="1" a="1"/>
  <c r="C505" i="5" s="1"/>
  <c r="L505" i="5" s="1"/>
  <c r="D956" i="5"/>
  <c r="D760" i="5"/>
  <c r="D653" i="5"/>
  <c r="D333" i="5"/>
  <c r="C495" i="5" s="1" a="1"/>
  <c r="C495" i="5" s="1"/>
  <c r="K495" i="5" s="1"/>
  <c r="D654" i="5"/>
  <c r="C668" i="5" s="1" a="1"/>
  <c r="C668" i="5" s="1"/>
  <c r="H668" i="5" s="1"/>
  <c r="D900" i="5"/>
  <c r="D764" i="5"/>
  <c r="D914" i="5"/>
  <c r="D815" i="5"/>
  <c r="D352" i="5"/>
  <c r="D244" i="5"/>
  <c r="C396" i="5" s="1" a="1"/>
  <c r="C396" i="5" s="1"/>
  <c r="K396" i="5" s="1"/>
  <c r="D811" i="5"/>
  <c r="D822" i="5"/>
  <c r="D912" i="5"/>
  <c r="D787" i="5"/>
  <c r="D981" i="5"/>
  <c r="D775" i="5"/>
  <c r="D258" i="5"/>
  <c r="D973" i="5"/>
  <c r="E874" i="5"/>
  <c r="E328" i="5"/>
  <c r="E931" i="5"/>
  <c r="E632" i="5"/>
  <c r="E646" i="5"/>
  <c r="E877" i="5"/>
  <c r="E986" i="5"/>
  <c r="E900" i="5"/>
  <c r="E976" i="5"/>
  <c r="E938" i="5"/>
  <c r="E989" i="5"/>
  <c r="E983" i="5"/>
  <c r="E872" i="5"/>
  <c r="E932" i="5"/>
  <c r="E635" i="5"/>
  <c r="E348" i="5"/>
  <c r="E957" i="5"/>
  <c r="E805" i="5"/>
  <c r="E794" i="5"/>
  <c r="E294" i="5"/>
  <c r="E961" i="5"/>
  <c r="E825" i="5"/>
  <c r="E881" i="5"/>
  <c r="E323" i="5"/>
  <c r="C486" i="5" s="1" a="1"/>
  <c r="C486" i="5" s="1"/>
  <c r="L486" i="5" s="1"/>
  <c r="E347" i="5"/>
  <c r="E767" i="5"/>
  <c r="E696" i="5"/>
  <c r="E261" i="5"/>
  <c r="C411" i="5" s="1" a="1"/>
  <c r="C411" i="5" s="1"/>
  <c r="I411" i="5" s="1"/>
  <c r="E695" i="5"/>
  <c r="E828" i="5"/>
  <c r="E928" i="5"/>
  <c r="E926" i="5"/>
  <c r="E799" i="5"/>
  <c r="E971" i="5"/>
  <c r="E952" i="5"/>
  <c r="E256" i="5"/>
  <c r="E871" i="5"/>
  <c r="E666" i="5"/>
  <c r="E645" i="5"/>
  <c r="C704" i="5" s="1" a="1"/>
  <c r="C704" i="5" s="1"/>
  <c r="J704" i="5" s="1"/>
  <c r="E778" i="5"/>
  <c r="E784" i="5"/>
  <c r="E259" i="5"/>
  <c r="C408" i="5" s="1" a="1"/>
  <c r="C408" i="5" s="1"/>
  <c r="J408" i="5" s="1"/>
  <c r="E633" i="5"/>
  <c r="E270" i="5"/>
  <c r="C421" i="5" s="1" a="1"/>
  <c r="C421" i="5" s="1"/>
  <c r="J421" i="5" s="1"/>
  <c r="E901" i="5"/>
  <c r="E769" i="5"/>
  <c r="E972" i="5"/>
  <c r="E845" i="5"/>
  <c r="D968" i="5"/>
  <c r="D808" i="5"/>
  <c r="D643" i="5"/>
  <c r="D849" i="5"/>
  <c r="E880" i="5"/>
  <c r="D859" i="5"/>
  <c r="D992" i="5"/>
  <c r="E956" i="5"/>
  <c r="E974" i="5"/>
  <c r="D876" i="5"/>
  <c r="D299" i="5"/>
  <c r="C456" i="5" s="1" a="1"/>
  <c r="C456" i="5" s="1"/>
  <c r="H456" i="5" s="1"/>
  <c r="D904" i="5"/>
  <c r="D869" i="5"/>
  <c r="D895" i="5"/>
  <c r="E892" i="5"/>
  <c r="D346" i="5"/>
  <c r="C504" i="5" s="1" a="1"/>
  <c r="C504" i="5" s="1"/>
  <c r="H504" i="5" s="1"/>
  <c r="E302" i="5"/>
  <c r="D855" i="5"/>
  <c r="E821" i="5"/>
  <c r="E755" i="5"/>
  <c r="D906" i="5"/>
  <c r="E809" i="5"/>
  <c r="E999" i="5"/>
  <c r="D696" i="5"/>
  <c r="D885" i="5"/>
  <c r="E275" i="5"/>
  <c r="D327" i="5"/>
  <c r="D953" i="5"/>
  <c r="E346" i="5"/>
  <c r="E759" i="5"/>
  <c r="D256" i="5"/>
  <c r="E750" i="5"/>
  <c r="D946" i="5"/>
  <c r="E960" i="5"/>
  <c r="E842" i="5"/>
  <c r="D302" i="5"/>
  <c r="C460" i="5" s="1" a="1"/>
  <c r="C460" i="5" s="1"/>
  <c r="O460" i="5" s="1"/>
  <c r="E638" i="5"/>
  <c r="C652" i="5" s="1" a="1"/>
  <c r="C652" i="5" s="1"/>
  <c r="K652" i="5" s="1"/>
  <c r="E697" i="5"/>
  <c r="E991" i="5"/>
  <c r="E748" i="5"/>
  <c r="D260" i="5"/>
  <c r="C409" i="5" s="1" a="1"/>
  <c r="C409" i="5" s="1"/>
  <c r="J409" i="5" s="1"/>
  <c r="D987" i="5"/>
  <c r="E782" i="5"/>
  <c r="D697" i="5"/>
  <c r="D644" i="5"/>
  <c r="C660" i="5" s="1" a="1"/>
  <c r="C660" i="5" s="1"/>
  <c r="G660" i="5" s="1"/>
  <c r="E915" i="5"/>
  <c r="E975" i="5"/>
  <c r="E873" i="5"/>
  <c r="D931" i="5"/>
  <c r="D665" i="5"/>
  <c r="D840" i="5"/>
  <c r="E996" i="5"/>
  <c r="E286" i="5"/>
  <c r="C441" i="5" s="1" a="1"/>
  <c r="C441" i="5" s="1"/>
  <c r="E441" i="5" s="1"/>
  <c r="D824" i="5"/>
  <c r="E814" i="5"/>
  <c r="E268" i="5"/>
  <c r="E786" i="5"/>
  <c r="D663" i="5"/>
  <c r="E789" i="5"/>
  <c r="D768" i="5"/>
  <c r="E912" i="5"/>
  <c r="E990" i="5"/>
  <c r="E864" i="5"/>
  <c r="D967" i="5"/>
  <c r="E963" i="5"/>
  <c r="E853" i="5"/>
  <c r="E964" i="5"/>
  <c r="D777" i="5"/>
  <c r="E896" i="5"/>
  <c r="E756" i="5"/>
  <c r="D769" i="5"/>
  <c r="E321" i="5"/>
  <c r="E837" i="5"/>
  <c r="E245" i="5"/>
  <c r="C398" i="5" s="1" a="1"/>
  <c r="C398" i="5" s="1"/>
  <c r="N398" i="5" s="1"/>
  <c r="E839" i="5"/>
  <c r="E754" i="5"/>
  <c r="Q4" i="5"/>
  <c r="B6" i="5" s="1" a="1"/>
  <c r="B6" i="5" s="1"/>
  <c r="M465" i="5"/>
  <c r="P4" i="5"/>
  <c r="B5" i="5" s="1" a="1"/>
  <c r="B5" i="5" s="1"/>
  <c r="J413" i="5"/>
  <c r="O413" i="5"/>
  <c r="G413" i="5"/>
  <c r="H413" i="5"/>
  <c r="E413" i="5"/>
  <c r="D413" i="5"/>
  <c r="L413" i="5"/>
  <c r="I413" i="5"/>
  <c r="F413" i="5"/>
  <c r="K413" i="5"/>
  <c r="M413" i="5"/>
  <c r="N413" i="5"/>
  <c r="F718" i="5"/>
  <c r="L718" i="5"/>
  <c r="D897" i="5"/>
  <c r="D786" i="5"/>
  <c r="D832" i="5"/>
  <c r="D991" i="5"/>
  <c r="D977" i="5"/>
  <c r="D750" i="5"/>
  <c r="H425" i="5"/>
  <c r="G425" i="5"/>
  <c r="K425" i="5"/>
  <c r="D910" i="5"/>
  <c r="D928" i="5"/>
  <c r="D803" i="5"/>
  <c r="D248" i="5"/>
  <c r="D945" i="5"/>
  <c r="D941" i="5"/>
  <c r="D747" i="5"/>
  <c r="D322" i="5"/>
  <c r="C484" i="5" s="1" a="1"/>
  <c r="C484" i="5" s="1"/>
  <c r="D994" i="5"/>
  <c r="D843" i="5"/>
  <c r="D810" i="5"/>
  <c r="D998" i="5"/>
  <c r="D656" i="5"/>
  <c r="C669" i="5" s="1" a="1"/>
  <c r="C669" i="5" s="1"/>
  <c r="D650" i="5"/>
  <c r="D635" i="5"/>
  <c r="D959" i="5"/>
  <c r="D921" i="5"/>
  <c r="D985" i="5"/>
  <c r="D854" i="5"/>
  <c r="D836" i="5"/>
  <c r="D940" i="5"/>
  <c r="D255" i="5"/>
  <c r="C403" i="5" s="1" a="1"/>
  <c r="C403" i="5" s="1"/>
  <c r="D791" i="5"/>
  <c r="D353" i="5"/>
  <c r="D649" i="5"/>
  <c r="D350" i="5"/>
  <c r="D797" i="5"/>
  <c r="D774" i="5"/>
  <c r="D821" i="5"/>
  <c r="D983" i="5"/>
  <c r="D862" i="5"/>
  <c r="D828" i="5"/>
  <c r="D858" i="5"/>
  <c r="D838" i="5"/>
  <c r="D793" i="5"/>
  <c r="D970" i="5"/>
  <c r="D857" i="5"/>
  <c r="D979" i="5"/>
  <c r="D845" i="5"/>
  <c r="D830" i="5"/>
  <c r="D290" i="5"/>
  <c r="D799" i="5"/>
  <c r="D749" i="5"/>
  <c r="D323" i="5"/>
  <c r="C485" i="5" s="1" a="1"/>
  <c r="C485" i="5" s="1"/>
  <c r="D270" i="5"/>
  <c r="C420" i="5" s="1" a="1"/>
  <c r="C420" i="5" s="1"/>
  <c r="D818" i="5"/>
  <c r="D889" i="5"/>
  <c r="D312" i="5"/>
  <c r="C471" i="5" s="1" a="1"/>
  <c r="C471" i="5" s="1"/>
  <c r="D807" i="5"/>
  <c r="D296" i="5"/>
  <c r="C453" i="5" s="1" a="1"/>
  <c r="C453" i="5" s="1"/>
  <c r="D658" i="5"/>
  <c r="D982" i="5"/>
  <c r="D868" i="5"/>
  <c r="D886" i="5"/>
  <c r="M472" i="5"/>
  <c r="G472" i="5"/>
  <c r="O472" i="5"/>
  <c r="D472" i="5"/>
  <c r="E472" i="5"/>
  <c r="D999" i="5"/>
  <c r="D646" i="5"/>
  <c r="D990" i="5"/>
  <c r="D827" i="5"/>
  <c r="D842" i="5"/>
  <c r="D657" i="5"/>
  <c r="C671" i="5" s="1" a="1"/>
  <c r="C671" i="5" s="1"/>
  <c r="D972" i="5"/>
  <c r="D324" i="5"/>
  <c r="D833" i="5"/>
  <c r="D915" i="5"/>
  <c r="D902" i="5"/>
  <c r="D942" i="5"/>
  <c r="D300" i="5"/>
  <c r="C457" i="5" s="1" a="1"/>
  <c r="C457" i="5" s="1"/>
  <c r="D641" i="5"/>
  <c r="D867" i="5"/>
  <c r="D950" i="5"/>
  <c r="D637" i="5"/>
  <c r="D974" i="5"/>
  <c r="D925" i="5"/>
  <c r="D246" i="5"/>
  <c r="D766" i="5"/>
  <c r="D695" i="5"/>
  <c r="D891" i="5"/>
  <c r="D960" i="5"/>
  <c r="D884" i="5"/>
  <c r="D988" i="5"/>
  <c r="D659" i="5"/>
  <c r="D932" i="5"/>
  <c r="D342" i="5"/>
  <c r="D871" i="5"/>
  <c r="D966" i="5"/>
  <c r="D328" i="5"/>
  <c r="C489" i="5" s="1" a="1"/>
  <c r="C489" i="5" s="1"/>
  <c r="D682" i="5"/>
  <c r="C717" i="5" s="1" a="1"/>
  <c r="C717" i="5" s="1"/>
  <c r="D789" i="5"/>
  <c r="D878" i="5"/>
  <c r="D751" i="5"/>
  <c r="D874" i="5"/>
  <c r="D887" i="5"/>
  <c r="D250" i="5"/>
  <c r="D975" i="5"/>
  <c r="D976" i="5"/>
  <c r="D922" i="5"/>
  <c r="D865" i="5"/>
  <c r="D291" i="5"/>
  <c r="C447" i="5" s="1" a="1"/>
  <c r="C447" i="5" s="1"/>
  <c r="D923" i="5"/>
  <c r="D880" i="5"/>
  <c r="D856" i="5"/>
  <c r="D762" i="5"/>
  <c r="D785" i="5"/>
  <c r="D754" i="5"/>
  <c r="D893" i="5"/>
  <c r="D779" i="5"/>
  <c r="D347" i="5"/>
  <c r="D812" i="5"/>
  <c r="D667" i="5"/>
  <c r="D909" i="5"/>
  <c r="D984" i="5"/>
  <c r="D788" i="5"/>
  <c r="D318" i="5"/>
  <c r="D805" i="5"/>
  <c r="D890" i="5"/>
  <c r="D247" i="5"/>
  <c r="C399" i="5" s="1" a="1"/>
  <c r="C399" i="5" s="1"/>
  <c r="D995" i="5"/>
  <c r="D848" i="5"/>
  <c r="D817" i="5"/>
  <c r="D701" i="5"/>
  <c r="D964" i="5"/>
  <c r="D317" i="5"/>
  <c r="C478" i="5" s="1" a="1"/>
  <c r="C478" i="5" s="1"/>
  <c r="D934" i="5"/>
  <c r="L472" i="5" l="1"/>
  <c r="P835" i="5"/>
  <c r="N472" i="5"/>
  <c r="H472" i="5"/>
  <c r="F472" i="5"/>
  <c r="K472" i="5"/>
  <c r="I472" i="5"/>
  <c r="R642" i="5"/>
  <c r="R4" i="5"/>
  <c r="S4" i="5"/>
  <c r="R253" i="5"/>
  <c r="N5" i="5"/>
  <c r="T961" i="5"/>
  <c r="M5" i="5"/>
  <c r="O440" i="5"/>
  <c r="D440" i="5"/>
  <c r="C563" i="5" s="1" a="1"/>
  <c r="C563" i="5" s="1"/>
  <c r="L563" i="5" s="1"/>
  <c r="N440" i="5"/>
  <c r="T440" i="5" s="1"/>
  <c r="E440" i="5"/>
  <c r="C564" i="5" s="1" a="1"/>
  <c r="C564" i="5" s="1"/>
  <c r="F440" i="5"/>
  <c r="G440" i="5"/>
  <c r="T950" i="5"/>
  <c r="Q642" i="5"/>
  <c r="H440" i="5"/>
  <c r="G5" i="5"/>
  <c r="M440" i="5"/>
  <c r="D5" i="5"/>
  <c r="C7" i="5" s="1" a="1"/>
  <c r="C7" i="5" s="1"/>
  <c r="L7" i="5" s="1"/>
  <c r="L440" i="5"/>
  <c r="R440" i="5" s="1"/>
  <c r="O5" i="5"/>
  <c r="H5" i="5"/>
  <c r="R779" i="5"/>
  <c r="J5" i="5"/>
  <c r="K440" i="5"/>
  <c r="I440" i="5"/>
  <c r="E5" i="5"/>
  <c r="C8" i="5" s="1" a="1"/>
  <c r="C8" i="5" s="1"/>
  <c r="F5" i="5"/>
  <c r="I5" i="5"/>
  <c r="L5" i="5"/>
  <c r="K5" i="5"/>
  <c r="P950" i="5"/>
  <c r="T835" i="5"/>
  <c r="S642" i="5"/>
  <c r="H6" i="5"/>
  <c r="J6" i="5"/>
  <c r="F468" i="5"/>
  <c r="D6" i="5"/>
  <c r="C9" i="5" s="1" a="1"/>
  <c r="C9" i="5" s="1"/>
  <c r="D468" i="5"/>
  <c r="C576" i="5" s="1" a="1"/>
  <c r="C576" i="5" s="1"/>
  <c r="N576" i="5" s="1"/>
  <c r="I6" i="5"/>
  <c r="L465" i="5"/>
  <c r="O465" i="5"/>
  <c r="O468" i="5"/>
  <c r="O6" i="5"/>
  <c r="H465" i="5"/>
  <c r="E720" i="5"/>
  <c r="K720" i="5"/>
  <c r="G720" i="5"/>
  <c r="D720" i="5"/>
  <c r="P986" i="5"/>
  <c r="E6" i="5"/>
  <c r="C10" i="5" s="1" a="1"/>
  <c r="C10" i="5" s="1"/>
  <c r="I10" i="5" s="1"/>
  <c r="L720" i="5"/>
  <c r="M6" i="5"/>
  <c r="F720" i="5"/>
  <c r="Q950" i="5"/>
  <c r="O466" i="5"/>
  <c r="L514" i="5"/>
  <c r="R950" i="5"/>
  <c r="M397" i="5"/>
  <c r="L397" i="5"/>
  <c r="R305" i="5"/>
  <c r="M466" i="5"/>
  <c r="K397" i="5"/>
  <c r="G397" i="5"/>
  <c r="D397" i="5"/>
  <c r="T929" i="5"/>
  <c r="J397" i="5"/>
  <c r="P910" i="5"/>
  <c r="F397" i="5"/>
  <c r="Q639" i="5"/>
  <c r="B702" i="5" s="1" a="1"/>
  <c r="B702" i="5" s="1"/>
  <c r="T864" i="5"/>
  <c r="R649" i="5"/>
  <c r="N397" i="5"/>
  <c r="Q856" i="5"/>
  <c r="E397" i="5"/>
  <c r="Q944" i="5"/>
  <c r="O397" i="5"/>
  <c r="S950" i="5"/>
  <c r="I397" i="5"/>
  <c r="L6" i="5"/>
  <c r="F6" i="5"/>
  <c r="N6" i="5"/>
  <c r="H514" i="5"/>
  <c r="L466" i="5"/>
  <c r="K6" i="5"/>
  <c r="Q245" i="5"/>
  <c r="B398" i="5" s="1" a="1"/>
  <c r="B398" i="5" s="1"/>
  <c r="R657" i="5"/>
  <c r="R813" i="5"/>
  <c r="T307" i="5"/>
  <c r="P308" i="5"/>
  <c r="B466" i="5" s="1" a="1"/>
  <c r="B466" i="5" s="1"/>
  <c r="T841" i="5"/>
  <c r="P797" i="5"/>
  <c r="T4" i="5"/>
  <c r="P963" i="5"/>
  <c r="T847" i="5"/>
  <c r="R856" i="5"/>
  <c r="D718" i="5"/>
  <c r="G718" i="5"/>
  <c r="T949" i="5"/>
  <c r="S744" i="5"/>
  <c r="T927" i="5"/>
  <c r="N459" i="5"/>
  <c r="R842" i="5"/>
  <c r="H460" i="5"/>
  <c r="Q807" i="5"/>
  <c r="O459" i="5"/>
  <c r="T747" i="5"/>
  <c r="F473" i="5"/>
  <c r="Q848" i="5"/>
  <c r="T906" i="5"/>
  <c r="S895" i="5"/>
  <c r="H459" i="5"/>
  <c r="Q664" i="5"/>
  <c r="Q939" i="5"/>
  <c r="L662" i="5"/>
  <c r="P799" i="5"/>
  <c r="S743" i="5"/>
  <c r="S644" i="5"/>
  <c r="T777" i="5"/>
  <c r="F662" i="5"/>
  <c r="N651" i="5"/>
  <c r="I459" i="5"/>
  <c r="L651" i="5"/>
  <c r="K459" i="5"/>
  <c r="P644" i="5"/>
  <c r="O662" i="5"/>
  <c r="Q941" i="5"/>
  <c r="E651" i="5"/>
  <c r="N718" i="5"/>
  <c r="M468" i="5"/>
  <c r="O718" i="5"/>
  <c r="J468" i="5"/>
  <c r="T633" i="5"/>
  <c r="Q744" i="5"/>
  <c r="D662" i="5"/>
  <c r="C678" i="5" s="1" a="1"/>
  <c r="C678" i="5" s="1"/>
  <c r="I678" i="5" s="1"/>
  <c r="R867" i="5"/>
  <c r="P643" i="5"/>
  <c r="Q835" i="5"/>
  <c r="N662" i="5"/>
  <c r="T853" i="5"/>
  <c r="H662" i="5"/>
  <c r="R943" i="5"/>
  <c r="R286" i="5"/>
  <c r="Q648" i="5"/>
  <c r="P318" i="5"/>
  <c r="S323" i="5"/>
  <c r="B488" i="5" s="1" a="1"/>
  <c r="B488" i="5" s="1"/>
  <c r="S894" i="5"/>
  <c r="R802" i="5"/>
  <c r="R321" i="5"/>
  <c r="P261" i="5"/>
  <c r="B410" i="5" s="1" a="1"/>
  <c r="B410" i="5" s="1"/>
  <c r="R809" i="5"/>
  <c r="K662" i="5"/>
  <c r="O462" i="5"/>
  <c r="R297" i="5"/>
  <c r="S640" i="5"/>
  <c r="R273" i="5"/>
  <c r="S985" i="5"/>
  <c r="P947" i="5"/>
  <c r="Q749" i="5"/>
  <c r="S849" i="5"/>
  <c r="R920" i="5"/>
  <c r="L462" i="5"/>
  <c r="D480" i="5"/>
  <c r="T971" i="5"/>
  <c r="T275" i="5"/>
  <c r="S341" i="5"/>
  <c r="T708" i="5"/>
  <c r="S906" i="5"/>
  <c r="S837" i="5"/>
  <c r="Q973" i="5"/>
  <c r="P806" i="5"/>
  <c r="S904" i="5"/>
  <c r="R644" i="5"/>
  <c r="P304" i="5"/>
  <c r="P917" i="5"/>
  <c r="R673" i="5"/>
  <c r="Q643" i="5"/>
  <c r="R774" i="5"/>
  <c r="E662" i="5"/>
  <c r="Q256" i="5"/>
  <c r="R764" i="5"/>
  <c r="M662" i="5"/>
  <c r="Q914" i="5"/>
  <c r="Q645" i="5"/>
  <c r="B704" i="5" s="1" a="1"/>
  <c r="B704" i="5" s="1"/>
  <c r="S936" i="5"/>
  <c r="S941" i="5"/>
  <c r="T744" i="5"/>
  <c r="P923" i="5"/>
  <c r="Q261" i="5"/>
  <c r="B411" i="5" s="1" a="1"/>
  <c r="B411" i="5" s="1"/>
  <c r="I462" i="5"/>
  <c r="P808" i="5"/>
  <c r="M473" i="5"/>
  <c r="R913" i="5"/>
  <c r="Q833" i="5"/>
  <c r="S889" i="5"/>
  <c r="R963" i="5"/>
  <c r="Q751" i="5"/>
  <c r="S643" i="5"/>
  <c r="T941" i="5"/>
  <c r="E462" i="5"/>
  <c r="F462" i="5"/>
  <c r="R835" i="5"/>
  <c r="Q696" i="5"/>
  <c r="P847" i="5"/>
  <c r="O409" i="5"/>
  <c r="G462" i="5"/>
  <c r="N480" i="5"/>
  <c r="K462" i="5"/>
  <c r="T701" i="5"/>
  <c r="T956" i="5"/>
  <c r="S774" i="5"/>
  <c r="D462" i="5"/>
  <c r="J480" i="5"/>
  <c r="O480" i="5"/>
  <c r="T249" i="5"/>
  <c r="T972" i="5"/>
  <c r="I480" i="5"/>
  <c r="R793" i="5"/>
  <c r="E473" i="5"/>
  <c r="K468" i="5"/>
  <c r="N720" i="5"/>
  <c r="T872" i="5"/>
  <c r="L468" i="5"/>
  <c r="R838" i="5"/>
  <c r="S841" i="5"/>
  <c r="M459" i="5"/>
  <c r="O473" i="5"/>
  <c r="G468" i="5"/>
  <c r="F726" i="5"/>
  <c r="O720" i="5"/>
  <c r="Q697" i="5"/>
  <c r="R643" i="5"/>
  <c r="G409" i="5"/>
  <c r="T880" i="5"/>
  <c r="S261" i="5"/>
  <c r="D398" i="5"/>
  <c r="P258" i="5"/>
  <c r="E480" i="5"/>
  <c r="P932" i="5"/>
  <c r="G459" i="5"/>
  <c r="N726" i="5"/>
  <c r="P883" i="5"/>
  <c r="K480" i="5"/>
  <c r="P871" i="5"/>
  <c r="M720" i="5"/>
  <c r="E468" i="5"/>
  <c r="C577" i="5" s="1" a="1"/>
  <c r="C577" i="5" s="1"/>
  <c r="G577" i="5" s="1"/>
  <c r="H409" i="5"/>
  <c r="I662" i="5"/>
  <c r="J662" i="5"/>
  <c r="R946" i="5"/>
  <c r="T989" i="5"/>
  <c r="H480" i="5"/>
  <c r="N462" i="5"/>
  <c r="S972" i="5"/>
  <c r="J473" i="5"/>
  <c r="J462" i="5"/>
  <c r="L480" i="5"/>
  <c r="L473" i="5"/>
  <c r="H720" i="5"/>
  <c r="D459" i="5"/>
  <c r="L726" i="5"/>
  <c r="I726" i="5"/>
  <c r="J720" i="5"/>
  <c r="P754" i="5"/>
  <c r="G460" i="5"/>
  <c r="J459" i="5"/>
  <c r="G473" i="5"/>
  <c r="E709" i="5"/>
  <c r="C728" i="5" s="1" a="1"/>
  <c r="C728" i="5" s="1"/>
  <c r="F728" i="5" s="1"/>
  <c r="N468" i="5"/>
  <c r="K726" i="5"/>
  <c r="P755" i="5"/>
  <c r="S835" i="5"/>
  <c r="T643" i="5"/>
  <c r="M409" i="5"/>
  <c r="T997" i="5"/>
  <c r="T811" i="5"/>
  <c r="S912" i="5"/>
  <c r="R781" i="5"/>
  <c r="M462" i="5"/>
  <c r="M480" i="5"/>
  <c r="T996" i="5"/>
  <c r="G480" i="5"/>
  <c r="K473" i="5"/>
  <c r="H726" i="5"/>
  <c r="N473" i="5"/>
  <c r="I473" i="5"/>
  <c r="H468" i="5"/>
  <c r="Q777" i="5"/>
  <c r="F459" i="5"/>
  <c r="H473" i="5"/>
  <c r="J460" i="5"/>
  <c r="E459" i="5"/>
  <c r="I709" i="5"/>
  <c r="D726" i="5"/>
  <c r="S927" i="5"/>
  <c r="R952" i="5"/>
  <c r="T917" i="5"/>
  <c r="Q996" i="5"/>
  <c r="Q353" i="5"/>
  <c r="S910" i="5"/>
  <c r="S826" i="5"/>
  <c r="Q291" i="5"/>
  <c r="S986" i="5"/>
  <c r="S929" i="5"/>
  <c r="R971" i="5"/>
  <c r="S633" i="5"/>
  <c r="P270" i="5"/>
  <c r="B420" i="5" s="1" a="1"/>
  <c r="B420" i="5" s="1"/>
  <c r="L456" i="5"/>
  <c r="D456" i="5"/>
  <c r="M456" i="5"/>
  <c r="J456" i="5"/>
  <c r="R756" i="5"/>
  <c r="R910" i="5"/>
  <c r="P881" i="5"/>
  <c r="O456" i="5"/>
  <c r="O726" i="5"/>
  <c r="R754" i="5"/>
  <c r="P300" i="5"/>
  <c r="B457" i="5" s="1" a="1"/>
  <c r="B457" i="5" s="1"/>
  <c r="R926" i="5"/>
  <c r="M651" i="5"/>
  <c r="J481" i="5"/>
  <c r="T353" i="5"/>
  <c r="O481" i="5"/>
  <c r="L709" i="5"/>
  <c r="H719" i="5"/>
  <c r="K451" i="5"/>
  <c r="T642" i="5"/>
  <c r="K651" i="5"/>
  <c r="N481" i="5"/>
  <c r="N709" i="5"/>
  <c r="K719" i="5"/>
  <c r="E451" i="5"/>
  <c r="H651" i="5"/>
  <c r="I451" i="5"/>
  <c r="R296" i="5"/>
  <c r="J425" i="5"/>
  <c r="K709" i="5"/>
  <c r="O719" i="5"/>
  <c r="L451" i="5"/>
  <c r="R854" i="5"/>
  <c r="N425" i="5"/>
  <c r="D709" i="5"/>
  <c r="C727" i="5" s="1" a="1"/>
  <c r="C727" i="5" s="1"/>
  <c r="I727" i="5" s="1"/>
  <c r="M719" i="5"/>
  <c r="M451" i="5"/>
  <c r="Q750" i="5"/>
  <c r="I425" i="5"/>
  <c r="O709" i="5"/>
  <c r="N719" i="5"/>
  <c r="H451" i="5"/>
  <c r="G709" i="5"/>
  <c r="O425" i="5"/>
  <c r="H709" i="5"/>
  <c r="I719" i="5"/>
  <c r="S776" i="5"/>
  <c r="O451" i="5"/>
  <c r="K398" i="5"/>
  <c r="M425" i="5"/>
  <c r="M709" i="5"/>
  <c r="E719" i="5"/>
  <c r="T286" i="5"/>
  <c r="T969" i="5"/>
  <c r="P260" i="5"/>
  <c r="B409" i="5" s="1" a="1"/>
  <c r="B409" i="5" s="1"/>
  <c r="S923" i="5"/>
  <c r="P941" i="5"/>
  <c r="S875" i="5"/>
  <c r="S994" i="5"/>
  <c r="T873" i="5"/>
  <c r="Q286" i="5"/>
  <c r="B441" i="5" s="1" a="1"/>
  <c r="B441" i="5" s="1"/>
  <c r="F703" i="5"/>
  <c r="G466" i="5"/>
  <c r="S883" i="5"/>
  <c r="E718" i="5"/>
  <c r="I703" i="5"/>
  <c r="E466" i="5"/>
  <c r="T761" i="5"/>
  <c r="T260" i="5"/>
  <c r="P832" i="5"/>
  <c r="S782" i="5"/>
  <c r="P790" i="5"/>
  <c r="R843" i="5"/>
  <c r="S861" i="5"/>
  <c r="Q889" i="5"/>
  <c r="R340" i="5"/>
  <c r="T911" i="5"/>
  <c r="P342" i="5"/>
  <c r="S959" i="5"/>
  <c r="Q320" i="5"/>
  <c r="B483" i="5" s="1" a="1"/>
  <c r="B483" i="5" s="1"/>
  <c r="R997" i="5"/>
  <c r="Q644" i="5"/>
  <c r="Q761" i="5"/>
  <c r="P773" i="5"/>
  <c r="E425" i="5"/>
  <c r="J482" i="5"/>
  <c r="P291" i="5"/>
  <c r="B447" i="5" s="1" a="1"/>
  <c r="B447" i="5" s="1"/>
  <c r="S286" i="5"/>
  <c r="T933" i="5"/>
  <c r="Q812" i="5"/>
  <c r="N452" i="5"/>
  <c r="L452" i="5"/>
  <c r="F452" i="5"/>
  <c r="G651" i="5"/>
  <c r="Q794" i="5"/>
  <c r="F651" i="5"/>
  <c r="E482" i="5"/>
  <c r="R291" i="5"/>
  <c r="D425" i="5"/>
  <c r="O482" i="5"/>
  <c r="T291" i="5"/>
  <c r="T875" i="5"/>
  <c r="Q780" i="5"/>
  <c r="T240" i="5"/>
  <c r="G703" i="5"/>
  <c r="E514" i="5"/>
  <c r="R933" i="5"/>
  <c r="M482" i="5"/>
  <c r="N482" i="5"/>
  <c r="P305" i="5"/>
  <c r="F482" i="5"/>
  <c r="S794" i="5"/>
  <c r="T855" i="5"/>
  <c r="Q800" i="5"/>
  <c r="P286" i="5"/>
  <c r="B440" i="5" s="1" a="1"/>
  <c r="B440" i="5" s="1"/>
  <c r="Q260" i="5"/>
  <c r="O703" i="5"/>
  <c r="P649" i="5"/>
  <c r="H452" i="5"/>
  <c r="M514" i="5"/>
  <c r="G482" i="5"/>
  <c r="S300" i="5"/>
  <c r="D482" i="5"/>
  <c r="N514" i="5"/>
  <c r="S880" i="5"/>
  <c r="O651" i="5"/>
  <c r="P971" i="5"/>
  <c r="T305" i="5"/>
  <c r="K482" i="5"/>
  <c r="R280" i="5"/>
  <c r="R883" i="5"/>
  <c r="G514" i="5"/>
  <c r="Q672" i="5"/>
  <c r="D514" i="5"/>
  <c r="S305" i="5"/>
  <c r="T644" i="5"/>
  <c r="P969" i="5"/>
  <c r="Q792" i="5"/>
  <c r="P809" i="5"/>
  <c r="Q948" i="5"/>
  <c r="S369" i="5"/>
  <c r="P646" i="5"/>
  <c r="S954" i="5"/>
  <c r="R353" i="5"/>
  <c r="Q929" i="5"/>
  <c r="Q897" i="5"/>
  <c r="T967" i="5"/>
  <c r="K461" i="5"/>
  <c r="F425" i="5"/>
  <c r="G481" i="5"/>
  <c r="O514" i="5"/>
  <c r="H466" i="5"/>
  <c r="J651" i="5"/>
  <c r="O469" i="5"/>
  <c r="T300" i="5"/>
  <c r="P841" i="5"/>
  <c r="S887" i="5"/>
  <c r="P312" i="5"/>
  <c r="B471" i="5" s="1" a="1"/>
  <c r="B471" i="5" s="1"/>
  <c r="S810" i="5"/>
  <c r="T785" i="5"/>
  <c r="R674" i="5"/>
  <c r="R954" i="5"/>
  <c r="J461" i="5"/>
  <c r="E469" i="5"/>
  <c r="I481" i="5"/>
  <c r="I514" i="5"/>
  <c r="I466" i="5"/>
  <c r="I651" i="5"/>
  <c r="G469" i="5"/>
  <c r="T861" i="5"/>
  <c r="R691" i="5"/>
  <c r="S971" i="5"/>
  <c r="L460" i="5"/>
  <c r="H481" i="5"/>
  <c r="J514" i="5"/>
  <c r="D466" i="5"/>
  <c r="C574" i="5" s="1" a="1"/>
  <c r="C574" i="5" s="1"/>
  <c r="F574" i="5" s="1"/>
  <c r="D469" i="5"/>
  <c r="S952" i="5"/>
  <c r="R632" i="5"/>
  <c r="P642" i="5"/>
  <c r="S963" i="5"/>
  <c r="Q658" i="5"/>
  <c r="T943" i="5"/>
  <c r="I400" i="5"/>
  <c r="Q943" i="5"/>
  <c r="Q885" i="5"/>
  <c r="Q977" i="5"/>
  <c r="R648" i="5"/>
  <c r="R889" i="5"/>
  <c r="L481" i="5"/>
  <c r="K514" i="5"/>
  <c r="P929" i="5"/>
  <c r="M481" i="5"/>
  <c r="F500" i="5"/>
  <c r="H500" i="5"/>
  <c r="F481" i="5"/>
  <c r="M718" i="5"/>
  <c r="F719" i="5"/>
  <c r="K466" i="5"/>
  <c r="E443" i="5"/>
  <c r="L443" i="5"/>
  <c r="Q871" i="5"/>
  <c r="D481" i="5"/>
  <c r="R929" i="5"/>
  <c r="N500" i="5"/>
  <c r="T932" i="5"/>
  <c r="E481" i="5"/>
  <c r="R932" i="5"/>
  <c r="S932" i="5"/>
  <c r="S933" i="5"/>
  <c r="O500" i="5"/>
  <c r="K407" i="5"/>
  <c r="K718" i="5"/>
  <c r="L719" i="5"/>
  <c r="J451" i="5"/>
  <c r="T774" i="5"/>
  <c r="P774" i="5"/>
  <c r="J400" i="5"/>
  <c r="Q296" i="5"/>
  <c r="R890" i="5"/>
  <c r="J466" i="5"/>
  <c r="L500" i="5"/>
  <c r="J718" i="5"/>
  <c r="J719" i="5"/>
  <c r="N451" i="5"/>
  <c r="E461" i="5"/>
  <c r="O461" i="5"/>
  <c r="N466" i="5"/>
  <c r="T782" i="5"/>
  <c r="Q782" i="5"/>
  <c r="Q933" i="5"/>
  <c r="G407" i="5"/>
  <c r="E726" i="5"/>
  <c r="D500" i="5"/>
  <c r="L482" i="5"/>
  <c r="I718" i="5"/>
  <c r="R718" i="5" s="1"/>
  <c r="D719" i="5"/>
  <c r="D451" i="5"/>
  <c r="G726" i="5"/>
  <c r="Q762" i="5"/>
  <c r="K424" i="5"/>
  <c r="F424" i="5"/>
  <c r="T765" i="5"/>
  <c r="P927" i="5"/>
  <c r="M500" i="5"/>
  <c r="E500" i="5"/>
  <c r="K500" i="5"/>
  <c r="H482" i="5"/>
  <c r="F451" i="5"/>
  <c r="J726" i="5"/>
  <c r="R823" i="5"/>
  <c r="S943" i="5"/>
  <c r="R994" i="5"/>
  <c r="J398" i="5"/>
  <c r="P943" i="5"/>
  <c r="Q994" i="5"/>
  <c r="D461" i="5"/>
  <c r="I443" i="5"/>
  <c r="T994" i="5"/>
  <c r="G461" i="5"/>
  <c r="J452" i="5"/>
  <c r="N443" i="5"/>
  <c r="P266" i="5"/>
  <c r="L461" i="5"/>
  <c r="S308" i="5"/>
  <c r="I452" i="5"/>
  <c r="H424" i="5"/>
  <c r="T323" i="5"/>
  <c r="T768" i="5"/>
  <c r="T268" i="5"/>
  <c r="P830" i="5"/>
  <c r="Q262" i="5"/>
  <c r="S830" i="5"/>
  <c r="Q877" i="5"/>
  <c r="T810" i="5"/>
  <c r="Q861" i="5"/>
  <c r="G424" i="5"/>
  <c r="Q323" i="5"/>
  <c r="B486" i="5" s="1" a="1"/>
  <c r="B486" i="5" s="1"/>
  <c r="T792" i="5"/>
  <c r="Q641" i="5"/>
  <c r="P856" i="5"/>
  <c r="G452" i="5"/>
  <c r="L424" i="5"/>
  <c r="R323" i="5"/>
  <c r="B487" i="5" s="1" a="1"/>
  <c r="B487" i="5" s="1"/>
  <c r="P968" i="5"/>
  <c r="Q674" i="5"/>
  <c r="P935" i="5"/>
  <c r="R261" i="5"/>
  <c r="T788" i="5"/>
  <c r="L423" i="5"/>
  <c r="S809" i="5"/>
  <c r="Q809" i="5"/>
  <c r="R951" i="5"/>
  <c r="S806" i="5"/>
  <c r="P996" i="5"/>
  <c r="R659" i="5"/>
  <c r="P320" i="5"/>
  <c r="B482" i="5" s="1" a="1"/>
  <c r="B482" i="5" s="1"/>
  <c r="P353" i="5"/>
  <c r="K479" i="5"/>
  <c r="S320" i="5"/>
  <c r="S854" i="5"/>
  <c r="Q906" i="5"/>
  <c r="H483" i="5"/>
  <c r="I456" i="5"/>
  <c r="D479" i="5"/>
  <c r="L442" i="5"/>
  <c r="K423" i="5"/>
  <c r="Q1000" i="5"/>
  <c r="P766" i="5"/>
  <c r="Q824" i="5"/>
  <c r="Q754" i="5"/>
  <c r="S864" i="5"/>
  <c r="S997" i="5"/>
  <c r="R837" i="5"/>
  <c r="Q870" i="5"/>
  <c r="S353" i="5"/>
  <c r="P811" i="5"/>
  <c r="P798" i="5"/>
  <c r="P906" i="5"/>
  <c r="R810" i="5"/>
  <c r="M452" i="5"/>
  <c r="I479" i="5"/>
  <c r="N401" i="5"/>
  <c r="R633" i="5"/>
  <c r="F458" i="5"/>
  <c r="G479" i="5"/>
  <c r="T954" i="5"/>
  <c r="J479" i="5"/>
  <c r="R341" i="5"/>
  <c r="Q797" i="5"/>
  <c r="D452" i="5"/>
  <c r="O479" i="5"/>
  <c r="F423" i="5"/>
  <c r="I441" i="5"/>
  <c r="Q883" i="5"/>
  <c r="L458" i="5"/>
  <c r="E479" i="5"/>
  <c r="P323" i="5"/>
  <c r="B485" i="5" s="1" a="1"/>
  <c r="B485" i="5" s="1"/>
  <c r="T800" i="5"/>
  <c r="K411" i="5"/>
  <c r="O404" i="5"/>
  <c r="F398" i="5"/>
  <c r="Q880" i="5"/>
  <c r="N660" i="5"/>
  <c r="H670" i="5"/>
  <c r="T794" i="5"/>
  <c r="Q992" i="5"/>
  <c r="R948" i="5"/>
  <c r="R792" i="5"/>
  <c r="R996" i="5"/>
  <c r="N444" i="5"/>
  <c r="O452" i="5"/>
  <c r="T856" i="5"/>
  <c r="T881" i="5"/>
  <c r="N479" i="5"/>
  <c r="M423" i="5"/>
  <c r="N423" i="5"/>
  <c r="T944" i="5"/>
  <c r="F479" i="5"/>
  <c r="L479" i="5"/>
  <c r="Q954" i="5"/>
  <c r="O423" i="5"/>
  <c r="N411" i="5"/>
  <c r="H404" i="5"/>
  <c r="S935" i="5"/>
  <c r="H660" i="5"/>
  <c r="D670" i="5"/>
  <c r="F443" i="5"/>
  <c r="P825" i="5"/>
  <c r="P997" i="5"/>
  <c r="Q922" i="5"/>
  <c r="R850" i="5"/>
  <c r="Q985" i="5"/>
  <c r="M479" i="5"/>
  <c r="R646" i="5"/>
  <c r="L483" i="5"/>
  <c r="T883" i="5"/>
  <c r="P810" i="5"/>
  <c r="N458" i="5"/>
  <c r="P972" i="5"/>
  <c r="H461" i="5"/>
  <c r="J411" i="5"/>
  <c r="N404" i="5"/>
  <c r="Q935" i="5"/>
  <c r="T871" i="5"/>
  <c r="K670" i="5"/>
  <c r="D443" i="5"/>
  <c r="P875" i="5"/>
  <c r="E424" i="5"/>
  <c r="K442" i="5"/>
  <c r="T646" i="5"/>
  <c r="H423" i="5"/>
  <c r="P794" i="5"/>
  <c r="R794" i="5"/>
  <c r="P990" i="5"/>
  <c r="N461" i="5"/>
  <c r="L411" i="5"/>
  <c r="J404" i="5"/>
  <c r="T935" i="5"/>
  <c r="M670" i="5"/>
  <c r="O443" i="5"/>
  <c r="P792" i="5"/>
  <c r="I504" i="5"/>
  <c r="F725" i="5"/>
  <c r="R968" i="5"/>
  <c r="D424" i="5"/>
  <c r="E452" i="5"/>
  <c r="I423" i="5"/>
  <c r="S333" i="5"/>
  <c r="K404" i="5"/>
  <c r="F461" i="5"/>
  <c r="F411" i="5"/>
  <c r="D404" i="5"/>
  <c r="R927" i="5"/>
  <c r="J670" i="5"/>
  <c r="M443" i="5"/>
  <c r="S792" i="5"/>
  <c r="S801" i="5"/>
  <c r="P983" i="5"/>
  <c r="Q774" i="5"/>
  <c r="Q637" i="5"/>
  <c r="B658" i="5" s="1" a="1"/>
  <c r="B658" i="5" s="1"/>
  <c r="Q846" i="5"/>
  <c r="P926" i="5"/>
  <c r="G423" i="5"/>
  <c r="D423" i="5"/>
  <c r="C552" i="5" s="1" a="1"/>
  <c r="C552" i="5" s="1"/>
  <c r="H552" i="5" s="1"/>
  <c r="H458" i="5"/>
  <c r="J458" i="5"/>
  <c r="P633" i="5"/>
  <c r="L404" i="5"/>
  <c r="P994" i="5"/>
  <c r="I461" i="5"/>
  <c r="M411" i="5"/>
  <c r="G404" i="5"/>
  <c r="Q927" i="5"/>
  <c r="G670" i="5"/>
  <c r="H443" i="5"/>
  <c r="I483" i="5"/>
  <c r="O458" i="5"/>
  <c r="J423" i="5"/>
  <c r="F404" i="5"/>
  <c r="T952" i="5"/>
  <c r="P757" i="5"/>
  <c r="F670" i="5"/>
  <c r="G443" i="5"/>
  <c r="R333" i="5"/>
  <c r="R327" i="5"/>
  <c r="S944" i="5"/>
  <c r="K444" i="5"/>
  <c r="R308" i="5"/>
  <c r="M401" i="5"/>
  <c r="T797" i="5"/>
  <c r="N465" i="5"/>
  <c r="F469" i="5"/>
  <c r="T798" i="5"/>
  <c r="Q650" i="5"/>
  <c r="Q346" i="5"/>
  <c r="R972" i="5"/>
  <c r="T893" i="5"/>
  <c r="Q986" i="5"/>
  <c r="Q952" i="5"/>
  <c r="P944" i="5"/>
  <c r="G444" i="5"/>
  <c r="T308" i="5"/>
  <c r="K401" i="5"/>
  <c r="K465" i="5"/>
  <c r="I469" i="5"/>
  <c r="P973" i="5"/>
  <c r="S663" i="5"/>
  <c r="Q905" i="5"/>
  <c r="S747" i="5"/>
  <c r="R319" i="5"/>
  <c r="O442" i="5"/>
  <c r="N454" i="5"/>
  <c r="Q747" i="5"/>
  <c r="T649" i="5"/>
  <c r="O725" i="5"/>
  <c r="E465" i="5"/>
  <c r="N469" i="5"/>
  <c r="S813" i="5"/>
  <c r="S243" i="5"/>
  <c r="S301" i="5"/>
  <c r="P302" i="5"/>
  <c r="B460" i="5" s="1" a="1"/>
  <c r="B460" i="5" s="1"/>
  <c r="Q280" i="5"/>
  <c r="E444" i="5"/>
  <c r="Q646" i="5"/>
  <c r="J444" i="5"/>
  <c r="M442" i="5"/>
  <c r="J428" i="5"/>
  <c r="Q649" i="5"/>
  <c r="D725" i="5"/>
  <c r="G465" i="5"/>
  <c r="M469" i="5"/>
  <c r="P767" i="5"/>
  <c r="S973" i="5"/>
  <c r="Q859" i="5"/>
  <c r="T827" i="5"/>
  <c r="D428" i="5"/>
  <c r="C555" i="5" s="1" a="1"/>
  <c r="C555" i="5" s="1"/>
  <c r="K555" i="5" s="1"/>
  <c r="D465" i="5"/>
  <c r="C573" i="5" s="1" a="1"/>
  <c r="C573" i="5" s="1"/>
  <c r="F573" i="5" s="1"/>
  <c r="J469" i="5"/>
  <c r="R784" i="5"/>
  <c r="H469" i="5"/>
  <c r="R640" i="5"/>
  <c r="P989" i="5"/>
  <c r="J465" i="5"/>
  <c r="T350" i="5"/>
  <c r="R647" i="5"/>
  <c r="M428" i="5"/>
  <c r="P763" i="5"/>
  <c r="M444" i="5"/>
  <c r="R989" i="5"/>
  <c r="Q640" i="5"/>
  <c r="B655" i="5" s="1" a="1"/>
  <c r="B655" i="5" s="1"/>
  <c r="I428" i="5"/>
  <c r="Q946" i="5"/>
  <c r="Q659" i="5"/>
  <c r="I710" i="5"/>
  <c r="O428" i="5"/>
  <c r="Q798" i="5"/>
  <c r="N710" i="5"/>
  <c r="I409" i="5"/>
  <c r="E398" i="5"/>
  <c r="F487" i="5"/>
  <c r="O704" i="5"/>
  <c r="P985" i="5"/>
  <c r="J709" i="5"/>
  <c r="T910" i="5"/>
  <c r="R864" i="5"/>
  <c r="R788" i="5"/>
  <c r="N442" i="5"/>
  <c r="I465" i="5"/>
  <c r="G494" i="5"/>
  <c r="R275" i="5"/>
  <c r="E710" i="5"/>
  <c r="E409" i="5"/>
  <c r="T885" i="5"/>
  <c r="Q300" i="5"/>
  <c r="J725" i="5"/>
  <c r="E428" i="5"/>
  <c r="P657" i="5"/>
  <c r="B671" i="5" s="1" a="1"/>
  <c r="B671" i="5" s="1"/>
  <c r="S946" i="5"/>
  <c r="R985" i="5"/>
  <c r="P864" i="5"/>
  <c r="Q912" i="5"/>
  <c r="O710" i="5"/>
  <c r="P743" i="5"/>
  <c r="G398" i="5"/>
  <c r="M487" i="5"/>
  <c r="G704" i="5"/>
  <c r="R936" i="5"/>
  <c r="Q951" i="5"/>
  <c r="M710" i="5"/>
  <c r="Q743" i="5"/>
  <c r="R243" i="5"/>
  <c r="O412" i="5"/>
  <c r="L487" i="5"/>
  <c r="T697" i="5"/>
  <c r="R349" i="5"/>
  <c r="L428" i="5"/>
  <c r="T833" i="5"/>
  <c r="S913" i="5"/>
  <c r="T247" i="5"/>
  <c r="T990" i="5"/>
  <c r="R820" i="5"/>
  <c r="J487" i="5"/>
  <c r="S996" i="5"/>
  <c r="R743" i="5"/>
  <c r="K710" i="5"/>
  <c r="S931" i="5"/>
  <c r="S881" i="5"/>
  <c r="P280" i="5"/>
  <c r="S649" i="5"/>
  <c r="R268" i="5"/>
  <c r="P340" i="5"/>
  <c r="B500" i="5" s="1" a="1"/>
  <c r="B500" i="5" s="1"/>
  <c r="T839" i="5"/>
  <c r="P648" i="5"/>
  <c r="P838" i="5"/>
  <c r="H494" i="5"/>
  <c r="T743" i="5"/>
  <c r="P647" i="5"/>
  <c r="T812" i="5"/>
  <c r="R653" i="5"/>
  <c r="Q993" i="5"/>
  <c r="T745" i="5"/>
  <c r="S891" i="5"/>
  <c r="R995" i="5"/>
  <c r="S779" i="5"/>
  <c r="Q963" i="5"/>
  <c r="T648" i="5"/>
  <c r="Q959" i="5"/>
  <c r="R320" i="5"/>
  <c r="Q947" i="5"/>
  <c r="Q633" i="5"/>
  <c r="S646" i="5"/>
  <c r="D442" i="5"/>
  <c r="T920" i="5"/>
  <c r="P696" i="5"/>
  <c r="Q240" i="5"/>
  <c r="P788" i="5"/>
  <c r="P796" i="5"/>
  <c r="S798" i="5"/>
  <c r="J710" i="5"/>
  <c r="R830" i="5"/>
  <c r="T696" i="5"/>
  <c r="Q270" i="5"/>
  <c r="B421" i="5" s="1" a="1"/>
  <c r="B421" i="5" s="1"/>
  <c r="S870" i="5"/>
  <c r="L710" i="5"/>
  <c r="Q966" i="5"/>
  <c r="T352" i="5"/>
  <c r="S828" i="5"/>
  <c r="Q306" i="5"/>
  <c r="S845" i="5"/>
  <c r="R915" i="5"/>
  <c r="S696" i="5"/>
  <c r="P275" i="5"/>
  <c r="B428" i="5" s="1" a="1"/>
  <c r="B428" i="5" s="1"/>
  <c r="F710" i="5"/>
  <c r="S948" i="5"/>
  <c r="O464" i="5"/>
  <c r="S291" i="5"/>
  <c r="Q926" i="5"/>
  <c r="T674" i="5"/>
  <c r="R746" i="5"/>
  <c r="T766" i="5"/>
  <c r="Q852" i="5"/>
  <c r="Q673" i="5"/>
  <c r="B710" i="5" s="1" a="1"/>
  <c r="B710" i="5" s="1"/>
  <c r="P242" i="5"/>
  <c r="T890" i="5"/>
  <c r="R281" i="5"/>
  <c r="P637" i="5"/>
  <c r="B657" i="5" s="1" a="1"/>
  <c r="B657" i="5" s="1"/>
  <c r="G442" i="5"/>
  <c r="G710" i="5"/>
  <c r="T297" i="5"/>
  <c r="Q899" i="5"/>
  <c r="K464" i="5"/>
  <c r="T243" i="5"/>
  <c r="P804" i="5"/>
  <c r="R244" i="5"/>
  <c r="R980" i="5"/>
  <c r="R988" i="5"/>
  <c r="Q811" i="5"/>
  <c r="P691" i="5"/>
  <c r="F464" i="5"/>
  <c r="T707" i="5"/>
  <c r="T992" i="5"/>
  <c r="T261" i="5"/>
  <c r="S772" i="5"/>
  <c r="Q791" i="5"/>
  <c r="R801" i="5"/>
  <c r="T295" i="5"/>
  <c r="S992" i="5"/>
  <c r="R970" i="5"/>
  <c r="S332" i="5"/>
  <c r="T635" i="5"/>
  <c r="S989" i="5"/>
  <c r="T296" i="5"/>
  <c r="P978" i="5"/>
  <c r="P761" i="5"/>
  <c r="P861" i="5"/>
  <c r="Q666" i="5"/>
  <c r="S844" i="5"/>
  <c r="S920" i="5"/>
  <c r="D710" i="5"/>
  <c r="H487" i="5"/>
  <c r="R697" i="5"/>
  <c r="Q647" i="5"/>
  <c r="T304" i="5"/>
  <c r="Q304" i="5"/>
  <c r="E464" i="5"/>
  <c r="T667" i="5"/>
  <c r="D464" i="5"/>
  <c r="S750" i="5"/>
  <c r="S808" i="5"/>
  <c r="P645" i="5"/>
  <c r="P800" i="5"/>
  <c r="R911" i="5"/>
  <c r="Q908" i="5"/>
  <c r="Q832" i="5"/>
  <c r="S260" i="5"/>
  <c r="Q805" i="5"/>
  <c r="Q342" i="5"/>
  <c r="F454" i="5"/>
  <c r="F428" i="5"/>
  <c r="Q955" i="5"/>
  <c r="P640" i="5"/>
  <c r="M704" i="5"/>
  <c r="T830" i="5"/>
  <c r="S697" i="5"/>
  <c r="R940" i="5"/>
  <c r="T320" i="5"/>
  <c r="P958" i="5"/>
  <c r="R789" i="5"/>
  <c r="R797" i="5"/>
  <c r="H464" i="5"/>
  <c r="T750" i="5"/>
  <c r="Q788" i="5"/>
  <c r="T799" i="5"/>
  <c r="S840" i="5"/>
  <c r="R821" i="5"/>
  <c r="T921" i="5"/>
  <c r="T814" i="5"/>
  <c r="P909" i="5"/>
  <c r="R325" i="5"/>
  <c r="S648" i="5"/>
  <c r="S790" i="5"/>
  <c r="P764" i="5"/>
  <c r="S926" i="5"/>
  <c r="R986" i="5"/>
  <c r="Q785" i="5"/>
  <c r="Q972" i="5"/>
  <c r="Q827" i="5"/>
  <c r="R369" i="5"/>
  <c r="R871" i="5"/>
  <c r="P268" i="5"/>
  <c r="T796" i="5"/>
  <c r="Q962" i="5"/>
  <c r="Q968" i="5"/>
  <c r="T640" i="5"/>
  <c r="P749" i="5"/>
  <c r="H428" i="5"/>
  <c r="P946" i="5"/>
  <c r="D487" i="5"/>
  <c r="C579" i="5" s="1" a="1"/>
  <c r="C579" i="5" s="1"/>
  <c r="N579" i="5" s="1"/>
  <c r="T659" i="5"/>
  <c r="T945" i="5"/>
  <c r="Q978" i="5"/>
  <c r="P879" i="5"/>
  <c r="R862" i="5"/>
  <c r="T965" i="5"/>
  <c r="Q308" i="5"/>
  <c r="S797" i="5"/>
  <c r="M464" i="5"/>
  <c r="P914" i="5"/>
  <c r="R881" i="5"/>
  <c r="P750" i="5"/>
  <c r="L469" i="5"/>
  <c r="S934" i="5"/>
  <c r="T805" i="5"/>
  <c r="T985" i="5"/>
  <c r="T302" i="5"/>
  <c r="R817" i="5"/>
  <c r="T918" i="5"/>
  <c r="Q878" i="5"/>
  <c r="S866" i="5"/>
  <c r="S949" i="5"/>
  <c r="R749" i="5"/>
  <c r="S326" i="5"/>
  <c r="S871" i="5"/>
  <c r="P880" i="5"/>
  <c r="P954" i="5"/>
  <c r="T858" i="5"/>
  <c r="P933" i="5"/>
  <c r="Q302" i="5"/>
  <c r="Q971" i="5"/>
  <c r="R819" i="5"/>
  <c r="R902" i="5"/>
  <c r="R240" i="5"/>
  <c r="R935" i="5"/>
  <c r="R318" i="5"/>
  <c r="S905" i="5"/>
  <c r="Q934" i="5"/>
  <c r="Q903" i="5"/>
  <c r="Q875" i="5"/>
  <c r="T262" i="5"/>
  <c r="G487" i="5"/>
  <c r="R785" i="5"/>
  <c r="Q243" i="5"/>
  <c r="D412" i="5"/>
  <c r="T647" i="5"/>
  <c r="T948" i="5"/>
  <c r="P267" i="5"/>
  <c r="P324" i="5"/>
  <c r="I464" i="5"/>
  <c r="S914" i="5"/>
  <c r="T333" i="5"/>
  <c r="T986" i="5"/>
  <c r="T245" i="5"/>
  <c r="R347" i="5"/>
  <c r="R775" i="5"/>
  <c r="Q636" i="5"/>
  <c r="Q816" i="5"/>
  <c r="Q960" i="5"/>
  <c r="P998" i="5"/>
  <c r="S312" i="5"/>
  <c r="S969" i="5"/>
  <c r="S865" i="5"/>
  <c r="S763" i="5"/>
  <c r="S977" i="5"/>
  <c r="T341" i="5"/>
  <c r="P843" i="5"/>
  <c r="P859" i="5"/>
  <c r="P893" i="5"/>
  <c r="Q881" i="5"/>
  <c r="Q864" i="5"/>
  <c r="Q810" i="5"/>
  <c r="Q275" i="5"/>
  <c r="R955" i="5"/>
  <c r="R861" i="5"/>
  <c r="R831" i="5"/>
  <c r="R833" i="5"/>
  <c r="S778" i="5"/>
  <c r="T809" i="5"/>
  <c r="Q305" i="5"/>
  <c r="T828" i="5"/>
  <c r="R780" i="5"/>
  <c r="R267" i="5"/>
  <c r="R270" i="5"/>
  <c r="S340" i="5"/>
  <c r="L396" i="5"/>
  <c r="T947" i="5"/>
  <c r="T793" i="5"/>
  <c r="R975" i="5"/>
  <c r="T312" i="5"/>
  <c r="Q341" i="5"/>
  <c r="S780" i="5"/>
  <c r="P674" i="5"/>
  <c r="Q295" i="5"/>
  <c r="S267" i="5"/>
  <c r="K460" i="5"/>
  <c r="T270" i="5"/>
  <c r="Q340" i="5"/>
  <c r="R914" i="5"/>
  <c r="O396" i="5"/>
  <c r="R947" i="5"/>
  <c r="P995" i="5"/>
  <c r="S979" i="5"/>
  <c r="T877" i="5"/>
  <c r="S978" i="5"/>
  <c r="R992" i="5"/>
  <c r="O400" i="5"/>
  <c r="M460" i="5"/>
  <c r="Q267" i="5"/>
  <c r="Q804" i="5"/>
  <c r="P352" i="5"/>
  <c r="I460" i="5"/>
  <c r="S993" i="5"/>
  <c r="T825" i="5"/>
  <c r="E407" i="5"/>
  <c r="H703" i="5"/>
  <c r="P828" i="5"/>
  <c r="R969" i="5"/>
  <c r="P744" i="5"/>
  <c r="F460" i="5"/>
  <c r="S825" i="5"/>
  <c r="P845" i="5"/>
  <c r="Q828" i="5"/>
  <c r="T931" i="5"/>
  <c r="T771" i="5"/>
  <c r="R851" i="5"/>
  <c r="P907" i="5"/>
  <c r="R635" i="5"/>
  <c r="T758" i="5"/>
  <c r="P902" i="5"/>
  <c r="P756" i="5"/>
  <c r="P697" i="5"/>
  <c r="Q931" i="5"/>
  <c r="Q242" i="5"/>
  <c r="P891" i="5"/>
  <c r="R896" i="5"/>
  <c r="R744" i="5"/>
  <c r="R993" i="5"/>
  <c r="P296" i="5"/>
  <c r="B453" i="5" s="1" a="1"/>
  <c r="B453" i="5" s="1"/>
  <c r="R782" i="5"/>
  <c r="S856" i="5"/>
  <c r="Q825" i="5"/>
  <c r="R248" i="5"/>
  <c r="D460" i="5"/>
  <c r="R804" i="5"/>
  <c r="P870" i="5"/>
  <c r="R828" i="5"/>
  <c r="S653" i="5"/>
  <c r="T988" i="5"/>
  <c r="P783" i="5"/>
  <c r="R956" i="5"/>
  <c r="P928" i="5"/>
  <c r="P698" i="5"/>
  <c r="P940" i="5"/>
  <c r="S980" i="5"/>
  <c r="S247" i="5"/>
  <c r="S791" i="5"/>
  <c r="Q876" i="5"/>
  <c r="Q857" i="5"/>
  <c r="Q312" i="5"/>
  <c r="B472" i="5" s="1" a="1"/>
  <c r="B472" i="5" s="1"/>
  <c r="P980" i="5"/>
  <c r="R798" i="5"/>
  <c r="R342" i="5"/>
  <c r="R875" i="5"/>
  <c r="S788" i="5"/>
  <c r="Q707" i="5"/>
  <c r="B726" i="5" s="1" a="1"/>
  <c r="B726" i="5" s="1"/>
  <c r="S296" i="5"/>
  <c r="K703" i="5"/>
  <c r="P701" i="5"/>
  <c r="P988" i="5"/>
  <c r="R786" i="5"/>
  <c r="Q831" i="5"/>
  <c r="R326" i="5"/>
  <c r="T321" i="5"/>
  <c r="S896" i="5"/>
  <c r="S674" i="5"/>
  <c r="S838" i="5"/>
  <c r="S938" i="5"/>
  <c r="Q745" i="5"/>
  <c r="Q803" i="5"/>
  <c r="S352" i="5"/>
  <c r="P992" i="5"/>
  <c r="S940" i="5"/>
  <c r="P955" i="5"/>
  <c r="T870" i="5"/>
  <c r="T845" i="5"/>
  <c r="T901" i="5"/>
  <c r="Q915" i="5"/>
  <c r="Q920" i="5"/>
  <c r="Q886" i="5"/>
  <c r="S304" i="5"/>
  <c r="Q823" i="5"/>
  <c r="S342" i="5"/>
  <c r="S250" i="5"/>
  <c r="Q834" i="5"/>
  <c r="R310" i="5"/>
  <c r="P780" i="5"/>
  <c r="R931" i="5"/>
  <c r="E396" i="5"/>
  <c r="C533" i="5" s="1" a="1"/>
  <c r="C533" i="5" s="1"/>
  <c r="F533" i="5" s="1"/>
  <c r="R352" i="5"/>
  <c r="P745" i="5"/>
  <c r="S995" i="5"/>
  <c r="T980" i="5"/>
  <c r="O444" i="5"/>
  <c r="T801" i="5"/>
  <c r="P911" i="5"/>
  <c r="R981" i="5"/>
  <c r="Q990" i="5"/>
  <c r="S818" i="5"/>
  <c r="S974" i="5"/>
  <c r="S966" i="5"/>
  <c r="S991" i="5"/>
  <c r="Q980" i="5"/>
  <c r="I444" i="5"/>
  <c r="R766" i="5"/>
  <c r="J464" i="5"/>
  <c r="L408" i="5"/>
  <c r="L494" i="5"/>
  <c r="J454" i="5"/>
  <c r="R958" i="5"/>
  <c r="Q910" i="5"/>
  <c r="T979" i="5"/>
  <c r="H702" i="5"/>
  <c r="M725" i="5"/>
  <c r="S244" i="5"/>
  <c r="T752" i="5"/>
  <c r="P747" i="5"/>
  <c r="S903" i="5"/>
  <c r="S667" i="5"/>
  <c r="S240" i="5"/>
  <c r="Q917" i="5"/>
  <c r="R863" i="5"/>
  <c r="R300" i="5"/>
  <c r="R868" i="5"/>
  <c r="P839" i="5"/>
  <c r="S766" i="5"/>
  <c r="Q657" i="5"/>
  <c r="S761" i="5"/>
  <c r="S919" i="5"/>
  <c r="Q896" i="5"/>
  <c r="R832" i="5"/>
  <c r="R941" i="5"/>
  <c r="R1000" i="5"/>
  <c r="S245" i="5"/>
  <c r="R978" i="5"/>
  <c r="R745" i="5"/>
  <c r="Q891" i="5"/>
  <c r="J702" i="5"/>
  <c r="T925" i="5"/>
  <c r="R304" i="5"/>
  <c r="T751" i="5"/>
  <c r="P896" i="5"/>
  <c r="S867" i="5"/>
  <c r="Q352" i="5"/>
  <c r="S860" i="5"/>
  <c r="E703" i="5"/>
  <c r="C724" i="5" s="1" a="1"/>
  <c r="C724" i="5" s="1"/>
  <c r="D724" i="5" s="1"/>
  <c r="P853" i="5"/>
  <c r="Q940" i="5"/>
  <c r="R891" i="5"/>
  <c r="R945" i="5"/>
  <c r="S297" i="5"/>
  <c r="P966" i="5"/>
  <c r="J494" i="5"/>
  <c r="P920" i="5"/>
  <c r="G702" i="5"/>
  <c r="H408" i="5"/>
  <c r="I494" i="5"/>
  <c r="T657" i="5"/>
  <c r="S673" i="5"/>
  <c r="P791" i="5"/>
  <c r="S318" i="5"/>
  <c r="R960" i="5"/>
  <c r="L405" i="5"/>
  <c r="P295" i="5"/>
  <c r="B452" i="5" s="1" a="1"/>
  <c r="B452" i="5" s="1"/>
  <c r="Q942" i="5"/>
  <c r="P852" i="5"/>
  <c r="F444" i="5"/>
  <c r="Q776" i="5"/>
  <c r="Q766" i="5"/>
  <c r="T904" i="5"/>
  <c r="S242" i="5"/>
  <c r="D494" i="5"/>
  <c r="C583" i="5" s="1" a="1"/>
  <c r="C583" i="5" s="1"/>
  <c r="L583" i="5" s="1"/>
  <c r="S701" i="5"/>
  <c r="H454" i="5"/>
  <c r="T791" i="5"/>
  <c r="T318" i="5"/>
  <c r="D702" i="5"/>
  <c r="D405" i="5"/>
  <c r="C544" i="5" s="1" a="1"/>
  <c r="C544" i="5" s="1"/>
  <c r="F544" i="5" s="1"/>
  <c r="K725" i="5"/>
  <c r="T926" i="5"/>
  <c r="S295" i="5"/>
  <c r="P319" i="5"/>
  <c r="B480" i="5" s="1" a="1"/>
  <c r="B480" i="5" s="1"/>
  <c r="S843" i="5"/>
  <c r="Q653" i="5"/>
  <c r="T267" i="5"/>
  <c r="T902" i="5"/>
  <c r="R845" i="5"/>
  <c r="S988" i="5"/>
  <c r="F702" i="5"/>
  <c r="S268" i="5"/>
  <c r="P297" i="5"/>
  <c r="B454" i="5" s="1" a="1"/>
  <c r="B454" i="5" s="1"/>
  <c r="J703" i="5"/>
  <c r="N703" i="5"/>
  <c r="P823" i="5"/>
  <c r="I725" i="5"/>
  <c r="Q294" i="5"/>
  <c r="T836" i="5"/>
  <c r="Q318" i="5"/>
  <c r="K702" i="5"/>
  <c r="R242" i="5"/>
  <c r="H725" i="5"/>
  <c r="R791" i="5"/>
  <c r="P1000" i="5"/>
  <c r="Q979" i="5"/>
  <c r="E486" i="5"/>
  <c r="G486" i="5"/>
  <c r="R973" i="5"/>
  <c r="S852" i="5"/>
  <c r="R776" i="5"/>
  <c r="Q904" i="5"/>
  <c r="N494" i="5"/>
  <c r="D421" i="5"/>
  <c r="C550" i="5" s="1" a="1"/>
  <c r="C550" i="5" s="1"/>
  <c r="D550" i="5" s="1"/>
  <c r="C606" i="5" s="1" a="1"/>
  <c r="C606" i="5" s="1"/>
  <c r="Q701" i="5"/>
  <c r="M454" i="5"/>
  <c r="T273" i="5"/>
  <c r="L702" i="5"/>
  <c r="F405" i="5"/>
  <c r="G725" i="5"/>
  <c r="R295" i="5"/>
  <c r="T963" i="5"/>
  <c r="Q957" i="5"/>
  <c r="R865" i="5"/>
  <c r="Q806" i="5"/>
  <c r="T772" i="5"/>
  <c r="S637" i="5"/>
  <c r="P967" i="5"/>
  <c r="P867" i="5"/>
  <c r="P801" i="5"/>
  <c r="T666" i="5"/>
  <c r="T975" i="5"/>
  <c r="S657" i="5"/>
  <c r="Q836" i="5"/>
  <c r="R637" i="5"/>
  <c r="S745" i="5"/>
  <c r="R906" i="5"/>
  <c r="P776" i="5"/>
  <c r="Q937" i="5"/>
  <c r="T823" i="5"/>
  <c r="Q297" i="5"/>
  <c r="E725" i="5"/>
  <c r="L444" i="5"/>
  <c r="D454" i="5"/>
  <c r="P904" i="5"/>
  <c r="R701" i="5"/>
  <c r="S757" i="5"/>
  <c r="R787" i="5"/>
  <c r="T915" i="5"/>
  <c r="T664" i="5"/>
  <c r="Q815" i="5"/>
  <c r="P913" i="5"/>
  <c r="R852" i="5"/>
  <c r="O486" i="5"/>
  <c r="E702" i="5"/>
  <c r="S281" i="5"/>
  <c r="S890" i="5"/>
  <c r="Q923" i="5"/>
  <c r="S915" i="5"/>
  <c r="L703" i="5"/>
  <c r="K486" i="5"/>
  <c r="R899" i="5"/>
  <c r="O421" i="5"/>
  <c r="N725" i="5"/>
  <c r="R904" i="5"/>
  <c r="P931" i="5"/>
  <c r="L421" i="5"/>
  <c r="P273" i="5"/>
  <c r="B424" i="5" s="1" a="1"/>
  <c r="B424" i="5" s="1"/>
  <c r="S855" i="5"/>
  <c r="K494" i="5"/>
  <c r="H396" i="5"/>
  <c r="T959" i="5"/>
  <c r="T804" i="5"/>
  <c r="R247" i="5"/>
  <c r="B401" i="5" s="1" a="1"/>
  <c r="B401" i="5" s="1"/>
  <c r="Q281" i="5"/>
  <c r="R666" i="5"/>
  <c r="Q784" i="5"/>
  <c r="O398" i="5"/>
  <c r="R839" i="5"/>
  <c r="I487" i="5"/>
  <c r="I442" i="5"/>
  <c r="T637" i="5"/>
  <c r="J500" i="5"/>
  <c r="Q872" i="5"/>
  <c r="S820" i="5"/>
  <c r="G396" i="5"/>
  <c r="C535" i="5" s="1" a="1"/>
  <c r="C535" i="5" s="1"/>
  <c r="K535" i="5" s="1"/>
  <c r="P768" i="5"/>
  <c r="R870" i="5"/>
  <c r="J441" i="5"/>
  <c r="E405" i="5"/>
  <c r="C545" i="5" s="1" a="1"/>
  <c r="C545" i="5" s="1"/>
  <c r="G545" i="5" s="1"/>
  <c r="T779" i="5"/>
  <c r="Q369" i="5"/>
  <c r="P827" i="5"/>
  <c r="T755" i="5"/>
  <c r="Q997" i="5"/>
  <c r="S249" i="5"/>
  <c r="R322" i="5"/>
  <c r="R966" i="5"/>
  <c r="O494" i="5"/>
  <c r="N486" i="5"/>
  <c r="T973" i="5"/>
  <c r="T281" i="5"/>
  <c r="P899" i="5"/>
  <c r="E421" i="5"/>
  <c r="L454" i="5"/>
  <c r="P813" i="5"/>
  <c r="J396" i="5"/>
  <c r="N702" i="5"/>
  <c r="G405" i="5"/>
  <c r="P247" i="5"/>
  <c r="B399" i="5" s="1" a="1"/>
  <c r="B399" i="5" s="1"/>
  <c r="P281" i="5"/>
  <c r="Q757" i="5"/>
  <c r="Q247" i="5"/>
  <c r="B400" i="5" s="1" a="1"/>
  <c r="B400" i="5" s="1"/>
  <c r="G441" i="5"/>
  <c r="P665" i="5"/>
  <c r="R760" i="5"/>
  <c r="I486" i="5"/>
  <c r="T757" i="5"/>
  <c r="Q855" i="5"/>
  <c r="P262" i="5"/>
  <c r="R667" i="5"/>
  <c r="S666" i="5"/>
  <c r="T784" i="5"/>
  <c r="M398" i="5"/>
  <c r="S839" i="5"/>
  <c r="E487" i="5"/>
  <c r="C580" i="5" s="1" a="1"/>
  <c r="C580" i="5" s="1"/>
  <c r="I580" i="5" s="1"/>
  <c r="H442" i="5"/>
  <c r="G500" i="5"/>
  <c r="T326" i="5"/>
  <c r="Q820" i="5"/>
  <c r="I396" i="5"/>
  <c r="S302" i="5"/>
  <c r="T897" i="5"/>
  <c r="H405" i="5"/>
  <c r="P653" i="5"/>
  <c r="T940" i="5"/>
  <c r="S999" i="5"/>
  <c r="T914" i="5"/>
  <c r="T891" i="5"/>
  <c r="S270" i="5"/>
  <c r="R664" i="5"/>
  <c r="P759" i="5"/>
  <c r="T342" i="5"/>
  <c r="T272" i="5"/>
  <c r="Q850" i="5"/>
  <c r="S273" i="5"/>
  <c r="F396" i="5"/>
  <c r="O702" i="5"/>
  <c r="I405" i="5"/>
  <c r="T780" i="5"/>
  <c r="S899" i="5"/>
  <c r="M494" i="5"/>
  <c r="Q813" i="5"/>
  <c r="M486" i="5"/>
  <c r="H398" i="5"/>
  <c r="Q839" i="5"/>
  <c r="F421" i="5"/>
  <c r="Q273" i="5"/>
  <c r="B425" i="5" s="1" a="1"/>
  <c r="B425" i="5" s="1"/>
  <c r="M405" i="5"/>
  <c r="P782" i="5"/>
  <c r="R857" i="5"/>
  <c r="P785" i="5"/>
  <c r="R855" i="5"/>
  <c r="R959" i="5"/>
  <c r="R262" i="5"/>
  <c r="T838" i="5"/>
  <c r="Q763" i="5"/>
  <c r="T867" i="5"/>
  <c r="P666" i="5"/>
  <c r="P890" i="5"/>
  <c r="I398" i="5"/>
  <c r="N487" i="5"/>
  <c r="F442" i="5"/>
  <c r="Q801" i="5"/>
  <c r="K428" i="5"/>
  <c r="R796" i="5"/>
  <c r="Q326" i="5"/>
  <c r="T790" i="5"/>
  <c r="T820" i="5"/>
  <c r="M396" i="5"/>
  <c r="T760" i="5"/>
  <c r="R897" i="5"/>
  <c r="K405" i="5"/>
  <c r="P333" i="5"/>
  <c r="B495" i="5" s="1" a="1"/>
  <c r="B495" i="5" s="1"/>
  <c r="Q333" i="5"/>
  <c r="Q845" i="5"/>
  <c r="D703" i="5"/>
  <c r="C723" i="5" s="1" a="1"/>
  <c r="C723" i="5" s="1"/>
  <c r="E723" i="5" s="1"/>
  <c r="S842" i="5"/>
  <c r="D444" i="5"/>
  <c r="M702" i="5"/>
  <c r="Q842" i="5"/>
  <c r="E408" i="5"/>
  <c r="T306" i="5"/>
  <c r="T852" i="5"/>
  <c r="F494" i="5"/>
  <c r="G454" i="5"/>
  <c r="H486" i="5"/>
  <c r="E454" i="5"/>
  <c r="N396" i="5"/>
  <c r="J405" i="5"/>
  <c r="S754" i="5"/>
  <c r="T242" i="5"/>
  <c r="D486" i="5"/>
  <c r="S785" i="5"/>
  <c r="P855" i="5"/>
  <c r="P959" i="5"/>
  <c r="S262" i="5"/>
  <c r="Q838" i="5"/>
  <c r="T763" i="5"/>
  <c r="Q867" i="5"/>
  <c r="K409" i="5"/>
  <c r="Q890" i="5"/>
  <c r="P824" i="5"/>
  <c r="L398" i="5"/>
  <c r="K487" i="5"/>
  <c r="E442" i="5"/>
  <c r="N428" i="5"/>
  <c r="S945" i="5"/>
  <c r="S796" i="5"/>
  <c r="S647" i="5"/>
  <c r="Q790" i="5"/>
  <c r="Q841" i="5"/>
  <c r="D396" i="5"/>
  <c r="C532" i="5" s="1" a="1"/>
  <c r="C532" i="5" s="1"/>
  <c r="M532" i="5" s="1"/>
  <c r="T826" i="5"/>
  <c r="P760" i="5"/>
  <c r="N405" i="5"/>
  <c r="S947" i="5"/>
  <c r="T340" i="5"/>
  <c r="P877" i="5"/>
  <c r="S753" i="5"/>
  <c r="Q887" i="5"/>
  <c r="R949" i="5"/>
  <c r="P327" i="5"/>
  <c r="P635" i="5"/>
  <c r="S313" i="5"/>
  <c r="T922" i="5"/>
  <c r="Q849" i="5"/>
  <c r="T889" i="5"/>
  <c r="Q665" i="5"/>
  <c r="I454" i="5"/>
  <c r="K454" i="5"/>
  <c r="P884" i="5"/>
  <c r="P673" i="5"/>
  <c r="B709" i="5" s="1" a="1"/>
  <c r="B709" i="5" s="1"/>
  <c r="S823" i="5"/>
  <c r="J486" i="5"/>
  <c r="F486" i="5"/>
  <c r="N409" i="5"/>
  <c r="R805" i="5"/>
  <c r="P945" i="5"/>
  <c r="Q760" i="5"/>
  <c r="T806" i="5"/>
  <c r="Q989" i="5"/>
  <c r="P977" i="5"/>
  <c r="Q837" i="5"/>
  <c r="H400" i="5"/>
  <c r="I407" i="5"/>
  <c r="H655" i="5"/>
  <c r="T807" i="5"/>
  <c r="S773" i="5"/>
  <c r="P892" i="5"/>
  <c r="P976" i="5"/>
  <c r="D407" i="5"/>
  <c r="C546" i="5" s="1" a="1"/>
  <c r="C546" i="5" s="1"/>
  <c r="E546" i="5" s="1"/>
  <c r="F463" i="5"/>
  <c r="R962" i="5"/>
  <c r="T888" i="5"/>
  <c r="O407" i="5"/>
  <c r="P869" i="5"/>
  <c r="S953" i="5"/>
  <c r="R876" i="5"/>
  <c r="S650" i="5"/>
  <c r="Q748" i="5"/>
  <c r="P753" i="5"/>
  <c r="R912" i="5"/>
  <c r="R306" i="5"/>
  <c r="P751" i="5"/>
  <c r="T912" i="5"/>
  <c r="M463" i="5"/>
  <c r="Q299" i="5"/>
  <c r="P769" i="5"/>
  <c r="R348" i="5"/>
  <c r="K474" i="5"/>
  <c r="T795" i="5"/>
  <c r="Q928" i="5"/>
  <c r="P639" i="5"/>
  <c r="B653" i="5" s="1" a="1"/>
  <c r="B653" i="5" s="1"/>
  <c r="T813" i="5"/>
  <c r="S819" i="5"/>
  <c r="T246" i="5"/>
  <c r="T778" i="5"/>
  <c r="T898" i="5"/>
  <c r="Q909" i="5"/>
  <c r="S800" i="5"/>
  <c r="T808" i="5"/>
  <c r="Q781" i="5"/>
  <c r="R750" i="5"/>
  <c r="R757" i="5"/>
  <c r="R768" i="5"/>
  <c r="T968" i="5"/>
  <c r="P347" i="5"/>
  <c r="S836" i="5"/>
  <c r="P833" i="5"/>
  <c r="P708" i="5"/>
  <c r="T759" i="5"/>
  <c r="T939" i="5"/>
  <c r="T832" i="5"/>
  <c r="L504" i="5"/>
  <c r="D474" i="5"/>
  <c r="J474" i="5"/>
  <c r="K463" i="5"/>
  <c r="N474" i="5"/>
  <c r="S939" i="5"/>
  <c r="Q268" i="5"/>
  <c r="Q975" i="5"/>
  <c r="R849" i="5"/>
  <c r="T998" i="5"/>
  <c r="L463" i="5"/>
  <c r="R650" i="5"/>
  <c r="P249" i="5"/>
  <c r="T749" i="5"/>
  <c r="T977" i="5"/>
  <c r="R836" i="5"/>
  <c r="T916" i="5"/>
  <c r="R826" i="5"/>
  <c r="S812" i="5"/>
  <c r="S793" i="5"/>
  <c r="P979" i="5"/>
  <c r="S682" i="5"/>
  <c r="P659" i="5"/>
  <c r="R944" i="5"/>
  <c r="R790" i="5"/>
  <c r="T324" i="5"/>
  <c r="S258" i="5"/>
  <c r="P984" i="5"/>
  <c r="S811" i="5"/>
  <c r="S831" i="5"/>
  <c r="M408" i="5"/>
  <c r="P781" i="5"/>
  <c r="T815" i="5"/>
  <c r="T781" i="5"/>
  <c r="L474" i="5"/>
  <c r="P953" i="5"/>
  <c r="Q249" i="5"/>
  <c r="K408" i="5"/>
  <c r="D463" i="5"/>
  <c r="C571" i="5" s="1" a="1"/>
  <c r="C571" i="5" s="1"/>
  <c r="F571" i="5" s="1"/>
  <c r="O408" i="5"/>
  <c r="R747" i="5"/>
  <c r="Q753" i="5"/>
  <c r="S294" i="5"/>
  <c r="P638" i="5"/>
  <c r="B651" i="5" s="1" a="1"/>
  <c r="B651" i="5" s="1"/>
  <c r="S975" i="5"/>
  <c r="E504" i="5"/>
  <c r="P872" i="5"/>
  <c r="R893" i="5"/>
  <c r="T899" i="5"/>
  <c r="S833" i="5"/>
  <c r="P849" i="5"/>
  <c r="R939" i="5"/>
  <c r="D409" i="5"/>
  <c r="I401" i="5"/>
  <c r="R249" i="5"/>
  <c r="S664" i="5"/>
  <c r="D408" i="5"/>
  <c r="S749" i="5"/>
  <c r="R977" i="5"/>
  <c r="S783" i="5"/>
  <c r="Q958" i="5"/>
  <c r="F660" i="5"/>
  <c r="Q956" i="5"/>
  <c r="S902" i="5"/>
  <c r="R818" i="5"/>
  <c r="T865" i="5"/>
  <c r="M424" i="5"/>
  <c r="P294" i="5"/>
  <c r="B451" i="5" s="1" a="1"/>
  <c r="B451" i="5" s="1"/>
  <c r="S665" i="5"/>
  <c r="Q258" i="5"/>
  <c r="S832" i="5"/>
  <c r="R928" i="5"/>
  <c r="G504" i="5"/>
  <c r="R841" i="5"/>
  <c r="S317" i="5"/>
  <c r="T822" i="5"/>
  <c r="P887" i="5"/>
  <c r="P779" i="5"/>
  <c r="P777" i="5"/>
  <c r="R924" i="5"/>
  <c r="P952" i="5"/>
  <c r="S259" i="5"/>
  <c r="P689" i="5"/>
  <c r="B719" i="5" s="1" a="1"/>
  <c r="B719" i="5" s="1"/>
  <c r="P836" i="5"/>
  <c r="Q313" i="5"/>
  <c r="B474" i="5" s="1" a="1"/>
  <c r="B474" i="5" s="1"/>
  <c r="Q819" i="5"/>
  <c r="R773" i="5"/>
  <c r="T673" i="5"/>
  <c r="R900" i="5"/>
  <c r="H474" i="5"/>
  <c r="R811" i="5"/>
  <c r="T876" i="5"/>
  <c r="H401" i="5"/>
  <c r="T895" i="5"/>
  <c r="Q244" i="5"/>
  <c r="R753" i="5"/>
  <c r="S859" i="5"/>
  <c r="T303" i="5"/>
  <c r="R302" i="5"/>
  <c r="T849" i="5"/>
  <c r="P939" i="5"/>
  <c r="F409" i="5"/>
  <c r="N408" i="5"/>
  <c r="R665" i="5"/>
  <c r="R982" i="5"/>
  <c r="P844" i="5"/>
  <c r="S955" i="5"/>
  <c r="Q995" i="5"/>
  <c r="R751" i="5"/>
  <c r="R877" i="5"/>
  <c r="P975" i="5"/>
  <c r="R759" i="5"/>
  <c r="Q998" i="5"/>
  <c r="P256" i="5"/>
  <c r="T995" i="5"/>
  <c r="S751" i="5"/>
  <c r="S877" i="5"/>
  <c r="P793" i="5"/>
  <c r="Q708" i="5"/>
  <c r="S635" i="5"/>
  <c r="Q759" i="5"/>
  <c r="S765" i="5"/>
  <c r="L409" i="5"/>
  <c r="T837" i="5"/>
  <c r="D401" i="5"/>
  <c r="C541" i="5" s="1" a="1"/>
  <c r="C541" i="5" s="1"/>
  <c r="E541" i="5" s="1"/>
  <c r="C602" i="5" s="1" a="1"/>
  <c r="C602" i="5" s="1"/>
  <c r="P664" i="5"/>
  <c r="T256" i="5"/>
  <c r="T843" i="5"/>
  <c r="I408" i="5"/>
  <c r="T819" i="5"/>
  <c r="Q799" i="5"/>
  <c r="R783" i="5"/>
  <c r="E660" i="5"/>
  <c r="C675" i="5" s="1" a="1"/>
  <c r="C675" i="5" s="1"/>
  <c r="D675" i="5" s="1"/>
  <c r="S956" i="5"/>
  <c r="Q902" i="5"/>
  <c r="Q818" i="5"/>
  <c r="Q865" i="5"/>
  <c r="P346" i="5"/>
  <c r="N424" i="5"/>
  <c r="R294" i="5"/>
  <c r="T665" i="5"/>
  <c r="R258" i="5"/>
  <c r="M504" i="5"/>
  <c r="T746" i="5"/>
  <c r="T924" i="5"/>
  <c r="E474" i="5"/>
  <c r="G463" i="5"/>
  <c r="P876" i="5"/>
  <c r="H463" i="5"/>
  <c r="R287" i="5"/>
  <c r="S928" i="5"/>
  <c r="T913" i="5"/>
  <c r="S781" i="5"/>
  <c r="M474" i="5"/>
  <c r="S815" i="5"/>
  <c r="O401" i="5"/>
  <c r="I474" i="5"/>
  <c r="S708" i="5"/>
  <c r="S759" i="5"/>
  <c r="S998" i="5"/>
  <c r="J401" i="5"/>
  <c r="Q783" i="5"/>
  <c r="O660" i="5"/>
  <c r="I463" i="5"/>
  <c r="T818" i="5"/>
  <c r="T294" i="5"/>
  <c r="R957" i="5"/>
  <c r="T951" i="5"/>
  <c r="T654" i="5"/>
  <c r="R708" i="5"/>
  <c r="P765" i="5"/>
  <c r="P341" i="5"/>
  <c r="Q635" i="5"/>
  <c r="S1000" i="5"/>
  <c r="P805" i="5"/>
  <c r="G401" i="5"/>
  <c r="R256" i="5"/>
  <c r="Q893" i="5"/>
  <c r="R799" i="5"/>
  <c r="S698" i="5"/>
  <c r="G410" i="5"/>
  <c r="R245" i="5"/>
  <c r="K660" i="5"/>
  <c r="P956" i="5"/>
  <c r="R938" i="5"/>
  <c r="T346" i="5"/>
  <c r="I424" i="5"/>
  <c r="T978" i="5"/>
  <c r="T258" i="5"/>
  <c r="D504" i="5"/>
  <c r="C586" i="5" s="1" a="1"/>
  <c r="C586" i="5" s="1"/>
  <c r="I586" i="5" s="1"/>
  <c r="T957" i="5"/>
  <c r="T691" i="5"/>
  <c r="T993" i="5"/>
  <c r="T869" i="5"/>
  <c r="R263" i="5"/>
  <c r="S784" i="5"/>
  <c r="S851" i="5"/>
  <c r="J463" i="5"/>
  <c r="M410" i="5"/>
  <c r="L660" i="5"/>
  <c r="R346" i="5"/>
  <c r="T764" i="5"/>
  <c r="T960" i="5"/>
  <c r="R761" i="5"/>
  <c r="P632" i="5"/>
  <c r="P837" i="5"/>
  <c r="S824" i="5"/>
  <c r="R987" i="5"/>
  <c r="Q961" i="5"/>
  <c r="S805" i="5"/>
  <c r="J660" i="5"/>
  <c r="S346" i="5"/>
  <c r="S804" i="5"/>
  <c r="T829" i="5"/>
  <c r="F474" i="5"/>
  <c r="J407" i="5"/>
  <c r="O463" i="5"/>
  <c r="N463" i="5"/>
  <c r="S961" i="5"/>
  <c r="F401" i="5"/>
  <c r="Q949" i="5"/>
  <c r="P888" i="5"/>
  <c r="F504" i="5"/>
  <c r="T946" i="5"/>
  <c r="T1000" i="5"/>
  <c r="E401" i="5"/>
  <c r="C542" i="5" s="1" a="1"/>
  <c r="C542" i="5" s="1"/>
  <c r="O542" i="5" s="1"/>
  <c r="P949" i="5"/>
  <c r="P287" i="5"/>
  <c r="B442" i="5" s="1" a="1"/>
  <c r="B442" i="5" s="1"/>
  <c r="M458" i="5"/>
  <c r="D410" i="5"/>
  <c r="Q796" i="5"/>
  <c r="P245" i="5"/>
  <c r="B397" i="5" s="1" a="1"/>
  <c r="B397" i="5" s="1"/>
  <c r="D505" i="5"/>
  <c r="R979" i="5"/>
  <c r="S760" i="5"/>
  <c r="O504" i="5"/>
  <c r="Q255" i="5"/>
  <c r="B404" i="5" s="1" a="1"/>
  <c r="B404" i="5" s="1"/>
  <c r="T672" i="5"/>
  <c r="G483" i="5"/>
  <c r="P961" i="5"/>
  <c r="T776" i="5"/>
  <c r="P240" i="5"/>
  <c r="E458" i="5"/>
  <c r="T955" i="5"/>
  <c r="I410" i="5"/>
  <c r="R925" i="5"/>
  <c r="I660" i="5"/>
  <c r="N655" i="5"/>
  <c r="I505" i="5"/>
  <c r="K668" i="5"/>
  <c r="O424" i="5"/>
  <c r="L441" i="5"/>
  <c r="P772" i="5"/>
  <c r="J504" i="5"/>
  <c r="E410" i="5"/>
  <c r="Q821" i="5"/>
  <c r="R874" i="5"/>
  <c r="F655" i="5"/>
  <c r="M660" i="5"/>
  <c r="R707" i="5"/>
  <c r="K400" i="5"/>
  <c r="R961" i="5"/>
  <c r="J410" i="5"/>
  <c r="D483" i="5"/>
  <c r="Q868" i="5"/>
  <c r="D400" i="5"/>
  <c r="C539" i="5" s="1" a="1"/>
  <c r="C539" i="5" s="1"/>
  <c r="N539" i="5" s="1"/>
  <c r="T817" i="5"/>
  <c r="T347" i="5"/>
  <c r="R921" i="5"/>
  <c r="G474" i="5"/>
  <c r="S909" i="5"/>
  <c r="N410" i="5"/>
  <c r="P313" i="5"/>
  <c r="B473" i="5" s="1" a="1"/>
  <c r="B473" i="5" s="1"/>
  <c r="G655" i="5"/>
  <c r="Q756" i="5"/>
  <c r="G456" i="5"/>
  <c r="T903" i="5"/>
  <c r="R808" i="5"/>
  <c r="R922" i="5"/>
  <c r="I458" i="5"/>
  <c r="T313" i="5"/>
  <c r="O410" i="5"/>
  <c r="D660" i="5"/>
  <c r="O670" i="5"/>
  <c r="I655" i="5"/>
  <c r="S707" i="5"/>
  <c r="P350" i="5"/>
  <c r="M483" i="5"/>
  <c r="P369" i="5"/>
  <c r="B514" i="5" s="1" a="1"/>
  <c r="B514" i="5" s="1"/>
  <c r="S756" i="5"/>
  <c r="L400" i="5"/>
  <c r="E456" i="5"/>
  <c r="Q830" i="5"/>
  <c r="T280" i="5"/>
  <c r="E404" i="5"/>
  <c r="P889" i="5"/>
  <c r="R806" i="5"/>
  <c r="T905" i="5"/>
  <c r="P922" i="5"/>
  <c r="G458" i="5"/>
  <c r="R313" i="5"/>
  <c r="F410" i="5"/>
  <c r="Q327" i="5"/>
  <c r="F407" i="5"/>
  <c r="S872" i="5"/>
  <c r="I670" i="5"/>
  <c r="L655" i="5"/>
  <c r="P886" i="5"/>
  <c r="K443" i="5"/>
  <c r="Q347" i="5"/>
  <c r="G408" i="5"/>
  <c r="H505" i="5"/>
  <c r="M400" i="5"/>
  <c r="K410" i="5"/>
  <c r="F400" i="5"/>
  <c r="D458" i="5"/>
  <c r="C570" i="5" s="1" a="1"/>
  <c r="C570" i="5" s="1"/>
  <c r="K570" i="5" s="1"/>
  <c r="L407" i="5"/>
  <c r="E670" i="5"/>
  <c r="D655" i="5"/>
  <c r="S886" i="5"/>
  <c r="T896" i="5"/>
  <c r="P634" i="5"/>
  <c r="J655" i="5"/>
  <c r="R887" i="5"/>
  <c r="F483" i="5"/>
  <c r="N456" i="5"/>
  <c r="S922" i="5"/>
  <c r="P707" i="5"/>
  <c r="B725" i="5" s="1" a="1"/>
  <c r="B725" i="5" s="1"/>
  <c r="K483" i="5"/>
  <c r="E483" i="5"/>
  <c r="T756" i="5"/>
  <c r="K456" i="5"/>
  <c r="S280" i="5"/>
  <c r="M404" i="5"/>
  <c r="R905" i="5"/>
  <c r="H410" i="5"/>
  <c r="P834" i="5"/>
  <c r="J483" i="5"/>
  <c r="T369" i="5"/>
  <c r="N400" i="5"/>
  <c r="F456" i="5"/>
  <c r="R834" i="5"/>
  <c r="N407" i="5"/>
  <c r="N670" i="5"/>
  <c r="M655" i="5"/>
  <c r="R886" i="5"/>
  <c r="P962" i="5"/>
  <c r="S807" i="5"/>
  <c r="T907" i="5"/>
  <c r="E505" i="5"/>
  <c r="E655" i="5"/>
  <c r="S645" i="5"/>
  <c r="T834" i="5"/>
  <c r="H407" i="5"/>
  <c r="O655" i="5"/>
  <c r="T886" i="5"/>
  <c r="S962" i="5"/>
  <c r="T754" i="5"/>
  <c r="P820" i="5"/>
  <c r="T689" i="5"/>
  <c r="P656" i="5"/>
  <c r="B669" i="5" s="1" a="1"/>
  <c r="B669" i="5" s="1"/>
  <c r="Q770" i="5"/>
  <c r="Q290" i="5"/>
  <c r="R964" i="5"/>
  <c r="P882" i="5"/>
  <c r="S328" i="5"/>
  <c r="S695" i="5"/>
  <c r="S958" i="5"/>
  <c r="Q667" i="5"/>
  <c r="S275" i="5"/>
  <c r="S968" i="5"/>
  <c r="T966" i="5"/>
  <c r="R880" i="5"/>
  <c r="Q965" i="5"/>
  <c r="P948" i="5"/>
  <c r="P912" i="5"/>
  <c r="T789" i="5"/>
  <c r="S983" i="5"/>
  <c r="P915" i="5"/>
  <c r="Q932" i="5"/>
  <c r="Q764" i="5"/>
  <c r="Q843" i="5"/>
  <c r="S691" i="5"/>
  <c r="R696" i="5"/>
  <c r="R312" i="5"/>
  <c r="R825" i="5"/>
  <c r="T753" i="5"/>
  <c r="O483" i="5"/>
  <c r="G400" i="5"/>
  <c r="H421" i="5"/>
  <c r="T645" i="5"/>
  <c r="P243" i="5"/>
  <c r="K421" i="5"/>
  <c r="D704" i="5"/>
  <c r="T962" i="5"/>
  <c r="R930" i="5"/>
  <c r="R288" i="5"/>
  <c r="Q945" i="5"/>
  <c r="S821" i="5"/>
  <c r="F668" i="5"/>
  <c r="Q921" i="5"/>
  <c r="R800" i="5"/>
  <c r="S347" i="5"/>
  <c r="P667" i="5"/>
  <c r="R998" i="5"/>
  <c r="R909" i="5"/>
  <c r="P921" i="5"/>
  <c r="S876" i="5"/>
  <c r="S256" i="5"/>
  <c r="I704" i="5"/>
  <c r="P321" i="5"/>
  <c r="T821" i="5"/>
  <c r="S834" i="5"/>
  <c r="Q988" i="5"/>
  <c r="P326" i="5"/>
  <c r="R983" i="5"/>
  <c r="S907" i="5"/>
  <c r="G505" i="5"/>
  <c r="E668" i="5"/>
  <c r="R859" i="5"/>
  <c r="S957" i="5"/>
  <c r="R907" i="5"/>
  <c r="T909" i="5"/>
  <c r="R903" i="5"/>
  <c r="S921" i="5"/>
  <c r="N704" i="5"/>
  <c r="P821" i="5"/>
  <c r="Q983" i="5"/>
  <c r="Q907" i="5"/>
  <c r="P818" i="5"/>
  <c r="K505" i="5"/>
  <c r="P865" i="5"/>
  <c r="G668" i="5"/>
  <c r="T859" i="5"/>
  <c r="P957" i="5"/>
  <c r="T842" i="5"/>
  <c r="P842" i="5"/>
  <c r="P831" i="5"/>
  <c r="T770" i="5"/>
  <c r="R765" i="5"/>
  <c r="P815" i="5"/>
  <c r="P903" i="5"/>
  <c r="R990" i="5"/>
  <c r="P895" i="5"/>
  <c r="P905" i="5"/>
  <c r="S799" i="5"/>
  <c r="R778" i="5"/>
  <c r="T958" i="5"/>
  <c r="R844" i="5"/>
  <c r="R872" i="5"/>
  <c r="F505" i="5"/>
  <c r="S897" i="5"/>
  <c r="Q779" i="5"/>
  <c r="P817" i="5"/>
  <c r="Q817" i="5"/>
  <c r="P999" i="5"/>
  <c r="T831" i="5"/>
  <c r="R645" i="5"/>
  <c r="P770" i="5"/>
  <c r="Q765" i="5"/>
  <c r="R815" i="5"/>
  <c r="S990" i="5"/>
  <c r="T850" i="5"/>
  <c r="Q895" i="5"/>
  <c r="T319" i="5"/>
  <c r="Q778" i="5"/>
  <c r="Q844" i="5"/>
  <c r="P938" i="5"/>
  <c r="D652" i="5"/>
  <c r="C705" i="5" s="1" a="1"/>
  <c r="C705" i="5" s="1"/>
  <c r="N705" i="5" s="1"/>
  <c r="P897" i="5"/>
  <c r="S770" i="5"/>
  <c r="P778" i="5"/>
  <c r="T348" i="5"/>
  <c r="T844" i="5"/>
  <c r="T938" i="5"/>
  <c r="G652" i="5"/>
  <c r="S636" i="5"/>
  <c r="S817" i="5"/>
  <c r="S789" i="5"/>
  <c r="S850" i="5"/>
  <c r="R895" i="5"/>
  <c r="Q319" i="5"/>
  <c r="B481" i="5" s="1" a="1"/>
  <c r="B481" i="5" s="1"/>
  <c r="Q789" i="5"/>
  <c r="S965" i="5"/>
  <c r="T999" i="5"/>
  <c r="R770" i="5"/>
  <c r="P695" i="5"/>
  <c r="P850" i="5"/>
  <c r="S893" i="5"/>
  <c r="S319" i="5"/>
  <c r="R812" i="5"/>
  <c r="Q348" i="5"/>
  <c r="Q938" i="5"/>
  <c r="F652" i="5"/>
  <c r="R636" i="5"/>
  <c r="T887" i="5"/>
  <c r="S951" i="5"/>
  <c r="K504" i="5"/>
  <c r="Q999" i="5"/>
  <c r="R999" i="5"/>
  <c r="P789" i="5"/>
  <c r="P965" i="5"/>
  <c r="Q695" i="5"/>
  <c r="Q634" i="5"/>
  <c r="S758" i="5"/>
  <c r="P812" i="5"/>
  <c r="S348" i="5"/>
  <c r="S253" i="5"/>
  <c r="M652" i="5"/>
  <c r="P826" i="5"/>
  <c r="S306" i="5"/>
  <c r="P636" i="5"/>
  <c r="B662" i="5" s="1" a="1"/>
  <c r="B662" i="5" s="1"/>
  <c r="P951" i="5"/>
  <c r="P253" i="5"/>
  <c r="R965" i="5"/>
  <c r="R840" i="5"/>
  <c r="Q918" i="5"/>
  <c r="L488" i="5"/>
  <c r="T695" i="5"/>
  <c r="S634" i="5"/>
  <c r="R758" i="5"/>
  <c r="T253" i="5"/>
  <c r="Q829" i="5"/>
  <c r="E652" i="5"/>
  <c r="C706" i="5" s="1" a="1"/>
  <c r="C706" i="5" s="1"/>
  <c r="E706" i="5" s="1"/>
  <c r="Q826" i="5"/>
  <c r="P306" i="5"/>
  <c r="P936" i="5"/>
  <c r="R663" i="5"/>
  <c r="Q772" i="5"/>
  <c r="R634" i="5"/>
  <c r="T634" i="5"/>
  <c r="Q758" i="5"/>
  <c r="T287" i="5"/>
  <c r="E495" i="5"/>
  <c r="S659" i="5"/>
  <c r="T937" i="5"/>
  <c r="Q253" i="5"/>
  <c r="T748" i="5"/>
  <c r="P829" i="5"/>
  <c r="I652" i="5"/>
  <c r="T936" i="5"/>
  <c r="Q663" i="5"/>
  <c r="P901" i="5"/>
  <c r="R772" i="5"/>
  <c r="R882" i="5"/>
  <c r="N504" i="5"/>
  <c r="Q689" i="5"/>
  <c r="B720" i="5" s="1" a="1"/>
  <c r="B720" i="5" s="1"/>
  <c r="H652" i="5"/>
  <c r="O406" i="5"/>
  <c r="J488" i="5"/>
  <c r="T991" i="5"/>
  <c r="S287" i="5"/>
  <c r="J495" i="5"/>
  <c r="P937" i="5"/>
  <c r="P762" i="5"/>
  <c r="R748" i="5"/>
  <c r="S829" i="5"/>
  <c r="L652" i="5"/>
  <c r="T862" i="5"/>
  <c r="Q936" i="5"/>
  <c r="R324" i="5"/>
  <c r="Q901" i="5"/>
  <c r="T882" i="5"/>
  <c r="S324" i="5"/>
  <c r="R898" i="5"/>
  <c r="Q866" i="5"/>
  <c r="Q882" i="5"/>
  <c r="S846" i="5"/>
  <c r="S641" i="5"/>
  <c r="R937" i="5"/>
  <c r="D406" i="5"/>
  <c r="P246" i="5"/>
  <c r="T762" i="5"/>
  <c r="L406" i="5"/>
  <c r="G464" i="5"/>
  <c r="T767" i="5"/>
  <c r="P862" i="5"/>
  <c r="Q324" i="5"/>
  <c r="P898" i="5"/>
  <c r="T866" i="5"/>
  <c r="S764" i="5"/>
  <c r="T846" i="5"/>
  <c r="T641" i="5"/>
  <c r="R829" i="5"/>
  <c r="S748" i="5"/>
  <c r="S689" i="5"/>
  <c r="R918" i="5"/>
  <c r="T878" i="5"/>
  <c r="P846" i="5"/>
  <c r="P748" i="5"/>
  <c r="R641" i="5"/>
  <c r="N421" i="5"/>
  <c r="E460" i="5"/>
  <c r="R246" i="5"/>
  <c r="M421" i="5"/>
  <c r="P641" i="5"/>
  <c r="T923" i="5"/>
  <c r="Q869" i="5"/>
  <c r="P964" i="5"/>
  <c r="T824" i="5"/>
  <c r="R984" i="5"/>
  <c r="G421" i="5"/>
  <c r="S272" i="5"/>
  <c r="G495" i="5"/>
  <c r="T783" i="5"/>
  <c r="Q802" i="5"/>
  <c r="P663" i="5"/>
  <c r="T816" i="5"/>
  <c r="Q350" i="5"/>
  <c r="T656" i="5"/>
  <c r="P786" i="5"/>
  <c r="R923" i="5"/>
  <c r="R807" i="5"/>
  <c r="I406" i="5"/>
  <c r="Q911" i="5"/>
  <c r="D411" i="5"/>
  <c r="T299" i="5"/>
  <c r="D488" i="5"/>
  <c r="S307" i="5"/>
  <c r="P993" i="5"/>
  <c r="P290" i="5"/>
  <c r="Q969" i="5"/>
  <c r="R869" i="5"/>
  <c r="R328" i="5"/>
  <c r="P784" i="5"/>
  <c r="S964" i="5"/>
  <c r="R260" i="5"/>
  <c r="R824" i="5"/>
  <c r="S853" i="5"/>
  <c r="T908" i="5"/>
  <c r="E412" i="5"/>
  <c r="P819" i="5"/>
  <c r="I421" i="5"/>
  <c r="R272" i="5"/>
  <c r="P250" i="5"/>
  <c r="N495" i="5"/>
  <c r="Q773" i="5"/>
  <c r="S327" i="5"/>
  <c r="P925" i="5"/>
  <c r="Q266" i="5"/>
  <c r="P814" i="5"/>
  <c r="R259" i="5"/>
  <c r="R974" i="5"/>
  <c r="R888" i="5"/>
  <c r="T857" i="5"/>
  <c r="R848" i="5"/>
  <c r="R919" i="5"/>
  <c r="T769" i="5"/>
  <c r="S898" i="5"/>
  <c r="P930" i="5"/>
  <c r="R873" i="5"/>
  <c r="R916" i="5"/>
  <c r="T928" i="5"/>
  <c r="Q752" i="5"/>
  <c r="P802" i="5"/>
  <c r="P803" i="5"/>
  <c r="T653" i="5"/>
  <c r="P840" i="5"/>
  <c r="Q991" i="5"/>
  <c r="E488" i="5"/>
  <c r="S862" i="5"/>
  <c r="P866" i="5"/>
  <c r="H488" i="5"/>
  <c r="S984" i="5"/>
  <c r="S878" i="5"/>
  <c r="Q814" i="5"/>
  <c r="R656" i="5"/>
  <c r="N460" i="5"/>
  <c r="S290" i="5"/>
  <c r="Q924" i="5"/>
  <c r="N464" i="5"/>
  <c r="Q898" i="5"/>
  <c r="Q656" i="5"/>
  <c r="B670" i="5" s="1" a="1"/>
  <c r="B670" i="5" s="1"/>
  <c r="S786" i="5"/>
  <c r="S847" i="5"/>
  <c r="E406" i="5"/>
  <c r="P307" i="5"/>
  <c r="B465" i="5" s="1" a="1"/>
  <c r="B465" i="5" s="1"/>
  <c r="T259" i="5"/>
  <c r="P816" i="5"/>
  <c r="S350" i="5"/>
  <c r="S656" i="5"/>
  <c r="T786" i="5"/>
  <c r="P807" i="5"/>
  <c r="F406" i="5"/>
  <c r="S911" i="5"/>
  <c r="G411" i="5"/>
  <c r="S982" i="5"/>
  <c r="S299" i="5"/>
  <c r="O488" i="5"/>
  <c r="Q307" i="5"/>
  <c r="R290" i="5"/>
  <c r="S869" i="5"/>
  <c r="P328" i="5"/>
  <c r="B489" i="5" s="1" a="1"/>
  <c r="B489" i="5" s="1"/>
  <c r="P672" i="5"/>
  <c r="T964" i="5"/>
  <c r="Q853" i="5"/>
  <c r="S908" i="5"/>
  <c r="T900" i="5"/>
  <c r="G412" i="5"/>
  <c r="Q272" i="5"/>
  <c r="Q250" i="5"/>
  <c r="L495" i="5"/>
  <c r="T773" i="5"/>
  <c r="P682" i="5"/>
  <c r="B717" i="5" s="1" a="1"/>
  <c r="B717" i="5" s="1"/>
  <c r="T327" i="5"/>
  <c r="Q925" i="5"/>
  <c r="T266" i="5"/>
  <c r="Q317" i="5"/>
  <c r="P851" i="5"/>
  <c r="Q259" i="5"/>
  <c r="B408" i="5" s="1" a="1"/>
  <c r="B408" i="5" s="1"/>
  <c r="Q974" i="5"/>
  <c r="R885" i="5"/>
  <c r="S888" i="5"/>
  <c r="D668" i="5"/>
  <c r="P857" i="5"/>
  <c r="S848" i="5"/>
  <c r="T919" i="5"/>
  <c r="R658" i="5"/>
  <c r="S769" i="5"/>
  <c r="M441" i="5"/>
  <c r="T930" i="5"/>
  <c r="Q873" i="5"/>
  <c r="P916" i="5"/>
  <c r="S752" i="5"/>
  <c r="S802" i="5"/>
  <c r="T803" i="5"/>
  <c r="T636" i="5"/>
  <c r="G488" i="5"/>
  <c r="S767" i="5"/>
  <c r="Q862" i="5"/>
  <c r="R878" i="5"/>
  <c r="P878" i="5"/>
  <c r="S814" i="5"/>
  <c r="R847" i="5"/>
  <c r="L412" i="5"/>
  <c r="P858" i="5"/>
  <c r="Q984" i="5"/>
  <c r="J412" i="5"/>
  <c r="P272" i="5"/>
  <c r="B423" i="5" s="1" a="1"/>
  <c r="B423" i="5" s="1"/>
  <c r="D495" i="5"/>
  <c r="C584" i="5" s="1" a="1"/>
  <c r="C584" i="5" s="1"/>
  <c r="D584" i="5" s="1"/>
  <c r="C610" i="5" s="1" a="1"/>
  <c r="C610" i="5" s="1"/>
  <c r="P974" i="5"/>
  <c r="R814" i="5"/>
  <c r="S857" i="5"/>
  <c r="P919" i="5"/>
  <c r="T328" i="5"/>
  <c r="Q964" i="5"/>
  <c r="Q900" i="5"/>
  <c r="P658" i="5"/>
  <c r="H441" i="5"/>
  <c r="S916" i="5"/>
  <c r="R350" i="5"/>
  <c r="Q786" i="5"/>
  <c r="R795" i="5"/>
  <c r="R307" i="5"/>
  <c r="R672" i="5"/>
  <c r="R853" i="5"/>
  <c r="P900" i="5"/>
  <c r="F412" i="5"/>
  <c r="E704" i="5"/>
  <c r="T250" i="5"/>
  <c r="M495" i="5"/>
  <c r="T775" i="5"/>
  <c r="Q638" i="5"/>
  <c r="B652" i="5" s="1" a="1"/>
  <c r="B652" i="5" s="1"/>
  <c r="Q682" i="5"/>
  <c r="B718" i="5" s="1" a="1"/>
  <c r="B718" i="5" s="1"/>
  <c r="Q987" i="5"/>
  <c r="S925" i="5"/>
  <c r="R266" i="5"/>
  <c r="S746" i="5"/>
  <c r="R317" i="5"/>
  <c r="Q851" i="5"/>
  <c r="R654" i="5"/>
  <c r="T884" i="5"/>
  <c r="S885" i="5"/>
  <c r="Q888" i="5"/>
  <c r="M668" i="5"/>
  <c r="Q332" i="5"/>
  <c r="Q970" i="5"/>
  <c r="Q288" i="5"/>
  <c r="B444" i="5" s="1" a="1"/>
  <c r="B444" i="5" s="1"/>
  <c r="T848" i="5"/>
  <c r="S255" i="5"/>
  <c r="B406" i="5" s="1" a="1"/>
  <c r="B406" i="5" s="1"/>
  <c r="T658" i="5"/>
  <c r="T942" i="5"/>
  <c r="F441" i="5"/>
  <c r="P981" i="5"/>
  <c r="S930" i="5"/>
  <c r="S873" i="5"/>
  <c r="Q916" i="5"/>
  <c r="P752" i="5"/>
  <c r="T802" i="5"/>
  <c r="S803" i="5"/>
  <c r="T663" i="5"/>
  <c r="P991" i="5"/>
  <c r="P918" i="5"/>
  <c r="S882" i="5"/>
  <c r="R689" i="5"/>
  <c r="R846" i="5"/>
  <c r="S777" i="5"/>
  <c r="S937" i="5"/>
  <c r="R858" i="5"/>
  <c r="F488" i="5"/>
  <c r="Q328" i="5"/>
  <c r="P924" i="5"/>
  <c r="R250" i="5"/>
  <c r="R752" i="5"/>
  <c r="R816" i="5"/>
  <c r="T248" i="5"/>
  <c r="Q822" i="5"/>
  <c r="R908" i="5"/>
  <c r="O495" i="5"/>
  <c r="S981" i="5"/>
  <c r="G406" i="5"/>
  <c r="H411" i="5"/>
  <c r="Q976" i="5"/>
  <c r="P908" i="5"/>
  <c r="S816" i="5"/>
  <c r="Q248" i="5"/>
  <c r="P822" i="5"/>
  <c r="Q894" i="5"/>
  <c r="P863" i="5"/>
  <c r="P795" i="5"/>
  <c r="E411" i="5"/>
  <c r="Q349" i="5"/>
  <c r="Q982" i="5"/>
  <c r="P299" i="5"/>
  <c r="B456" i="5" s="1" a="1"/>
  <c r="B456" i="5" s="1"/>
  <c r="Q263" i="5"/>
  <c r="B413" i="5" s="1" a="1"/>
  <c r="B413" i="5" s="1"/>
  <c r="T310" i="5"/>
  <c r="T860" i="5"/>
  <c r="R771" i="5"/>
  <c r="S672" i="5"/>
  <c r="T879" i="5"/>
  <c r="T976" i="5"/>
  <c r="P874" i="5"/>
  <c r="S900" i="5"/>
  <c r="I412" i="5"/>
  <c r="Q301" i="5"/>
  <c r="B459" i="5" s="1" a="1"/>
  <c r="B459" i="5" s="1"/>
  <c r="H704" i="5"/>
  <c r="S775" i="5"/>
  <c r="R638" i="5"/>
  <c r="R682" i="5"/>
  <c r="T787" i="5"/>
  <c r="P987" i="5"/>
  <c r="S266" i="5"/>
  <c r="P746" i="5"/>
  <c r="S322" i="5"/>
  <c r="T317" i="5"/>
  <c r="T851" i="5"/>
  <c r="S654" i="5"/>
  <c r="Q884" i="5"/>
  <c r="P885" i="5"/>
  <c r="M505" i="5"/>
  <c r="I668" i="5"/>
  <c r="R332" i="5"/>
  <c r="S970" i="5"/>
  <c r="S288" i="5"/>
  <c r="P848" i="5"/>
  <c r="P255" i="5"/>
  <c r="B403" i="5" s="1" a="1"/>
  <c r="B403" i="5" s="1"/>
  <c r="S658" i="5"/>
  <c r="R942" i="5"/>
  <c r="D441" i="5"/>
  <c r="Q981" i="5"/>
  <c r="Q930" i="5"/>
  <c r="P873" i="5"/>
  <c r="Q892" i="5"/>
  <c r="Q303" i="5"/>
  <c r="B462" i="5" s="1" a="1"/>
  <c r="B462" i="5" s="1"/>
  <c r="P758" i="5"/>
  <c r="T840" i="5"/>
  <c r="M488" i="5"/>
  <c r="K406" i="5"/>
  <c r="T984" i="5"/>
  <c r="Q287" i="5"/>
  <c r="R762" i="5"/>
  <c r="Q767" i="5"/>
  <c r="S901" i="5"/>
  <c r="P325" i="5"/>
  <c r="R767" i="5"/>
  <c r="Q847" i="5"/>
  <c r="N406" i="5"/>
  <c r="P259" i="5"/>
  <c r="B407" i="5" s="1" a="1"/>
  <c r="B407" i="5" s="1"/>
  <c r="Q769" i="5"/>
  <c r="R866" i="5"/>
  <c r="T290" i="5"/>
  <c r="R769" i="5"/>
  <c r="P317" i="5"/>
  <c r="T974" i="5"/>
  <c r="S248" i="5"/>
  <c r="S822" i="5"/>
  <c r="R299" i="5"/>
  <c r="P854" i="5"/>
  <c r="Q632" i="5"/>
  <c r="P248" i="5"/>
  <c r="R822" i="5"/>
  <c r="P894" i="5"/>
  <c r="S863" i="5"/>
  <c r="S795" i="5"/>
  <c r="O411" i="5"/>
  <c r="S349" i="5"/>
  <c r="T982" i="5"/>
  <c r="R953" i="5"/>
  <c r="T868" i="5"/>
  <c r="S263" i="5"/>
  <c r="S310" i="5"/>
  <c r="P860" i="5"/>
  <c r="S771" i="5"/>
  <c r="S879" i="5"/>
  <c r="R976" i="5"/>
  <c r="S967" i="5"/>
  <c r="T874" i="5"/>
  <c r="R934" i="5"/>
  <c r="H412" i="5"/>
  <c r="R301" i="5"/>
  <c r="L704" i="5"/>
  <c r="T698" i="5"/>
  <c r="Q775" i="5"/>
  <c r="T638" i="5"/>
  <c r="T682" i="5"/>
  <c r="P787" i="5"/>
  <c r="T987" i="5"/>
  <c r="T639" i="5"/>
  <c r="Q746" i="5"/>
  <c r="P322" i="5"/>
  <c r="B484" i="5" s="1" a="1"/>
  <c r="B484" i="5" s="1"/>
  <c r="P654" i="5"/>
  <c r="B668" i="5" s="1" a="1"/>
  <c r="B668" i="5" s="1"/>
  <c r="S884" i="5"/>
  <c r="J505" i="5"/>
  <c r="N668" i="5"/>
  <c r="T332" i="5"/>
  <c r="T970" i="5"/>
  <c r="P288" i="5"/>
  <c r="B443" i="5" s="1" a="1"/>
  <c r="B443" i="5" s="1"/>
  <c r="T255" i="5"/>
  <c r="P942" i="5"/>
  <c r="O441" i="5"/>
  <c r="T981" i="5"/>
  <c r="Q755" i="5"/>
  <c r="R892" i="5"/>
  <c r="S303" i="5"/>
  <c r="B464" i="5" s="1" a="1"/>
  <c r="B464" i="5" s="1"/>
  <c r="Q840" i="5"/>
  <c r="N488" i="5"/>
  <c r="R695" i="5"/>
  <c r="N652" i="5"/>
  <c r="S918" i="5"/>
  <c r="Q325" i="5"/>
  <c r="R991" i="5"/>
  <c r="J652" i="5"/>
  <c r="Q858" i="5"/>
  <c r="H495" i="5"/>
  <c r="S924" i="5"/>
  <c r="I488" i="5"/>
  <c r="Q795" i="5"/>
  <c r="S987" i="5"/>
  <c r="R803" i="5"/>
  <c r="P982" i="5"/>
  <c r="T854" i="5"/>
  <c r="S632" i="5"/>
  <c r="T894" i="5"/>
  <c r="Q863" i="5"/>
  <c r="T349" i="5"/>
  <c r="Q953" i="5"/>
  <c r="P868" i="5"/>
  <c r="P263" i="5"/>
  <c r="B412" i="5" s="1" a="1"/>
  <c r="B412" i="5" s="1"/>
  <c r="Q310" i="5"/>
  <c r="B469" i="5" s="1" a="1"/>
  <c r="B469" i="5" s="1"/>
  <c r="Q860" i="5"/>
  <c r="Q771" i="5"/>
  <c r="R879" i="5"/>
  <c r="S976" i="5"/>
  <c r="S917" i="5"/>
  <c r="Q967" i="5"/>
  <c r="Q874" i="5"/>
  <c r="P934" i="5"/>
  <c r="M412" i="5"/>
  <c r="T301" i="5"/>
  <c r="P303" i="5"/>
  <c r="B461" i="5" s="1" a="1"/>
  <c r="B461" i="5" s="1"/>
  <c r="F704" i="5"/>
  <c r="R698" i="5"/>
  <c r="Q321" i="5"/>
  <c r="P775" i="5"/>
  <c r="S638" i="5"/>
  <c r="T244" i="5"/>
  <c r="Q787" i="5"/>
  <c r="R639" i="5"/>
  <c r="T322" i="5"/>
  <c r="Q654" i="5"/>
  <c r="R884" i="5"/>
  <c r="S827" i="5"/>
  <c r="O505" i="5"/>
  <c r="T650" i="5"/>
  <c r="L668" i="5"/>
  <c r="P332" i="5"/>
  <c r="B494" i="5" s="1" a="1"/>
  <c r="B494" i="5" s="1"/>
  <c r="P970" i="5"/>
  <c r="T288" i="5"/>
  <c r="S768" i="5"/>
  <c r="R255" i="5"/>
  <c r="B405" i="5" s="1" a="1"/>
  <c r="B405" i="5" s="1"/>
  <c r="P960" i="5"/>
  <c r="S942" i="5"/>
  <c r="N441" i="5"/>
  <c r="R755" i="5"/>
  <c r="S892" i="5"/>
  <c r="R303" i="5"/>
  <c r="B463" i="5" s="1" a="1"/>
  <c r="B463" i="5" s="1"/>
  <c r="P348" i="5"/>
  <c r="H406" i="5"/>
  <c r="S246" i="5"/>
  <c r="S858" i="5"/>
  <c r="I495" i="5"/>
  <c r="S762" i="5"/>
  <c r="Q246" i="5"/>
  <c r="F495" i="5"/>
  <c r="R777" i="5"/>
  <c r="Q919" i="5"/>
  <c r="K412" i="5"/>
  <c r="J668" i="5"/>
  <c r="P310" i="5"/>
  <c r="B468" i="5" s="1" a="1"/>
  <c r="B468" i="5" s="1"/>
  <c r="Q854" i="5"/>
  <c r="T632" i="5"/>
  <c r="R894" i="5"/>
  <c r="T863" i="5"/>
  <c r="P349" i="5"/>
  <c r="B505" i="5" s="1" a="1"/>
  <c r="B505" i="5" s="1"/>
  <c r="T953" i="5"/>
  <c r="S868" i="5"/>
  <c r="T263" i="5"/>
  <c r="R860" i="5"/>
  <c r="P771" i="5"/>
  <c r="Q691" i="5"/>
  <c r="Q879" i="5"/>
  <c r="R917" i="5"/>
  <c r="R967" i="5"/>
  <c r="S874" i="5"/>
  <c r="T934" i="5"/>
  <c r="Q808" i="5"/>
  <c r="F408" i="5"/>
  <c r="P301" i="5"/>
  <c r="B458" i="5" s="1" a="1"/>
  <c r="B458" i="5" s="1"/>
  <c r="Q913" i="5"/>
  <c r="K704" i="5"/>
  <c r="Q698" i="5"/>
  <c r="S321" i="5"/>
  <c r="P244" i="5"/>
  <c r="B396" i="5" s="1" a="1"/>
  <c r="B396" i="5" s="1"/>
  <c r="S787" i="5"/>
  <c r="S639" i="5"/>
  <c r="T983" i="5"/>
  <c r="Q322" i="5"/>
  <c r="R827" i="5"/>
  <c r="N505" i="5"/>
  <c r="P650" i="5"/>
  <c r="B667" i="5" s="1" a="1"/>
  <c r="B667" i="5" s="1"/>
  <c r="O668" i="5"/>
  <c r="Q768" i="5"/>
  <c r="S960" i="5"/>
  <c r="K441" i="5"/>
  <c r="S755" i="5"/>
  <c r="T892" i="5"/>
  <c r="O652" i="5"/>
  <c r="R901" i="5"/>
  <c r="T325" i="5"/>
  <c r="M406" i="5"/>
  <c r="S325" i="5"/>
  <c r="Q793" i="5"/>
  <c r="D489" i="5"/>
  <c r="O489" i="5"/>
  <c r="K489" i="5"/>
  <c r="F489" i="5"/>
  <c r="M489" i="5"/>
  <c r="L489" i="5"/>
  <c r="G489" i="5"/>
  <c r="I489" i="5"/>
  <c r="H489" i="5"/>
  <c r="N489" i="5"/>
  <c r="E489" i="5"/>
  <c r="J489" i="5"/>
  <c r="Q440" i="5"/>
  <c r="B564" i="5" s="1" a="1"/>
  <c r="B564" i="5" s="1"/>
  <c r="S440" i="5"/>
  <c r="P440" i="5"/>
  <c r="F553" i="5"/>
  <c r="L553" i="5"/>
  <c r="M553" i="5"/>
  <c r="O553" i="5"/>
  <c r="K553" i="5"/>
  <c r="E553" i="5"/>
  <c r="G553" i="5"/>
  <c r="J553" i="5"/>
  <c r="I553" i="5"/>
  <c r="N553" i="5"/>
  <c r="D553" i="5"/>
  <c r="H553" i="5"/>
  <c r="O453" i="5"/>
  <c r="N453" i="5"/>
  <c r="H453" i="5"/>
  <c r="D453" i="5"/>
  <c r="C567" i="5" s="1" a="1"/>
  <c r="C567" i="5" s="1"/>
  <c r="G453" i="5"/>
  <c r="E453" i="5"/>
  <c r="K453" i="5"/>
  <c r="F453" i="5"/>
  <c r="L453" i="5"/>
  <c r="J453" i="5"/>
  <c r="M453" i="5"/>
  <c r="I453" i="5"/>
  <c r="F564" i="5"/>
  <c r="E564" i="5"/>
  <c r="L564" i="5"/>
  <c r="H564" i="5"/>
  <c r="J564" i="5"/>
  <c r="O564" i="5"/>
  <c r="D564" i="5"/>
  <c r="M564" i="5"/>
  <c r="G564" i="5"/>
  <c r="N564" i="5"/>
  <c r="K564" i="5"/>
  <c r="I564" i="5"/>
  <c r="H678" i="5"/>
  <c r="N678" i="5"/>
  <c r="E540" i="5"/>
  <c r="C600" i="5" s="1" a="1"/>
  <c r="C600" i="5" s="1"/>
  <c r="O540" i="5"/>
  <c r="L540" i="5"/>
  <c r="I540" i="5"/>
  <c r="J540" i="5"/>
  <c r="M540" i="5"/>
  <c r="N540" i="5"/>
  <c r="G540" i="5"/>
  <c r="H540" i="5"/>
  <c r="F540" i="5"/>
  <c r="K540" i="5"/>
  <c r="D540" i="5"/>
  <c r="C599" i="5" s="1" a="1"/>
  <c r="C599" i="5" s="1"/>
  <c r="G484" i="5"/>
  <c r="M484" i="5"/>
  <c r="K484" i="5"/>
  <c r="F484" i="5"/>
  <c r="J484" i="5"/>
  <c r="L484" i="5"/>
  <c r="I484" i="5"/>
  <c r="H484" i="5"/>
  <c r="D484" i="5"/>
  <c r="N484" i="5"/>
  <c r="E484" i="5"/>
  <c r="O484" i="5"/>
  <c r="G572" i="5"/>
  <c r="I572" i="5"/>
  <c r="D572" i="5"/>
  <c r="N572" i="5"/>
  <c r="J572" i="5"/>
  <c r="L572" i="5"/>
  <c r="E572" i="5"/>
  <c r="H572" i="5"/>
  <c r="M572" i="5"/>
  <c r="O572" i="5"/>
  <c r="K572" i="5"/>
  <c r="F572" i="5"/>
  <c r="G661" i="5"/>
  <c r="L661" i="5"/>
  <c r="H661" i="5"/>
  <c r="N661" i="5"/>
  <c r="I661" i="5"/>
  <c r="K661" i="5"/>
  <c r="D661" i="5"/>
  <c r="C676" i="5" s="1" a="1"/>
  <c r="C676" i="5" s="1"/>
  <c r="M661" i="5"/>
  <c r="J661" i="5"/>
  <c r="F661" i="5"/>
  <c r="O661" i="5"/>
  <c r="E661" i="5"/>
  <c r="C677" i="5" s="1" a="1"/>
  <c r="C677" i="5" s="1"/>
  <c r="G717" i="5"/>
  <c r="F717" i="5"/>
  <c r="N717" i="5"/>
  <c r="L717" i="5"/>
  <c r="H717" i="5"/>
  <c r="K717" i="5"/>
  <c r="D717" i="5"/>
  <c r="C739" i="5" s="1" a="1"/>
  <c r="C739" i="5" s="1"/>
  <c r="M717" i="5"/>
  <c r="O717" i="5"/>
  <c r="I717" i="5"/>
  <c r="J717" i="5"/>
  <c r="E717" i="5"/>
  <c r="C740" i="5" s="1" a="1"/>
  <c r="C740" i="5" s="1"/>
  <c r="O10" i="5"/>
  <c r="K10" i="5"/>
  <c r="E10" i="5"/>
  <c r="C20" i="5" s="1" a="1"/>
  <c r="C20" i="5" s="1"/>
  <c r="N420" i="5"/>
  <c r="J420" i="5"/>
  <c r="H420" i="5"/>
  <c r="M420" i="5"/>
  <c r="L420" i="5"/>
  <c r="I420" i="5"/>
  <c r="O420" i="5"/>
  <c r="E420" i="5"/>
  <c r="F420" i="5"/>
  <c r="D420" i="5"/>
  <c r="C549" i="5" s="1" a="1"/>
  <c r="C549" i="5" s="1"/>
  <c r="G420" i="5"/>
  <c r="K420" i="5"/>
  <c r="N447" i="5"/>
  <c r="K447" i="5"/>
  <c r="D447" i="5"/>
  <c r="J447" i="5"/>
  <c r="I447" i="5"/>
  <c r="F447" i="5"/>
  <c r="H447" i="5"/>
  <c r="G447" i="5"/>
  <c r="E447" i="5"/>
  <c r="M447" i="5"/>
  <c r="L447" i="5"/>
  <c r="O447" i="5"/>
  <c r="H728" i="5"/>
  <c r="G728" i="5"/>
  <c r="D728" i="5"/>
  <c r="J728" i="5"/>
  <c r="M669" i="5"/>
  <c r="G669" i="5"/>
  <c r="F669" i="5"/>
  <c r="N669" i="5"/>
  <c r="I669" i="5"/>
  <c r="O669" i="5"/>
  <c r="E669" i="5"/>
  <c r="J669" i="5"/>
  <c r="L669" i="5"/>
  <c r="D669" i="5"/>
  <c r="C679" i="5" s="1" a="1"/>
  <c r="C679" i="5" s="1"/>
  <c r="H669" i="5"/>
  <c r="K669" i="5"/>
  <c r="R468" i="5"/>
  <c r="S468" i="5"/>
  <c r="K576" i="5"/>
  <c r="H576" i="5"/>
  <c r="G576" i="5"/>
  <c r="F576" i="5"/>
  <c r="D576" i="5"/>
  <c r="E576" i="5"/>
  <c r="I576" i="5"/>
  <c r="T413" i="5"/>
  <c r="R413" i="5"/>
  <c r="Q413" i="5"/>
  <c r="P413" i="5"/>
  <c r="S413" i="5"/>
  <c r="I399" i="5"/>
  <c r="L399" i="5"/>
  <c r="K399" i="5"/>
  <c r="O399" i="5"/>
  <c r="N399" i="5"/>
  <c r="J399" i="5"/>
  <c r="F399" i="5"/>
  <c r="C538" i="5" s="1" a="1"/>
  <c r="C538" i="5" s="1"/>
  <c r="M399" i="5"/>
  <c r="G399" i="5"/>
  <c r="D399" i="5"/>
  <c r="C536" i="5" s="1" a="1"/>
  <c r="C536" i="5" s="1"/>
  <c r="H399" i="5"/>
  <c r="E399" i="5"/>
  <c r="C537" i="5" s="1" a="1"/>
  <c r="C537" i="5" s="1"/>
  <c r="D457" i="5"/>
  <c r="C569" i="5" s="1" a="1"/>
  <c r="C569" i="5" s="1"/>
  <c r="G457" i="5"/>
  <c r="J457" i="5"/>
  <c r="E457" i="5"/>
  <c r="H457" i="5"/>
  <c r="O457" i="5"/>
  <c r="N457" i="5"/>
  <c r="L457" i="5"/>
  <c r="I457" i="5"/>
  <c r="M457" i="5"/>
  <c r="F457" i="5"/>
  <c r="K457" i="5"/>
  <c r="D478" i="5"/>
  <c r="C519" i="5" s="1" a="1"/>
  <c r="C519" i="5" s="1"/>
  <c r="N478" i="5"/>
  <c r="G478" i="5"/>
  <c r="I478" i="5"/>
  <c r="O478" i="5"/>
  <c r="F478" i="5"/>
  <c r="L478" i="5"/>
  <c r="E478" i="5"/>
  <c r="M478" i="5"/>
  <c r="J478" i="5"/>
  <c r="K478" i="5"/>
  <c r="H478" i="5"/>
  <c r="R472" i="5"/>
  <c r="P472" i="5"/>
  <c r="T472" i="5"/>
  <c r="Q472" i="5"/>
  <c r="S472" i="5"/>
  <c r="F403" i="5"/>
  <c r="I403" i="5"/>
  <c r="N403" i="5"/>
  <c r="H403" i="5"/>
  <c r="E403" i="5"/>
  <c r="D403" i="5"/>
  <c r="M403" i="5"/>
  <c r="L403" i="5"/>
  <c r="G403" i="5"/>
  <c r="K403" i="5"/>
  <c r="O403" i="5"/>
  <c r="J403" i="5"/>
  <c r="H485" i="5"/>
  <c r="E485" i="5"/>
  <c r="D485" i="5"/>
  <c r="C521" i="5" s="1" a="1"/>
  <c r="C521" i="5" s="1"/>
  <c r="J485" i="5"/>
  <c r="L485" i="5"/>
  <c r="F485" i="5"/>
  <c r="M485" i="5"/>
  <c r="I485" i="5"/>
  <c r="N485" i="5"/>
  <c r="K485" i="5"/>
  <c r="G485" i="5"/>
  <c r="O485" i="5"/>
  <c r="E7" i="5"/>
  <c r="C12" i="5" s="1" a="1"/>
  <c r="C12" i="5" s="1"/>
  <c r="F7" i="5"/>
  <c r="M7" i="5"/>
  <c r="J7" i="5"/>
  <c r="M671" i="5"/>
  <c r="K671" i="5"/>
  <c r="D671" i="5"/>
  <c r="N671" i="5"/>
  <c r="F671" i="5"/>
  <c r="O671" i="5"/>
  <c r="H671" i="5"/>
  <c r="G671" i="5"/>
  <c r="J671" i="5"/>
  <c r="E671" i="5"/>
  <c r="I671" i="5"/>
  <c r="L671" i="5"/>
  <c r="G9" i="5"/>
  <c r="C18" i="5" s="1" a="1"/>
  <c r="C18" i="5" s="1"/>
  <c r="L9" i="5"/>
  <c r="F9" i="5"/>
  <c r="C17" i="5" s="1" a="1"/>
  <c r="C17" i="5" s="1"/>
  <c r="O9" i="5"/>
  <c r="H9" i="5"/>
  <c r="E9" i="5"/>
  <c r="C16" i="5" s="1" a="1"/>
  <c r="C16" i="5" s="1"/>
  <c r="K9" i="5"/>
  <c r="I9" i="5"/>
  <c r="N9" i="5"/>
  <c r="M9" i="5"/>
  <c r="J9" i="5"/>
  <c r="D9" i="5"/>
  <c r="C15" i="5" s="1" a="1"/>
  <c r="C15" i="5" s="1"/>
  <c r="J8" i="5"/>
  <c r="N8" i="5"/>
  <c r="M8" i="5"/>
  <c r="E8" i="5"/>
  <c r="C14" i="5" s="1" a="1"/>
  <c r="C14" i="5" s="1"/>
  <c r="I8" i="5"/>
  <c r="F8" i="5"/>
  <c r="D8" i="5"/>
  <c r="C13" i="5" s="1" a="1"/>
  <c r="C13" i="5" s="1"/>
  <c r="K8" i="5"/>
  <c r="H8" i="5"/>
  <c r="L8" i="5"/>
  <c r="G8" i="5"/>
  <c r="O8" i="5"/>
  <c r="D471" i="5"/>
  <c r="N471" i="5"/>
  <c r="G471" i="5"/>
  <c r="H471" i="5"/>
  <c r="L471" i="5"/>
  <c r="K471" i="5"/>
  <c r="E471" i="5"/>
  <c r="I471" i="5"/>
  <c r="O471" i="5"/>
  <c r="J471" i="5"/>
  <c r="M471" i="5"/>
  <c r="F471" i="5"/>
  <c r="G563" i="5"/>
  <c r="H563" i="5"/>
  <c r="N563" i="5"/>
  <c r="E563" i="5"/>
  <c r="I563" i="5"/>
  <c r="K563" i="5"/>
  <c r="J563" i="5"/>
  <c r="D563" i="5"/>
  <c r="M563" i="5"/>
  <c r="T468" i="5" l="1"/>
  <c r="D577" i="5"/>
  <c r="K577" i="5"/>
  <c r="R5" i="5"/>
  <c r="P726" i="5"/>
  <c r="P468" i="5"/>
  <c r="B576" i="5" s="1" a="1"/>
  <c r="B576" i="5" s="1"/>
  <c r="L10" i="5"/>
  <c r="G10" i="5"/>
  <c r="F10" i="5"/>
  <c r="C21" i="5" s="1" a="1"/>
  <c r="C21" i="5" s="1"/>
  <c r="D678" i="5"/>
  <c r="C713" i="5" s="1" a="1"/>
  <c r="C713" i="5" s="1"/>
  <c r="S5" i="5"/>
  <c r="N10" i="5"/>
  <c r="L678" i="5"/>
  <c r="Q468" i="5"/>
  <c r="B577" i="5" s="1" a="1"/>
  <c r="B577" i="5" s="1"/>
  <c r="O563" i="5"/>
  <c r="J678" i="5"/>
  <c r="F563" i="5"/>
  <c r="G678" i="5"/>
  <c r="O678" i="5"/>
  <c r="H10" i="5"/>
  <c r="J10" i="5"/>
  <c r="P10" i="5" s="1"/>
  <c r="B19" i="5" s="1" a="1"/>
  <c r="B19" i="5" s="1"/>
  <c r="H7" i="5"/>
  <c r="R6" i="5"/>
  <c r="P459" i="5"/>
  <c r="I7" i="5"/>
  <c r="D7" i="5"/>
  <c r="C11" i="5" s="1" a="1"/>
  <c r="C11" i="5" s="1"/>
  <c r="K7" i="5"/>
  <c r="D10" i="5"/>
  <c r="C19" i="5" s="1" a="1"/>
  <c r="C19" i="5" s="1"/>
  <c r="L19" i="5" s="1"/>
  <c r="N7" i="5"/>
  <c r="G7" i="5"/>
  <c r="O7" i="5"/>
  <c r="M10" i="5"/>
  <c r="S10" i="5" s="1"/>
  <c r="P720" i="5"/>
  <c r="T397" i="5"/>
  <c r="N728" i="5"/>
  <c r="O728" i="5"/>
  <c r="P6" i="5"/>
  <c r="B9" i="5" s="1" a="1"/>
  <c r="B9" i="5" s="1"/>
  <c r="M728" i="5"/>
  <c r="F678" i="5"/>
  <c r="Q6" i="5"/>
  <c r="B10" i="5" s="1" a="1"/>
  <c r="B10" i="5" s="1"/>
  <c r="S6" i="5"/>
  <c r="P5" i="5"/>
  <c r="B7" i="5" s="1" a="1"/>
  <c r="B7" i="5" s="1"/>
  <c r="R720" i="5"/>
  <c r="Q5" i="5"/>
  <c r="B8" i="5" s="1" a="1"/>
  <c r="B8" i="5" s="1"/>
  <c r="Q720" i="5"/>
  <c r="T5" i="5"/>
  <c r="P718" i="5"/>
  <c r="T6" i="5"/>
  <c r="I728" i="5"/>
  <c r="E728" i="5"/>
  <c r="K728" i="5"/>
  <c r="L728" i="5"/>
  <c r="O576" i="5"/>
  <c r="T576" i="5" s="1"/>
  <c r="M576" i="5"/>
  <c r="L576" i="5"/>
  <c r="R465" i="5"/>
  <c r="J576" i="5"/>
  <c r="R459" i="5"/>
  <c r="T718" i="5"/>
  <c r="P704" i="5"/>
  <c r="P425" i="5"/>
  <c r="T459" i="5"/>
  <c r="K573" i="5"/>
  <c r="R397" i="5"/>
  <c r="S397" i="5"/>
  <c r="O573" i="5"/>
  <c r="R482" i="5"/>
  <c r="T480" i="5"/>
  <c r="Q397" i="5"/>
  <c r="S720" i="5"/>
  <c r="P397" i="5"/>
  <c r="T452" i="5"/>
  <c r="J577" i="5"/>
  <c r="O577" i="5"/>
  <c r="M577" i="5"/>
  <c r="N577" i="5"/>
  <c r="Q480" i="5"/>
  <c r="L727" i="5"/>
  <c r="J727" i="5"/>
  <c r="F577" i="5"/>
  <c r="L577" i="5"/>
  <c r="T500" i="5"/>
  <c r="T482" i="5"/>
  <c r="S651" i="5"/>
  <c r="M678" i="5"/>
  <c r="R452" i="5"/>
  <c r="T720" i="5"/>
  <c r="R726" i="5"/>
  <c r="Q459" i="5"/>
  <c r="E678" i="5"/>
  <c r="C714" i="5" s="1" a="1"/>
  <c r="C714" i="5" s="1"/>
  <c r="O714" i="5" s="1"/>
  <c r="S482" i="5"/>
  <c r="H577" i="5"/>
  <c r="E577" i="5"/>
  <c r="K678" i="5"/>
  <c r="S409" i="5"/>
  <c r="I577" i="5"/>
  <c r="S480" i="5"/>
  <c r="S462" i="5"/>
  <c r="R662" i="5"/>
  <c r="P480" i="5"/>
  <c r="R651" i="5"/>
  <c r="T425" i="5"/>
  <c r="Q482" i="5"/>
  <c r="T662" i="5"/>
  <c r="I583" i="5"/>
  <c r="O583" i="5"/>
  <c r="R583" i="5" s="1"/>
  <c r="Q662" i="5"/>
  <c r="S662" i="5"/>
  <c r="K583" i="5"/>
  <c r="Q583" i="5" s="1"/>
  <c r="B681" i="5" s="1" a="1"/>
  <c r="B681" i="5" s="1"/>
  <c r="H580" i="5"/>
  <c r="P662" i="5"/>
  <c r="R462" i="5"/>
  <c r="P462" i="5"/>
  <c r="Q726" i="5"/>
  <c r="Q462" i="5"/>
  <c r="T462" i="5"/>
  <c r="S474" i="5"/>
  <c r="R456" i="5"/>
  <c r="Q451" i="5"/>
  <c r="Q473" i="5"/>
  <c r="G583" i="5"/>
  <c r="P461" i="5"/>
  <c r="S459" i="5"/>
  <c r="R480" i="5"/>
  <c r="R425" i="5"/>
  <c r="R709" i="5"/>
  <c r="S425" i="5"/>
  <c r="I579" i="5"/>
  <c r="Q425" i="5"/>
  <c r="P473" i="5"/>
  <c r="R473" i="5"/>
  <c r="S473" i="5"/>
  <c r="O579" i="5"/>
  <c r="P460" i="5"/>
  <c r="G579" i="5"/>
  <c r="T473" i="5"/>
  <c r="H579" i="5"/>
  <c r="M579" i="5"/>
  <c r="E727" i="5"/>
  <c r="T404" i="5"/>
  <c r="Q718" i="5"/>
  <c r="S703" i="5"/>
  <c r="D579" i="5"/>
  <c r="J579" i="5"/>
  <c r="N727" i="5"/>
  <c r="F727" i="5"/>
  <c r="L580" i="5"/>
  <c r="M727" i="5"/>
  <c r="R411" i="5"/>
  <c r="N583" i="5"/>
  <c r="Q651" i="5"/>
  <c r="J583" i="5"/>
  <c r="T726" i="5"/>
  <c r="F552" i="5"/>
  <c r="P709" i="5"/>
  <c r="B727" i="5" s="1" a="1"/>
  <c r="B727" i="5" s="1"/>
  <c r="Q668" i="5"/>
  <c r="S719" i="5"/>
  <c r="Q709" i="5"/>
  <c r="B728" i="5" s="1" a="1"/>
  <c r="B728" i="5" s="1"/>
  <c r="S461" i="5"/>
  <c r="P443" i="5"/>
  <c r="T709" i="5"/>
  <c r="T451" i="5"/>
  <c r="Q452" i="5"/>
  <c r="R451" i="5"/>
  <c r="M574" i="5"/>
  <c r="P719" i="5"/>
  <c r="O574" i="5"/>
  <c r="R500" i="5"/>
  <c r="G552" i="5"/>
  <c r="S726" i="5"/>
  <c r="J552" i="5"/>
  <c r="N574" i="5"/>
  <c r="L574" i="5"/>
  <c r="K574" i="5"/>
  <c r="N552" i="5"/>
  <c r="D574" i="5"/>
  <c r="H574" i="5"/>
  <c r="Q404" i="5"/>
  <c r="P469" i="5"/>
  <c r="S709" i="5"/>
  <c r="J574" i="5"/>
  <c r="Q704" i="5"/>
  <c r="T456" i="5"/>
  <c r="L552" i="5"/>
  <c r="G574" i="5"/>
  <c r="I574" i="5"/>
  <c r="S458" i="5"/>
  <c r="T442" i="5"/>
  <c r="D552" i="5"/>
  <c r="C607" i="5" s="1" a="1"/>
  <c r="C607" i="5" s="1"/>
  <c r="O607" i="5" s="1"/>
  <c r="E552" i="5"/>
  <c r="M552" i="5"/>
  <c r="E574" i="5"/>
  <c r="S451" i="5"/>
  <c r="Q703" i="5"/>
  <c r="Q500" i="5"/>
  <c r="P451" i="5"/>
  <c r="Q660" i="5"/>
  <c r="R474" i="5"/>
  <c r="P474" i="5"/>
  <c r="P500" i="5"/>
  <c r="R719" i="5"/>
  <c r="S452" i="5"/>
  <c r="K580" i="5"/>
  <c r="P482" i="5"/>
  <c r="J580" i="5"/>
  <c r="D727" i="5"/>
  <c r="D580" i="5"/>
  <c r="S500" i="5"/>
  <c r="O580" i="5"/>
  <c r="G580" i="5"/>
  <c r="M580" i="5"/>
  <c r="Q461" i="5"/>
  <c r="R428" i="5"/>
  <c r="F580" i="5"/>
  <c r="O727" i="5"/>
  <c r="R404" i="5"/>
  <c r="P479" i="5"/>
  <c r="S718" i="5"/>
  <c r="E580" i="5"/>
  <c r="S441" i="5"/>
  <c r="G727" i="5"/>
  <c r="H727" i="5"/>
  <c r="K727" i="5"/>
  <c r="R668" i="5"/>
  <c r="N532" i="5"/>
  <c r="N580" i="5"/>
  <c r="H532" i="5"/>
  <c r="Q719" i="5"/>
  <c r="G724" i="5"/>
  <c r="K532" i="5"/>
  <c r="T651" i="5"/>
  <c r="T719" i="5"/>
  <c r="E532" i="5"/>
  <c r="L532" i="5"/>
  <c r="O532" i="5"/>
  <c r="R481" i="5"/>
  <c r="P423" i="5"/>
  <c r="B552" i="5" s="1" a="1"/>
  <c r="B552" i="5" s="1"/>
  <c r="P404" i="5"/>
  <c r="K579" i="5"/>
  <c r="T461" i="5"/>
  <c r="Q458" i="5"/>
  <c r="Q443" i="5"/>
  <c r="R461" i="5"/>
  <c r="T466" i="5"/>
  <c r="P514" i="5"/>
  <c r="Q469" i="5"/>
  <c r="E579" i="5"/>
  <c r="P452" i="5"/>
  <c r="Q488" i="5"/>
  <c r="P421" i="5"/>
  <c r="B550" i="5" s="1" a="1"/>
  <c r="B550" i="5" s="1"/>
  <c r="S443" i="5"/>
  <c r="S456" i="5"/>
  <c r="O552" i="5"/>
  <c r="M583" i="5"/>
  <c r="P456" i="5"/>
  <c r="L570" i="5"/>
  <c r="I552" i="5"/>
  <c r="E724" i="5"/>
  <c r="F583" i="5"/>
  <c r="T469" i="5"/>
  <c r="H583" i="5"/>
  <c r="K552" i="5"/>
  <c r="H724" i="5"/>
  <c r="D583" i="5"/>
  <c r="C680" i="5" s="1" a="1"/>
  <c r="C680" i="5" s="1"/>
  <c r="J680" i="5" s="1"/>
  <c r="Q456" i="5"/>
  <c r="R504" i="5"/>
  <c r="R703" i="5"/>
  <c r="S469" i="5"/>
  <c r="O724" i="5"/>
  <c r="L544" i="5"/>
  <c r="T703" i="5"/>
  <c r="T668" i="5"/>
  <c r="I570" i="5"/>
  <c r="E570" i="5"/>
  <c r="T479" i="5"/>
  <c r="H570" i="5"/>
  <c r="S479" i="5"/>
  <c r="J570" i="5"/>
  <c r="Q479" i="5"/>
  <c r="J724" i="5"/>
  <c r="N544" i="5"/>
  <c r="T652" i="5"/>
  <c r="P703" i="5"/>
  <c r="E583" i="5"/>
  <c r="C681" i="5" s="1" a="1"/>
  <c r="C681" i="5" s="1"/>
  <c r="I681" i="5" s="1"/>
  <c r="F570" i="5"/>
  <c r="R479" i="5"/>
  <c r="L724" i="5"/>
  <c r="O544" i="5"/>
  <c r="Q474" i="5"/>
  <c r="D546" i="5"/>
  <c r="I724" i="5"/>
  <c r="R408" i="5"/>
  <c r="P464" i="5"/>
  <c r="D705" i="5"/>
  <c r="R443" i="5"/>
  <c r="M705" i="5"/>
  <c r="P409" i="5"/>
  <c r="D573" i="5"/>
  <c r="F705" i="5"/>
  <c r="H573" i="5"/>
  <c r="L705" i="5"/>
  <c r="H705" i="5"/>
  <c r="T710" i="5"/>
  <c r="J705" i="5"/>
  <c r="O705" i="5"/>
  <c r="T704" i="5"/>
  <c r="G705" i="5"/>
  <c r="Q495" i="5"/>
  <c r="T428" i="5"/>
  <c r="R469" i="5"/>
  <c r="S725" i="5"/>
  <c r="P444" i="5"/>
  <c r="S428" i="5"/>
  <c r="S668" i="5"/>
  <c r="P410" i="5"/>
  <c r="S410" i="5"/>
  <c r="T409" i="5"/>
  <c r="R494" i="5"/>
  <c r="S400" i="5"/>
  <c r="T514" i="5"/>
  <c r="S514" i="5"/>
  <c r="R488" i="5"/>
  <c r="T405" i="5"/>
  <c r="S464" i="5"/>
  <c r="R514" i="5"/>
  <c r="P483" i="5"/>
  <c r="T463" i="5"/>
  <c r="T702" i="5"/>
  <c r="T488" i="5"/>
  <c r="Q514" i="5"/>
  <c r="S488" i="5"/>
  <c r="T655" i="5"/>
  <c r="S424" i="5"/>
  <c r="Q409" i="5"/>
  <c r="P651" i="5"/>
  <c r="B661" i="5" s="1" a="1"/>
  <c r="B661" i="5" s="1"/>
  <c r="T454" i="5"/>
  <c r="S487" i="5"/>
  <c r="R396" i="5"/>
  <c r="P488" i="5"/>
  <c r="Q481" i="5"/>
  <c r="T443" i="5"/>
  <c r="D542" i="5"/>
  <c r="C603" i="5" s="1" a="1"/>
  <c r="C603" i="5" s="1"/>
  <c r="D603" i="5" s="1"/>
  <c r="C616" i="5" s="1" a="1"/>
  <c r="C616" i="5" s="1"/>
  <c r="Q428" i="5"/>
  <c r="T481" i="5"/>
  <c r="N542" i="5"/>
  <c r="S481" i="5"/>
  <c r="L542" i="5"/>
  <c r="G532" i="5"/>
  <c r="T464" i="5"/>
  <c r="P481" i="5"/>
  <c r="J532" i="5"/>
  <c r="R409" i="5"/>
  <c r="P466" i="5"/>
  <c r="B574" i="5" s="1" a="1"/>
  <c r="B574" i="5" s="1"/>
  <c r="I532" i="5"/>
  <c r="R704" i="5"/>
  <c r="R421" i="5"/>
  <c r="S421" i="5"/>
  <c r="Q466" i="5"/>
  <c r="R466" i="5"/>
  <c r="F532" i="5"/>
  <c r="S466" i="5"/>
  <c r="D532" i="5"/>
  <c r="Q505" i="5"/>
  <c r="T421" i="5"/>
  <c r="T495" i="5"/>
  <c r="Q487" i="5"/>
  <c r="B580" i="5" s="1" a="1"/>
  <c r="B580" i="5" s="1"/>
  <c r="Q405" i="5"/>
  <c r="B545" i="5" s="1" a="1"/>
  <c r="B545" i="5" s="1"/>
  <c r="R398" i="5"/>
  <c r="S486" i="5"/>
  <c r="Q710" i="5"/>
  <c r="P710" i="5"/>
  <c r="J706" i="5"/>
  <c r="S504" i="5"/>
  <c r="S412" i="5"/>
  <c r="T504" i="5"/>
  <c r="T725" i="5"/>
  <c r="R405" i="5"/>
  <c r="Q725" i="5"/>
  <c r="S398" i="5"/>
  <c r="T474" i="5"/>
  <c r="S442" i="5"/>
  <c r="I675" i="5"/>
  <c r="M542" i="5"/>
  <c r="E705" i="5"/>
  <c r="T460" i="5"/>
  <c r="S670" i="5"/>
  <c r="Q401" i="5"/>
  <c r="B542" i="5" s="1" a="1"/>
  <c r="B542" i="5" s="1"/>
  <c r="H541" i="5"/>
  <c r="S405" i="5"/>
  <c r="S463" i="5"/>
  <c r="S460" i="5"/>
  <c r="M675" i="5"/>
  <c r="O675" i="5"/>
  <c r="F675" i="5"/>
  <c r="D541" i="5"/>
  <c r="C601" i="5" s="1" a="1"/>
  <c r="C601" i="5" s="1"/>
  <c r="D601" i="5" s="1"/>
  <c r="C614" i="5" s="1" a="1"/>
  <c r="C614" i="5" s="1"/>
  <c r="Q463" i="5"/>
  <c r="B572" i="5" s="1" a="1"/>
  <c r="B572" i="5" s="1"/>
  <c r="P412" i="5"/>
  <c r="Q460" i="5"/>
  <c r="Q442" i="5"/>
  <c r="R725" i="5"/>
  <c r="P504" i="5"/>
  <c r="E675" i="5"/>
  <c r="P442" i="5"/>
  <c r="I555" i="5"/>
  <c r="R464" i="5"/>
  <c r="S710" i="5"/>
  <c r="I542" i="5"/>
  <c r="M541" i="5"/>
  <c r="N541" i="5"/>
  <c r="D555" i="5"/>
  <c r="F555" i="5"/>
  <c r="R710" i="5"/>
  <c r="S423" i="5"/>
  <c r="Q504" i="5"/>
  <c r="H675" i="5"/>
  <c r="M555" i="5"/>
  <c r="T423" i="5"/>
  <c r="P428" i="5"/>
  <c r="B555" i="5" s="1" a="1"/>
  <c r="B555" i="5" s="1"/>
  <c r="R460" i="5"/>
  <c r="L675" i="5"/>
  <c r="J675" i="5"/>
  <c r="N555" i="5"/>
  <c r="R423" i="5"/>
  <c r="P725" i="5"/>
  <c r="R442" i="5"/>
  <c r="J555" i="5"/>
  <c r="D723" i="5"/>
  <c r="Q423" i="5"/>
  <c r="B553" i="5" s="1" a="1"/>
  <c r="B553" i="5" s="1"/>
  <c r="F706" i="5"/>
  <c r="R412" i="5"/>
  <c r="G675" i="5"/>
  <c r="P424" i="5"/>
  <c r="O541" i="5"/>
  <c r="Q464" i="5"/>
  <c r="H555" i="5"/>
  <c r="L555" i="5"/>
  <c r="S404" i="5"/>
  <c r="N675" i="5"/>
  <c r="K675" i="5"/>
  <c r="Q424" i="5"/>
  <c r="F541" i="5"/>
  <c r="L573" i="5"/>
  <c r="T494" i="5"/>
  <c r="T424" i="5"/>
  <c r="R463" i="5"/>
  <c r="T444" i="5"/>
  <c r="S444" i="5"/>
  <c r="S408" i="5"/>
  <c r="F584" i="5"/>
  <c r="P396" i="5"/>
  <c r="B532" i="5" s="1" a="1"/>
  <c r="B532" i="5" s="1"/>
  <c r="T398" i="5"/>
  <c r="M573" i="5"/>
  <c r="E542" i="5"/>
  <c r="C604" i="5" s="1" a="1"/>
  <c r="C604" i="5" s="1"/>
  <c r="K604" i="5" s="1"/>
  <c r="L579" i="5"/>
  <c r="G541" i="5"/>
  <c r="I705" i="5"/>
  <c r="D544" i="5"/>
  <c r="Q410" i="5"/>
  <c r="T407" i="5"/>
  <c r="N573" i="5"/>
  <c r="G542" i="5"/>
  <c r="L541" i="5"/>
  <c r="P463" i="5"/>
  <c r="B571" i="5" s="1" a="1"/>
  <c r="B571" i="5" s="1"/>
  <c r="R444" i="5"/>
  <c r="T412" i="5"/>
  <c r="Q398" i="5"/>
  <c r="J573" i="5"/>
  <c r="F542" i="5"/>
  <c r="F579" i="5"/>
  <c r="S454" i="5"/>
  <c r="K705" i="5"/>
  <c r="M544" i="5"/>
  <c r="P398" i="5"/>
  <c r="I573" i="5"/>
  <c r="J542" i="5"/>
  <c r="P454" i="5"/>
  <c r="P408" i="5"/>
  <c r="H544" i="5"/>
  <c r="T396" i="5"/>
  <c r="R670" i="5"/>
  <c r="P670" i="5"/>
  <c r="T487" i="5"/>
  <c r="J544" i="5"/>
  <c r="Q702" i="5"/>
  <c r="S396" i="5"/>
  <c r="B535" i="5" s="1" a="1"/>
  <c r="B535" i="5" s="1"/>
  <c r="Q412" i="5"/>
  <c r="T408" i="5"/>
  <c r="G573" i="5"/>
  <c r="F546" i="5"/>
  <c r="Q670" i="5"/>
  <c r="K586" i="5"/>
  <c r="P487" i="5"/>
  <c r="I544" i="5"/>
  <c r="R702" i="5"/>
  <c r="S401" i="5"/>
  <c r="L586" i="5"/>
  <c r="R487" i="5"/>
  <c r="P702" i="5"/>
  <c r="Q444" i="5"/>
  <c r="L546" i="5"/>
  <c r="K584" i="5"/>
  <c r="E573" i="5"/>
  <c r="R454" i="5"/>
  <c r="Q396" i="5"/>
  <c r="B533" i="5" s="1" a="1"/>
  <c r="B533" i="5" s="1"/>
  <c r="T401" i="5"/>
  <c r="P465" i="5"/>
  <c r="B573" i="5" s="1" a="1"/>
  <c r="B573" i="5" s="1"/>
  <c r="S702" i="5"/>
  <c r="H542" i="5"/>
  <c r="R401" i="5"/>
  <c r="E586" i="5"/>
  <c r="E555" i="5"/>
  <c r="T465" i="5"/>
  <c r="N535" i="5"/>
  <c r="G555" i="5"/>
  <c r="S465" i="5"/>
  <c r="I584" i="5"/>
  <c r="Q454" i="5"/>
  <c r="M535" i="5"/>
  <c r="G535" i="5"/>
  <c r="N570" i="5"/>
  <c r="O555" i="5"/>
  <c r="Q465" i="5"/>
  <c r="Q494" i="5"/>
  <c r="Q408" i="5"/>
  <c r="T670" i="5"/>
  <c r="G544" i="5"/>
  <c r="M570" i="5"/>
  <c r="S494" i="5"/>
  <c r="M723" i="5"/>
  <c r="J586" i="5"/>
  <c r="O535" i="5"/>
  <c r="H723" i="5"/>
  <c r="H586" i="5"/>
  <c r="P494" i="5"/>
  <c r="B583" i="5" s="1" a="1"/>
  <c r="B583" i="5" s="1"/>
  <c r="Q421" i="5"/>
  <c r="E535" i="5"/>
  <c r="M586" i="5"/>
  <c r="L535" i="5"/>
  <c r="P486" i="5"/>
  <c r="T400" i="5"/>
  <c r="Q400" i="5"/>
  <c r="B540" i="5" s="1" a="1"/>
  <c r="B540" i="5" s="1"/>
  <c r="J535" i="5"/>
  <c r="R486" i="5"/>
  <c r="P400" i="5"/>
  <c r="B539" i="5" s="1" a="1"/>
  <c r="B539" i="5" s="1"/>
  <c r="T486" i="5"/>
  <c r="R424" i="5"/>
  <c r="I535" i="5"/>
  <c r="D535" i="5"/>
  <c r="Q486" i="5"/>
  <c r="B511" i="5" s="1" a="1"/>
  <c r="B511" i="5" s="1"/>
  <c r="P401" i="5"/>
  <c r="B541" i="5" s="1" a="1"/>
  <c r="B541" i="5" s="1"/>
  <c r="F535" i="5"/>
  <c r="P655" i="5"/>
  <c r="S655" i="5"/>
  <c r="S704" i="5"/>
  <c r="Q655" i="5"/>
  <c r="L533" i="5"/>
  <c r="T411" i="5"/>
  <c r="G533" i="5"/>
  <c r="J545" i="5"/>
  <c r="P411" i="5"/>
  <c r="N533" i="5"/>
  <c r="J533" i="5"/>
  <c r="O545" i="5"/>
  <c r="R400" i="5"/>
  <c r="O533" i="5"/>
  <c r="Q652" i="5"/>
  <c r="B706" i="5" s="1" a="1"/>
  <c r="B706" i="5" s="1"/>
  <c r="G570" i="5"/>
  <c r="G550" i="5"/>
  <c r="H533" i="5"/>
  <c r="H550" i="5"/>
  <c r="D570" i="5"/>
  <c r="I533" i="5"/>
  <c r="L723" i="5"/>
  <c r="J546" i="5"/>
  <c r="G723" i="5"/>
  <c r="M724" i="5"/>
  <c r="K723" i="5"/>
  <c r="R410" i="5"/>
  <c r="E533" i="5"/>
  <c r="F545" i="5"/>
  <c r="M545" i="5"/>
  <c r="E544" i="5"/>
  <c r="R458" i="5"/>
  <c r="K545" i="5"/>
  <c r="K544" i="5"/>
  <c r="K546" i="5"/>
  <c r="H545" i="5"/>
  <c r="M533" i="5"/>
  <c r="L539" i="5"/>
  <c r="J550" i="5"/>
  <c r="P458" i="5"/>
  <c r="B570" i="5" s="1" a="1"/>
  <c r="B570" i="5" s="1"/>
  <c r="F723" i="5"/>
  <c r="O586" i="5"/>
  <c r="K724" i="5"/>
  <c r="Q407" i="5"/>
  <c r="M546" i="5"/>
  <c r="I545" i="5"/>
  <c r="T410" i="5"/>
  <c r="P505" i="5"/>
  <c r="S411" i="5"/>
  <c r="D545" i="5"/>
  <c r="K550" i="5"/>
  <c r="T458" i="5"/>
  <c r="O570" i="5"/>
  <c r="N724" i="5"/>
  <c r="O539" i="5"/>
  <c r="E550" i="5"/>
  <c r="O723" i="5"/>
  <c r="N586" i="5"/>
  <c r="F724" i="5"/>
  <c r="I541" i="5"/>
  <c r="P407" i="5"/>
  <c r="B546" i="5" s="1" a="1"/>
  <c r="B546" i="5" s="1"/>
  <c r="H546" i="5"/>
  <c r="L545" i="5"/>
  <c r="P668" i="5"/>
  <c r="H535" i="5"/>
  <c r="R655" i="5"/>
  <c r="Q411" i="5"/>
  <c r="O546" i="5"/>
  <c r="E545" i="5"/>
  <c r="O550" i="5"/>
  <c r="M550" i="5"/>
  <c r="N723" i="5"/>
  <c r="F586" i="5"/>
  <c r="K541" i="5"/>
  <c r="R407" i="5"/>
  <c r="N546" i="5"/>
  <c r="N545" i="5"/>
  <c r="D533" i="5"/>
  <c r="L550" i="5"/>
  <c r="K533" i="5"/>
  <c r="F550" i="5"/>
  <c r="G546" i="5"/>
  <c r="G586" i="5"/>
  <c r="N550" i="5"/>
  <c r="I723" i="5"/>
  <c r="D586" i="5"/>
  <c r="J541" i="5"/>
  <c r="P405" i="5"/>
  <c r="B544" i="5" s="1" a="1"/>
  <c r="B544" i="5" s="1"/>
  <c r="S407" i="5"/>
  <c r="I546" i="5"/>
  <c r="P652" i="5"/>
  <c r="B705" i="5" s="1" a="1"/>
  <c r="B705" i="5" s="1"/>
  <c r="R652" i="5"/>
  <c r="J723" i="5"/>
  <c r="D539" i="5"/>
  <c r="C598" i="5" s="1" a="1"/>
  <c r="C598" i="5" s="1"/>
  <c r="O598" i="5" s="1"/>
  <c r="I550" i="5"/>
  <c r="E539" i="5"/>
  <c r="S495" i="5"/>
  <c r="I539" i="5"/>
  <c r="Q406" i="5"/>
  <c r="M571" i="5"/>
  <c r="G584" i="5"/>
  <c r="J571" i="5"/>
  <c r="T505" i="5"/>
  <c r="M584" i="5"/>
  <c r="O571" i="5"/>
  <c r="E571" i="5"/>
  <c r="H584" i="5"/>
  <c r="T483" i="5"/>
  <c r="H571" i="5"/>
  <c r="E584" i="5"/>
  <c r="L571" i="5"/>
  <c r="Q483" i="5"/>
  <c r="N571" i="5"/>
  <c r="N584" i="5"/>
  <c r="S483" i="5"/>
  <c r="K571" i="5"/>
  <c r="I571" i="5"/>
  <c r="R483" i="5"/>
  <c r="G571" i="5"/>
  <c r="D571" i="5"/>
  <c r="O584" i="5"/>
  <c r="R660" i="5"/>
  <c r="D706" i="5"/>
  <c r="P660" i="5"/>
  <c r="S652" i="5"/>
  <c r="K539" i="5"/>
  <c r="L584" i="5"/>
  <c r="M706" i="5"/>
  <c r="T660" i="5"/>
  <c r="G706" i="5"/>
  <c r="S660" i="5"/>
  <c r="G539" i="5"/>
  <c r="M539" i="5"/>
  <c r="J539" i="5"/>
  <c r="K706" i="5"/>
  <c r="F539" i="5"/>
  <c r="N706" i="5"/>
  <c r="K542" i="5"/>
  <c r="H539" i="5"/>
  <c r="O706" i="5"/>
  <c r="T441" i="5"/>
  <c r="J584" i="5"/>
  <c r="P441" i="5"/>
  <c r="R441" i="5"/>
  <c r="T406" i="5"/>
  <c r="Q441" i="5"/>
  <c r="P406" i="5"/>
  <c r="L706" i="5"/>
  <c r="R406" i="5"/>
  <c r="I706" i="5"/>
  <c r="S505" i="5"/>
  <c r="R495" i="5"/>
  <c r="S406" i="5"/>
  <c r="H706" i="5"/>
  <c r="R505" i="5"/>
  <c r="P495" i="5"/>
  <c r="B584" i="5" s="1" a="1"/>
  <c r="B584" i="5" s="1"/>
  <c r="K610" i="5"/>
  <c r="O610" i="5"/>
  <c r="I610" i="5"/>
  <c r="L610" i="5"/>
  <c r="D610" i="5"/>
  <c r="C693" i="5" s="1" a="1"/>
  <c r="C693" i="5" s="1"/>
  <c r="G610" i="5"/>
  <c r="F610" i="5"/>
  <c r="N610" i="5"/>
  <c r="E610" i="5"/>
  <c r="C694" i="5" s="1" a="1"/>
  <c r="C694" i="5" s="1"/>
  <c r="J610" i="5"/>
  <c r="H610" i="5"/>
  <c r="M610" i="5"/>
  <c r="L16" i="5"/>
  <c r="M16" i="5"/>
  <c r="G16" i="5"/>
  <c r="D16" i="5"/>
  <c r="C32" i="5" s="1" a="1"/>
  <c r="C32" i="5" s="1"/>
  <c r="H16" i="5"/>
  <c r="E16" i="5"/>
  <c r="F16" i="5"/>
  <c r="I16" i="5"/>
  <c r="O16" i="5"/>
  <c r="K16" i="5"/>
  <c r="N16" i="5"/>
  <c r="J16" i="5"/>
  <c r="H536" i="5"/>
  <c r="J536" i="5"/>
  <c r="F536" i="5"/>
  <c r="G536" i="5"/>
  <c r="N536" i="5"/>
  <c r="D536" i="5"/>
  <c r="C548" i="5" s="1" a="1"/>
  <c r="C548" i="5" s="1"/>
  <c r="E536" i="5"/>
  <c r="M536" i="5"/>
  <c r="I536" i="5"/>
  <c r="K536" i="5"/>
  <c r="L536" i="5"/>
  <c r="O536" i="5"/>
  <c r="S717" i="5"/>
  <c r="R717" i="5"/>
  <c r="P717" i="5"/>
  <c r="B739" i="5" s="1" a="1"/>
  <c r="B739" i="5" s="1"/>
  <c r="T717" i="5"/>
  <c r="Q717" i="5"/>
  <c r="B740" i="5" s="1" a="1"/>
  <c r="B740" i="5" s="1"/>
  <c r="R540" i="5"/>
  <c r="Q540" i="5"/>
  <c r="B600" i="5" s="1" a="1"/>
  <c r="B600" i="5" s="1"/>
  <c r="S540" i="5"/>
  <c r="T540" i="5"/>
  <c r="P540" i="5"/>
  <c r="B599" i="5" s="1" a="1"/>
  <c r="B599" i="5" s="1"/>
  <c r="N17" i="5"/>
  <c r="J17" i="5"/>
  <c r="E17" i="5"/>
  <c r="C34" i="5" s="1" a="1"/>
  <c r="C34" i="5" s="1"/>
  <c r="L17" i="5"/>
  <c r="H17" i="5"/>
  <c r="I17" i="5"/>
  <c r="M17" i="5"/>
  <c r="O17" i="5"/>
  <c r="F17" i="5"/>
  <c r="C35" i="5" s="1" a="1"/>
  <c r="C35" i="5" s="1"/>
  <c r="K17" i="5"/>
  <c r="D17" i="5"/>
  <c r="C33" i="5" s="1" a="1"/>
  <c r="C33" i="5" s="1"/>
  <c r="G17" i="5"/>
  <c r="H18" i="5"/>
  <c r="O18" i="5"/>
  <c r="G18" i="5"/>
  <c r="K18" i="5"/>
  <c r="L18" i="5"/>
  <c r="F18" i="5"/>
  <c r="D18" i="5"/>
  <c r="C36" i="5" s="1" a="1"/>
  <c r="C36" i="5" s="1"/>
  <c r="M18" i="5"/>
  <c r="E18" i="5"/>
  <c r="I18" i="5"/>
  <c r="J18" i="5"/>
  <c r="N18" i="5"/>
  <c r="S553" i="5"/>
  <c r="R553" i="5"/>
  <c r="P553" i="5"/>
  <c r="B562" i="5" s="1" a="1"/>
  <c r="B562" i="5" s="1"/>
  <c r="Q553" i="5"/>
  <c r="T553" i="5"/>
  <c r="R8" i="5"/>
  <c r="S8" i="5"/>
  <c r="P8" i="5"/>
  <c r="Q8" i="5"/>
  <c r="T8" i="5"/>
  <c r="I739" i="5"/>
  <c r="N739" i="5"/>
  <c r="O739" i="5"/>
  <c r="H739" i="5"/>
  <c r="K739" i="5"/>
  <c r="L739" i="5"/>
  <c r="D739" i="5"/>
  <c r="J739" i="5"/>
  <c r="M739" i="5"/>
  <c r="G739" i="5"/>
  <c r="E739" i="5"/>
  <c r="F739" i="5"/>
  <c r="J521" i="5"/>
  <c r="K521" i="5"/>
  <c r="H521" i="5"/>
  <c r="E521" i="5"/>
  <c r="I521" i="5"/>
  <c r="F521" i="5"/>
  <c r="L521" i="5"/>
  <c r="M521" i="5"/>
  <c r="O521" i="5"/>
  <c r="N521" i="5"/>
  <c r="G521" i="5"/>
  <c r="D521" i="5"/>
  <c r="R484" i="5"/>
  <c r="S484" i="5"/>
  <c r="P484" i="5"/>
  <c r="Q484" i="5"/>
  <c r="T484" i="5"/>
  <c r="E12" i="5"/>
  <c r="C27" i="5" s="1" a="1"/>
  <c r="C27" i="5" s="1"/>
  <c r="F12" i="5"/>
  <c r="J12" i="5"/>
  <c r="I12" i="5"/>
  <c r="G12" i="5"/>
  <c r="L12" i="5"/>
  <c r="K12" i="5"/>
  <c r="N12" i="5"/>
  <c r="M12" i="5"/>
  <c r="D12" i="5"/>
  <c r="C26" i="5" s="1" a="1"/>
  <c r="C26" i="5" s="1"/>
  <c r="O12" i="5"/>
  <c r="H12" i="5"/>
  <c r="S457" i="5"/>
  <c r="Q457" i="5"/>
  <c r="T457" i="5"/>
  <c r="R457" i="5"/>
  <c r="P457" i="5"/>
  <c r="B569" i="5" s="1" a="1"/>
  <c r="B569" i="5" s="1"/>
  <c r="J13" i="5"/>
  <c r="I13" i="5"/>
  <c r="F13" i="5"/>
  <c r="D13" i="5"/>
  <c r="E13" i="5"/>
  <c r="N13" i="5"/>
  <c r="L13" i="5"/>
  <c r="M13" i="5"/>
  <c r="H13" i="5"/>
  <c r="G13" i="5"/>
  <c r="K13" i="5"/>
  <c r="O13" i="5"/>
  <c r="F677" i="5"/>
  <c r="H677" i="5"/>
  <c r="G677" i="5"/>
  <c r="L677" i="5"/>
  <c r="M677" i="5"/>
  <c r="I677" i="5"/>
  <c r="K677" i="5"/>
  <c r="D677" i="5"/>
  <c r="C712" i="5" s="1" a="1"/>
  <c r="C712" i="5" s="1"/>
  <c r="J677" i="5"/>
  <c r="N677" i="5"/>
  <c r="O677" i="5"/>
  <c r="E677" i="5"/>
  <c r="R420" i="5"/>
  <c r="Q420" i="5"/>
  <c r="T420" i="5"/>
  <c r="P420" i="5"/>
  <c r="B549" i="5" s="1" a="1"/>
  <c r="B549" i="5" s="1"/>
  <c r="S420" i="5"/>
  <c r="S661" i="5"/>
  <c r="T661" i="5"/>
  <c r="R661" i="5"/>
  <c r="P661" i="5"/>
  <c r="B676" i="5" s="1" a="1"/>
  <c r="B676" i="5" s="1"/>
  <c r="Q661" i="5"/>
  <c r="B677" i="5" s="1" a="1"/>
  <c r="B677" i="5" s="1"/>
  <c r="H679" i="5"/>
  <c r="K679" i="5"/>
  <c r="E679" i="5"/>
  <c r="C716" i="5" s="1" a="1"/>
  <c r="C716" i="5" s="1"/>
  <c r="G679" i="5"/>
  <c r="F679" i="5"/>
  <c r="J679" i="5"/>
  <c r="O679" i="5"/>
  <c r="D679" i="5"/>
  <c r="C715" i="5" s="1" a="1"/>
  <c r="C715" i="5" s="1"/>
  <c r="M679" i="5"/>
  <c r="L679" i="5"/>
  <c r="I679" i="5"/>
  <c r="N679" i="5"/>
  <c r="O569" i="5"/>
  <c r="N569" i="5"/>
  <c r="G569" i="5"/>
  <c r="D569" i="5"/>
  <c r="H569" i="5"/>
  <c r="I569" i="5"/>
  <c r="L569" i="5"/>
  <c r="K569" i="5"/>
  <c r="J569" i="5"/>
  <c r="E569" i="5"/>
  <c r="M569" i="5"/>
  <c r="F569" i="5"/>
  <c r="M14" i="5"/>
  <c r="L14" i="5"/>
  <c r="O14" i="5"/>
  <c r="N14" i="5"/>
  <c r="E14" i="5"/>
  <c r="D14" i="5"/>
  <c r="F14" i="5"/>
  <c r="J14" i="5"/>
  <c r="K14" i="5"/>
  <c r="H14" i="5"/>
  <c r="I14" i="5"/>
  <c r="G14" i="5"/>
  <c r="P478" i="5"/>
  <c r="Q478" i="5"/>
  <c r="R478" i="5"/>
  <c r="S478" i="5"/>
  <c r="T478" i="5"/>
  <c r="P399" i="5"/>
  <c r="B536" i="5" s="1" a="1"/>
  <c r="B536" i="5" s="1"/>
  <c r="T399" i="5"/>
  <c r="R399" i="5"/>
  <c r="B538" i="5" s="1" a="1"/>
  <c r="B538" i="5" s="1"/>
  <c r="Q399" i="5"/>
  <c r="B537" i="5" s="1" a="1"/>
  <c r="B537" i="5" s="1"/>
  <c r="S399" i="5"/>
  <c r="M676" i="5"/>
  <c r="D676" i="5"/>
  <c r="C711" i="5" s="1" a="1"/>
  <c r="C711" i="5" s="1"/>
  <c r="K676" i="5"/>
  <c r="N676" i="5"/>
  <c r="J676" i="5"/>
  <c r="H676" i="5"/>
  <c r="O676" i="5"/>
  <c r="E676" i="5"/>
  <c r="L676" i="5"/>
  <c r="F676" i="5"/>
  <c r="I676" i="5"/>
  <c r="G676" i="5"/>
  <c r="S669" i="5"/>
  <c r="R669" i="5"/>
  <c r="P669" i="5"/>
  <c r="B679" i="5" s="1" a="1"/>
  <c r="B679" i="5" s="1"/>
  <c r="Q669" i="5"/>
  <c r="T669" i="5"/>
  <c r="K20" i="5"/>
  <c r="F20" i="5"/>
  <c r="C41" i="5" s="1" a="1"/>
  <c r="C41" i="5" s="1"/>
  <c r="J20" i="5"/>
  <c r="N20" i="5"/>
  <c r="M20" i="5"/>
  <c r="O20" i="5"/>
  <c r="I20" i="5"/>
  <c r="G20" i="5"/>
  <c r="L20" i="5"/>
  <c r="H20" i="5"/>
  <c r="D20" i="5"/>
  <c r="C39" i="5" s="1" a="1"/>
  <c r="C39" i="5" s="1"/>
  <c r="E20" i="5"/>
  <c r="C40" i="5" s="1" a="1"/>
  <c r="C40" i="5" s="1"/>
  <c r="L567" i="5"/>
  <c r="H567" i="5"/>
  <c r="D567" i="5"/>
  <c r="J567" i="5"/>
  <c r="I567" i="5"/>
  <c r="O567" i="5"/>
  <c r="M567" i="5"/>
  <c r="E567" i="5"/>
  <c r="K567" i="5"/>
  <c r="N567" i="5"/>
  <c r="F567" i="5"/>
  <c r="G567" i="5"/>
  <c r="G538" i="5"/>
  <c r="E538" i="5"/>
  <c r="C597" i="5" s="1" a="1"/>
  <c r="C597" i="5" s="1"/>
  <c r="F538" i="5"/>
  <c r="L538" i="5"/>
  <c r="N538" i="5"/>
  <c r="O538" i="5"/>
  <c r="H538" i="5"/>
  <c r="J538" i="5"/>
  <c r="D538" i="5"/>
  <c r="C596" i="5" s="1" a="1"/>
  <c r="C596" i="5" s="1"/>
  <c r="I538" i="5"/>
  <c r="M538" i="5"/>
  <c r="K538" i="5"/>
  <c r="Q447" i="5"/>
  <c r="P447" i="5"/>
  <c r="S447" i="5"/>
  <c r="R447" i="5"/>
  <c r="T447" i="5"/>
  <c r="H602" i="5"/>
  <c r="J602" i="5"/>
  <c r="I602" i="5"/>
  <c r="O602" i="5"/>
  <c r="K602" i="5"/>
  <c r="G602" i="5"/>
  <c r="M602" i="5"/>
  <c r="F602" i="5"/>
  <c r="E602" i="5"/>
  <c r="L602" i="5"/>
  <c r="N602" i="5"/>
  <c r="D602" i="5"/>
  <c r="C615" i="5" s="1" a="1"/>
  <c r="C615" i="5" s="1"/>
  <c r="G549" i="5"/>
  <c r="I549" i="5"/>
  <c r="M549" i="5"/>
  <c r="D549" i="5"/>
  <c r="C605" i="5" s="1" a="1"/>
  <c r="C605" i="5" s="1"/>
  <c r="J549" i="5"/>
  <c r="E549" i="5"/>
  <c r="O549" i="5"/>
  <c r="F549" i="5"/>
  <c r="N549" i="5"/>
  <c r="L549" i="5"/>
  <c r="K549" i="5"/>
  <c r="H549" i="5"/>
  <c r="P572" i="5"/>
  <c r="S572" i="5"/>
  <c r="Q572" i="5"/>
  <c r="R572" i="5"/>
  <c r="T572" i="5"/>
  <c r="M599" i="5"/>
  <c r="J599" i="5"/>
  <c r="L599" i="5"/>
  <c r="H599" i="5"/>
  <c r="F599" i="5"/>
  <c r="K599" i="5"/>
  <c r="D599" i="5"/>
  <c r="G599" i="5"/>
  <c r="N599" i="5"/>
  <c r="O599" i="5"/>
  <c r="E599" i="5"/>
  <c r="I599" i="5"/>
  <c r="R453" i="5"/>
  <c r="P453" i="5"/>
  <c r="B567" i="5" s="1" a="1"/>
  <c r="B567" i="5" s="1"/>
  <c r="T453" i="5"/>
  <c r="Q453" i="5"/>
  <c r="S453" i="5"/>
  <c r="P671" i="5"/>
  <c r="B674" i="5" s="1" a="1"/>
  <c r="B674" i="5" s="1"/>
  <c r="R671" i="5"/>
  <c r="S671" i="5"/>
  <c r="Q671" i="5"/>
  <c r="T671" i="5"/>
  <c r="N519" i="5"/>
  <c r="M519" i="5"/>
  <c r="J519" i="5"/>
  <c r="H519" i="5"/>
  <c r="L519" i="5"/>
  <c r="O519" i="5"/>
  <c r="I519" i="5"/>
  <c r="E519" i="5"/>
  <c r="F519" i="5"/>
  <c r="G519" i="5"/>
  <c r="K519" i="5"/>
  <c r="D519" i="5"/>
  <c r="T10" i="5"/>
  <c r="R10" i="5"/>
  <c r="B21" i="5" s="1" a="1"/>
  <c r="B21" i="5" s="1"/>
  <c r="Q10" i="5"/>
  <c r="B20" i="5" s="1" a="1"/>
  <c r="B20" i="5" s="1"/>
  <c r="Q403" i="5"/>
  <c r="P403" i="5"/>
  <c r="R403" i="5"/>
  <c r="S403" i="5"/>
  <c r="T403" i="5"/>
  <c r="J21" i="5"/>
  <c r="M21" i="5"/>
  <c r="G21" i="5"/>
  <c r="D21" i="5"/>
  <c r="C42" i="5" s="1" a="1"/>
  <c r="C42" i="5" s="1"/>
  <c r="E21" i="5"/>
  <c r="C43" i="5" s="1" a="1"/>
  <c r="C43" i="5" s="1"/>
  <c r="L21" i="5"/>
  <c r="F21" i="5"/>
  <c r="C44" i="5" s="1" a="1"/>
  <c r="C44" i="5" s="1"/>
  <c r="H21" i="5"/>
  <c r="O21" i="5"/>
  <c r="K21" i="5"/>
  <c r="I21" i="5"/>
  <c r="N21" i="5"/>
  <c r="T9" i="5"/>
  <c r="R9" i="5"/>
  <c r="B17" i="5" s="1" a="1"/>
  <c r="B17" i="5" s="1"/>
  <c r="S9" i="5"/>
  <c r="B18" i="5" s="1" a="1"/>
  <c r="B18" i="5" s="1"/>
  <c r="Q9" i="5"/>
  <c r="P9" i="5"/>
  <c r="N600" i="5"/>
  <c r="G600" i="5"/>
  <c r="J600" i="5"/>
  <c r="O600" i="5"/>
  <c r="I600" i="5"/>
  <c r="D600" i="5"/>
  <c r="E600" i="5"/>
  <c r="H600" i="5"/>
  <c r="L600" i="5"/>
  <c r="K600" i="5"/>
  <c r="F600" i="5"/>
  <c r="M600" i="5"/>
  <c r="S563" i="5"/>
  <c r="P563" i="5"/>
  <c r="R563" i="5"/>
  <c r="Q563" i="5"/>
  <c r="T563" i="5"/>
  <c r="M15" i="5"/>
  <c r="O15" i="5"/>
  <c r="J15" i="5"/>
  <c r="F15" i="5"/>
  <c r="C30" i="5" s="1" a="1"/>
  <c r="C30" i="5" s="1"/>
  <c r="G15" i="5"/>
  <c r="C31" i="5" s="1" a="1"/>
  <c r="C31" i="5" s="1"/>
  <c r="H15" i="5"/>
  <c r="L15" i="5"/>
  <c r="E15" i="5"/>
  <c r="C29" i="5" s="1" a="1"/>
  <c r="C29" i="5" s="1"/>
  <c r="N15" i="5"/>
  <c r="I15" i="5"/>
  <c r="D15" i="5"/>
  <c r="C28" i="5" s="1" a="1"/>
  <c r="C28" i="5" s="1"/>
  <c r="K15" i="5"/>
  <c r="R485" i="5"/>
  <c r="S485" i="5"/>
  <c r="T485" i="5"/>
  <c r="Q485" i="5"/>
  <c r="P485" i="5"/>
  <c r="B509" i="5" s="1" a="1"/>
  <c r="B509" i="5" s="1"/>
  <c r="P471" i="5"/>
  <c r="Q471" i="5"/>
  <c r="S471" i="5"/>
  <c r="R471" i="5"/>
  <c r="T471" i="5"/>
  <c r="D740" i="5"/>
  <c r="F740" i="5"/>
  <c r="N740" i="5"/>
  <c r="O740" i="5"/>
  <c r="J740" i="5"/>
  <c r="G740" i="5"/>
  <c r="I740" i="5"/>
  <c r="H740" i="5"/>
  <c r="E740" i="5"/>
  <c r="L740" i="5"/>
  <c r="K740" i="5"/>
  <c r="M740" i="5"/>
  <c r="P489" i="5"/>
  <c r="Q489" i="5"/>
  <c r="T489" i="5"/>
  <c r="S489" i="5"/>
  <c r="R489" i="5"/>
  <c r="T564" i="5"/>
  <c r="S564" i="5"/>
  <c r="Q564" i="5"/>
  <c r="R564" i="5"/>
  <c r="P564" i="5"/>
  <c r="B579" i="5" s="1" a="1"/>
  <c r="B579" i="5" s="1"/>
  <c r="M606" i="5"/>
  <c r="I606" i="5"/>
  <c r="J606" i="5"/>
  <c r="E606" i="5"/>
  <c r="C692" i="5" s="1" a="1"/>
  <c r="C692" i="5" s="1"/>
  <c r="N606" i="5"/>
  <c r="L606" i="5"/>
  <c r="D606" i="5"/>
  <c r="C620" i="5" s="1" a="1"/>
  <c r="C620" i="5" s="1"/>
  <c r="O606" i="5"/>
  <c r="G606" i="5"/>
  <c r="H606" i="5"/>
  <c r="F606" i="5"/>
  <c r="K606" i="5"/>
  <c r="G537" i="5"/>
  <c r="M537" i="5"/>
  <c r="H537" i="5"/>
  <c r="L537" i="5"/>
  <c r="K537" i="5"/>
  <c r="F537" i="5"/>
  <c r="N537" i="5"/>
  <c r="J537" i="5"/>
  <c r="D537" i="5"/>
  <c r="C594" i="5" s="1" a="1"/>
  <c r="C594" i="5" s="1"/>
  <c r="E537" i="5"/>
  <c r="C595" i="5" s="1" a="1"/>
  <c r="C595" i="5" s="1"/>
  <c r="O537" i="5"/>
  <c r="I537" i="5"/>
  <c r="G713" i="5"/>
  <c r="K713" i="5"/>
  <c r="I713" i="5"/>
  <c r="O713" i="5"/>
  <c r="M713" i="5"/>
  <c r="J713" i="5"/>
  <c r="E713" i="5"/>
  <c r="C734" i="5" s="1" a="1"/>
  <c r="C734" i="5" s="1"/>
  <c r="N713" i="5"/>
  <c r="H713" i="5"/>
  <c r="F713" i="5"/>
  <c r="L713" i="5"/>
  <c r="D713" i="5"/>
  <c r="C733" i="5" s="1" a="1"/>
  <c r="C733" i="5" s="1"/>
  <c r="Q7" i="5" l="1"/>
  <c r="B12" i="5" s="1" a="1"/>
  <c r="B12" i="5" s="1"/>
  <c r="F714" i="5"/>
  <c r="I19" i="5"/>
  <c r="N19" i="5"/>
  <c r="S7" i="5"/>
  <c r="F19" i="5"/>
  <c r="H19" i="5"/>
  <c r="J19" i="5"/>
  <c r="K19" i="5"/>
  <c r="G19" i="5"/>
  <c r="E19" i="5"/>
  <c r="C38" i="5" s="1" a="1"/>
  <c r="C38" i="5" s="1"/>
  <c r="O19" i="5"/>
  <c r="P576" i="5"/>
  <c r="D19" i="5"/>
  <c r="C37" i="5" s="1" a="1"/>
  <c r="C37" i="5" s="1"/>
  <c r="E37" i="5" s="1"/>
  <c r="R576" i="5"/>
  <c r="M19" i="5"/>
  <c r="S576" i="5"/>
  <c r="Q576" i="5"/>
  <c r="R7" i="5"/>
  <c r="P678" i="5"/>
  <c r="B713" i="5" s="1" a="1"/>
  <c r="B713" i="5" s="1"/>
  <c r="S678" i="5"/>
  <c r="H11" i="5"/>
  <c r="D11" i="5"/>
  <c r="C22" i="5" s="1" a="1"/>
  <c r="C22" i="5" s="1"/>
  <c r="E22" i="5" s="1"/>
  <c r="C46" i="5" s="1" a="1"/>
  <c r="C46" i="5" s="1"/>
  <c r="E11" i="5"/>
  <c r="C23" i="5" s="1" a="1"/>
  <c r="C23" i="5" s="1"/>
  <c r="J23" i="5" s="1"/>
  <c r="O11" i="5"/>
  <c r="J11" i="5"/>
  <c r="T7" i="5"/>
  <c r="I11" i="5"/>
  <c r="R678" i="5"/>
  <c r="T678" i="5"/>
  <c r="G11" i="5"/>
  <c r="C25" i="5" s="1" a="1"/>
  <c r="C25" i="5" s="1"/>
  <c r="M25" i="5" s="1"/>
  <c r="P7" i="5"/>
  <c r="B11" i="5" s="1" a="1"/>
  <c r="B11" i="5" s="1"/>
  <c r="N11" i="5"/>
  <c r="K11" i="5"/>
  <c r="Q678" i="5"/>
  <c r="B714" i="5" s="1" a="1"/>
  <c r="B714" i="5" s="1"/>
  <c r="L11" i="5"/>
  <c r="F11" i="5"/>
  <c r="C24" i="5" s="1" a="1"/>
  <c r="C24" i="5" s="1"/>
  <c r="D24" i="5" s="1"/>
  <c r="C48" i="5" s="1" a="1"/>
  <c r="C48" i="5" s="1"/>
  <c r="M11" i="5"/>
  <c r="Q580" i="5"/>
  <c r="Q728" i="5"/>
  <c r="B15" i="5" a="1"/>
  <c r="B15" i="5" s="1"/>
  <c r="B16" i="5" a="1"/>
  <c r="B16" i="5" s="1"/>
  <c r="T583" i="5"/>
  <c r="R580" i="5"/>
  <c r="G607" i="5"/>
  <c r="L607" i="5"/>
  <c r="K607" i="5"/>
  <c r="S728" i="5"/>
  <c r="I607" i="5"/>
  <c r="P728" i="5"/>
  <c r="J607" i="5"/>
  <c r="R728" i="5"/>
  <c r="P580" i="5"/>
  <c r="N607" i="5"/>
  <c r="T728" i="5"/>
  <c r="M607" i="5"/>
  <c r="D607" i="5"/>
  <c r="B14" i="5" a="1"/>
  <c r="B14" i="5" s="1"/>
  <c r="B13" i="5" a="1"/>
  <c r="B13" i="5" s="1"/>
  <c r="Q577" i="5"/>
  <c r="P583" i="5"/>
  <c r="D714" i="5"/>
  <c r="N714" i="5"/>
  <c r="I714" i="5"/>
  <c r="T579" i="5"/>
  <c r="G714" i="5"/>
  <c r="L714" i="5"/>
  <c r="R573" i="5"/>
  <c r="H714" i="5"/>
  <c r="J714" i="5"/>
  <c r="R544" i="5"/>
  <c r="M714" i="5"/>
  <c r="S583" i="5"/>
  <c r="E714" i="5"/>
  <c r="K714" i="5"/>
  <c r="R552" i="5"/>
  <c r="R574" i="5"/>
  <c r="S577" i="5"/>
  <c r="R577" i="5"/>
  <c r="R570" i="5"/>
  <c r="P574" i="5"/>
  <c r="B581" i="5" s="1" a="1"/>
  <c r="B581" i="5" s="1"/>
  <c r="Q579" i="5"/>
  <c r="S579" i="5"/>
  <c r="P579" i="5"/>
  <c r="P577" i="5"/>
  <c r="T577" i="5"/>
  <c r="T542" i="5"/>
  <c r="S727" i="5"/>
  <c r="H681" i="5"/>
  <c r="J603" i="5"/>
  <c r="E681" i="5"/>
  <c r="H603" i="5"/>
  <c r="G603" i="5"/>
  <c r="K603" i="5"/>
  <c r="E607" i="5"/>
  <c r="M681" i="5"/>
  <c r="N603" i="5"/>
  <c r="J681" i="5"/>
  <c r="F607" i="5"/>
  <c r="T552" i="5"/>
  <c r="L681" i="5"/>
  <c r="H607" i="5"/>
  <c r="P552" i="5"/>
  <c r="B607" i="5" s="1" a="1"/>
  <c r="B607" i="5" s="1"/>
  <c r="T574" i="5"/>
  <c r="D681" i="5"/>
  <c r="O681" i="5"/>
  <c r="S552" i="5"/>
  <c r="R579" i="5"/>
  <c r="Q552" i="5"/>
  <c r="B561" i="5" s="1" a="1"/>
  <c r="B561" i="5" s="1"/>
  <c r="E603" i="5"/>
  <c r="C617" i="5" s="1" a="1"/>
  <c r="C617" i="5" s="1"/>
  <c r="I617" i="5" s="1"/>
  <c r="Q574" i="5"/>
  <c r="P570" i="5"/>
  <c r="P573" i="5"/>
  <c r="S580" i="5"/>
  <c r="Q544" i="5"/>
  <c r="S574" i="5"/>
  <c r="R532" i="5"/>
  <c r="T580" i="5"/>
  <c r="Q573" i="5"/>
  <c r="P727" i="5"/>
  <c r="Q727" i="5"/>
  <c r="T544" i="5"/>
  <c r="R727" i="5"/>
  <c r="S542" i="5"/>
  <c r="T727" i="5"/>
  <c r="P675" i="5"/>
  <c r="S705" i="5"/>
  <c r="S573" i="5"/>
  <c r="P541" i="5"/>
  <c r="B601" i="5" s="1" a="1"/>
  <c r="B601" i="5" s="1"/>
  <c r="P535" i="5"/>
  <c r="P544" i="5"/>
  <c r="R724" i="5"/>
  <c r="K681" i="5"/>
  <c r="N681" i="5"/>
  <c r="G681" i="5"/>
  <c r="F681" i="5"/>
  <c r="R675" i="5"/>
  <c r="M680" i="5"/>
  <c r="K680" i="5"/>
  <c r="Q723" i="5"/>
  <c r="P724" i="5"/>
  <c r="F680" i="5"/>
  <c r="D680" i="5"/>
  <c r="Q675" i="5"/>
  <c r="R542" i="5"/>
  <c r="T675" i="5"/>
  <c r="N680" i="5"/>
  <c r="S724" i="5"/>
  <c r="L680" i="5"/>
  <c r="N604" i="5"/>
  <c r="H680" i="5"/>
  <c r="E680" i="5"/>
  <c r="Q724" i="5"/>
  <c r="O680" i="5"/>
  <c r="R705" i="5"/>
  <c r="G680" i="5"/>
  <c r="J604" i="5"/>
  <c r="I680" i="5"/>
  <c r="T724" i="5"/>
  <c r="S544" i="5"/>
  <c r="O603" i="5"/>
  <c r="I603" i="5"/>
  <c r="M603" i="5"/>
  <c r="F603" i="5"/>
  <c r="L603" i="5"/>
  <c r="Q570" i="5"/>
  <c r="S570" i="5"/>
  <c r="Q533" i="5"/>
  <c r="Q532" i="5"/>
  <c r="P532" i="5"/>
  <c r="T532" i="5"/>
  <c r="S532" i="5"/>
  <c r="Q542" i="5"/>
  <c r="B604" i="5" s="1" a="1"/>
  <c r="B604" i="5" s="1"/>
  <c r="P542" i="5"/>
  <c r="B603" i="5" s="1" a="1"/>
  <c r="B603" i="5" s="1"/>
  <c r="T705" i="5"/>
  <c r="T573" i="5"/>
  <c r="Q546" i="5"/>
  <c r="T570" i="5"/>
  <c r="P705" i="5"/>
  <c r="P555" i="5"/>
  <c r="S675" i="5"/>
  <c r="M601" i="5"/>
  <c r="F601" i="5"/>
  <c r="H601" i="5"/>
  <c r="F598" i="5"/>
  <c r="Q705" i="5"/>
  <c r="K601" i="5"/>
  <c r="S535" i="5"/>
  <c r="N601" i="5"/>
  <c r="R706" i="5"/>
  <c r="S545" i="5"/>
  <c r="E601" i="5"/>
  <c r="C690" i="5" s="1" a="1"/>
  <c r="C690" i="5" s="1"/>
  <c r="N690" i="5" s="1"/>
  <c r="I601" i="5"/>
  <c r="L601" i="5"/>
  <c r="G601" i="5"/>
  <c r="S586" i="5"/>
  <c r="J601" i="5"/>
  <c r="O601" i="5"/>
  <c r="E604" i="5"/>
  <c r="C619" i="5" s="1" a="1"/>
  <c r="C619" i="5" s="1"/>
  <c r="G619" i="5" s="1"/>
  <c r="G604" i="5"/>
  <c r="H604" i="5"/>
  <c r="P539" i="5"/>
  <c r="B598" i="5" s="1" a="1"/>
  <c r="B598" i="5" s="1"/>
  <c r="S533" i="5"/>
  <c r="H598" i="5"/>
  <c r="R571" i="5"/>
  <c r="T706" i="5"/>
  <c r="T545" i="5"/>
  <c r="P706" i="5"/>
  <c r="M604" i="5"/>
  <c r="S571" i="5"/>
  <c r="P545" i="5"/>
  <c r="Q545" i="5"/>
  <c r="P550" i="5"/>
  <c r="B606" i="5" s="1" a="1"/>
  <c r="B606" i="5" s="1"/>
  <c r="P586" i="5"/>
  <c r="O604" i="5"/>
  <c r="T586" i="5"/>
  <c r="F604" i="5"/>
  <c r="Q586" i="5"/>
  <c r="R545" i="5"/>
  <c r="R586" i="5"/>
  <c r="R535" i="5"/>
  <c r="N598" i="5"/>
  <c r="L604" i="5"/>
  <c r="K598" i="5"/>
  <c r="Q539" i="5"/>
  <c r="P571" i="5"/>
  <c r="S723" i="5"/>
  <c r="I604" i="5"/>
  <c r="T555" i="5"/>
  <c r="E598" i="5"/>
  <c r="C613" i="5" s="1" a="1"/>
  <c r="C613" i="5" s="1"/>
  <c r="L613" i="5" s="1"/>
  <c r="R555" i="5"/>
  <c r="T533" i="5"/>
  <c r="D598" i="5"/>
  <c r="C612" i="5" s="1" a="1"/>
  <c r="C612" i="5" s="1"/>
  <c r="K612" i="5" s="1"/>
  <c r="R539" i="5"/>
  <c r="Q555" i="5"/>
  <c r="P533" i="5"/>
  <c r="M598" i="5"/>
  <c r="D604" i="5"/>
  <c r="C618" i="5" s="1" a="1"/>
  <c r="C618" i="5" s="1"/>
  <c r="N618" i="5" s="1"/>
  <c r="J598" i="5"/>
  <c r="S555" i="5"/>
  <c r="R533" i="5"/>
  <c r="G598" i="5"/>
  <c r="L598" i="5"/>
  <c r="I598" i="5"/>
  <c r="T535" i="5"/>
  <c r="S584" i="5"/>
  <c r="P546" i="5"/>
  <c r="Q706" i="5"/>
  <c r="T546" i="5"/>
  <c r="Q571" i="5"/>
  <c r="S539" i="5"/>
  <c r="R546" i="5"/>
  <c r="T541" i="5"/>
  <c r="S546" i="5"/>
  <c r="Q535" i="5"/>
  <c r="T539" i="5"/>
  <c r="S541" i="5"/>
  <c r="R723" i="5"/>
  <c r="R550" i="5"/>
  <c r="P723" i="5"/>
  <c r="S550" i="5"/>
  <c r="T550" i="5"/>
  <c r="T723" i="5"/>
  <c r="Q541" i="5"/>
  <c r="B602" i="5" s="1" a="1"/>
  <c r="B602" i="5" s="1"/>
  <c r="R541" i="5"/>
  <c r="Q550" i="5"/>
  <c r="S706" i="5"/>
  <c r="T584" i="5"/>
  <c r="R584" i="5"/>
  <c r="Q584" i="5"/>
  <c r="P584" i="5"/>
  <c r="B610" i="5" s="1" a="1"/>
  <c r="B610" i="5" s="1"/>
  <c r="T571" i="5"/>
  <c r="P677" i="5"/>
  <c r="B712" i="5" s="1" a="1"/>
  <c r="B712" i="5" s="1"/>
  <c r="S677" i="5"/>
  <c r="R677" i="5"/>
  <c r="Q677" i="5"/>
  <c r="T677" i="5"/>
  <c r="N733" i="5"/>
  <c r="M733" i="5"/>
  <c r="O733" i="5"/>
  <c r="D733" i="5"/>
  <c r="E733" i="5"/>
  <c r="I733" i="5"/>
  <c r="L733" i="5"/>
  <c r="G733" i="5"/>
  <c r="K733" i="5"/>
  <c r="F733" i="5"/>
  <c r="H733" i="5"/>
  <c r="J733" i="5"/>
  <c r="O28" i="5"/>
  <c r="L28" i="5"/>
  <c r="M28" i="5"/>
  <c r="N28" i="5"/>
  <c r="F28" i="5"/>
  <c r="K28" i="5"/>
  <c r="D28" i="5"/>
  <c r="C57" i="5" s="1" a="1"/>
  <c r="C57" i="5" s="1"/>
  <c r="J28" i="5"/>
  <c r="G28" i="5"/>
  <c r="E28" i="5"/>
  <c r="C58" i="5" s="1" a="1"/>
  <c r="C58" i="5" s="1"/>
  <c r="H28" i="5"/>
  <c r="I28" i="5"/>
  <c r="R14" i="5"/>
  <c r="T14" i="5"/>
  <c r="Q14" i="5"/>
  <c r="P14" i="5"/>
  <c r="S14" i="5"/>
  <c r="Q606" i="5"/>
  <c r="B692" i="5" s="1" a="1"/>
  <c r="B692" i="5" s="1"/>
  <c r="R606" i="5"/>
  <c r="P606" i="5"/>
  <c r="B620" i="5" s="1" a="1"/>
  <c r="B620" i="5" s="1"/>
  <c r="T606" i="5"/>
  <c r="S606" i="5"/>
  <c r="G40" i="5"/>
  <c r="H40" i="5"/>
  <c r="D40" i="5"/>
  <c r="C72" i="5" s="1" a="1"/>
  <c r="C72" i="5" s="1"/>
  <c r="O40" i="5"/>
  <c r="K40" i="5"/>
  <c r="I40" i="5"/>
  <c r="F40" i="5"/>
  <c r="L40" i="5"/>
  <c r="N40" i="5"/>
  <c r="J40" i="5"/>
  <c r="M40" i="5"/>
  <c r="E40" i="5"/>
  <c r="P676" i="5"/>
  <c r="B711" i="5" s="1" a="1"/>
  <c r="B711" i="5" s="1"/>
  <c r="T676" i="5"/>
  <c r="Q676" i="5"/>
  <c r="R676" i="5"/>
  <c r="S676" i="5"/>
  <c r="D36" i="5"/>
  <c r="L36" i="5"/>
  <c r="I36" i="5"/>
  <c r="N36" i="5"/>
  <c r="G36" i="5"/>
  <c r="E36" i="5"/>
  <c r="F36" i="5"/>
  <c r="O36" i="5"/>
  <c r="M36" i="5"/>
  <c r="H36" i="5"/>
  <c r="J36" i="5"/>
  <c r="K36" i="5"/>
  <c r="E712" i="5"/>
  <c r="C732" i="5" s="1" a="1"/>
  <c r="C732" i="5" s="1"/>
  <c r="J712" i="5"/>
  <c r="G712" i="5"/>
  <c r="L712" i="5"/>
  <c r="F712" i="5"/>
  <c r="N712" i="5"/>
  <c r="D712" i="5"/>
  <c r="C731" i="5" s="1" a="1"/>
  <c r="C731" i="5" s="1"/>
  <c r="H712" i="5"/>
  <c r="O712" i="5"/>
  <c r="I712" i="5"/>
  <c r="K712" i="5"/>
  <c r="M712" i="5"/>
  <c r="D39" i="5"/>
  <c r="C70" i="5" s="1" a="1"/>
  <c r="C70" i="5" s="1"/>
  <c r="F39" i="5"/>
  <c r="O39" i="5"/>
  <c r="K39" i="5"/>
  <c r="M39" i="5"/>
  <c r="J39" i="5"/>
  <c r="E39" i="5"/>
  <c r="C71" i="5" s="1" a="1"/>
  <c r="C71" i="5" s="1"/>
  <c r="I39" i="5"/>
  <c r="G39" i="5"/>
  <c r="H39" i="5"/>
  <c r="N39" i="5"/>
  <c r="L39" i="5"/>
  <c r="I716" i="5"/>
  <c r="E716" i="5"/>
  <c r="C738" i="5" s="1" a="1"/>
  <c r="C738" i="5" s="1"/>
  <c r="M716" i="5"/>
  <c r="N716" i="5"/>
  <c r="F716" i="5"/>
  <c r="G716" i="5"/>
  <c r="D716" i="5"/>
  <c r="C737" i="5" s="1" a="1"/>
  <c r="C737" i="5" s="1"/>
  <c r="O716" i="5"/>
  <c r="L716" i="5"/>
  <c r="H716" i="5"/>
  <c r="K716" i="5"/>
  <c r="J716" i="5"/>
  <c r="H29" i="5"/>
  <c r="I29" i="5"/>
  <c r="L29" i="5"/>
  <c r="M29" i="5"/>
  <c r="F29" i="5"/>
  <c r="J29" i="5"/>
  <c r="G29" i="5"/>
  <c r="O29" i="5"/>
  <c r="K29" i="5"/>
  <c r="D29" i="5"/>
  <c r="C59" i="5" s="1" a="1"/>
  <c r="C59" i="5" s="1"/>
  <c r="E29" i="5"/>
  <c r="C60" i="5" s="1" a="1"/>
  <c r="C60" i="5" s="1"/>
  <c r="N29" i="5"/>
  <c r="T739" i="5"/>
  <c r="Q739" i="5"/>
  <c r="R739" i="5"/>
  <c r="S739" i="5"/>
  <c r="P739" i="5"/>
  <c r="G692" i="5"/>
  <c r="L692" i="5"/>
  <c r="M692" i="5"/>
  <c r="D692" i="5"/>
  <c r="K692" i="5"/>
  <c r="F692" i="5"/>
  <c r="I692" i="5"/>
  <c r="O692" i="5"/>
  <c r="N692" i="5"/>
  <c r="J692" i="5"/>
  <c r="E692" i="5"/>
  <c r="H692" i="5"/>
  <c r="N44" i="5"/>
  <c r="K44" i="5"/>
  <c r="O44" i="5"/>
  <c r="H44" i="5"/>
  <c r="D44" i="5"/>
  <c r="C78" i="5" s="1" a="1"/>
  <c r="C78" i="5" s="1"/>
  <c r="L44" i="5"/>
  <c r="J44" i="5"/>
  <c r="M44" i="5"/>
  <c r="F44" i="5"/>
  <c r="I44" i="5"/>
  <c r="G44" i="5"/>
  <c r="E44" i="5"/>
  <c r="L596" i="5"/>
  <c r="G596" i="5"/>
  <c r="H596" i="5"/>
  <c r="K596" i="5"/>
  <c r="E596" i="5"/>
  <c r="M596" i="5"/>
  <c r="N596" i="5"/>
  <c r="O596" i="5"/>
  <c r="J596" i="5"/>
  <c r="I596" i="5"/>
  <c r="F596" i="5"/>
  <c r="D596" i="5"/>
  <c r="Q20" i="5"/>
  <c r="B40" i="5" s="1" a="1"/>
  <c r="B40" i="5" s="1"/>
  <c r="T20" i="5"/>
  <c r="R20" i="5"/>
  <c r="B41" i="5" s="1" a="1"/>
  <c r="B41" i="5" s="1"/>
  <c r="P20" i="5"/>
  <c r="B39" i="5" s="1" a="1"/>
  <c r="B39" i="5" s="1"/>
  <c r="S20" i="5"/>
  <c r="E715" i="5"/>
  <c r="C736" i="5" s="1" a="1"/>
  <c r="C736" i="5" s="1"/>
  <c r="D715" i="5"/>
  <c r="C735" i="5" s="1" a="1"/>
  <c r="C735" i="5" s="1"/>
  <c r="H715" i="5"/>
  <c r="O715" i="5"/>
  <c r="L715" i="5"/>
  <c r="M715" i="5"/>
  <c r="N715" i="5"/>
  <c r="F715" i="5"/>
  <c r="J715" i="5"/>
  <c r="G715" i="5"/>
  <c r="I715" i="5"/>
  <c r="K715" i="5"/>
  <c r="Q21" i="5"/>
  <c r="B43" i="5" s="1" a="1"/>
  <c r="B43" i="5" s="1"/>
  <c r="T21" i="5"/>
  <c r="S21" i="5"/>
  <c r="P21" i="5"/>
  <c r="B42" i="5" s="1" a="1"/>
  <c r="B42" i="5" s="1"/>
  <c r="R21" i="5"/>
  <c r="B44" i="5" s="1" a="1"/>
  <c r="B44" i="5" s="1"/>
  <c r="G43" i="5"/>
  <c r="K43" i="5"/>
  <c r="J43" i="5"/>
  <c r="F43" i="5"/>
  <c r="N43" i="5"/>
  <c r="L43" i="5"/>
  <c r="O43" i="5"/>
  <c r="D43" i="5"/>
  <c r="C77" i="5" s="1" a="1"/>
  <c r="C77" i="5" s="1"/>
  <c r="I43" i="5"/>
  <c r="E43" i="5"/>
  <c r="H43" i="5"/>
  <c r="M43" i="5"/>
  <c r="P18" i="5"/>
  <c r="B36" i="5" s="1" a="1"/>
  <c r="B36" i="5" s="1"/>
  <c r="T18" i="5"/>
  <c r="Q18" i="5"/>
  <c r="S18" i="5"/>
  <c r="R18" i="5"/>
  <c r="Q536" i="5"/>
  <c r="T536" i="5"/>
  <c r="S536" i="5"/>
  <c r="P536" i="5"/>
  <c r="R536" i="5"/>
  <c r="I32" i="5"/>
  <c r="N32" i="5"/>
  <c r="E32" i="5"/>
  <c r="C65" i="5" s="1" a="1"/>
  <c r="C65" i="5" s="1"/>
  <c r="G32" i="5"/>
  <c r="J32" i="5"/>
  <c r="D32" i="5"/>
  <c r="C64" i="5" s="1" a="1"/>
  <c r="C64" i="5" s="1"/>
  <c r="M32" i="5"/>
  <c r="L32" i="5"/>
  <c r="K32" i="5"/>
  <c r="H32" i="5"/>
  <c r="O32" i="5"/>
  <c r="F32" i="5"/>
  <c r="M734" i="5"/>
  <c r="G734" i="5"/>
  <c r="I734" i="5"/>
  <c r="D734" i="5"/>
  <c r="J734" i="5"/>
  <c r="N734" i="5"/>
  <c r="L734" i="5"/>
  <c r="E734" i="5"/>
  <c r="F734" i="5"/>
  <c r="O734" i="5"/>
  <c r="H734" i="5"/>
  <c r="K734" i="5"/>
  <c r="J711" i="5"/>
  <c r="I711" i="5"/>
  <c r="K711" i="5"/>
  <c r="H711" i="5"/>
  <c r="E711" i="5"/>
  <c r="C730" i="5" s="1" a="1"/>
  <c r="C730" i="5" s="1"/>
  <c r="D711" i="5"/>
  <c r="C729" i="5" s="1" a="1"/>
  <c r="C729" i="5" s="1"/>
  <c r="L711" i="5"/>
  <c r="F711" i="5"/>
  <c r="N711" i="5"/>
  <c r="G711" i="5"/>
  <c r="O711" i="5"/>
  <c r="M711" i="5"/>
  <c r="T740" i="5"/>
  <c r="P740" i="5"/>
  <c r="Q740" i="5"/>
  <c r="S740" i="5"/>
  <c r="R740" i="5"/>
  <c r="O615" i="5"/>
  <c r="L615" i="5"/>
  <c r="M615" i="5"/>
  <c r="E615" i="5"/>
  <c r="H615" i="5"/>
  <c r="F615" i="5"/>
  <c r="D615" i="5"/>
  <c r="C624" i="5" s="1" a="1"/>
  <c r="C624" i="5" s="1"/>
  <c r="I615" i="5"/>
  <c r="G615" i="5"/>
  <c r="J615" i="5"/>
  <c r="K615" i="5"/>
  <c r="N615" i="5"/>
  <c r="D37" i="5"/>
  <c r="C67" i="5" s="1" a="1"/>
  <c r="C67" i="5" s="1"/>
  <c r="H37" i="5"/>
  <c r="K37" i="5"/>
  <c r="M37" i="5"/>
  <c r="N37" i="5"/>
  <c r="J37" i="5"/>
  <c r="F37" i="5"/>
  <c r="I37" i="5"/>
  <c r="O37" i="5"/>
  <c r="L37" i="5"/>
  <c r="T13" i="5"/>
  <c r="P13" i="5"/>
  <c r="R13" i="5"/>
  <c r="Q13" i="5"/>
  <c r="S13" i="5"/>
  <c r="G33" i="5"/>
  <c r="F33" i="5"/>
  <c r="M33" i="5"/>
  <c r="E33" i="5"/>
  <c r="K33" i="5"/>
  <c r="H33" i="5"/>
  <c r="O33" i="5"/>
  <c r="D33" i="5"/>
  <c r="J33" i="5"/>
  <c r="L33" i="5"/>
  <c r="I33" i="5"/>
  <c r="N33" i="5"/>
  <c r="R537" i="5"/>
  <c r="S537" i="5"/>
  <c r="P537" i="5"/>
  <c r="B594" i="5" s="1" a="1"/>
  <c r="B594" i="5" s="1"/>
  <c r="T537" i="5"/>
  <c r="Q537" i="5"/>
  <c r="B595" i="5" s="1" a="1"/>
  <c r="B595" i="5" s="1"/>
  <c r="T538" i="5"/>
  <c r="R538" i="5"/>
  <c r="P538" i="5"/>
  <c r="B596" i="5" s="1" a="1"/>
  <c r="B596" i="5" s="1"/>
  <c r="S538" i="5"/>
  <c r="Q538" i="5"/>
  <c r="B597" i="5" s="1" a="1"/>
  <c r="B597" i="5" s="1"/>
  <c r="F595" i="5"/>
  <c r="D595" i="5"/>
  <c r="K595" i="5"/>
  <c r="O595" i="5"/>
  <c r="M595" i="5"/>
  <c r="G595" i="5"/>
  <c r="L595" i="5"/>
  <c r="I595" i="5"/>
  <c r="N595" i="5"/>
  <c r="H595" i="5"/>
  <c r="J595" i="5"/>
  <c r="E595" i="5"/>
  <c r="L41" i="5"/>
  <c r="D41" i="5"/>
  <c r="C73" i="5" s="1" a="1"/>
  <c r="C73" i="5" s="1"/>
  <c r="I41" i="5"/>
  <c r="F41" i="5"/>
  <c r="J41" i="5"/>
  <c r="K41" i="5"/>
  <c r="G41" i="5"/>
  <c r="E41" i="5"/>
  <c r="C74" i="5" s="1" a="1"/>
  <c r="C74" i="5" s="1"/>
  <c r="N41" i="5"/>
  <c r="O41" i="5"/>
  <c r="H41" i="5"/>
  <c r="M41" i="5"/>
  <c r="T569" i="5"/>
  <c r="Q569" i="5"/>
  <c r="P569" i="5"/>
  <c r="S569" i="5"/>
  <c r="R569" i="5"/>
  <c r="O35" i="5"/>
  <c r="M35" i="5"/>
  <c r="L35" i="5"/>
  <c r="H35" i="5"/>
  <c r="F35" i="5"/>
  <c r="D35" i="5"/>
  <c r="C66" i="5" s="1" a="1"/>
  <c r="C66" i="5" s="1"/>
  <c r="I35" i="5"/>
  <c r="G35" i="5"/>
  <c r="K35" i="5"/>
  <c r="E35" i="5"/>
  <c r="J35" i="5"/>
  <c r="N35" i="5"/>
  <c r="L594" i="5"/>
  <c r="N594" i="5"/>
  <c r="K594" i="5"/>
  <c r="I594" i="5"/>
  <c r="M594" i="5"/>
  <c r="F594" i="5"/>
  <c r="G594" i="5"/>
  <c r="E594" i="5"/>
  <c r="D594" i="5"/>
  <c r="O594" i="5"/>
  <c r="H594" i="5"/>
  <c r="J594" i="5"/>
  <c r="Q17" i="5"/>
  <c r="B34" i="5" s="1" a="1"/>
  <c r="B34" i="5" s="1"/>
  <c r="P17" i="5"/>
  <c r="B33" i="5" s="1" a="1"/>
  <c r="B33" i="5" s="1"/>
  <c r="R17" i="5"/>
  <c r="B35" i="5" s="1" a="1"/>
  <c r="B35" i="5" s="1"/>
  <c r="T17" i="5"/>
  <c r="S17" i="5"/>
  <c r="M605" i="5"/>
  <c r="I605" i="5"/>
  <c r="E605" i="5"/>
  <c r="J605" i="5"/>
  <c r="K605" i="5"/>
  <c r="N605" i="5"/>
  <c r="L605" i="5"/>
  <c r="D605" i="5"/>
  <c r="F605" i="5"/>
  <c r="G605" i="5"/>
  <c r="H605" i="5"/>
  <c r="O605" i="5"/>
  <c r="P679" i="5"/>
  <c r="B715" i="5" s="1" a="1"/>
  <c r="B715" i="5" s="1"/>
  <c r="T679" i="5"/>
  <c r="S679" i="5"/>
  <c r="R679" i="5"/>
  <c r="Q679" i="5"/>
  <c r="B716" i="5" s="1" a="1"/>
  <c r="B716" i="5" s="1"/>
  <c r="H597" i="5"/>
  <c r="O597" i="5"/>
  <c r="L597" i="5"/>
  <c r="N597" i="5"/>
  <c r="E597" i="5"/>
  <c r="K597" i="5"/>
  <c r="I597" i="5"/>
  <c r="D597" i="5"/>
  <c r="G597" i="5"/>
  <c r="M597" i="5"/>
  <c r="F597" i="5"/>
  <c r="J597" i="5"/>
  <c r="L38" i="5"/>
  <c r="M38" i="5"/>
  <c r="N38" i="5"/>
  <c r="G38" i="5"/>
  <c r="I38" i="5"/>
  <c r="J38" i="5"/>
  <c r="H38" i="5"/>
  <c r="E38" i="5"/>
  <c r="C69" i="5" s="1" a="1"/>
  <c r="C69" i="5" s="1"/>
  <c r="O38" i="5"/>
  <c r="K38" i="5"/>
  <c r="F38" i="5"/>
  <c r="D38" i="5"/>
  <c r="C68" i="5" s="1" a="1"/>
  <c r="C68" i="5" s="1"/>
  <c r="R521" i="5"/>
  <c r="Q521" i="5"/>
  <c r="S521" i="5"/>
  <c r="T521" i="5"/>
  <c r="P521" i="5"/>
  <c r="N548" i="5"/>
  <c r="F548" i="5"/>
  <c r="E548" i="5"/>
  <c r="H548" i="5"/>
  <c r="O548" i="5"/>
  <c r="I548" i="5"/>
  <c r="J548" i="5"/>
  <c r="K548" i="5"/>
  <c r="G548" i="5"/>
  <c r="D548" i="5"/>
  <c r="L548" i="5"/>
  <c r="M548" i="5"/>
  <c r="P19" i="5"/>
  <c r="B37" i="5" s="1" a="1"/>
  <c r="B37" i="5" s="1"/>
  <c r="Q19" i="5"/>
  <c r="B38" i="5" s="1" a="1"/>
  <c r="B38" i="5" s="1"/>
  <c r="R19" i="5"/>
  <c r="T19" i="5"/>
  <c r="S19" i="5"/>
  <c r="M694" i="5"/>
  <c r="D694" i="5"/>
  <c r="K694" i="5"/>
  <c r="N694" i="5"/>
  <c r="F694" i="5"/>
  <c r="E694" i="5"/>
  <c r="L694" i="5"/>
  <c r="O694" i="5"/>
  <c r="I694" i="5"/>
  <c r="J694" i="5"/>
  <c r="H694" i="5"/>
  <c r="G694" i="5"/>
  <c r="P549" i="5"/>
  <c r="B605" i="5" s="1" a="1"/>
  <c r="B605" i="5" s="1"/>
  <c r="S549" i="5"/>
  <c r="Q549" i="5"/>
  <c r="T549" i="5"/>
  <c r="R549" i="5"/>
  <c r="Q16" i="5"/>
  <c r="S16" i="5"/>
  <c r="R16" i="5"/>
  <c r="T16" i="5"/>
  <c r="P16" i="5"/>
  <c r="B32" i="5" s="1" a="1"/>
  <c r="B32" i="5" s="1"/>
  <c r="P12" i="5"/>
  <c r="B26" i="5" s="1" a="1"/>
  <c r="B26" i="5" s="1"/>
  <c r="S12" i="5"/>
  <c r="Q12" i="5"/>
  <c r="B27" i="5" s="1" a="1"/>
  <c r="B27" i="5" s="1"/>
  <c r="T12" i="5"/>
  <c r="R12" i="5"/>
  <c r="R519" i="5"/>
  <c r="P519" i="5"/>
  <c r="S519" i="5"/>
  <c r="Q519" i="5"/>
  <c r="T519" i="5"/>
  <c r="R602" i="5"/>
  <c r="T602" i="5"/>
  <c r="P602" i="5"/>
  <c r="B615" i="5" s="1" a="1"/>
  <c r="B615" i="5" s="1"/>
  <c r="S602" i="5"/>
  <c r="Q602" i="5"/>
  <c r="J34" i="5"/>
  <c r="H34" i="5"/>
  <c r="F34" i="5"/>
  <c r="M34" i="5"/>
  <c r="G34" i="5"/>
  <c r="I34" i="5"/>
  <c r="L34" i="5"/>
  <c r="D34" i="5"/>
  <c r="O34" i="5"/>
  <c r="N34" i="5"/>
  <c r="K34" i="5"/>
  <c r="E34" i="5"/>
  <c r="J620" i="5"/>
  <c r="K620" i="5"/>
  <c r="M620" i="5"/>
  <c r="H620" i="5"/>
  <c r="I620" i="5"/>
  <c r="N620" i="5"/>
  <c r="E620" i="5"/>
  <c r="G620" i="5"/>
  <c r="F620" i="5"/>
  <c r="O620" i="5"/>
  <c r="D620" i="5"/>
  <c r="L620" i="5"/>
  <c r="P599" i="5"/>
  <c r="S599" i="5"/>
  <c r="R599" i="5"/>
  <c r="Q599" i="5"/>
  <c r="T599" i="5"/>
  <c r="M616" i="5"/>
  <c r="H616" i="5"/>
  <c r="G616" i="5"/>
  <c r="J616" i="5"/>
  <c r="N616" i="5"/>
  <c r="D616" i="5"/>
  <c r="C625" i="5" s="1" a="1"/>
  <c r="C625" i="5" s="1"/>
  <c r="I616" i="5"/>
  <c r="E616" i="5"/>
  <c r="C626" i="5" s="1" a="1"/>
  <c r="C626" i="5" s="1"/>
  <c r="K616" i="5"/>
  <c r="L616" i="5"/>
  <c r="O616" i="5"/>
  <c r="F616" i="5"/>
  <c r="K26" i="5"/>
  <c r="O26" i="5"/>
  <c r="N26" i="5"/>
  <c r="J26" i="5"/>
  <c r="E26" i="5"/>
  <c r="C54" i="5" s="1" a="1"/>
  <c r="C54" i="5" s="1"/>
  <c r="L26" i="5"/>
  <c r="H26" i="5"/>
  <c r="M26" i="5"/>
  <c r="I26" i="5"/>
  <c r="D26" i="5"/>
  <c r="C53" i="5" s="1" a="1"/>
  <c r="C53" i="5" s="1"/>
  <c r="F26" i="5"/>
  <c r="C55" i="5" s="1" a="1"/>
  <c r="C55" i="5" s="1"/>
  <c r="G26" i="5"/>
  <c r="C56" i="5" s="1" a="1"/>
  <c r="C56" i="5" s="1"/>
  <c r="M27" i="5"/>
  <c r="I27" i="5"/>
  <c r="E27" i="5"/>
  <c r="K27" i="5"/>
  <c r="D27" i="5"/>
  <c r="G27" i="5"/>
  <c r="J27" i="5"/>
  <c r="H27" i="5"/>
  <c r="F27" i="5"/>
  <c r="L27" i="5"/>
  <c r="O27" i="5"/>
  <c r="N27" i="5"/>
  <c r="L614" i="5"/>
  <c r="D614" i="5"/>
  <c r="C622" i="5" s="1" a="1"/>
  <c r="C622" i="5" s="1"/>
  <c r="E614" i="5"/>
  <c r="C623" i="5" s="1" a="1"/>
  <c r="C623" i="5" s="1"/>
  <c r="K614" i="5"/>
  <c r="H614" i="5"/>
  <c r="O614" i="5"/>
  <c r="J614" i="5"/>
  <c r="N614" i="5"/>
  <c r="G614" i="5"/>
  <c r="F614" i="5"/>
  <c r="M614" i="5"/>
  <c r="I614" i="5"/>
  <c r="M693" i="5"/>
  <c r="H693" i="5"/>
  <c r="N693" i="5"/>
  <c r="L693" i="5"/>
  <c r="I693" i="5"/>
  <c r="K693" i="5"/>
  <c r="F693" i="5"/>
  <c r="D693" i="5"/>
  <c r="J693" i="5"/>
  <c r="G693" i="5"/>
  <c r="E693" i="5"/>
  <c r="O693" i="5"/>
  <c r="S567" i="5"/>
  <c r="R567" i="5"/>
  <c r="T567" i="5"/>
  <c r="Q567" i="5"/>
  <c r="P567" i="5"/>
  <c r="B575" i="5" s="1" a="1"/>
  <c r="B575" i="5" s="1"/>
  <c r="N31" i="5"/>
  <c r="D31" i="5"/>
  <c r="C63" i="5" s="1" a="1"/>
  <c r="C63" i="5" s="1"/>
  <c r="L31" i="5"/>
  <c r="J31" i="5"/>
  <c r="F31" i="5"/>
  <c r="E31" i="5"/>
  <c r="O31" i="5"/>
  <c r="G31" i="5"/>
  <c r="I31" i="5"/>
  <c r="H31" i="5"/>
  <c r="M31" i="5"/>
  <c r="K31" i="5"/>
  <c r="P713" i="5"/>
  <c r="B733" i="5" s="1" a="1"/>
  <c r="B733" i="5" s="1"/>
  <c r="R713" i="5"/>
  <c r="T713" i="5"/>
  <c r="S713" i="5"/>
  <c r="Q713" i="5"/>
  <c r="B734" i="5" s="1" a="1"/>
  <c r="B734" i="5" s="1"/>
  <c r="G42" i="5"/>
  <c r="K42" i="5"/>
  <c r="O42" i="5"/>
  <c r="M42" i="5"/>
  <c r="I42" i="5"/>
  <c r="D42" i="5"/>
  <c r="C75" i="5" s="1" a="1"/>
  <c r="C75" i="5" s="1"/>
  <c r="H42" i="5"/>
  <c r="L42" i="5"/>
  <c r="E42" i="5"/>
  <c r="C76" i="5" s="1" a="1"/>
  <c r="C76" i="5" s="1"/>
  <c r="N42" i="5"/>
  <c r="F42" i="5"/>
  <c r="J42" i="5"/>
  <c r="S610" i="5"/>
  <c r="R610" i="5"/>
  <c r="Q610" i="5"/>
  <c r="B694" i="5" s="1" a="1"/>
  <c r="B694" i="5" s="1"/>
  <c r="T610" i="5"/>
  <c r="P610" i="5"/>
  <c r="B693" i="5" s="1" a="1"/>
  <c r="B693" i="5" s="1"/>
  <c r="O30" i="5"/>
  <c r="G30" i="5"/>
  <c r="N30" i="5"/>
  <c r="D30" i="5"/>
  <c r="C61" i="5" s="1" a="1"/>
  <c r="C61" i="5" s="1"/>
  <c r="M30" i="5"/>
  <c r="J30" i="5"/>
  <c r="H30" i="5"/>
  <c r="I30" i="5"/>
  <c r="E30" i="5"/>
  <c r="C62" i="5" s="1" a="1"/>
  <c r="C62" i="5" s="1"/>
  <c r="K30" i="5"/>
  <c r="L30" i="5"/>
  <c r="F30" i="5"/>
  <c r="S15" i="5"/>
  <c r="Q15" i="5"/>
  <c r="T15" i="5"/>
  <c r="R15" i="5"/>
  <c r="P15" i="5"/>
  <c r="R600" i="5"/>
  <c r="T600" i="5"/>
  <c r="Q600" i="5"/>
  <c r="P600" i="5"/>
  <c r="S600" i="5"/>
  <c r="T11" i="5" l="1"/>
  <c r="J22" i="5"/>
  <c r="F22" i="5"/>
  <c r="K22" i="5"/>
  <c r="H22" i="5"/>
  <c r="L22" i="5"/>
  <c r="O22" i="5"/>
  <c r="M22" i="5"/>
  <c r="Q11" i="5"/>
  <c r="H25" i="5"/>
  <c r="G25" i="5"/>
  <c r="O25" i="5"/>
  <c r="S25" i="5" s="1"/>
  <c r="N25" i="5"/>
  <c r="J25" i="5"/>
  <c r="F25" i="5"/>
  <c r="E25" i="5"/>
  <c r="C52" i="5" s="1" a="1"/>
  <c r="C52" i="5" s="1"/>
  <c r="M52" i="5" s="1"/>
  <c r="S11" i="5"/>
  <c r="B25" i="5" s="1" a="1"/>
  <c r="B25" i="5" s="1"/>
  <c r="E23" i="5"/>
  <c r="H23" i="5"/>
  <c r="P11" i="5"/>
  <c r="B22" i="5" s="1" a="1"/>
  <c r="B22" i="5" s="1"/>
  <c r="M23" i="5"/>
  <c r="I23" i="5"/>
  <c r="K25" i="5"/>
  <c r="L23" i="5"/>
  <c r="K23" i="5"/>
  <c r="G23" i="5"/>
  <c r="N22" i="5"/>
  <c r="T22" i="5" s="1"/>
  <c r="I25" i="5"/>
  <c r="R25" i="5" s="1"/>
  <c r="R11" i="5"/>
  <c r="B24" i="5" s="1" a="1"/>
  <c r="B24" i="5" s="1"/>
  <c r="N23" i="5"/>
  <c r="F23" i="5"/>
  <c r="G22" i="5"/>
  <c r="L25" i="5"/>
  <c r="D23" i="5"/>
  <c r="C47" i="5" s="1" a="1"/>
  <c r="C47" i="5" s="1"/>
  <c r="O47" i="5" s="1"/>
  <c r="O23" i="5"/>
  <c r="I22" i="5"/>
  <c r="D22" i="5"/>
  <c r="C45" i="5" s="1" a="1"/>
  <c r="C45" i="5" s="1"/>
  <c r="K45" i="5" s="1"/>
  <c r="G37" i="5"/>
  <c r="B23" i="5" a="1"/>
  <c r="B23" i="5" s="1"/>
  <c r="T607" i="5"/>
  <c r="D25" i="5"/>
  <c r="C51" i="5" s="1" a="1"/>
  <c r="C51" i="5" s="1"/>
  <c r="J24" i="5"/>
  <c r="O24" i="5"/>
  <c r="K24" i="5"/>
  <c r="I24" i="5"/>
  <c r="L24" i="5"/>
  <c r="H24" i="5"/>
  <c r="M24" i="5"/>
  <c r="S24" i="5" s="1"/>
  <c r="E24" i="5"/>
  <c r="C49" i="5" s="1" a="1"/>
  <c r="C49" i="5" s="1"/>
  <c r="G49" i="5" s="1"/>
  <c r="B28" i="5" a="1"/>
  <c r="B28" i="5" s="1"/>
  <c r="N24" i="5"/>
  <c r="G24" i="5"/>
  <c r="F24" i="5"/>
  <c r="C50" i="5" s="1" a="1"/>
  <c r="C50" i="5" s="1"/>
  <c r="G50" i="5" s="1"/>
  <c r="B29" i="5" a="1"/>
  <c r="B29" i="5" s="1"/>
  <c r="S607" i="5"/>
  <c r="B31" i="5" a="1"/>
  <c r="B31" i="5" s="1"/>
  <c r="B30" i="5" a="1"/>
  <c r="B30" i="5" s="1"/>
  <c r="S714" i="5"/>
  <c r="R607" i="5"/>
  <c r="P607" i="5"/>
  <c r="B614" i="5" s="1" a="1"/>
  <c r="B614" i="5" s="1"/>
  <c r="R681" i="5"/>
  <c r="Q607" i="5"/>
  <c r="R714" i="5"/>
  <c r="T714" i="5"/>
  <c r="P714" i="5"/>
  <c r="Q714" i="5"/>
  <c r="J617" i="5"/>
  <c r="N617" i="5"/>
  <c r="O617" i="5"/>
  <c r="D617" i="5"/>
  <c r="L617" i="5"/>
  <c r="K617" i="5"/>
  <c r="S681" i="5"/>
  <c r="P681" i="5"/>
  <c r="G617" i="5"/>
  <c r="H617" i="5"/>
  <c r="M617" i="5"/>
  <c r="T681" i="5"/>
  <c r="Q681" i="5"/>
  <c r="E617" i="5"/>
  <c r="F617" i="5"/>
  <c r="Q680" i="5"/>
  <c r="I619" i="5"/>
  <c r="T598" i="5"/>
  <c r="S680" i="5"/>
  <c r="Q603" i="5"/>
  <c r="B617" i="5" s="1" a="1"/>
  <c r="B617" i="5" s="1"/>
  <c r="R680" i="5"/>
  <c r="T680" i="5"/>
  <c r="P680" i="5"/>
  <c r="P601" i="5"/>
  <c r="B689" i="5" s="1" a="1"/>
  <c r="B689" i="5" s="1"/>
  <c r="P603" i="5"/>
  <c r="B616" i="5" s="1" a="1"/>
  <c r="B616" i="5" s="1"/>
  <c r="H690" i="5"/>
  <c r="R598" i="5"/>
  <c r="R603" i="5"/>
  <c r="L690" i="5"/>
  <c r="T603" i="5"/>
  <c r="Q598" i="5"/>
  <c r="B613" i="5" s="1" a="1"/>
  <c r="B613" i="5" s="1"/>
  <c r="E619" i="5"/>
  <c r="C630" i="5" s="1" a="1"/>
  <c r="C630" i="5" s="1"/>
  <c r="O630" i="5" s="1"/>
  <c r="S598" i="5"/>
  <c r="S603" i="5"/>
  <c r="D690" i="5"/>
  <c r="L619" i="5"/>
  <c r="I690" i="5"/>
  <c r="M619" i="5"/>
  <c r="F619" i="5"/>
  <c r="J619" i="5"/>
  <c r="O690" i="5"/>
  <c r="G690" i="5"/>
  <c r="M690" i="5"/>
  <c r="J690" i="5"/>
  <c r="E690" i="5"/>
  <c r="F690" i="5"/>
  <c r="K690" i="5"/>
  <c r="P598" i="5"/>
  <c r="B612" i="5" s="1" a="1"/>
  <c r="B612" i="5" s="1"/>
  <c r="J618" i="5"/>
  <c r="K618" i="5"/>
  <c r="I618" i="5"/>
  <c r="M618" i="5"/>
  <c r="O618" i="5"/>
  <c r="H618" i="5"/>
  <c r="Q601" i="5"/>
  <c r="B690" i="5" s="1" a="1"/>
  <c r="B690" i="5" s="1"/>
  <c r="G618" i="5"/>
  <c r="L618" i="5"/>
  <c r="Q604" i="5"/>
  <c r="B619" i="5" s="1" a="1"/>
  <c r="B619" i="5" s="1"/>
  <c r="H619" i="5"/>
  <c r="K619" i="5"/>
  <c r="F618" i="5"/>
  <c r="D619" i="5"/>
  <c r="C629" i="5" s="1" a="1"/>
  <c r="C629" i="5" s="1"/>
  <c r="D629" i="5" s="1"/>
  <c r="O619" i="5"/>
  <c r="N619" i="5"/>
  <c r="K613" i="5"/>
  <c r="T601" i="5"/>
  <c r="I613" i="5"/>
  <c r="R601" i="5"/>
  <c r="S601" i="5"/>
  <c r="D618" i="5"/>
  <c r="C627" i="5" s="1" a="1"/>
  <c r="C627" i="5" s="1"/>
  <c r="N627" i="5" s="1"/>
  <c r="E618" i="5"/>
  <c r="C628" i="5" s="1" a="1"/>
  <c r="C628" i="5" s="1"/>
  <c r="D628" i="5" s="1"/>
  <c r="C699" i="5" s="1" a="1"/>
  <c r="C699" i="5" s="1"/>
  <c r="D613" i="5"/>
  <c r="E612" i="5"/>
  <c r="O613" i="5"/>
  <c r="F612" i="5"/>
  <c r="F613" i="5"/>
  <c r="G612" i="5"/>
  <c r="M612" i="5"/>
  <c r="L612" i="5"/>
  <c r="H612" i="5"/>
  <c r="E613" i="5"/>
  <c r="M613" i="5"/>
  <c r="N613" i="5"/>
  <c r="N612" i="5"/>
  <c r="I612" i="5"/>
  <c r="R604" i="5"/>
  <c r="P604" i="5"/>
  <c r="B618" i="5" s="1" a="1"/>
  <c r="B618" i="5" s="1"/>
  <c r="G613" i="5"/>
  <c r="D612" i="5"/>
  <c r="C621" i="5" s="1" a="1"/>
  <c r="C621" i="5" s="1"/>
  <c r="M621" i="5" s="1"/>
  <c r="J612" i="5"/>
  <c r="O612" i="5"/>
  <c r="S604" i="5"/>
  <c r="J613" i="5"/>
  <c r="T604" i="5"/>
  <c r="H613" i="5"/>
  <c r="H69" i="5"/>
  <c r="E69" i="5"/>
  <c r="L69" i="5"/>
  <c r="F69" i="5"/>
  <c r="G69" i="5"/>
  <c r="O69" i="5"/>
  <c r="K69" i="5"/>
  <c r="I69" i="5"/>
  <c r="D69" i="5"/>
  <c r="N69" i="5"/>
  <c r="J69" i="5"/>
  <c r="M69" i="5"/>
  <c r="Q614" i="5"/>
  <c r="S614" i="5"/>
  <c r="P614" i="5"/>
  <c r="T614" i="5"/>
  <c r="R614" i="5"/>
  <c r="T712" i="5"/>
  <c r="Q712" i="5"/>
  <c r="B732" i="5" s="1" a="1"/>
  <c r="B732" i="5" s="1"/>
  <c r="S712" i="5"/>
  <c r="R712" i="5"/>
  <c r="P712" i="5"/>
  <c r="B731" i="5" s="1" a="1"/>
  <c r="B731" i="5" s="1"/>
  <c r="N77" i="5"/>
  <c r="J77" i="5"/>
  <c r="G77" i="5"/>
  <c r="O77" i="5"/>
  <c r="I77" i="5"/>
  <c r="F77" i="5"/>
  <c r="L77" i="5"/>
  <c r="E77" i="5"/>
  <c r="C119" i="5" s="1" a="1"/>
  <c r="C119" i="5" s="1"/>
  <c r="M77" i="5"/>
  <c r="K77" i="5"/>
  <c r="D77" i="5"/>
  <c r="C118" i="5" s="1" a="1"/>
  <c r="C118" i="5" s="1"/>
  <c r="H77" i="5"/>
  <c r="P616" i="5"/>
  <c r="B625" i="5" s="1" a="1"/>
  <c r="B625" i="5" s="1"/>
  <c r="T616" i="5"/>
  <c r="R616" i="5"/>
  <c r="Q616" i="5"/>
  <c r="B626" i="5" s="1" a="1"/>
  <c r="B626" i="5" s="1"/>
  <c r="S616" i="5"/>
  <c r="I626" i="5"/>
  <c r="J626" i="5"/>
  <c r="L626" i="5"/>
  <c r="F626" i="5"/>
  <c r="E626" i="5"/>
  <c r="N626" i="5"/>
  <c r="O626" i="5"/>
  <c r="K626" i="5"/>
  <c r="D626" i="5"/>
  <c r="M626" i="5"/>
  <c r="H626" i="5"/>
  <c r="G626" i="5"/>
  <c r="Q43" i="5"/>
  <c r="S43" i="5"/>
  <c r="P43" i="5"/>
  <c r="B77" i="5" s="1" a="1"/>
  <c r="B77" i="5" s="1"/>
  <c r="R43" i="5"/>
  <c r="T43" i="5"/>
  <c r="G731" i="5"/>
  <c r="K731" i="5"/>
  <c r="N731" i="5"/>
  <c r="L731" i="5"/>
  <c r="F731" i="5"/>
  <c r="M731" i="5"/>
  <c r="E731" i="5"/>
  <c r="H731" i="5"/>
  <c r="O731" i="5"/>
  <c r="J731" i="5"/>
  <c r="D731" i="5"/>
  <c r="I731" i="5"/>
  <c r="S40" i="5"/>
  <c r="P40" i="5"/>
  <c r="B72" i="5" s="1" a="1"/>
  <c r="B72" i="5" s="1"/>
  <c r="R40" i="5"/>
  <c r="T40" i="5"/>
  <c r="Q40" i="5"/>
  <c r="R31" i="5"/>
  <c r="T31" i="5"/>
  <c r="P31" i="5"/>
  <c r="Q31" i="5"/>
  <c r="S31" i="5"/>
  <c r="T27" i="5"/>
  <c r="P27" i="5"/>
  <c r="Q27" i="5"/>
  <c r="S27" i="5"/>
  <c r="R27" i="5"/>
  <c r="P32" i="5"/>
  <c r="B64" i="5" s="1" a="1"/>
  <c r="B64" i="5" s="1"/>
  <c r="Q32" i="5"/>
  <c r="B65" i="5" s="1" a="1"/>
  <c r="B65" i="5" s="1"/>
  <c r="T32" i="5"/>
  <c r="R32" i="5"/>
  <c r="S32" i="5"/>
  <c r="I732" i="5"/>
  <c r="N732" i="5"/>
  <c r="G732" i="5"/>
  <c r="M732" i="5"/>
  <c r="D732" i="5"/>
  <c r="H732" i="5"/>
  <c r="L732" i="5"/>
  <c r="F732" i="5"/>
  <c r="J732" i="5"/>
  <c r="E732" i="5"/>
  <c r="K732" i="5"/>
  <c r="O732" i="5"/>
  <c r="I48" i="5"/>
  <c r="E48" i="5"/>
  <c r="J48" i="5"/>
  <c r="L48" i="5"/>
  <c r="D48" i="5"/>
  <c r="F48" i="5"/>
  <c r="K48" i="5"/>
  <c r="G48" i="5"/>
  <c r="O48" i="5"/>
  <c r="M48" i="5"/>
  <c r="N48" i="5"/>
  <c r="H48" i="5"/>
  <c r="R24" i="5"/>
  <c r="T24" i="5"/>
  <c r="Q24" i="5"/>
  <c r="P24" i="5"/>
  <c r="R34" i="5"/>
  <c r="P34" i="5"/>
  <c r="S34" i="5"/>
  <c r="T34" i="5"/>
  <c r="Q34" i="5"/>
  <c r="Q692" i="5"/>
  <c r="S692" i="5"/>
  <c r="T692" i="5"/>
  <c r="P692" i="5"/>
  <c r="R692" i="5"/>
  <c r="P693" i="5"/>
  <c r="S693" i="5"/>
  <c r="T693" i="5"/>
  <c r="R693" i="5"/>
  <c r="Q693" i="5"/>
  <c r="P605" i="5"/>
  <c r="T605" i="5"/>
  <c r="R605" i="5"/>
  <c r="S605" i="5"/>
  <c r="Q605" i="5"/>
  <c r="P35" i="5"/>
  <c r="B66" i="5" s="1" a="1"/>
  <c r="B66" i="5" s="1"/>
  <c r="Q35" i="5"/>
  <c r="R35" i="5"/>
  <c r="S35" i="5"/>
  <c r="T35" i="5"/>
  <c r="H738" i="5"/>
  <c r="L738" i="5"/>
  <c r="F738" i="5"/>
  <c r="J738" i="5"/>
  <c r="G738" i="5"/>
  <c r="N738" i="5"/>
  <c r="K738" i="5"/>
  <c r="M738" i="5"/>
  <c r="O738" i="5"/>
  <c r="E738" i="5"/>
  <c r="D738" i="5"/>
  <c r="I738" i="5"/>
  <c r="R615" i="5"/>
  <c r="Q615" i="5"/>
  <c r="P615" i="5"/>
  <c r="B624" i="5" s="1" a="1"/>
  <c r="B624" i="5" s="1"/>
  <c r="S615" i="5"/>
  <c r="T615" i="5"/>
  <c r="L64" i="5"/>
  <c r="E64" i="5"/>
  <c r="C107" i="5" s="1" a="1"/>
  <c r="C107" i="5" s="1"/>
  <c r="O64" i="5"/>
  <c r="F64" i="5"/>
  <c r="D64" i="5"/>
  <c r="C106" i="5" s="1" a="1"/>
  <c r="C106" i="5" s="1"/>
  <c r="N64" i="5"/>
  <c r="J64" i="5"/>
  <c r="M64" i="5"/>
  <c r="I64" i="5"/>
  <c r="K64" i="5"/>
  <c r="G64" i="5"/>
  <c r="H64" i="5"/>
  <c r="R548" i="5"/>
  <c r="S548" i="5"/>
  <c r="P548" i="5"/>
  <c r="Q548" i="5"/>
  <c r="T548" i="5"/>
  <c r="P597" i="5"/>
  <c r="S597" i="5"/>
  <c r="R597" i="5"/>
  <c r="Q597" i="5"/>
  <c r="T597" i="5"/>
  <c r="S711" i="5"/>
  <c r="Q711" i="5"/>
  <c r="B730" i="5" s="1" a="1"/>
  <c r="B730" i="5" s="1"/>
  <c r="R711" i="5"/>
  <c r="P711" i="5"/>
  <c r="B729" i="5" s="1" a="1"/>
  <c r="B729" i="5" s="1"/>
  <c r="T711" i="5"/>
  <c r="D65" i="5"/>
  <c r="H65" i="5"/>
  <c r="O65" i="5"/>
  <c r="N65" i="5"/>
  <c r="I65" i="5"/>
  <c r="E65" i="5"/>
  <c r="L65" i="5"/>
  <c r="M65" i="5"/>
  <c r="F65" i="5"/>
  <c r="K65" i="5"/>
  <c r="J65" i="5"/>
  <c r="G65" i="5"/>
  <c r="N45" i="5"/>
  <c r="M73" i="5"/>
  <c r="H73" i="5"/>
  <c r="O73" i="5"/>
  <c r="J73" i="5"/>
  <c r="E73" i="5"/>
  <c r="F73" i="5"/>
  <c r="I73" i="5"/>
  <c r="D73" i="5"/>
  <c r="C113" i="5" s="1" a="1"/>
  <c r="C113" i="5" s="1"/>
  <c r="K73" i="5"/>
  <c r="G73" i="5"/>
  <c r="L73" i="5"/>
  <c r="N73" i="5"/>
  <c r="M46" i="5"/>
  <c r="I46" i="5"/>
  <c r="H46" i="5"/>
  <c r="L46" i="5"/>
  <c r="O46" i="5"/>
  <c r="K46" i="5"/>
  <c r="E46" i="5"/>
  <c r="N46" i="5"/>
  <c r="D46" i="5"/>
  <c r="J46" i="5"/>
  <c r="F46" i="5"/>
  <c r="G46" i="5"/>
  <c r="I56" i="5"/>
  <c r="J56" i="5"/>
  <c r="O56" i="5"/>
  <c r="E56" i="5"/>
  <c r="C94" i="5" s="1" a="1"/>
  <c r="C94" i="5" s="1"/>
  <c r="L56" i="5"/>
  <c r="N56" i="5"/>
  <c r="D56" i="5"/>
  <c r="C93" i="5" s="1" a="1"/>
  <c r="C93" i="5" s="1"/>
  <c r="G56" i="5"/>
  <c r="K56" i="5"/>
  <c r="F56" i="5"/>
  <c r="H56" i="5"/>
  <c r="M56" i="5"/>
  <c r="D58" i="5"/>
  <c r="C97" i="5" s="1" a="1"/>
  <c r="C97" i="5" s="1"/>
  <c r="G58" i="5"/>
  <c r="J58" i="5"/>
  <c r="M58" i="5"/>
  <c r="N58" i="5"/>
  <c r="L58" i="5"/>
  <c r="I58" i="5"/>
  <c r="H58" i="5"/>
  <c r="F58" i="5"/>
  <c r="O58" i="5"/>
  <c r="K58" i="5"/>
  <c r="E58" i="5"/>
  <c r="M55" i="5"/>
  <c r="E55" i="5"/>
  <c r="C91" i="5" s="1" a="1"/>
  <c r="C91" i="5" s="1"/>
  <c r="H55" i="5"/>
  <c r="N55" i="5"/>
  <c r="K55" i="5"/>
  <c r="O55" i="5"/>
  <c r="J55" i="5"/>
  <c r="F55" i="5"/>
  <c r="C92" i="5" s="1" a="1"/>
  <c r="C92" i="5" s="1"/>
  <c r="I55" i="5"/>
  <c r="L55" i="5"/>
  <c r="D55" i="5"/>
  <c r="C90" i="5" s="1" a="1"/>
  <c r="C90" i="5" s="1"/>
  <c r="G55" i="5"/>
  <c r="K737" i="5"/>
  <c r="I737" i="5"/>
  <c r="M737" i="5"/>
  <c r="E737" i="5"/>
  <c r="O737" i="5"/>
  <c r="J737" i="5"/>
  <c r="G737" i="5"/>
  <c r="L737" i="5"/>
  <c r="D737" i="5"/>
  <c r="F737" i="5"/>
  <c r="N737" i="5"/>
  <c r="H737" i="5"/>
  <c r="L53" i="5"/>
  <c r="E53" i="5"/>
  <c r="C85" i="5" s="1" a="1"/>
  <c r="C85" i="5" s="1"/>
  <c r="D53" i="5"/>
  <c r="C84" i="5" s="1" a="1"/>
  <c r="C84" i="5" s="1"/>
  <c r="O53" i="5"/>
  <c r="G53" i="5"/>
  <c r="C87" i="5" s="1" a="1"/>
  <c r="C87" i="5" s="1"/>
  <c r="K53" i="5"/>
  <c r="I53" i="5"/>
  <c r="N53" i="5"/>
  <c r="F53" i="5"/>
  <c r="C86" i="5" s="1" a="1"/>
  <c r="C86" i="5" s="1"/>
  <c r="H53" i="5"/>
  <c r="M53" i="5"/>
  <c r="J53" i="5"/>
  <c r="P596" i="5"/>
  <c r="T596" i="5"/>
  <c r="S596" i="5"/>
  <c r="R596" i="5"/>
  <c r="Q596" i="5"/>
  <c r="E72" i="5"/>
  <c r="H72" i="5"/>
  <c r="G72" i="5"/>
  <c r="I72" i="5"/>
  <c r="N72" i="5"/>
  <c r="K72" i="5"/>
  <c r="L72" i="5"/>
  <c r="D72" i="5"/>
  <c r="C112" i="5" s="1" a="1"/>
  <c r="C112" i="5" s="1"/>
  <c r="F72" i="5"/>
  <c r="M72" i="5"/>
  <c r="J72" i="5"/>
  <c r="O72" i="5"/>
  <c r="R37" i="5"/>
  <c r="P37" i="5"/>
  <c r="B67" i="5" s="1" a="1"/>
  <c r="B67" i="5" s="1"/>
  <c r="T37" i="5"/>
  <c r="Q37" i="5"/>
  <c r="S37" i="5"/>
  <c r="K729" i="5"/>
  <c r="H729" i="5"/>
  <c r="I729" i="5"/>
  <c r="F729" i="5"/>
  <c r="M729" i="5"/>
  <c r="D729" i="5"/>
  <c r="C741" i="5" s="1" a="1"/>
  <c r="C741" i="5" s="1"/>
  <c r="N729" i="5"/>
  <c r="J729" i="5"/>
  <c r="L729" i="5"/>
  <c r="E729" i="5"/>
  <c r="C742" i="5" s="1" a="1"/>
  <c r="C742" i="5" s="1"/>
  <c r="G729" i="5"/>
  <c r="O729" i="5"/>
  <c r="D57" i="5"/>
  <c r="C95" i="5" s="1" a="1"/>
  <c r="C95" i="5" s="1"/>
  <c r="L57" i="5"/>
  <c r="J57" i="5"/>
  <c r="K57" i="5"/>
  <c r="O57" i="5"/>
  <c r="F57" i="5"/>
  <c r="I57" i="5"/>
  <c r="H57" i="5"/>
  <c r="E57" i="5"/>
  <c r="C96" i="5" s="1" a="1"/>
  <c r="C96" i="5" s="1"/>
  <c r="G57" i="5"/>
  <c r="M57" i="5"/>
  <c r="N57" i="5"/>
  <c r="K78" i="5"/>
  <c r="M78" i="5"/>
  <c r="O78" i="5"/>
  <c r="L78" i="5"/>
  <c r="N78" i="5"/>
  <c r="J78" i="5"/>
  <c r="E78" i="5"/>
  <c r="G78" i="5"/>
  <c r="I78" i="5"/>
  <c r="H78" i="5"/>
  <c r="F78" i="5"/>
  <c r="D78" i="5"/>
  <c r="J730" i="5"/>
  <c r="E730" i="5"/>
  <c r="G730" i="5"/>
  <c r="F730" i="5"/>
  <c r="O730" i="5"/>
  <c r="K730" i="5"/>
  <c r="I730" i="5"/>
  <c r="N730" i="5"/>
  <c r="H730" i="5"/>
  <c r="M730" i="5"/>
  <c r="D730" i="5"/>
  <c r="L730" i="5"/>
  <c r="Q715" i="5"/>
  <c r="B736" i="5" s="1" a="1"/>
  <c r="B736" i="5" s="1"/>
  <c r="P715" i="5"/>
  <c r="B735" i="5" s="1" a="1"/>
  <c r="B735" i="5" s="1"/>
  <c r="S715" i="5"/>
  <c r="T715" i="5"/>
  <c r="R715" i="5"/>
  <c r="J71" i="5"/>
  <c r="O71" i="5"/>
  <c r="H71" i="5"/>
  <c r="K71" i="5"/>
  <c r="L71" i="5"/>
  <c r="E71" i="5"/>
  <c r="G71" i="5"/>
  <c r="I71" i="5"/>
  <c r="M71" i="5"/>
  <c r="N71" i="5"/>
  <c r="D71" i="5"/>
  <c r="F71" i="5"/>
  <c r="O622" i="5"/>
  <c r="E622" i="5"/>
  <c r="K622" i="5"/>
  <c r="L622" i="5"/>
  <c r="I622" i="5"/>
  <c r="J622" i="5"/>
  <c r="M622" i="5"/>
  <c r="G622" i="5"/>
  <c r="H622" i="5"/>
  <c r="D622" i="5"/>
  <c r="C631" i="5" s="1" a="1"/>
  <c r="C631" i="5" s="1"/>
  <c r="N622" i="5"/>
  <c r="F622" i="5"/>
  <c r="F63" i="5"/>
  <c r="H63" i="5"/>
  <c r="O63" i="5"/>
  <c r="M63" i="5"/>
  <c r="G63" i="5"/>
  <c r="N63" i="5"/>
  <c r="E63" i="5"/>
  <c r="J63" i="5"/>
  <c r="I63" i="5"/>
  <c r="L63" i="5"/>
  <c r="K63" i="5"/>
  <c r="D63" i="5"/>
  <c r="I61" i="5"/>
  <c r="N61" i="5"/>
  <c r="O61" i="5"/>
  <c r="L61" i="5"/>
  <c r="K61" i="5"/>
  <c r="E61" i="5"/>
  <c r="C103" i="5" s="1" a="1"/>
  <c r="C103" i="5" s="1"/>
  <c r="J61" i="5"/>
  <c r="D61" i="5"/>
  <c r="C102" i="5" s="1" a="1"/>
  <c r="C102" i="5" s="1"/>
  <c r="F61" i="5"/>
  <c r="H61" i="5"/>
  <c r="G61" i="5"/>
  <c r="M61" i="5"/>
  <c r="E75" i="5"/>
  <c r="C116" i="5" s="1" a="1"/>
  <c r="C116" i="5" s="1"/>
  <c r="L75" i="5"/>
  <c r="H75" i="5"/>
  <c r="G75" i="5"/>
  <c r="N75" i="5"/>
  <c r="O75" i="5"/>
  <c r="I75" i="5"/>
  <c r="M75" i="5"/>
  <c r="F75" i="5"/>
  <c r="K75" i="5"/>
  <c r="D75" i="5"/>
  <c r="C115" i="5" s="1" a="1"/>
  <c r="C115" i="5" s="1"/>
  <c r="J75" i="5"/>
  <c r="S41" i="5"/>
  <c r="T41" i="5"/>
  <c r="Q41" i="5"/>
  <c r="B74" i="5" s="1" a="1"/>
  <c r="B74" i="5" s="1"/>
  <c r="P41" i="5"/>
  <c r="B73" i="5" s="1" a="1"/>
  <c r="B73" i="5" s="1"/>
  <c r="R41" i="5"/>
  <c r="Q733" i="5"/>
  <c r="R733" i="5"/>
  <c r="S733" i="5"/>
  <c r="T733" i="5"/>
  <c r="P733" i="5"/>
  <c r="Q716" i="5"/>
  <c r="B738" i="5" s="1" a="1"/>
  <c r="B738" i="5" s="1"/>
  <c r="T716" i="5"/>
  <c r="R716" i="5"/>
  <c r="P716" i="5"/>
  <c r="B737" i="5" s="1" a="1"/>
  <c r="B737" i="5" s="1"/>
  <c r="S716" i="5"/>
  <c r="L735" i="5"/>
  <c r="K735" i="5"/>
  <c r="N735" i="5"/>
  <c r="E735" i="5"/>
  <c r="D735" i="5"/>
  <c r="H735" i="5"/>
  <c r="J735" i="5"/>
  <c r="O735" i="5"/>
  <c r="I735" i="5"/>
  <c r="G735" i="5"/>
  <c r="M735" i="5"/>
  <c r="F735" i="5"/>
  <c r="L623" i="5"/>
  <c r="M623" i="5"/>
  <c r="N623" i="5"/>
  <c r="I623" i="5"/>
  <c r="G623" i="5"/>
  <c r="J623" i="5"/>
  <c r="O623" i="5"/>
  <c r="E623" i="5"/>
  <c r="F623" i="5"/>
  <c r="D623" i="5"/>
  <c r="H623" i="5"/>
  <c r="K623" i="5"/>
  <c r="T595" i="5"/>
  <c r="Q595" i="5"/>
  <c r="S595" i="5"/>
  <c r="P595" i="5"/>
  <c r="R595" i="5"/>
  <c r="E76" i="5"/>
  <c r="N76" i="5"/>
  <c r="F76" i="5"/>
  <c r="O76" i="5"/>
  <c r="D76" i="5"/>
  <c r="C117" i="5" s="1" a="1"/>
  <c r="C117" i="5" s="1"/>
  <c r="M76" i="5"/>
  <c r="G76" i="5"/>
  <c r="J76" i="5"/>
  <c r="H76" i="5"/>
  <c r="L76" i="5"/>
  <c r="I76" i="5"/>
  <c r="K76" i="5"/>
  <c r="I54" i="5"/>
  <c r="E54" i="5"/>
  <c r="C89" i="5" s="1" a="1"/>
  <c r="C89" i="5" s="1"/>
  <c r="O54" i="5"/>
  <c r="H54" i="5"/>
  <c r="F54" i="5"/>
  <c r="L54" i="5"/>
  <c r="J54" i="5"/>
  <c r="K54" i="5"/>
  <c r="M54" i="5"/>
  <c r="D54" i="5"/>
  <c r="C88" i="5" s="1" a="1"/>
  <c r="C88" i="5" s="1"/>
  <c r="G54" i="5"/>
  <c r="N54" i="5"/>
  <c r="F74" i="5"/>
  <c r="H74" i="5"/>
  <c r="M74" i="5"/>
  <c r="I74" i="5"/>
  <c r="G74" i="5"/>
  <c r="K74" i="5"/>
  <c r="J74" i="5"/>
  <c r="E74" i="5"/>
  <c r="N74" i="5"/>
  <c r="D74" i="5"/>
  <c r="C114" i="5" s="1" a="1"/>
  <c r="C114" i="5" s="1"/>
  <c r="O74" i="5"/>
  <c r="L74" i="5"/>
  <c r="D736" i="5"/>
  <c r="G736" i="5"/>
  <c r="N736" i="5"/>
  <c r="E736" i="5"/>
  <c r="H736" i="5"/>
  <c r="M736" i="5"/>
  <c r="J736" i="5"/>
  <c r="O736" i="5"/>
  <c r="F736" i="5"/>
  <c r="L736" i="5"/>
  <c r="I736" i="5"/>
  <c r="K736" i="5"/>
  <c r="E47" i="5"/>
  <c r="M47" i="5"/>
  <c r="J47" i="5"/>
  <c r="K47" i="5"/>
  <c r="G47" i="5"/>
  <c r="S36" i="5"/>
  <c r="R36" i="5"/>
  <c r="Q36" i="5"/>
  <c r="P36" i="5"/>
  <c r="T36" i="5"/>
  <c r="P30" i="5"/>
  <c r="Q30" i="5"/>
  <c r="S30" i="5"/>
  <c r="T30" i="5"/>
  <c r="R30" i="5"/>
  <c r="R42" i="5"/>
  <c r="T42" i="5"/>
  <c r="Q42" i="5"/>
  <c r="B76" i="5" s="1" a="1"/>
  <c r="B76" i="5" s="1"/>
  <c r="S42" i="5"/>
  <c r="P42" i="5"/>
  <c r="B75" i="5" s="1" a="1"/>
  <c r="B75" i="5" s="1"/>
  <c r="E68" i="5"/>
  <c r="H68" i="5"/>
  <c r="O68" i="5"/>
  <c r="D68" i="5"/>
  <c r="N68" i="5"/>
  <c r="F68" i="5"/>
  <c r="J68" i="5"/>
  <c r="G68" i="5"/>
  <c r="I68" i="5"/>
  <c r="K68" i="5"/>
  <c r="M68" i="5"/>
  <c r="L68" i="5"/>
  <c r="P594" i="5"/>
  <c r="S594" i="5"/>
  <c r="T594" i="5"/>
  <c r="R594" i="5"/>
  <c r="Q594" i="5"/>
  <c r="H52" i="5"/>
  <c r="G52" i="5"/>
  <c r="J52" i="5"/>
  <c r="F52" i="5"/>
  <c r="I60" i="5"/>
  <c r="J60" i="5"/>
  <c r="N60" i="5"/>
  <c r="G60" i="5"/>
  <c r="H60" i="5"/>
  <c r="K60" i="5"/>
  <c r="L60" i="5"/>
  <c r="D60" i="5"/>
  <c r="C100" i="5" s="1" a="1"/>
  <c r="C100" i="5" s="1"/>
  <c r="M60" i="5"/>
  <c r="E60" i="5"/>
  <c r="C101" i="5" s="1" a="1"/>
  <c r="C101" i="5" s="1"/>
  <c r="F60" i="5"/>
  <c r="O60" i="5"/>
  <c r="Q39" i="5"/>
  <c r="B71" i="5" s="1" a="1"/>
  <c r="B71" i="5" s="1"/>
  <c r="R39" i="5"/>
  <c r="P39" i="5"/>
  <c r="B70" i="5" s="1" a="1"/>
  <c r="B70" i="5" s="1"/>
  <c r="S39" i="5"/>
  <c r="T39" i="5"/>
  <c r="G625" i="5"/>
  <c r="J625" i="5"/>
  <c r="N625" i="5"/>
  <c r="F625" i="5"/>
  <c r="K625" i="5"/>
  <c r="I625" i="5"/>
  <c r="L625" i="5"/>
  <c r="H625" i="5"/>
  <c r="O625" i="5"/>
  <c r="D625" i="5"/>
  <c r="E625" i="5"/>
  <c r="M625" i="5"/>
  <c r="P44" i="5"/>
  <c r="B78" i="5" s="1" a="1"/>
  <c r="B78" i="5" s="1"/>
  <c r="S44" i="5"/>
  <c r="T44" i="5"/>
  <c r="Q44" i="5"/>
  <c r="R44" i="5"/>
  <c r="K62" i="5"/>
  <c r="I62" i="5"/>
  <c r="O62" i="5"/>
  <c r="J62" i="5"/>
  <c r="D62" i="5"/>
  <c r="C104" i="5" s="1" a="1"/>
  <c r="C104" i="5" s="1"/>
  <c r="H62" i="5"/>
  <c r="N62" i="5"/>
  <c r="G62" i="5"/>
  <c r="M62" i="5"/>
  <c r="L62" i="5"/>
  <c r="E62" i="5"/>
  <c r="C105" i="5" s="1" a="1"/>
  <c r="C105" i="5" s="1"/>
  <c r="F62" i="5"/>
  <c r="G59" i="5"/>
  <c r="I59" i="5"/>
  <c r="J59" i="5"/>
  <c r="M59" i="5"/>
  <c r="D59" i="5"/>
  <c r="C98" i="5" s="1" a="1"/>
  <c r="C98" i="5" s="1"/>
  <c r="K59" i="5"/>
  <c r="F59" i="5"/>
  <c r="L59" i="5"/>
  <c r="N59" i="5"/>
  <c r="H59" i="5"/>
  <c r="O59" i="5"/>
  <c r="E59" i="5"/>
  <c r="C99" i="5" s="1" a="1"/>
  <c r="C99" i="5" s="1"/>
  <c r="S28" i="5"/>
  <c r="T28" i="5"/>
  <c r="R28" i="5"/>
  <c r="P28" i="5"/>
  <c r="B57" i="5" s="1" a="1"/>
  <c r="B57" i="5" s="1"/>
  <c r="Q28" i="5"/>
  <c r="B58" i="5" s="1" a="1"/>
  <c r="B58" i="5" s="1"/>
  <c r="F51" i="5"/>
  <c r="J51" i="5"/>
  <c r="D51" i="5"/>
  <c r="H51" i="5"/>
  <c r="L51" i="5"/>
  <c r="K51" i="5"/>
  <c r="E51" i="5"/>
  <c r="N51" i="5"/>
  <c r="I51" i="5"/>
  <c r="M51" i="5"/>
  <c r="G51" i="5"/>
  <c r="O51" i="5"/>
  <c r="Q33" i="5"/>
  <c r="P33" i="5"/>
  <c r="S33" i="5"/>
  <c r="T33" i="5"/>
  <c r="R33" i="5"/>
  <c r="J66" i="5"/>
  <c r="H66" i="5"/>
  <c r="E66" i="5"/>
  <c r="C109" i="5" s="1" a="1"/>
  <c r="C109" i="5" s="1"/>
  <c r="M66" i="5"/>
  <c r="G66" i="5"/>
  <c r="L66" i="5"/>
  <c r="D66" i="5"/>
  <c r="C108" i="5" s="1" a="1"/>
  <c r="C108" i="5" s="1"/>
  <c r="K66" i="5"/>
  <c r="I66" i="5"/>
  <c r="N66" i="5"/>
  <c r="O66" i="5"/>
  <c r="F66" i="5"/>
  <c r="S26" i="5"/>
  <c r="B56" i="5" s="1" a="1"/>
  <c r="B56" i="5" s="1"/>
  <c r="T26" i="5"/>
  <c r="P26" i="5"/>
  <c r="B53" i="5" s="1" a="1"/>
  <c r="B53" i="5" s="1"/>
  <c r="Q26" i="5"/>
  <c r="B54" i="5" s="1" a="1"/>
  <c r="B54" i="5" s="1"/>
  <c r="R26" i="5"/>
  <c r="B55" i="5" s="1" a="1"/>
  <c r="B55" i="5" s="1"/>
  <c r="Q694" i="5"/>
  <c r="S694" i="5"/>
  <c r="P694" i="5"/>
  <c r="R694" i="5"/>
  <c r="T694" i="5"/>
  <c r="L70" i="5"/>
  <c r="N70" i="5"/>
  <c r="F70" i="5"/>
  <c r="M70" i="5"/>
  <c r="J70" i="5"/>
  <c r="I70" i="5"/>
  <c r="O70" i="5"/>
  <c r="K70" i="5"/>
  <c r="G70" i="5"/>
  <c r="E70" i="5"/>
  <c r="D70" i="5"/>
  <c r="H70" i="5"/>
  <c r="L624" i="5"/>
  <c r="J624" i="5"/>
  <c r="D624" i="5"/>
  <c r="I624" i="5"/>
  <c r="N624" i="5"/>
  <c r="G624" i="5"/>
  <c r="O624" i="5"/>
  <c r="H624" i="5"/>
  <c r="M624" i="5"/>
  <c r="F624" i="5"/>
  <c r="K624" i="5"/>
  <c r="E624" i="5"/>
  <c r="T620" i="5"/>
  <c r="R620" i="5"/>
  <c r="S620" i="5"/>
  <c r="Q620" i="5"/>
  <c r="P620" i="5"/>
  <c r="B627" i="5" s="1" a="1"/>
  <c r="B627" i="5" s="1"/>
  <c r="T38" i="5"/>
  <c r="R38" i="5"/>
  <c r="P38" i="5"/>
  <c r="B68" i="5" s="1" a="1"/>
  <c r="B68" i="5" s="1"/>
  <c r="S38" i="5"/>
  <c r="Q38" i="5"/>
  <c r="B69" i="5" s="1" a="1"/>
  <c r="B69" i="5" s="1"/>
  <c r="F67" i="5"/>
  <c r="I67" i="5"/>
  <c r="G67" i="5"/>
  <c r="N67" i="5"/>
  <c r="D67" i="5"/>
  <c r="C110" i="5" s="1" a="1"/>
  <c r="C110" i="5" s="1"/>
  <c r="K67" i="5"/>
  <c r="M67" i="5"/>
  <c r="H67" i="5"/>
  <c r="O67" i="5"/>
  <c r="L67" i="5"/>
  <c r="J67" i="5"/>
  <c r="E67" i="5"/>
  <c r="C111" i="5" s="1" a="1"/>
  <c r="C111" i="5" s="1"/>
  <c r="R734" i="5"/>
  <c r="Q734" i="5"/>
  <c r="S734" i="5"/>
  <c r="P734" i="5"/>
  <c r="T734" i="5"/>
  <c r="P29" i="5"/>
  <c r="T29" i="5"/>
  <c r="R29" i="5"/>
  <c r="Q29" i="5"/>
  <c r="S29" i="5"/>
  <c r="I52" i="5" l="1"/>
  <c r="K52" i="5"/>
  <c r="D52" i="5"/>
  <c r="E52" i="5"/>
  <c r="N52" i="5"/>
  <c r="L52" i="5"/>
  <c r="O52" i="5"/>
  <c r="T25" i="5"/>
  <c r="K49" i="5"/>
  <c r="P25" i="5"/>
  <c r="B51" i="5" s="1" a="1"/>
  <c r="B51" i="5" s="1"/>
  <c r="K50" i="5"/>
  <c r="S22" i="5"/>
  <c r="E50" i="5"/>
  <c r="P23" i="5"/>
  <c r="B47" i="5" s="1" a="1"/>
  <c r="B47" i="5" s="1"/>
  <c r="J50" i="5"/>
  <c r="I50" i="5"/>
  <c r="Q25" i="5"/>
  <c r="B52" i="5" s="1" a="1"/>
  <c r="B52" i="5" s="1"/>
  <c r="I47" i="5"/>
  <c r="M45" i="5"/>
  <c r="B49" i="5" a="1"/>
  <c r="B49" i="5" s="1"/>
  <c r="I45" i="5"/>
  <c r="J45" i="5"/>
  <c r="E45" i="5"/>
  <c r="C80" i="5" s="1" a="1"/>
  <c r="C80" i="5" s="1"/>
  <c r="J80" i="5" s="1"/>
  <c r="B50" i="5" a="1"/>
  <c r="B50" i="5" s="1"/>
  <c r="G45" i="5"/>
  <c r="C82" i="5" s="1" a="1"/>
  <c r="C82" i="5" s="1"/>
  <c r="K82" i="5" s="1"/>
  <c r="F45" i="5"/>
  <c r="C81" i="5" s="1" a="1"/>
  <c r="C81" i="5" s="1"/>
  <c r="L81" i="5" s="1"/>
  <c r="D47" i="5"/>
  <c r="H45" i="5"/>
  <c r="B48" i="5" a="1"/>
  <c r="B48" i="5" s="1"/>
  <c r="L45" i="5"/>
  <c r="O45" i="5"/>
  <c r="T45" i="5" s="1"/>
  <c r="Q22" i="5"/>
  <c r="B46" i="5" s="1" a="1"/>
  <c r="B46" i="5" s="1"/>
  <c r="P22" i="5"/>
  <c r="R22" i="5"/>
  <c r="D45" i="5"/>
  <c r="C79" i="5" s="1" a="1"/>
  <c r="C79" i="5" s="1"/>
  <c r="D79" i="5" s="1"/>
  <c r="C120" i="5" s="1" a="1"/>
  <c r="C120" i="5" s="1"/>
  <c r="Q23" i="5"/>
  <c r="T23" i="5"/>
  <c r="H47" i="5"/>
  <c r="N47" i="5"/>
  <c r="F47" i="5"/>
  <c r="R23" i="5"/>
  <c r="L47" i="5"/>
  <c r="S23" i="5"/>
  <c r="P617" i="5"/>
  <c r="O50" i="5"/>
  <c r="D50" i="5"/>
  <c r="C83" i="5" s="1" a="1"/>
  <c r="C83" i="5" s="1"/>
  <c r="M83" i="5" s="1"/>
  <c r="M50" i="5"/>
  <c r="F50" i="5"/>
  <c r="B63" i="5" a="1"/>
  <c r="B63" i="5" s="1"/>
  <c r="L50" i="5"/>
  <c r="D49" i="5"/>
  <c r="H50" i="5"/>
  <c r="O49" i="5"/>
  <c r="N50" i="5"/>
  <c r="F49" i="5"/>
  <c r="H49" i="5"/>
  <c r="M49" i="5"/>
  <c r="E49" i="5"/>
  <c r="I49" i="5"/>
  <c r="N49" i="5"/>
  <c r="B60" i="5" a="1"/>
  <c r="B60" i="5" s="1"/>
  <c r="L49" i="5"/>
  <c r="J49" i="5"/>
  <c r="B62" i="5" a="1"/>
  <c r="B62" i="5" s="1"/>
  <c r="B59" i="5" a="1"/>
  <c r="B59" i="5" s="1"/>
  <c r="B45" i="5" a="1"/>
  <c r="B45" i="5" s="1"/>
  <c r="B61" i="5" a="1"/>
  <c r="B61" i="5" s="1"/>
  <c r="S617" i="5"/>
  <c r="T617" i="5"/>
  <c r="Q617" i="5"/>
  <c r="R617" i="5"/>
  <c r="F629" i="5"/>
  <c r="L629" i="5"/>
  <c r="I629" i="5"/>
  <c r="E629" i="5"/>
  <c r="O629" i="5"/>
  <c r="Q619" i="5"/>
  <c r="B630" i="5" s="1" a="1"/>
  <c r="B630" i="5" s="1"/>
  <c r="N629" i="5"/>
  <c r="M629" i="5"/>
  <c r="G629" i="5"/>
  <c r="H629" i="5"/>
  <c r="T619" i="5"/>
  <c r="P619" i="5"/>
  <c r="B629" i="5" s="1" a="1"/>
  <c r="B629" i="5" s="1"/>
  <c r="D630" i="5"/>
  <c r="R619" i="5"/>
  <c r="T690" i="5"/>
  <c r="E630" i="5"/>
  <c r="M630" i="5"/>
  <c r="K629" i="5"/>
  <c r="I630" i="5"/>
  <c r="G630" i="5"/>
  <c r="F630" i="5"/>
  <c r="J630" i="5"/>
  <c r="K630" i="5"/>
  <c r="L630" i="5"/>
  <c r="J629" i="5"/>
  <c r="H630" i="5"/>
  <c r="K627" i="5"/>
  <c r="N630" i="5"/>
  <c r="S612" i="5"/>
  <c r="R618" i="5"/>
  <c r="P690" i="5"/>
  <c r="S690" i="5"/>
  <c r="S618" i="5"/>
  <c r="S619" i="5"/>
  <c r="L628" i="5"/>
  <c r="Q618" i="5"/>
  <c r="B628" i="5" s="1" a="1"/>
  <c r="B628" i="5" s="1"/>
  <c r="Q690" i="5"/>
  <c r="I628" i="5"/>
  <c r="P618" i="5"/>
  <c r="B697" i="5" s="1" a="1"/>
  <c r="B697" i="5" s="1"/>
  <c r="Q613" i="5"/>
  <c r="G627" i="5"/>
  <c r="R690" i="5"/>
  <c r="I627" i="5"/>
  <c r="L627" i="5"/>
  <c r="E627" i="5"/>
  <c r="T618" i="5"/>
  <c r="M627" i="5"/>
  <c r="F627" i="5"/>
  <c r="D627" i="5"/>
  <c r="O627" i="5"/>
  <c r="J627" i="5"/>
  <c r="H627" i="5"/>
  <c r="P613" i="5"/>
  <c r="P612" i="5"/>
  <c r="B621" i="5" s="1" a="1"/>
  <c r="B621" i="5" s="1"/>
  <c r="T613" i="5"/>
  <c r="N628" i="5"/>
  <c r="G628" i="5"/>
  <c r="M628" i="5"/>
  <c r="F628" i="5"/>
  <c r="E628" i="5"/>
  <c r="C700" i="5" s="1" a="1"/>
  <c r="C700" i="5" s="1"/>
  <c r="I700" i="5" s="1"/>
  <c r="J628" i="5"/>
  <c r="H628" i="5"/>
  <c r="O628" i="5"/>
  <c r="K628" i="5"/>
  <c r="R613" i="5"/>
  <c r="Q612" i="5"/>
  <c r="R612" i="5"/>
  <c r="T612" i="5"/>
  <c r="I621" i="5"/>
  <c r="S613" i="5"/>
  <c r="J621" i="5"/>
  <c r="L621" i="5"/>
  <c r="O621" i="5"/>
  <c r="E621" i="5"/>
  <c r="K621" i="5"/>
  <c r="F621" i="5"/>
  <c r="H621" i="5"/>
  <c r="N621" i="5"/>
  <c r="D621" i="5"/>
  <c r="G621" i="5"/>
  <c r="R729" i="5"/>
  <c r="Q729" i="5"/>
  <c r="B742" i="5" s="1" a="1"/>
  <c r="B742" i="5" s="1"/>
  <c r="T729" i="5"/>
  <c r="P729" i="5"/>
  <c r="B741" i="5" s="1" a="1"/>
  <c r="B741" i="5" s="1"/>
  <c r="S729" i="5"/>
  <c r="E95" i="5"/>
  <c r="H95" i="5"/>
  <c r="D95" i="5"/>
  <c r="C146" i="5" s="1" a="1"/>
  <c r="C146" i="5" s="1"/>
  <c r="L95" i="5"/>
  <c r="F95" i="5"/>
  <c r="O95" i="5"/>
  <c r="I95" i="5"/>
  <c r="G95" i="5"/>
  <c r="N95" i="5"/>
  <c r="K95" i="5"/>
  <c r="M95" i="5"/>
  <c r="J95" i="5"/>
  <c r="S73" i="5"/>
  <c r="T73" i="5"/>
  <c r="Q73" i="5"/>
  <c r="R73" i="5"/>
  <c r="P73" i="5"/>
  <c r="B113" i="5" s="1" a="1"/>
  <c r="B113" i="5" s="1"/>
  <c r="H631" i="5"/>
  <c r="G631" i="5"/>
  <c r="N631" i="5"/>
  <c r="I631" i="5"/>
  <c r="L631" i="5"/>
  <c r="K631" i="5"/>
  <c r="J631" i="5"/>
  <c r="E631" i="5"/>
  <c r="O631" i="5"/>
  <c r="F631" i="5"/>
  <c r="M631" i="5"/>
  <c r="D631" i="5"/>
  <c r="Q60" i="5"/>
  <c r="P60" i="5"/>
  <c r="R60" i="5"/>
  <c r="S60" i="5"/>
  <c r="T60" i="5"/>
  <c r="H742" i="5"/>
  <c r="L742" i="5"/>
  <c r="O742" i="5"/>
  <c r="J742" i="5"/>
  <c r="M742" i="5"/>
  <c r="N742" i="5"/>
  <c r="E742" i="5"/>
  <c r="K742" i="5"/>
  <c r="D742" i="5"/>
  <c r="I742" i="5"/>
  <c r="G742" i="5"/>
  <c r="F742" i="5"/>
  <c r="E119" i="5"/>
  <c r="O119" i="5"/>
  <c r="D119" i="5"/>
  <c r="K119" i="5"/>
  <c r="G119" i="5"/>
  <c r="F119" i="5"/>
  <c r="I119" i="5"/>
  <c r="H119" i="5"/>
  <c r="M119" i="5"/>
  <c r="N119" i="5"/>
  <c r="J119" i="5"/>
  <c r="L119" i="5"/>
  <c r="T730" i="5"/>
  <c r="S730" i="5"/>
  <c r="R730" i="5"/>
  <c r="P730" i="5"/>
  <c r="Q730" i="5"/>
  <c r="D93" i="5"/>
  <c r="C144" i="5" s="1" a="1"/>
  <c r="C144" i="5" s="1"/>
  <c r="G93" i="5"/>
  <c r="M93" i="5"/>
  <c r="J93" i="5"/>
  <c r="F93" i="5"/>
  <c r="N93" i="5"/>
  <c r="O93" i="5"/>
  <c r="I93" i="5"/>
  <c r="L93" i="5"/>
  <c r="H93" i="5"/>
  <c r="K93" i="5"/>
  <c r="E93" i="5"/>
  <c r="S75" i="5"/>
  <c r="T75" i="5"/>
  <c r="R75" i="5"/>
  <c r="Q75" i="5"/>
  <c r="B116" i="5" s="1" a="1"/>
  <c r="B116" i="5" s="1"/>
  <c r="P75" i="5"/>
  <c r="B115" i="5" s="1" a="1"/>
  <c r="B115" i="5" s="1"/>
  <c r="J94" i="5"/>
  <c r="K94" i="5"/>
  <c r="M94" i="5"/>
  <c r="I94" i="5"/>
  <c r="L94" i="5"/>
  <c r="N94" i="5"/>
  <c r="H94" i="5"/>
  <c r="G94" i="5"/>
  <c r="D94" i="5"/>
  <c r="C145" i="5" s="1" a="1"/>
  <c r="C145" i="5" s="1"/>
  <c r="O94" i="5"/>
  <c r="E94" i="5"/>
  <c r="F94" i="5"/>
  <c r="P54" i="5"/>
  <c r="B88" i="5" s="1" a="1"/>
  <c r="B88" i="5" s="1"/>
  <c r="T54" i="5"/>
  <c r="Q54" i="5"/>
  <c r="B89" i="5" s="1" a="1"/>
  <c r="B89" i="5" s="1"/>
  <c r="R54" i="5"/>
  <c r="S54" i="5"/>
  <c r="R68" i="5"/>
  <c r="S68" i="5"/>
  <c r="Q68" i="5"/>
  <c r="P68" i="5"/>
  <c r="T68" i="5"/>
  <c r="N89" i="5"/>
  <c r="G89" i="5"/>
  <c r="D89" i="5"/>
  <c r="C137" i="5" s="1" a="1"/>
  <c r="C137" i="5" s="1"/>
  <c r="H89" i="5"/>
  <c r="K89" i="5"/>
  <c r="E89" i="5"/>
  <c r="C138" i="5" s="1" a="1"/>
  <c r="C138" i="5" s="1"/>
  <c r="I89" i="5"/>
  <c r="M89" i="5"/>
  <c r="O89" i="5"/>
  <c r="L89" i="5"/>
  <c r="J89" i="5"/>
  <c r="F89" i="5"/>
  <c r="H80" i="5"/>
  <c r="M111" i="5"/>
  <c r="N111" i="5"/>
  <c r="F111" i="5"/>
  <c r="G111" i="5"/>
  <c r="O111" i="5"/>
  <c r="L111" i="5"/>
  <c r="D111" i="5"/>
  <c r="J111" i="5"/>
  <c r="H111" i="5"/>
  <c r="I111" i="5"/>
  <c r="E111" i="5"/>
  <c r="K111" i="5"/>
  <c r="S59" i="5"/>
  <c r="P59" i="5"/>
  <c r="R59" i="5"/>
  <c r="Q59" i="5"/>
  <c r="T59" i="5"/>
  <c r="I87" i="5"/>
  <c r="E87" i="5"/>
  <c r="D87" i="5"/>
  <c r="C134" i="5" s="1" a="1"/>
  <c r="C134" i="5" s="1"/>
  <c r="O87" i="5"/>
  <c r="N87" i="5"/>
  <c r="J87" i="5"/>
  <c r="G87" i="5"/>
  <c r="F87" i="5"/>
  <c r="K87" i="5"/>
  <c r="M87" i="5"/>
  <c r="L87" i="5"/>
  <c r="H87" i="5"/>
  <c r="F82" i="5"/>
  <c r="E82" i="5"/>
  <c r="C130" i="5" s="1" a="1"/>
  <c r="C130" i="5" s="1"/>
  <c r="J82" i="5"/>
  <c r="I82" i="5"/>
  <c r="G82" i="5"/>
  <c r="N82" i="5"/>
  <c r="L82" i="5"/>
  <c r="M82" i="5"/>
  <c r="O82" i="5"/>
  <c r="D82" i="5"/>
  <c r="C129" i="5" s="1" a="1"/>
  <c r="C129" i="5" s="1"/>
  <c r="H82" i="5"/>
  <c r="P738" i="5"/>
  <c r="S738" i="5"/>
  <c r="T738" i="5"/>
  <c r="R738" i="5"/>
  <c r="Q738" i="5"/>
  <c r="F79" i="5"/>
  <c r="C122" i="5" s="1" a="1"/>
  <c r="C122" i="5" s="1"/>
  <c r="N79" i="5"/>
  <c r="M79" i="5"/>
  <c r="K79" i="5"/>
  <c r="I79" i="5"/>
  <c r="E79" i="5"/>
  <c r="C121" i="5" s="1" a="1"/>
  <c r="C121" i="5" s="1"/>
  <c r="O79" i="5"/>
  <c r="P626" i="5"/>
  <c r="T626" i="5"/>
  <c r="S626" i="5"/>
  <c r="R626" i="5"/>
  <c r="Q626" i="5"/>
  <c r="Q731" i="5"/>
  <c r="R731" i="5"/>
  <c r="T731" i="5"/>
  <c r="S731" i="5"/>
  <c r="P731" i="5"/>
  <c r="H103" i="5"/>
  <c r="J103" i="5"/>
  <c r="N103" i="5"/>
  <c r="G103" i="5"/>
  <c r="F103" i="5"/>
  <c r="O103" i="5"/>
  <c r="D103" i="5"/>
  <c r="K103" i="5"/>
  <c r="I103" i="5"/>
  <c r="M103" i="5"/>
  <c r="L103" i="5"/>
  <c r="E103" i="5"/>
  <c r="R624" i="5"/>
  <c r="P624" i="5"/>
  <c r="B637" i="5" s="1" a="1"/>
  <c r="B637" i="5" s="1"/>
  <c r="T624" i="5"/>
  <c r="Q624" i="5"/>
  <c r="S624" i="5"/>
  <c r="T53" i="5"/>
  <c r="R53" i="5"/>
  <c r="B86" i="5" s="1" a="1"/>
  <c r="B86" i="5" s="1"/>
  <c r="P53" i="5"/>
  <c r="B84" i="5" s="1" a="1"/>
  <c r="B84" i="5" s="1"/>
  <c r="S53" i="5"/>
  <c r="B87" i="5" s="1" a="1"/>
  <c r="B87" i="5" s="1"/>
  <c r="Q53" i="5"/>
  <c r="B85" i="5" s="1" a="1"/>
  <c r="B85" i="5" s="1"/>
  <c r="J108" i="5"/>
  <c r="F108" i="5"/>
  <c r="K108" i="5"/>
  <c r="O108" i="5"/>
  <c r="M108" i="5"/>
  <c r="H108" i="5"/>
  <c r="G108" i="5"/>
  <c r="N108" i="5"/>
  <c r="L108" i="5"/>
  <c r="D108" i="5"/>
  <c r="E108" i="5"/>
  <c r="I108" i="5"/>
  <c r="N109" i="5"/>
  <c r="H109" i="5"/>
  <c r="K109" i="5"/>
  <c r="I109" i="5"/>
  <c r="F109" i="5"/>
  <c r="J109" i="5"/>
  <c r="O109" i="5"/>
  <c r="E109" i="5"/>
  <c r="M109" i="5"/>
  <c r="D109" i="5"/>
  <c r="G109" i="5"/>
  <c r="L109" i="5"/>
  <c r="D98" i="5"/>
  <c r="C150" i="5" s="1" a="1"/>
  <c r="C150" i="5" s="1"/>
  <c r="M98" i="5"/>
  <c r="N98" i="5"/>
  <c r="E98" i="5"/>
  <c r="C151" i="5" s="1" a="1"/>
  <c r="C151" i="5" s="1"/>
  <c r="J98" i="5"/>
  <c r="O98" i="5"/>
  <c r="K98" i="5"/>
  <c r="I98" i="5"/>
  <c r="H98" i="5"/>
  <c r="F98" i="5"/>
  <c r="G98" i="5"/>
  <c r="L98" i="5"/>
  <c r="D741" i="5"/>
  <c r="F741" i="5"/>
  <c r="J741" i="5"/>
  <c r="H741" i="5"/>
  <c r="O741" i="5"/>
  <c r="G741" i="5"/>
  <c r="E741" i="5"/>
  <c r="M741" i="5"/>
  <c r="I741" i="5"/>
  <c r="L741" i="5"/>
  <c r="N741" i="5"/>
  <c r="K741" i="5"/>
  <c r="G102" i="5"/>
  <c r="K102" i="5"/>
  <c r="H102" i="5"/>
  <c r="D102" i="5"/>
  <c r="C154" i="5" s="1" a="1"/>
  <c r="C154" i="5" s="1"/>
  <c r="N102" i="5"/>
  <c r="L102" i="5"/>
  <c r="O102" i="5"/>
  <c r="I102" i="5"/>
  <c r="F102" i="5"/>
  <c r="J102" i="5"/>
  <c r="M102" i="5"/>
  <c r="E102" i="5"/>
  <c r="C155" i="5" s="1" a="1"/>
  <c r="C155" i="5" s="1"/>
  <c r="P735" i="5"/>
  <c r="S735" i="5"/>
  <c r="Q735" i="5"/>
  <c r="T735" i="5"/>
  <c r="R735" i="5"/>
  <c r="T61" i="5"/>
  <c r="P61" i="5"/>
  <c r="Q61" i="5"/>
  <c r="S61" i="5"/>
  <c r="R61" i="5"/>
  <c r="M106" i="5"/>
  <c r="I106" i="5"/>
  <c r="K106" i="5"/>
  <c r="E106" i="5"/>
  <c r="H106" i="5"/>
  <c r="D106" i="5"/>
  <c r="J106" i="5"/>
  <c r="G106" i="5"/>
  <c r="L106" i="5"/>
  <c r="F106" i="5"/>
  <c r="O106" i="5"/>
  <c r="N106" i="5"/>
  <c r="Q623" i="5"/>
  <c r="S623" i="5"/>
  <c r="T623" i="5"/>
  <c r="P623" i="5"/>
  <c r="R623" i="5"/>
  <c r="N117" i="5"/>
  <c r="E117" i="5"/>
  <c r="O117" i="5"/>
  <c r="M117" i="5"/>
  <c r="G117" i="5"/>
  <c r="I117" i="5"/>
  <c r="L117" i="5"/>
  <c r="J117" i="5"/>
  <c r="F117" i="5"/>
  <c r="K117" i="5"/>
  <c r="H117" i="5"/>
  <c r="D117" i="5"/>
  <c r="Q78" i="5"/>
  <c r="S78" i="5"/>
  <c r="R78" i="5"/>
  <c r="T78" i="5"/>
  <c r="P78" i="5"/>
  <c r="Q72" i="5"/>
  <c r="R72" i="5"/>
  <c r="T72" i="5"/>
  <c r="S72" i="5"/>
  <c r="P72" i="5"/>
  <c r="B112" i="5" s="1" a="1"/>
  <c r="B112" i="5" s="1"/>
  <c r="P46" i="5"/>
  <c r="Q46" i="5"/>
  <c r="S46" i="5"/>
  <c r="R46" i="5"/>
  <c r="T46" i="5"/>
  <c r="E699" i="5"/>
  <c r="C722" i="5" s="1" a="1"/>
  <c r="C722" i="5" s="1"/>
  <c r="D699" i="5"/>
  <c r="C721" i="5" s="1" a="1"/>
  <c r="C721" i="5" s="1"/>
  <c r="N699" i="5"/>
  <c r="I699" i="5"/>
  <c r="H699" i="5"/>
  <c r="M699" i="5"/>
  <c r="K699" i="5"/>
  <c r="G699" i="5"/>
  <c r="J699" i="5"/>
  <c r="F699" i="5"/>
  <c r="L699" i="5"/>
  <c r="O699" i="5"/>
  <c r="S622" i="5"/>
  <c r="P622" i="5"/>
  <c r="B631" i="5" s="1" a="1"/>
  <c r="B631" i="5" s="1"/>
  <c r="R622" i="5"/>
  <c r="Q622" i="5"/>
  <c r="T622" i="5"/>
  <c r="S76" i="5"/>
  <c r="T76" i="5"/>
  <c r="Q76" i="5"/>
  <c r="P76" i="5"/>
  <c r="B117" i="5" s="1" a="1"/>
  <c r="B117" i="5" s="1"/>
  <c r="R76" i="5"/>
  <c r="Q64" i="5"/>
  <c r="B107" i="5" s="1" a="1"/>
  <c r="B107" i="5" s="1"/>
  <c r="T64" i="5"/>
  <c r="S64" i="5"/>
  <c r="R64" i="5"/>
  <c r="P64" i="5"/>
  <c r="B106" i="5" s="1" a="1"/>
  <c r="B106" i="5" s="1"/>
  <c r="I100" i="5"/>
  <c r="L100" i="5"/>
  <c r="M100" i="5"/>
  <c r="H100" i="5"/>
  <c r="F100" i="5"/>
  <c r="K100" i="5"/>
  <c r="J100" i="5"/>
  <c r="N100" i="5"/>
  <c r="E100" i="5"/>
  <c r="O100" i="5"/>
  <c r="D100" i="5"/>
  <c r="G100" i="5"/>
  <c r="O84" i="5"/>
  <c r="F84" i="5"/>
  <c r="H84" i="5"/>
  <c r="E84" i="5"/>
  <c r="D84" i="5"/>
  <c r="L84" i="5"/>
  <c r="J84" i="5"/>
  <c r="M84" i="5"/>
  <c r="N84" i="5"/>
  <c r="I84" i="5"/>
  <c r="G84" i="5"/>
  <c r="K84" i="5"/>
  <c r="T74" i="5"/>
  <c r="P74" i="5"/>
  <c r="Q74" i="5"/>
  <c r="R74" i="5"/>
  <c r="S74" i="5"/>
  <c r="M107" i="5"/>
  <c r="I107" i="5"/>
  <c r="K107" i="5"/>
  <c r="L107" i="5"/>
  <c r="D107" i="5"/>
  <c r="F107" i="5"/>
  <c r="N107" i="5"/>
  <c r="O107" i="5"/>
  <c r="H107" i="5"/>
  <c r="E107" i="5"/>
  <c r="G107" i="5"/>
  <c r="J107" i="5"/>
  <c r="L114" i="5"/>
  <c r="G114" i="5"/>
  <c r="O114" i="5"/>
  <c r="D114" i="5"/>
  <c r="N114" i="5"/>
  <c r="E114" i="5"/>
  <c r="I114" i="5"/>
  <c r="M114" i="5"/>
  <c r="H114" i="5"/>
  <c r="F114" i="5"/>
  <c r="J114" i="5"/>
  <c r="K114" i="5"/>
  <c r="S58" i="5"/>
  <c r="Q58" i="5"/>
  <c r="R58" i="5"/>
  <c r="T58" i="5"/>
  <c r="P58" i="5"/>
  <c r="B97" i="5" s="1" a="1"/>
  <c r="B97" i="5" s="1"/>
  <c r="K86" i="5"/>
  <c r="I86" i="5"/>
  <c r="H86" i="5"/>
  <c r="J86" i="5"/>
  <c r="F86" i="5"/>
  <c r="G86" i="5"/>
  <c r="E86" i="5"/>
  <c r="M86" i="5"/>
  <c r="L86" i="5"/>
  <c r="O86" i="5"/>
  <c r="N86" i="5"/>
  <c r="D86" i="5"/>
  <c r="N105" i="5"/>
  <c r="F105" i="5"/>
  <c r="K105" i="5"/>
  <c r="O105" i="5"/>
  <c r="I105" i="5"/>
  <c r="E105" i="5"/>
  <c r="H105" i="5"/>
  <c r="G105" i="5"/>
  <c r="L105" i="5"/>
  <c r="J105" i="5"/>
  <c r="D105" i="5"/>
  <c r="M105" i="5"/>
  <c r="S71" i="5"/>
  <c r="T71" i="5"/>
  <c r="Q71" i="5"/>
  <c r="P71" i="5"/>
  <c r="R71" i="5"/>
  <c r="F112" i="5"/>
  <c r="I112" i="5"/>
  <c r="K112" i="5"/>
  <c r="M112" i="5"/>
  <c r="H112" i="5"/>
  <c r="G112" i="5"/>
  <c r="O112" i="5"/>
  <c r="N112" i="5"/>
  <c r="L112" i="5"/>
  <c r="E112" i="5"/>
  <c r="C159" i="5" s="1" a="1"/>
  <c r="C159" i="5" s="1"/>
  <c r="D112" i="5"/>
  <c r="C158" i="5" s="1" a="1"/>
  <c r="C158" i="5" s="1"/>
  <c r="J112" i="5"/>
  <c r="S737" i="5"/>
  <c r="T737" i="5"/>
  <c r="Q737" i="5"/>
  <c r="P737" i="5"/>
  <c r="R737" i="5"/>
  <c r="J99" i="5"/>
  <c r="M99" i="5"/>
  <c r="O99" i="5"/>
  <c r="N99" i="5"/>
  <c r="F99" i="5"/>
  <c r="H99" i="5"/>
  <c r="D99" i="5"/>
  <c r="C152" i="5" s="1" a="1"/>
  <c r="C152" i="5" s="1"/>
  <c r="E99" i="5"/>
  <c r="C153" i="5" s="1" a="1"/>
  <c r="C153" i="5" s="1"/>
  <c r="G99" i="5"/>
  <c r="I99" i="5"/>
  <c r="K99" i="5"/>
  <c r="L99" i="5"/>
  <c r="M96" i="5"/>
  <c r="D96" i="5"/>
  <c r="C147" i="5" s="1" a="1"/>
  <c r="C147" i="5" s="1"/>
  <c r="E96" i="5"/>
  <c r="L96" i="5"/>
  <c r="G96" i="5"/>
  <c r="O96" i="5"/>
  <c r="N96" i="5"/>
  <c r="K96" i="5"/>
  <c r="I96" i="5"/>
  <c r="J96" i="5"/>
  <c r="F96" i="5"/>
  <c r="H96" i="5"/>
  <c r="R65" i="5"/>
  <c r="S65" i="5"/>
  <c r="Q65" i="5"/>
  <c r="T65" i="5"/>
  <c r="P65" i="5"/>
  <c r="S48" i="5"/>
  <c r="Q48" i="5"/>
  <c r="T48" i="5"/>
  <c r="R48" i="5"/>
  <c r="P48" i="5"/>
  <c r="H101" i="5"/>
  <c r="I101" i="5"/>
  <c r="L101" i="5"/>
  <c r="N101" i="5"/>
  <c r="J101" i="5"/>
  <c r="M101" i="5"/>
  <c r="D101" i="5"/>
  <c r="G101" i="5"/>
  <c r="K101" i="5"/>
  <c r="F101" i="5"/>
  <c r="O101" i="5"/>
  <c r="E101" i="5"/>
  <c r="E116" i="5"/>
  <c r="N116" i="5"/>
  <c r="F116" i="5"/>
  <c r="G116" i="5"/>
  <c r="H116" i="5"/>
  <c r="K116" i="5"/>
  <c r="M116" i="5"/>
  <c r="L116" i="5"/>
  <c r="O116" i="5"/>
  <c r="J116" i="5"/>
  <c r="D116" i="5"/>
  <c r="I116" i="5"/>
  <c r="I85" i="5"/>
  <c r="E85" i="5"/>
  <c r="F85" i="5"/>
  <c r="M85" i="5"/>
  <c r="H85" i="5"/>
  <c r="L85" i="5"/>
  <c r="J85" i="5"/>
  <c r="K85" i="5"/>
  <c r="O85" i="5"/>
  <c r="N85" i="5"/>
  <c r="D85" i="5"/>
  <c r="C133" i="5" s="1" a="1"/>
  <c r="C133" i="5" s="1"/>
  <c r="G85" i="5"/>
  <c r="T70" i="5"/>
  <c r="P70" i="5"/>
  <c r="R70" i="5"/>
  <c r="Q70" i="5"/>
  <c r="S70" i="5"/>
  <c r="H81" i="5"/>
  <c r="P52" i="5"/>
  <c r="R52" i="5"/>
  <c r="T52" i="5"/>
  <c r="Q52" i="5"/>
  <c r="S52" i="5"/>
  <c r="T69" i="5"/>
  <c r="R69" i="5"/>
  <c r="P69" i="5"/>
  <c r="S69" i="5"/>
  <c r="Q69" i="5"/>
  <c r="Q66" i="5"/>
  <c r="B109" i="5" s="1" a="1"/>
  <c r="B109" i="5" s="1"/>
  <c r="R66" i="5"/>
  <c r="T66" i="5"/>
  <c r="P66" i="5"/>
  <c r="B108" i="5" s="1" a="1"/>
  <c r="B108" i="5" s="1"/>
  <c r="S66" i="5"/>
  <c r="S67" i="5"/>
  <c r="Q67" i="5"/>
  <c r="B111" i="5" s="1" a="1"/>
  <c r="B111" i="5" s="1"/>
  <c r="P67" i="5"/>
  <c r="B110" i="5" s="1" a="1"/>
  <c r="B110" i="5" s="1"/>
  <c r="R67" i="5"/>
  <c r="T67" i="5"/>
  <c r="N113" i="5"/>
  <c r="I113" i="5"/>
  <c r="M113" i="5"/>
  <c r="O113" i="5"/>
  <c r="E113" i="5"/>
  <c r="C161" i="5" s="1" a="1"/>
  <c r="C161" i="5" s="1"/>
  <c r="F113" i="5"/>
  <c r="G113" i="5"/>
  <c r="J113" i="5"/>
  <c r="K113" i="5"/>
  <c r="D113" i="5"/>
  <c r="C160" i="5" s="1" a="1"/>
  <c r="C160" i="5" s="1"/>
  <c r="H113" i="5"/>
  <c r="L113" i="5"/>
  <c r="R732" i="5"/>
  <c r="S732" i="5"/>
  <c r="Q732" i="5"/>
  <c r="T732" i="5"/>
  <c r="P732" i="5"/>
  <c r="T56" i="5"/>
  <c r="R56" i="5"/>
  <c r="P56" i="5"/>
  <c r="B93" i="5" s="1" a="1"/>
  <c r="B93" i="5" s="1"/>
  <c r="Q56" i="5"/>
  <c r="B94" i="5" s="1" a="1"/>
  <c r="B94" i="5" s="1"/>
  <c r="S56" i="5"/>
  <c r="E110" i="5"/>
  <c r="C157" i="5" s="1" a="1"/>
  <c r="C157" i="5" s="1"/>
  <c r="D110" i="5"/>
  <c r="C156" i="5" s="1" a="1"/>
  <c r="C156" i="5" s="1"/>
  <c r="K110" i="5"/>
  <c r="O110" i="5"/>
  <c r="N110" i="5"/>
  <c r="J110" i="5"/>
  <c r="H110" i="5"/>
  <c r="G110" i="5"/>
  <c r="L110" i="5"/>
  <c r="M110" i="5"/>
  <c r="I110" i="5"/>
  <c r="F110" i="5"/>
  <c r="S625" i="5"/>
  <c r="Q625" i="5"/>
  <c r="B634" i="5" s="1" a="1"/>
  <c r="B634" i="5" s="1"/>
  <c r="R625" i="5"/>
  <c r="P625" i="5"/>
  <c r="B633" i="5" s="1" a="1"/>
  <c r="B633" i="5" s="1"/>
  <c r="T625" i="5"/>
  <c r="E104" i="5"/>
  <c r="K104" i="5"/>
  <c r="F104" i="5"/>
  <c r="D104" i="5"/>
  <c r="G104" i="5"/>
  <c r="O104" i="5"/>
  <c r="N104" i="5"/>
  <c r="J104" i="5"/>
  <c r="I104" i="5"/>
  <c r="H104" i="5"/>
  <c r="M104" i="5"/>
  <c r="L104" i="5"/>
  <c r="T57" i="5"/>
  <c r="Q57" i="5"/>
  <c r="B96" i="5" s="1" a="1"/>
  <c r="B96" i="5" s="1"/>
  <c r="P57" i="5"/>
  <c r="B95" i="5" s="1" a="1"/>
  <c r="B95" i="5" s="1"/>
  <c r="S57" i="5"/>
  <c r="R57" i="5"/>
  <c r="H90" i="5"/>
  <c r="N90" i="5"/>
  <c r="J90" i="5"/>
  <c r="L90" i="5"/>
  <c r="M90" i="5"/>
  <c r="I90" i="5"/>
  <c r="D90" i="5"/>
  <c r="C139" i="5" s="1" a="1"/>
  <c r="C139" i="5" s="1"/>
  <c r="K90" i="5"/>
  <c r="G90" i="5"/>
  <c r="F90" i="5"/>
  <c r="O90" i="5"/>
  <c r="E90" i="5"/>
  <c r="C140" i="5" s="1" a="1"/>
  <c r="C140" i="5" s="1"/>
  <c r="D83" i="5"/>
  <c r="C131" i="5" s="1" a="1"/>
  <c r="C131" i="5" s="1"/>
  <c r="H83" i="5"/>
  <c r="S77" i="5"/>
  <c r="R77" i="5"/>
  <c r="T77" i="5"/>
  <c r="Q77" i="5"/>
  <c r="B119" i="5" s="1" a="1"/>
  <c r="B119" i="5" s="1"/>
  <c r="P77" i="5"/>
  <c r="B118" i="5" s="1" a="1"/>
  <c r="B118" i="5" s="1"/>
  <c r="S47" i="5"/>
  <c r="T47" i="5"/>
  <c r="P47" i="5"/>
  <c r="Q47" i="5"/>
  <c r="H115" i="5"/>
  <c r="K115" i="5"/>
  <c r="L115" i="5"/>
  <c r="I115" i="5"/>
  <c r="M115" i="5"/>
  <c r="G115" i="5"/>
  <c r="J115" i="5"/>
  <c r="E115" i="5"/>
  <c r="C163" i="5" s="1" a="1"/>
  <c r="C163" i="5" s="1"/>
  <c r="D115" i="5"/>
  <c r="C162" i="5" s="1" a="1"/>
  <c r="C162" i="5" s="1"/>
  <c r="N115" i="5"/>
  <c r="O115" i="5"/>
  <c r="F115" i="5"/>
  <c r="R63" i="5"/>
  <c r="T63" i="5"/>
  <c r="Q63" i="5"/>
  <c r="P63" i="5"/>
  <c r="S63" i="5"/>
  <c r="F88" i="5"/>
  <c r="H88" i="5"/>
  <c r="G88" i="5"/>
  <c r="N88" i="5"/>
  <c r="D88" i="5"/>
  <c r="C135" i="5" s="1" a="1"/>
  <c r="C135" i="5" s="1"/>
  <c r="J88" i="5"/>
  <c r="E88" i="5"/>
  <c r="C136" i="5" s="1" a="1"/>
  <c r="C136" i="5" s="1"/>
  <c r="M88" i="5"/>
  <c r="L88" i="5"/>
  <c r="O88" i="5"/>
  <c r="I88" i="5"/>
  <c r="K88" i="5"/>
  <c r="K91" i="5"/>
  <c r="O91" i="5"/>
  <c r="G91" i="5"/>
  <c r="L91" i="5"/>
  <c r="M91" i="5"/>
  <c r="J91" i="5"/>
  <c r="H91" i="5"/>
  <c r="E91" i="5"/>
  <c r="I91" i="5"/>
  <c r="D91" i="5"/>
  <c r="C141" i="5" s="1" a="1"/>
  <c r="C141" i="5" s="1"/>
  <c r="F91" i="5"/>
  <c r="N91" i="5"/>
  <c r="S736" i="5"/>
  <c r="P736" i="5"/>
  <c r="T736" i="5"/>
  <c r="R736" i="5"/>
  <c r="Q736" i="5"/>
  <c r="T51" i="5"/>
  <c r="Q51" i="5"/>
  <c r="P51" i="5"/>
  <c r="S51" i="5"/>
  <c r="R51" i="5"/>
  <c r="R62" i="5"/>
  <c r="P62" i="5"/>
  <c r="Q62" i="5"/>
  <c r="S62" i="5"/>
  <c r="T62" i="5"/>
  <c r="J97" i="5"/>
  <c r="M97" i="5"/>
  <c r="I97" i="5"/>
  <c r="F97" i="5"/>
  <c r="N97" i="5"/>
  <c r="D97" i="5"/>
  <c r="C148" i="5" s="1" a="1"/>
  <c r="C148" i="5" s="1"/>
  <c r="O97" i="5"/>
  <c r="G97" i="5"/>
  <c r="L97" i="5"/>
  <c r="K97" i="5"/>
  <c r="H97" i="5"/>
  <c r="E97" i="5"/>
  <c r="C149" i="5" s="1" a="1"/>
  <c r="C149" i="5" s="1"/>
  <c r="R55" i="5"/>
  <c r="B92" i="5" s="1" a="1"/>
  <c r="B92" i="5" s="1"/>
  <c r="P55" i="5"/>
  <c r="B90" i="5" s="1" a="1"/>
  <c r="B90" i="5" s="1"/>
  <c r="T55" i="5"/>
  <c r="Q55" i="5"/>
  <c r="B91" i="5" s="1" a="1"/>
  <c r="B91" i="5" s="1"/>
  <c r="S55" i="5"/>
  <c r="N92" i="5"/>
  <c r="K92" i="5"/>
  <c r="H92" i="5"/>
  <c r="D92" i="5"/>
  <c r="C142" i="5" s="1" a="1"/>
  <c r="C142" i="5" s="1"/>
  <c r="F92" i="5"/>
  <c r="J92" i="5"/>
  <c r="E92" i="5"/>
  <c r="C143" i="5" s="1" a="1"/>
  <c r="C143" i="5" s="1"/>
  <c r="G92" i="5"/>
  <c r="I92" i="5"/>
  <c r="O92" i="5"/>
  <c r="L92" i="5"/>
  <c r="M92" i="5"/>
  <c r="G118" i="5"/>
  <c r="L118" i="5"/>
  <c r="E118" i="5"/>
  <c r="K118" i="5"/>
  <c r="J118" i="5"/>
  <c r="N118" i="5"/>
  <c r="O118" i="5"/>
  <c r="D118" i="5"/>
  <c r="H118" i="5"/>
  <c r="M118" i="5"/>
  <c r="I118" i="5"/>
  <c r="F118" i="5"/>
  <c r="F81" i="5" l="1"/>
  <c r="C128" i="5" s="1" a="1"/>
  <c r="C128" i="5" s="1"/>
  <c r="D81" i="5"/>
  <c r="C126" i="5" s="1" a="1"/>
  <c r="C126" i="5" s="1"/>
  <c r="L80" i="5"/>
  <c r="F80" i="5"/>
  <c r="I81" i="5"/>
  <c r="E80" i="5"/>
  <c r="C125" i="5" s="1" a="1"/>
  <c r="C125" i="5" s="1"/>
  <c r="M81" i="5"/>
  <c r="D80" i="5"/>
  <c r="C124" i="5" s="1" a="1"/>
  <c r="C124" i="5" s="1"/>
  <c r="N81" i="5"/>
  <c r="N80" i="5"/>
  <c r="G81" i="5"/>
  <c r="T629" i="5"/>
  <c r="S50" i="5"/>
  <c r="K80" i="5"/>
  <c r="M80" i="5"/>
  <c r="J81" i="5"/>
  <c r="R47" i="5"/>
  <c r="P45" i="5"/>
  <c r="E81" i="5"/>
  <c r="C127" i="5" s="1" a="1"/>
  <c r="C127" i="5" s="1"/>
  <c r="Q45" i="5"/>
  <c r="K81" i="5"/>
  <c r="G80" i="5"/>
  <c r="S45" i="5"/>
  <c r="O81" i="5"/>
  <c r="P81" i="5" s="1"/>
  <c r="R45" i="5"/>
  <c r="J83" i="5"/>
  <c r="P50" i="5"/>
  <c r="B83" i="5" s="1" a="1"/>
  <c r="B83" i="5" s="1"/>
  <c r="K83" i="5"/>
  <c r="R629" i="5"/>
  <c r="F83" i="5"/>
  <c r="L83" i="5"/>
  <c r="Q50" i="5"/>
  <c r="G83" i="5"/>
  <c r="O83" i="5"/>
  <c r="S83" i="5" s="1"/>
  <c r="E83" i="5"/>
  <c r="C132" i="5" s="1" a="1"/>
  <c r="C132" i="5" s="1"/>
  <c r="L132" i="5" s="1"/>
  <c r="N83" i="5"/>
  <c r="T50" i="5"/>
  <c r="I83" i="5"/>
  <c r="R50" i="5"/>
  <c r="P629" i="5"/>
  <c r="G79" i="5"/>
  <c r="C123" i="5" s="1" a="1"/>
  <c r="C123" i="5" s="1"/>
  <c r="J79" i="5"/>
  <c r="O80" i="5"/>
  <c r="L79" i="5"/>
  <c r="H79" i="5"/>
  <c r="I80" i="5"/>
  <c r="B103" i="5" a="1"/>
  <c r="B103" i="5" s="1"/>
  <c r="B102" i="5" a="1"/>
  <c r="B102" i="5" s="1"/>
  <c r="P49" i="5"/>
  <c r="T49" i="5"/>
  <c r="B104" i="5" a="1"/>
  <c r="B104" i="5" s="1"/>
  <c r="R49" i="5"/>
  <c r="Q49" i="5"/>
  <c r="B101" i="5" a="1"/>
  <c r="B101" i="5" s="1"/>
  <c r="B80" i="5" a="1"/>
  <c r="B80" i="5" s="1"/>
  <c r="S49" i="5"/>
  <c r="B99" i="5" a="1"/>
  <c r="B99" i="5" s="1"/>
  <c r="B105" i="5" a="1"/>
  <c r="B105" i="5" s="1"/>
  <c r="B98" i="5" a="1"/>
  <c r="B98" i="5" s="1"/>
  <c r="B100" i="5" a="1"/>
  <c r="B100" i="5" s="1"/>
  <c r="B79" i="5" a="1"/>
  <c r="B79" i="5" s="1"/>
  <c r="B82" i="5" a="1"/>
  <c r="B82" i="5" s="1"/>
  <c r="B81" i="5" a="1"/>
  <c r="B81" i="5" s="1"/>
  <c r="T630" i="5"/>
  <c r="S629" i="5"/>
  <c r="R630" i="5"/>
  <c r="Q630" i="5"/>
  <c r="Q629" i="5"/>
  <c r="P630" i="5"/>
  <c r="S630" i="5"/>
  <c r="H700" i="5"/>
  <c r="P621" i="5"/>
  <c r="R627" i="5"/>
  <c r="P627" i="5"/>
  <c r="O700" i="5"/>
  <c r="D700" i="5"/>
  <c r="N700" i="5"/>
  <c r="S627" i="5"/>
  <c r="Q627" i="5"/>
  <c r="T627" i="5"/>
  <c r="S628" i="5"/>
  <c r="R628" i="5"/>
  <c r="M700" i="5"/>
  <c r="L700" i="5"/>
  <c r="E700" i="5"/>
  <c r="F700" i="5"/>
  <c r="G700" i="5"/>
  <c r="T621" i="5"/>
  <c r="Q621" i="5"/>
  <c r="R621" i="5"/>
  <c r="J700" i="5"/>
  <c r="S621" i="5"/>
  <c r="P628" i="5"/>
  <c r="K700" i="5"/>
  <c r="T628" i="5"/>
  <c r="Q628" i="5"/>
  <c r="J131" i="5"/>
  <c r="I131" i="5"/>
  <c r="O131" i="5"/>
  <c r="D131" i="5"/>
  <c r="M131" i="5"/>
  <c r="F131" i="5"/>
  <c r="H131" i="5"/>
  <c r="G131" i="5"/>
  <c r="N131" i="5"/>
  <c r="K131" i="5"/>
  <c r="E131" i="5"/>
  <c r="L131" i="5"/>
  <c r="Q699" i="5"/>
  <c r="T699" i="5"/>
  <c r="P699" i="5"/>
  <c r="R699" i="5"/>
  <c r="S699" i="5"/>
  <c r="O124" i="5"/>
  <c r="D124" i="5"/>
  <c r="C166" i="5" s="1" a="1"/>
  <c r="C166" i="5" s="1"/>
  <c r="F124" i="5"/>
  <c r="I124" i="5"/>
  <c r="H124" i="5"/>
  <c r="M124" i="5"/>
  <c r="E124" i="5"/>
  <c r="C167" i="5" s="1" a="1"/>
  <c r="C167" i="5" s="1"/>
  <c r="J124" i="5"/>
  <c r="G124" i="5"/>
  <c r="L124" i="5"/>
  <c r="K124" i="5"/>
  <c r="N124" i="5"/>
  <c r="P84" i="5"/>
  <c r="R84" i="5"/>
  <c r="Q84" i="5"/>
  <c r="T84" i="5"/>
  <c r="S84" i="5"/>
  <c r="T117" i="5"/>
  <c r="S117" i="5"/>
  <c r="Q117" i="5"/>
  <c r="P117" i="5"/>
  <c r="R117" i="5"/>
  <c r="S108" i="5"/>
  <c r="R108" i="5"/>
  <c r="P108" i="5"/>
  <c r="Q108" i="5"/>
  <c r="T108" i="5"/>
  <c r="K122" i="5"/>
  <c r="N122" i="5"/>
  <c r="D122" i="5"/>
  <c r="F122" i="5"/>
  <c r="I122" i="5"/>
  <c r="G122" i="5"/>
  <c r="E122" i="5"/>
  <c r="C239" i="5" s="1" a="1"/>
  <c r="C239" i="5" s="1"/>
  <c r="H122" i="5"/>
  <c r="M122" i="5"/>
  <c r="J122" i="5"/>
  <c r="L122" i="5"/>
  <c r="O122" i="5"/>
  <c r="H134" i="5"/>
  <c r="M134" i="5"/>
  <c r="J134" i="5"/>
  <c r="G134" i="5"/>
  <c r="N134" i="5"/>
  <c r="L134" i="5"/>
  <c r="K134" i="5"/>
  <c r="F134" i="5"/>
  <c r="I134" i="5"/>
  <c r="O134" i="5"/>
  <c r="D134" i="5"/>
  <c r="C177" i="5" s="1" a="1"/>
  <c r="C177" i="5" s="1"/>
  <c r="E134" i="5"/>
  <c r="C178" i="5" s="1" a="1"/>
  <c r="C178" i="5" s="1"/>
  <c r="L143" i="5"/>
  <c r="K143" i="5"/>
  <c r="G143" i="5"/>
  <c r="E143" i="5"/>
  <c r="C271" i="5" s="1" a="1"/>
  <c r="C271" i="5" s="1"/>
  <c r="M143" i="5"/>
  <c r="J143" i="5"/>
  <c r="O143" i="5"/>
  <c r="D143" i="5"/>
  <c r="C187" i="5" s="1" a="1"/>
  <c r="C187" i="5" s="1"/>
  <c r="I143" i="5"/>
  <c r="H143" i="5"/>
  <c r="F143" i="5"/>
  <c r="N143" i="5"/>
  <c r="Q114" i="5"/>
  <c r="R114" i="5"/>
  <c r="T114" i="5"/>
  <c r="S114" i="5"/>
  <c r="P114" i="5"/>
  <c r="T87" i="5"/>
  <c r="R87" i="5"/>
  <c r="S87" i="5"/>
  <c r="P87" i="5"/>
  <c r="B134" i="5" s="1" a="1"/>
  <c r="B134" i="5" s="1"/>
  <c r="Q87" i="5"/>
  <c r="R99" i="5"/>
  <c r="T99" i="5"/>
  <c r="P99" i="5"/>
  <c r="S99" i="5"/>
  <c r="Q99" i="5"/>
  <c r="B153" i="5" s="1" a="1"/>
  <c r="B153" i="5" s="1"/>
  <c r="P119" i="5"/>
  <c r="Q119" i="5"/>
  <c r="T119" i="5"/>
  <c r="S119" i="5"/>
  <c r="R119" i="5"/>
  <c r="S85" i="5"/>
  <c r="P85" i="5"/>
  <c r="B133" i="5" s="1" a="1"/>
  <c r="B133" i="5" s="1"/>
  <c r="T85" i="5"/>
  <c r="R85" i="5"/>
  <c r="Q85" i="5"/>
  <c r="P105" i="5"/>
  <c r="S105" i="5"/>
  <c r="Q105" i="5"/>
  <c r="R105" i="5"/>
  <c r="T105" i="5"/>
  <c r="Q100" i="5"/>
  <c r="T100" i="5"/>
  <c r="P100" i="5"/>
  <c r="S100" i="5"/>
  <c r="R100" i="5"/>
  <c r="I155" i="5"/>
  <c r="N155" i="5"/>
  <c r="G155" i="5"/>
  <c r="D155" i="5"/>
  <c r="L155" i="5"/>
  <c r="O155" i="5"/>
  <c r="H155" i="5"/>
  <c r="K155" i="5"/>
  <c r="F155" i="5"/>
  <c r="M155" i="5"/>
  <c r="J155" i="5"/>
  <c r="E155" i="5"/>
  <c r="C289" i="5" s="1" a="1"/>
  <c r="C289" i="5" s="1"/>
  <c r="Q89" i="5"/>
  <c r="B138" i="5" s="1" a="1"/>
  <c r="B138" i="5" s="1"/>
  <c r="R89" i="5"/>
  <c r="P89" i="5"/>
  <c r="B137" i="5" s="1" a="1"/>
  <c r="B137" i="5" s="1"/>
  <c r="S89" i="5"/>
  <c r="T89" i="5"/>
  <c r="T104" i="5"/>
  <c r="S104" i="5"/>
  <c r="P104" i="5"/>
  <c r="R104" i="5"/>
  <c r="Q104" i="5"/>
  <c r="F142" i="5"/>
  <c r="N142" i="5"/>
  <c r="H142" i="5"/>
  <c r="I142" i="5"/>
  <c r="L142" i="5"/>
  <c r="D142" i="5"/>
  <c r="C186" i="5" s="1" a="1"/>
  <c r="C186" i="5" s="1"/>
  <c r="M142" i="5"/>
  <c r="J142" i="5"/>
  <c r="K142" i="5"/>
  <c r="G142" i="5"/>
  <c r="O142" i="5"/>
  <c r="E142" i="5"/>
  <c r="O132" i="5"/>
  <c r="M132" i="5"/>
  <c r="E132" i="5"/>
  <c r="C257" i="5" s="1" a="1"/>
  <c r="C257" i="5" s="1"/>
  <c r="D132" i="5"/>
  <c r="N132" i="5"/>
  <c r="F132" i="5"/>
  <c r="G132" i="5"/>
  <c r="I132" i="5"/>
  <c r="K132" i="5"/>
  <c r="J160" i="5"/>
  <c r="N160" i="5"/>
  <c r="K160" i="5"/>
  <c r="G160" i="5"/>
  <c r="H160" i="5"/>
  <c r="L160" i="5"/>
  <c r="E160" i="5"/>
  <c r="O160" i="5"/>
  <c r="D160" i="5"/>
  <c r="F160" i="5"/>
  <c r="I160" i="5"/>
  <c r="M160" i="5"/>
  <c r="H721" i="5"/>
  <c r="M721" i="5"/>
  <c r="E721" i="5"/>
  <c r="O721" i="5"/>
  <c r="G721" i="5"/>
  <c r="K721" i="5"/>
  <c r="F721" i="5"/>
  <c r="L721" i="5"/>
  <c r="I721" i="5"/>
  <c r="N721" i="5"/>
  <c r="J721" i="5"/>
  <c r="D721" i="5"/>
  <c r="R98" i="5"/>
  <c r="Q98" i="5"/>
  <c r="B151" i="5" s="1" a="1"/>
  <c r="B151" i="5" s="1"/>
  <c r="P98" i="5"/>
  <c r="B150" i="5" s="1" a="1"/>
  <c r="B150" i="5" s="1"/>
  <c r="T98" i="5"/>
  <c r="S98" i="5"/>
  <c r="K138" i="5"/>
  <c r="G138" i="5"/>
  <c r="D138" i="5"/>
  <c r="C184" i="5" s="1" a="1"/>
  <c r="C184" i="5" s="1"/>
  <c r="E138" i="5"/>
  <c r="C264" i="5" s="1" a="1"/>
  <c r="C264" i="5" s="1"/>
  <c r="H138" i="5"/>
  <c r="I138" i="5"/>
  <c r="M138" i="5"/>
  <c r="J138" i="5"/>
  <c r="O138" i="5"/>
  <c r="N138" i="5"/>
  <c r="L138" i="5"/>
  <c r="F138" i="5"/>
  <c r="K140" i="5"/>
  <c r="E140" i="5"/>
  <c r="J140" i="5"/>
  <c r="N140" i="5"/>
  <c r="G140" i="5"/>
  <c r="O140" i="5"/>
  <c r="H140" i="5"/>
  <c r="F140" i="5"/>
  <c r="M140" i="5"/>
  <c r="I140" i="5"/>
  <c r="L140" i="5"/>
  <c r="D140" i="5"/>
  <c r="G722" i="5"/>
  <c r="L722" i="5"/>
  <c r="H722" i="5"/>
  <c r="E722" i="5"/>
  <c r="N722" i="5"/>
  <c r="O722" i="5"/>
  <c r="K722" i="5"/>
  <c r="M722" i="5"/>
  <c r="F722" i="5"/>
  <c r="J722" i="5"/>
  <c r="I722" i="5"/>
  <c r="D722" i="5"/>
  <c r="M162" i="5"/>
  <c r="G162" i="5"/>
  <c r="K162" i="5"/>
  <c r="D162" i="5"/>
  <c r="H162" i="5"/>
  <c r="F162" i="5"/>
  <c r="I162" i="5"/>
  <c r="E162" i="5"/>
  <c r="O162" i="5"/>
  <c r="J162" i="5"/>
  <c r="N162" i="5"/>
  <c r="L162" i="5"/>
  <c r="R90" i="5"/>
  <c r="P90" i="5"/>
  <c r="B139" i="5" s="1" a="1"/>
  <c r="B139" i="5" s="1"/>
  <c r="S90" i="5"/>
  <c r="Q90" i="5"/>
  <c r="B140" i="5" s="1" a="1"/>
  <c r="B140" i="5" s="1"/>
  <c r="T90" i="5"/>
  <c r="Q107" i="5"/>
  <c r="R107" i="5"/>
  <c r="T107" i="5"/>
  <c r="P107" i="5"/>
  <c r="S107" i="5"/>
  <c r="T102" i="5"/>
  <c r="Q102" i="5"/>
  <c r="R102" i="5"/>
  <c r="P102" i="5"/>
  <c r="B154" i="5" s="1" a="1"/>
  <c r="B154" i="5" s="1"/>
  <c r="S102" i="5"/>
  <c r="J151" i="5"/>
  <c r="G151" i="5"/>
  <c r="K151" i="5"/>
  <c r="I151" i="5"/>
  <c r="O151" i="5"/>
  <c r="L151" i="5"/>
  <c r="N151" i="5"/>
  <c r="M151" i="5"/>
  <c r="H151" i="5"/>
  <c r="E151" i="5"/>
  <c r="D151" i="5"/>
  <c r="C282" i="5" s="1" a="1"/>
  <c r="C282" i="5" s="1"/>
  <c r="F151" i="5"/>
  <c r="D129" i="5"/>
  <c r="C175" i="5" s="1" a="1"/>
  <c r="C175" i="5" s="1"/>
  <c r="I129" i="5"/>
  <c r="G129" i="5"/>
  <c r="F129" i="5"/>
  <c r="C252" i="5" s="1" a="1"/>
  <c r="C252" i="5" s="1"/>
  <c r="O129" i="5"/>
  <c r="J129" i="5"/>
  <c r="L129" i="5"/>
  <c r="N129" i="5"/>
  <c r="E129" i="5"/>
  <c r="C251" i="5" s="1" a="1"/>
  <c r="C251" i="5" s="1"/>
  <c r="M129" i="5"/>
  <c r="K129" i="5"/>
  <c r="H129" i="5"/>
  <c r="L153" i="5"/>
  <c r="K153" i="5"/>
  <c r="G153" i="5"/>
  <c r="H153" i="5"/>
  <c r="M153" i="5"/>
  <c r="N153" i="5"/>
  <c r="O153" i="5"/>
  <c r="J153" i="5"/>
  <c r="D153" i="5"/>
  <c r="C284" i="5" s="1" a="1"/>
  <c r="C284" i="5" s="1"/>
  <c r="E153" i="5"/>
  <c r="C285" i="5" s="1" a="1"/>
  <c r="C285" i="5" s="1"/>
  <c r="F153" i="5"/>
  <c r="I153" i="5"/>
  <c r="L163" i="5"/>
  <c r="D163" i="5"/>
  <c r="F163" i="5"/>
  <c r="G163" i="5"/>
  <c r="O163" i="5"/>
  <c r="N163" i="5"/>
  <c r="I163" i="5"/>
  <c r="K163" i="5"/>
  <c r="E163" i="5"/>
  <c r="H163" i="5"/>
  <c r="M163" i="5"/>
  <c r="J163" i="5"/>
  <c r="N128" i="5"/>
  <c r="I128" i="5"/>
  <c r="K128" i="5"/>
  <c r="E128" i="5"/>
  <c r="C174" i="5" s="1" a="1"/>
  <c r="C174" i="5" s="1"/>
  <c r="F128" i="5"/>
  <c r="L128" i="5"/>
  <c r="D128" i="5"/>
  <c r="C173" i="5" s="1" a="1"/>
  <c r="C173" i="5" s="1"/>
  <c r="J128" i="5"/>
  <c r="G128" i="5"/>
  <c r="H128" i="5"/>
  <c r="O128" i="5"/>
  <c r="M128" i="5"/>
  <c r="R86" i="5"/>
  <c r="P86" i="5"/>
  <c r="Q86" i="5"/>
  <c r="T86" i="5"/>
  <c r="S86" i="5"/>
  <c r="Q82" i="5"/>
  <c r="B130" i="5" s="1" a="1"/>
  <c r="B130" i="5" s="1"/>
  <c r="R82" i="5"/>
  <c r="P82" i="5"/>
  <c r="B129" i="5" s="1" a="1"/>
  <c r="B129" i="5" s="1"/>
  <c r="T82" i="5"/>
  <c r="S82" i="5"/>
  <c r="G137" i="5"/>
  <c r="D137" i="5"/>
  <c r="C182" i="5" s="1" a="1"/>
  <c r="C182" i="5" s="1"/>
  <c r="O137" i="5"/>
  <c r="M137" i="5"/>
  <c r="L137" i="5"/>
  <c r="H137" i="5"/>
  <c r="F137" i="5"/>
  <c r="E137" i="5"/>
  <c r="C183" i="5" s="1" a="1"/>
  <c r="C183" i="5" s="1"/>
  <c r="N137" i="5"/>
  <c r="I137" i="5"/>
  <c r="K137" i="5"/>
  <c r="J137" i="5"/>
  <c r="O141" i="5"/>
  <c r="G141" i="5"/>
  <c r="D141" i="5"/>
  <c r="C185" i="5" s="1" a="1"/>
  <c r="C185" i="5" s="1"/>
  <c r="N141" i="5"/>
  <c r="H141" i="5"/>
  <c r="E141" i="5"/>
  <c r="C269" i="5" s="1" a="1"/>
  <c r="C269" i="5" s="1"/>
  <c r="M141" i="5"/>
  <c r="J141" i="5"/>
  <c r="L141" i="5"/>
  <c r="F141" i="5"/>
  <c r="I141" i="5"/>
  <c r="K141" i="5"/>
  <c r="G126" i="5"/>
  <c r="N126" i="5"/>
  <c r="I126" i="5"/>
  <c r="D126" i="5"/>
  <c r="C170" i="5" s="1" a="1"/>
  <c r="C170" i="5" s="1"/>
  <c r="O126" i="5"/>
  <c r="F126" i="5"/>
  <c r="E126" i="5"/>
  <c r="C171" i="5" s="1" a="1"/>
  <c r="C171" i="5" s="1"/>
  <c r="H126" i="5"/>
  <c r="M126" i="5"/>
  <c r="K126" i="5"/>
  <c r="J126" i="5"/>
  <c r="L126" i="5"/>
  <c r="O161" i="5"/>
  <c r="D161" i="5"/>
  <c r="I161" i="5"/>
  <c r="J161" i="5"/>
  <c r="E161" i="5"/>
  <c r="G161" i="5"/>
  <c r="M161" i="5"/>
  <c r="H161" i="5"/>
  <c r="K161" i="5"/>
  <c r="L161" i="5"/>
  <c r="F161" i="5"/>
  <c r="N161" i="5"/>
  <c r="I154" i="5"/>
  <c r="F154" i="5"/>
  <c r="L154" i="5"/>
  <c r="M154" i="5"/>
  <c r="D154" i="5"/>
  <c r="N154" i="5"/>
  <c r="G154" i="5"/>
  <c r="K154" i="5"/>
  <c r="O154" i="5"/>
  <c r="H154" i="5"/>
  <c r="E154" i="5"/>
  <c r="J154" i="5"/>
  <c r="D150" i="5"/>
  <c r="C192" i="5" s="1" a="1"/>
  <c r="C192" i="5" s="1"/>
  <c r="E150" i="5"/>
  <c r="C193" i="5" s="1" a="1"/>
  <c r="C193" i="5" s="1"/>
  <c r="M150" i="5"/>
  <c r="L150" i="5"/>
  <c r="O150" i="5"/>
  <c r="K150" i="5"/>
  <c r="H150" i="5"/>
  <c r="N150" i="5"/>
  <c r="I150" i="5"/>
  <c r="J150" i="5"/>
  <c r="F150" i="5"/>
  <c r="G150" i="5"/>
  <c r="F158" i="5"/>
  <c r="O158" i="5"/>
  <c r="J158" i="5"/>
  <c r="E158" i="5"/>
  <c r="N158" i="5"/>
  <c r="M158" i="5"/>
  <c r="K158" i="5"/>
  <c r="G158" i="5"/>
  <c r="L158" i="5"/>
  <c r="H158" i="5"/>
  <c r="D158" i="5"/>
  <c r="C292" i="5" s="1" a="1"/>
  <c r="C292" i="5" s="1"/>
  <c r="I158" i="5"/>
  <c r="M139" i="5"/>
  <c r="G139" i="5"/>
  <c r="O139" i="5"/>
  <c r="J139" i="5"/>
  <c r="E139" i="5"/>
  <c r="H139" i="5"/>
  <c r="D139" i="5"/>
  <c r="C265" i="5" s="1" a="1"/>
  <c r="C265" i="5" s="1"/>
  <c r="N139" i="5"/>
  <c r="I139" i="5"/>
  <c r="L139" i="5"/>
  <c r="K139" i="5"/>
  <c r="F139" i="5"/>
  <c r="S113" i="5"/>
  <c r="Q113" i="5"/>
  <c r="B161" i="5" s="1" a="1"/>
  <c r="B161" i="5" s="1"/>
  <c r="R113" i="5"/>
  <c r="T113" i="5"/>
  <c r="P113" i="5"/>
  <c r="B160" i="5" s="1" a="1"/>
  <c r="B160" i="5" s="1"/>
  <c r="H159" i="5"/>
  <c r="F159" i="5"/>
  <c r="J159" i="5"/>
  <c r="O159" i="5"/>
  <c r="I159" i="5"/>
  <c r="E159" i="5"/>
  <c r="K159" i="5"/>
  <c r="G159" i="5"/>
  <c r="N159" i="5"/>
  <c r="L159" i="5"/>
  <c r="D159" i="5"/>
  <c r="C293" i="5" s="1" a="1"/>
  <c r="C293" i="5" s="1"/>
  <c r="M159" i="5"/>
  <c r="P93" i="5"/>
  <c r="B144" i="5" s="1" a="1"/>
  <c r="B144" i="5" s="1"/>
  <c r="Q93" i="5"/>
  <c r="T93" i="5"/>
  <c r="S93" i="5"/>
  <c r="R93" i="5"/>
  <c r="P742" i="5"/>
  <c r="Q742" i="5"/>
  <c r="T742" i="5"/>
  <c r="S742" i="5"/>
  <c r="R742" i="5"/>
  <c r="T116" i="5"/>
  <c r="S116" i="5"/>
  <c r="P116" i="5"/>
  <c r="R116" i="5"/>
  <c r="Q116" i="5"/>
  <c r="R106" i="5"/>
  <c r="Q106" i="5"/>
  <c r="S106" i="5"/>
  <c r="P106" i="5"/>
  <c r="T106" i="5"/>
  <c r="T112" i="5"/>
  <c r="S112" i="5"/>
  <c r="Q112" i="5"/>
  <c r="B159" i="5" s="1" a="1"/>
  <c r="B159" i="5" s="1"/>
  <c r="P112" i="5"/>
  <c r="B158" i="5" s="1" a="1"/>
  <c r="B158" i="5" s="1"/>
  <c r="R112" i="5"/>
  <c r="T111" i="5"/>
  <c r="Q111" i="5"/>
  <c r="P111" i="5"/>
  <c r="R111" i="5"/>
  <c r="S111" i="5"/>
  <c r="P92" i="5"/>
  <c r="B142" i="5" s="1" a="1"/>
  <c r="B142" i="5" s="1"/>
  <c r="S92" i="5"/>
  <c r="R92" i="5"/>
  <c r="Q92" i="5"/>
  <c r="B143" i="5" s="1" a="1"/>
  <c r="B143" i="5" s="1"/>
  <c r="T92" i="5"/>
  <c r="G149" i="5"/>
  <c r="D149" i="5"/>
  <c r="C279" i="5" s="1" a="1"/>
  <c r="C279" i="5" s="1"/>
  <c r="O149" i="5"/>
  <c r="J149" i="5"/>
  <c r="K149" i="5"/>
  <c r="F149" i="5"/>
  <c r="M149" i="5"/>
  <c r="E149" i="5"/>
  <c r="H149" i="5"/>
  <c r="N149" i="5"/>
  <c r="L149" i="5"/>
  <c r="I149" i="5"/>
  <c r="O130" i="5"/>
  <c r="I130" i="5"/>
  <c r="N130" i="5"/>
  <c r="G130" i="5"/>
  <c r="K130" i="5"/>
  <c r="M130" i="5"/>
  <c r="E130" i="5"/>
  <c r="C254" i="5" s="1" a="1"/>
  <c r="C254" i="5" s="1"/>
  <c r="L130" i="5"/>
  <c r="F130" i="5"/>
  <c r="H130" i="5"/>
  <c r="J130" i="5"/>
  <c r="D130" i="5"/>
  <c r="C176" i="5" s="1" a="1"/>
  <c r="C176" i="5" s="1"/>
  <c r="Q110" i="5"/>
  <c r="B157" i="5" s="1" a="1"/>
  <c r="B157" i="5" s="1"/>
  <c r="R110" i="5"/>
  <c r="S110" i="5"/>
  <c r="P110" i="5"/>
  <c r="B156" i="5" s="1" a="1"/>
  <c r="B156" i="5" s="1"/>
  <c r="T110" i="5"/>
  <c r="Q109" i="5"/>
  <c r="S109" i="5"/>
  <c r="P109" i="5"/>
  <c r="T109" i="5"/>
  <c r="R109" i="5"/>
  <c r="R95" i="5"/>
  <c r="P95" i="5"/>
  <c r="B146" i="5" s="1" a="1"/>
  <c r="B146" i="5" s="1"/>
  <c r="T95" i="5"/>
  <c r="S95" i="5"/>
  <c r="Q95" i="5"/>
  <c r="S97" i="5"/>
  <c r="P97" i="5"/>
  <c r="B148" i="5" s="1" a="1"/>
  <c r="B148" i="5" s="1"/>
  <c r="R97" i="5"/>
  <c r="Q97" i="5"/>
  <c r="B149" i="5" s="1" a="1"/>
  <c r="B149" i="5" s="1"/>
  <c r="T97" i="5"/>
  <c r="S91" i="5"/>
  <c r="Q91" i="5"/>
  <c r="P91" i="5"/>
  <c r="B141" i="5" s="1" a="1"/>
  <c r="B141" i="5" s="1"/>
  <c r="T91" i="5"/>
  <c r="R91" i="5"/>
  <c r="O144" i="5"/>
  <c r="F144" i="5"/>
  <c r="E144" i="5"/>
  <c r="C189" i="5" s="1" a="1"/>
  <c r="C189" i="5" s="1"/>
  <c r="L144" i="5"/>
  <c r="K144" i="5"/>
  <c r="N144" i="5"/>
  <c r="M144" i="5"/>
  <c r="H144" i="5"/>
  <c r="J144" i="5"/>
  <c r="D144" i="5"/>
  <c r="C188" i="5" s="1" a="1"/>
  <c r="C188" i="5" s="1"/>
  <c r="I144" i="5"/>
  <c r="G144" i="5"/>
  <c r="N148" i="5"/>
  <c r="F148" i="5"/>
  <c r="H148" i="5"/>
  <c r="E148" i="5"/>
  <c r="C278" i="5" s="1" a="1"/>
  <c r="C278" i="5" s="1"/>
  <c r="M148" i="5"/>
  <c r="O148" i="5"/>
  <c r="K148" i="5"/>
  <c r="I148" i="5"/>
  <c r="J148" i="5"/>
  <c r="D148" i="5"/>
  <c r="C277" i="5" s="1" a="1"/>
  <c r="C277" i="5" s="1"/>
  <c r="G148" i="5"/>
  <c r="L148" i="5"/>
  <c r="T103" i="5"/>
  <c r="R103" i="5"/>
  <c r="S103" i="5"/>
  <c r="P103" i="5"/>
  <c r="B114" i="5" s="1" a="1"/>
  <c r="B114" i="5" s="1"/>
  <c r="Q103" i="5"/>
  <c r="I146" i="5"/>
  <c r="J146" i="5"/>
  <c r="N146" i="5"/>
  <c r="F146" i="5"/>
  <c r="L146" i="5"/>
  <c r="K146" i="5"/>
  <c r="H146" i="5"/>
  <c r="O146" i="5"/>
  <c r="E146" i="5"/>
  <c r="C191" i="5" s="1" a="1"/>
  <c r="C191" i="5" s="1"/>
  <c r="G146" i="5"/>
  <c r="M146" i="5"/>
  <c r="D146" i="5"/>
  <c r="C190" i="5" s="1" a="1"/>
  <c r="C190" i="5" s="1"/>
  <c r="S115" i="5"/>
  <c r="T115" i="5"/>
  <c r="P115" i="5"/>
  <c r="B162" i="5" s="1" a="1"/>
  <c r="B162" i="5" s="1"/>
  <c r="Q115" i="5"/>
  <c r="B163" i="5" s="1" a="1"/>
  <c r="B163" i="5" s="1"/>
  <c r="R115" i="5"/>
  <c r="I127" i="5"/>
  <c r="N127" i="5"/>
  <c r="L127" i="5"/>
  <c r="D127" i="5"/>
  <c r="C172" i="5" s="1" a="1"/>
  <c r="C172" i="5" s="1"/>
  <c r="O127" i="5"/>
  <c r="M127" i="5"/>
  <c r="F127" i="5"/>
  <c r="G127" i="5"/>
  <c r="E127" i="5"/>
  <c r="H127" i="5"/>
  <c r="K127" i="5"/>
  <c r="J127" i="5"/>
  <c r="R118" i="5"/>
  <c r="T118" i="5"/>
  <c r="Q118" i="5"/>
  <c r="P118" i="5"/>
  <c r="S118" i="5"/>
  <c r="F123" i="5"/>
  <c r="K123" i="5"/>
  <c r="N123" i="5"/>
  <c r="L123" i="5"/>
  <c r="O123" i="5"/>
  <c r="G123" i="5"/>
  <c r="I123" i="5"/>
  <c r="M123" i="5"/>
  <c r="J123" i="5"/>
  <c r="E123" i="5"/>
  <c r="C241" i="5" s="1" a="1"/>
  <c r="C241" i="5" s="1"/>
  <c r="D123" i="5"/>
  <c r="C165" i="5" s="1" a="1"/>
  <c r="C165" i="5" s="1"/>
  <c r="H123" i="5"/>
  <c r="R88" i="5"/>
  <c r="P88" i="5"/>
  <c r="B135" i="5" s="1" a="1"/>
  <c r="B135" i="5" s="1"/>
  <c r="S88" i="5"/>
  <c r="Q88" i="5"/>
  <c r="B136" i="5" s="1" a="1"/>
  <c r="B136" i="5" s="1"/>
  <c r="T88" i="5"/>
  <c r="Q741" i="5"/>
  <c r="T741" i="5"/>
  <c r="P741" i="5"/>
  <c r="R741" i="5"/>
  <c r="S741" i="5"/>
  <c r="D157" i="5"/>
  <c r="I157" i="5"/>
  <c r="E157" i="5"/>
  <c r="G157" i="5"/>
  <c r="M157" i="5"/>
  <c r="J157" i="5"/>
  <c r="F157" i="5"/>
  <c r="O157" i="5"/>
  <c r="L157" i="5"/>
  <c r="K157" i="5"/>
  <c r="N157" i="5"/>
  <c r="H157" i="5"/>
  <c r="L147" i="5"/>
  <c r="D147" i="5"/>
  <c r="C276" i="5" s="1" a="1"/>
  <c r="C276" i="5" s="1"/>
  <c r="O147" i="5"/>
  <c r="M147" i="5"/>
  <c r="E147" i="5"/>
  <c r="J147" i="5"/>
  <c r="I147" i="5"/>
  <c r="H147" i="5"/>
  <c r="N147" i="5"/>
  <c r="F147" i="5"/>
  <c r="G147" i="5"/>
  <c r="K147" i="5"/>
  <c r="T101" i="5"/>
  <c r="R101" i="5"/>
  <c r="P101" i="5"/>
  <c r="S101" i="5"/>
  <c r="Q101" i="5"/>
  <c r="E125" i="5"/>
  <c r="C169" i="5" s="1" a="1"/>
  <c r="C169" i="5" s="1"/>
  <c r="K125" i="5"/>
  <c r="D125" i="5"/>
  <c r="C168" i="5" s="1" a="1"/>
  <c r="C168" i="5" s="1"/>
  <c r="N125" i="5"/>
  <c r="O125" i="5"/>
  <c r="I125" i="5"/>
  <c r="J125" i="5"/>
  <c r="M125" i="5"/>
  <c r="G125" i="5"/>
  <c r="L125" i="5"/>
  <c r="F125" i="5"/>
  <c r="H125" i="5"/>
  <c r="R94" i="5"/>
  <c r="S94" i="5"/>
  <c r="T94" i="5"/>
  <c r="P94" i="5"/>
  <c r="B145" i="5" s="1" a="1"/>
  <c r="B145" i="5" s="1"/>
  <c r="Q94" i="5"/>
  <c r="P631" i="5"/>
  <c r="T631" i="5"/>
  <c r="R631" i="5"/>
  <c r="Q631" i="5"/>
  <c r="S631" i="5"/>
  <c r="Q96" i="5"/>
  <c r="T96" i="5"/>
  <c r="R96" i="5"/>
  <c r="S96" i="5"/>
  <c r="P96" i="5"/>
  <c r="B147" i="5" s="1" a="1"/>
  <c r="B147" i="5" s="1"/>
  <c r="L136" i="5"/>
  <c r="F136" i="5"/>
  <c r="E136" i="5"/>
  <c r="O136" i="5"/>
  <c r="M136" i="5"/>
  <c r="K136" i="5"/>
  <c r="D136" i="5"/>
  <c r="C181" i="5" s="1" a="1"/>
  <c r="C181" i="5" s="1"/>
  <c r="J136" i="5"/>
  <c r="N136" i="5"/>
  <c r="I136" i="5"/>
  <c r="G136" i="5"/>
  <c r="H136" i="5"/>
  <c r="K120" i="5"/>
  <c r="E120" i="5"/>
  <c r="H120" i="5"/>
  <c r="J120" i="5"/>
  <c r="F120" i="5"/>
  <c r="L120" i="5"/>
  <c r="M120" i="5"/>
  <c r="O120" i="5"/>
  <c r="I120" i="5"/>
  <c r="N120" i="5"/>
  <c r="G120" i="5"/>
  <c r="D120" i="5"/>
  <c r="G145" i="5"/>
  <c r="J145" i="5"/>
  <c r="K145" i="5"/>
  <c r="E145" i="5"/>
  <c r="L145" i="5"/>
  <c r="I145" i="5"/>
  <c r="D145" i="5"/>
  <c r="C274" i="5" s="1" a="1"/>
  <c r="C274" i="5" s="1"/>
  <c r="N145" i="5"/>
  <c r="O145" i="5"/>
  <c r="M145" i="5"/>
  <c r="H145" i="5"/>
  <c r="F145" i="5"/>
  <c r="E152" i="5"/>
  <c r="L152" i="5"/>
  <c r="H152" i="5"/>
  <c r="K152" i="5"/>
  <c r="N152" i="5"/>
  <c r="J152" i="5"/>
  <c r="G152" i="5"/>
  <c r="O152" i="5"/>
  <c r="D152" i="5"/>
  <c r="C283" i="5" s="1" a="1"/>
  <c r="C283" i="5" s="1"/>
  <c r="F152" i="5"/>
  <c r="I152" i="5"/>
  <c r="M152" i="5"/>
  <c r="R79" i="5"/>
  <c r="T79" i="5"/>
  <c r="Q79" i="5"/>
  <c r="P79" i="5"/>
  <c r="S79" i="5"/>
  <c r="I156" i="5"/>
  <c r="J156" i="5"/>
  <c r="K156" i="5"/>
  <c r="H156" i="5"/>
  <c r="O156" i="5"/>
  <c r="N156" i="5"/>
  <c r="L156" i="5"/>
  <c r="G156" i="5"/>
  <c r="M156" i="5"/>
  <c r="F156" i="5"/>
  <c r="D156" i="5"/>
  <c r="E156" i="5"/>
  <c r="K135" i="5"/>
  <c r="O135" i="5"/>
  <c r="I135" i="5"/>
  <c r="N135" i="5"/>
  <c r="F135" i="5"/>
  <c r="E135" i="5"/>
  <c r="C180" i="5" s="1" a="1"/>
  <c r="C180" i="5" s="1"/>
  <c r="J135" i="5"/>
  <c r="G135" i="5"/>
  <c r="D135" i="5"/>
  <c r="C179" i="5" s="1" a="1"/>
  <c r="C179" i="5" s="1"/>
  <c r="H135" i="5"/>
  <c r="M135" i="5"/>
  <c r="L135" i="5"/>
  <c r="L133" i="5"/>
  <c r="J133" i="5"/>
  <c r="G133" i="5"/>
  <c r="K133" i="5"/>
  <c r="H133" i="5"/>
  <c r="E133" i="5"/>
  <c r="I133" i="5"/>
  <c r="M133" i="5"/>
  <c r="N133" i="5"/>
  <c r="D133" i="5"/>
  <c r="F133" i="5"/>
  <c r="O133" i="5"/>
  <c r="M121" i="5"/>
  <c r="K121" i="5"/>
  <c r="E121" i="5"/>
  <c r="I121" i="5"/>
  <c r="F121" i="5"/>
  <c r="N121" i="5"/>
  <c r="J121" i="5"/>
  <c r="O121" i="5"/>
  <c r="G121" i="5"/>
  <c r="H121" i="5"/>
  <c r="L121" i="5"/>
  <c r="D121" i="5"/>
  <c r="C164" i="5" s="1" a="1"/>
  <c r="C164" i="5" s="1"/>
  <c r="T80" i="5" l="1"/>
  <c r="T700" i="5"/>
  <c r="B122" i="5" a="1"/>
  <c r="B122" i="5" s="1"/>
  <c r="Q83" i="5"/>
  <c r="B132" i="5" s="1" a="1"/>
  <c r="B132" i="5" s="1"/>
  <c r="B121" i="5" a="1"/>
  <c r="B121" i="5" s="1"/>
  <c r="R81" i="5"/>
  <c r="Q81" i="5"/>
  <c r="S81" i="5"/>
  <c r="T81" i="5"/>
  <c r="B123" i="5" a="1"/>
  <c r="B123" i="5" s="1"/>
  <c r="B120" i="5" a="1"/>
  <c r="B120" i="5" s="1"/>
  <c r="B152" i="5" a="1"/>
  <c r="B152" i="5" s="1"/>
  <c r="R83" i="5"/>
  <c r="T83" i="5"/>
  <c r="B155" i="5" a="1"/>
  <c r="B155" i="5" s="1"/>
  <c r="J132" i="5"/>
  <c r="P83" i="5"/>
  <c r="B131" i="5" s="1" a="1"/>
  <c r="B131" i="5" s="1"/>
  <c r="H132" i="5"/>
  <c r="S80" i="5"/>
  <c r="R80" i="5"/>
  <c r="P80" i="5"/>
  <c r="B124" i="5" s="1" a="1"/>
  <c r="B124" i="5" s="1"/>
  <c r="Q80" i="5"/>
  <c r="B125" i="5" s="1" a="1"/>
  <c r="B125" i="5" s="1"/>
  <c r="P700" i="5"/>
  <c r="B128" i="5" a="1"/>
  <c r="B128" i="5" s="1"/>
  <c r="B127" i="5" a="1"/>
  <c r="B127" i="5" s="1"/>
  <c r="B126" i="5" a="1"/>
  <c r="B126" i="5" s="1"/>
  <c r="R700" i="5"/>
  <c r="Q700" i="5"/>
  <c r="S700" i="5"/>
  <c r="R145" i="5"/>
  <c r="T145" i="5"/>
  <c r="S145" i="5"/>
  <c r="Q145" i="5"/>
  <c r="P145" i="5"/>
  <c r="B274" i="5" s="1" a="1"/>
  <c r="B274" i="5" s="1"/>
  <c r="J257" i="5"/>
  <c r="N257" i="5"/>
  <c r="H257" i="5"/>
  <c r="I257" i="5"/>
  <c r="G257" i="5"/>
  <c r="K257" i="5"/>
  <c r="M257" i="5"/>
  <c r="D257" i="5"/>
  <c r="O257" i="5"/>
  <c r="L257" i="5"/>
  <c r="E257" i="5"/>
  <c r="F257" i="5"/>
  <c r="P139" i="5"/>
  <c r="B265" i="5" s="1" a="1"/>
  <c r="B265" i="5" s="1"/>
  <c r="R139" i="5"/>
  <c r="Q139" i="5"/>
  <c r="T139" i="5"/>
  <c r="S139" i="5"/>
  <c r="Q155" i="5"/>
  <c r="B289" i="5" s="1" a="1"/>
  <c r="B289" i="5" s="1"/>
  <c r="P155" i="5"/>
  <c r="T155" i="5"/>
  <c r="S155" i="5"/>
  <c r="R155" i="5"/>
  <c r="Q128" i="5"/>
  <c r="B174" i="5" s="1" a="1"/>
  <c r="B174" i="5" s="1"/>
  <c r="T128" i="5"/>
  <c r="P128" i="5"/>
  <c r="R128" i="5"/>
  <c r="S128" i="5"/>
  <c r="O165" i="5"/>
  <c r="K165" i="5"/>
  <c r="I165" i="5"/>
  <c r="J165" i="5"/>
  <c r="E165" i="5"/>
  <c r="C195" i="5" s="1" a="1"/>
  <c r="C195" i="5" s="1"/>
  <c r="N165" i="5"/>
  <c r="D165" i="5"/>
  <c r="C194" i="5" s="1" a="1"/>
  <c r="C194" i="5" s="1"/>
  <c r="H165" i="5"/>
  <c r="G165" i="5"/>
  <c r="L165" i="5"/>
  <c r="F165" i="5"/>
  <c r="M165" i="5"/>
  <c r="K188" i="5"/>
  <c r="L188" i="5"/>
  <c r="I188" i="5"/>
  <c r="J188" i="5"/>
  <c r="F188" i="5"/>
  <c r="E188" i="5"/>
  <c r="N188" i="5"/>
  <c r="D188" i="5"/>
  <c r="C329" i="5" s="1" a="1"/>
  <c r="C329" i="5" s="1"/>
  <c r="G188" i="5"/>
  <c r="O188" i="5"/>
  <c r="H188" i="5"/>
  <c r="M188" i="5"/>
  <c r="G241" i="5"/>
  <c r="L241" i="5"/>
  <c r="O241" i="5"/>
  <c r="I241" i="5"/>
  <c r="D241" i="5"/>
  <c r="M241" i="5"/>
  <c r="N241" i="5"/>
  <c r="H241" i="5"/>
  <c r="E241" i="5"/>
  <c r="F241" i="5"/>
  <c r="K241" i="5"/>
  <c r="J241" i="5"/>
  <c r="N190" i="5"/>
  <c r="M190" i="5"/>
  <c r="F190" i="5"/>
  <c r="J190" i="5"/>
  <c r="G190" i="5"/>
  <c r="O190" i="5"/>
  <c r="D190" i="5"/>
  <c r="C331" i="5" s="1" a="1"/>
  <c r="C331" i="5" s="1"/>
  <c r="K190" i="5"/>
  <c r="I190" i="5"/>
  <c r="E190" i="5"/>
  <c r="L190" i="5"/>
  <c r="H190" i="5"/>
  <c r="O292" i="5"/>
  <c r="I292" i="5"/>
  <c r="G292" i="5"/>
  <c r="J292" i="5"/>
  <c r="N292" i="5"/>
  <c r="D292" i="5"/>
  <c r="C448" i="5" s="1" a="1"/>
  <c r="C448" i="5" s="1"/>
  <c r="F292" i="5"/>
  <c r="M292" i="5"/>
  <c r="E292" i="5"/>
  <c r="H292" i="5"/>
  <c r="L292" i="5"/>
  <c r="K292" i="5"/>
  <c r="Q132" i="5"/>
  <c r="B257" i="5" s="1" a="1"/>
  <c r="B257" i="5" s="1"/>
  <c r="P132" i="5"/>
  <c r="T132" i="5"/>
  <c r="R132" i="5"/>
  <c r="S132" i="5"/>
  <c r="S122" i="5"/>
  <c r="Q122" i="5"/>
  <c r="B239" i="5" s="1" a="1"/>
  <c r="B239" i="5" s="1"/>
  <c r="R122" i="5"/>
  <c r="T122" i="5"/>
  <c r="P122" i="5"/>
  <c r="F269" i="5"/>
  <c r="J269" i="5"/>
  <c r="N269" i="5"/>
  <c r="K269" i="5"/>
  <c r="L269" i="5"/>
  <c r="H269" i="5"/>
  <c r="O269" i="5"/>
  <c r="M269" i="5"/>
  <c r="I269" i="5"/>
  <c r="G269" i="5"/>
  <c r="E269" i="5"/>
  <c r="D269" i="5"/>
  <c r="S133" i="5"/>
  <c r="Q133" i="5"/>
  <c r="T133" i="5"/>
  <c r="P133" i="5"/>
  <c r="R133" i="5"/>
  <c r="J176" i="5"/>
  <c r="N176" i="5"/>
  <c r="M176" i="5"/>
  <c r="G176" i="5"/>
  <c r="E176" i="5"/>
  <c r="K176" i="5"/>
  <c r="O176" i="5"/>
  <c r="L176" i="5"/>
  <c r="H176" i="5"/>
  <c r="I176" i="5"/>
  <c r="D176" i="5"/>
  <c r="C314" i="5" s="1" a="1"/>
  <c r="C314" i="5" s="1"/>
  <c r="F176" i="5"/>
  <c r="H173" i="5"/>
  <c r="I173" i="5"/>
  <c r="E173" i="5"/>
  <c r="C309" i="5" s="1" a="1"/>
  <c r="C309" i="5" s="1"/>
  <c r="N173" i="5"/>
  <c r="G173" i="5"/>
  <c r="K173" i="5"/>
  <c r="D173" i="5"/>
  <c r="C203" i="5" s="1" a="1"/>
  <c r="C203" i="5" s="1"/>
  <c r="L173" i="5"/>
  <c r="M173" i="5"/>
  <c r="F173" i="5"/>
  <c r="J173" i="5"/>
  <c r="O173" i="5"/>
  <c r="S142" i="5"/>
  <c r="Q142" i="5"/>
  <c r="T142" i="5"/>
  <c r="R142" i="5"/>
  <c r="P142" i="5"/>
  <c r="B186" i="5" s="1" a="1"/>
  <c r="B186" i="5" s="1"/>
  <c r="N191" i="5"/>
  <c r="J191" i="5"/>
  <c r="D191" i="5"/>
  <c r="O191" i="5"/>
  <c r="F191" i="5"/>
  <c r="I191" i="5"/>
  <c r="M191" i="5"/>
  <c r="H191" i="5"/>
  <c r="L191" i="5"/>
  <c r="G191" i="5"/>
  <c r="E191" i="5"/>
  <c r="K191" i="5"/>
  <c r="K293" i="5"/>
  <c r="L293" i="5"/>
  <c r="N293" i="5"/>
  <c r="I293" i="5"/>
  <c r="F293" i="5"/>
  <c r="G293" i="5"/>
  <c r="E293" i="5"/>
  <c r="C450" i="5" s="1" a="1"/>
  <c r="C450" i="5" s="1"/>
  <c r="O293" i="5"/>
  <c r="M293" i="5"/>
  <c r="J293" i="5"/>
  <c r="H293" i="5"/>
  <c r="D293" i="5"/>
  <c r="C449" i="5" s="1" a="1"/>
  <c r="C449" i="5" s="1"/>
  <c r="L239" i="5"/>
  <c r="O239" i="5"/>
  <c r="D239" i="5"/>
  <c r="C394" i="5" s="1" a="1"/>
  <c r="C394" i="5" s="1"/>
  <c r="G239" i="5"/>
  <c r="N239" i="5"/>
  <c r="J239" i="5"/>
  <c r="F239" i="5"/>
  <c r="E239" i="5"/>
  <c r="C395" i="5" s="1" a="1"/>
  <c r="C395" i="5" s="1"/>
  <c r="I239" i="5"/>
  <c r="K239" i="5"/>
  <c r="H239" i="5"/>
  <c r="M239" i="5"/>
  <c r="E167" i="5"/>
  <c r="O167" i="5"/>
  <c r="J167" i="5"/>
  <c r="M167" i="5"/>
  <c r="K167" i="5"/>
  <c r="N167" i="5"/>
  <c r="D167" i="5"/>
  <c r="C198" i="5" s="1" a="1"/>
  <c r="C198" i="5" s="1"/>
  <c r="L167" i="5"/>
  <c r="F167" i="5"/>
  <c r="H167" i="5"/>
  <c r="G167" i="5"/>
  <c r="I167" i="5"/>
  <c r="P146" i="5"/>
  <c r="B190" i="5" s="1" a="1"/>
  <c r="B190" i="5" s="1"/>
  <c r="T146" i="5"/>
  <c r="Q146" i="5"/>
  <c r="B191" i="5" s="1" a="1"/>
  <c r="B191" i="5" s="1"/>
  <c r="S146" i="5"/>
  <c r="R146" i="5"/>
  <c r="L185" i="5"/>
  <c r="M185" i="5"/>
  <c r="O185" i="5"/>
  <c r="K185" i="5"/>
  <c r="N185" i="5"/>
  <c r="J185" i="5"/>
  <c r="F185" i="5"/>
  <c r="D185" i="5"/>
  <c r="C217" i="5" s="1" a="1"/>
  <c r="C217" i="5" s="1"/>
  <c r="G185" i="5"/>
  <c r="E185" i="5"/>
  <c r="C218" i="5" s="1" a="1"/>
  <c r="C218" i="5" s="1"/>
  <c r="H185" i="5"/>
  <c r="I185" i="5"/>
  <c r="O251" i="5"/>
  <c r="K251" i="5"/>
  <c r="L251" i="5"/>
  <c r="D251" i="5"/>
  <c r="H251" i="5"/>
  <c r="N251" i="5"/>
  <c r="G251" i="5"/>
  <c r="J251" i="5"/>
  <c r="I251" i="5"/>
  <c r="E251" i="5"/>
  <c r="F251" i="5"/>
  <c r="M251" i="5"/>
  <c r="Q156" i="5"/>
  <c r="S156" i="5"/>
  <c r="R156" i="5"/>
  <c r="T156" i="5"/>
  <c r="P156" i="5"/>
  <c r="S147" i="5"/>
  <c r="R147" i="5"/>
  <c r="P147" i="5"/>
  <c r="B276" i="5" s="1" a="1"/>
  <c r="B276" i="5" s="1"/>
  <c r="Q147" i="5"/>
  <c r="T147" i="5"/>
  <c r="S123" i="5"/>
  <c r="T123" i="5"/>
  <c r="R123" i="5"/>
  <c r="Q123" i="5"/>
  <c r="B241" i="5" s="1" a="1"/>
  <c r="B241" i="5" s="1"/>
  <c r="P123" i="5"/>
  <c r="B165" i="5" s="1" a="1"/>
  <c r="B165" i="5" s="1"/>
  <c r="N174" i="5"/>
  <c r="J174" i="5"/>
  <c r="M174" i="5"/>
  <c r="K174" i="5"/>
  <c r="D174" i="5"/>
  <c r="C204" i="5" s="1" a="1"/>
  <c r="C204" i="5" s="1"/>
  <c r="F174" i="5"/>
  <c r="L174" i="5"/>
  <c r="E174" i="5"/>
  <c r="C311" i="5" s="1" a="1"/>
  <c r="C311" i="5" s="1"/>
  <c r="H174" i="5"/>
  <c r="G174" i="5"/>
  <c r="O174" i="5"/>
  <c r="I174" i="5"/>
  <c r="S721" i="5"/>
  <c r="R721" i="5"/>
  <c r="T721" i="5"/>
  <c r="Q721" i="5"/>
  <c r="P721" i="5"/>
  <c r="L276" i="5"/>
  <c r="J276" i="5"/>
  <c r="N276" i="5"/>
  <c r="M276" i="5"/>
  <c r="D276" i="5"/>
  <c r="C429" i="5" s="1" a="1"/>
  <c r="C429" i="5" s="1"/>
  <c r="K276" i="5"/>
  <c r="I276" i="5"/>
  <c r="O276" i="5"/>
  <c r="F276" i="5"/>
  <c r="C431" i="5" s="1" a="1"/>
  <c r="C431" i="5" s="1"/>
  <c r="H276" i="5"/>
  <c r="G276" i="5"/>
  <c r="C432" i="5" s="1" a="1"/>
  <c r="C432" i="5" s="1"/>
  <c r="E276" i="5"/>
  <c r="C430" i="5" s="1" a="1"/>
  <c r="C430" i="5" s="1"/>
  <c r="M189" i="5"/>
  <c r="K189" i="5"/>
  <c r="N189" i="5"/>
  <c r="H189" i="5"/>
  <c r="G189" i="5"/>
  <c r="E189" i="5"/>
  <c r="D189" i="5"/>
  <c r="C330" i="5" s="1" a="1"/>
  <c r="C330" i="5" s="1"/>
  <c r="L189" i="5"/>
  <c r="I189" i="5"/>
  <c r="J189" i="5"/>
  <c r="F189" i="5"/>
  <c r="O189" i="5"/>
  <c r="P141" i="5"/>
  <c r="B185" i="5" s="1" a="1"/>
  <c r="B185" i="5" s="1"/>
  <c r="R141" i="5"/>
  <c r="S141" i="5"/>
  <c r="Q141" i="5"/>
  <c r="B269" i="5" s="1" a="1"/>
  <c r="B269" i="5" s="1"/>
  <c r="T141" i="5"/>
  <c r="P140" i="5"/>
  <c r="S140" i="5"/>
  <c r="R140" i="5"/>
  <c r="T140" i="5"/>
  <c r="Q140" i="5"/>
  <c r="N254" i="5"/>
  <c r="E254" i="5"/>
  <c r="H254" i="5"/>
  <c r="J254" i="5"/>
  <c r="M254" i="5"/>
  <c r="O254" i="5"/>
  <c r="I254" i="5"/>
  <c r="L254" i="5"/>
  <c r="K254" i="5"/>
  <c r="D254" i="5"/>
  <c r="G254" i="5"/>
  <c r="F254" i="5"/>
  <c r="D186" i="5"/>
  <c r="C219" i="5" s="1" a="1"/>
  <c r="C219" i="5" s="1"/>
  <c r="E186" i="5"/>
  <c r="C220" i="5" s="1" a="1"/>
  <c r="C220" i="5" s="1"/>
  <c r="O186" i="5"/>
  <c r="F186" i="5"/>
  <c r="J186" i="5"/>
  <c r="I186" i="5"/>
  <c r="K186" i="5"/>
  <c r="N186" i="5"/>
  <c r="M186" i="5"/>
  <c r="G186" i="5"/>
  <c r="H186" i="5"/>
  <c r="L186" i="5"/>
  <c r="R120" i="5"/>
  <c r="T120" i="5"/>
  <c r="Q120" i="5"/>
  <c r="S120" i="5"/>
  <c r="P120" i="5"/>
  <c r="T144" i="5"/>
  <c r="R144" i="5"/>
  <c r="P144" i="5"/>
  <c r="B188" i="5" s="1" a="1"/>
  <c r="B188" i="5" s="1"/>
  <c r="S144" i="5"/>
  <c r="Q144" i="5"/>
  <c r="B189" i="5" s="1" a="1"/>
  <c r="B189" i="5" s="1"/>
  <c r="S129" i="5"/>
  <c r="T129" i="5"/>
  <c r="Q129" i="5"/>
  <c r="B251" i="5" s="1" a="1"/>
  <c r="B251" i="5" s="1"/>
  <c r="R129" i="5"/>
  <c r="B252" i="5" s="1" a="1"/>
  <c r="B252" i="5" s="1"/>
  <c r="P129" i="5"/>
  <c r="B175" i="5" s="1" a="1"/>
  <c r="B175" i="5" s="1"/>
  <c r="I166" i="5"/>
  <c r="N166" i="5"/>
  <c r="H166" i="5"/>
  <c r="E166" i="5"/>
  <c r="C197" i="5" s="1" a="1"/>
  <c r="C197" i="5" s="1"/>
  <c r="F166" i="5"/>
  <c r="O166" i="5"/>
  <c r="M166" i="5"/>
  <c r="D166" i="5"/>
  <c r="C196" i="5" s="1" a="1"/>
  <c r="C196" i="5" s="1"/>
  <c r="K166" i="5"/>
  <c r="L166" i="5"/>
  <c r="G166" i="5"/>
  <c r="J166" i="5"/>
  <c r="P158" i="5"/>
  <c r="B292" i="5" s="1" a="1"/>
  <c r="B292" i="5" s="1"/>
  <c r="T158" i="5"/>
  <c r="Q158" i="5"/>
  <c r="S158" i="5"/>
  <c r="R158" i="5"/>
  <c r="M252" i="5"/>
  <c r="J252" i="5"/>
  <c r="L252" i="5"/>
  <c r="G252" i="5"/>
  <c r="F252" i="5"/>
  <c r="I252" i="5"/>
  <c r="E252" i="5"/>
  <c r="K252" i="5"/>
  <c r="D252" i="5"/>
  <c r="C402" i="5" s="1" a="1"/>
  <c r="C402" i="5" s="1"/>
  <c r="H252" i="5"/>
  <c r="N252" i="5"/>
  <c r="O252" i="5"/>
  <c r="P124" i="5"/>
  <c r="T124" i="5"/>
  <c r="R124" i="5"/>
  <c r="Q124" i="5"/>
  <c r="S124" i="5"/>
  <c r="R159" i="5"/>
  <c r="S159" i="5"/>
  <c r="Q159" i="5"/>
  <c r="P159" i="5"/>
  <c r="B293" i="5" s="1" a="1"/>
  <c r="B293" i="5" s="1"/>
  <c r="T159" i="5"/>
  <c r="L187" i="5"/>
  <c r="F187" i="5"/>
  <c r="E187" i="5"/>
  <c r="O187" i="5"/>
  <c r="G187" i="5"/>
  <c r="H187" i="5"/>
  <c r="N187" i="5"/>
  <c r="I187" i="5"/>
  <c r="M187" i="5"/>
  <c r="J187" i="5"/>
  <c r="D187" i="5"/>
  <c r="K187" i="5"/>
  <c r="G183" i="5"/>
  <c r="F183" i="5"/>
  <c r="D183" i="5"/>
  <c r="J183" i="5"/>
  <c r="L183" i="5"/>
  <c r="M183" i="5"/>
  <c r="N183" i="5"/>
  <c r="H183" i="5"/>
  <c r="E183" i="5"/>
  <c r="O183" i="5"/>
  <c r="K183" i="5"/>
  <c r="I183" i="5"/>
  <c r="S162" i="5"/>
  <c r="R162" i="5"/>
  <c r="P162" i="5"/>
  <c r="Q162" i="5"/>
  <c r="T162" i="5"/>
  <c r="T143" i="5"/>
  <c r="S143" i="5"/>
  <c r="Q143" i="5"/>
  <c r="B271" i="5" s="1" a="1"/>
  <c r="B271" i="5" s="1"/>
  <c r="R143" i="5"/>
  <c r="P143" i="5"/>
  <c r="B187" i="5" s="1" a="1"/>
  <c r="B187" i="5" s="1"/>
  <c r="P157" i="5"/>
  <c r="R157" i="5"/>
  <c r="Q157" i="5"/>
  <c r="T157" i="5"/>
  <c r="S157" i="5"/>
  <c r="F175" i="5"/>
  <c r="H175" i="5"/>
  <c r="J175" i="5"/>
  <c r="E175" i="5"/>
  <c r="C206" i="5" s="1" a="1"/>
  <c r="C206" i="5" s="1"/>
  <c r="D175" i="5"/>
  <c r="C205" i="5" s="1" a="1"/>
  <c r="C205" i="5" s="1"/>
  <c r="K175" i="5"/>
  <c r="I175" i="5"/>
  <c r="O175" i="5"/>
  <c r="M175" i="5"/>
  <c r="G175" i="5"/>
  <c r="N175" i="5"/>
  <c r="L175" i="5"/>
  <c r="N179" i="5"/>
  <c r="I179" i="5"/>
  <c r="D179" i="5"/>
  <c r="C207" i="5" s="1" a="1"/>
  <c r="C207" i="5" s="1"/>
  <c r="G179" i="5"/>
  <c r="L179" i="5"/>
  <c r="H179" i="5"/>
  <c r="J179" i="5"/>
  <c r="E179" i="5"/>
  <c r="C208" i="5" s="1" a="1"/>
  <c r="C208" i="5" s="1"/>
  <c r="K179" i="5"/>
  <c r="M179" i="5"/>
  <c r="F179" i="5"/>
  <c r="O179" i="5"/>
  <c r="T130" i="5"/>
  <c r="R130" i="5"/>
  <c r="Q130" i="5"/>
  <c r="B254" i="5" s="1" a="1"/>
  <c r="B254" i="5" s="1"/>
  <c r="P130" i="5"/>
  <c r="B176" i="5" s="1" a="1"/>
  <c r="B176" i="5" s="1"/>
  <c r="S130" i="5"/>
  <c r="P160" i="5"/>
  <c r="R160" i="5"/>
  <c r="S160" i="5"/>
  <c r="T160" i="5"/>
  <c r="Q160" i="5"/>
  <c r="P161" i="5"/>
  <c r="T161" i="5"/>
  <c r="Q161" i="5"/>
  <c r="S161" i="5"/>
  <c r="R161" i="5"/>
  <c r="L282" i="5"/>
  <c r="N282" i="5"/>
  <c r="M282" i="5"/>
  <c r="I282" i="5"/>
  <c r="K282" i="5"/>
  <c r="G282" i="5"/>
  <c r="O282" i="5"/>
  <c r="J282" i="5"/>
  <c r="H282" i="5"/>
  <c r="E282" i="5"/>
  <c r="D282" i="5"/>
  <c r="F282" i="5"/>
  <c r="H271" i="5"/>
  <c r="J271" i="5"/>
  <c r="G271" i="5"/>
  <c r="N271" i="5"/>
  <c r="O271" i="5"/>
  <c r="K271" i="5"/>
  <c r="F271" i="5"/>
  <c r="L271" i="5"/>
  <c r="D271" i="5"/>
  <c r="C422" i="5" s="1" a="1"/>
  <c r="C422" i="5" s="1"/>
  <c r="M271" i="5"/>
  <c r="I271" i="5"/>
  <c r="E271" i="5"/>
  <c r="O283" i="5"/>
  <c r="M283" i="5"/>
  <c r="F283" i="5"/>
  <c r="D283" i="5"/>
  <c r="C437" i="5" s="1" a="1"/>
  <c r="C437" i="5" s="1"/>
  <c r="I283" i="5"/>
  <c r="K283" i="5"/>
  <c r="J283" i="5"/>
  <c r="N283" i="5"/>
  <c r="G283" i="5"/>
  <c r="E283" i="5"/>
  <c r="H283" i="5"/>
  <c r="L283" i="5"/>
  <c r="R138" i="5"/>
  <c r="S138" i="5"/>
  <c r="T138" i="5"/>
  <c r="P138" i="5"/>
  <c r="B184" i="5" s="1" a="1"/>
  <c r="B184" i="5" s="1"/>
  <c r="Q138" i="5"/>
  <c r="B264" i="5" s="1" a="1"/>
  <c r="B264" i="5" s="1"/>
  <c r="D180" i="5"/>
  <c r="C209" i="5" s="1" a="1"/>
  <c r="C209" i="5" s="1"/>
  <c r="O180" i="5"/>
  <c r="K180" i="5"/>
  <c r="I180" i="5"/>
  <c r="G180" i="5"/>
  <c r="L180" i="5"/>
  <c r="J180" i="5"/>
  <c r="F180" i="5"/>
  <c r="N180" i="5"/>
  <c r="H180" i="5"/>
  <c r="M180" i="5"/>
  <c r="E180" i="5"/>
  <c r="C210" i="5" s="1" a="1"/>
  <c r="C210" i="5" s="1"/>
  <c r="T152" i="5"/>
  <c r="R152" i="5"/>
  <c r="S152" i="5"/>
  <c r="Q152" i="5"/>
  <c r="P152" i="5"/>
  <c r="B283" i="5" s="1" a="1"/>
  <c r="B283" i="5" s="1"/>
  <c r="T137" i="5"/>
  <c r="S137" i="5"/>
  <c r="R137" i="5"/>
  <c r="Q137" i="5"/>
  <c r="B183" i="5" s="1" a="1"/>
  <c r="B183" i="5" s="1"/>
  <c r="P137" i="5"/>
  <c r="B182" i="5" s="1" a="1"/>
  <c r="B182" i="5" s="1"/>
  <c r="T163" i="5"/>
  <c r="R163" i="5"/>
  <c r="Q163" i="5"/>
  <c r="P163" i="5"/>
  <c r="S163" i="5"/>
  <c r="G182" i="5"/>
  <c r="J182" i="5"/>
  <c r="L182" i="5"/>
  <c r="D182" i="5"/>
  <c r="C213" i="5" s="1" a="1"/>
  <c r="C213" i="5" s="1"/>
  <c r="N182" i="5"/>
  <c r="K182" i="5"/>
  <c r="F182" i="5"/>
  <c r="E182" i="5"/>
  <c r="C214" i="5" s="1" a="1"/>
  <c r="C214" i="5" s="1"/>
  <c r="H182" i="5"/>
  <c r="M182" i="5"/>
  <c r="O182" i="5"/>
  <c r="I182" i="5"/>
  <c r="T125" i="5"/>
  <c r="P125" i="5"/>
  <c r="B168" i="5" s="1" a="1"/>
  <c r="B168" i="5" s="1"/>
  <c r="Q125" i="5"/>
  <c r="B169" i="5" s="1" a="1"/>
  <c r="B169" i="5" s="1"/>
  <c r="R125" i="5"/>
  <c r="S125" i="5"/>
  <c r="T150" i="5"/>
  <c r="P150" i="5"/>
  <c r="B192" i="5" s="1" a="1"/>
  <c r="B192" i="5" s="1"/>
  <c r="S150" i="5"/>
  <c r="R150" i="5"/>
  <c r="Q150" i="5"/>
  <c r="B193" i="5" s="1" a="1"/>
  <c r="B193" i="5" s="1"/>
  <c r="I178" i="5"/>
  <c r="J178" i="5"/>
  <c r="G178" i="5"/>
  <c r="E178" i="5"/>
  <c r="M178" i="5"/>
  <c r="N178" i="5"/>
  <c r="F178" i="5"/>
  <c r="K178" i="5"/>
  <c r="H178" i="5"/>
  <c r="O178" i="5"/>
  <c r="L178" i="5"/>
  <c r="D178" i="5"/>
  <c r="C316" i="5" s="1" a="1"/>
  <c r="C316" i="5" s="1"/>
  <c r="F277" i="5"/>
  <c r="L277" i="5"/>
  <c r="G277" i="5"/>
  <c r="J277" i="5"/>
  <c r="E277" i="5"/>
  <c r="M277" i="5"/>
  <c r="N277" i="5"/>
  <c r="K277" i="5"/>
  <c r="H277" i="5"/>
  <c r="I277" i="5"/>
  <c r="D277" i="5"/>
  <c r="O277" i="5"/>
  <c r="M177" i="5"/>
  <c r="L177" i="5"/>
  <c r="K177" i="5"/>
  <c r="H177" i="5"/>
  <c r="I177" i="5"/>
  <c r="F177" i="5"/>
  <c r="N177" i="5"/>
  <c r="O177" i="5"/>
  <c r="G177" i="5"/>
  <c r="J177" i="5"/>
  <c r="D177" i="5"/>
  <c r="C315" i="5" s="1" a="1"/>
  <c r="C315" i="5" s="1"/>
  <c r="E177" i="5"/>
  <c r="M164" i="5"/>
  <c r="L164" i="5"/>
  <c r="D164" i="5"/>
  <c r="C298" i="5" s="1" a="1"/>
  <c r="C298" i="5" s="1"/>
  <c r="O164" i="5"/>
  <c r="F164" i="5"/>
  <c r="J164" i="5"/>
  <c r="I164" i="5"/>
  <c r="E164" i="5"/>
  <c r="G164" i="5"/>
  <c r="K164" i="5"/>
  <c r="H164" i="5"/>
  <c r="N164" i="5"/>
  <c r="Q135" i="5"/>
  <c r="B180" i="5" s="1" a="1"/>
  <c r="B180" i="5" s="1"/>
  <c r="S135" i="5"/>
  <c r="R135" i="5"/>
  <c r="P135" i="5"/>
  <c r="B179" i="5" s="1" a="1"/>
  <c r="B179" i="5" s="1"/>
  <c r="T135" i="5"/>
  <c r="K168" i="5"/>
  <c r="N168" i="5"/>
  <c r="J168" i="5"/>
  <c r="E168" i="5"/>
  <c r="C200" i="5" s="1" a="1"/>
  <c r="C200" i="5" s="1"/>
  <c r="D168" i="5"/>
  <c r="C199" i="5" s="1" a="1"/>
  <c r="C199" i="5" s="1"/>
  <c r="G168" i="5"/>
  <c r="L168" i="5"/>
  <c r="F168" i="5"/>
  <c r="O168" i="5"/>
  <c r="M168" i="5"/>
  <c r="H168" i="5"/>
  <c r="I168" i="5"/>
  <c r="L171" i="5"/>
  <c r="E171" i="5"/>
  <c r="H171" i="5"/>
  <c r="J171" i="5"/>
  <c r="D171" i="5"/>
  <c r="O171" i="5"/>
  <c r="I171" i="5"/>
  <c r="K171" i="5"/>
  <c r="M171" i="5"/>
  <c r="N171" i="5"/>
  <c r="F171" i="5"/>
  <c r="G171" i="5"/>
  <c r="R151" i="5"/>
  <c r="S151" i="5"/>
  <c r="Q151" i="5"/>
  <c r="P151" i="5"/>
  <c r="B282" i="5" s="1" a="1"/>
  <c r="B282" i="5" s="1"/>
  <c r="T151" i="5"/>
  <c r="G264" i="5"/>
  <c r="O264" i="5"/>
  <c r="M264" i="5"/>
  <c r="I264" i="5"/>
  <c r="K264" i="5"/>
  <c r="H264" i="5"/>
  <c r="J264" i="5"/>
  <c r="N264" i="5"/>
  <c r="D264" i="5"/>
  <c r="C414" i="5" s="1" a="1"/>
  <c r="C414" i="5" s="1"/>
  <c r="E264" i="5"/>
  <c r="C415" i="5" s="1" a="1"/>
  <c r="C415" i="5" s="1"/>
  <c r="F264" i="5"/>
  <c r="L264" i="5"/>
  <c r="T134" i="5"/>
  <c r="Q134" i="5"/>
  <c r="B178" i="5" s="1" a="1"/>
  <c r="B178" i="5" s="1"/>
  <c r="P134" i="5"/>
  <c r="B177" i="5" s="1" a="1"/>
  <c r="B177" i="5" s="1"/>
  <c r="R134" i="5"/>
  <c r="S134" i="5"/>
  <c r="H181" i="5"/>
  <c r="O181" i="5"/>
  <c r="M181" i="5"/>
  <c r="G181" i="5"/>
  <c r="D181" i="5"/>
  <c r="C211" i="5" s="1" a="1"/>
  <c r="C211" i="5" s="1"/>
  <c r="I181" i="5"/>
  <c r="N181" i="5"/>
  <c r="F181" i="5"/>
  <c r="E181" i="5"/>
  <c r="C212" i="5" s="1" a="1"/>
  <c r="C212" i="5" s="1"/>
  <c r="J181" i="5"/>
  <c r="K181" i="5"/>
  <c r="L181" i="5"/>
  <c r="J193" i="5"/>
  <c r="M193" i="5"/>
  <c r="O193" i="5"/>
  <c r="H193" i="5"/>
  <c r="N193" i="5"/>
  <c r="K193" i="5"/>
  <c r="G193" i="5"/>
  <c r="I193" i="5"/>
  <c r="L193" i="5"/>
  <c r="D193" i="5"/>
  <c r="C335" i="5" s="1" a="1"/>
  <c r="C335" i="5" s="1"/>
  <c r="E193" i="5"/>
  <c r="F193" i="5"/>
  <c r="I184" i="5"/>
  <c r="G184" i="5"/>
  <c r="K184" i="5"/>
  <c r="F184" i="5"/>
  <c r="O184" i="5"/>
  <c r="H184" i="5"/>
  <c r="E184" i="5"/>
  <c r="C216" i="5" s="1" a="1"/>
  <c r="C216" i="5" s="1"/>
  <c r="L184" i="5"/>
  <c r="D184" i="5"/>
  <c r="C215" i="5" s="1" a="1"/>
  <c r="C215" i="5" s="1"/>
  <c r="M184" i="5"/>
  <c r="J184" i="5"/>
  <c r="N184" i="5"/>
  <c r="G274" i="5"/>
  <c r="E274" i="5"/>
  <c r="C427" i="5" s="1" a="1"/>
  <c r="C427" i="5" s="1"/>
  <c r="K274" i="5"/>
  <c r="O274" i="5"/>
  <c r="F274" i="5"/>
  <c r="I274" i="5"/>
  <c r="H274" i="5"/>
  <c r="N274" i="5"/>
  <c r="J274" i="5"/>
  <c r="M274" i="5"/>
  <c r="D274" i="5"/>
  <c r="C426" i="5" s="1" a="1"/>
  <c r="C426" i="5" s="1"/>
  <c r="L274" i="5"/>
  <c r="R121" i="5"/>
  <c r="T121" i="5"/>
  <c r="S121" i="5"/>
  <c r="P121" i="5"/>
  <c r="B164" i="5" s="1" a="1"/>
  <c r="B164" i="5" s="1"/>
  <c r="Q121" i="5"/>
  <c r="H169" i="5"/>
  <c r="L169" i="5"/>
  <c r="M169" i="5"/>
  <c r="D169" i="5"/>
  <c r="C201" i="5" s="1" a="1"/>
  <c r="C201" i="5" s="1"/>
  <c r="J169" i="5"/>
  <c r="F169" i="5"/>
  <c r="G169" i="5"/>
  <c r="O169" i="5"/>
  <c r="N169" i="5"/>
  <c r="E169" i="5"/>
  <c r="I169" i="5"/>
  <c r="K169" i="5"/>
  <c r="P127" i="5"/>
  <c r="R127" i="5"/>
  <c r="S127" i="5"/>
  <c r="T127" i="5"/>
  <c r="Q127" i="5"/>
  <c r="O192" i="5"/>
  <c r="H192" i="5"/>
  <c r="J192" i="5"/>
  <c r="D192" i="5"/>
  <c r="C334" i="5" s="1" a="1"/>
  <c r="C334" i="5" s="1"/>
  <c r="F192" i="5"/>
  <c r="K192" i="5"/>
  <c r="L192" i="5"/>
  <c r="E192" i="5"/>
  <c r="G192" i="5"/>
  <c r="I192" i="5"/>
  <c r="M192" i="5"/>
  <c r="N192" i="5"/>
  <c r="R126" i="5"/>
  <c r="P126" i="5"/>
  <c r="B170" i="5" s="1" a="1"/>
  <c r="B170" i="5" s="1"/>
  <c r="T126" i="5"/>
  <c r="S126" i="5"/>
  <c r="Q126" i="5"/>
  <c r="B171" i="5" s="1" a="1"/>
  <c r="B171" i="5" s="1"/>
  <c r="E172" i="5"/>
  <c r="K172" i="5"/>
  <c r="F172" i="5"/>
  <c r="D172" i="5"/>
  <c r="C202" i="5" s="1" a="1"/>
  <c r="C202" i="5" s="1"/>
  <c r="N172" i="5"/>
  <c r="G172" i="5"/>
  <c r="J172" i="5"/>
  <c r="M172" i="5"/>
  <c r="H172" i="5"/>
  <c r="O172" i="5"/>
  <c r="I172" i="5"/>
  <c r="L172" i="5"/>
  <c r="T148" i="5"/>
  <c r="S148" i="5"/>
  <c r="Q148" i="5"/>
  <c r="B278" i="5" s="1" a="1"/>
  <c r="B278" i="5" s="1"/>
  <c r="P148" i="5"/>
  <c r="B277" i="5" s="1" a="1"/>
  <c r="B277" i="5" s="1"/>
  <c r="R148" i="5"/>
  <c r="Q149" i="5"/>
  <c r="R149" i="5"/>
  <c r="T149" i="5"/>
  <c r="S149" i="5"/>
  <c r="P149" i="5"/>
  <c r="B279" i="5" s="1" a="1"/>
  <c r="B279" i="5" s="1"/>
  <c r="L170" i="5"/>
  <c r="E170" i="5"/>
  <c r="G170" i="5"/>
  <c r="H170" i="5"/>
  <c r="N170" i="5"/>
  <c r="K170" i="5"/>
  <c r="J170" i="5"/>
  <c r="F170" i="5"/>
  <c r="I170" i="5"/>
  <c r="D170" i="5"/>
  <c r="O170" i="5"/>
  <c r="M170" i="5"/>
  <c r="O285" i="5"/>
  <c r="D285" i="5"/>
  <c r="C439" i="5" s="1" a="1"/>
  <c r="C439" i="5" s="1"/>
  <c r="K285" i="5"/>
  <c r="E285" i="5"/>
  <c r="M285" i="5"/>
  <c r="L285" i="5"/>
  <c r="F285" i="5"/>
  <c r="J285" i="5"/>
  <c r="G285" i="5"/>
  <c r="N285" i="5"/>
  <c r="H285" i="5"/>
  <c r="I285" i="5"/>
  <c r="D289" i="5"/>
  <c r="C445" i="5" s="1" a="1"/>
  <c r="C445" i="5" s="1"/>
  <c r="K289" i="5"/>
  <c r="J289" i="5"/>
  <c r="F289" i="5"/>
  <c r="O289" i="5"/>
  <c r="G289" i="5"/>
  <c r="N289" i="5"/>
  <c r="H289" i="5"/>
  <c r="E289" i="5"/>
  <c r="C446" i="5" s="1" a="1"/>
  <c r="C446" i="5" s="1"/>
  <c r="M289" i="5"/>
  <c r="I289" i="5"/>
  <c r="L289" i="5"/>
  <c r="P136" i="5"/>
  <c r="B181" i="5" s="1" a="1"/>
  <c r="B181" i="5" s="1"/>
  <c r="Q136" i="5"/>
  <c r="R136" i="5"/>
  <c r="T136" i="5"/>
  <c r="S136" i="5"/>
  <c r="L279" i="5"/>
  <c r="M279" i="5"/>
  <c r="O279" i="5"/>
  <c r="N279" i="5"/>
  <c r="J279" i="5"/>
  <c r="G279" i="5"/>
  <c r="C436" i="5" s="1" a="1"/>
  <c r="C436" i="5" s="1"/>
  <c r="H279" i="5"/>
  <c r="E279" i="5"/>
  <c r="C434" i="5" s="1" a="1"/>
  <c r="C434" i="5" s="1"/>
  <c r="K279" i="5"/>
  <c r="I279" i="5"/>
  <c r="D279" i="5"/>
  <c r="C433" i="5" s="1" a="1"/>
  <c r="C433" i="5" s="1"/>
  <c r="F279" i="5"/>
  <c r="C435" i="5" s="1" a="1"/>
  <c r="C435" i="5" s="1"/>
  <c r="K265" i="5"/>
  <c r="O265" i="5"/>
  <c r="N265" i="5"/>
  <c r="F265" i="5"/>
  <c r="C418" i="5" s="1" a="1"/>
  <c r="C418" i="5" s="1"/>
  <c r="D265" i="5"/>
  <c r="C416" i="5" s="1" a="1"/>
  <c r="C416" i="5" s="1"/>
  <c r="L265" i="5"/>
  <c r="M265" i="5"/>
  <c r="J265" i="5"/>
  <c r="G265" i="5"/>
  <c r="C419" i="5" s="1" a="1"/>
  <c r="C419" i="5" s="1"/>
  <c r="H265" i="5"/>
  <c r="I265" i="5"/>
  <c r="E265" i="5"/>
  <c r="C417" i="5" s="1" a="1"/>
  <c r="C417" i="5" s="1"/>
  <c r="N284" i="5"/>
  <c r="I284" i="5"/>
  <c r="F284" i="5"/>
  <c r="D284" i="5"/>
  <c r="C438" i="5" s="1" a="1"/>
  <c r="C438" i="5" s="1"/>
  <c r="M284" i="5"/>
  <c r="K284" i="5"/>
  <c r="O284" i="5"/>
  <c r="H284" i="5"/>
  <c r="E284" i="5"/>
  <c r="G284" i="5"/>
  <c r="J284" i="5"/>
  <c r="L284" i="5"/>
  <c r="P131" i="5"/>
  <c r="T131" i="5"/>
  <c r="Q131" i="5"/>
  <c r="S131" i="5"/>
  <c r="R131" i="5"/>
  <c r="M278" i="5"/>
  <c r="L278" i="5"/>
  <c r="O278" i="5"/>
  <c r="J278" i="5"/>
  <c r="K278" i="5"/>
  <c r="I278" i="5"/>
  <c r="N278" i="5"/>
  <c r="E278" i="5"/>
  <c r="H278" i="5"/>
  <c r="G278" i="5"/>
  <c r="D278" i="5"/>
  <c r="F278" i="5"/>
  <c r="Q154" i="5"/>
  <c r="R154" i="5"/>
  <c r="T154" i="5"/>
  <c r="P154" i="5"/>
  <c r="S154" i="5"/>
  <c r="T153" i="5"/>
  <c r="P153" i="5"/>
  <c r="B284" i="5" s="1" a="1"/>
  <c r="B284" i="5" s="1"/>
  <c r="R153" i="5"/>
  <c r="Q153" i="5"/>
  <c r="B285" i="5" s="1" a="1"/>
  <c r="B285" i="5" s="1"/>
  <c r="S153" i="5"/>
  <c r="Q722" i="5"/>
  <c r="P722" i="5"/>
  <c r="S722" i="5"/>
  <c r="T722" i="5"/>
  <c r="R722" i="5"/>
  <c r="B167" i="5" l="1" a="1"/>
  <c r="B167" i="5" s="1"/>
  <c r="B166" i="5" a="1"/>
  <c r="B166" i="5" s="1"/>
  <c r="B172" i="5" a="1"/>
  <c r="B172" i="5" s="1"/>
  <c r="B173" i="5" a="1"/>
  <c r="B173" i="5" s="1"/>
  <c r="Q265" i="5"/>
  <c r="B417" i="5" s="1" a="1"/>
  <c r="B417" i="5" s="1"/>
  <c r="T265" i="5"/>
  <c r="R265" i="5"/>
  <c r="B418" i="5" s="1" a="1"/>
  <c r="B418" i="5" s="1"/>
  <c r="P265" i="5"/>
  <c r="B416" i="5" s="1" a="1"/>
  <c r="B416" i="5" s="1"/>
  <c r="S265" i="5"/>
  <c r="B419" i="5" s="1" a="1"/>
  <c r="B419" i="5" s="1"/>
  <c r="R171" i="5"/>
  <c r="S171" i="5"/>
  <c r="Q171" i="5"/>
  <c r="T171" i="5"/>
  <c r="P171" i="5"/>
  <c r="E298" i="5"/>
  <c r="F298" i="5"/>
  <c r="O298" i="5"/>
  <c r="I298" i="5"/>
  <c r="H298" i="5"/>
  <c r="L298" i="5"/>
  <c r="K298" i="5"/>
  <c r="J298" i="5"/>
  <c r="N298" i="5"/>
  <c r="M298" i="5"/>
  <c r="D298" i="5"/>
  <c r="C455" i="5" s="1" a="1"/>
  <c r="C455" i="5" s="1"/>
  <c r="G298" i="5"/>
  <c r="P175" i="5"/>
  <c r="B205" i="5" s="1" a="1"/>
  <c r="B205" i="5" s="1"/>
  <c r="S175" i="5"/>
  <c r="T175" i="5"/>
  <c r="R175" i="5"/>
  <c r="Q175" i="5"/>
  <c r="B206" i="5" s="1" a="1"/>
  <c r="B206" i="5" s="1"/>
  <c r="S181" i="5"/>
  <c r="P181" i="5"/>
  <c r="B211" i="5" s="1" a="1"/>
  <c r="B211" i="5" s="1"/>
  <c r="Q181" i="5"/>
  <c r="B212" i="5" s="1" a="1"/>
  <c r="B212" i="5" s="1"/>
  <c r="R181" i="5"/>
  <c r="T181" i="5"/>
  <c r="T176" i="5"/>
  <c r="Q176" i="5"/>
  <c r="P176" i="5"/>
  <c r="S176" i="5"/>
  <c r="R176" i="5"/>
  <c r="F433" i="5"/>
  <c r="G433" i="5"/>
  <c r="M433" i="5"/>
  <c r="D433" i="5"/>
  <c r="H433" i="5"/>
  <c r="E433" i="5"/>
  <c r="L433" i="5"/>
  <c r="K433" i="5"/>
  <c r="O433" i="5"/>
  <c r="I433" i="5"/>
  <c r="N433" i="5"/>
  <c r="J433" i="5"/>
  <c r="K215" i="5"/>
  <c r="D215" i="5"/>
  <c r="C363" i="5" s="1" a="1"/>
  <c r="C363" i="5" s="1"/>
  <c r="I215" i="5"/>
  <c r="M215" i="5"/>
  <c r="L215" i="5"/>
  <c r="N215" i="5"/>
  <c r="O215" i="5"/>
  <c r="H215" i="5"/>
  <c r="G215" i="5"/>
  <c r="F215" i="5"/>
  <c r="J215" i="5"/>
  <c r="E215" i="5"/>
  <c r="G205" i="5"/>
  <c r="D205" i="5"/>
  <c r="E205" i="5"/>
  <c r="O205" i="5"/>
  <c r="J205" i="5"/>
  <c r="M205" i="5"/>
  <c r="N205" i="5"/>
  <c r="L205" i="5"/>
  <c r="H205" i="5"/>
  <c r="F205" i="5"/>
  <c r="I205" i="5"/>
  <c r="K205" i="5"/>
  <c r="I435" i="5"/>
  <c r="N435" i="5"/>
  <c r="L435" i="5"/>
  <c r="D435" i="5"/>
  <c r="C558" i="5" s="1" a="1"/>
  <c r="C558" i="5" s="1"/>
  <c r="G435" i="5"/>
  <c r="H435" i="5"/>
  <c r="K435" i="5"/>
  <c r="O435" i="5"/>
  <c r="E435" i="5"/>
  <c r="C559" i="5" s="1" a="1"/>
  <c r="C559" i="5" s="1"/>
  <c r="M435" i="5"/>
  <c r="J435" i="5"/>
  <c r="F435" i="5"/>
  <c r="J315" i="5"/>
  <c r="F315" i="5"/>
  <c r="N315" i="5"/>
  <c r="D315" i="5"/>
  <c r="C475" i="5" s="1" a="1"/>
  <c r="C475" i="5" s="1"/>
  <c r="E315" i="5"/>
  <c r="C476" i="5" s="1" a="1"/>
  <c r="C476" i="5" s="1"/>
  <c r="L315" i="5"/>
  <c r="M315" i="5"/>
  <c r="I315" i="5"/>
  <c r="H315" i="5"/>
  <c r="K315" i="5"/>
  <c r="O315" i="5"/>
  <c r="G315" i="5"/>
  <c r="I206" i="5"/>
  <c r="J206" i="5"/>
  <c r="F206" i="5"/>
  <c r="O206" i="5"/>
  <c r="N206" i="5"/>
  <c r="E206" i="5"/>
  <c r="G206" i="5"/>
  <c r="L206" i="5"/>
  <c r="D206" i="5"/>
  <c r="C351" i="5" s="1" a="1"/>
  <c r="C351" i="5" s="1"/>
  <c r="M206" i="5"/>
  <c r="K206" i="5"/>
  <c r="H206" i="5"/>
  <c r="O216" i="5"/>
  <c r="L216" i="5"/>
  <c r="I216" i="5"/>
  <c r="M216" i="5"/>
  <c r="N216" i="5"/>
  <c r="H216" i="5"/>
  <c r="F216" i="5"/>
  <c r="K216" i="5"/>
  <c r="D216" i="5"/>
  <c r="C364" i="5" s="1" a="1"/>
  <c r="C364" i="5" s="1"/>
  <c r="J216" i="5"/>
  <c r="G216" i="5"/>
  <c r="E216" i="5"/>
  <c r="L437" i="5"/>
  <c r="J437" i="5"/>
  <c r="G437" i="5"/>
  <c r="M437" i="5"/>
  <c r="E437" i="5"/>
  <c r="F437" i="5"/>
  <c r="O437" i="5"/>
  <c r="I437" i="5"/>
  <c r="D437" i="5"/>
  <c r="C560" i="5" s="1" a="1"/>
  <c r="C560" i="5" s="1"/>
  <c r="K437" i="5"/>
  <c r="N437" i="5"/>
  <c r="H437" i="5"/>
  <c r="T174" i="5"/>
  <c r="Q174" i="5"/>
  <c r="P174" i="5"/>
  <c r="B204" i="5" s="1" a="1"/>
  <c r="B204" i="5" s="1"/>
  <c r="R174" i="5"/>
  <c r="S174" i="5"/>
  <c r="R241" i="5"/>
  <c r="P241" i="5"/>
  <c r="Q241" i="5"/>
  <c r="S241" i="5"/>
  <c r="T241" i="5"/>
  <c r="P278" i="5"/>
  <c r="T278" i="5"/>
  <c r="Q278" i="5"/>
  <c r="S278" i="5"/>
  <c r="R278" i="5"/>
  <c r="D434" i="5"/>
  <c r="J434" i="5"/>
  <c r="F434" i="5"/>
  <c r="G434" i="5"/>
  <c r="L434" i="5"/>
  <c r="K434" i="5"/>
  <c r="M434" i="5"/>
  <c r="O434" i="5"/>
  <c r="H434" i="5"/>
  <c r="E434" i="5"/>
  <c r="I434" i="5"/>
  <c r="N434" i="5"/>
  <c r="R167" i="5"/>
  <c r="Q167" i="5"/>
  <c r="T167" i="5"/>
  <c r="S167" i="5"/>
  <c r="P167" i="5"/>
  <c r="B198" i="5" s="1" a="1"/>
  <c r="B198" i="5" s="1"/>
  <c r="R172" i="5"/>
  <c r="S172" i="5"/>
  <c r="Q172" i="5"/>
  <c r="P172" i="5"/>
  <c r="B202" i="5" s="1" a="1"/>
  <c r="B202" i="5" s="1"/>
  <c r="T172" i="5"/>
  <c r="R169" i="5"/>
  <c r="Q169" i="5"/>
  <c r="S169" i="5"/>
  <c r="P169" i="5"/>
  <c r="B201" i="5" s="1" a="1"/>
  <c r="B201" i="5" s="1"/>
  <c r="T169" i="5"/>
  <c r="R184" i="5"/>
  <c r="Q184" i="5"/>
  <c r="B216" i="5" s="1" a="1"/>
  <c r="B216" i="5" s="1"/>
  <c r="S184" i="5"/>
  <c r="T184" i="5"/>
  <c r="P184" i="5"/>
  <c r="B215" i="5" s="1" a="1"/>
  <c r="B215" i="5" s="1"/>
  <c r="T177" i="5"/>
  <c r="P177" i="5"/>
  <c r="B315" i="5" s="1" a="1"/>
  <c r="B315" i="5" s="1"/>
  <c r="R177" i="5"/>
  <c r="S177" i="5"/>
  <c r="Q177" i="5"/>
  <c r="S189" i="5"/>
  <c r="Q189" i="5"/>
  <c r="T189" i="5"/>
  <c r="R189" i="5"/>
  <c r="P189" i="5"/>
  <c r="B330" i="5" s="1" a="1"/>
  <c r="B330" i="5" s="1"/>
  <c r="J436" i="5"/>
  <c r="H436" i="5"/>
  <c r="E436" i="5"/>
  <c r="F436" i="5"/>
  <c r="M436" i="5"/>
  <c r="G436" i="5"/>
  <c r="D436" i="5"/>
  <c r="O436" i="5"/>
  <c r="K436" i="5"/>
  <c r="N436" i="5"/>
  <c r="L436" i="5"/>
  <c r="I436" i="5"/>
  <c r="T283" i="5"/>
  <c r="P283" i="5"/>
  <c r="B437" i="5" s="1" a="1"/>
  <c r="B437" i="5" s="1"/>
  <c r="R283" i="5"/>
  <c r="S283" i="5"/>
  <c r="Q283" i="5"/>
  <c r="G311" i="5"/>
  <c r="J311" i="5"/>
  <c r="E311" i="5"/>
  <c r="H311" i="5"/>
  <c r="O311" i="5"/>
  <c r="D311" i="5"/>
  <c r="C470" i="5" s="1" a="1"/>
  <c r="C470" i="5" s="1"/>
  <c r="K311" i="5"/>
  <c r="F311" i="5"/>
  <c r="N311" i="5"/>
  <c r="M311" i="5"/>
  <c r="I311" i="5"/>
  <c r="L311" i="5"/>
  <c r="P191" i="5"/>
  <c r="S191" i="5"/>
  <c r="T191" i="5"/>
  <c r="Q191" i="5"/>
  <c r="R191" i="5"/>
  <c r="M439" i="5"/>
  <c r="F439" i="5"/>
  <c r="E439" i="5"/>
  <c r="G439" i="5"/>
  <c r="L439" i="5"/>
  <c r="N439" i="5"/>
  <c r="K439" i="5"/>
  <c r="D439" i="5"/>
  <c r="C562" i="5" s="1" a="1"/>
  <c r="C562" i="5" s="1"/>
  <c r="J439" i="5"/>
  <c r="O439" i="5"/>
  <c r="I439" i="5"/>
  <c r="H439" i="5"/>
  <c r="K202" i="5"/>
  <c r="I202" i="5"/>
  <c r="O202" i="5"/>
  <c r="J202" i="5"/>
  <c r="D202" i="5"/>
  <c r="C231" i="5" s="1" a="1"/>
  <c r="C231" i="5" s="1"/>
  <c r="H202" i="5"/>
  <c r="F202" i="5"/>
  <c r="E202" i="5"/>
  <c r="C232" i="5" s="1" a="1"/>
  <c r="C232" i="5" s="1"/>
  <c r="G202" i="5"/>
  <c r="N202" i="5"/>
  <c r="L202" i="5"/>
  <c r="M202" i="5"/>
  <c r="Q168" i="5"/>
  <c r="B200" i="5" s="1" a="1"/>
  <c r="B200" i="5" s="1"/>
  <c r="S168" i="5"/>
  <c r="R168" i="5"/>
  <c r="P168" i="5"/>
  <c r="B199" i="5" s="1" a="1"/>
  <c r="B199" i="5" s="1"/>
  <c r="T168" i="5"/>
  <c r="T285" i="5"/>
  <c r="Q285" i="5"/>
  <c r="P285" i="5"/>
  <c r="B439" i="5" s="1" a="1"/>
  <c r="B439" i="5" s="1"/>
  <c r="S285" i="5"/>
  <c r="R285" i="5"/>
  <c r="S251" i="5"/>
  <c r="R251" i="5"/>
  <c r="P251" i="5"/>
  <c r="T251" i="5"/>
  <c r="Q251" i="5"/>
  <c r="J448" i="5"/>
  <c r="K448" i="5"/>
  <c r="F448" i="5"/>
  <c r="G448" i="5"/>
  <c r="H448" i="5"/>
  <c r="M448" i="5"/>
  <c r="I448" i="5"/>
  <c r="D448" i="5"/>
  <c r="C565" i="5" s="1" a="1"/>
  <c r="C565" i="5" s="1"/>
  <c r="O448" i="5"/>
  <c r="L448" i="5"/>
  <c r="E448" i="5"/>
  <c r="N448" i="5"/>
  <c r="P188" i="5"/>
  <c r="B329" i="5" s="1" a="1"/>
  <c r="B329" i="5" s="1"/>
  <c r="Q188" i="5"/>
  <c r="T188" i="5"/>
  <c r="R188" i="5"/>
  <c r="S188" i="5"/>
  <c r="R279" i="5"/>
  <c r="B435" i="5" s="1" a="1"/>
  <c r="B435" i="5" s="1"/>
  <c r="S279" i="5"/>
  <c r="B436" i="5" s="1" a="1"/>
  <c r="B436" i="5" s="1"/>
  <c r="P279" i="5"/>
  <c r="B433" i="5" s="1" a="1"/>
  <c r="B433" i="5" s="1"/>
  <c r="T279" i="5"/>
  <c r="Q279" i="5"/>
  <c r="B434" i="5" s="1" a="1"/>
  <c r="B434" i="5" s="1"/>
  <c r="O201" i="5"/>
  <c r="G201" i="5"/>
  <c r="I201" i="5"/>
  <c r="L201" i="5"/>
  <c r="N201" i="5"/>
  <c r="M201" i="5"/>
  <c r="K201" i="5"/>
  <c r="J201" i="5"/>
  <c r="H201" i="5"/>
  <c r="D201" i="5"/>
  <c r="C229" i="5" s="1" a="1"/>
  <c r="C229" i="5" s="1"/>
  <c r="F201" i="5"/>
  <c r="E201" i="5"/>
  <c r="C230" i="5" s="1" a="1"/>
  <c r="C230" i="5" s="1"/>
  <c r="L415" i="5"/>
  <c r="D415" i="5"/>
  <c r="K415" i="5"/>
  <c r="I415" i="5"/>
  <c r="E415" i="5"/>
  <c r="F415" i="5"/>
  <c r="G415" i="5"/>
  <c r="N415" i="5"/>
  <c r="O415" i="5"/>
  <c r="H415" i="5"/>
  <c r="J415" i="5"/>
  <c r="M415" i="5"/>
  <c r="R187" i="5"/>
  <c r="S187" i="5"/>
  <c r="T187" i="5"/>
  <c r="P187" i="5"/>
  <c r="Q187" i="5"/>
  <c r="O204" i="5"/>
  <c r="E204" i="5"/>
  <c r="K204" i="5"/>
  <c r="G204" i="5"/>
  <c r="M204" i="5"/>
  <c r="H204" i="5"/>
  <c r="N204" i="5"/>
  <c r="I204" i="5"/>
  <c r="J204" i="5"/>
  <c r="F204" i="5"/>
  <c r="L204" i="5"/>
  <c r="D204" i="5"/>
  <c r="P170" i="5"/>
  <c r="Q170" i="5"/>
  <c r="T170" i="5"/>
  <c r="R170" i="5"/>
  <c r="S170" i="5"/>
  <c r="K414" i="5"/>
  <c r="N414" i="5"/>
  <c r="O414" i="5"/>
  <c r="F414" i="5"/>
  <c r="E414" i="5"/>
  <c r="D414" i="5"/>
  <c r="J414" i="5"/>
  <c r="I414" i="5"/>
  <c r="G414" i="5"/>
  <c r="M414" i="5"/>
  <c r="L414" i="5"/>
  <c r="H414" i="5"/>
  <c r="K210" i="5"/>
  <c r="O210" i="5"/>
  <c r="J210" i="5"/>
  <c r="F210" i="5"/>
  <c r="L210" i="5"/>
  <c r="D210" i="5"/>
  <c r="C356" i="5" s="1" a="1"/>
  <c r="C356" i="5" s="1"/>
  <c r="M210" i="5"/>
  <c r="H210" i="5"/>
  <c r="I210" i="5"/>
  <c r="G210" i="5"/>
  <c r="E210" i="5"/>
  <c r="C357" i="5" s="1" a="1"/>
  <c r="C357" i="5" s="1"/>
  <c r="N210" i="5"/>
  <c r="G422" i="5"/>
  <c r="E422" i="5"/>
  <c r="I422" i="5"/>
  <c r="H422" i="5"/>
  <c r="F422" i="5"/>
  <c r="L422" i="5"/>
  <c r="O422" i="5"/>
  <c r="D422" i="5"/>
  <c r="C551" i="5" s="1" a="1"/>
  <c r="C551" i="5" s="1"/>
  <c r="M422" i="5"/>
  <c r="N422" i="5"/>
  <c r="J422" i="5"/>
  <c r="K422" i="5"/>
  <c r="F330" i="5"/>
  <c r="N330" i="5"/>
  <c r="K330" i="5"/>
  <c r="O330" i="5"/>
  <c r="H330" i="5"/>
  <c r="I330" i="5"/>
  <c r="J330" i="5"/>
  <c r="G330" i="5"/>
  <c r="E330" i="5"/>
  <c r="C492" i="5" s="1" a="1"/>
  <c r="C492" i="5" s="1"/>
  <c r="M330" i="5"/>
  <c r="L330" i="5"/>
  <c r="D330" i="5"/>
  <c r="C491" i="5" s="1" a="1"/>
  <c r="C491" i="5" s="1"/>
  <c r="K395" i="5"/>
  <c r="M395" i="5"/>
  <c r="N395" i="5"/>
  <c r="H395" i="5"/>
  <c r="J395" i="5"/>
  <c r="D395" i="5"/>
  <c r="C530" i="5" s="1" a="1"/>
  <c r="C530" i="5" s="1"/>
  <c r="O395" i="5"/>
  <c r="F395" i="5"/>
  <c r="G395" i="5"/>
  <c r="I395" i="5"/>
  <c r="E395" i="5"/>
  <c r="C531" i="5" s="1" a="1"/>
  <c r="C531" i="5" s="1"/>
  <c r="L395" i="5"/>
  <c r="N329" i="5"/>
  <c r="J329" i="5"/>
  <c r="O329" i="5"/>
  <c r="M329" i="5"/>
  <c r="L329" i="5"/>
  <c r="K329" i="5"/>
  <c r="I329" i="5"/>
  <c r="F329" i="5"/>
  <c r="E329" i="5"/>
  <c r="D329" i="5"/>
  <c r="C490" i="5" s="1" a="1"/>
  <c r="C490" i="5" s="1"/>
  <c r="H329" i="5"/>
  <c r="G329" i="5"/>
  <c r="K199" i="5"/>
  <c r="N199" i="5"/>
  <c r="O199" i="5"/>
  <c r="G199" i="5"/>
  <c r="L199" i="5"/>
  <c r="E199" i="5"/>
  <c r="C228" i="5" s="1" a="1"/>
  <c r="C228" i="5" s="1"/>
  <c r="I199" i="5"/>
  <c r="M199" i="5"/>
  <c r="F199" i="5"/>
  <c r="D199" i="5"/>
  <c r="C227" i="5" s="1" a="1"/>
  <c r="C227" i="5" s="1"/>
  <c r="J199" i="5"/>
  <c r="H199" i="5"/>
  <c r="E218" i="5"/>
  <c r="L218" i="5"/>
  <c r="G218" i="5"/>
  <c r="I218" i="5"/>
  <c r="M218" i="5"/>
  <c r="N218" i="5"/>
  <c r="K218" i="5"/>
  <c r="J218" i="5"/>
  <c r="H218" i="5"/>
  <c r="F218" i="5"/>
  <c r="O218" i="5"/>
  <c r="D218" i="5"/>
  <c r="K335" i="5"/>
  <c r="D335" i="5"/>
  <c r="C497" i="5" s="1" a="1"/>
  <c r="C497" i="5" s="1"/>
  <c r="I335" i="5"/>
  <c r="E335" i="5"/>
  <c r="C498" i="5" s="1" a="1"/>
  <c r="C498" i="5" s="1"/>
  <c r="N335" i="5"/>
  <c r="O335" i="5"/>
  <c r="M335" i="5"/>
  <c r="J335" i="5"/>
  <c r="G335" i="5"/>
  <c r="H335" i="5"/>
  <c r="L335" i="5"/>
  <c r="F335" i="5"/>
  <c r="N200" i="5"/>
  <c r="L200" i="5"/>
  <c r="G200" i="5"/>
  <c r="M200" i="5"/>
  <c r="O200" i="5"/>
  <c r="J200" i="5"/>
  <c r="H200" i="5"/>
  <c r="I200" i="5"/>
  <c r="K200" i="5"/>
  <c r="F200" i="5"/>
  <c r="D200" i="5"/>
  <c r="C345" i="5" s="1" a="1"/>
  <c r="C345" i="5" s="1"/>
  <c r="E200" i="5"/>
  <c r="G196" i="5"/>
  <c r="K196" i="5"/>
  <c r="E196" i="5"/>
  <c r="C222" i="5" s="1" a="1"/>
  <c r="C222" i="5" s="1"/>
  <c r="D196" i="5"/>
  <c r="C221" i="5" s="1" a="1"/>
  <c r="C221" i="5" s="1"/>
  <c r="F196" i="5"/>
  <c r="H196" i="5"/>
  <c r="O196" i="5"/>
  <c r="N196" i="5"/>
  <c r="L196" i="5"/>
  <c r="I196" i="5"/>
  <c r="M196" i="5"/>
  <c r="J196" i="5"/>
  <c r="P186" i="5"/>
  <c r="B219" i="5" s="1" a="1"/>
  <c r="B219" i="5" s="1"/>
  <c r="T186" i="5"/>
  <c r="Q186" i="5"/>
  <c r="B220" i="5" s="1" a="1"/>
  <c r="B220" i="5" s="1"/>
  <c r="R186" i="5"/>
  <c r="S186" i="5"/>
  <c r="Q284" i="5"/>
  <c r="T284" i="5"/>
  <c r="R284" i="5"/>
  <c r="P284" i="5"/>
  <c r="B438" i="5" s="1" a="1"/>
  <c r="B438" i="5" s="1"/>
  <c r="S284" i="5"/>
  <c r="S277" i="5"/>
  <c r="R277" i="5"/>
  <c r="P277" i="5"/>
  <c r="Q277" i="5"/>
  <c r="T277" i="5"/>
  <c r="E220" i="5"/>
  <c r="C368" i="5" s="1" a="1"/>
  <c r="C368" i="5" s="1"/>
  <c r="K220" i="5"/>
  <c r="F220" i="5"/>
  <c r="N220" i="5"/>
  <c r="G220" i="5"/>
  <c r="L220" i="5"/>
  <c r="O220" i="5"/>
  <c r="D220" i="5"/>
  <c r="C367" i="5" s="1" a="1"/>
  <c r="C367" i="5" s="1"/>
  <c r="H220" i="5"/>
  <c r="J220" i="5"/>
  <c r="M220" i="5"/>
  <c r="I220" i="5"/>
  <c r="J217" i="5"/>
  <c r="K217" i="5"/>
  <c r="I217" i="5"/>
  <c r="H217" i="5"/>
  <c r="O217" i="5"/>
  <c r="E217" i="5"/>
  <c r="C366" i="5" s="1" a="1"/>
  <c r="C366" i="5" s="1"/>
  <c r="F217" i="5"/>
  <c r="L217" i="5"/>
  <c r="M217" i="5"/>
  <c r="D217" i="5"/>
  <c r="C365" i="5" s="1" a="1"/>
  <c r="C365" i="5" s="1"/>
  <c r="G217" i="5"/>
  <c r="N217" i="5"/>
  <c r="T292" i="5"/>
  <c r="S292" i="5"/>
  <c r="P292" i="5"/>
  <c r="B448" i="5" s="1" a="1"/>
  <c r="B448" i="5" s="1"/>
  <c r="R292" i="5"/>
  <c r="Q292" i="5"/>
  <c r="Q271" i="5"/>
  <c r="B317" i="5" s="1" a="1"/>
  <c r="B317" i="5" s="1"/>
  <c r="S271" i="5"/>
  <c r="P271" i="5"/>
  <c r="B422" i="5" s="1" a="1"/>
  <c r="B422" i="5" s="1"/>
  <c r="R271" i="5"/>
  <c r="T271" i="5"/>
  <c r="S179" i="5"/>
  <c r="R179" i="5"/>
  <c r="P179" i="5"/>
  <c r="B207" i="5" s="1" a="1"/>
  <c r="B207" i="5" s="1"/>
  <c r="T179" i="5"/>
  <c r="Q179" i="5"/>
  <c r="B208" i="5" s="1" a="1"/>
  <c r="B208" i="5" s="1"/>
  <c r="P166" i="5"/>
  <c r="B196" i="5" s="1" a="1"/>
  <c r="B196" i="5" s="1"/>
  <c r="R166" i="5"/>
  <c r="T166" i="5"/>
  <c r="S166" i="5"/>
  <c r="Q166" i="5"/>
  <c r="B197" i="5" s="1" a="1"/>
  <c r="B197" i="5" s="1"/>
  <c r="G219" i="5"/>
  <c r="M219" i="5"/>
  <c r="E219" i="5"/>
  <c r="J219" i="5"/>
  <c r="K219" i="5"/>
  <c r="F219" i="5"/>
  <c r="I219" i="5"/>
  <c r="N219" i="5"/>
  <c r="H219" i="5"/>
  <c r="L219" i="5"/>
  <c r="O219" i="5"/>
  <c r="D219" i="5"/>
  <c r="I394" i="5"/>
  <c r="F394" i="5"/>
  <c r="L394" i="5"/>
  <c r="E394" i="5"/>
  <c r="C529" i="5" s="1" a="1"/>
  <c r="C529" i="5" s="1"/>
  <c r="K394" i="5"/>
  <c r="M394" i="5"/>
  <c r="N394" i="5"/>
  <c r="O394" i="5"/>
  <c r="H394" i="5"/>
  <c r="D394" i="5"/>
  <c r="C528" i="5" s="1" a="1"/>
  <c r="C528" i="5" s="1"/>
  <c r="G394" i="5"/>
  <c r="J394" i="5"/>
  <c r="P173" i="5"/>
  <c r="B203" i="5" s="1" a="1"/>
  <c r="B203" i="5" s="1"/>
  <c r="T173" i="5"/>
  <c r="Q173" i="5"/>
  <c r="B309" i="5" s="1" a="1"/>
  <c r="B309" i="5" s="1"/>
  <c r="R173" i="5"/>
  <c r="S173" i="5"/>
  <c r="I438" i="5"/>
  <c r="F438" i="5"/>
  <c r="N438" i="5"/>
  <c r="H438" i="5"/>
  <c r="O438" i="5"/>
  <c r="K438" i="5"/>
  <c r="E438" i="5"/>
  <c r="L438" i="5"/>
  <c r="M438" i="5"/>
  <c r="J438" i="5"/>
  <c r="D438" i="5"/>
  <c r="C561" i="5" s="1" a="1"/>
  <c r="C561" i="5" s="1"/>
  <c r="G438" i="5"/>
  <c r="P182" i="5"/>
  <c r="B213" i="5" s="1" a="1"/>
  <c r="B213" i="5" s="1"/>
  <c r="Q182" i="5"/>
  <c r="B214" i="5" s="1" a="1"/>
  <c r="B214" i="5" s="1"/>
  <c r="T182" i="5"/>
  <c r="R182" i="5"/>
  <c r="S182" i="5"/>
  <c r="D197" i="5"/>
  <c r="C223" i="5" s="1" a="1"/>
  <c r="C223" i="5" s="1"/>
  <c r="I197" i="5"/>
  <c r="L197" i="5"/>
  <c r="E197" i="5"/>
  <c r="C224" i="5" s="1" a="1"/>
  <c r="C224" i="5" s="1"/>
  <c r="G197" i="5"/>
  <c r="C344" i="5" s="1" a="1"/>
  <c r="C344" i="5" s="1"/>
  <c r="K197" i="5"/>
  <c r="M197" i="5"/>
  <c r="O197" i="5"/>
  <c r="H197" i="5"/>
  <c r="N197" i="5"/>
  <c r="J197" i="5"/>
  <c r="F197" i="5"/>
  <c r="C343" i="5" s="1" a="1"/>
  <c r="C343" i="5" s="1"/>
  <c r="Q239" i="5"/>
  <c r="B395" i="5" s="1" a="1"/>
  <c r="B395" i="5" s="1"/>
  <c r="S239" i="5"/>
  <c r="R239" i="5"/>
  <c r="P239" i="5"/>
  <c r="B394" i="5" s="1" a="1"/>
  <c r="B394" i="5" s="1"/>
  <c r="T239" i="5"/>
  <c r="Q257" i="5"/>
  <c r="P257" i="5"/>
  <c r="S257" i="5"/>
  <c r="T257" i="5"/>
  <c r="R257" i="5"/>
  <c r="T264" i="5"/>
  <c r="R264" i="5"/>
  <c r="Q264" i="5"/>
  <c r="B415" i="5" s="1" a="1"/>
  <c r="B415" i="5" s="1"/>
  <c r="P264" i="5"/>
  <c r="B414" i="5" s="1" a="1"/>
  <c r="B414" i="5" s="1"/>
  <c r="S264" i="5"/>
  <c r="J430" i="5"/>
  <c r="M430" i="5"/>
  <c r="F430" i="5"/>
  <c r="N430" i="5"/>
  <c r="D430" i="5"/>
  <c r="E430" i="5"/>
  <c r="O430" i="5"/>
  <c r="G430" i="5"/>
  <c r="L430" i="5"/>
  <c r="K430" i="5"/>
  <c r="I430" i="5"/>
  <c r="H430" i="5"/>
  <c r="S269" i="5"/>
  <c r="P269" i="5"/>
  <c r="R269" i="5"/>
  <c r="T269" i="5"/>
  <c r="Q269" i="5"/>
  <c r="F208" i="5"/>
  <c r="D208" i="5"/>
  <c r="L208" i="5"/>
  <c r="G208" i="5"/>
  <c r="I208" i="5"/>
  <c r="O208" i="5"/>
  <c r="K208" i="5"/>
  <c r="E208" i="5"/>
  <c r="J208" i="5"/>
  <c r="N208" i="5"/>
  <c r="M208" i="5"/>
  <c r="H208" i="5"/>
  <c r="D432" i="5"/>
  <c r="I432" i="5"/>
  <c r="K432" i="5"/>
  <c r="O432" i="5"/>
  <c r="J432" i="5"/>
  <c r="G432" i="5"/>
  <c r="E432" i="5"/>
  <c r="F432" i="5"/>
  <c r="H432" i="5"/>
  <c r="N432" i="5"/>
  <c r="M432" i="5"/>
  <c r="L432" i="5"/>
  <c r="Q185" i="5"/>
  <c r="B218" i="5" s="1" a="1"/>
  <c r="B218" i="5" s="1"/>
  <c r="R185" i="5"/>
  <c r="S185" i="5"/>
  <c r="T185" i="5"/>
  <c r="P185" i="5"/>
  <c r="B217" i="5" s="1" a="1"/>
  <c r="B217" i="5" s="1"/>
  <c r="D449" i="5"/>
  <c r="C566" i="5" s="1" a="1"/>
  <c r="C566" i="5" s="1"/>
  <c r="I449" i="5"/>
  <c r="K449" i="5"/>
  <c r="L449" i="5"/>
  <c r="E449" i="5"/>
  <c r="H449" i="5"/>
  <c r="O449" i="5"/>
  <c r="F449" i="5"/>
  <c r="G449" i="5"/>
  <c r="M449" i="5"/>
  <c r="J449" i="5"/>
  <c r="N449" i="5"/>
  <c r="O426" i="5"/>
  <c r="I426" i="5"/>
  <c r="N426" i="5"/>
  <c r="F426" i="5"/>
  <c r="E426" i="5"/>
  <c r="L426" i="5"/>
  <c r="G426" i="5"/>
  <c r="H426" i="5"/>
  <c r="M426" i="5"/>
  <c r="J426" i="5"/>
  <c r="D426" i="5"/>
  <c r="C554" i="5" s="1" a="1"/>
  <c r="C554" i="5" s="1"/>
  <c r="K426" i="5"/>
  <c r="T193" i="5"/>
  <c r="Q193" i="5"/>
  <c r="R193" i="5"/>
  <c r="P193" i="5"/>
  <c r="B335" i="5" s="1" a="1"/>
  <c r="B335" i="5" s="1"/>
  <c r="S193" i="5"/>
  <c r="D214" i="5"/>
  <c r="C362" i="5" s="1" a="1"/>
  <c r="C362" i="5" s="1"/>
  <c r="M214" i="5"/>
  <c r="G214" i="5"/>
  <c r="H214" i="5"/>
  <c r="K214" i="5"/>
  <c r="I214" i="5"/>
  <c r="J214" i="5"/>
  <c r="O214" i="5"/>
  <c r="L214" i="5"/>
  <c r="E214" i="5"/>
  <c r="N214" i="5"/>
  <c r="F214" i="5"/>
  <c r="E331" i="5"/>
  <c r="N331" i="5"/>
  <c r="O331" i="5"/>
  <c r="F331" i="5"/>
  <c r="M331" i="5"/>
  <c r="K331" i="5"/>
  <c r="D331" i="5"/>
  <c r="C493" i="5" s="1" a="1"/>
  <c r="C493" i="5" s="1"/>
  <c r="I331" i="5"/>
  <c r="H331" i="5"/>
  <c r="G331" i="5"/>
  <c r="J331" i="5"/>
  <c r="L331" i="5"/>
  <c r="R180" i="5"/>
  <c r="Q180" i="5"/>
  <c r="B210" i="5" s="1" a="1"/>
  <c r="B210" i="5" s="1"/>
  <c r="P180" i="5"/>
  <c r="B209" i="5" s="1" a="1"/>
  <c r="B209" i="5" s="1"/>
  <c r="T180" i="5"/>
  <c r="S180" i="5"/>
  <c r="J431" i="5"/>
  <c r="I431" i="5"/>
  <c r="F431" i="5"/>
  <c r="E431" i="5"/>
  <c r="C557" i="5" s="1" a="1"/>
  <c r="C557" i="5" s="1"/>
  <c r="N431" i="5"/>
  <c r="O431" i="5"/>
  <c r="K431" i="5"/>
  <c r="H431" i="5"/>
  <c r="D431" i="5"/>
  <c r="C556" i="5" s="1" a="1"/>
  <c r="C556" i="5" s="1"/>
  <c r="G431" i="5"/>
  <c r="L431" i="5"/>
  <c r="M431" i="5"/>
  <c r="F203" i="5"/>
  <c r="G203" i="5"/>
  <c r="O203" i="5"/>
  <c r="L203" i="5"/>
  <c r="J203" i="5"/>
  <c r="E203" i="5"/>
  <c r="C234" i="5" s="1" a="1"/>
  <c r="C234" i="5" s="1"/>
  <c r="I203" i="5"/>
  <c r="H203" i="5"/>
  <c r="K203" i="5"/>
  <c r="M203" i="5"/>
  <c r="N203" i="5"/>
  <c r="D203" i="5"/>
  <c r="C233" i="5" s="1" a="1"/>
  <c r="C233" i="5" s="1"/>
  <c r="S190" i="5"/>
  <c r="P190" i="5"/>
  <c r="B331" i="5" s="1" a="1"/>
  <c r="B331" i="5" s="1"/>
  <c r="T190" i="5"/>
  <c r="R190" i="5"/>
  <c r="Q190" i="5"/>
  <c r="G209" i="5"/>
  <c r="E209" i="5"/>
  <c r="C355" i="5" s="1" a="1"/>
  <c r="C355" i="5" s="1"/>
  <c r="F209" i="5"/>
  <c r="D209" i="5"/>
  <c r="C354" i="5" s="1" a="1"/>
  <c r="C354" i="5" s="1"/>
  <c r="N209" i="5"/>
  <c r="I209" i="5"/>
  <c r="M209" i="5"/>
  <c r="L209" i="5"/>
  <c r="H209" i="5"/>
  <c r="O209" i="5"/>
  <c r="J209" i="5"/>
  <c r="K209" i="5"/>
  <c r="T254" i="5"/>
  <c r="S254" i="5"/>
  <c r="R254" i="5"/>
  <c r="Q254" i="5"/>
  <c r="P254" i="5"/>
  <c r="S276" i="5"/>
  <c r="B432" i="5" s="1" a="1"/>
  <c r="B432" i="5" s="1"/>
  <c r="R276" i="5"/>
  <c r="B431" i="5" s="1" a="1"/>
  <c r="B431" i="5" s="1"/>
  <c r="T276" i="5"/>
  <c r="Q276" i="5"/>
  <c r="B430" i="5" s="1" a="1"/>
  <c r="B430" i="5" s="1"/>
  <c r="P276" i="5"/>
  <c r="B429" i="5" s="1" a="1"/>
  <c r="B429" i="5" s="1"/>
  <c r="T293" i="5"/>
  <c r="Q293" i="5"/>
  <c r="B450" i="5" s="1" a="1"/>
  <c r="B450" i="5" s="1"/>
  <c r="R293" i="5"/>
  <c r="P293" i="5"/>
  <c r="B449" i="5" s="1" a="1"/>
  <c r="B449" i="5" s="1"/>
  <c r="S293" i="5"/>
  <c r="K419" i="5"/>
  <c r="L419" i="5"/>
  <c r="H419" i="5"/>
  <c r="E419" i="5"/>
  <c r="F419" i="5"/>
  <c r="N419" i="5"/>
  <c r="O419" i="5"/>
  <c r="M419" i="5"/>
  <c r="I419" i="5"/>
  <c r="D419" i="5"/>
  <c r="G419" i="5"/>
  <c r="J419" i="5"/>
  <c r="G213" i="5"/>
  <c r="E213" i="5"/>
  <c r="H213" i="5"/>
  <c r="I213" i="5"/>
  <c r="M213" i="5"/>
  <c r="F213" i="5"/>
  <c r="D213" i="5"/>
  <c r="L213" i="5"/>
  <c r="J213" i="5"/>
  <c r="K213" i="5"/>
  <c r="N213" i="5"/>
  <c r="O213" i="5"/>
  <c r="E207" i="5"/>
  <c r="C236" i="5" s="1" a="1"/>
  <c r="C236" i="5" s="1"/>
  <c r="H207" i="5"/>
  <c r="L207" i="5"/>
  <c r="O207" i="5"/>
  <c r="D207" i="5"/>
  <c r="C235" i="5" s="1" a="1"/>
  <c r="C235" i="5" s="1"/>
  <c r="F207" i="5"/>
  <c r="J207" i="5"/>
  <c r="I207" i="5"/>
  <c r="G207" i="5"/>
  <c r="M207" i="5"/>
  <c r="N207" i="5"/>
  <c r="K207" i="5"/>
  <c r="Q183" i="5"/>
  <c r="P183" i="5"/>
  <c r="T183" i="5"/>
  <c r="S183" i="5"/>
  <c r="R183" i="5"/>
  <c r="Q252" i="5"/>
  <c r="T252" i="5"/>
  <c r="S252" i="5"/>
  <c r="P252" i="5"/>
  <c r="B402" i="5" s="1" a="1"/>
  <c r="B402" i="5" s="1"/>
  <c r="R252" i="5"/>
  <c r="N450" i="5"/>
  <c r="H450" i="5"/>
  <c r="E450" i="5"/>
  <c r="J450" i="5"/>
  <c r="D450" i="5"/>
  <c r="O450" i="5"/>
  <c r="M450" i="5"/>
  <c r="G450" i="5"/>
  <c r="L450" i="5"/>
  <c r="K450" i="5"/>
  <c r="F450" i="5"/>
  <c r="I450" i="5"/>
  <c r="E194" i="5"/>
  <c r="C337" i="5" s="1" a="1"/>
  <c r="C337" i="5" s="1"/>
  <c r="H194" i="5"/>
  <c r="J194" i="5"/>
  <c r="O194" i="5"/>
  <c r="L194" i="5"/>
  <c r="N194" i="5"/>
  <c r="M194" i="5"/>
  <c r="F194" i="5"/>
  <c r="K194" i="5"/>
  <c r="I194" i="5"/>
  <c r="D194" i="5"/>
  <c r="C336" i="5" s="1" a="1"/>
  <c r="C336" i="5" s="1"/>
  <c r="G194" i="5"/>
  <c r="T289" i="5"/>
  <c r="R289" i="5"/>
  <c r="P289" i="5"/>
  <c r="B445" i="5" s="1" a="1"/>
  <c r="B445" i="5" s="1"/>
  <c r="S289" i="5"/>
  <c r="Q289" i="5"/>
  <c r="B446" i="5" s="1" a="1"/>
  <c r="B446" i="5" s="1"/>
  <c r="G334" i="5"/>
  <c r="K334" i="5"/>
  <c r="F334" i="5"/>
  <c r="I334" i="5"/>
  <c r="H334" i="5"/>
  <c r="E334" i="5"/>
  <c r="N334" i="5"/>
  <c r="D334" i="5"/>
  <c r="C496" i="5" s="1" a="1"/>
  <c r="C496" i="5" s="1"/>
  <c r="J334" i="5"/>
  <c r="L334" i="5"/>
  <c r="M334" i="5"/>
  <c r="O334" i="5"/>
  <c r="S282" i="5"/>
  <c r="Q282" i="5"/>
  <c r="T282" i="5"/>
  <c r="R282" i="5"/>
  <c r="P282" i="5"/>
  <c r="O429" i="5"/>
  <c r="D429" i="5"/>
  <c r="M429" i="5"/>
  <c r="N429" i="5"/>
  <c r="F429" i="5"/>
  <c r="H429" i="5"/>
  <c r="G429" i="5"/>
  <c r="E429" i="5"/>
  <c r="J429" i="5"/>
  <c r="L429" i="5"/>
  <c r="K429" i="5"/>
  <c r="I429" i="5"/>
  <c r="O309" i="5"/>
  <c r="J309" i="5"/>
  <c r="K309" i="5"/>
  <c r="L309" i="5"/>
  <c r="F309" i="5"/>
  <c r="M309" i="5"/>
  <c r="D309" i="5"/>
  <c r="C467" i="5" s="1" a="1"/>
  <c r="C467" i="5" s="1"/>
  <c r="E309" i="5"/>
  <c r="I309" i="5"/>
  <c r="H309" i="5"/>
  <c r="N309" i="5"/>
  <c r="G309" i="5"/>
  <c r="G198" i="5"/>
  <c r="E198" i="5"/>
  <c r="C226" i="5" s="1" a="1"/>
  <c r="C226" i="5" s="1"/>
  <c r="O198" i="5"/>
  <c r="F198" i="5"/>
  <c r="N198" i="5"/>
  <c r="M198" i="5"/>
  <c r="J198" i="5"/>
  <c r="H198" i="5"/>
  <c r="K198" i="5"/>
  <c r="I198" i="5"/>
  <c r="D198" i="5"/>
  <c r="C225" i="5" s="1" a="1"/>
  <c r="C225" i="5" s="1"/>
  <c r="L198" i="5"/>
  <c r="L212" i="5"/>
  <c r="N212" i="5"/>
  <c r="D212" i="5"/>
  <c r="J212" i="5"/>
  <c r="K212" i="5"/>
  <c r="F212" i="5"/>
  <c r="G212" i="5"/>
  <c r="M212" i="5"/>
  <c r="E212" i="5"/>
  <c r="I212" i="5"/>
  <c r="H212" i="5"/>
  <c r="O212" i="5"/>
  <c r="M316" i="5"/>
  <c r="I316" i="5"/>
  <c r="E316" i="5"/>
  <c r="H316" i="5"/>
  <c r="F316" i="5"/>
  <c r="L316" i="5"/>
  <c r="D316" i="5"/>
  <c r="C477" i="5" s="1" a="1"/>
  <c r="C477" i="5" s="1"/>
  <c r="J316" i="5"/>
  <c r="K316" i="5"/>
  <c r="O316" i="5"/>
  <c r="G316" i="5"/>
  <c r="N316" i="5"/>
  <c r="F195" i="5"/>
  <c r="L195" i="5"/>
  <c r="K195" i="5"/>
  <c r="O195" i="5"/>
  <c r="I195" i="5"/>
  <c r="N195" i="5"/>
  <c r="H195" i="5"/>
  <c r="J195" i="5"/>
  <c r="M195" i="5"/>
  <c r="D195" i="5"/>
  <c r="C338" i="5" s="1" a="1"/>
  <c r="C338" i="5" s="1"/>
  <c r="G195" i="5"/>
  <c r="E195" i="5"/>
  <c r="C339" i="5" s="1" a="1"/>
  <c r="C339" i="5" s="1"/>
  <c r="S274" i="5"/>
  <c r="Q274" i="5"/>
  <c r="B427" i="5" s="1" a="1"/>
  <c r="B427" i="5" s="1"/>
  <c r="P274" i="5"/>
  <c r="B426" i="5" s="1" a="1"/>
  <c r="B426" i="5" s="1"/>
  <c r="R274" i="5"/>
  <c r="T274" i="5"/>
  <c r="M402" i="5"/>
  <c r="E402" i="5"/>
  <c r="F402" i="5"/>
  <c r="J402" i="5"/>
  <c r="H402" i="5"/>
  <c r="O402" i="5"/>
  <c r="N402" i="5"/>
  <c r="D402" i="5"/>
  <c r="C543" i="5" s="1" a="1"/>
  <c r="C543" i="5" s="1"/>
  <c r="I402" i="5"/>
  <c r="K402" i="5"/>
  <c r="L402" i="5"/>
  <c r="G402" i="5"/>
  <c r="E417" i="5"/>
  <c r="L417" i="5"/>
  <c r="G417" i="5"/>
  <c r="O417" i="5"/>
  <c r="M417" i="5"/>
  <c r="J417" i="5"/>
  <c r="D417" i="5"/>
  <c r="I417" i="5"/>
  <c r="N417" i="5"/>
  <c r="F417" i="5"/>
  <c r="K417" i="5"/>
  <c r="H417" i="5"/>
  <c r="K416" i="5"/>
  <c r="G416" i="5"/>
  <c r="H416" i="5"/>
  <c r="M416" i="5"/>
  <c r="J416" i="5"/>
  <c r="N416" i="5"/>
  <c r="O416" i="5"/>
  <c r="D416" i="5"/>
  <c r="I416" i="5"/>
  <c r="E416" i="5"/>
  <c r="F416" i="5"/>
  <c r="L416" i="5"/>
  <c r="S192" i="5"/>
  <c r="P192" i="5"/>
  <c r="B334" i="5" s="1" a="1"/>
  <c r="B334" i="5" s="1"/>
  <c r="T192" i="5"/>
  <c r="R192" i="5"/>
  <c r="Q192" i="5"/>
  <c r="T178" i="5"/>
  <c r="Q178" i="5"/>
  <c r="S178" i="5"/>
  <c r="P178" i="5"/>
  <c r="B316" i="5" s="1" a="1"/>
  <c r="B316" i="5" s="1"/>
  <c r="R178" i="5"/>
  <c r="M418" i="5"/>
  <c r="H418" i="5"/>
  <c r="N418" i="5"/>
  <c r="J418" i="5"/>
  <c r="G418" i="5"/>
  <c r="F418" i="5"/>
  <c r="L418" i="5"/>
  <c r="D418" i="5"/>
  <c r="C547" i="5" s="1" a="1"/>
  <c r="C547" i="5" s="1"/>
  <c r="O418" i="5"/>
  <c r="K418" i="5"/>
  <c r="I418" i="5"/>
  <c r="E418" i="5"/>
  <c r="J445" i="5"/>
  <c r="M445" i="5"/>
  <c r="N445" i="5"/>
  <c r="L445" i="5"/>
  <c r="K445" i="5"/>
  <c r="E445" i="5"/>
  <c r="I445" i="5"/>
  <c r="D445" i="5"/>
  <c r="H445" i="5"/>
  <c r="F445" i="5"/>
  <c r="O445" i="5"/>
  <c r="G445" i="5"/>
  <c r="N427" i="5"/>
  <c r="F427" i="5"/>
  <c r="K427" i="5"/>
  <c r="H427" i="5"/>
  <c r="M427" i="5"/>
  <c r="E427" i="5"/>
  <c r="O427" i="5"/>
  <c r="G427" i="5"/>
  <c r="I427" i="5"/>
  <c r="J427" i="5"/>
  <c r="D427" i="5"/>
  <c r="L427" i="5"/>
  <c r="D314" i="5"/>
  <c r="M314" i="5"/>
  <c r="K314" i="5"/>
  <c r="O314" i="5"/>
  <c r="E314" i="5"/>
  <c r="G314" i="5"/>
  <c r="F314" i="5"/>
  <c r="J314" i="5"/>
  <c r="L314" i="5"/>
  <c r="H314" i="5"/>
  <c r="N314" i="5"/>
  <c r="I314" i="5"/>
  <c r="D446" i="5"/>
  <c r="L446" i="5"/>
  <c r="M446" i="5"/>
  <c r="F446" i="5"/>
  <c r="N446" i="5"/>
  <c r="K446" i="5"/>
  <c r="G446" i="5"/>
  <c r="E446" i="5"/>
  <c r="J446" i="5"/>
  <c r="I446" i="5"/>
  <c r="H446" i="5"/>
  <c r="O446" i="5"/>
  <c r="L211" i="5"/>
  <c r="D211" i="5"/>
  <c r="C358" i="5" s="1" a="1"/>
  <c r="C358" i="5" s="1"/>
  <c r="N211" i="5"/>
  <c r="O211" i="5"/>
  <c r="J211" i="5"/>
  <c r="F211" i="5"/>
  <c r="C360" i="5" s="1" a="1"/>
  <c r="C360" i="5" s="1"/>
  <c r="E211" i="5"/>
  <c r="C359" i="5" s="1" a="1"/>
  <c r="C359" i="5" s="1"/>
  <c r="G211" i="5"/>
  <c r="C361" i="5" s="1" a="1"/>
  <c r="C361" i="5" s="1"/>
  <c r="I211" i="5"/>
  <c r="K211" i="5"/>
  <c r="M211" i="5"/>
  <c r="H211" i="5"/>
  <c r="T164" i="5"/>
  <c r="Q164" i="5"/>
  <c r="P164" i="5"/>
  <c r="B298" i="5" s="1" a="1"/>
  <c r="B298" i="5" s="1"/>
  <c r="S164" i="5"/>
  <c r="R164" i="5"/>
  <c r="Q165" i="5"/>
  <c r="B195" i="5" s="1" a="1"/>
  <c r="B195" i="5" s="1"/>
  <c r="R165" i="5"/>
  <c r="P165" i="5"/>
  <c r="B194" i="5" s="1" a="1"/>
  <c r="B194" i="5" s="1"/>
  <c r="S165" i="5"/>
  <c r="T165" i="5"/>
  <c r="P394" i="5" l="1"/>
  <c r="R394" i="5"/>
  <c r="Q394" i="5"/>
  <c r="B529" i="5" s="1" a="1"/>
  <c r="B529" i="5" s="1"/>
  <c r="S394" i="5"/>
  <c r="T394" i="5"/>
  <c r="R201" i="5"/>
  <c r="Q201" i="5"/>
  <c r="B230" i="5" s="1" a="1"/>
  <c r="B230" i="5" s="1"/>
  <c r="S201" i="5"/>
  <c r="P201" i="5"/>
  <c r="B229" i="5" s="1" a="1"/>
  <c r="B229" i="5" s="1"/>
  <c r="T201" i="5"/>
  <c r="G344" i="5"/>
  <c r="L344" i="5"/>
  <c r="I344" i="5"/>
  <c r="N344" i="5"/>
  <c r="F344" i="5"/>
  <c r="O344" i="5"/>
  <c r="H344" i="5"/>
  <c r="J344" i="5"/>
  <c r="E344" i="5"/>
  <c r="D344" i="5"/>
  <c r="M344" i="5"/>
  <c r="K344" i="5"/>
  <c r="N227" i="5"/>
  <c r="D227" i="5"/>
  <c r="C378" i="5" s="1" a="1"/>
  <c r="C378" i="5" s="1"/>
  <c r="F227" i="5"/>
  <c r="M227" i="5"/>
  <c r="I227" i="5"/>
  <c r="J227" i="5"/>
  <c r="L227" i="5"/>
  <c r="H227" i="5"/>
  <c r="E227" i="5"/>
  <c r="K227" i="5"/>
  <c r="O227" i="5"/>
  <c r="G227" i="5"/>
  <c r="H356" i="5"/>
  <c r="E356" i="5"/>
  <c r="O356" i="5"/>
  <c r="N356" i="5"/>
  <c r="L356" i="5"/>
  <c r="M356" i="5"/>
  <c r="I356" i="5"/>
  <c r="D356" i="5"/>
  <c r="F356" i="5"/>
  <c r="G356" i="5"/>
  <c r="K356" i="5"/>
  <c r="J356" i="5"/>
  <c r="T309" i="5"/>
  <c r="Q309" i="5"/>
  <c r="P309" i="5"/>
  <c r="B467" i="5" s="1" a="1"/>
  <c r="B467" i="5" s="1"/>
  <c r="S309" i="5"/>
  <c r="R309" i="5"/>
  <c r="K354" i="5"/>
  <c r="H354" i="5"/>
  <c r="L354" i="5"/>
  <c r="J354" i="5"/>
  <c r="E354" i="5"/>
  <c r="O354" i="5"/>
  <c r="M354" i="5"/>
  <c r="D354" i="5"/>
  <c r="G354" i="5"/>
  <c r="F354" i="5"/>
  <c r="N354" i="5"/>
  <c r="I354" i="5"/>
  <c r="O224" i="5"/>
  <c r="G224" i="5"/>
  <c r="L224" i="5"/>
  <c r="K224" i="5"/>
  <c r="J224" i="5"/>
  <c r="I224" i="5"/>
  <c r="H224" i="5"/>
  <c r="E224" i="5"/>
  <c r="C374" i="5" s="1" a="1"/>
  <c r="C374" i="5" s="1"/>
  <c r="F224" i="5"/>
  <c r="D224" i="5"/>
  <c r="C373" i="5" s="1" a="1"/>
  <c r="C373" i="5" s="1"/>
  <c r="N224" i="5"/>
  <c r="M224" i="5"/>
  <c r="S200" i="5"/>
  <c r="R200" i="5"/>
  <c r="Q200" i="5"/>
  <c r="T200" i="5"/>
  <c r="P200" i="5"/>
  <c r="B345" i="5" s="1" a="1"/>
  <c r="B345" i="5" s="1"/>
  <c r="Q434" i="5"/>
  <c r="P434" i="5"/>
  <c r="R434" i="5"/>
  <c r="T434" i="5"/>
  <c r="S434" i="5"/>
  <c r="S416" i="5"/>
  <c r="P416" i="5"/>
  <c r="Q416" i="5"/>
  <c r="R416" i="5"/>
  <c r="T416" i="5"/>
  <c r="J491" i="5"/>
  <c r="K491" i="5"/>
  <c r="N491" i="5"/>
  <c r="D491" i="5"/>
  <c r="C582" i="5" s="1" a="1"/>
  <c r="C582" i="5" s="1"/>
  <c r="H491" i="5"/>
  <c r="L491" i="5"/>
  <c r="F491" i="5"/>
  <c r="O491" i="5"/>
  <c r="E491" i="5"/>
  <c r="M491" i="5"/>
  <c r="I491" i="5"/>
  <c r="G491" i="5"/>
  <c r="R204" i="5"/>
  <c r="T204" i="5"/>
  <c r="Q204" i="5"/>
  <c r="P204" i="5"/>
  <c r="S204" i="5"/>
  <c r="H528" i="5"/>
  <c r="J528" i="5"/>
  <c r="F528" i="5"/>
  <c r="E528" i="5"/>
  <c r="D528" i="5"/>
  <c r="L528" i="5"/>
  <c r="G528" i="5"/>
  <c r="O528" i="5"/>
  <c r="I528" i="5"/>
  <c r="N528" i="5"/>
  <c r="M528" i="5"/>
  <c r="K528" i="5"/>
  <c r="Q419" i="5"/>
  <c r="S419" i="5"/>
  <c r="R419" i="5"/>
  <c r="P419" i="5"/>
  <c r="T419" i="5"/>
  <c r="M355" i="5"/>
  <c r="H355" i="5"/>
  <c r="D355" i="5"/>
  <c r="E355" i="5"/>
  <c r="L355" i="5"/>
  <c r="G355" i="5"/>
  <c r="J355" i="5"/>
  <c r="F355" i="5"/>
  <c r="I355" i="5"/>
  <c r="N355" i="5"/>
  <c r="K355" i="5"/>
  <c r="O355" i="5"/>
  <c r="R430" i="5"/>
  <c r="Q430" i="5"/>
  <c r="T430" i="5"/>
  <c r="S430" i="5"/>
  <c r="P430" i="5"/>
  <c r="N529" i="5"/>
  <c r="M529" i="5"/>
  <c r="K529" i="5"/>
  <c r="L529" i="5"/>
  <c r="F529" i="5"/>
  <c r="E529" i="5"/>
  <c r="I529" i="5"/>
  <c r="O529" i="5"/>
  <c r="J529" i="5"/>
  <c r="H529" i="5"/>
  <c r="D529" i="5"/>
  <c r="G529" i="5"/>
  <c r="L476" i="5"/>
  <c r="D476" i="5"/>
  <c r="F476" i="5"/>
  <c r="K476" i="5"/>
  <c r="G476" i="5"/>
  <c r="J476" i="5"/>
  <c r="N476" i="5"/>
  <c r="I476" i="5"/>
  <c r="O476" i="5"/>
  <c r="E476" i="5"/>
  <c r="M476" i="5"/>
  <c r="H476" i="5"/>
  <c r="D223" i="5"/>
  <c r="C371" i="5" s="1" a="1"/>
  <c r="C371" i="5" s="1"/>
  <c r="H223" i="5"/>
  <c r="M223" i="5"/>
  <c r="L223" i="5"/>
  <c r="G223" i="5"/>
  <c r="I223" i="5"/>
  <c r="J223" i="5"/>
  <c r="F223" i="5"/>
  <c r="E223" i="5"/>
  <c r="C372" i="5" s="1" a="1"/>
  <c r="C372" i="5" s="1"/>
  <c r="O223" i="5"/>
  <c r="N223" i="5"/>
  <c r="K223" i="5"/>
  <c r="J228" i="5"/>
  <c r="I228" i="5"/>
  <c r="L228" i="5"/>
  <c r="M228" i="5"/>
  <c r="D228" i="5"/>
  <c r="C379" i="5" s="1" a="1"/>
  <c r="C379" i="5" s="1"/>
  <c r="E228" i="5"/>
  <c r="C380" i="5" s="1" a="1"/>
  <c r="C380" i="5" s="1"/>
  <c r="F228" i="5"/>
  <c r="K228" i="5"/>
  <c r="O228" i="5"/>
  <c r="H228" i="5"/>
  <c r="G228" i="5"/>
  <c r="N228" i="5"/>
  <c r="P210" i="5"/>
  <c r="B356" i="5" s="1" a="1"/>
  <c r="B356" i="5" s="1"/>
  <c r="T210" i="5"/>
  <c r="Q210" i="5"/>
  <c r="B357" i="5" s="1" a="1"/>
  <c r="B357" i="5" s="1"/>
  <c r="S210" i="5"/>
  <c r="R210" i="5"/>
  <c r="O475" i="5"/>
  <c r="L475" i="5"/>
  <c r="F475" i="5"/>
  <c r="J475" i="5"/>
  <c r="D475" i="5"/>
  <c r="C578" i="5" s="1" a="1"/>
  <c r="C578" i="5" s="1"/>
  <c r="H475" i="5"/>
  <c r="I475" i="5"/>
  <c r="N475" i="5"/>
  <c r="M475" i="5"/>
  <c r="G475" i="5"/>
  <c r="E475" i="5"/>
  <c r="K475" i="5"/>
  <c r="J336" i="5"/>
  <c r="L336" i="5"/>
  <c r="I336" i="5"/>
  <c r="F336" i="5"/>
  <c r="N336" i="5"/>
  <c r="K336" i="5"/>
  <c r="G336" i="5"/>
  <c r="O336" i="5"/>
  <c r="D336" i="5"/>
  <c r="H336" i="5"/>
  <c r="M336" i="5"/>
  <c r="E336" i="5"/>
  <c r="G554" i="5"/>
  <c r="H554" i="5"/>
  <c r="L554" i="5"/>
  <c r="E554" i="5"/>
  <c r="K554" i="5"/>
  <c r="J554" i="5"/>
  <c r="O554" i="5"/>
  <c r="N554" i="5"/>
  <c r="I554" i="5"/>
  <c r="F554" i="5"/>
  <c r="D554" i="5"/>
  <c r="M554" i="5"/>
  <c r="M492" i="5"/>
  <c r="K492" i="5"/>
  <c r="O492" i="5"/>
  <c r="L492" i="5"/>
  <c r="N492" i="5"/>
  <c r="E492" i="5"/>
  <c r="F492" i="5"/>
  <c r="D492" i="5"/>
  <c r="H492" i="5"/>
  <c r="J492" i="5"/>
  <c r="G492" i="5"/>
  <c r="I492" i="5"/>
  <c r="T215" i="5"/>
  <c r="R215" i="5"/>
  <c r="P215" i="5"/>
  <c r="B363" i="5" s="1" a="1"/>
  <c r="B363" i="5" s="1"/>
  <c r="S215" i="5"/>
  <c r="Q215" i="5"/>
  <c r="L339" i="5"/>
  <c r="O339" i="5"/>
  <c r="I339" i="5"/>
  <c r="H339" i="5"/>
  <c r="G339" i="5"/>
  <c r="F339" i="5"/>
  <c r="J339" i="5"/>
  <c r="E339" i="5"/>
  <c r="D339" i="5"/>
  <c r="K339" i="5"/>
  <c r="N339" i="5"/>
  <c r="M339" i="5"/>
  <c r="T199" i="5"/>
  <c r="Q199" i="5"/>
  <c r="B228" i="5" s="1" a="1"/>
  <c r="B228" i="5" s="1"/>
  <c r="R199" i="5"/>
  <c r="S199" i="5"/>
  <c r="P199" i="5"/>
  <c r="B227" i="5" s="1" a="1"/>
  <c r="B227" i="5" s="1"/>
  <c r="K364" i="5"/>
  <c r="G364" i="5"/>
  <c r="M364" i="5"/>
  <c r="O364" i="5"/>
  <c r="N364" i="5"/>
  <c r="J364" i="5"/>
  <c r="D364" i="5"/>
  <c r="C511" i="5" s="1" a="1"/>
  <c r="C511" i="5" s="1"/>
  <c r="E364" i="5"/>
  <c r="L364" i="5"/>
  <c r="I364" i="5"/>
  <c r="F364" i="5"/>
  <c r="H364" i="5"/>
  <c r="H338" i="5"/>
  <c r="K338" i="5"/>
  <c r="L338" i="5"/>
  <c r="N338" i="5"/>
  <c r="G338" i="5"/>
  <c r="O338" i="5"/>
  <c r="M338" i="5"/>
  <c r="J338" i="5"/>
  <c r="E338" i="5"/>
  <c r="F338" i="5"/>
  <c r="I338" i="5"/>
  <c r="D338" i="5"/>
  <c r="C499" i="5" s="1" a="1"/>
  <c r="C499" i="5" s="1"/>
  <c r="R219" i="5"/>
  <c r="P219" i="5"/>
  <c r="T219" i="5"/>
  <c r="S219" i="5"/>
  <c r="Q219" i="5"/>
  <c r="H470" i="5"/>
  <c r="N470" i="5"/>
  <c r="J470" i="5"/>
  <c r="I470" i="5"/>
  <c r="O470" i="5"/>
  <c r="L470" i="5"/>
  <c r="E470" i="5"/>
  <c r="K470" i="5"/>
  <c r="D470" i="5"/>
  <c r="G470" i="5"/>
  <c r="M470" i="5"/>
  <c r="F470" i="5"/>
  <c r="M455" i="5"/>
  <c r="K455" i="5"/>
  <c r="N455" i="5"/>
  <c r="J455" i="5"/>
  <c r="I455" i="5"/>
  <c r="E455" i="5"/>
  <c r="O455" i="5"/>
  <c r="L455" i="5"/>
  <c r="F455" i="5"/>
  <c r="D455" i="5"/>
  <c r="C568" i="5" s="1" a="1"/>
  <c r="C568" i="5" s="1"/>
  <c r="G455" i="5"/>
  <c r="H455" i="5"/>
  <c r="P432" i="5"/>
  <c r="S432" i="5"/>
  <c r="Q432" i="5"/>
  <c r="T432" i="5"/>
  <c r="R432" i="5"/>
  <c r="L365" i="5"/>
  <c r="F365" i="5"/>
  <c r="H365" i="5"/>
  <c r="G365" i="5"/>
  <c r="O365" i="5"/>
  <c r="I365" i="5"/>
  <c r="K365" i="5"/>
  <c r="J365" i="5"/>
  <c r="M365" i="5"/>
  <c r="E365" i="5"/>
  <c r="D365" i="5"/>
  <c r="N365" i="5"/>
  <c r="K232" i="5"/>
  <c r="G232" i="5"/>
  <c r="L232" i="5"/>
  <c r="E232" i="5"/>
  <c r="I232" i="5"/>
  <c r="D232" i="5"/>
  <c r="C385" i="5" s="1" a="1"/>
  <c r="C385" i="5" s="1"/>
  <c r="M232" i="5"/>
  <c r="N232" i="5"/>
  <c r="H232" i="5"/>
  <c r="O232" i="5"/>
  <c r="J232" i="5"/>
  <c r="F232" i="5"/>
  <c r="S311" i="5"/>
  <c r="R311" i="5"/>
  <c r="Q311" i="5"/>
  <c r="P311" i="5"/>
  <c r="T311" i="5"/>
  <c r="R418" i="5"/>
  <c r="T418" i="5"/>
  <c r="Q418" i="5"/>
  <c r="B548" i="5" s="1" a="1"/>
  <c r="B548" i="5" s="1"/>
  <c r="P418" i="5"/>
  <c r="B547" i="5" s="1" a="1"/>
  <c r="B547" i="5" s="1"/>
  <c r="S418" i="5"/>
  <c r="O233" i="5"/>
  <c r="I233" i="5"/>
  <c r="G233" i="5"/>
  <c r="K233" i="5"/>
  <c r="N233" i="5"/>
  <c r="E233" i="5"/>
  <c r="C387" i="5" s="1" a="1"/>
  <c r="C387" i="5" s="1"/>
  <c r="M233" i="5"/>
  <c r="D233" i="5"/>
  <c r="C386" i="5" s="1" a="1"/>
  <c r="C386" i="5" s="1"/>
  <c r="F233" i="5"/>
  <c r="H233" i="5"/>
  <c r="J233" i="5"/>
  <c r="L233" i="5"/>
  <c r="P330" i="5"/>
  <c r="B491" i="5" s="1" a="1"/>
  <c r="B491" i="5" s="1"/>
  <c r="R330" i="5"/>
  <c r="S330" i="5"/>
  <c r="Q330" i="5"/>
  <c r="B492" i="5" s="1" a="1"/>
  <c r="B492" i="5" s="1"/>
  <c r="T330" i="5"/>
  <c r="H363" i="5"/>
  <c r="L363" i="5"/>
  <c r="E363" i="5"/>
  <c r="M363" i="5"/>
  <c r="N363" i="5"/>
  <c r="I363" i="5"/>
  <c r="F363" i="5"/>
  <c r="J363" i="5"/>
  <c r="K363" i="5"/>
  <c r="O363" i="5"/>
  <c r="G363" i="5"/>
  <c r="D363" i="5"/>
  <c r="C510" i="5" s="1" a="1"/>
  <c r="C510" i="5" s="1"/>
  <c r="R314" i="5"/>
  <c r="Q314" i="5"/>
  <c r="T314" i="5"/>
  <c r="S314" i="5"/>
  <c r="P314" i="5"/>
  <c r="K547" i="5"/>
  <c r="J547" i="5"/>
  <c r="O547" i="5"/>
  <c r="N547" i="5"/>
  <c r="M547" i="5"/>
  <c r="D547" i="5"/>
  <c r="L547" i="5"/>
  <c r="E547" i="5"/>
  <c r="F547" i="5"/>
  <c r="H547" i="5"/>
  <c r="G547" i="5"/>
  <c r="I547" i="5"/>
  <c r="N225" i="5"/>
  <c r="H225" i="5"/>
  <c r="I225" i="5"/>
  <c r="M225" i="5"/>
  <c r="E225" i="5"/>
  <c r="L225" i="5"/>
  <c r="K225" i="5"/>
  <c r="J225" i="5"/>
  <c r="F225" i="5"/>
  <c r="G225" i="5"/>
  <c r="O225" i="5"/>
  <c r="D225" i="5"/>
  <c r="C375" i="5" s="1" a="1"/>
  <c r="C375" i="5" s="1"/>
  <c r="K561" i="5"/>
  <c r="G561" i="5"/>
  <c r="E561" i="5"/>
  <c r="F561" i="5"/>
  <c r="H561" i="5"/>
  <c r="D561" i="5"/>
  <c r="I561" i="5"/>
  <c r="O561" i="5"/>
  <c r="M561" i="5"/>
  <c r="N561" i="5"/>
  <c r="L561" i="5"/>
  <c r="J561" i="5"/>
  <c r="T415" i="5"/>
  <c r="R415" i="5"/>
  <c r="P415" i="5"/>
  <c r="Q415" i="5"/>
  <c r="S415" i="5"/>
  <c r="I559" i="5"/>
  <c r="L559" i="5"/>
  <c r="K559" i="5"/>
  <c r="N559" i="5"/>
  <c r="O559" i="5"/>
  <c r="G559" i="5"/>
  <c r="E559" i="5"/>
  <c r="F559" i="5"/>
  <c r="J559" i="5"/>
  <c r="M559" i="5"/>
  <c r="D559" i="5"/>
  <c r="H559" i="5"/>
  <c r="M557" i="5"/>
  <c r="O557" i="5"/>
  <c r="N557" i="5"/>
  <c r="E557" i="5"/>
  <c r="D557" i="5"/>
  <c r="L557" i="5"/>
  <c r="J557" i="5"/>
  <c r="I557" i="5"/>
  <c r="G557" i="5"/>
  <c r="K557" i="5"/>
  <c r="H557" i="5"/>
  <c r="F557" i="5"/>
  <c r="S194" i="5"/>
  <c r="Q194" i="5"/>
  <c r="B337" i="5" s="1" a="1"/>
  <c r="B337" i="5" s="1"/>
  <c r="R194" i="5"/>
  <c r="T194" i="5"/>
  <c r="P194" i="5"/>
  <c r="B336" i="5" s="1" a="1"/>
  <c r="B336" i="5" s="1"/>
  <c r="E493" i="5"/>
  <c r="G493" i="5"/>
  <c r="I493" i="5"/>
  <c r="K493" i="5"/>
  <c r="N493" i="5"/>
  <c r="F493" i="5"/>
  <c r="L493" i="5"/>
  <c r="J493" i="5"/>
  <c r="D493" i="5"/>
  <c r="M493" i="5"/>
  <c r="O493" i="5"/>
  <c r="H493" i="5"/>
  <c r="Q335" i="5"/>
  <c r="B498" i="5" s="1" a="1"/>
  <c r="B498" i="5" s="1"/>
  <c r="R335" i="5"/>
  <c r="S335" i="5"/>
  <c r="P335" i="5"/>
  <c r="B497" i="5" s="1" a="1"/>
  <c r="B497" i="5" s="1"/>
  <c r="T335" i="5"/>
  <c r="J490" i="5"/>
  <c r="L490" i="5"/>
  <c r="N490" i="5"/>
  <c r="K490" i="5"/>
  <c r="E490" i="5"/>
  <c r="H490" i="5"/>
  <c r="O490" i="5"/>
  <c r="M490" i="5"/>
  <c r="D490" i="5"/>
  <c r="C581" i="5" s="1" a="1"/>
  <c r="C581" i="5" s="1"/>
  <c r="G490" i="5"/>
  <c r="I490" i="5"/>
  <c r="F490" i="5"/>
  <c r="L231" i="5"/>
  <c r="I231" i="5"/>
  <c r="H231" i="5"/>
  <c r="O231" i="5"/>
  <c r="G231" i="5"/>
  <c r="M231" i="5"/>
  <c r="J231" i="5"/>
  <c r="F231" i="5"/>
  <c r="N231" i="5"/>
  <c r="D231" i="5"/>
  <c r="C383" i="5" s="1" a="1"/>
  <c r="C383" i="5" s="1"/>
  <c r="E231" i="5"/>
  <c r="C384" i="5" s="1" a="1"/>
  <c r="C384" i="5" s="1"/>
  <c r="K231" i="5"/>
  <c r="P435" i="5"/>
  <c r="B558" i="5" s="1" a="1"/>
  <c r="B558" i="5" s="1"/>
  <c r="Q435" i="5"/>
  <c r="B559" i="5" s="1" a="1"/>
  <c r="B559" i="5" s="1"/>
  <c r="S435" i="5"/>
  <c r="T435" i="5"/>
  <c r="R435" i="5"/>
  <c r="S429" i="5"/>
  <c r="P429" i="5"/>
  <c r="T429" i="5"/>
  <c r="Q429" i="5"/>
  <c r="R429" i="5"/>
  <c r="K235" i="5"/>
  <c r="N235" i="5"/>
  <c r="E235" i="5"/>
  <c r="G235" i="5"/>
  <c r="L235" i="5"/>
  <c r="D235" i="5"/>
  <c r="I235" i="5"/>
  <c r="O235" i="5"/>
  <c r="J235" i="5"/>
  <c r="F235" i="5"/>
  <c r="M235" i="5"/>
  <c r="H235" i="5"/>
  <c r="D366" i="5"/>
  <c r="J366" i="5"/>
  <c r="L366" i="5"/>
  <c r="H366" i="5"/>
  <c r="I366" i="5"/>
  <c r="O366" i="5"/>
  <c r="M366" i="5"/>
  <c r="F366" i="5"/>
  <c r="N366" i="5"/>
  <c r="K366" i="5"/>
  <c r="E366" i="5"/>
  <c r="G366" i="5"/>
  <c r="R448" i="5"/>
  <c r="P448" i="5"/>
  <c r="B565" i="5" s="1" a="1"/>
  <c r="B565" i="5" s="1"/>
  <c r="S448" i="5"/>
  <c r="T448" i="5"/>
  <c r="Q448" i="5"/>
  <c r="P437" i="5"/>
  <c r="B560" i="5" s="1" a="1"/>
  <c r="B560" i="5" s="1"/>
  <c r="R437" i="5"/>
  <c r="T437" i="5"/>
  <c r="Q437" i="5"/>
  <c r="S437" i="5"/>
  <c r="S195" i="5"/>
  <c r="Q195" i="5"/>
  <c r="B339" i="5" s="1" a="1"/>
  <c r="B339" i="5" s="1"/>
  <c r="R195" i="5"/>
  <c r="T195" i="5"/>
  <c r="P195" i="5"/>
  <c r="B338" i="5" s="1" a="1"/>
  <c r="B338" i="5" s="1"/>
  <c r="S207" i="5"/>
  <c r="Q207" i="5"/>
  <c r="B236" i="5" s="1" a="1"/>
  <c r="B236" i="5" s="1"/>
  <c r="P207" i="5"/>
  <c r="B235" i="5" s="1" a="1"/>
  <c r="B235" i="5" s="1"/>
  <c r="T207" i="5"/>
  <c r="R207" i="5"/>
  <c r="R217" i="5"/>
  <c r="Q217" i="5"/>
  <c r="B366" i="5" s="1" a="1"/>
  <c r="B366" i="5" s="1"/>
  <c r="P217" i="5"/>
  <c r="B365" i="5" s="1" a="1"/>
  <c r="B365" i="5" s="1"/>
  <c r="S217" i="5"/>
  <c r="T217" i="5"/>
  <c r="F498" i="5"/>
  <c r="K498" i="5"/>
  <c r="H498" i="5"/>
  <c r="N498" i="5"/>
  <c r="L498" i="5"/>
  <c r="M498" i="5"/>
  <c r="O498" i="5"/>
  <c r="D498" i="5"/>
  <c r="G498" i="5"/>
  <c r="J498" i="5"/>
  <c r="I498" i="5"/>
  <c r="E498" i="5"/>
  <c r="O565" i="5"/>
  <c r="K565" i="5"/>
  <c r="D565" i="5"/>
  <c r="J565" i="5"/>
  <c r="E565" i="5"/>
  <c r="M565" i="5"/>
  <c r="F565" i="5"/>
  <c r="H565" i="5"/>
  <c r="I565" i="5"/>
  <c r="G565" i="5"/>
  <c r="L565" i="5"/>
  <c r="N565" i="5"/>
  <c r="S202" i="5"/>
  <c r="P202" i="5"/>
  <c r="B231" i="5" s="1" a="1"/>
  <c r="B231" i="5" s="1"/>
  <c r="T202" i="5"/>
  <c r="Q202" i="5"/>
  <c r="B232" i="5" s="1" a="1"/>
  <c r="B232" i="5" s="1"/>
  <c r="R202" i="5"/>
  <c r="P212" i="5"/>
  <c r="T212" i="5"/>
  <c r="R212" i="5"/>
  <c r="S212" i="5"/>
  <c r="Q212" i="5"/>
  <c r="L361" i="5"/>
  <c r="M361" i="5"/>
  <c r="D361" i="5"/>
  <c r="I361" i="5"/>
  <c r="J361" i="5"/>
  <c r="F361" i="5"/>
  <c r="G361" i="5"/>
  <c r="O361" i="5"/>
  <c r="K361" i="5"/>
  <c r="N361" i="5"/>
  <c r="H361" i="5"/>
  <c r="E361" i="5"/>
  <c r="G337" i="5"/>
  <c r="D337" i="5"/>
  <c r="K337" i="5"/>
  <c r="L337" i="5"/>
  <c r="J337" i="5"/>
  <c r="F337" i="5"/>
  <c r="N337" i="5"/>
  <c r="E337" i="5"/>
  <c r="M337" i="5"/>
  <c r="H337" i="5"/>
  <c r="I337" i="5"/>
  <c r="O337" i="5"/>
  <c r="R426" i="5"/>
  <c r="Q426" i="5"/>
  <c r="T426" i="5"/>
  <c r="P426" i="5"/>
  <c r="B554" i="5" s="1" a="1"/>
  <c r="B554" i="5" s="1"/>
  <c r="S426" i="5"/>
  <c r="P414" i="5"/>
  <c r="S414" i="5"/>
  <c r="Q414" i="5"/>
  <c r="T414" i="5"/>
  <c r="R414" i="5"/>
  <c r="T216" i="5"/>
  <c r="Q216" i="5"/>
  <c r="R216" i="5"/>
  <c r="S216" i="5"/>
  <c r="P216" i="5"/>
  <c r="B364" i="5" s="1" a="1"/>
  <c r="B364" i="5" s="1"/>
  <c r="P433" i="5"/>
  <c r="Q433" i="5"/>
  <c r="T433" i="5"/>
  <c r="R433" i="5"/>
  <c r="S433" i="5"/>
  <c r="L359" i="5"/>
  <c r="G359" i="5"/>
  <c r="H359" i="5"/>
  <c r="N359" i="5"/>
  <c r="E359" i="5"/>
  <c r="J359" i="5"/>
  <c r="F359" i="5"/>
  <c r="O359" i="5"/>
  <c r="M359" i="5"/>
  <c r="K359" i="5"/>
  <c r="D359" i="5"/>
  <c r="I359" i="5"/>
  <c r="N234" i="5"/>
  <c r="G234" i="5"/>
  <c r="H234" i="5"/>
  <c r="F234" i="5"/>
  <c r="J234" i="5"/>
  <c r="M234" i="5"/>
  <c r="E234" i="5"/>
  <c r="C389" i="5" s="1" a="1"/>
  <c r="C389" i="5" s="1"/>
  <c r="I234" i="5"/>
  <c r="K234" i="5"/>
  <c r="O234" i="5"/>
  <c r="D234" i="5"/>
  <c r="C388" i="5" s="1" a="1"/>
  <c r="C388" i="5" s="1"/>
  <c r="L234" i="5"/>
  <c r="T331" i="5"/>
  <c r="R331" i="5"/>
  <c r="P331" i="5"/>
  <c r="B360" i="5" s="1" a="1"/>
  <c r="B360" i="5" s="1"/>
  <c r="S331" i="5"/>
  <c r="Q331" i="5"/>
  <c r="I497" i="5"/>
  <c r="N497" i="5"/>
  <c r="M497" i="5"/>
  <c r="O497" i="5"/>
  <c r="J497" i="5"/>
  <c r="G497" i="5"/>
  <c r="H497" i="5"/>
  <c r="E497" i="5"/>
  <c r="D497" i="5"/>
  <c r="C585" i="5" s="1" a="1"/>
  <c r="C585" i="5" s="1"/>
  <c r="L497" i="5"/>
  <c r="K497" i="5"/>
  <c r="F497" i="5"/>
  <c r="N558" i="5"/>
  <c r="H558" i="5"/>
  <c r="M558" i="5"/>
  <c r="L558" i="5"/>
  <c r="J558" i="5"/>
  <c r="K558" i="5"/>
  <c r="I558" i="5"/>
  <c r="G558" i="5"/>
  <c r="O558" i="5"/>
  <c r="D558" i="5"/>
  <c r="F558" i="5"/>
  <c r="E558" i="5"/>
  <c r="P298" i="5"/>
  <c r="B455" i="5" s="1" a="1"/>
  <c r="B455" i="5" s="1"/>
  <c r="Q298" i="5"/>
  <c r="T298" i="5"/>
  <c r="S298" i="5"/>
  <c r="R298" i="5"/>
  <c r="P315" i="5"/>
  <c r="B475" i="5" s="1" a="1"/>
  <c r="B475" i="5" s="1"/>
  <c r="R315" i="5"/>
  <c r="Q315" i="5"/>
  <c r="B476" i="5" s="1" a="1"/>
  <c r="B476" i="5" s="1"/>
  <c r="S315" i="5"/>
  <c r="T315" i="5"/>
  <c r="F360" i="5"/>
  <c r="O360" i="5"/>
  <c r="I360" i="5"/>
  <c r="G360" i="5"/>
  <c r="K360" i="5"/>
  <c r="N360" i="5"/>
  <c r="H360" i="5"/>
  <c r="M360" i="5"/>
  <c r="L360" i="5"/>
  <c r="E360" i="5"/>
  <c r="C507" i="5" s="1" a="1"/>
  <c r="C507" i="5" s="1"/>
  <c r="J360" i="5"/>
  <c r="D360" i="5"/>
  <c r="C506" i="5" s="1" a="1"/>
  <c r="C506" i="5" s="1"/>
  <c r="R417" i="5"/>
  <c r="S417" i="5"/>
  <c r="P417" i="5"/>
  <c r="T417" i="5"/>
  <c r="Q417" i="5"/>
  <c r="G236" i="5"/>
  <c r="O236" i="5"/>
  <c r="D236" i="5"/>
  <c r="C390" i="5" s="1" a="1"/>
  <c r="C390" i="5" s="1"/>
  <c r="J236" i="5"/>
  <c r="M236" i="5"/>
  <c r="K236" i="5"/>
  <c r="F236" i="5"/>
  <c r="H236" i="5"/>
  <c r="E236" i="5"/>
  <c r="I236" i="5"/>
  <c r="N236" i="5"/>
  <c r="L236" i="5"/>
  <c r="T438" i="5"/>
  <c r="R438" i="5"/>
  <c r="P438" i="5"/>
  <c r="B493" i="5" s="1" a="1"/>
  <c r="B493" i="5" s="1"/>
  <c r="S438" i="5"/>
  <c r="Q438" i="5"/>
  <c r="M362" i="5"/>
  <c r="K362" i="5"/>
  <c r="J362" i="5"/>
  <c r="L362" i="5"/>
  <c r="O362" i="5"/>
  <c r="H362" i="5"/>
  <c r="F362" i="5"/>
  <c r="D362" i="5"/>
  <c r="C508" i="5" s="1" a="1"/>
  <c r="C508" i="5" s="1"/>
  <c r="G362" i="5"/>
  <c r="E362" i="5"/>
  <c r="C509" i="5" s="1" a="1"/>
  <c r="C509" i="5" s="1"/>
  <c r="I362" i="5"/>
  <c r="N362" i="5"/>
  <c r="Q213" i="5"/>
  <c r="R213" i="5"/>
  <c r="T213" i="5"/>
  <c r="P213" i="5"/>
  <c r="S213" i="5"/>
  <c r="H551" i="5"/>
  <c r="E551" i="5"/>
  <c r="K551" i="5"/>
  <c r="L551" i="5"/>
  <c r="D551" i="5"/>
  <c r="M551" i="5"/>
  <c r="N551" i="5"/>
  <c r="I551" i="5"/>
  <c r="F551" i="5"/>
  <c r="J551" i="5"/>
  <c r="G551" i="5"/>
  <c r="O551" i="5"/>
  <c r="R198" i="5"/>
  <c r="S198" i="5"/>
  <c r="T198" i="5"/>
  <c r="P198" i="5"/>
  <c r="B225" i="5" s="1" a="1"/>
  <c r="B225" i="5" s="1"/>
  <c r="Q198" i="5"/>
  <c r="B226" i="5" s="1" a="1"/>
  <c r="B226" i="5" s="1"/>
  <c r="S334" i="5"/>
  <c r="T334" i="5"/>
  <c r="R334" i="5"/>
  <c r="Q334" i="5"/>
  <c r="P334" i="5"/>
  <c r="B496" i="5" s="1" a="1"/>
  <c r="B496" i="5" s="1"/>
  <c r="T203" i="5"/>
  <c r="P203" i="5"/>
  <c r="B233" i="5" s="1" a="1"/>
  <c r="B233" i="5" s="1"/>
  <c r="S203" i="5"/>
  <c r="R203" i="5"/>
  <c r="Q203" i="5"/>
  <c r="B234" i="5" s="1" a="1"/>
  <c r="B234" i="5" s="1"/>
  <c r="S208" i="5"/>
  <c r="T208" i="5"/>
  <c r="P208" i="5"/>
  <c r="Q208" i="5"/>
  <c r="R208" i="5"/>
  <c r="T196" i="5"/>
  <c r="Q196" i="5"/>
  <c r="B222" i="5" s="1" a="1"/>
  <c r="B222" i="5" s="1"/>
  <c r="R196" i="5"/>
  <c r="P196" i="5"/>
  <c r="B221" i="5" s="1" a="1"/>
  <c r="B221" i="5" s="1"/>
  <c r="S196" i="5"/>
  <c r="P218" i="5"/>
  <c r="T218" i="5"/>
  <c r="Q218" i="5"/>
  <c r="S218" i="5"/>
  <c r="R218" i="5"/>
  <c r="Q329" i="5"/>
  <c r="R329" i="5"/>
  <c r="T329" i="5"/>
  <c r="S329" i="5"/>
  <c r="P329" i="5"/>
  <c r="B490" i="5" s="1" a="1"/>
  <c r="B490" i="5" s="1"/>
  <c r="Q422" i="5"/>
  <c r="R422" i="5"/>
  <c r="S422" i="5"/>
  <c r="P422" i="5"/>
  <c r="B551" i="5" s="1" a="1"/>
  <c r="B551" i="5" s="1"/>
  <c r="T422" i="5"/>
  <c r="S439" i="5"/>
  <c r="T439" i="5"/>
  <c r="P439" i="5"/>
  <c r="Q439" i="5"/>
  <c r="R439" i="5"/>
  <c r="L351" i="5"/>
  <c r="D351" i="5"/>
  <c r="F351" i="5"/>
  <c r="G351" i="5"/>
  <c r="N351" i="5"/>
  <c r="I351" i="5"/>
  <c r="J351" i="5"/>
  <c r="E351" i="5"/>
  <c r="M351" i="5"/>
  <c r="H351" i="5"/>
  <c r="O351" i="5"/>
  <c r="K351" i="5"/>
  <c r="M230" i="5"/>
  <c r="G230" i="5"/>
  <c r="F230" i="5"/>
  <c r="K230" i="5"/>
  <c r="N230" i="5"/>
  <c r="O230" i="5"/>
  <c r="I230" i="5"/>
  <c r="D230" i="5"/>
  <c r="E230" i="5"/>
  <c r="H230" i="5"/>
  <c r="J230" i="5"/>
  <c r="L230" i="5"/>
  <c r="M562" i="5"/>
  <c r="O562" i="5"/>
  <c r="N562" i="5"/>
  <c r="D562" i="5"/>
  <c r="C608" i="5" s="1" a="1"/>
  <c r="C608" i="5" s="1"/>
  <c r="H562" i="5"/>
  <c r="J562" i="5"/>
  <c r="F562" i="5"/>
  <c r="G562" i="5"/>
  <c r="K562" i="5"/>
  <c r="I562" i="5"/>
  <c r="L562" i="5"/>
  <c r="E562" i="5"/>
  <c r="Q427" i="5"/>
  <c r="T427" i="5"/>
  <c r="R427" i="5"/>
  <c r="S427" i="5"/>
  <c r="P427" i="5"/>
  <c r="S450" i="5"/>
  <c r="P450" i="5"/>
  <c r="R450" i="5"/>
  <c r="T450" i="5"/>
  <c r="Q450" i="5"/>
  <c r="I221" i="5"/>
  <c r="E221" i="5"/>
  <c r="C238" i="5" s="1" a="1"/>
  <c r="C238" i="5" s="1"/>
  <c r="J221" i="5"/>
  <c r="L221" i="5"/>
  <c r="O221" i="5"/>
  <c r="K221" i="5"/>
  <c r="M221" i="5"/>
  <c r="F221" i="5"/>
  <c r="H221" i="5"/>
  <c r="N221" i="5"/>
  <c r="D221" i="5"/>
  <c r="C237" i="5" s="1" a="1"/>
  <c r="C237" i="5" s="1"/>
  <c r="G221" i="5"/>
  <c r="N229" i="5"/>
  <c r="O229" i="5"/>
  <c r="I229" i="5"/>
  <c r="F229" i="5"/>
  <c r="H229" i="5"/>
  <c r="K229" i="5"/>
  <c r="E229" i="5"/>
  <c r="C382" i="5" s="1" a="1"/>
  <c r="C382" i="5" s="1"/>
  <c r="M229" i="5"/>
  <c r="L229" i="5"/>
  <c r="G229" i="5"/>
  <c r="D229" i="5"/>
  <c r="C381" i="5" s="1" a="1"/>
  <c r="C381" i="5" s="1"/>
  <c r="J229" i="5"/>
  <c r="R446" i="5"/>
  <c r="T446" i="5"/>
  <c r="Q446" i="5"/>
  <c r="S446" i="5"/>
  <c r="P446" i="5"/>
  <c r="I477" i="5"/>
  <c r="O477" i="5"/>
  <c r="N477" i="5"/>
  <c r="H477" i="5"/>
  <c r="K477" i="5"/>
  <c r="J477" i="5"/>
  <c r="E477" i="5"/>
  <c r="M477" i="5"/>
  <c r="L477" i="5"/>
  <c r="D477" i="5"/>
  <c r="F477" i="5"/>
  <c r="G477" i="5"/>
  <c r="L496" i="5"/>
  <c r="G496" i="5"/>
  <c r="H496" i="5"/>
  <c r="J496" i="5"/>
  <c r="K496" i="5"/>
  <c r="D496" i="5"/>
  <c r="E496" i="5"/>
  <c r="O496" i="5"/>
  <c r="F496" i="5"/>
  <c r="M496" i="5"/>
  <c r="N496" i="5"/>
  <c r="I496" i="5"/>
  <c r="T214" i="5"/>
  <c r="Q214" i="5"/>
  <c r="R214" i="5"/>
  <c r="P214" i="5"/>
  <c r="B362" i="5" s="1" a="1"/>
  <c r="B362" i="5" s="1"/>
  <c r="S214" i="5"/>
  <c r="I367" i="5"/>
  <c r="M367" i="5"/>
  <c r="D367" i="5"/>
  <c r="C512" i="5" s="1" a="1"/>
  <c r="C512" i="5" s="1"/>
  <c r="J367" i="5"/>
  <c r="F367" i="5"/>
  <c r="N367" i="5"/>
  <c r="L367" i="5"/>
  <c r="H367" i="5"/>
  <c r="K367" i="5"/>
  <c r="O367" i="5"/>
  <c r="E367" i="5"/>
  <c r="G367" i="5"/>
  <c r="E222" i="5"/>
  <c r="I222" i="5"/>
  <c r="K222" i="5"/>
  <c r="G222" i="5"/>
  <c r="F222" i="5"/>
  <c r="N222" i="5"/>
  <c r="J222" i="5"/>
  <c r="D222" i="5"/>
  <c r="C370" i="5" s="1" a="1"/>
  <c r="C370" i="5" s="1"/>
  <c r="O222" i="5"/>
  <c r="L222" i="5"/>
  <c r="H222" i="5"/>
  <c r="M222" i="5"/>
  <c r="J531" i="5"/>
  <c r="N531" i="5"/>
  <c r="G531" i="5"/>
  <c r="I531" i="5"/>
  <c r="F531" i="5"/>
  <c r="D531" i="5"/>
  <c r="O531" i="5"/>
  <c r="M531" i="5"/>
  <c r="K531" i="5"/>
  <c r="E531" i="5"/>
  <c r="H531" i="5"/>
  <c r="L531" i="5"/>
  <c r="Q436" i="5"/>
  <c r="S436" i="5"/>
  <c r="T436" i="5"/>
  <c r="P436" i="5"/>
  <c r="R436" i="5"/>
  <c r="P197" i="5"/>
  <c r="B223" i="5" s="1" a="1"/>
  <c r="B223" i="5" s="1"/>
  <c r="S197" i="5"/>
  <c r="B344" i="5" s="1" a="1"/>
  <c r="B344" i="5" s="1"/>
  <c r="T197" i="5"/>
  <c r="Q197" i="5"/>
  <c r="B224" i="5" s="1" a="1"/>
  <c r="B224" i="5" s="1"/>
  <c r="R197" i="5"/>
  <c r="B343" i="5" s="1" a="1"/>
  <c r="B343" i="5" s="1"/>
  <c r="Q316" i="5"/>
  <c r="R316" i="5"/>
  <c r="S316" i="5"/>
  <c r="T316" i="5"/>
  <c r="P316" i="5"/>
  <c r="B477" i="5" s="1" a="1"/>
  <c r="B477" i="5" s="1"/>
  <c r="E358" i="5"/>
  <c r="I358" i="5"/>
  <c r="O358" i="5"/>
  <c r="L358" i="5"/>
  <c r="K358" i="5"/>
  <c r="M358" i="5"/>
  <c r="H358" i="5"/>
  <c r="G358" i="5"/>
  <c r="D358" i="5"/>
  <c r="F358" i="5"/>
  <c r="J358" i="5"/>
  <c r="N358" i="5"/>
  <c r="R220" i="5"/>
  <c r="Q220" i="5"/>
  <c r="B368" i="5" s="1" a="1"/>
  <c r="B368" i="5" s="1"/>
  <c r="T220" i="5"/>
  <c r="S220" i="5"/>
  <c r="P220" i="5"/>
  <c r="B367" i="5" s="1" a="1"/>
  <c r="B367" i="5" s="1"/>
  <c r="Q206" i="5"/>
  <c r="P206" i="5"/>
  <c r="B351" i="5" s="1" a="1"/>
  <c r="B351" i="5" s="1"/>
  <c r="T206" i="5"/>
  <c r="S206" i="5"/>
  <c r="R206" i="5"/>
  <c r="J368" i="5"/>
  <c r="D368" i="5"/>
  <c r="C513" i="5" s="1" a="1"/>
  <c r="C513" i="5" s="1"/>
  <c r="N368" i="5"/>
  <c r="O368" i="5"/>
  <c r="G368" i="5"/>
  <c r="E368" i="5"/>
  <c r="M368" i="5"/>
  <c r="K368" i="5"/>
  <c r="I368" i="5"/>
  <c r="L368" i="5"/>
  <c r="H368" i="5"/>
  <c r="F368" i="5"/>
  <c r="L543" i="5"/>
  <c r="I543" i="5"/>
  <c r="K543" i="5"/>
  <c r="F543" i="5"/>
  <c r="J543" i="5"/>
  <c r="D543" i="5"/>
  <c r="N543" i="5"/>
  <c r="H543" i="5"/>
  <c r="G543" i="5"/>
  <c r="E543" i="5"/>
  <c r="O543" i="5"/>
  <c r="M543" i="5"/>
  <c r="G556" i="5"/>
  <c r="D556" i="5"/>
  <c r="I556" i="5"/>
  <c r="H556" i="5"/>
  <c r="K556" i="5"/>
  <c r="M556" i="5"/>
  <c r="E556" i="5"/>
  <c r="N556" i="5"/>
  <c r="L556" i="5"/>
  <c r="O556" i="5"/>
  <c r="F556" i="5"/>
  <c r="J556" i="5"/>
  <c r="L343" i="5"/>
  <c r="H343" i="5"/>
  <c r="E343" i="5"/>
  <c r="C502" i="5" s="1" a="1"/>
  <c r="C502" i="5" s="1"/>
  <c r="O343" i="5"/>
  <c r="M343" i="5"/>
  <c r="N343" i="5"/>
  <c r="G343" i="5"/>
  <c r="K343" i="5"/>
  <c r="D343" i="5"/>
  <c r="C501" i="5" s="1" a="1"/>
  <c r="C501" i="5" s="1"/>
  <c r="I343" i="5"/>
  <c r="J343" i="5"/>
  <c r="F343" i="5"/>
  <c r="M226" i="5"/>
  <c r="E226" i="5"/>
  <c r="C377" i="5" s="1" a="1"/>
  <c r="C377" i="5" s="1"/>
  <c r="I226" i="5"/>
  <c r="N226" i="5"/>
  <c r="D226" i="5"/>
  <c r="C376" i="5" s="1" a="1"/>
  <c r="C376" i="5" s="1"/>
  <c r="L226" i="5"/>
  <c r="J226" i="5"/>
  <c r="O226" i="5"/>
  <c r="F226" i="5"/>
  <c r="G226" i="5"/>
  <c r="H226" i="5"/>
  <c r="K226" i="5"/>
  <c r="T449" i="5"/>
  <c r="Q449" i="5"/>
  <c r="P449" i="5"/>
  <c r="B566" i="5" s="1" a="1"/>
  <c r="B566" i="5" s="1"/>
  <c r="R449" i="5"/>
  <c r="S449" i="5"/>
  <c r="R402" i="5"/>
  <c r="Q402" i="5"/>
  <c r="T402" i="5"/>
  <c r="S402" i="5"/>
  <c r="P402" i="5"/>
  <c r="B543" i="5" s="1" a="1"/>
  <c r="B543" i="5" s="1"/>
  <c r="L467" i="5"/>
  <c r="K467" i="5"/>
  <c r="F467" i="5"/>
  <c r="H467" i="5"/>
  <c r="N467" i="5"/>
  <c r="J467" i="5"/>
  <c r="I467" i="5"/>
  <c r="G467" i="5"/>
  <c r="E467" i="5"/>
  <c r="M467" i="5"/>
  <c r="D467" i="5"/>
  <c r="C575" i="5" s="1" a="1"/>
  <c r="C575" i="5" s="1"/>
  <c r="O467" i="5"/>
  <c r="T209" i="5"/>
  <c r="Q209" i="5"/>
  <c r="B355" i="5" s="1" a="1"/>
  <c r="B355" i="5" s="1"/>
  <c r="R209" i="5"/>
  <c r="S209" i="5"/>
  <c r="P209" i="5"/>
  <c r="B354" i="5" s="1" a="1"/>
  <c r="B354" i="5" s="1"/>
  <c r="H566" i="5"/>
  <c r="J566" i="5"/>
  <c r="E566" i="5"/>
  <c r="F566" i="5"/>
  <c r="L566" i="5"/>
  <c r="N566" i="5"/>
  <c r="I566" i="5"/>
  <c r="D566" i="5"/>
  <c r="O566" i="5"/>
  <c r="M566" i="5"/>
  <c r="K566" i="5"/>
  <c r="G566" i="5"/>
  <c r="L345" i="5"/>
  <c r="M345" i="5"/>
  <c r="E345" i="5"/>
  <c r="F345" i="5"/>
  <c r="N345" i="5"/>
  <c r="D345" i="5"/>
  <c r="C503" i="5" s="1" a="1"/>
  <c r="C503" i="5" s="1"/>
  <c r="O345" i="5"/>
  <c r="I345" i="5"/>
  <c r="K345" i="5"/>
  <c r="G345" i="5"/>
  <c r="H345" i="5"/>
  <c r="J345" i="5"/>
  <c r="P395" i="5"/>
  <c r="B530" i="5" s="1" a="1"/>
  <c r="B530" i="5" s="1"/>
  <c r="S395" i="5"/>
  <c r="Q395" i="5"/>
  <c r="B531" i="5" s="1" a="1"/>
  <c r="B531" i="5" s="1"/>
  <c r="R395" i="5"/>
  <c r="T395" i="5"/>
  <c r="E357" i="5"/>
  <c r="L357" i="5"/>
  <c r="O357" i="5"/>
  <c r="J357" i="5"/>
  <c r="H357" i="5"/>
  <c r="M357" i="5"/>
  <c r="D357" i="5"/>
  <c r="N357" i="5"/>
  <c r="G357" i="5"/>
  <c r="I357" i="5"/>
  <c r="K357" i="5"/>
  <c r="F357" i="5"/>
  <c r="G560" i="5"/>
  <c r="L560" i="5"/>
  <c r="M560" i="5"/>
  <c r="H560" i="5"/>
  <c r="E560" i="5"/>
  <c r="F560" i="5"/>
  <c r="I560" i="5"/>
  <c r="O560" i="5"/>
  <c r="D560" i="5"/>
  <c r="J560" i="5"/>
  <c r="K560" i="5"/>
  <c r="N560" i="5"/>
  <c r="R211" i="5"/>
  <c r="S211" i="5"/>
  <c r="B361" i="5" s="1" a="1"/>
  <c r="B361" i="5" s="1"/>
  <c r="P211" i="5"/>
  <c r="B358" i="5" s="1" a="1"/>
  <c r="B358" i="5" s="1"/>
  <c r="Q211" i="5"/>
  <c r="B359" i="5" s="1" a="1"/>
  <c r="B359" i="5" s="1"/>
  <c r="T211" i="5"/>
  <c r="P445" i="5"/>
  <c r="S445" i="5"/>
  <c r="T445" i="5"/>
  <c r="R445" i="5"/>
  <c r="Q445" i="5"/>
  <c r="R431" i="5"/>
  <c r="T431" i="5"/>
  <c r="S431" i="5"/>
  <c r="Q431" i="5"/>
  <c r="B557" i="5" s="1" a="1"/>
  <c r="B557" i="5" s="1"/>
  <c r="P431" i="5"/>
  <c r="B556" i="5" s="1" a="1"/>
  <c r="B556" i="5" s="1"/>
  <c r="O530" i="5"/>
  <c r="L530" i="5"/>
  <c r="F530" i="5"/>
  <c r="I530" i="5"/>
  <c r="M530" i="5"/>
  <c r="H530" i="5"/>
  <c r="J530" i="5"/>
  <c r="D530" i="5"/>
  <c r="G530" i="5"/>
  <c r="E530" i="5"/>
  <c r="K530" i="5"/>
  <c r="N530" i="5"/>
  <c r="Q205" i="5"/>
  <c r="T205" i="5"/>
  <c r="P205" i="5"/>
  <c r="R205" i="5"/>
  <c r="S205" i="5"/>
  <c r="P530" i="5" l="1"/>
  <c r="S530" i="5"/>
  <c r="Q530" i="5"/>
  <c r="R530" i="5"/>
  <c r="T530" i="5"/>
  <c r="J499" i="5"/>
  <c r="I499" i="5"/>
  <c r="H499" i="5"/>
  <c r="O499" i="5"/>
  <c r="N499" i="5"/>
  <c r="G499" i="5"/>
  <c r="L499" i="5"/>
  <c r="E499" i="5"/>
  <c r="K499" i="5"/>
  <c r="D499" i="5"/>
  <c r="F499" i="5"/>
  <c r="M499" i="5"/>
  <c r="R224" i="5"/>
  <c r="P224" i="5"/>
  <c r="B373" i="5" s="1" a="1"/>
  <c r="B373" i="5" s="1"/>
  <c r="S224" i="5"/>
  <c r="T224" i="5"/>
  <c r="Q224" i="5"/>
  <c r="B374" i="5" s="1" a="1"/>
  <c r="B374" i="5" s="1"/>
  <c r="Q360" i="5"/>
  <c r="R360" i="5"/>
  <c r="S360" i="5"/>
  <c r="T360" i="5"/>
  <c r="P360" i="5"/>
  <c r="S497" i="5"/>
  <c r="T497" i="5"/>
  <c r="P497" i="5"/>
  <c r="B585" i="5" s="1" a="1"/>
  <c r="B585" i="5" s="1"/>
  <c r="R497" i="5"/>
  <c r="Q497" i="5"/>
  <c r="R363" i="5"/>
  <c r="Q363" i="5"/>
  <c r="P363" i="5"/>
  <c r="B510" i="5" s="1" a="1"/>
  <c r="B510" i="5" s="1"/>
  <c r="T363" i="5"/>
  <c r="S363" i="5"/>
  <c r="R368" i="5"/>
  <c r="T368" i="5"/>
  <c r="Q368" i="5"/>
  <c r="S368" i="5"/>
  <c r="P368" i="5"/>
  <c r="B513" i="5" s="1" a="1"/>
  <c r="B513" i="5" s="1"/>
  <c r="N375" i="5"/>
  <c r="H375" i="5"/>
  <c r="G375" i="5"/>
  <c r="L375" i="5"/>
  <c r="F375" i="5"/>
  <c r="D375" i="5"/>
  <c r="C518" i="5" s="1" a="1"/>
  <c r="C518" i="5" s="1"/>
  <c r="M375" i="5"/>
  <c r="J375" i="5"/>
  <c r="I375" i="5"/>
  <c r="K375" i="5"/>
  <c r="E375" i="5"/>
  <c r="O375" i="5"/>
  <c r="I582" i="5"/>
  <c r="G582" i="5"/>
  <c r="D582" i="5"/>
  <c r="M582" i="5"/>
  <c r="N582" i="5"/>
  <c r="K582" i="5"/>
  <c r="F582" i="5"/>
  <c r="H582" i="5"/>
  <c r="L582" i="5"/>
  <c r="E582" i="5"/>
  <c r="J582" i="5"/>
  <c r="O582" i="5"/>
  <c r="S565" i="5"/>
  <c r="P565" i="5"/>
  <c r="T565" i="5"/>
  <c r="Q565" i="5"/>
  <c r="R565" i="5"/>
  <c r="R557" i="5"/>
  <c r="P557" i="5"/>
  <c r="T557" i="5"/>
  <c r="S557" i="5"/>
  <c r="Q557" i="5"/>
  <c r="R225" i="5"/>
  <c r="T225" i="5"/>
  <c r="P225" i="5"/>
  <c r="S225" i="5"/>
  <c r="Q225" i="5"/>
  <c r="Q556" i="5"/>
  <c r="T556" i="5"/>
  <c r="P556" i="5"/>
  <c r="S556" i="5"/>
  <c r="R556" i="5"/>
  <c r="L513" i="5"/>
  <c r="I513" i="5"/>
  <c r="M513" i="5"/>
  <c r="D513" i="5"/>
  <c r="C589" i="5" s="1" a="1"/>
  <c r="C589" i="5" s="1"/>
  <c r="N513" i="5"/>
  <c r="O513" i="5"/>
  <c r="J513" i="5"/>
  <c r="H513" i="5"/>
  <c r="E513" i="5"/>
  <c r="F513" i="5"/>
  <c r="K513" i="5"/>
  <c r="G513" i="5"/>
  <c r="T221" i="5"/>
  <c r="Q221" i="5"/>
  <c r="B238" i="5" s="1" a="1"/>
  <c r="B238" i="5" s="1"/>
  <c r="B392" i="5" s="1" a="1"/>
  <c r="B392" i="5" s="1"/>
  <c r="R221" i="5"/>
  <c r="S221" i="5"/>
  <c r="P221" i="5"/>
  <c r="B237" i="5" s="1" a="1"/>
  <c r="B237" i="5" s="1"/>
  <c r="S551" i="5"/>
  <c r="Q551" i="5"/>
  <c r="R551" i="5"/>
  <c r="T551" i="5"/>
  <c r="P551" i="5"/>
  <c r="P367" i="5"/>
  <c r="Q367" i="5"/>
  <c r="R367" i="5"/>
  <c r="T367" i="5"/>
  <c r="S367" i="5"/>
  <c r="R230" i="5"/>
  <c r="P230" i="5"/>
  <c r="S230" i="5"/>
  <c r="T230" i="5"/>
  <c r="Q230" i="5"/>
  <c r="M568" i="5"/>
  <c r="F568" i="5"/>
  <c r="K568" i="5"/>
  <c r="H568" i="5"/>
  <c r="L568" i="5"/>
  <c r="G568" i="5"/>
  <c r="N568" i="5"/>
  <c r="O568" i="5"/>
  <c r="J568" i="5"/>
  <c r="E568" i="5"/>
  <c r="D568" i="5"/>
  <c r="I568" i="5"/>
  <c r="S566" i="5"/>
  <c r="T566" i="5"/>
  <c r="Q566" i="5"/>
  <c r="P566" i="5"/>
  <c r="R566" i="5"/>
  <c r="R361" i="5"/>
  <c r="Q361" i="5"/>
  <c r="T361" i="5"/>
  <c r="P361" i="5"/>
  <c r="B378" i="5" s="1" a="1"/>
  <c r="B378" i="5" s="1"/>
  <c r="S361" i="5"/>
  <c r="S338" i="5"/>
  <c r="P338" i="5"/>
  <c r="B499" i="5" s="1" a="1"/>
  <c r="B499" i="5" s="1"/>
  <c r="R338" i="5"/>
  <c r="Q338" i="5"/>
  <c r="T338" i="5"/>
  <c r="P228" i="5"/>
  <c r="B379" i="5" s="1" a="1"/>
  <c r="B379" i="5" s="1"/>
  <c r="T228" i="5"/>
  <c r="Q228" i="5"/>
  <c r="B380" i="5" s="1" a="1"/>
  <c r="B380" i="5" s="1"/>
  <c r="S228" i="5"/>
  <c r="R228" i="5"/>
  <c r="H238" i="5"/>
  <c r="L238" i="5"/>
  <c r="D238" i="5"/>
  <c r="C392" i="5" s="1" a="1"/>
  <c r="C392" i="5" s="1"/>
  <c r="N238" i="5"/>
  <c r="O238" i="5"/>
  <c r="K238" i="5"/>
  <c r="F238" i="5"/>
  <c r="I238" i="5"/>
  <c r="M238" i="5"/>
  <c r="J238" i="5"/>
  <c r="G238" i="5"/>
  <c r="E238" i="5"/>
  <c r="C393" i="5" s="1" a="1"/>
  <c r="C393" i="5" s="1"/>
  <c r="T339" i="5"/>
  <c r="Q339" i="5"/>
  <c r="R339" i="5"/>
  <c r="P339" i="5"/>
  <c r="S339" i="5"/>
  <c r="P354" i="5"/>
  <c r="R354" i="5"/>
  <c r="T354" i="5"/>
  <c r="S354" i="5"/>
  <c r="Q354" i="5"/>
  <c r="S232" i="5"/>
  <c r="T232" i="5"/>
  <c r="Q232" i="5"/>
  <c r="P232" i="5"/>
  <c r="B385" i="5" s="1" a="1"/>
  <c r="B385" i="5" s="1"/>
  <c r="R232" i="5"/>
  <c r="P455" i="5"/>
  <c r="B568" i="5" s="1" a="1"/>
  <c r="B568" i="5" s="1"/>
  <c r="R455" i="5"/>
  <c r="S455" i="5"/>
  <c r="Q455" i="5"/>
  <c r="T455" i="5"/>
  <c r="K378" i="5"/>
  <c r="N378" i="5"/>
  <c r="I378" i="5"/>
  <c r="F378" i="5"/>
  <c r="M378" i="5"/>
  <c r="D378" i="5"/>
  <c r="J378" i="5"/>
  <c r="G378" i="5"/>
  <c r="E378" i="5"/>
  <c r="O378" i="5"/>
  <c r="H378" i="5"/>
  <c r="L378" i="5"/>
  <c r="P498" i="5"/>
  <c r="R498" i="5"/>
  <c r="S498" i="5"/>
  <c r="Q498" i="5"/>
  <c r="T498" i="5"/>
  <c r="R493" i="5"/>
  <c r="Q493" i="5"/>
  <c r="T493" i="5"/>
  <c r="P493" i="5"/>
  <c r="S493" i="5"/>
  <c r="M380" i="5"/>
  <c r="D380" i="5"/>
  <c r="H380" i="5"/>
  <c r="G380" i="5"/>
  <c r="E380" i="5"/>
  <c r="I380" i="5"/>
  <c r="O380" i="5"/>
  <c r="J380" i="5"/>
  <c r="F380" i="5"/>
  <c r="K380" i="5"/>
  <c r="N380" i="5"/>
  <c r="L380" i="5"/>
  <c r="Q477" i="5"/>
  <c r="R477" i="5"/>
  <c r="S477" i="5"/>
  <c r="P477" i="5"/>
  <c r="T477" i="5"/>
  <c r="P336" i="5"/>
  <c r="Q336" i="5"/>
  <c r="S336" i="5"/>
  <c r="R336" i="5"/>
  <c r="T336" i="5"/>
  <c r="E379" i="5"/>
  <c r="N379" i="5"/>
  <c r="D379" i="5"/>
  <c r="I379" i="5"/>
  <c r="L379" i="5"/>
  <c r="G379" i="5"/>
  <c r="O379" i="5"/>
  <c r="M379" i="5"/>
  <c r="H379" i="5"/>
  <c r="J379" i="5"/>
  <c r="K379" i="5"/>
  <c r="F379" i="5"/>
  <c r="L388" i="5"/>
  <c r="O388" i="5"/>
  <c r="H388" i="5"/>
  <c r="J388" i="5"/>
  <c r="D388" i="5"/>
  <c r="I388" i="5"/>
  <c r="M388" i="5"/>
  <c r="G388" i="5"/>
  <c r="F388" i="5"/>
  <c r="N388" i="5"/>
  <c r="K388" i="5"/>
  <c r="E388" i="5"/>
  <c r="Q529" i="5"/>
  <c r="R529" i="5"/>
  <c r="S529" i="5"/>
  <c r="T529" i="5"/>
  <c r="P529" i="5"/>
  <c r="K512" i="5"/>
  <c r="F512" i="5"/>
  <c r="G512" i="5"/>
  <c r="O512" i="5"/>
  <c r="N512" i="5"/>
  <c r="D512" i="5"/>
  <c r="C588" i="5" s="1" a="1"/>
  <c r="C588" i="5" s="1"/>
  <c r="M512" i="5"/>
  <c r="J512" i="5"/>
  <c r="E512" i="5"/>
  <c r="H512" i="5"/>
  <c r="L512" i="5"/>
  <c r="I512" i="5"/>
  <c r="Q351" i="5"/>
  <c r="S351" i="5"/>
  <c r="T351" i="5"/>
  <c r="P351" i="5"/>
  <c r="R351" i="5"/>
  <c r="Q234" i="5"/>
  <c r="B389" i="5" s="1" a="1"/>
  <c r="B389" i="5" s="1"/>
  <c r="P234" i="5"/>
  <c r="B388" i="5" s="1" a="1"/>
  <c r="B388" i="5" s="1"/>
  <c r="R234" i="5"/>
  <c r="S234" i="5"/>
  <c r="T234" i="5"/>
  <c r="H384" i="5"/>
  <c r="D384" i="5"/>
  <c r="N384" i="5"/>
  <c r="F384" i="5"/>
  <c r="O384" i="5"/>
  <c r="E384" i="5"/>
  <c r="K384" i="5"/>
  <c r="J384" i="5"/>
  <c r="I384" i="5"/>
  <c r="M384" i="5"/>
  <c r="G384" i="5"/>
  <c r="L384" i="5"/>
  <c r="R559" i="5"/>
  <c r="T559" i="5"/>
  <c r="S559" i="5"/>
  <c r="P559" i="5"/>
  <c r="Q559" i="5"/>
  <c r="J385" i="5"/>
  <c r="M385" i="5"/>
  <c r="N385" i="5"/>
  <c r="I385" i="5"/>
  <c r="D385" i="5"/>
  <c r="G385" i="5"/>
  <c r="H385" i="5"/>
  <c r="F385" i="5"/>
  <c r="O385" i="5"/>
  <c r="E385" i="5"/>
  <c r="L385" i="5"/>
  <c r="K385" i="5"/>
  <c r="H383" i="5"/>
  <c r="E383" i="5"/>
  <c r="C522" i="5" s="1" a="1"/>
  <c r="C522" i="5" s="1"/>
  <c r="N383" i="5"/>
  <c r="M383" i="5"/>
  <c r="D383" i="5"/>
  <c r="J383" i="5"/>
  <c r="K383" i="5"/>
  <c r="L383" i="5"/>
  <c r="O383" i="5"/>
  <c r="I383" i="5"/>
  <c r="G383" i="5"/>
  <c r="F383" i="5"/>
  <c r="R528" i="5"/>
  <c r="T528" i="5"/>
  <c r="P528" i="5"/>
  <c r="Q528" i="5"/>
  <c r="S528" i="5"/>
  <c r="Q226" i="5"/>
  <c r="B377" i="5" s="1" a="1"/>
  <c r="B377" i="5" s="1"/>
  <c r="S226" i="5"/>
  <c r="P226" i="5"/>
  <c r="B376" i="5" s="1" a="1"/>
  <c r="B376" i="5" s="1"/>
  <c r="R226" i="5"/>
  <c r="T226" i="5"/>
  <c r="P357" i="5"/>
  <c r="Q357" i="5"/>
  <c r="T357" i="5"/>
  <c r="R357" i="5"/>
  <c r="S357" i="5"/>
  <c r="Q543" i="5"/>
  <c r="T543" i="5"/>
  <c r="S543" i="5"/>
  <c r="R543" i="5"/>
  <c r="P543" i="5"/>
  <c r="E390" i="5"/>
  <c r="C524" i="5" s="1" a="1"/>
  <c r="C524" i="5" s="1"/>
  <c r="G390" i="5"/>
  <c r="F390" i="5"/>
  <c r="N390" i="5"/>
  <c r="H390" i="5"/>
  <c r="D390" i="5"/>
  <c r="C523" i="5" s="1" a="1"/>
  <c r="C523" i="5" s="1"/>
  <c r="O390" i="5"/>
  <c r="K390" i="5"/>
  <c r="L390" i="5"/>
  <c r="I390" i="5"/>
  <c r="M390" i="5"/>
  <c r="J390" i="5"/>
  <c r="D389" i="5"/>
  <c r="K389" i="5"/>
  <c r="L389" i="5"/>
  <c r="O389" i="5"/>
  <c r="I389" i="5"/>
  <c r="F389" i="5"/>
  <c r="J389" i="5"/>
  <c r="H389" i="5"/>
  <c r="E389" i="5"/>
  <c r="M389" i="5"/>
  <c r="N389" i="5"/>
  <c r="G389" i="5"/>
  <c r="R366" i="5"/>
  <c r="S366" i="5"/>
  <c r="P366" i="5"/>
  <c r="Q366" i="5"/>
  <c r="T366" i="5"/>
  <c r="P531" i="5"/>
  <c r="T531" i="5"/>
  <c r="Q531" i="5"/>
  <c r="R531" i="5"/>
  <c r="S531" i="5"/>
  <c r="R236" i="5"/>
  <c r="T236" i="5"/>
  <c r="S236" i="5"/>
  <c r="P236" i="5"/>
  <c r="B390" i="5" s="1" a="1"/>
  <c r="B390" i="5" s="1"/>
  <c r="Q236" i="5"/>
  <c r="P558" i="5"/>
  <c r="Q558" i="5"/>
  <c r="R558" i="5"/>
  <c r="S558" i="5"/>
  <c r="T558" i="5"/>
  <c r="R344" i="5"/>
  <c r="S344" i="5"/>
  <c r="T344" i="5"/>
  <c r="P344" i="5"/>
  <c r="Q344" i="5"/>
  <c r="M376" i="5"/>
  <c r="H376" i="5"/>
  <c r="I376" i="5"/>
  <c r="N376" i="5"/>
  <c r="E376" i="5"/>
  <c r="C520" i="5" s="1" a="1"/>
  <c r="C520" i="5" s="1"/>
  <c r="D376" i="5"/>
  <c r="F376" i="5"/>
  <c r="K376" i="5"/>
  <c r="G376" i="5"/>
  <c r="L376" i="5"/>
  <c r="O376" i="5"/>
  <c r="J376" i="5"/>
  <c r="H511" i="5"/>
  <c r="O511" i="5"/>
  <c r="L511" i="5"/>
  <c r="N511" i="5"/>
  <c r="J511" i="5"/>
  <c r="M511" i="5"/>
  <c r="K511" i="5"/>
  <c r="E511" i="5"/>
  <c r="I511" i="5"/>
  <c r="D511" i="5"/>
  <c r="F511" i="5"/>
  <c r="G511" i="5"/>
  <c r="T223" i="5"/>
  <c r="Q223" i="5"/>
  <c r="B372" i="5" s="1" a="1"/>
  <c r="B372" i="5" s="1"/>
  <c r="S223" i="5"/>
  <c r="P223" i="5"/>
  <c r="B371" i="5" s="1" a="1"/>
  <c r="B371" i="5" s="1"/>
  <c r="R223" i="5"/>
  <c r="F381" i="5"/>
  <c r="H381" i="5"/>
  <c r="L381" i="5"/>
  <c r="J381" i="5"/>
  <c r="N381" i="5"/>
  <c r="K381" i="5"/>
  <c r="D381" i="5"/>
  <c r="I381" i="5"/>
  <c r="M381" i="5"/>
  <c r="G381" i="5"/>
  <c r="O381" i="5"/>
  <c r="E381" i="5"/>
  <c r="M372" i="5"/>
  <c r="E372" i="5"/>
  <c r="L372" i="5"/>
  <c r="J372" i="5"/>
  <c r="K372" i="5"/>
  <c r="G372" i="5"/>
  <c r="N372" i="5"/>
  <c r="H372" i="5"/>
  <c r="O372" i="5"/>
  <c r="F372" i="5"/>
  <c r="D372" i="5"/>
  <c r="I372" i="5"/>
  <c r="P231" i="5"/>
  <c r="B383" i="5" s="1" a="1"/>
  <c r="B383" i="5" s="1"/>
  <c r="T231" i="5"/>
  <c r="Q231" i="5"/>
  <c r="S231" i="5"/>
  <c r="R231" i="5"/>
  <c r="M386" i="5"/>
  <c r="G386" i="5"/>
  <c r="F386" i="5"/>
  <c r="K386" i="5"/>
  <c r="D386" i="5"/>
  <c r="J386" i="5"/>
  <c r="H386" i="5"/>
  <c r="E386" i="5"/>
  <c r="O386" i="5"/>
  <c r="N386" i="5"/>
  <c r="I386" i="5"/>
  <c r="L386" i="5"/>
  <c r="Q364" i="5"/>
  <c r="P364" i="5"/>
  <c r="T364" i="5"/>
  <c r="S364" i="5"/>
  <c r="R364" i="5"/>
  <c r="Q337" i="5"/>
  <c r="R337" i="5"/>
  <c r="P337" i="5"/>
  <c r="T337" i="5"/>
  <c r="S337" i="5"/>
  <c r="N387" i="5"/>
  <c r="M387" i="5"/>
  <c r="K387" i="5"/>
  <c r="L387" i="5"/>
  <c r="F387" i="5"/>
  <c r="J387" i="5"/>
  <c r="O387" i="5"/>
  <c r="I387" i="5"/>
  <c r="E387" i="5"/>
  <c r="H387" i="5"/>
  <c r="D387" i="5"/>
  <c r="G387" i="5"/>
  <c r="R470" i="5"/>
  <c r="P470" i="5"/>
  <c r="T470" i="5"/>
  <c r="S470" i="5"/>
  <c r="Q470" i="5"/>
  <c r="S467" i="5"/>
  <c r="T467" i="5"/>
  <c r="R467" i="5"/>
  <c r="P467" i="5"/>
  <c r="Q467" i="5"/>
  <c r="P547" i="5"/>
  <c r="R547" i="5"/>
  <c r="Q547" i="5"/>
  <c r="S547" i="5"/>
  <c r="T547" i="5"/>
  <c r="P492" i="5"/>
  <c r="R492" i="5"/>
  <c r="Q492" i="5"/>
  <c r="T492" i="5"/>
  <c r="S492" i="5"/>
  <c r="O373" i="5"/>
  <c r="E373" i="5"/>
  <c r="J373" i="5"/>
  <c r="H373" i="5"/>
  <c r="M373" i="5"/>
  <c r="I373" i="5"/>
  <c r="K373" i="5"/>
  <c r="D373" i="5"/>
  <c r="C517" i="5" s="1" a="1"/>
  <c r="C517" i="5" s="1"/>
  <c r="L373" i="5"/>
  <c r="F373" i="5"/>
  <c r="G373" i="5"/>
  <c r="N373" i="5"/>
  <c r="Q355" i="5"/>
  <c r="T355" i="5"/>
  <c r="P355" i="5"/>
  <c r="S355" i="5"/>
  <c r="R355" i="5"/>
  <c r="J501" i="5"/>
  <c r="O501" i="5"/>
  <c r="K501" i="5"/>
  <c r="E501" i="5"/>
  <c r="G501" i="5"/>
  <c r="N501" i="5"/>
  <c r="H501" i="5"/>
  <c r="M501" i="5"/>
  <c r="L501" i="5"/>
  <c r="I501" i="5"/>
  <c r="F501" i="5"/>
  <c r="D501" i="5"/>
  <c r="T358" i="5"/>
  <c r="P358" i="5"/>
  <c r="Q358" i="5"/>
  <c r="R358" i="5"/>
  <c r="S358" i="5"/>
  <c r="K508" i="5"/>
  <c r="H508" i="5"/>
  <c r="O508" i="5"/>
  <c r="D508" i="5"/>
  <c r="C587" i="5" s="1" a="1"/>
  <c r="C587" i="5" s="1"/>
  <c r="I508" i="5"/>
  <c r="E508" i="5"/>
  <c r="F508" i="5"/>
  <c r="N508" i="5"/>
  <c r="M508" i="5"/>
  <c r="G508" i="5"/>
  <c r="L508" i="5"/>
  <c r="J508" i="5"/>
  <c r="L507" i="5"/>
  <c r="O507" i="5"/>
  <c r="M507" i="5"/>
  <c r="N507" i="5"/>
  <c r="G507" i="5"/>
  <c r="I507" i="5"/>
  <c r="J507" i="5"/>
  <c r="H507" i="5"/>
  <c r="E507" i="5"/>
  <c r="F507" i="5"/>
  <c r="D507" i="5"/>
  <c r="K507" i="5"/>
  <c r="S235" i="5"/>
  <c r="Q235" i="5"/>
  <c r="T235" i="5"/>
  <c r="P235" i="5"/>
  <c r="R235" i="5"/>
  <c r="Q365" i="5"/>
  <c r="S365" i="5"/>
  <c r="T365" i="5"/>
  <c r="P365" i="5"/>
  <c r="R365" i="5"/>
  <c r="E578" i="5"/>
  <c r="O578" i="5"/>
  <c r="D578" i="5"/>
  <c r="L578" i="5"/>
  <c r="I578" i="5"/>
  <c r="G578" i="5"/>
  <c r="J578" i="5"/>
  <c r="M578" i="5"/>
  <c r="F578" i="5"/>
  <c r="N578" i="5"/>
  <c r="H578" i="5"/>
  <c r="K578" i="5"/>
  <c r="I374" i="5"/>
  <c r="J374" i="5"/>
  <c r="N374" i="5"/>
  <c r="H374" i="5"/>
  <c r="E374" i="5"/>
  <c r="O374" i="5"/>
  <c r="K374" i="5"/>
  <c r="G374" i="5"/>
  <c r="D374" i="5"/>
  <c r="M374" i="5"/>
  <c r="L374" i="5"/>
  <c r="F374" i="5"/>
  <c r="O575" i="5"/>
  <c r="E575" i="5"/>
  <c r="H575" i="5"/>
  <c r="K575" i="5"/>
  <c r="M575" i="5"/>
  <c r="G575" i="5"/>
  <c r="L575" i="5"/>
  <c r="I575" i="5"/>
  <c r="J575" i="5"/>
  <c r="N575" i="5"/>
  <c r="D575" i="5"/>
  <c r="C609" i="5" s="1" a="1"/>
  <c r="C609" i="5" s="1"/>
  <c r="F575" i="5"/>
  <c r="T496" i="5"/>
  <c r="P496" i="5"/>
  <c r="S496" i="5"/>
  <c r="R496" i="5"/>
  <c r="Q496" i="5"/>
  <c r="T222" i="5"/>
  <c r="S222" i="5"/>
  <c r="R222" i="5"/>
  <c r="Q222" i="5"/>
  <c r="P222" i="5"/>
  <c r="B370" i="5" s="1" a="1"/>
  <c r="B370" i="5" s="1"/>
  <c r="P359" i="5"/>
  <c r="Q359" i="5"/>
  <c r="T359" i="5"/>
  <c r="R359" i="5"/>
  <c r="S359" i="5"/>
  <c r="M581" i="5"/>
  <c r="G581" i="5"/>
  <c r="E581" i="5"/>
  <c r="O581" i="5"/>
  <c r="D581" i="5"/>
  <c r="N581" i="5"/>
  <c r="J581" i="5"/>
  <c r="H581" i="5"/>
  <c r="F581" i="5"/>
  <c r="L581" i="5"/>
  <c r="I581" i="5"/>
  <c r="K581" i="5"/>
  <c r="R561" i="5"/>
  <c r="Q561" i="5"/>
  <c r="P561" i="5"/>
  <c r="S561" i="5"/>
  <c r="T561" i="5"/>
  <c r="E371" i="5"/>
  <c r="N371" i="5"/>
  <c r="I371" i="5"/>
  <c r="L371" i="5"/>
  <c r="H371" i="5"/>
  <c r="O371" i="5"/>
  <c r="J371" i="5"/>
  <c r="M371" i="5"/>
  <c r="D371" i="5"/>
  <c r="F371" i="5"/>
  <c r="G371" i="5"/>
  <c r="K371" i="5"/>
  <c r="F370" i="5"/>
  <c r="K370" i="5"/>
  <c r="J370" i="5"/>
  <c r="H370" i="5"/>
  <c r="I370" i="5"/>
  <c r="G370" i="5"/>
  <c r="M370" i="5"/>
  <c r="E370" i="5"/>
  <c r="C516" i="5" s="1" a="1"/>
  <c r="C516" i="5" s="1"/>
  <c r="O370" i="5"/>
  <c r="N370" i="5"/>
  <c r="D370" i="5"/>
  <c r="C515" i="5" s="1" a="1"/>
  <c r="C515" i="5" s="1"/>
  <c r="L370" i="5"/>
  <c r="S229" i="5"/>
  <c r="T229" i="5"/>
  <c r="P229" i="5"/>
  <c r="R229" i="5"/>
  <c r="Q229" i="5"/>
  <c r="B382" i="5" s="1" a="1"/>
  <c r="B382" i="5" s="1"/>
  <c r="F608" i="5"/>
  <c r="G608" i="5"/>
  <c r="K608" i="5"/>
  <c r="M608" i="5"/>
  <c r="H608" i="5"/>
  <c r="I608" i="5"/>
  <c r="E608" i="5"/>
  <c r="O608" i="5"/>
  <c r="J608" i="5"/>
  <c r="N608" i="5"/>
  <c r="D608" i="5"/>
  <c r="L608" i="5"/>
  <c r="S233" i="5"/>
  <c r="Q233" i="5"/>
  <c r="B387" i="5" s="1" a="1"/>
  <c r="B387" i="5" s="1"/>
  <c r="R233" i="5"/>
  <c r="T233" i="5"/>
  <c r="P233" i="5"/>
  <c r="B386" i="5" s="1" a="1"/>
  <c r="B386" i="5" s="1"/>
  <c r="S356" i="5"/>
  <c r="T356" i="5"/>
  <c r="Q356" i="5"/>
  <c r="R356" i="5"/>
  <c r="P356" i="5"/>
  <c r="M382" i="5"/>
  <c r="D382" i="5"/>
  <c r="K382" i="5"/>
  <c r="N382" i="5"/>
  <c r="F382" i="5"/>
  <c r="E382" i="5"/>
  <c r="I382" i="5"/>
  <c r="J382" i="5"/>
  <c r="G382" i="5"/>
  <c r="L382" i="5"/>
  <c r="O382" i="5"/>
  <c r="H382" i="5"/>
  <c r="T345" i="5"/>
  <c r="Q345" i="5"/>
  <c r="R345" i="5"/>
  <c r="S345" i="5"/>
  <c r="P345" i="5"/>
  <c r="B503" i="5" s="1" a="1"/>
  <c r="B503" i="5" s="1"/>
  <c r="S362" i="5"/>
  <c r="R362" i="5"/>
  <c r="P362" i="5"/>
  <c r="B508" i="5" s="1" a="1"/>
  <c r="B508" i="5" s="1"/>
  <c r="Q362" i="5"/>
  <c r="T362" i="5"/>
  <c r="M585" i="5"/>
  <c r="L585" i="5"/>
  <c r="G585" i="5"/>
  <c r="I585" i="5"/>
  <c r="H585" i="5"/>
  <c r="K585" i="5"/>
  <c r="F585" i="5"/>
  <c r="E585" i="5"/>
  <c r="C684" i="5" s="1" a="1"/>
  <c r="C684" i="5" s="1"/>
  <c r="N585" i="5"/>
  <c r="O585" i="5"/>
  <c r="J585" i="5"/>
  <c r="D585" i="5"/>
  <c r="C683" i="5" s="1" a="1"/>
  <c r="C683" i="5" s="1"/>
  <c r="S490" i="5"/>
  <c r="P490" i="5"/>
  <c r="Q490" i="5"/>
  <c r="T490" i="5"/>
  <c r="R490" i="5"/>
  <c r="D506" i="5"/>
  <c r="H506" i="5"/>
  <c r="L506" i="5"/>
  <c r="E506" i="5"/>
  <c r="G506" i="5"/>
  <c r="K506" i="5"/>
  <c r="I506" i="5"/>
  <c r="O506" i="5"/>
  <c r="M506" i="5"/>
  <c r="J506" i="5"/>
  <c r="F506" i="5"/>
  <c r="N506" i="5"/>
  <c r="G503" i="5"/>
  <c r="N503" i="5"/>
  <c r="J503" i="5"/>
  <c r="H503" i="5"/>
  <c r="O503" i="5"/>
  <c r="M503" i="5"/>
  <c r="L503" i="5"/>
  <c r="I503" i="5"/>
  <c r="D503" i="5"/>
  <c r="K503" i="5"/>
  <c r="E503" i="5"/>
  <c r="F503" i="5"/>
  <c r="T562" i="5"/>
  <c r="S562" i="5"/>
  <c r="Q562" i="5"/>
  <c r="P562" i="5"/>
  <c r="R562" i="5"/>
  <c r="T475" i="5"/>
  <c r="P475" i="5"/>
  <c r="B578" i="5" s="1" a="1"/>
  <c r="B578" i="5" s="1"/>
  <c r="R475" i="5"/>
  <c r="Q475" i="5"/>
  <c r="S475" i="5"/>
  <c r="N509" i="5"/>
  <c r="I509" i="5"/>
  <c r="J509" i="5"/>
  <c r="F509" i="5"/>
  <c r="M509" i="5"/>
  <c r="H509" i="5"/>
  <c r="K509" i="5"/>
  <c r="E509" i="5"/>
  <c r="D509" i="5"/>
  <c r="O509" i="5"/>
  <c r="G509" i="5"/>
  <c r="L509" i="5"/>
  <c r="P560" i="5"/>
  <c r="T560" i="5"/>
  <c r="R560" i="5"/>
  <c r="S560" i="5"/>
  <c r="Q560" i="5"/>
  <c r="S343" i="5"/>
  <c r="Q343" i="5"/>
  <c r="B502" i="5" s="1" a="1"/>
  <c r="B502" i="5" s="1"/>
  <c r="T343" i="5"/>
  <c r="R343" i="5"/>
  <c r="P343" i="5"/>
  <c r="B501" i="5" s="1" a="1"/>
  <c r="B501" i="5" s="1"/>
  <c r="N237" i="5"/>
  <c r="H237" i="5"/>
  <c r="F237" i="5"/>
  <c r="K237" i="5"/>
  <c r="O237" i="5"/>
  <c r="G237" i="5"/>
  <c r="J237" i="5"/>
  <c r="L237" i="5"/>
  <c r="I237" i="5"/>
  <c r="D237" i="5"/>
  <c r="C391" i="5" s="1" a="1"/>
  <c r="C391" i="5" s="1"/>
  <c r="M237" i="5"/>
  <c r="E237" i="5"/>
  <c r="P476" i="5"/>
  <c r="Q476" i="5"/>
  <c r="T476" i="5"/>
  <c r="R476" i="5"/>
  <c r="S476" i="5"/>
  <c r="T491" i="5"/>
  <c r="P491" i="5"/>
  <c r="B582" i="5" s="1" a="1"/>
  <c r="B582" i="5" s="1"/>
  <c r="S491" i="5"/>
  <c r="Q491" i="5"/>
  <c r="R491" i="5"/>
  <c r="N377" i="5"/>
  <c r="J377" i="5"/>
  <c r="I377" i="5"/>
  <c r="H377" i="5"/>
  <c r="M377" i="5"/>
  <c r="K377" i="5"/>
  <c r="O377" i="5"/>
  <c r="G377" i="5"/>
  <c r="E377" i="5"/>
  <c r="L377" i="5"/>
  <c r="D377" i="5"/>
  <c r="F377" i="5"/>
  <c r="N502" i="5"/>
  <c r="L502" i="5"/>
  <c r="G502" i="5"/>
  <c r="H502" i="5"/>
  <c r="O502" i="5"/>
  <c r="I502" i="5"/>
  <c r="M502" i="5"/>
  <c r="D502" i="5"/>
  <c r="F502" i="5"/>
  <c r="J502" i="5"/>
  <c r="K502" i="5"/>
  <c r="E502" i="5"/>
  <c r="J510" i="5"/>
  <c r="G510" i="5"/>
  <c r="E510" i="5"/>
  <c r="C534" i="5" s="1" a="1"/>
  <c r="C534" i="5" s="1"/>
  <c r="I510" i="5"/>
  <c r="H510" i="5"/>
  <c r="O510" i="5"/>
  <c r="N510" i="5"/>
  <c r="M510" i="5"/>
  <c r="D510" i="5"/>
  <c r="K510" i="5"/>
  <c r="L510" i="5"/>
  <c r="F510" i="5"/>
  <c r="R554" i="5"/>
  <c r="T554" i="5"/>
  <c r="Q554" i="5"/>
  <c r="P554" i="5"/>
  <c r="B563" i="5" s="1" a="1"/>
  <c r="B563" i="5" s="1"/>
  <c r="S554" i="5"/>
  <c r="Q227" i="5"/>
  <c r="T227" i="5"/>
  <c r="S227" i="5"/>
  <c r="P227" i="5"/>
  <c r="R227" i="5"/>
  <c r="R608" i="5" l="1"/>
  <c r="S608" i="5"/>
  <c r="P608" i="5"/>
  <c r="Q608" i="5"/>
  <c r="T608" i="5"/>
  <c r="Q378" i="5"/>
  <c r="T378" i="5"/>
  <c r="R378" i="5"/>
  <c r="S378" i="5"/>
  <c r="P378" i="5"/>
  <c r="J534" i="5"/>
  <c r="I534" i="5"/>
  <c r="L534" i="5"/>
  <c r="D534" i="5"/>
  <c r="C592" i="5" s="1" a="1"/>
  <c r="C592" i="5" s="1"/>
  <c r="F534" i="5"/>
  <c r="O534" i="5"/>
  <c r="M534" i="5"/>
  <c r="G534" i="5"/>
  <c r="E534" i="5"/>
  <c r="C593" i="5" s="1" a="1"/>
  <c r="C593" i="5" s="1"/>
  <c r="K534" i="5"/>
  <c r="N534" i="5"/>
  <c r="H534" i="5"/>
  <c r="T568" i="5"/>
  <c r="Q568" i="5"/>
  <c r="S568" i="5"/>
  <c r="P568" i="5"/>
  <c r="R568" i="5"/>
  <c r="D517" i="5"/>
  <c r="N517" i="5"/>
  <c r="E517" i="5"/>
  <c r="K517" i="5"/>
  <c r="I517" i="5"/>
  <c r="G517" i="5"/>
  <c r="M517" i="5"/>
  <c r="H517" i="5"/>
  <c r="J517" i="5"/>
  <c r="O517" i="5"/>
  <c r="F517" i="5"/>
  <c r="L517" i="5"/>
  <c r="S383" i="5"/>
  <c r="Q383" i="5"/>
  <c r="B522" i="5" s="1" a="1"/>
  <c r="B522" i="5" s="1"/>
  <c r="T383" i="5"/>
  <c r="R383" i="5"/>
  <c r="P383" i="5"/>
  <c r="B521" i="5" s="1" a="1"/>
  <c r="B521" i="5" s="1"/>
  <c r="P238" i="5"/>
  <c r="R238" i="5"/>
  <c r="Q238" i="5"/>
  <c r="T238" i="5"/>
  <c r="S238" i="5"/>
  <c r="R506" i="5"/>
  <c r="Q506" i="5"/>
  <c r="T506" i="5"/>
  <c r="S506" i="5"/>
  <c r="P506" i="5"/>
  <c r="G609" i="5"/>
  <c r="O609" i="5"/>
  <c r="D609" i="5"/>
  <c r="K609" i="5"/>
  <c r="L609" i="5"/>
  <c r="E609" i="5"/>
  <c r="I609" i="5"/>
  <c r="J609" i="5"/>
  <c r="F609" i="5"/>
  <c r="H609" i="5"/>
  <c r="M609" i="5"/>
  <c r="N609" i="5"/>
  <c r="Q387" i="5"/>
  <c r="R387" i="5"/>
  <c r="P387" i="5"/>
  <c r="T387" i="5"/>
  <c r="S387" i="5"/>
  <c r="P384" i="5"/>
  <c r="R384" i="5"/>
  <c r="S384" i="5"/>
  <c r="T384" i="5"/>
  <c r="Q384" i="5"/>
  <c r="O589" i="5"/>
  <c r="N589" i="5"/>
  <c r="E589" i="5"/>
  <c r="K589" i="5"/>
  <c r="G589" i="5"/>
  <c r="H589" i="5"/>
  <c r="F589" i="5"/>
  <c r="L589" i="5"/>
  <c r="I589" i="5"/>
  <c r="M589" i="5"/>
  <c r="J589" i="5"/>
  <c r="D589" i="5"/>
  <c r="C611" i="5" s="1" a="1"/>
  <c r="C611" i="5" s="1"/>
  <c r="J587" i="5"/>
  <c r="E587" i="5"/>
  <c r="C686" i="5" s="1" a="1"/>
  <c r="C686" i="5" s="1"/>
  <c r="K587" i="5"/>
  <c r="O587" i="5"/>
  <c r="G587" i="5"/>
  <c r="M587" i="5"/>
  <c r="F587" i="5"/>
  <c r="I587" i="5"/>
  <c r="N587" i="5"/>
  <c r="L587" i="5"/>
  <c r="H587" i="5"/>
  <c r="D587" i="5"/>
  <c r="C685" i="5" s="1" a="1"/>
  <c r="C685" i="5" s="1"/>
  <c r="T390" i="5"/>
  <c r="S390" i="5"/>
  <c r="P390" i="5"/>
  <c r="B523" i="5" s="1" a="1"/>
  <c r="B523" i="5" s="1"/>
  <c r="R390" i="5"/>
  <c r="Q390" i="5"/>
  <c r="O392" i="5"/>
  <c r="G392" i="5"/>
  <c r="E392" i="5"/>
  <c r="C527" i="5" s="1" a="1"/>
  <c r="C527" i="5" s="1"/>
  <c r="J392" i="5"/>
  <c r="I392" i="5"/>
  <c r="K392" i="5"/>
  <c r="F392" i="5"/>
  <c r="H392" i="5"/>
  <c r="M392" i="5"/>
  <c r="L392" i="5"/>
  <c r="D392" i="5"/>
  <c r="C526" i="5" s="1" a="1"/>
  <c r="C526" i="5" s="1"/>
  <c r="N392" i="5"/>
  <c r="P508" i="5"/>
  <c r="T508" i="5"/>
  <c r="Q508" i="5"/>
  <c r="R508" i="5"/>
  <c r="S508" i="5"/>
  <c r="I523" i="5"/>
  <c r="G523" i="5"/>
  <c r="M523" i="5"/>
  <c r="L523" i="5"/>
  <c r="K523" i="5"/>
  <c r="E523" i="5"/>
  <c r="N523" i="5"/>
  <c r="J523" i="5"/>
  <c r="D523" i="5"/>
  <c r="C591" i="5" s="1" a="1"/>
  <c r="C591" i="5" s="1"/>
  <c r="H523" i="5"/>
  <c r="O523" i="5"/>
  <c r="F523" i="5"/>
  <c r="E391" i="5"/>
  <c r="G391" i="5"/>
  <c r="L391" i="5"/>
  <c r="H391" i="5"/>
  <c r="F391" i="5"/>
  <c r="I391" i="5"/>
  <c r="M391" i="5"/>
  <c r="D391" i="5"/>
  <c r="C525" i="5" s="1" a="1"/>
  <c r="C525" i="5" s="1"/>
  <c r="N391" i="5"/>
  <c r="K391" i="5"/>
  <c r="J391" i="5"/>
  <c r="O391" i="5"/>
  <c r="T375" i="5"/>
  <c r="P375" i="5"/>
  <c r="B518" i="5" s="1" a="1"/>
  <c r="B518" i="5" s="1"/>
  <c r="S375" i="5"/>
  <c r="R375" i="5"/>
  <c r="Q375" i="5"/>
  <c r="P372" i="5"/>
  <c r="B384" i="5" s="1" a="1"/>
  <c r="B384" i="5" s="1"/>
  <c r="Q372" i="5"/>
  <c r="R372" i="5"/>
  <c r="T372" i="5"/>
  <c r="S372" i="5"/>
  <c r="P502" i="5"/>
  <c r="T502" i="5"/>
  <c r="R502" i="5"/>
  <c r="Q502" i="5"/>
  <c r="S502" i="5"/>
  <c r="R373" i="5"/>
  <c r="Q373" i="5"/>
  <c r="T373" i="5"/>
  <c r="S373" i="5"/>
  <c r="P373" i="5"/>
  <c r="B517" i="5" s="1" a="1"/>
  <c r="B517" i="5" s="1"/>
  <c r="L522" i="5"/>
  <c r="J522" i="5"/>
  <c r="M522" i="5"/>
  <c r="G522" i="5"/>
  <c r="N522" i="5"/>
  <c r="K522" i="5"/>
  <c r="E522" i="5"/>
  <c r="D522" i="5"/>
  <c r="I522" i="5"/>
  <c r="H522" i="5"/>
  <c r="F522" i="5"/>
  <c r="O522" i="5"/>
  <c r="M524" i="5"/>
  <c r="J524" i="5"/>
  <c r="D524" i="5"/>
  <c r="G524" i="5"/>
  <c r="O524" i="5"/>
  <c r="L524" i="5"/>
  <c r="F524" i="5"/>
  <c r="K524" i="5"/>
  <c r="H524" i="5"/>
  <c r="N524" i="5"/>
  <c r="I524" i="5"/>
  <c r="E524" i="5"/>
  <c r="Q380" i="5"/>
  <c r="T380" i="5"/>
  <c r="P380" i="5"/>
  <c r="S380" i="5"/>
  <c r="R380" i="5"/>
  <c r="T511" i="5"/>
  <c r="R511" i="5"/>
  <c r="P511" i="5"/>
  <c r="S511" i="5"/>
  <c r="Q511" i="5"/>
  <c r="Q388" i="5"/>
  <c r="R388" i="5"/>
  <c r="S388" i="5"/>
  <c r="T388" i="5"/>
  <c r="P388" i="5"/>
  <c r="E518" i="5"/>
  <c r="M518" i="5"/>
  <c r="H518" i="5"/>
  <c r="L518" i="5"/>
  <c r="D518" i="5"/>
  <c r="I518" i="5"/>
  <c r="F518" i="5"/>
  <c r="J518" i="5"/>
  <c r="G518" i="5"/>
  <c r="K518" i="5"/>
  <c r="O518" i="5"/>
  <c r="N518" i="5"/>
  <c r="M515" i="5"/>
  <c r="F515" i="5"/>
  <c r="I515" i="5"/>
  <c r="H515" i="5"/>
  <c r="N515" i="5"/>
  <c r="E515" i="5"/>
  <c r="G515" i="5"/>
  <c r="K515" i="5"/>
  <c r="O515" i="5"/>
  <c r="J515" i="5"/>
  <c r="D515" i="5"/>
  <c r="C590" i="5" s="1" a="1"/>
  <c r="C590" i="5" s="1"/>
  <c r="L515" i="5"/>
  <c r="K516" i="5"/>
  <c r="L516" i="5"/>
  <c r="O516" i="5"/>
  <c r="F516" i="5"/>
  <c r="J516" i="5"/>
  <c r="M516" i="5"/>
  <c r="N516" i="5"/>
  <c r="H516" i="5"/>
  <c r="G516" i="5"/>
  <c r="I516" i="5"/>
  <c r="D516" i="5"/>
  <c r="E516" i="5"/>
  <c r="T385" i="5"/>
  <c r="Q385" i="5"/>
  <c r="R385" i="5"/>
  <c r="S385" i="5"/>
  <c r="P385" i="5"/>
  <c r="P581" i="5"/>
  <c r="R581" i="5"/>
  <c r="T581" i="5"/>
  <c r="Q581" i="5"/>
  <c r="S581" i="5"/>
  <c r="P376" i="5"/>
  <c r="B519" i="5" s="1" a="1"/>
  <c r="B519" i="5" s="1"/>
  <c r="B524" i="5" s="1" a="1"/>
  <c r="B524" i="5" s="1"/>
  <c r="Q376" i="5"/>
  <c r="B520" i="5" s="1" a="1"/>
  <c r="B520" i="5" s="1"/>
  <c r="T376" i="5"/>
  <c r="S376" i="5"/>
  <c r="R376" i="5"/>
  <c r="Q237" i="5"/>
  <c r="S237" i="5"/>
  <c r="P237" i="5"/>
  <c r="B391" i="5" s="1" a="1"/>
  <c r="B391" i="5" s="1"/>
  <c r="T237" i="5"/>
  <c r="R237" i="5"/>
  <c r="P370" i="5"/>
  <c r="B515" i="5" s="1" a="1"/>
  <c r="B515" i="5" s="1"/>
  <c r="R370" i="5"/>
  <c r="T370" i="5"/>
  <c r="S370" i="5"/>
  <c r="Q370" i="5"/>
  <c r="B516" i="5" s="1" a="1"/>
  <c r="B516" i="5" s="1"/>
  <c r="S575" i="5"/>
  <c r="R575" i="5"/>
  <c r="Q575" i="5"/>
  <c r="P575" i="5"/>
  <c r="B609" i="5" s="1" a="1"/>
  <c r="B609" i="5" s="1"/>
  <c r="T575" i="5"/>
  <c r="N684" i="5"/>
  <c r="E684" i="5"/>
  <c r="K684" i="5"/>
  <c r="L684" i="5"/>
  <c r="F684" i="5"/>
  <c r="M684" i="5"/>
  <c r="O684" i="5"/>
  <c r="G684" i="5"/>
  <c r="J684" i="5"/>
  <c r="I684" i="5"/>
  <c r="H684" i="5"/>
  <c r="D684" i="5"/>
  <c r="R381" i="5"/>
  <c r="T381" i="5"/>
  <c r="Q381" i="5"/>
  <c r="P381" i="5"/>
  <c r="S381" i="5"/>
  <c r="Q377" i="5"/>
  <c r="R377" i="5"/>
  <c r="T377" i="5"/>
  <c r="P377" i="5"/>
  <c r="S377" i="5"/>
  <c r="Q513" i="5"/>
  <c r="T513" i="5"/>
  <c r="P513" i="5"/>
  <c r="B589" i="5" s="1" a="1"/>
  <c r="B589" i="5" s="1"/>
  <c r="S513" i="5"/>
  <c r="R513" i="5"/>
  <c r="D683" i="5"/>
  <c r="G683" i="5"/>
  <c r="M683" i="5"/>
  <c r="O683" i="5"/>
  <c r="N683" i="5"/>
  <c r="F683" i="5"/>
  <c r="I683" i="5"/>
  <c r="K683" i="5"/>
  <c r="J683" i="5"/>
  <c r="L683" i="5"/>
  <c r="H683" i="5"/>
  <c r="E683" i="5"/>
  <c r="P374" i="5"/>
  <c r="Q374" i="5"/>
  <c r="R374" i="5"/>
  <c r="T374" i="5"/>
  <c r="S374" i="5"/>
  <c r="P379" i="5"/>
  <c r="B381" i="5" s="1" a="1"/>
  <c r="B381" i="5" s="1"/>
  <c r="S379" i="5"/>
  <c r="T379" i="5"/>
  <c r="Q379" i="5"/>
  <c r="R379" i="5"/>
  <c r="T499" i="5"/>
  <c r="P499" i="5"/>
  <c r="Q499" i="5"/>
  <c r="R499" i="5"/>
  <c r="S499" i="5"/>
  <c r="L520" i="5"/>
  <c r="G520" i="5"/>
  <c r="E520" i="5"/>
  <c r="H520" i="5"/>
  <c r="I520" i="5"/>
  <c r="J520" i="5"/>
  <c r="K520" i="5"/>
  <c r="N520" i="5"/>
  <c r="F520" i="5"/>
  <c r="D520" i="5"/>
  <c r="M520" i="5"/>
  <c r="O520" i="5"/>
  <c r="Q501" i="5"/>
  <c r="P501" i="5"/>
  <c r="S501" i="5"/>
  <c r="T501" i="5"/>
  <c r="R501" i="5"/>
  <c r="N588" i="5"/>
  <c r="J588" i="5"/>
  <c r="G588" i="5"/>
  <c r="F588" i="5"/>
  <c r="K588" i="5"/>
  <c r="L588" i="5"/>
  <c r="E588" i="5"/>
  <c r="O588" i="5"/>
  <c r="M588" i="5"/>
  <c r="D588" i="5"/>
  <c r="H588" i="5"/>
  <c r="I588" i="5"/>
  <c r="R585" i="5"/>
  <c r="P585" i="5"/>
  <c r="S585" i="5"/>
  <c r="Q585" i="5"/>
  <c r="B684" i="5" s="1" a="1"/>
  <c r="B684" i="5" s="1"/>
  <c r="T585" i="5"/>
  <c r="S386" i="5"/>
  <c r="R386" i="5"/>
  <c r="Q386" i="5"/>
  <c r="T386" i="5"/>
  <c r="P386" i="5"/>
  <c r="S507" i="5"/>
  <c r="T507" i="5"/>
  <c r="P507" i="5"/>
  <c r="R507" i="5"/>
  <c r="Q507" i="5"/>
  <c r="S512" i="5"/>
  <c r="P512" i="5"/>
  <c r="B588" i="5" s="1" a="1"/>
  <c r="B588" i="5" s="1"/>
  <c r="R512" i="5"/>
  <c r="Q512" i="5"/>
  <c r="T512" i="5"/>
  <c r="S578" i="5"/>
  <c r="Q578" i="5"/>
  <c r="T578" i="5"/>
  <c r="P578" i="5"/>
  <c r="B587" i="5" s="1" a="1"/>
  <c r="B587" i="5" s="1"/>
  <c r="R578" i="5"/>
  <c r="Q503" i="5"/>
  <c r="T503" i="5"/>
  <c r="R503" i="5"/>
  <c r="P503" i="5"/>
  <c r="S503" i="5"/>
  <c r="T389" i="5"/>
  <c r="R389" i="5"/>
  <c r="S389" i="5"/>
  <c r="Q389" i="5"/>
  <c r="P389" i="5"/>
  <c r="E393" i="5"/>
  <c r="L393" i="5"/>
  <c r="H393" i="5"/>
  <c r="O393" i="5"/>
  <c r="F393" i="5"/>
  <c r="M393" i="5"/>
  <c r="N393" i="5"/>
  <c r="K393" i="5"/>
  <c r="J393" i="5"/>
  <c r="I393" i="5"/>
  <c r="D393" i="5"/>
  <c r="G393" i="5"/>
  <c r="R582" i="5"/>
  <c r="P582" i="5"/>
  <c r="S582" i="5"/>
  <c r="Q582" i="5"/>
  <c r="T582" i="5"/>
  <c r="R382" i="5"/>
  <c r="S382" i="5"/>
  <c r="P382" i="5"/>
  <c r="Q382" i="5"/>
  <c r="T382" i="5"/>
  <c r="R510" i="5"/>
  <c r="P510" i="5"/>
  <c r="S510" i="5"/>
  <c r="T510" i="5"/>
  <c r="Q510" i="5"/>
  <c r="B534" i="5" s="1" a="1"/>
  <c r="B534" i="5" s="1"/>
  <c r="S509" i="5"/>
  <c r="Q509" i="5"/>
  <c r="T509" i="5"/>
  <c r="P509" i="5"/>
  <c r="R509" i="5"/>
  <c r="P371" i="5"/>
  <c r="Q371" i="5"/>
  <c r="S371" i="5"/>
  <c r="T371" i="5"/>
  <c r="R371" i="5"/>
  <c r="R588" i="5" l="1"/>
  <c r="S588" i="5"/>
  <c r="T588" i="5"/>
  <c r="P588" i="5"/>
  <c r="Q588" i="5"/>
  <c r="T587" i="5"/>
  <c r="S587" i="5"/>
  <c r="P587" i="5"/>
  <c r="B685" i="5" s="1" a="1"/>
  <c r="B685" i="5" s="1"/>
  <c r="Q587" i="5"/>
  <c r="B686" i="5" s="1" a="1"/>
  <c r="B686" i="5" s="1"/>
  <c r="R587" i="5"/>
  <c r="E686" i="5"/>
  <c r="M686" i="5"/>
  <c r="J686" i="5"/>
  <c r="F686" i="5"/>
  <c r="O686" i="5"/>
  <c r="H686" i="5"/>
  <c r="L686" i="5"/>
  <c r="I686" i="5"/>
  <c r="D686" i="5"/>
  <c r="G686" i="5"/>
  <c r="N686" i="5"/>
  <c r="K686" i="5"/>
  <c r="Q518" i="5"/>
  <c r="T518" i="5"/>
  <c r="R518" i="5"/>
  <c r="P518" i="5"/>
  <c r="S518" i="5"/>
  <c r="N611" i="5"/>
  <c r="K611" i="5"/>
  <c r="F611" i="5"/>
  <c r="H611" i="5"/>
  <c r="G611" i="5"/>
  <c r="M611" i="5"/>
  <c r="J611" i="5"/>
  <c r="D611" i="5"/>
  <c r="L611" i="5"/>
  <c r="I611" i="5"/>
  <c r="O611" i="5"/>
  <c r="E611" i="5"/>
  <c r="Q609" i="5"/>
  <c r="S609" i="5"/>
  <c r="P609" i="5"/>
  <c r="R609" i="5"/>
  <c r="T609" i="5"/>
  <c r="P524" i="5"/>
  <c r="S524" i="5"/>
  <c r="R524" i="5"/>
  <c r="Q524" i="5"/>
  <c r="T524" i="5"/>
  <c r="T684" i="5"/>
  <c r="R684" i="5"/>
  <c r="P684" i="5"/>
  <c r="S684" i="5"/>
  <c r="Q684" i="5"/>
  <c r="H526" i="5"/>
  <c r="J526" i="5"/>
  <c r="G526" i="5"/>
  <c r="K526" i="5"/>
  <c r="I526" i="5"/>
  <c r="E526" i="5"/>
  <c r="M526" i="5"/>
  <c r="D526" i="5"/>
  <c r="N526" i="5"/>
  <c r="F526" i="5"/>
  <c r="L526" i="5"/>
  <c r="O526" i="5"/>
  <c r="I593" i="5"/>
  <c r="O593" i="5"/>
  <c r="F593" i="5"/>
  <c r="E593" i="5"/>
  <c r="H593" i="5"/>
  <c r="K593" i="5"/>
  <c r="G593" i="5"/>
  <c r="N593" i="5"/>
  <c r="J593" i="5"/>
  <c r="L593" i="5"/>
  <c r="M593" i="5"/>
  <c r="D593" i="5"/>
  <c r="Q522" i="5"/>
  <c r="S522" i="5"/>
  <c r="R522" i="5"/>
  <c r="T522" i="5"/>
  <c r="P522" i="5"/>
  <c r="B528" i="5" s="1" a="1"/>
  <c r="B528" i="5" s="1"/>
  <c r="T391" i="5"/>
  <c r="P391" i="5"/>
  <c r="B525" i="5" s="1" a="1"/>
  <c r="B525" i="5" s="1"/>
  <c r="S391" i="5"/>
  <c r="Q391" i="5"/>
  <c r="R391" i="5"/>
  <c r="P520" i="5"/>
  <c r="Q520" i="5"/>
  <c r="R520" i="5"/>
  <c r="T520" i="5"/>
  <c r="S520" i="5"/>
  <c r="T534" i="5"/>
  <c r="P534" i="5"/>
  <c r="B592" i="5" s="1" a="1"/>
  <c r="B592" i="5" s="1"/>
  <c r="S534" i="5"/>
  <c r="R534" i="5"/>
  <c r="Q534" i="5"/>
  <c r="B593" i="5" s="1" a="1"/>
  <c r="B593" i="5" s="1"/>
  <c r="P683" i="5"/>
  <c r="Q683" i="5"/>
  <c r="R683" i="5"/>
  <c r="S683" i="5"/>
  <c r="T683" i="5"/>
  <c r="O525" i="5"/>
  <c r="J525" i="5"/>
  <c r="M525" i="5"/>
  <c r="L525" i="5"/>
  <c r="K525" i="5"/>
  <c r="H525" i="5"/>
  <c r="E525" i="5"/>
  <c r="F525" i="5"/>
  <c r="D525" i="5"/>
  <c r="G525" i="5"/>
  <c r="N525" i="5"/>
  <c r="I525" i="5"/>
  <c r="E592" i="5"/>
  <c r="K592" i="5"/>
  <c r="H592" i="5"/>
  <c r="F592" i="5"/>
  <c r="O592" i="5"/>
  <c r="D592" i="5"/>
  <c r="J592" i="5"/>
  <c r="I592" i="5"/>
  <c r="L592" i="5"/>
  <c r="G592" i="5"/>
  <c r="N592" i="5"/>
  <c r="M592" i="5"/>
  <c r="R589" i="5"/>
  <c r="S589" i="5"/>
  <c r="T589" i="5"/>
  <c r="Q589" i="5"/>
  <c r="P589" i="5"/>
  <c r="B611" i="5" s="1" a="1"/>
  <c r="B611" i="5" s="1"/>
  <c r="D527" i="5"/>
  <c r="N527" i="5"/>
  <c r="G527" i="5"/>
  <c r="H527" i="5"/>
  <c r="J527" i="5"/>
  <c r="M527" i="5"/>
  <c r="L527" i="5"/>
  <c r="K527" i="5"/>
  <c r="O527" i="5"/>
  <c r="I527" i="5"/>
  <c r="F527" i="5"/>
  <c r="E527" i="5"/>
  <c r="R392" i="5"/>
  <c r="T392" i="5"/>
  <c r="P392" i="5"/>
  <c r="Q392" i="5"/>
  <c r="S392" i="5"/>
  <c r="P393" i="5"/>
  <c r="T393" i="5"/>
  <c r="Q393" i="5"/>
  <c r="S393" i="5"/>
  <c r="R393" i="5"/>
  <c r="R516" i="5"/>
  <c r="S516" i="5"/>
  <c r="Q516" i="5"/>
  <c r="T516" i="5"/>
  <c r="P516" i="5"/>
  <c r="R523" i="5"/>
  <c r="T523" i="5"/>
  <c r="Q523" i="5"/>
  <c r="S523" i="5"/>
  <c r="P523" i="5"/>
  <c r="B591" i="5" s="1" a="1"/>
  <c r="B591" i="5" s="1"/>
  <c r="S517" i="5"/>
  <c r="P517" i="5"/>
  <c r="R517" i="5"/>
  <c r="T517" i="5"/>
  <c r="Q517" i="5"/>
  <c r="J590" i="5"/>
  <c r="D590" i="5"/>
  <c r="F590" i="5"/>
  <c r="L590" i="5"/>
  <c r="E590" i="5"/>
  <c r="O590" i="5"/>
  <c r="K590" i="5"/>
  <c r="M590" i="5"/>
  <c r="H590" i="5"/>
  <c r="N590" i="5"/>
  <c r="G590" i="5"/>
  <c r="I590" i="5"/>
  <c r="E685" i="5"/>
  <c r="G685" i="5"/>
  <c r="H685" i="5"/>
  <c r="D685" i="5"/>
  <c r="L685" i="5"/>
  <c r="J685" i="5"/>
  <c r="F685" i="5"/>
  <c r="O685" i="5"/>
  <c r="I685" i="5"/>
  <c r="N685" i="5"/>
  <c r="K685" i="5"/>
  <c r="M685" i="5"/>
  <c r="N591" i="5"/>
  <c r="G591" i="5"/>
  <c r="M591" i="5"/>
  <c r="I591" i="5"/>
  <c r="E591" i="5"/>
  <c r="C688" i="5" s="1" a="1"/>
  <c r="C688" i="5" s="1"/>
  <c r="H591" i="5"/>
  <c r="J591" i="5"/>
  <c r="F591" i="5"/>
  <c r="K591" i="5"/>
  <c r="L591" i="5"/>
  <c r="O591" i="5"/>
  <c r="D591" i="5"/>
  <c r="C687" i="5" s="1" a="1"/>
  <c r="C687" i="5" s="1"/>
  <c r="T515" i="5"/>
  <c r="S515" i="5"/>
  <c r="Q515" i="5"/>
  <c r="R515" i="5"/>
  <c r="P515" i="5"/>
  <c r="B590" i="5" s="1" a="1"/>
  <c r="B590" i="5" s="1"/>
  <c r="G3" i="1"/>
  <c r="O687" i="5" l="1"/>
  <c r="L687" i="5"/>
  <c r="I687" i="5"/>
  <c r="H687" i="5"/>
  <c r="N687" i="5"/>
  <c r="F687" i="5"/>
  <c r="K687" i="5"/>
  <c r="M687" i="5"/>
  <c r="D687" i="5"/>
  <c r="E687" i="5"/>
  <c r="G687" i="5"/>
  <c r="J687" i="5"/>
  <c r="P592" i="5"/>
  <c r="R592" i="5"/>
  <c r="Q592" i="5"/>
  <c r="S592" i="5"/>
  <c r="T592" i="5"/>
  <c r="R686" i="5"/>
  <c r="T686" i="5"/>
  <c r="Q686" i="5"/>
  <c r="P686" i="5"/>
  <c r="S686" i="5"/>
  <c r="S591" i="5"/>
  <c r="R591" i="5"/>
  <c r="P591" i="5"/>
  <c r="B687" i="5" s="1" a="1"/>
  <c r="B687" i="5" s="1"/>
  <c r="T591" i="5"/>
  <c r="Q591" i="5"/>
  <c r="B688" i="5" s="1" a="1"/>
  <c r="B688" i="5" s="1"/>
  <c r="F688" i="5"/>
  <c r="I688" i="5"/>
  <c r="H688" i="5"/>
  <c r="E688" i="5"/>
  <c r="G688" i="5"/>
  <c r="J688" i="5"/>
  <c r="D688" i="5"/>
  <c r="K688" i="5"/>
  <c r="N688" i="5"/>
  <c r="O688" i="5"/>
  <c r="L688" i="5"/>
  <c r="M688" i="5"/>
  <c r="T527" i="5"/>
  <c r="Q527" i="5"/>
  <c r="S527" i="5"/>
  <c r="R527" i="5"/>
  <c r="P527" i="5"/>
  <c r="B43" i="8"/>
  <c r="C43" i="8" s="1"/>
  <c r="Q611" i="5"/>
  <c r="T611" i="5"/>
  <c r="R611" i="5"/>
  <c r="P611" i="5"/>
  <c r="S611" i="5"/>
  <c r="R525" i="5"/>
  <c r="T525" i="5"/>
  <c r="Q525" i="5"/>
  <c r="S525" i="5"/>
  <c r="P525" i="5"/>
  <c r="T593" i="5"/>
  <c r="S593" i="5"/>
  <c r="Q593" i="5"/>
  <c r="P593" i="5"/>
  <c r="R593" i="5"/>
  <c r="B39" i="8"/>
  <c r="C39" i="8" s="1"/>
  <c r="T590" i="5"/>
  <c r="R590" i="5"/>
  <c r="Q590" i="5"/>
  <c r="S590" i="5"/>
  <c r="P590" i="5"/>
  <c r="Q526" i="5"/>
  <c r="R526" i="5"/>
  <c r="T526" i="5"/>
  <c r="S526" i="5"/>
  <c r="P526" i="5"/>
  <c r="B30" i="8"/>
  <c r="C30" i="8" s="1"/>
  <c r="B27" i="8"/>
  <c r="C27" i="8" s="1"/>
  <c r="B62" i="8"/>
  <c r="C62" i="8" s="1"/>
  <c r="B58" i="8"/>
  <c r="C58" i="8" s="1"/>
  <c r="B38" i="8"/>
  <c r="C38" i="8" s="1"/>
  <c r="B22" i="8"/>
  <c r="C22" i="8" s="1"/>
  <c r="B5" i="8"/>
  <c r="C5" i="8" s="1"/>
  <c r="B20" i="8"/>
  <c r="C20" i="8" s="1"/>
  <c r="B69" i="8"/>
  <c r="C69" i="8" s="1"/>
  <c r="B84" i="8"/>
  <c r="C84" i="8" s="1"/>
  <c r="B80" i="8"/>
  <c r="C80" i="8" s="1"/>
  <c r="B49" i="8"/>
  <c r="C49" i="8" s="1"/>
  <c r="B75" i="8"/>
  <c r="C75" i="8" s="1"/>
  <c r="B42" i="8"/>
  <c r="C42" i="8" s="1"/>
  <c r="B17" i="8"/>
  <c r="C17" i="8" s="1"/>
  <c r="B72" i="8"/>
  <c r="C72" i="8" s="1"/>
  <c r="B76" i="8"/>
  <c r="C76" i="8" s="1"/>
  <c r="B18" i="8"/>
  <c r="C18" i="8" s="1"/>
  <c r="B46" i="8"/>
  <c r="C46" i="8" s="1"/>
  <c r="B15" i="8"/>
  <c r="C15" i="8" s="1"/>
  <c r="B56" i="8"/>
  <c r="C56" i="8" s="1"/>
  <c r="B79" i="8"/>
  <c r="C79" i="8" s="1"/>
  <c r="B47" i="8"/>
  <c r="C47" i="8" s="1"/>
  <c r="B45" i="8"/>
  <c r="C45" i="8" s="1"/>
  <c r="B13" i="8"/>
  <c r="C13" i="8" s="1"/>
  <c r="B44" i="8"/>
  <c r="C44" i="8" s="1"/>
  <c r="B65" i="8"/>
  <c r="C65" i="8" s="1"/>
  <c r="B70" i="8"/>
  <c r="C70" i="8" s="1"/>
  <c r="B52" i="8"/>
  <c r="C52" i="8" s="1"/>
  <c r="B7" i="8"/>
  <c r="C7" i="8" s="1"/>
  <c r="B48" i="8"/>
  <c r="C48" i="8" s="1"/>
  <c r="B2" i="8"/>
  <c r="C2" i="8" s="1"/>
  <c r="B40" i="8"/>
  <c r="C40" i="8" s="1"/>
  <c r="B35" i="8"/>
  <c r="C35" i="8" s="1"/>
  <c r="B19" i="8"/>
  <c r="C19" i="8" s="1"/>
  <c r="B74" i="8"/>
  <c r="C74" i="8" s="1"/>
  <c r="B64" i="8"/>
  <c r="C64" i="8" s="1"/>
  <c r="B25" i="8"/>
  <c r="C25" i="8" s="1"/>
  <c r="B33" i="8"/>
  <c r="C33" i="8" s="1"/>
  <c r="B4" i="8"/>
  <c r="C4" i="8" s="1"/>
  <c r="B26" i="8"/>
  <c r="C26" i="8" s="1"/>
  <c r="B12" i="8"/>
  <c r="C12" i="8" s="1"/>
  <c r="B77" i="8"/>
  <c r="C77" i="8" s="1"/>
  <c r="B14" i="8"/>
  <c r="C14" i="8" s="1"/>
  <c r="B29" i="8"/>
  <c r="C29" i="8" s="1"/>
  <c r="B55" i="8"/>
  <c r="C55" i="8" s="1"/>
  <c r="B66" i="8"/>
  <c r="C66" i="8" s="1"/>
  <c r="B28" i="8"/>
  <c r="C28" i="8" s="1"/>
  <c r="B34" i="8"/>
  <c r="C34" i="8" s="1"/>
  <c r="B10" i="8"/>
  <c r="C10" i="8" s="1"/>
  <c r="B86" i="8"/>
  <c r="C86" i="8" s="1"/>
  <c r="B54" i="8"/>
  <c r="C54" i="8" s="1"/>
  <c r="B85" i="8"/>
  <c r="C85" i="8" s="1"/>
  <c r="B83" i="8"/>
  <c r="C83" i="8" s="1"/>
  <c r="B21" i="8"/>
  <c r="C21" i="8" s="1"/>
  <c r="B41" i="8"/>
  <c r="C41" i="8" s="1"/>
  <c r="B37" i="8"/>
  <c r="C37" i="8" s="1"/>
  <c r="B68" i="8"/>
  <c r="C68" i="8" s="1"/>
  <c r="B78" i="8"/>
  <c r="C78" i="8" s="1"/>
  <c r="B87" i="8"/>
  <c r="C87" i="8" s="1"/>
  <c r="B32" i="8"/>
  <c r="C32" i="8" s="1"/>
  <c r="B81" i="8"/>
  <c r="C81" i="8" s="1"/>
  <c r="B51" i="8"/>
  <c r="C51" i="8" s="1"/>
  <c r="B24" i="8"/>
  <c r="C24" i="8" s="1"/>
  <c r="B59" i="8"/>
  <c r="C59" i="8" s="1"/>
  <c r="B16" i="8"/>
  <c r="C16" i="8" s="1"/>
  <c r="B63" i="8"/>
  <c r="C63" i="8" s="1"/>
  <c r="B53" i="8"/>
  <c r="C53" i="8" s="1"/>
  <c r="B8" i="8"/>
  <c r="C8" i="8" s="1"/>
  <c r="B67" i="8"/>
  <c r="C67" i="8" s="1"/>
  <c r="B60" i="8"/>
  <c r="C60" i="8" s="1"/>
  <c r="B61" i="8"/>
  <c r="C61" i="8" s="1"/>
  <c r="B73" i="8"/>
  <c r="C73" i="8" s="1"/>
  <c r="B36" i="8"/>
  <c r="C36" i="8" s="1"/>
  <c r="B6" i="8"/>
  <c r="C6" i="8" s="1"/>
  <c r="T685" i="5"/>
  <c r="R685" i="5"/>
  <c r="Q685" i="5"/>
  <c r="S685" i="5"/>
  <c r="P685" i="5"/>
  <c r="B71" i="8"/>
  <c r="C71" i="8" s="1"/>
  <c r="B23" i="8"/>
  <c r="C23" i="8" s="1"/>
  <c r="B31" i="8" l="1"/>
  <c r="C31" i="8" s="1"/>
  <c r="R688" i="5"/>
  <c r="Q688" i="5"/>
  <c r="S688" i="5"/>
  <c r="T688" i="5"/>
  <c r="P688" i="5"/>
  <c r="P687" i="5"/>
  <c r="T687" i="5"/>
  <c r="Q687" i="5"/>
  <c r="S687" i="5"/>
  <c r="R687" i="5"/>
  <c r="B82" i="8"/>
  <c r="C82" i="8" s="1"/>
  <c r="B11" i="8"/>
  <c r="C11" i="8" s="1"/>
  <c r="B9" i="8"/>
  <c r="C9" i="8" s="1"/>
  <c r="B3" i="8"/>
  <c r="C3" i="8" s="1"/>
  <c r="B50" i="8"/>
  <c r="C50" i="8" s="1"/>
  <c r="B57" i="8"/>
  <c r="C57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<sst xmlns="http://schemas.openxmlformats.org/spreadsheetml/2006/main" count="1188" uniqueCount="307">
  <si>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</si>
  <si>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</si>
  <si>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</si>
  <si>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</si>
  <si>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</si>
  <si>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部品名</t>
    <rPh sb="0" eb="3">
      <t>ブヒンメイ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</si>
  <si>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</si>
  <si>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</si>
  <si>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</si>
  <si>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</si>
  <si>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</si>
  <si>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生産数</t>
    <rPh sb="0" eb="2">
      <t>セイサン</t>
    </rPh>
    <rPh sb="2" eb="3">
      <t>スウ</t>
    </rPh>
    <phoneticPr fontId="1"/>
  </si>
  <si>
    <t>素材</t>
    <rPh sb="0" eb="2">
      <t>ソザイ</t>
    </rPh>
    <phoneticPr fontId="1"/>
  </si>
  <si>
    <t xml:space="preserve"> </t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</si>
  <si>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</si>
  <si>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</si>
  <si>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</si>
  <si>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</si>
  <si>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</si>
  <si>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</si>
  <si>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</si>
  <si>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</si>
  <si>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</si>
  <si>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</si>
  <si>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</si>
  <si>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</si>
  <si>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</si>
  <si>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</si>
  <si>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</si>
  <si>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</si>
  <si>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</si>
  <si>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</si>
  <si>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</si>
  <si>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</si>
  <si>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</si>
  <si>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</si>
  <si>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</si>
  <si>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</si>
  <si>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</si>
  <si>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</si>
  <si>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</si>
  <si>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</si>
  <si>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</si>
  <si>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</si>
  <si>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</si>
  <si>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</si>
  <si>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</si>
  <si>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</si>
  <si>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</si>
  <si>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</si>
  <si>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</si>
  <si>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</si>
  <si>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</si>
  <si>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</si>
  <si>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</si>
  <si>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</si>
  <si>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</si>
  <si>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</si>
  <si>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</si>
  <si>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</si>
  <si>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</si>
  <si>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</si>
  <si>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</si>
  <si>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</si>
  <si>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</si>
  <si>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</si>
  <si>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</si>
  <si>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</si>
  <si>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</si>
  <si>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</si>
  <si>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</si>
  <si>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</si>
  <si>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</si>
  <si>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</si>
  <si>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</si>
  <si>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</si>
  <si>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</si>
  <si>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</si>
  <si>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</si>
  <si>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</si>
  <si>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</si>
  <si>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</si>
  <si>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</si>
  <si>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</si>
  <si>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</si>
  <si>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</si>
  <si>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</si>
  <si>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</si>
  <si>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</si>
  <si>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</si>
  <si>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</si>
  <si>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</si>
  <si>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</si>
  <si>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</si>
  <si>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</si>
  <si>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</si>
  <si>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</si>
  <si>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</si>
  <si>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</si>
  <si>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</si>
  <si>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</si>
  <si>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</si>
  <si>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</si>
  <si>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</si>
  <si>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</si>
  <si>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</si>
  <si>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</si>
  <si>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</si>
  <si>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</si>
  <si>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</si>
  <si>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</si>
  <si>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</si>
  <si>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</si>
  <si>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</si>
  <si>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</si>
  <si>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</si>
  <si>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</si>
  <si>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</si>
  <si>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</si>
  <si>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</si>
  <si>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</si>
  <si>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</si>
  <si>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</si>
  <si>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</si>
  <si>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</si>
  <si>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プルトニウム燃料棒</t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</si>
  <si>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</si>
  <si>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</si>
  <si>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</si>
  <si>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</si>
  <si>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</si>
  <si>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</si>
  <si>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</si>
  <si>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</si>
  <si>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</si>
  <si>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</si>
  <si>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</si>
  <si>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</si>
  <si>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</si>
  <si>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</si>
  <si>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</si>
  <si>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</si>
  <si>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</si>
  <si>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</si>
  <si>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</si>
  <si>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</si>
  <si>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</si>
  <si>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</si>
  <si>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</si>
  <si>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</si>
  <si>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</si>
  <si>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</si>
  <si>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</si>
  <si>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</si>
  <si>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</si>
  <si>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</si>
  <si>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</si>
  <si>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</si>
  <si>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</si>
  <si>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</si>
  <si>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</si>
  <si>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</si>
  <si>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</si>
  <si>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</si>
  <si>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</si>
  <si>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</si>
  <si>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</si>
  <si>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</si>
  <si>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</si>
  <si>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</si>
  <si>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</si>
  <si>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</si>
  <si>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</si>
  <si>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</si>
  <si>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</si>
  <si>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</si>
  <si>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</si>
  <si>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</si>
  <si>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</si>
  <si>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</si>
  <si>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</si>
  <si>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</si>
  <si>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</si>
  <si>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</si>
  <si>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</si>
  <si>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</si>
  <si>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</si>
  <si>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</si>
  <si>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</si>
  <si>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</si>
  <si>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</si>
  <si>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</si>
  <si>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</si>
  <si>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</si>
  <si>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</si>
  <si>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</si>
  <si>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</si>
  <si>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</si>
  <si>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</si>
  <si>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</si>
  <si>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</si>
  <si>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</si>
  <si>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</si>
  <si>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</si>
  <si>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</si>
  <si>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</si>
  <si>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</si>
  <si>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</si>
  <si>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</si>
  <si>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</si>
  <si>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</si>
  <si>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</si>
  <si>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</si>
  <si>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</si>
  <si>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</si>
  <si>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</si>
  <si>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</si>
  <si>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</si>
  <si>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</si>
  <si>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</si>
  <si>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</si>
  <si>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</si>
  <si>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</si>
  <si>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</si>
  <si>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</si>
  <si>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</si>
  <si>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</si>
  <si>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</si>
  <si>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</si>
  <si>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</si>
  <si>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</si>
  <si>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</si>
  <si>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</si>
  <si>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</si>
  <si>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</si>
  <si>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</si>
  <si>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</si>
  <si>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</si>
  <si>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</si>
  <si>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</si>
  <si>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</si>
  <si>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</si>
  <si>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</si>
  <si>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</si>
  <si>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</si>
  <si>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</si>
  <si>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</si>
  <si>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</si>
  <si>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</si>
  <si>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</si>
  <si>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</si>
  <si>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</si>
  <si>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</si>
  <si>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</si>
  <si>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</si>
  <si>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</si>
  <si>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</si>
  <si>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</si>
  <si>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</si>
  <si>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</si>
  <si>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</si>
  <si>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</si>
  <si>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</si>
  <si>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</si>
  <si>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</si>
  <si>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</si>
  <si>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</si>
  <si>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</si>
  <si>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</si>
  <si>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</si>
  <si>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</si>
  <si>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</si>
  <si>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</si>
  <si>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</si>
  <si>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</si>
  <si>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</si>
  <si>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</si>
  <si>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</si>
  <si>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</si>
  <si>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</si>
  <si>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</si>
  <si>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</si>
  <si>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</si>
  <si>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</si>
  <si>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</si>
  <si>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</si>
  <si>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</si>
  <si>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</si>
  <si>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</si>
  <si>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</si>
  <si>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</si>
  <si>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</si>
  <si>
    <t>101</t>
    <phoneticPr fontId="1"/>
  </si>
  <si>
    <t>素材No.1</t>
    <rPh sb="0" eb="2">
      <t>ソザイ</t>
    </rPh>
    <phoneticPr fontId="1"/>
  </si>
  <si>
    <t>素材No.2</t>
    <rPh sb="0" eb="2">
      <t>ソザイ</t>
    </rPh>
    <phoneticPr fontId="1"/>
  </si>
  <si>
    <t>素材No.3</t>
    <rPh sb="0" eb="2">
      <t>ソザイ</t>
    </rPh>
    <phoneticPr fontId="1"/>
  </si>
  <si>
    <t>素材No.4</t>
    <phoneticPr fontId="1"/>
  </si>
  <si>
    <t>副産物No</t>
    <rPh sb="0" eb="3">
      <t>フクサンブツ</t>
    </rPh>
    <phoneticPr fontId="1"/>
  </si>
  <si>
    <t>数1</t>
    <rPh sb="0" eb="1">
      <t>カズ</t>
    </rPh>
    <phoneticPr fontId="1"/>
  </si>
  <si>
    <t>数2</t>
    <rPh sb="0" eb="1">
      <t>カズ</t>
    </rPh>
    <phoneticPr fontId="1"/>
  </si>
  <si>
    <t>数3</t>
    <rPh sb="0" eb="1">
      <t>カズ</t>
    </rPh>
    <phoneticPr fontId="1"/>
  </si>
  <si>
    <t>数4</t>
    <rPh sb="0" eb="1">
      <t>カズ</t>
    </rPh>
    <phoneticPr fontId="1"/>
  </si>
  <si>
    <t>品番</t>
    <rPh sb="0" eb="2">
      <t>ヒンバン</t>
    </rPh>
    <phoneticPr fontId="1"/>
  </si>
  <si>
    <t>品番</t>
    <rPh sb="0" eb="1">
      <t>ヒン</t>
    </rPh>
    <phoneticPr fontId="1"/>
  </si>
  <si>
    <t>必要資源名</t>
    <rPh sb="0" eb="2">
      <t>ヒツヨウ</t>
    </rPh>
    <rPh sb="2" eb="4">
      <t>シゲン</t>
    </rPh>
    <rPh sb="4" eb="5">
      <t>メイ</t>
    </rPh>
    <phoneticPr fontId="1"/>
  </si>
  <si>
    <t>必要素材名(非無限)</t>
    <rPh sb="0" eb="2">
      <t>ヒツヨウ</t>
    </rPh>
    <rPh sb="2" eb="4">
      <t>ソザイ</t>
    </rPh>
    <rPh sb="4" eb="5">
      <t>メイ</t>
    </rPh>
    <rPh sb="6" eb="7">
      <t>ヒ</t>
    </rPh>
    <rPh sb="7" eb="9">
      <t>ムゲン</t>
    </rPh>
    <phoneticPr fontId="1"/>
  </si>
  <si>
    <t>必要数</t>
    <rPh sb="0" eb="3">
      <t>ヒツヨウスウ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</si>
</sst>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/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17" xfId="0" applyNumberForma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7" xfId="0" quotePrefix="1" applyBorder="1" applyAlignment="1">
      <alignment horizontal="right"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7" xfId="0" applyBorder="1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176" fontId="0" fillId="0" borderId="41" xfId="0" applyNumberFormat="1" applyBorder="1">
      <alignment vertical="center"/>
    </xf>
    <xf numFmtId="176" fontId="0" fillId="0" borderId="42" xfId="0" applyNumberFormat="1" applyBorder="1">
      <alignment vertical="center"/>
    </xf>
    <xf numFmtId="176" fontId="0" fillId="0" borderId="4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5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0" xfId="0" applyBorder="1">
      <alignment vertical="center"/>
    </xf>
    <xf numFmtId="38" fontId="0" fillId="0" borderId="26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10" xfId="1" applyFont="1" applyBorder="1">
      <alignment vertical="center"/>
    </xf>
    <xf numFmtId="177" fontId="0" fillId="0" borderId="20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51" xfId="0" applyBorder="1" applyAlignment="1">
      <alignment horizontal="right" vertical="center"/>
    </xf>
    <xf numFmtId="0" fontId="0" fillId="0" borderId="52" xfId="0" applyBorder="1">
      <alignment vertical="center"/>
    </xf>
    <xf numFmtId="1" fontId="0" fillId="0" borderId="20" xfId="0" applyNumberFormat="1" applyBorder="1">
      <alignment vertical="center"/>
    </xf>
    <xf numFmtId="40" fontId="0" fillId="0" borderId="52" xfId="1" applyNumberFormat="1" applyFont="1" applyBorder="1">
      <alignment vertical="center"/>
    </xf>
    <xf numFmtId="40" fontId="0" fillId="0" borderId="20" xfId="1" applyNumberFormat="1" applyFont="1" applyBorder="1">
      <alignment vertical="center"/>
    </xf>
    <xf numFmtId="176" fontId="0" fillId="0" borderId="44" xfId="0" applyNumberFormat="1" applyBorder="1" applyAlignment="1">
      <alignment horizontal="center" vertical="center"/>
    </xf>
    <xf numFmtId="176" fontId="0" fillId="0" borderId="45" xfId="0" applyNumberFormat="1" applyBorder="1" applyAlignment="1">
      <alignment horizontal="center" vertical="center"/>
    </xf>
    <xf numFmtId="176" fontId="0" fillId="0" borderId="46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>
      <alignment vertical="center"/>
    </xf>
    <xf numFmtId="177" fontId="0" fillId="0" borderId="15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right" vertical="center"/>
    </xf>
    <xf numFmtId="0" fontId="0" fillId="0" borderId="53" xfId="0" applyBorder="1">
      <alignment vertical="center"/>
    </xf>
    <xf numFmtId="0" fontId="0" fillId="3" borderId="16" xfId="0" applyFill="1" applyBorder="1">
      <alignment vertical="center"/>
    </xf>
    <xf numFmtId="0" fontId="0" fillId="4" borderId="54" xfId="0" applyFill="1" applyBorder="1">
      <alignment vertical="center"/>
    </xf>
    <xf numFmtId="0" fontId="0" fillId="0" borderId="2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4" xfId="0" applyBorder="1">
      <alignment vertical="center"/>
    </xf>
    <xf numFmtId="0" fontId="0" fillId="0" borderId="32" xfId="0" applyFill="1" applyBorder="1">
      <alignment vertical="center"/>
    </xf>
    <xf numFmtId="0" fontId="0" fillId="0" borderId="55" xfId="0" applyBorder="1">
      <alignment vertical="center"/>
    </xf>
    <xf numFmtId="38" fontId="0" fillId="0" borderId="56" xfId="1" applyFont="1" applyBorder="1">
      <alignment vertical="center"/>
    </xf>
    <xf numFmtId="0" fontId="0" fillId="0" borderId="26" xfId="0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J16"/>
  <sheetViews>
    <sheetView zoomScale="130" zoomScaleNormal="130" workbookViewId="0">
      <selection activeCell="E16" sqref="E16"/>
    </sheetView>
  </sheetViews>
  <sheetFormatPr defaultRowHeight="18.75" x14ac:dyDescent="0.4"/>
  <cols>
    <col min="3" max="3" width="34.875" customWidth="1"/>
    <col min="4" max="4" width="11" bestFit="1" customWidth="1"/>
    <col min="6" max="6" width="21.375" bestFit="1" customWidth="1"/>
    <col min="7" max="7" width="10.375" bestFit="1" customWidth="1"/>
    <col min="9" max="9" width="20.25" customWidth="1"/>
  </cols>
  <sheetData>
    <row r="1" spans="2:10" ht="19.5" thickBot="1" x14ac:dyDescent="0.45"/>
    <row r="2" spans="2:10" ht="19.5" thickBot="1" x14ac:dyDescent="0.45">
      <c r="B2" s="11" t="s">
        <v>14</v>
      </c>
      <c r="C2" s="12" t="s">
        <v>15</v>
      </c>
      <c r="D2" s="13" t="s">
        <v>16</v>
      </c>
      <c r="F2" s="41" t="s">
        <v>304</v>
      </c>
      <c r="G2" s="53" t="s">
        <v>124</v>
      </c>
      <c r="I2" s="11" t="s">
        <v>305</v>
      </c>
      <c r="J2" s="13" t="s">
        <v>306</v>
      </c>
    </row>
    <row r="3" spans="2:10" x14ac:dyDescent="0.4">
      <c r="B3" s="9">
        <v>1</v>
      </c>
      <c r="C3" s="3" t="s">
        <v>120</v>
      </c>
      <c r="D3" s="10">
        <v>18</v>
      </c>
      <c r="F3" s="51" t="s">
        <v>33</v>
      </c>
      <c r="G3" s="54">
        <f>ROUNDUP(SUMIF(テンプレート!$C:$C,合計必要素材!F3,テンプレート!$B:$B),0)</f>
        <v>1067</v>
      </c>
      <c r="I3" s="51" t="s">
        <v>164</v>
      </c>
      <c r="J3" s="54">
        <f>ROUNDUP(SUMIF(テンプレート!$C:$C,合計必要素材!I3,テンプレート!$B:$B),0)</f>
        <v>0</v>
      </c>
    </row>
    <row r="4" spans="2:10" x14ac:dyDescent="0.4">
      <c r="B4" s="4">
        <v>2</v>
      </c>
      <c r="C4" s="3"/>
      <c r="D4" s="5"/>
      <c r="F4" s="4" t="s">
        <v>56</v>
      </c>
      <c r="G4" s="55">
        <f>ROUNDUP(SUMIF(テンプレート!$C:$C,合計必要素材!F4,テンプレート!$B:$B),0)</f>
        <v>10131</v>
      </c>
      <c r="I4" s="4" t="s">
        <v>165</v>
      </c>
      <c r="J4" s="55">
        <f>ROUNDUP(SUMIF(テンプレート!$C:$C,合計必要素材!I4,テンプレート!$B:$B),0)</f>
        <v>0</v>
      </c>
    </row>
    <row r="5" spans="2:10" x14ac:dyDescent="0.4">
      <c r="B5" s="4">
        <v>3</v>
      </c>
      <c r="C5" s="3"/>
      <c r="D5" s="5"/>
      <c r="F5" s="4" t="s">
        <v>35</v>
      </c>
      <c r="G5" s="55">
        <f>ROUNDUP(SUMIF(テンプレート!$C:$C,合計必要素材!F5,テンプレート!$B:$B),0)</f>
        <v>720</v>
      </c>
      <c r="I5" s="4" t="s">
        <v>174</v>
      </c>
      <c r="J5" s="55">
        <f>ROUNDUP(SUMIF(テンプレート!$C:$C,合計必要素材!I5,テンプレート!$B:$B),0)</f>
        <v>0</v>
      </c>
    </row>
    <row r="6" spans="2:10" x14ac:dyDescent="0.4">
      <c r="B6" s="4">
        <v>4</v>
      </c>
      <c r="C6" s="3"/>
      <c r="D6" s="5"/>
      <c r="F6" s="4" t="s">
        <v>40</v>
      </c>
      <c r="G6" s="55">
        <f>ROUNDUP(SUMIF(テンプレート!$C:$C,合計必要素材!F6,テンプレート!$B:$B),0)</f>
        <v>0</v>
      </c>
      <c r="I6" s="4" t="s">
        <v>172</v>
      </c>
      <c r="J6" s="55">
        <f>ROUNDUP(SUMIF(テンプレート!$C:$C,合計必要素材!I6,テンプレート!$B:$B),0)</f>
        <v>0</v>
      </c>
    </row>
    <row r="7" spans="2:10" x14ac:dyDescent="0.4">
      <c r="B7" s="4">
        <v>5</v>
      </c>
      <c r="D7" s="5"/>
      <c r="F7" s="4" t="s">
        <v>37</v>
      </c>
      <c r="G7" s="55">
        <f>ROUNDUP(SUMIF(テンプレート!$C:$C,合計必要素材!F7,テンプレート!$B:$B),0)</f>
        <v>1440</v>
      </c>
      <c r="I7" s="4" t="s">
        <v>170</v>
      </c>
      <c r="J7" s="55">
        <f>ROUNDUP(SUMIF(テンプレート!$C:$C,合計必要素材!I7,テンプレート!$B:$B),0)</f>
        <v>0</v>
      </c>
    </row>
    <row r="8" spans="2:10" x14ac:dyDescent="0.4">
      <c r="B8" s="4">
        <v>6</v>
      </c>
      <c r="C8" s="3"/>
      <c r="D8" s="5"/>
      <c r="F8" s="4" t="s">
        <v>70</v>
      </c>
      <c r="G8" s="55">
        <f>ROUNDUP(SUMIF(テンプレート!$C:$C,合計必要素材!F8,テンプレート!$B:$B),0)</f>
        <v>1080</v>
      </c>
      <c r="I8" s="4" t="s">
        <v>168</v>
      </c>
      <c r="J8" s="55">
        <f>ROUNDUP(SUMIF(テンプレート!$C:$C,合計必要素材!I8,テンプレート!$B:$B),0)</f>
        <v>0</v>
      </c>
    </row>
    <row r="9" spans="2:10" x14ac:dyDescent="0.4">
      <c r="B9" s="4">
        <v>7</v>
      </c>
      <c r="C9" s="3"/>
      <c r="D9" s="5"/>
      <c r="F9" s="4" t="s">
        <v>44</v>
      </c>
      <c r="G9" s="55">
        <f>ROUNDUP(SUMIF(テンプレート!$C:$C,合計必要素材!F9,テンプレート!$B:$B),0)</f>
        <v>0</v>
      </c>
      <c r="I9" s="4" t="s">
        <v>177</v>
      </c>
      <c r="J9" s="55">
        <f>ROUNDUP(SUMIF(テンプレート!$C:$C,合計必要素材!I9,テンプレート!$B:$B),0)</f>
        <v>0</v>
      </c>
    </row>
    <row r="10" spans="2:10" x14ac:dyDescent="0.4">
      <c r="B10" s="4">
        <v>8</v>
      </c>
      <c r="C10" s="3"/>
      <c r="D10" s="5"/>
      <c r="F10" s="4" t="s">
        <v>81</v>
      </c>
      <c r="G10" s="55">
        <f>ROUNDUP(SUMIF(テンプレート!$C:$C,合計必要素材!F10,テンプレート!$B:$B),0)</f>
        <v>1080</v>
      </c>
      <c r="I10" s="4" t="s">
        <v>179</v>
      </c>
      <c r="J10" s="55">
        <f>ROUNDUP(SUMIF(テンプレート!$C:$C,合計必要素材!I10,テンプレート!$B:$B),0)</f>
        <v>0</v>
      </c>
    </row>
    <row r="11" spans="2:10" ht="19.5" thickBot="1" x14ac:dyDescent="0.45">
      <c r="B11" s="6">
        <v>9</v>
      </c>
      <c r="C11" s="7"/>
      <c r="D11" s="8"/>
      <c r="F11" s="4" t="s">
        <v>71</v>
      </c>
      <c r="G11" s="55">
        <f>ROUNDUP(SUMIF(テンプレート!$C:$C,合計必要素材!F11,テンプレート!$B:$B),0)</f>
        <v>7200</v>
      </c>
      <c r="I11" s="4" t="s">
        <v>181</v>
      </c>
      <c r="J11" s="55">
        <f>ROUNDUP(SUMIF(テンプレート!$C:$C,合計必要素材!I11,テンプレート!$B:$B),0)</f>
        <v>0</v>
      </c>
    </row>
    <row r="12" spans="2:10" ht="19.5" thickBot="1" x14ac:dyDescent="0.45">
      <c r="F12" s="88" t="s">
        <v>190</v>
      </c>
      <c r="G12" s="90">
        <f>ROUNDUP(SUMIF(テンプレート!$C:$C,合計必要素材!F12,テンプレート!$B:$B),0)</f>
        <v>0</v>
      </c>
      <c r="I12" s="6" t="s">
        <v>255</v>
      </c>
      <c r="J12" s="56">
        <f>ROUNDUP(SUMIF(テンプレート!$C:$C,合計必要素材!I12,テンプレート!$B:$B),0)</f>
        <v>0</v>
      </c>
    </row>
    <row r="13" spans="2:10" x14ac:dyDescent="0.4">
      <c r="F13" s="51" t="s">
        <v>74</v>
      </c>
      <c r="G13" s="54">
        <f>ROUNDUP(SUMIF(テンプレート!$C:$C,合計必要素材!F13,テンプレート!$B:$B),0)</f>
        <v>0</v>
      </c>
    </row>
    <row r="14" spans="2:10" ht="19.5" thickBot="1" x14ac:dyDescent="0.45">
      <c r="F14" s="89" t="s">
        <v>110</v>
      </c>
      <c r="G14" s="90">
        <f>ROUNDUP(SUMIF(テンプレート!$C:$C,合計必要素材!F14,テンプレート!$B:$B),0)</f>
        <v>4320</v>
      </c>
    </row>
    <row r="15" spans="2:10" x14ac:dyDescent="0.4">
      <c r="F15" s="51" t="s">
        <v>36</v>
      </c>
      <c r="G15" s="91">
        <f>ROUNDUP(SUMIF(テンプレート!$C:$C,合計必要素材!F15,テンプレート!$B:$B),0)</f>
        <v>94420</v>
      </c>
    </row>
    <row r="16" spans="2:10" ht="19.5" thickBot="1" x14ac:dyDescent="0.45">
      <c r="F16" s="6" t="s">
        <v>185</v>
      </c>
      <c r="G16" s="8">
        <f>ROUNDUP(SUMIF(テンプレート!$C:$C,合計必要素材!F16,テンプレート!$B:$B),0)</f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87"/>
  <sheetViews>
    <sheetView tabSelected="1" workbookViewId="0">
      <selection activeCell="C87" sqref="C87"/>
    </sheetView>
  </sheetViews>
  <sheetFormatPr defaultRowHeight="18.75" x14ac:dyDescent="0.4"/>
  <cols>
    <col min="1" max="1" width="5.75" customWidth="1"/>
    <col min="2" max="2" width="12.875" customWidth="1"/>
    <col min="3" max="3" width="11" bestFit="1" customWidth="1"/>
    <col min="4" max="4" width="27.25" customWidth="1"/>
    <col min="5" max="9" width="15.5" customWidth="1"/>
    <col min="10" max="16" width="6.25" customWidth="1"/>
  </cols>
  <sheetData>
    <row r="1" spans="1:16" x14ac:dyDescent="0.4">
      <c r="A1" s="52" t="s">
        <v>21</v>
      </c>
      <c r="B1" s="52" t="s">
        <v>126</v>
      </c>
      <c r="C1" s="52" t="s">
        <v>128</v>
      </c>
      <c r="D1" s="52" t="s">
        <v>127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86</v>
      </c>
      <c r="K1" s="52" t="s">
        <v>87</v>
      </c>
      <c r="L1" s="52" t="s">
        <v>88</v>
      </c>
      <c r="M1" s="52" t="s">
        <v>89</v>
      </c>
      <c r="N1" s="52" t="s">
        <v>90</v>
      </c>
      <c r="O1" s="52" t="s">
        <v>91</v>
      </c>
      <c r="P1" s="52" t="s">
        <v>69</v>
      </c>
    </row>
    <row r="2" spans="1:16" ht="14.45" customHeight="1" x14ac:dyDescent="0.4">
      <c r="A2" s="59" t="str">
        <f>使用レシピ!B2</f>
        <v>102</v>
      </c>
      <c r="B2" s="62">
        <f>SUMIF(テンプレート!$C$4:$C$1000,製造アイテム数!D2,テンプレート!$B$4:$B$1000)</f>
        <v>1980</v>
      </c>
      <c r="C2" s="60">
        <f>ROUNDUP(B2/P2,0)</f>
        <v>31</v>
      </c>
      <c r="D2" s="60" t="str">
        <f>使用レシピ!E2</f>
        <v>鉄のインゴット</v>
      </c>
      <c r="E2" s="60" t="str">
        <f>使用レシピ!F2</f>
        <v>鉄鉱石</v>
      </c>
      <c r="F2" s="60" t="str">
        <f>使用レシピ!G2</f>
        <v>水</v>
      </c>
      <c r="G2" s="60" t="str">
        <f>使用レシピ!H2</f>
        <v/>
      </c>
      <c r="H2" s="60" t="str">
        <f>使用レシピ!I2</f>
        <v/>
      </c>
      <c r="I2" s="60" t="str">
        <f>使用レシピ!J2</f>
        <v/>
      </c>
      <c r="J2" s="60">
        <f>使用レシピ!K2</f>
        <v>7</v>
      </c>
      <c r="K2" s="60">
        <f>使用レシピ!L2</f>
        <v>4</v>
      </c>
      <c r="L2" s="60" t="str">
        <f>使用レシピ!M2</f>
        <v/>
      </c>
      <c r="M2" s="60" t="str">
        <f>使用レシピ!N2</f>
        <v/>
      </c>
      <c r="N2" s="60" t="str">
        <f>使用レシピ!O2</f>
        <v/>
      </c>
      <c r="O2" s="60">
        <f>使用レシピ!P2</f>
        <v>13</v>
      </c>
      <c r="P2" s="60">
        <f>使用レシピ!Q2</f>
        <v>65</v>
      </c>
    </row>
    <row r="3" spans="1:16" ht="14.45" customHeight="1" x14ac:dyDescent="0.4">
      <c r="A3" s="21" t="str">
        <f>使用レシピ!B3</f>
        <v>201</v>
      </c>
      <c r="B3" s="63">
        <f>SUMIF(テンプレート!$C$4:$C$1000,製造アイテム数!D3,テンプレート!$B$4:$B$1000)</f>
        <v>1066.1538461538462</v>
      </c>
      <c r="C3" s="15">
        <f t="shared" ref="C3:C66" si="0">ROUNDUP(B3/P3,0)</f>
        <v>1</v>
      </c>
      <c r="D3" s="15" t="str">
        <f>使用レシピ!E3</f>
        <v>鉄鉱石</v>
      </c>
      <c r="E3" s="15" t="str">
        <f>使用レシピ!F3</f>
        <v/>
      </c>
      <c r="F3" s="15" t="str">
        <f>使用レシピ!G3</f>
        <v/>
      </c>
      <c r="G3" s="15" t="str">
        <f>使用レシピ!H3</f>
        <v/>
      </c>
      <c r="H3" s="15" t="str">
        <f>使用レシピ!I3</f>
        <v/>
      </c>
      <c r="I3" s="15" t="str">
        <f>使用レシピ!J3</f>
        <v/>
      </c>
      <c r="J3" s="15" t="str">
        <f>使用レシピ!K3</f>
        <v/>
      </c>
      <c r="K3" s="15" t="str">
        <f>使用レシピ!L3</f>
        <v/>
      </c>
      <c r="L3" s="15" t="str">
        <f>使用レシピ!M3</f>
        <v/>
      </c>
      <c r="M3" s="15" t="str">
        <f>使用レシピ!N3</f>
        <v/>
      </c>
      <c r="N3" s="15" t="str">
        <f>使用レシピ!O3</f>
        <v/>
      </c>
      <c r="O3" s="15">
        <f>使用レシピ!P3</f>
        <v>1</v>
      </c>
      <c r="P3" s="15">
        <f>使用レシピ!Q3</f>
        <v>1200</v>
      </c>
    </row>
    <row r="4" spans="1:16" ht="14.45" customHeight="1" x14ac:dyDescent="0.4">
      <c r="A4" s="21" t="str">
        <f>使用レシピ!B4</f>
        <v>301</v>
      </c>
      <c r="B4" s="63">
        <f>SUMIF(テンプレート!$C$4:$C$1000,製造アイテム数!D4,テンプレート!$B$4:$B$1000)</f>
        <v>360</v>
      </c>
      <c r="C4" s="15">
        <f t="shared" si="0"/>
        <v>18</v>
      </c>
      <c r="D4" s="15" t="str">
        <f>使用レシピ!E4</f>
        <v>鉄板</v>
      </c>
      <c r="E4" s="15" t="str">
        <f>使用レシピ!F4</f>
        <v>鉄のインゴット</v>
      </c>
      <c r="F4" s="15" t="str">
        <f>使用レシピ!G4</f>
        <v/>
      </c>
      <c r="G4" s="15" t="str">
        <f>使用レシピ!H4</f>
        <v/>
      </c>
      <c r="H4" s="15" t="str">
        <f>使用レシピ!I4</f>
        <v/>
      </c>
      <c r="I4" s="15" t="str">
        <f>使用レシピ!J4</f>
        <v/>
      </c>
      <c r="J4" s="15">
        <f>使用レシピ!K4</f>
        <v>3</v>
      </c>
      <c r="K4" s="15" t="str">
        <f>使用レシピ!L4</f>
        <v/>
      </c>
      <c r="L4" s="15" t="str">
        <f>使用レシピ!M4</f>
        <v/>
      </c>
      <c r="M4" s="15" t="str">
        <f>使用レシピ!N4</f>
        <v/>
      </c>
      <c r="N4" s="15" t="str">
        <f>使用レシピ!O4</f>
        <v/>
      </c>
      <c r="O4" s="15">
        <f>使用レシピ!P4</f>
        <v>2</v>
      </c>
      <c r="P4" s="15">
        <f>使用レシピ!Q4</f>
        <v>20</v>
      </c>
    </row>
    <row r="5" spans="1:16" ht="14.45" customHeight="1" x14ac:dyDescent="0.4">
      <c r="A5" s="21" t="str">
        <f>使用レシピ!B5</f>
        <v>401</v>
      </c>
      <c r="B5" s="63">
        <f>SUMIF(テンプレート!$C$4:$C$1000,製造アイテム数!D5,テンプレート!$B$4:$B$1000)</f>
        <v>0</v>
      </c>
      <c r="C5" s="15">
        <f t="shared" si="0"/>
        <v>0</v>
      </c>
      <c r="D5" s="15" t="str">
        <f>使用レシピ!E5</f>
        <v>鉄のロッド</v>
      </c>
      <c r="E5" s="15" t="str">
        <f>使用レシピ!F5</f>
        <v>鉄のインゴット</v>
      </c>
      <c r="F5" s="15" t="str">
        <f>使用レシピ!G5</f>
        <v/>
      </c>
      <c r="G5" s="15" t="str">
        <f>使用レシピ!H5</f>
        <v/>
      </c>
      <c r="H5" s="15" t="str">
        <f>使用レシピ!I5</f>
        <v/>
      </c>
      <c r="I5" s="15" t="str">
        <f>使用レシピ!J5</f>
        <v/>
      </c>
      <c r="J5" s="15">
        <f>使用レシピ!K5</f>
        <v>1</v>
      </c>
      <c r="K5" s="15" t="str">
        <f>使用レシピ!L5</f>
        <v/>
      </c>
      <c r="L5" s="15" t="str">
        <f>使用レシピ!M5</f>
        <v/>
      </c>
      <c r="M5" s="15" t="str">
        <f>使用レシピ!N5</f>
        <v/>
      </c>
      <c r="N5" s="15" t="str">
        <f>使用レシピ!O5</f>
        <v/>
      </c>
      <c r="O5" s="15">
        <f>使用レシピ!P5</f>
        <v>1</v>
      </c>
      <c r="P5" s="15">
        <f>使用レシピ!Q5</f>
        <v>15</v>
      </c>
    </row>
    <row r="6" spans="1:16" ht="14.45" customHeight="1" x14ac:dyDescent="0.4">
      <c r="A6" s="21" t="str">
        <f>使用レシピ!B6</f>
        <v>502</v>
      </c>
      <c r="B6" s="63">
        <f>SUMIF(テンプレート!$C$4:$C$1000,製造アイテム数!D6,テンプレート!$B$4:$B$1000)</f>
        <v>0</v>
      </c>
      <c r="C6" s="15">
        <f t="shared" si="0"/>
        <v>0</v>
      </c>
      <c r="D6" s="15" t="str">
        <f>使用レシピ!E6</f>
        <v>強化鉄板</v>
      </c>
      <c r="E6" s="15" t="str">
        <f>使用レシピ!F6</f>
        <v>鉄板</v>
      </c>
      <c r="F6" s="15" t="str">
        <f>使用レシピ!G6</f>
        <v>ネジ</v>
      </c>
      <c r="G6" s="15" t="str">
        <f>使用レシピ!H6</f>
        <v/>
      </c>
      <c r="H6" s="15" t="str">
        <f>使用レシピ!I6</f>
        <v/>
      </c>
      <c r="I6" s="15" t="str">
        <f>使用レシピ!J6</f>
        <v/>
      </c>
      <c r="J6" s="15">
        <f>使用レシピ!K6</f>
        <v>18</v>
      </c>
      <c r="K6" s="15">
        <f>使用レシピ!L6</f>
        <v>50</v>
      </c>
      <c r="L6" s="15" t="str">
        <f>使用レシピ!M6</f>
        <v/>
      </c>
      <c r="M6" s="15" t="str">
        <f>使用レシピ!N6</f>
        <v/>
      </c>
      <c r="N6" s="15" t="str">
        <f>使用レシピ!O6</f>
        <v/>
      </c>
      <c r="O6" s="15">
        <f>使用レシピ!P6</f>
        <v>3</v>
      </c>
      <c r="P6" s="15">
        <f>使用レシピ!Q6</f>
        <v>15</v>
      </c>
    </row>
    <row r="7" spans="1:16" ht="14.45" customHeight="1" x14ac:dyDescent="0.4">
      <c r="A7" s="21" t="str">
        <f>使用レシピ!B7</f>
        <v>601</v>
      </c>
      <c r="B7" s="63">
        <f>SUMIF(テンプレート!$C$4:$C$1000,製造アイテム数!D7,テンプレート!$B$4:$B$1000)</f>
        <v>0</v>
      </c>
      <c r="C7" s="15">
        <f t="shared" si="0"/>
        <v>0</v>
      </c>
      <c r="D7" s="15" t="str">
        <f>使用レシピ!E7</f>
        <v>ケーブル</v>
      </c>
      <c r="E7" s="15" t="str">
        <f>使用レシピ!F7</f>
        <v>ワイヤー</v>
      </c>
      <c r="F7" s="15" t="str">
        <f>使用レシピ!G7</f>
        <v/>
      </c>
      <c r="G7" s="15" t="str">
        <f>使用レシピ!H7</f>
        <v/>
      </c>
      <c r="H7" s="15" t="str">
        <f>使用レシピ!I7</f>
        <v/>
      </c>
      <c r="I7" s="15" t="str">
        <f>使用レシピ!J7</f>
        <v/>
      </c>
      <c r="J7" s="15">
        <f>使用レシピ!K7</f>
        <v>2</v>
      </c>
      <c r="K7" s="15" t="str">
        <f>使用レシピ!L7</f>
        <v/>
      </c>
      <c r="L7" s="15" t="str">
        <f>使用レシピ!M7</f>
        <v/>
      </c>
      <c r="M7" s="15" t="str">
        <f>使用レシピ!N7</f>
        <v/>
      </c>
      <c r="N7" s="15" t="str">
        <f>使用レシピ!O7</f>
        <v/>
      </c>
      <c r="O7" s="15">
        <f>使用レシピ!P7</f>
        <v>1</v>
      </c>
      <c r="P7" s="15">
        <f>使用レシピ!Q7</f>
        <v>30</v>
      </c>
    </row>
    <row r="8" spans="1:16" ht="14.45" customHeight="1" x14ac:dyDescent="0.4">
      <c r="A8" s="21" t="str">
        <f>使用レシピ!B8</f>
        <v>701</v>
      </c>
      <c r="B8" s="63">
        <f>SUMIF(テンプレート!$C$4:$C$1000,製造アイテム数!D8,テンプレート!$B$4:$B$1000)</f>
        <v>4320</v>
      </c>
      <c r="C8" s="61">
        <f t="shared" si="0"/>
        <v>144</v>
      </c>
      <c r="D8" s="15" t="str">
        <f>使用レシピ!E8</f>
        <v>ワイヤー</v>
      </c>
      <c r="E8" s="15" t="str">
        <f>使用レシピ!F8</f>
        <v>銅のインゴット</v>
      </c>
      <c r="F8" s="15" t="str">
        <f>使用レシピ!G8</f>
        <v/>
      </c>
      <c r="G8" s="15" t="str">
        <f>使用レシピ!H8</f>
        <v/>
      </c>
      <c r="H8" s="15" t="str">
        <f>使用レシピ!I8</f>
        <v/>
      </c>
      <c r="I8" s="15" t="str">
        <f>使用レシピ!J8</f>
        <v/>
      </c>
      <c r="J8" s="15">
        <f>使用レシピ!K8</f>
        <v>1</v>
      </c>
      <c r="K8" s="15" t="str">
        <f>使用レシピ!L8</f>
        <v/>
      </c>
      <c r="L8" s="15" t="str">
        <f>使用レシピ!M8</f>
        <v/>
      </c>
      <c r="M8" s="15" t="str">
        <f>使用レシピ!N8</f>
        <v/>
      </c>
      <c r="N8" s="15" t="str">
        <f>使用レシピ!O8</f>
        <v/>
      </c>
      <c r="O8" s="15">
        <f>使用レシピ!P8</f>
        <v>2</v>
      </c>
      <c r="P8" s="15">
        <f>使用レシピ!Q8</f>
        <v>30</v>
      </c>
    </row>
    <row r="9" spans="1:16" ht="14.45" customHeight="1" x14ac:dyDescent="0.4">
      <c r="A9" s="21" t="str">
        <f>使用レシピ!B9</f>
        <v>804</v>
      </c>
      <c r="B9" s="63">
        <f>SUMIF(テンプレート!$C$4:$C$1000,製造アイテム数!D9,テンプレート!$B$4:$B$1000)</f>
        <v>1800</v>
      </c>
      <c r="C9" s="15">
        <f t="shared" si="0"/>
        <v>48</v>
      </c>
      <c r="D9" s="15" t="str">
        <f>使用レシピ!E9</f>
        <v>銅のインゴット</v>
      </c>
      <c r="E9" s="15" t="str">
        <f>使用レシピ!F9</f>
        <v>銅鉱石</v>
      </c>
      <c r="F9" s="15" t="str">
        <f>使用レシピ!G9</f>
        <v>水</v>
      </c>
      <c r="G9" s="15" t="str">
        <f>使用レシピ!H9</f>
        <v/>
      </c>
      <c r="H9" s="15" t="str">
        <f>使用レシピ!I9</f>
        <v/>
      </c>
      <c r="I9" s="15" t="str">
        <f>使用レシピ!J9</f>
        <v/>
      </c>
      <c r="J9" s="15">
        <f>使用レシピ!K9</f>
        <v>6</v>
      </c>
      <c r="K9" s="15">
        <f>使用レシピ!L9</f>
        <v>4</v>
      </c>
      <c r="L9" s="15" t="str">
        <f>使用レシピ!M9</f>
        <v/>
      </c>
      <c r="M9" s="15" t="str">
        <f>使用レシピ!N9</f>
        <v/>
      </c>
      <c r="N9" s="15" t="str">
        <f>使用レシピ!O9</f>
        <v/>
      </c>
      <c r="O9" s="15">
        <f>使用レシピ!P9</f>
        <v>15</v>
      </c>
      <c r="P9" s="15">
        <f>使用レシピ!Q9</f>
        <v>37.5</v>
      </c>
    </row>
    <row r="10" spans="1:16" ht="14.45" customHeight="1" x14ac:dyDescent="0.4">
      <c r="A10" s="21" t="str">
        <f>使用レシピ!B10</f>
        <v>901</v>
      </c>
      <c r="B10" s="63">
        <f>SUMIF(テンプレート!$C$4:$C$1000,製造アイテム数!D10,テンプレート!$B$4:$B$1000)</f>
        <v>720</v>
      </c>
      <c r="C10" s="15">
        <f t="shared" si="0"/>
        <v>1</v>
      </c>
      <c r="D10" s="15" t="str">
        <f>使用レシピ!E10</f>
        <v>銅鉱石</v>
      </c>
      <c r="E10" s="15" t="str">
        <f>使用レシピ!F10</f>
        <v/>
      </c>
      <c r="F10" s="15" t="str">
        <f>使用レシピ!G10</f>
        <v/>
      </c>
      <c r="G10" s="15" t="str">
        <f>使用レシピ!H10</f>
        <v/>
      </c>
      <c r="H10" s="15" t="str">
        <f>使用レシピ!I10</f>
        <v/>
      </c>
      <c r="I10" s="15" t="str">
        <f>使用レシピ!J10</f>
        <v/>
      </c>
      <c r="J10" s="15" t="str">
        <f>使用レシピ!K10</f>
        <v/>
      </c>
      <c r="K10" s="15" t="str">
        <f>使用レシピ!L10</f>
        <v/>
      </c>
      <c r="L10" s="15" t="str">
        <f>使用レシピ!M10</f>
        <v/>
      </c>
      <c r="M10" s="15" t="str">
        <f>使用レシピ!N10</f>
        <v/>
      </c>
      <c r="N10" s="15" t="str">
        <f>使用レシピ!O10</f>
        <v/>
      </c>
      <c r="O10" s="15">
        <f>使用レシピ!P10</f>
        <v>1</v>
      </c>
      <c r="P10" s="15">
        <f>使用レシピ!Q10</f>
        <v>1200</v>
      </c>
    </row>
    <row r="11" spans="1:16" ht="14.45" customHeight="1" x14ac:dyDescent="0.4">
      <c r="A11" s="21" t="str">
        <f>使用レシピ!B11</f>
        <v>1003</v>
      </c>
      <c r="B11" s="63">
        <f>SUMIF(テンプレート!$C$4:$C$1000,製造アイテム数!D11,テンプレート!$B$4:$B$1000)</f>
        <v>6753.5999999999995</v>
      </c>
      <c r="C11" s="15">
        <f t="shared" si="0"/>
        <v>85</v>
      </c>
      <c r="D11" s="15" t="str">
        <f>使用レシピ!E11</f>
        <v>コンクリート</v>
      </c>
      <c r="E11" s="15" t="str">
        <f>使用レシピ!F11</f>
        <v>石灰岩</v>
      </c>
      <c r="F11" s="15" t="str">
        <f>使用レシピ!G11</f>
        <v>水</v>
      </c>
      <c r="G11" s="15" t="str">
        <f>使用レシピ!H11</f>
        <v/>
      </c>
      <c r="H11" s="15" t="str">
        <f>使用レシピ!I11</f>
        <v/>
      </c>
      <c r="I11" s="15" t="str">
        <f>使用レシピ!J11</f>
        <v/>
      </c>
      <c r="J11" s="15">
        <f>使用レシピ!K11</f>
        <v>6</v>
      </c>
      <c r="K11" s="15">
        <f>使用レシピ!L11</f>
        <v>5</v>
      </c>
      <c r="L11" s="15" t="str">
        <f>使用レシピ!M11</f>
        <v/>
      </c>
      <c r="M11" s="15" t="str">
        <f>使用レシピ!N11</f>
        <v/>
      </c>
      <c r="N11" s="15" t="str">
        <f>使用レシピ!O11</f>
        <v/>
      </c>
      <c r="O11" s="15">
        <f>使用レシピ!P11</f>
        <v>4</v>
      </c>
      <c r="P11" s="15">
        <f>使用レシピ!Q11</f>
        <v>80</v>
      </c>
    </row>
    <row r="12" spans="1:16" ht="14.45" customHeight="1" x14ac:dyDescent="0.4">
      <c r="A12" s="21" t="str">
        <f>使用レシピ!B12</f>
        <v>1101</v>
      </c>
      <c r="B12" s="63">
        <f>SUMIF(テンプレート!$C$4:$C$1000,製造アイテム数!D12,テンプレート!$B$4:$B$1000)</f>
        <v>10130.4</v>
      </c>
      <c r="C12" s="15">
        <f t="shared" si="0"/>
        <v>9</v>
      </c>
      <c r="D12" s="15" t="str">
        <f>使用レシピ!E12</f>
        <v>石灰岩</v>
      </c>
      <c r="E12" s="15" t="str">
        <f>使用レシピ!F12</f>
        <v/>
      </c>
      <c r="F12" s="15" t="str">
        <f>使用レシピ!G12</f>
        <v/>
      </c>
      <c r="G12" s="15" t="str">
        <f>使用レシピ!H12</f>
        <v/>
      </c>
      <c r="H12" s="15" t="str">
        <f>使用レシピ!I12</f>
        <v/>
      </c>
      <c r="I12" s="15" t="str">
        <f>使用レシピ!J12</f>
        <v/>
      </c>
      <c r="J12" s="15" t="str">
        <f>使用レシピ!K12</f>
        <v/>
      </c>
      <c r="K12" s="15" t="str">
        <f>使用レシピ!L12</f>
        <v/>
      </c>
      <c r="L12" s="15" t="str">
        <f>使用レシピ!M12</f>
        <v/>
      </c>
      <c r="M12" s="15" t="str">
        <f>使用レシピ!N12</f>
        <v/>
      </c>
      <c r="N12" s="15" t="str">
        <f>使用レシピ!O12</f>
        <v/>
      </c>
      <c r="O12" s="15">
        <f>使用レシピ!P12</f>
        <v>1</v>
      </c>
      <c r="P12" s="15">
        <f>使用レシピ!Q12</f>
        <v>1200</v>
      </c>
    </row>
    <row r="13" spans="1:16" ht="14.45" customHeight="1" x14ac:dyDescent="0.4">
      <c r="A13" s="21" t="str">
        <f>使用レシピ!B13</f>
        <v>1203</v>
      </c>
      <c r="B13" s="63">
        <f>SUMIF(テンプレート!$C$4:$C$1000,製造アイテム数!D13,テンプレート!$B$4:$B$1000)</f>
        <v>0</v>
      </c>
      <c r="C13" s="15">
        <f t="shared" si="0"/>
        <v>0</v>
      </c>
      <c r="D13" s="15" t="str">
        <f>使用レシピ!E13</f>
        <v>ネジ</v>
      </c>
      <c r="E13" s="15" t="str">
        <f>使用レシピ!F13</f>
        <v>鉄のインゴット</v>
      </c>
      <c r="F13" s="15" t="str">
        <f>使用レシピ!G13</f>
        <v/>
      </c>
      <c r="G13" s="15" t="str">
        <f>使用レシピ!H13</f>
        <v/>
      </c>
      <c r="H13" s="15" t="str">
        <f>使用レシピ!I13</f>
        <v/>
      </c>
      <c r="I13" s="15" t="str">
        <f>使用レシピ!J13</f>
        <v/>
      </c>
      <c r="J13" s="15">
        <f>使用レシピ!K13</f>
        <v>5</v>
      </c>
      <c r="K13" s="15" t="str">
        <f>使用レシピ!L13</f>
        <v/>
      </c>
      <c r="L13" s="15" t="str">
        <f>使用レシピ!M13</f>
        <v/>
      </c>
      <c r="M13" s="15" t="str">
        <f>使用レシピ!N13</f>
        <v/>
      </c>
      <c r="N13" s="15" t="str">
        <f>使用レシピ!O13</f>
        <v/>
      </c>
      <c r="O13" s="15">
        <f>使用レシピ!P13</f>
        <v>20</v>
      </c>
      <c r="P13" s="15">
        <f>使用レシピ!Q13</f>
        <v>50</v>
      </c>
    </row>
    <row r="14" spans="1:16" ht="14.45" customHeight="1" x14ac:dyDescent="0.4">
      <c r="A14" s="21" t="str">
        <f>使用レシピ!B14</f>
        <v>1301</v>
      </c>
      <c r="B14" s="63">
        <f>SUMIF(テンプレート!$C$4:$C$1000,製造アイテム数!D14,テンプレート!$B$4:$B$1000)</f>
        <v>0</v>
      </c>
      <c r="C14" s="15">
        <f t="shared" si="0"/>
        <v>0</v>
      </c>
      <c r="D14" s="15" t="str">
        <f>使用レシピ!E14</f>
        <v>バイオマス</v>
      </c>
      <c r="E14" s="15" t="str">
        <f>使用レシピ!F14</f>
        <v>木</v>
      </c>
      <c r="F14" s="15" t="str">
        <f>使用レシピ!G14</f>
        <v/>
      </c>
      <c r="G14" s="15" t="str">
        <f>使用レシピ!H14</f>
        <v/>
      </c>
      <c r="H14" s="15" t="str">
        <f>使用レシピ!I14</f>
        <v/>
      </c>
      <c r="I14" s="15" t="str">
        <f>使用レシピ!J14</f>
        <v/>
      </c>
      <c r="J14" s="15">
        <f>使用レシピ!K14</f>
        <v>4</v>
      </c>
      <c r="K14" s="15" t="str">
        <f>使用レシピ!L14</f>
        <v/>
      </c>
      <c r="L14" s="15" t="str">
        <f>使用レシピ!M14</f>
        <v/>
      </c>
      <c r="M14" s="15" t="str">
        <f>使用レシピ!N14</f>
        <v/>
      </c>
      <c r="N14" s="15" t="str">
        <f>使用レシピ!O14</f>
        <v/>
      </c>
      <c r="O14" s="15">
        <f>使用レシピ!P14</f>
        <v>20</v>
      </c>
      <c r="P14" s="15">
        <f>使用レシピ!Q14</f>
        <v>300</v>
      </c>
    </row>
    <row r="15" spans="1:16" ht="14.45" customHeight="1" x14ac:dyDescent="0.4">
      <c r="A15" s="21" t="str">
        <f>使用レシピ!B15</f>
        <v>1401</v>
      </c>
      <c r="B15" s="63">
        <f>SUMIF(テンプレート!$C$4:$C$1000,製造アイテム数!D15,テンプレート!$B$4:$B$1000)</f>
        <v>0</v>
      </c>
      <c r="C15" s="15">
        <f t="shared" si="0"/>
        <v>0</v>
      </c>
      <c r="D15" s="15" t="str">
        <f>使用レシピ!E15</f>
        <v>木</v>
      </c>
      <c r="E15" s="15" t="str">
        <f>使用レシピ!F15</f>
        <v/>
      </c>
      <c r="F15" s="15" t="str">
        <f>使用レシピ!G15</f>
        <v/>
      </c>
      <c r="G15" s="15" t="str">
        <f>使用レシピ!H15</f>
        <v/>
      </c>
      <c r="H15" s="15" t="str">
        <f>使用レシピ!I15</f>
        <v/>
      </c>
      <c r="I15" s="15" t="str">
        <f>使用レシピ!J15</f>
        <v/>
      </c>
      <c r="J15" s="15" t="str">
        <f>使用レシピ!K15</f>
        <v/>
      </c>
      <c r="K15" s="15" t="str">
        <f>使用レシピ!L15</f>
        <v/>
      </c>
      <c r="L15" s="15" t="str">
        <f>使用レシピ!M15</f>
        <v/>
      </c>
      <c r="M15" s="15" t="str">
        <f>使用レシピ!N15</f>
        <v/>
      </c>
      <c r="N15" s="15" t="str">
        <f>使用レシピ!O15</f>
        <v/>
      </c>
      <c r="O15" s="15">
        <f>使用レシピ!P15</f>
        <v>1</v>
      </c>
      <c r="P15" s="15">
        <f>使用レシピ!Q15</f>
        <v>1</v>
      </c>
    </row>
    <row r="16" spans="1:16" ht="14.45" customHeight="1" x14ac:dyDescent="0.4">
      <c r="A16" s="21" t="str">
        <f>使用レシピ!B16</f>
        <v>1501</v>
      </c>
      <c r="B16" s="63">
        <f>SUMIF(テンプレート!$C$4:$C$1000,製造アイテム数!D16,テンプレート!$B$4:$B$1000)</f>
        <v>0</v>
      </c>
      <c r="C16" s="15">
        <f t="shared" si="0"/>
        <v>0</v>
      </c>
      <c r="D16" s="15" t="str">
        <f>使用レシピ!E16</f>
        <v>葉</v>
      </c>
      <c r="E16" s="15" t="str">
        <f>使用レシピ!F16</f>
        <v/>
      </c>
      <c r="F16" s="15" t="str">
        <f>使用レシピ!G16</f>
        <v/>
      </c>
      <c r="G16" s="15" t="str">
        <f>使用レシピ!H16</f>
        <v/>
      </c>
      <c r="H16" s="15" t="str">
        <f>使用レシピ!I16</f>
        <v/>
      </c>
      <c r="I16" s="15" t="str">
        <f>使用レシピ!J16</f>
        <v/>
      </c>
      <c r="J16" s="15" t="str">
        <f>使用レシピ!K16</f>
        <v/>
      </c>
      <c r="K16" s="15" t="str">
        <f>使用レシピ!L16</f>
        <v/>
      </c>
      <c r="L16" s="15" t="str">
        <f>使用レシピ!M16</f>
        <v/>
      </c>
      <c r="M16" s="15" t="str">
        <f>使用レシピ!N16</f>
        <v/>
      </c>
      <c r="N16" s="15" t="str">
        <f>使用レシピ!O16</f>
        <v/>
      </c>
      <c r="O16" s="15">
        <f>使用レシピ!P16</f>
        <v>1</v>
      </c>
      <c r="P16" s="15">
        <f>使用レシピ!Q16</f>
        <v>1</v>
      </c>
    </row>
    <row r="17" spans="1:16" ht="14.45" customHeight="1" x14ac:dyDescent="0.4">
      <c r="A17" s="21" t="str">
        <f>使用レシピ!B17</f>
        <v>1601</v>
      </c>
      <c r="B17" s="63">
        <f>SUMIF(テンプレート!$C$4:$C$1000,製造アイテム数!D17,テンプレート!$B$4:$B$1000)</f>
        <v>0</v>
      </c>
      <c r="C17" s="15">
        <f t="shared" si="0"/>
        <v>0</v>
      </c>
      <c r="D17" s="15" t="str">
        <f>使用レシピ!E17</f>
        <v>エイリアンのタンパク質</v>
      </c>
      <c r="E17" s="15" t="str">
        <f>使用レシピ!F17</f>
        <v>ホッグの遺骸</v>
      </c>
      <c r="F17" s="15" t="str">
        <f>使用レシピ!G17</f>
        <v/>
      </c>
      <c r="G17" s="15" t="str">
        <f>使用レシピ!H17</f>
        <v/>
      </c>
      <c r="H17" s="15" t="str">
        <f>使用レシピ!I17</f>
        <v/>
      </c>
      <c r="I17" s="15" t="str">
        <f>使用レシピ!J17</f>
        <v/>
      </c>
      <c r="J17" s="15">
        <f>使用レシピ!K17</f>
        <v>1</v>
      </c>
      <c r="K17" s="15" t="str">
        <f>使用レシピ!L17</f>
        <v/>
      </c>
      <c r="L17" s="15" t="str">
        <f>使用レシピ!M17</f>
        <v/>
      </c>
      <c r="M17" s="15" t="str">
        <f>使用レシピ!N17</f>
        <v/>
      </c>
      <c r="N17" s="15" t="str">
        <f>使用レシピ!O17</f>
        <v/>
      </c>
      <c r="O17" s="15">
        <f>使用レシピ!P17</f>
        <v>1</v>
      </c>
      <c r="P17" s="15">
        <f>使用レシピ!Q17</f>
        <v>20</v>
      </c>
    </row>
    <row r="18" spans="1:16" ht="14.45" customHeight="1" x14ac:dyDescent="0.4">
      <c r="A18" s="21" t="str">
        <f>使用レシピ!B18</f>
        <v>1701</v>
      </c>
      <c r="B18" s="63">
        <f>SUMIF(テンプレート!$C$4:$C$1000,製造アイテム数!D18,テンプレート!$B$4:$B$1000)</f>
        <v>0</v>
      </c>
      <c r="C18" s="15">
        <f t="shared" si="0"/>
        <v>0</v>
      </c>
      <c r="D18" s="15" t="str">
        <f>使用レシピ!E18</f>
        <v>ホッグの遺骸</v>
      </c>
      <c r="E18" s="15" t="str">
        <f>使用レシピ!F18</f>
        <v/>
      </c>
      <c r="F18" s="15" t="str">
        <f>使用レシピ!G18</f>
        <v/>
      </c>
      <c r="G18" s="15" t="str">
        <f>使用レシピ!H18</f>
        <v/>
      </c>
      <c r="H18" s="15" t="str">
        <f>使用レシピ!I18</f>
        <v/>
      </c>
      <c r="I18" s="15" t="str">
        <f>使用レシピ!J18</f>
        <v/>
      </c>
      <c r="J18" s="15" t="str">
        <f>使用レシピ!K18</f>
        <v/>
      </c>
      <c r="K18" s="15" t="str">
        <f>使用レシピ!L18</f>
        <v/>
      </c>
      <c r="L18" s="15" t="str">
        <f>使用レシピ!M18</f>
        <v/>
      </c>
      <c r="M18" s="15" t="str">
        <f>使用レシピ!N18</f>
        <v/>
      </c>
      <c r="N18" s="15" t="str">
        <f>使用レシピ!O18</f>
        <v/>
      </c>
      <c r="O18" s="15">
        <f>使用レシピ!P18</f>
        <v>1</v>
      </c>
      <c r="P18" s="15">
        <f>使用レシピ!Q18</f>
        <v>1</v>
      </c>
    </row>
    <row r="19" spans="1:16" ht="14.45" customHeight="1" x14ac:dyDescent="0.4">
      <c r="A19" s="21" t="str">
        <f>使用レシピ!B19</f>
        <v>1801</v>
      </c>
      <c r="B19" s="63">
        <f>SUMIF(テンプレート!$C$4:$C$1000,製造アイテム数!D19,テンプレート!$B$4:$B$1000)</f>
        <v>0</v>
      </c>
      <c r="C19" s="15">
        <f t="shared" si="0"/>
        <v>0</v>
      </c>
      <c r="D19" s="15" t="str">
        <f>使用レシピ!E19</f>
        <v>スピッターの遺骸</v>
      </c>
      <c r="E19" s="15" t="str">
        <f>使用レシピ!F19</f>
        <v/>
      </c>
      <c r="F19" s="15" t="str">
        <f>使用レシピ!G19</f>
        <v/>
      </c>
      <c r="G19" s="15" t="str">
        <f>使用レシピ!H19</f>
        <v/>
      </c>
      <c r="H19" s="15" t="str">
        <f>使用レシピ!I19</f>
        <v/>
      </c>
      <c r="I19" s="15" t="str">
        <f>使用レシピ!J19</f>
        <v/>
      </c>
      <c r="J19" s="15" t="str">
        <f>使用レシピ!K19</f>
        <v/>
      </c>
      <c r="K19" s="15" t="str">
        <f>使用レシピ!L19</f>
        <v/>
      </c>
      <c r="L19" s="15" t="str">
        <f>使用レシピ!M19</f>
        <v/>
      </c>
      <c r="M19" s="15" t="str">
        <f>使用レシピ!N19</f>
        <v/>
      </c>
      <c r="N19" s="15" t="str">
        <f>使用レシピ!O19</f>
        <v/>
      </c>
      <c r="O19" s="15">
        <f>使用レシピ!P19</f>
        <v>1</v>
      </c>
      <c r="P19" s="15">
        <f>使用レシピ!Q19</f>
        <v>1</v>
      </c>
    </row>
    <row r="20" spans="1:16" ht="14.45" customHeight="1" x14ac:dyDescent="0.4">
      <c r="A20" s="21" t="str">
        <f>使用レシピ!B20</f>
        <v>1901</v>
      </c>
      <c r="B20" s="63">
        <f>SUMIF(テンプレート!$C$4:$C$1000,製造アイテム数!D20,テンプレート!$B$4:$B$1000)</f>
        <v>0</v>
      </c>
      <c r="C20" s="15">
        <f t="shared" si="0"/>
        <v>0</v>
      </c>
      <c r="D20" s="15" t="str">
        <f>使用レシピ!E20</f>
        <v>ハッチャーの遺骸</v>
      </c>
      <c r="E20" s="15" t="str">
        <f>使用レシピ!F20</f>
        <v/>
      </c>
      <c r="F20" s="15" t="str">
        <f>使用レシピ!G20</f>
        <v/>
      </c>
      <c r="G20" s="15" t="str">
        <f>使用レシピ!H20</f>
        <v/>
      </c>
      <c r="H20" s="15" t="str">
        <f>使用レシピ!I20</f>
        <v/>
      </c>
      <c r="I20" s="15" t="str">
        <f>使用レシピ!J20</f>
        <v/>
      </c>
      <c r="J20" s="15" t="str">
        <f>使用レシピ!K20</f>
        <v/>
      </c>
      <c r="K20" s="15" t="str">
        <f>使用レシピ!L20</f>
        <v/>
      </c>
      <c r="L20" s="15" t="str">
        <f>使用レシピ!M20</f>
        <v/>
      </c>
      <c r="M20" s="15" t="str">
        <f>使用レシピ!N20</f>
        <v/>
      </c>
      <c r="N20" s="15" t="str">
        <f>使用レシピ!O20</f>
        <v/>
      </c>
      <c r="O20" s="15">
        <f>使用レシピ!P20</f>
        <v>1</v>
      </c>
      <c r="P20" s="15">
        <f>使用レシピ!Q20</f>
        <v>1</v>
      </c>
    </row>
    <row r="21" spans="1:16" ht="14.45" customHeight="1" x14ac:dyDescent="0.4">
      <c r="A21" s="21" t="str">
        <f>使用レシピ!B21</f>
        <v>2001</v>
      </c>
      <c r="B21" s="63">
        <f>SUMIF(テンプレート!$C$4:$C$1000,製造アイテム数!D21,テンプレート!$B$4:$B$1000)</f>
        <v>0</v>
      </c>
      <c r="C21" s="15">
        <f t="shared" si="0"/>
        <v>0</v>
      </c>
      <c r="D21" s="15" t="str">
        <f>使用レシピ!E21</f>
        <v>スティンガーの遺骸</v>
      </c>
      <c r="E21" s="15" t="str">
        <f>使用レシピ!F21</f>
        <v/>
      </c>
      <c r="F21" s="15" t="str">
        <f>使用レシピ!G21</f>
        <v/>
      </c>
      <c r="G21" s="15" t="str">
        <f>使用レシピ!H21</f>
        <v/>
      </c>
      <c r="H21" s="15" t="str">
        <f>使用レシピ!I21</f>
        <v/>
      </c>
      <c r="I21" s="15" t="str">
        <f>使用レシピ!J21</f>
        <v/>
      </c>
      <c r="J21" s="15" t="str">
        <f>使用レシピ!K21</f>
        <v/>
      </c>
      <c r="K21" s="15" t="str">
        <f>使用レシピ!L21</f>
        <v/>
      </c>
      <c r="L21" s="15" t="str">
        <f>使用レシピ!M21</f>
        <v/>
      </c>
      <c r="M21" s="15" t="str">
        <f>使用レシピ!N21</f>
        <v/>
      </c>
      <c r="N21" s="15" t="str">
        <f>使用レシピ!O21</f>
        <v/>
      </c>
      <c r="O21" s="15">
        <f>使用レシピ!P21</f>
        <v>1</v>
      </c>
      <c r="P21" s="15">
        <f>使用レシピ!Q21</f>
        <v>1</v>
      </c>
    </row>
    <row r="22" spans="1:16" ht="14.45" customHeight="1" x14ac:dyDescent="0.4">
      <c r="A22" s="21" t="str">
        <f>使用レシピ!B22</f>
        <v>2104</v>
      </c>
      <c r="B22" s="63">
        <f>SUMIF(テンプレート!$C$4:$C$1000,製造アイテム数!D22,テンプレート!$B$4:$B$1000)</f>
        <v>0</v>
      </c>
      <c r="C22" s="15">
        <f t="shared" si="0"/>
        <v>0</v>
      </c>
      <c r="D22" s="15" t="str">
        <f>使用レシピ!E22</f>
        <v>パワー・シャード</v>
      </c>
      <c r="E22" s="15" t="str">
        <f>使用レシピ!F22</f>
        <v>時の結晶</v>
      </c>
      <c r="F22" s="15" t="str">
        <f>使用レシピ!G22</f>
        <v>ダークマターの結晶</v>
      </c>
      <c r="G22" s="15" t="str">
        <f>使用レシピ!H22</f>
        <v>石英結晶</v>
      </c>
      <c r="H22" s="15" t="str">
        <f>使用レシピ!I22</f>
        <v>励起フォトニック物質</v>
      </c>
      <c r="I22" s="15" t="str">
        <f>使用レシピ!J22</f>
        <v>ダークマターの残留物</v>
      </c>
      <c r="J22" s="15">
        <f>使用レシピ!K22</f>
        <v>2</v>
      </c>
      <c r="K22" s="15">
        <f>使用レシピ!L22</f>
        <v>2</v>
      </c>
      <c r="L22" s="15">
        <f>使用レシピ!M22</f>
        <v>12</v>
      </c>
      <c r="M22" s="15">
        <f>使用レシピ!N22</f>
        <v>12</v>
      </c>
      <c r="N22" s="15">
        <f>使用レシピ!O22</f>
        <v>12</v>
      </c>
      <c r="O22" s="15">
        <f>使用レシピ!P22</f>
        <v>1</v>
      </c>
      <c r="P22" s="15">
        <f>使用レシピ!Q22</f>
        <v>5</v>
      </c>
    </row>
    <row r="23" spans="1:16" ht="14.45" customHeight="1" x14ac:dyDescent="0.4">
      <c r="A23" s="21" t="str">
        <f>使用レシピ!B23</f>
        <v>2201</v>
      </c>
      <c r="B23" s="63">
        <f>SUMIF(テンプレート!$C$4:$C$1000,製造アイテム数!D23,テンプレート!$B$4:$B$1000)</f>
        <v>0</v>
      </c>
      <c r="C23" s="15">
        <f t="shared" si="0"/>
        <v>0</v>
      </c>
      <c r="D23" s="15" t="str">
        <f>使用レシピ!E23</f>
        <v>青のパワー・スラッグ</v>
      </c>
      <c r="E23" s="15" t="str">
        <f>使用レシピ!F23</f>
        <v/>
      </c>
      <c r="F23" s="15" t="str">
        <f>使用レシピ!G23</f>
        <v/>
      </c>
      <c r="G23" s="15" t="str">
        <f>使用レシピ!H23</f>
        <v/>
      </c>
      <c r="H23" s="15" t="str">
        <f>使用レシピ!I23</f>
        <v/>
      </c>
      <c r="I23" s="15" t="str">
        <f>使用レシピ!J23</f>
        <v/>
      </c>
      <c r="J23" s="15" t="str">
        <f>使用レシピ!K23</f>
        <v/>
      </c>
      <c r="K23" s="15" t="str">
        <f>使用レシピ!L23</f>
        <v/>
      </c>
      <c r="L23" s="15" t="str">
        <f>使用レシピ!M23</f>
        <v/>
      </c>
      <c r="M23" s="15" t="str">
        <f>使用レシピ!N23</f>
        <v/>
      </c>
      <c r="N23" s="15" t="str">
        <f>使用レシピ!O23</f>
        <v/>
      </c>
      <c r="O23" s="15">
        <f>使用レシピ!P23</f>
        <v>1</v>
      </c>
      <c r="P23" s="15">
        <f>使用レシピ!Q23</f>
        <v>1</v>
      </c>
    </row>
    <row r="24" spans="1:16" ht="14.45" customHeight="1" x14ac:dyDescent="0.4">
      <c r="A24" s="21" t="str">
        <f>使用レシピ!B24</f>
        <v>2301</v>
      </c>
      <c r="B24" s="63">
        <f>SUMIF(テンプレート!$C$4:$C$1000,製造アイテム数!D24,テンプレート!$B$4:$B$1000)</f>
        <v>0</v>
      </c>
      <c r="C24" s="15">
        <f t="shared" si="0"/>
        <v>0</v>
      </c>
      <c r="D24" s="15" t="str">
        <f>使用レシピ!E24</f>
        <v>黄のパワー・スラッグ</v>
      </c>
      <c r="E24" s="15" t="str">
        <f>使用レシピ!F24</f>
        <v/>
      </c>
      <c r="F24" s="15" t="str">
        <f>使用レシピ!G24</f>
        <v/>
      </c>
      <c r="G24" s="15" t="str">
        <f>使用レシピ!H24</f>
        <v/>
      </c>
      <c r="H24" s="15" t="str">
        <f>使用レシピ!I24</f>
        <v/>
      </c>
      <c r="I24" s="15" t="str">
        <f>使用レシピ!J24</f>
        <v/>
      </c>
      <c r="J24" s="15" t="str">
        <f>使用レシピ!K24</f>
        <v/>
      </c>
      <c r="K24" s="15" t="str">
        <f>使用レシピ!L24</f>
        <v/>
      </c>
      <c r="L24" s="15" t="str">
        <f>使用レシピ!M24</f>
        <v/>
      </c>
      <c r="M24" s="15" t="str">
        <f>使用レシピ!N24</f>
        <v/>
      </c>
      <c r="N24" s="15" t="str">
        <f>使用レシピ!O24</f>
        <v/>
      </c>
      <c r="O24" s="15">
        <f>使用レシピ!P24</f>
        <v>1</v>
      </c>
      <c r="P24" s="15">
        <f>使用レシピ!Q24</f>
        <v>1</v>
      </c>
    </row>
    <row r="25" spans="1:16" ht="14.45" customHeight="1" x14ac:dyDescent="0.4">
      <c r="A25" s="21" t="str">
        <f>使用レシピ!B25</f>
        <v>2401</v>
      </c>
      <c r="B25" s="63">
        <f>SUMIF(テンプレート!$C$4:$C$1000,製造アイテム数!D25,テンプレート!$B$4:$B$1000)</f>
        <v>0</v>
      </c>
      <c r="C25" s="15">
        <f t="shared" si="0"/>
        <v>0</v>
      </c>
      <c r="D25" s="15" t="str">
        <f>使用レシピ!E25</f>
        <v>紫のパワー・スラッグ</v>
      </c>
      <c r="E25" s="15" t="str">
        <f>使用レシピ!F25</f>
        <v/>
      </c>
      <c r="F25" s="15" t="str">
        <f>使用レシピ!G25</f>
        <v/>
      </c>
      <c r="G25" s="15" t="str">
        <f>使用レシピ!H25</f>
        <v/>
      </c>
      <c r="H25" s="15" t="str">
        <f>使用レシピ!I25</f>
        <v/>
      </c>
      <c r="I25" s="15" t="str">
        <f>使用レシピ!J25</f>
        <v/>
      </c>
      <c r="J25" s="15" t="str">
        <f>使用レシピ!K25</f>
        <v/>
      </c>
      <c r="K25" s="15" t="str">
        <f>使用レシピ!L25</f>
        <v/>
      </c>
      <c r="L25" s="15" t="str">
        <f>使用レシピ!M25</f>
        <v/>
      </c>
      <c r="M25" s="15" t="str">
        <f>使用レシピ!N25</f>
        <v/>
      </c>
      <c r="N25" s="15" t="str">
        <f>使用レシピ!O25</f>
        <v/>
      </c>
      <c r="O25" s="15">
        <f>使用レシピ!P25</f>
        <v>1</v>
      </c>
      <c r="P25" s="15">
        <f>使用レシピ!Q25</f>
        <v>1</v>
      </c>
    </row>
    <row r="26" spans="1:16" ht="14.45" customHeight="1" x14ac:dyDescent="0.4">
      <c r="A26" s="21" t="str">
        <f>使用レシピ!B26</f>
        <v>2501</v>
      </c>
      <c r="B26" s="63">
        <f>SUMIF(テンプレート!$C$4:$C$1000,製造アイテム数!D26,テンプレート!$B$4:$B$1000)</f>
        <v>0</v>
      </c>
      <c r="C26" s="15">
        <f t="shared" si="0"/>
        <v>0</v>
      </c>
      <c r="D26" s="15" t="str">
        <f>使用レシピ!E26</f>
        <v>固体バイオ燃料</v>
      </c>
      <c r="E26" s="15" t="str">
        <f>使用レシピ!F26</f>
        <v>バイオマス</v>
      </c>
      <c r="F26" s="15" t="str">
        <f>使用レシピ!G26</f>
        <v/>
      </c>
      <c r="G26" s="15" t="str">
        <f>使用レシピ!H26</f>
        <v/>
      </c>
      <c r="H26" s="15" t="str">
        <f>使用レシピ!I26</f>
        <v/>
      </c>
      <c r="I26" s="15" t="str">
        <f>使用レシピ!J26</f>
        <v/>
      </c>
      <c r="J26" s="15">
        <f>使用レシピ!K26</f>
        <v>8</v>
      </c>
      <c r="K26" s="15" t="str">
        <f>使用レシピ!L26</f>
        <v/>
      </c>
      <c r="L26" s="15" t="str">
        <f>使用レシピ!M26</f>
        <v/>
      </c>
      <c r="M26" s="15" t="str">
        <f>使用レシピ!N26</f>
        <v/>
      </c>
      <c r="N26" s="15" t="str">
        <f>使用レシピ!O26</f>
        <v/>
      </c>
      <c r="O26" s="15">
        <f>使用レシピ!P26</f>
        <v>4</v>
      </c>
      <c r="P26" s="15">
        <f>使用レシピ!Q26</f>
        <v>60</v>
      </c>
    </row>
    <row r="27" spans="1:16" ht="14.45" customHeight="1" x14ac:dyDescent="0.4">
      <c r="A27" s="21" t="str">
        <f>使用レシピ!B27</f>
        <v>2601</v>
      </c>
      <c r="B27" s="63">
        <f>SUMIF(テンプレート!$C$4:$C$1000,製造アイテム数!D27,テンプレート!$B$4:$B$1000)</f>
        <v>0</v>
      </c>
      <c r="C27" s="15">
        <f t="shared" si="0"/>
        <v>0</v>
      </c>
      <c r="D27" s="15" t="str">
        <f>使用レシピ!E27</f>
        <v>ローター</v>
      </c>
      <c r="E27" s="15" t="str">
        <f>使用レシピ!F27</f>
        <v>鉄のロッド</v>
      </c>
      <c r="F27" s="15" t="str">
        <f>使用レシピ!G27</f>
        <v>ネジ</v>
      </c>
      <c r="G27" s="15" t="str">
        <f>使用レシピ!H27</f>
        <v/>
      </c>
      <c r="H27" s="15" t="str">
        <f>使用レシピ!I27</f>
        <v/>
      </c>
      <c r="I27" s="15" t="str">
        <f>使用レシピ!J27</f>
        <v/>
      </c>
      <c r="J27" s="15">
        <f>使用レシピ!K27</f>
        <v>5</v>
      </c>
      <c r="K27" s="15">
        <f>使用レシピ!L27</f>
        <v>25</v>
      </c>
      <c r="L27" s="15" t="str">
        <f>使用レシピ!M27</f>
        <v/>
      </c>
      <c r="M27" s="15" t="str">
        <f>使用レシピ!N27</f>
        <v/>
      </c>
      <c r="N27" s="15" t="str">
        <f>使用レシピ!O27</f>
        <v/>
      </c>
      <c r="O27" s="15">
        <f>使用レシピ!P27</f>
        <v>1</v>
      </c>
      <c r="P27" s="15">
        <f>使用レシピ!Q27</f>
        <v>4</v>
      </c>
    </row>
    <row r="28" spans="1:16" ht="14.45" customHeight="1" x14ac:dyDescent="0.4">
      <c r="A28" s="21" t="str">
        <f>使用レシピ!B28</f>
        <v>2702</v>
      </c>
      <c r="B28" s="63">
        <f>SUMIF(テンプレート!$C$4:$C$1000,製造アイテム数!D28,テンプレート!$B$4:$B$1000)</f>
        <v>1800</v>
      </c>
      <c r="C28" s="15">
        <f t="shared" si="0"/>
        <v>80</v>
      </c>
      <c r="D28" s="15" t="str">
        <f>使用レシピ!E28</f>
        <v>銅板</v>
      </c>
      <c r="E28" s="15" t="str">
        <f>使用レシピ!F28</f>
        <v>銅のインゴット</v>
      </c>
      <c r="F28" s="15" t="str">
        <f>使用レシピ!G28</f>
        <v>水</v>
      </c>
      <c r="G28" s="15" t="str">
        <f>使用レシピ!H28</f>
        <v/>
      </c>
      <c r="H28" s="15" t="str">
        <f>使用レシピ!I28</f>
        <v/>
      </c>
      <c r="I28" s="15" t="str">
        <f>使用レシピ!J28</f>
        <v/>
      </c>
      <c r="J28" s="15">
        <f>使用レシピ!K28</f>
        <v>3</v>
      </c>
      <c r="K28" s="15">
        <f>使用レシピ!L28</f>
        <v>3</v>
      </c>
      <c r="L28" s="15" t="str">
        <f>使用レシピ!M28</f>
        <v/>
      </c>
      <c r="M28" s="15" t="str">
        <f>使用レシピ!N28</f>
        <v/>
      </c>
      <c r="N28" s="15" t="str">
        <f>使用レシピ!O28</f>
        <v/>
      </c>
      <c r="O28" s="15">
        <f>使用レシピ!P28</f>
        <v>3</v>
      </c>
      <c r="P28" s="15">
        <f>使用レシピ!Q28</f>
        <v>22.5</v>
      </c>
    </row>
    <row r="29" spans="1:16" ht="14.45" customHeight="1" x14ac:dyDescent="0.4">
      <c r="A29" s="21" t="str">
        <f>使用レシピ!B29</f>
        <v>2802</v>
      </c>
      <c r="B29" s="63">
        <f>SUMIF(テンプレート!$C$4:$C$1000,製造アイテム数!D29,テンプレート!$B$4:$B$1000)</f>
        <v>0</v>
      </c>
      <c r="C29" s="15">
        <f t="shared" si="0"/>
        <v>0</v>
      </c>
      <c r="D29" s="15" t="str">
        <f>使用レシピ!E29</f>
        <v>モジュラー・フレーム</v>
      </c>
      <c r="E29" s="15" t="str">
        <f>使用レシピ!F29</f>
        <v>強化鉄板</v>
      </c>
      <c r="F29" s="15" t="str">
        <f>使用レシピ!G29</f>
        <v>ネジ</v>
      </c>
      <c r="G29" s="15" t="str">
        <f>使用レシピ!H29</f>
        <v/>
      </c>
      <c r="H29" s="15" t="str">
        <f>使用レシピ!I29</f>
        <v/>
      </c>
      <c r="I29" s="15" t="str">
        <f>使用レシピ!J29</f>
        <v/>
      </c>
      <c r="J29" s="15">
        <f>使用レシピ!K29</f>
        <v>3</v>
      </c>
      <c r="K29" s="15">
        <f>使用レシピ!L29</f>
        <v>56</v>
      </c>
      <c r="L29" s="15" t="str">
        <f>使用レシピ!M29</f>
        <v/>
      </c>
      <c r="M29" s="15" t="str">
        <f>使用レシピ!N29</f>
        <v/>
      </c>
      <c r="N29" s="15" t="str">
        <f>使用レシピ!O29</f>
        <v/>
      </c>
      <c r="O29" s="15">
        <f>使用レシピ!P29</f>
        <v>2</v>
      </c>
      <c r="P29" s="15">
        <f>使用レシピ!Q29</f>
        <v>5</v>
      </c>
    </row>
    <row r="30" spans="1:16" ht="14.45" customHeight="1" x14ac:dyDescent="0.4">
      <c r="A30" s="21" t="str">
        <f>使用レシピ!B30</f>
        <v>2901</v>
      </c>
      <c r="B30" s="63">
        <f>SUMIF(テンプレート!$C$4:$C$1000,製造アイテム数!D30,テンプレート!$B$4:$B$1000)</f>
        <v>0</v>
      </c>
      <c r="C30" s="15">
        <f t="shared" si="0"/>
        <v>0</v>
      </c>
      <c r="D30" s="15" t="str">
        <f>使用レシピ!E30</f>
        <v>スマート・プレート</v>
      </c>
      <c r="E30" s="15" t="str">
        <f>使用レシピ!F30</f>
        <v>強化鉄板</v>
      </c>
      <c r="F30" s="15" t="str">
        <f>使用レシピ!G30</f>
        <v>ローター</v>
      </c>
      <c r="G30" s="15" t="str">
        <f>使用レシピ!H30</f>
        <v/>
      </c>
      <c r="H30" s="15" t="str">
        <f>使用レシピ!I30</f>
        <v/>
      </c>
      <c r="I30" s="15" t="str">
        <f>使用レシピ!J30</f>
        <v/>
      </c>
      <c r="J30" s="15">
        <f>使用レシピ!K30</f>
        <v>1</v>
      </c>
      <c r="K30" s="15">
        <f>使用レシピ!L30</f>
        <v>1</v>
      </c>
      <c r="L30" s="15" t="str">
        <f>使用レシピ!M30</f>
        <v/>
      </c>
      <c r="M30" s="15" t="str">
        <f>使用レシピ!N30</f>
        <v/>
      </c>
      <c r="N30" s="15" t="str">
        <f>使用レシピ!O30</f>
        <v/>
      </c>
      <c r="O30" s="15">
        <f>使用レシピ!P30</f>
        <v>1</v>
      </c>
      <c r="P30" s="15">
        <f>使用レシピ!Q30</f>
        <v>2</v>
      </c>
    </row>
    <row r="31" spans="1:16" ht="14.45" customHeight="1" x14ac:dyDescent="0.4">
      <c r="A31" s="21" t="str">
        <f>使用レシピ!B31</f>
        <v>3001</v>
      </c>
      <c r="B31" s="63">
        <f>SUMIF(テンプレート!$C$4:$C$1000,製造アイテム数!D31,テンプレート!$B$4:$B$1000)</f>
        <v>0</v>
      </c>
      <c r="C31" s="15">
        <f t="shared" si="0"/>
        <v>0</v>
      </c>
      <c r="D31" s="15" t="str">
        <f>使用レシピ!E31</f>
        <v>黒色火薬</v>
      </c>
      <c r="E31" s="15" t="str">
        <f>使用レシピ!F31</f>
        <v>石炭</v>
      </c>
      <c r="F31" s="15" t="str">
        <f>使用レシピ!G31</f>
        <v>硫黄</v>
      </c>
      <c r="G31" s="15" t="str">
        <f>使用レシピ!H31</f>
        <v/>
      </c>
      <c r="H31" s="15" t="str">
        <f>使用レシピ!I31</f>
        <v/>
      </c>
      <c r="I31" s="15" t="str">
        <f>使用レシピ!J31</f>
        <v/>
      </c>
      <c r="J31" s="15">
        <f>使用レシピ!K31</f>
        <v>1</v>
      </c>
      <c r="K31" s="15">
        <f>使用レシピ!L31</f>
        <v>1</v>
      </c>
      <c r="L31" s="15" t="str">
        <f>使用レシピ!M31</f>
        <v/>
      </c>
      <c r="M31" s="15" t="str">
        <f>使用レシピ!N31</f>
        <v/>
      </c>
      <c r="N31" s="15" t="str">
        <f>使用レシピ!O31</f>
        <v/>
      </c>
      <c r="O31" s="15">
        <f>使用レシピ!P31</f>
        <v>2</v>
      </c>
      <c r="P31" s="15">
        <f>使用レシピ!Q31</f>
        <v>30</v>
      </c>
    </row>
    <row r="32" spans="1:16" ht="14.45" customHeight="1" x14ac:dyDescent="0.4">
      <c r="A32" s="21" t="str">
        <f>使用レシピ!B32</f>
        <v>3101</v>
      </c>
      <c r="B32" s="63">
        <f>SUMIF(テンプレート!$C$4:$C$1000,製造アイテム数!D32,テンプレート!$B$4:$B$1000)</f>
        <v>1440</v>
      </c>
      <c r="C32" s="15">
        <f t="shared" si="0"/>
        <v>2</v>
      </c>
      <c r="D32" s="15" t="str">
        <f>使用レシピ!E32</f>
        <v>石炭</v>
      </c>
      <c r="E32" s="15" t="str">
        <f>使用レシピ!F32</f>
        <v/>
      </c>
      <c r="F32" s="15" t="str">
        <f>使用レシピ!G32</f>
        <v/>
      </c>
      <c r="G32" s="15" t="str">
        <f>使用レシピ!H32</f>
        <v/>
      </c>
      <c r="H32" s="15" t="str">
        <f>使用レシピ!I32</f>
        <v/>
      </c>
      <c r="I32" s="15" t="str">
        <f>使用レシピ!J32</f>
        <v/>
      </c>
      <c r="J32" s="15" t="str">
        <f>使用レシピ!K32</f>
        <v/>
      </c>
      <c r="K32" s="15" t="str">
        <f>使用レシピ!L32</f>
        <v/>
      </c>
      <c r="L32" s="15" t="str">
        <f>使用レシピ!M32</f>
        <v/>
      </c>
      <c r="M32" s="15" t="str">
        <f>使用レシピ!N32</f>
        <v/>
      </c>
      <c r="N32" s="15" t="str">
        <f>使用レシピ!O32</f>
        <v/>
      </c>
      <c r="O32" s="15">
        <f>使用レシピ!P32</f>
        <v>1</v>
      </c>
      <c r="P32" s="15">
        <f>使用レシピ!Q32</f>
        <v>1200</v>
      </c>
    </row>
    <row r="33" spans="1:16" ht="14.45" customHeight="1" x14ac:dyDescent="0.4">
      <c r="A33" s="21" t="str">
        <f>使用レシピ!B33</f>
        <v>3201</v>
      </c>
      <c r="B33" s="63">
        <f>SUMIF(テンプレート!$C$4:$C$1000,製造アイテム数!D33,テンプレート!$B$4:$B$1000)</f>
        <v>1080</v>
      </c>
      <c r="C33" s="15">
        <f t="shared" si="0"/>
        <v>1</v>
      </c>
      <c r="D33" s="15" t="str">
        <f>使用レシピ!E33</f>
        <v>硫黄</v>
      </c>
      <c r="E33" s="15" t="str">
        <f>使用レシピ!F33</f>
        <v/>
      </c>
      <c r="F33" s="15" t="str">
        <f>使用レシピ!G33</f>
        <v/>
      </c>
      <c r="G33" s="15" t="str">
        <f>使用レシピ!H33</f>
        <v/>
      </c>
      <c r="H33" s="15" t="str">
        <f>使用レシピ!I33</f>
        <v/>
      </c>
      <c r="I33" s="15" t="str">
        <f>使用レシピ!J33</f>
        <v/>
      </c>
      <c r="J33" s="15" t="str">
        <f>使用レシピ!K33</f>
        <v/>
      </c>
      <c r="K33" s="15" t="str">
        <f>使用レシピ!L33</f>
        <v/>
      </c>
      <c r="L33" s="15" t="str">
        <f>使用レシピ!M33</f>
        <v/>
      </c>
      <c r="M33" s="15" t="str">
        <f>使用レシピ!N33</f>
        <v/>
      </c>
      <c r="N33" s="15" t="str">
        <f>使用レシピ!O33</f>
        <v/>
      </c>
      <c r="O33" s="15">
        <f>使用レシピ!P33</f>
        <v>1</v>
      </c>
      <c r="P33" s="15">
        <f>使用レシピ!Q33</f>
        <v>1200</v>
      </c>
    </row>
    <row r="34" spans="1:16" ht="14.45" customHeight="1" x14ac:dyDescent="0.4">
      <c r="A34" s="21" t="str">
        <f>使用レシピ!B34</f>
        <v>3302</v>
      </c>
      <c r="B34" s="63">
        <f>SUMIF(テンプレート!$C$4:$C$1000,製造アイテム数!D34,テンプレート!$B$4:$B$1000)</f>
        <v>0</v>
      </c>
      <c r="C34" s="15">
        <f t="shared" si="0"/>
        <v>0</v>
      </c>
      <c r="D34" s="15" t="str">
        <f>使用レシピ!E34</f>
        <v>カテリウムのインゴット</v>
      </c>
      <c r="E34" s="15" t="str">
        <f>使用レシピ!F34</f>
        <v>カテリウム鉱石</v>
      </c>
      <c r="F34" s="15" t="str">
        <f>使用レシピ!G34</f>
        <v>水</v>
      </c>
      <c r="G34" s="15" t="str">
        <f>使用レシピ!H34</f>
        <v/>
      </c>
      <c r="H34" s="15" t="str">
        <f>使用レシピ!I34</f>
        <v/>
      </c>
      <c r="I34" s="15" t="str">
        <f>使用レシピ!J34</f>
        <v/>
      </c>
      <c r="J34" s="15">
        <f>使用レシピ!K34</f>
        <v>2</v>
      </c>
      <c r="K34" s="15">
        <f>使用レシピ!L34</f>
        <v>2</v>
      </c>
      <c r="L34" s="15" t="str">
        <f>使用レシピ!M34</f>
        <v/>
      </c>
      <c r="M34" s="15" t="str">
        <f>使用レシピ!N34</f>
        <v/>
      </c>
      <c r="N34" s="15" t="str">
        <f>使用レシピ!O34</f>
        <v/>
      </c>
      <c r="O34" s="15">
        <f>使用レシピ!P34</f>
        <v>1</v>
      </c>
      <c r="P34" s="15">
        <f>使用レシピ!Q34</f>
        <v>12</v>
      </c>
    </row>
    <row r="35" spans="1:16" ht="14.45" customHeight="1" x14ac:dyDescent="0.4">
      <c r="A35" s="21" t="str">
        <f>使用レシピ!B35</f>
        <v>3401</v>
      </c>
      <c r="B35" s="63">
        <f>SUMIF(テンプレート!$C$4:$C$1000,製造アイテム数!D35,テンプレート!$B$4:$B$1000)</f>
        <v>0</v>
      </c>
      <c r="C35" s="15">
        <f t="shared" si="0"/>
        <v>0</v>
      </c>
      <c r="D35" s="15" t="str">
        <f>使用レシピ!E35</f>
        <v>カテリウム鉱石</v>
      </c>
      <c r="E35" s="15" t="str">
        <f>使用レシピ!F35</f>
        <v/>
      </c>
      <c r="F35" s="15" t="str">
        <f>使用レシピ!G35</f>
        <v/>
      </c>
      <c r="G35" s="15" t="str">
        <f>使用レシピ!H35</f>
        <v/>
      </c>
      <c r="H35" s="15" t="str">
        <f>使用レシピ!I35</f>
        <v/>
      </c>
      <c r="I35" s="15" t="str">
        <f>使用レシピ!J35</f>
        <v/>
      </c>
      <c r="J35" s="15" t="str">
        <f>使用レシピ!K35</f>
        <v/>
      </c>
      <c r="K35" s="15" t="str">
        <f>使用レシピ!L35</f>
        <v/>
      </c>
      <c r="L35" s="15" t="str">
        <f>使用レシピ!M35</f>
        <v/>
      </c>
      <c r="M35" s="15" t="str">
        <f>使用レシピ!N35</f>
        <v/>
      </c>
      <c r="N35" s="15" t="str">
        <f>使用レシピ!O35</f>
        <v/>
      </c>
      <c r="O35" s="15">
        <f>使用レシピ!P35</f>
        <v>1</v>
      </c>
      <c r="P35" s="15">
        <f>使用レシピ!Q35</f>
        <v>1200</v>
      </c>
    </row>
    <row r="36" spans="1:16" ht="14.45" customHeight="1" x14ac:dyDescent="0.4">
      <c r="A36" s="21" t="str">
        <f>使用レシピ!B36</f>
        <v>3502</v>
      </c>
      <c r="B36" s="63">
        <f>SUMIF(テンプレート!$C$4:$C$1000,製造アイテム数!D36,テンプレート!$B$4:$B$1000)</f>
        <v>0</v>
      </c>
      <c r="C36" s="15">
        <f t="shared" si="0"/>
        <v>0</v>
      </c>
      <c r="D36" s="15" t="str">
        <f>使用レシピ!E36</f>
        <v>クイックワイヤー</v>
      </c>
      <c r="E36" s="15" t="str">
        <f>使用レシピ!F36</f>
        <v>カテリウムのインゴット</v>
      </c>
      <c r="F36" s="15" t="str">
        <f>使用レシピ!G36</f>
        <v>銅のインゴット</v>
      </c>
      <c r="G36" s="15" t="str">
        <f>使用レシピ!H36</f>
        <v/>
      </c>
      <c r="H36" s="15" t="str">
        <f>使用レシピ!I36</f>
        <v/>
      </c>
      <c r="I36" s="15" t="str">
        <f>使用レシピ!J36</f>
        <v/>
      </c>
      <c r="J36" s="15">
        <f>使用レシピ!K36</f>
        <v>1</v>
      </c>
      <c r="K36" s="15">
        <f>使用レシピ!L36</f>
        <v>5</v>
      </c>
      <c r="L36" s="15" t="str">
        <f>使用レシピ!M36</f>
        <v/>
      </c>
      <c r="M36" s="15" t="str">
        <f>使用レシピ!N36</f>
        <v/>
      </c>
      <c r="N36" s="15" t="str">
        <f>使用レシピ!O36</f>
        <v/>
      </c>
      <c r="O36" s="15">
        <f>使用レシピ!P36</f>
        <v>12</v>
      </c>
      <c r="P36" s="15">
        <f>使用レシピ!Q36</f>
        <v>90</v>
      </c>
    </row>
    <row r="37" spans="1:16" ht="14.45" customHeight="1" x14ac:dyDescent="0.4">
      <c r="A37" s="21" t="str">
        <f>使用レシピ!B37</f>
        <v>3604</v>
      </c>
      <c r="B37" s="63">
        <f>SUMIF(テンプレート!$C$4:$C$1000,製造アイテム数!D37,テンプレート!$B$4:$B$1000)</f>
        <v>2160</v>
      </c>
      <c r="C37" s="15">
        <f t="shared" si="0"/>
        <v>36</v>
      </c>
      <c r="D37" s="15" t="str">
        <f>使用レシピ!E37</f>
        <v>鋼鉄のインゴット</v>
      </c>
      <c r="E37" s="15" t="str">
        <f>使用レシピ!F37</f>
        <v>鉄のインゴット</v>
      </c>
      <c r="F37" s="15" t="str">
        <f>使用レシピ!G37</f>
        <v>石炭</v>
      </c>
      <c r="G37" s="15" t="str">
        <f>使用レシピ!H37</f>
        <v/>
      </c>
      <c r="H37" s="15" t="str">
        <f>使用レシピ!I37</f>
        <v/>
      </c>
      <c r="I37" s="15" t="str">
        <f>使用レシピ!J37</f>
        <v/>
      </c>
      <c r="J37" s="15">
        <f>使用レシピ!K37</f>
        <v>2</v>
      </c>
      <c r="K37" s="15">
        <f>使用レシピ!L37</f>
        <v>2</v>
      </c>
      <c r="L37" s="15" t="str">
        <f>使用レシピ!M37</f>
        <v/>
      </c>
      <c r="M37" s="15" t="str">
        <f>使用レシピ!N37</f>
        <v/>
      </c>
      <c r="N37" s="15" t="str">
        <f>使用レシピ!O37</f>
        <v/>
      </c>
      <c r="O37" s="15">
        <f>使用レシピ!P37</f>
        <v>3</v>
      </c>
      <c r="P37" s="15">
        <f>使用レシピ!Q37</f>
        <v>60</v>
      </c>
    </row>
    <row r="38" spans="1:16" ht="14.45" customHeight="1" x14ac:dyDescent="0.4">
      <c r="A38" s="21" t="str">
        <f>使用レシピ!B38</f>
        <v>3702</v>
      </c>
      <c r="B38" s="63">
        <f>SUMIF(テンプレート!$C$4:$C$1000,製造アイテム数!D38,テンプレート!$B$4:$B$1000)</f>
        <v>324</v>
      </c>
      <c r="C38" s="15">
        <f t="shared" si="0"/>
        <v>8</v>
      </c>
      <c r="D38" s="15" t="str">
        <f>使用レシピ!E38</f>
        <v>鋼梁</v>
      </c>
      <c r="E38" s="15" t="str">
        <f>使用レシピ!F38</f>
        <v>鋼鉄のインゴット</v>
      </c>
      <c r="F38" s="15" t="str">
        <f>使用レシピ!G38</f>
        <v>コンクリート</v>
      </c>
      <c r="G38" s="15" t="str">
        <f>使用レシピ!H38</f>
        <v/>
      </c>
      <c r="H38" s="15" t="str">
        <f>使用レシピ!I38</f>
        <v/>
      </c>
      <c r="I38" s="15" t="str">
        <f>使用レシピ!J38</f>
        <v/>
      </c>
      <c r="J38" s="15">
        <f>使用レシピ!K38</f>
        <v>24</v>
      </c>
      <c r="K38" s="15">
        <f>使用レシピ!L38</f>
        <v>16</v>
      </c>
      <c r="L38" s="15" t="str">
        <f>使用レシピ!M38</f>
        <v/>
      </c>
      <c r="M38" s="15" t="str">
        <f>使用レシピ!N38</f>
        <v/>
      </c>
      <c r="N38" s="15" t="str">
        <f>使用レシピ!O38</f>
        <v/>
      </c>
      <c r="O38" s="15">
        <f>使用レシピ!P38</f>
        <v>9</v>
      </c>
      <c r="P38" s="15">
        <f>使用レシピ!Q38</f>
        <v>45</v>
      </c>
    </row>
    <row r="39" spans="1:16" ht="14.45" customHeight="1" x14ac:dyDescent="0.4">
      <c r="A39" s="21" t="str">
        <f>使用レシピ!B39</f>
        <v>3803</v>
      </c>
      <c r="B39" s="63">
        <f>SUMIF(テンプレート!$C$4:$C$1000,製造アイテム数!D39,テンプレート!$B$4:$B$1000)</f>
        <v>2916</v>
      </c>
      <c r="C39" s="15">
        <f t="shared" si="0"/>
        <v>59</v>
      </c>
      <c r="D39" s="15" t="str">
        <f>使用レシピ!E39</f>
        <v>鋼管</v>
      </c>
      <c r="E39" s="15" t="str">
        <f>使用レシピ!F39</f>
        <v>鋼鉄のインゴット</v>
      </c>
      <c r="F39" s="15" t="str">
        <f>使用レシピ!G39</f>
        <v>コンクリート</v>
      </c>
      <c r="G39" s="15" t="str">
        <f>使用レシピ!H39</f>
        <v/>
      </c>
      <c r="H39" s="15" t="str">
        <f>使用レシピ!I39</f>
        <v/>
      </c>
      <c r="I39" s="15" t="str">
        <f>使用レシピ!J39</f>
        <v/>
      </c>
      <c r="J39" s="15">
        <f>使用レシピ!K39</f>
        <v>5</v>
      </c>
      <c r="K39" s="15">
        <f>使用レシピ!L39</f>
        <v>3</v>
      </c>
      <c r="L39" s="15" t="str">
        <f>使用レシピ!M39</f>
        <v/>
      </c>
      <c r="M39" s="15" t="str">
        <f>使用レシピ!N39</f>
        <v/>
      </c>
      <c r="N39" s="15" t="str">
        <f>使用レシピ!O39</f>
        <v/>
      </c>
      <c r="O39" s="15">
        <f>使用レシピ!P39</f>
        <v>5</v>
      </c>
      <c r="P39" s="15">
        <f>使用レシピ!Q39</f>
        <v>50</v>
      </c>
    </row>
    <row r="40" spans="1:16" ht="14.45" customHeight="1" x14ac:dyDescent="0.4">
      <c r="A40" s="21" t="str">
        <f>使用レシピ!B40</f>
        <v>3901</v>
      </c>
      <c r="B40" s="63">
        <f>SUMIF(テンプレート!$C$4:$C$1000,製造アイテム数!D40,テンプレート!$B$4:$B$1000)</f>
        <v>0</v>
      </c>
      <c r="C40" s="15">
        <f t="shared" si="0"/>
        <v>0</v>
      </c>
      <c r="D40" s="15" t="str">
        <f>使用レシピ!E40</f>
        <v>多目的フレームワーク</v>
      </c>
      <c r="E40" s="15" t="str">
        <f>使用レシピ!F40</f>
        <v>モジュラー・フレーム</v>
      </c>
      <c r="F40" s="15" t="str">
        <f>使用レシピ!G40</f>
        <v>鋼梁</v>
      </c>
      <c r="G40" s="15" t="str">
        <f>使用レシピ!H40</f>
        <v/>
      </c>
      <c r="H40" s="15" t="str">
        <f>使用レシピ!I40</f>
        <v/>
      </c>
      <c r="I40" s="15" t="str">
        <f>使用レシピ!J40</f>
        <v/>
      </c>
      <c r="J40" s="15">
        <f>使用レシピ!K40</f>
        <v>1</v>
      </c>
      <c r="K40" s="15">
        <f>使用レシピ!L40</f>
        <v>12</v>
      </c>
      <c r="L40" s="15" t="str">
        <f>使用レシピ!M40</f>
        <v/>
      </c>
      <c r="M40" s="15" t="str">
        <f>使用レシピ!N40</f>
        <v/>
      </c>
      <c r="N40" s="15" t="str">
        <f>使用レシピ!O40</f>
        <v/>
      </c>
      <c r="O40" s="15">
        <f>使用レシピ!P40</f>
        <v>2</v>
      </c>
      <c r="P40" s="15">
        <f>使用レシピ!Q40</f>
        <v>5</v>
      </c>
    </row>
    <row r="41" spans="1:16" ht="14.45" customHeight="1" x14ac:dyDescent="0.4">
      <c r="A41" s="21" t="str">
        <f>使用レシピ!B41</f>
        <v>4001</v>
      </c>
      <c r="B41" s="63">
        <f>SUMIF(テンプレート!$C$4:$C$1000,製造アイテム数!D41,テンプレート!$B$4:$B$1000)</f>
        <v>0</v>
      </c>
      <c r="C41" s="15">
        <f t="shared" si="0"/>
        <v>0</v>
      </c>
      <c r="D41" s="15" t="str">
        <f>使用レシピ!E41</f>
        <v>活性SAM</v>
      </c>
      <c r="E41" s="15" t="str">
        <f>使用レシピ!F41</f>
        <v>SAM</v>
      </c>
      <c r="F41" s="15" t="str">
        <f>使用レシピ!G41</f>
        <v/>
      </c>
      <c r="G41" s="15" t="str">
        <f>使用レシピ!H41</f>
        <v/>
      </c>
      <c r="H41" s="15" t="str">
        <f>使用レシピ!I41</f>
        <v/>
      </c>
      <c r="I41" s="15" t="str">
        <f>使用レシピ!J41</f>
        <v/>
      </c>
      <c r="J41" s="15">
        <f>使用レシピ!K41</f>
        <v>4</v>
      </c>
      <c r="K41" s="15" t="str">
        <f>使用レシピ!L41</f>
        <v/>
      </c>
      <c r="L41" s="15" t="str">
        <f>使用レシピ!M41</f>
        <v/>
      </c>
      <c r="M41" s="15" t="str">
        <f>使用レシピ!N41</f>
        <v/>
      </c>
      <c r="N41" s="15" t="str">
        <f>使用レシピ!O41</f>
        <v/>
      </c>
      <c r="O41" s="15">
        <f>使用レシピ!P41</f>
        <v>1</v>
      </c>
      <c r="P41" s="15">
        <f>使用レシピ!Q41</f>
        <v>30</v>
      </c>
    </row>
    <row r="42" spans="1:16" ht="14.45" customHeight="1" x14ac:dyDescent="0.4">
      <c r="A42" s="21" t="str">
        <f>使用レシピ!B42</f>
        <v>4101</v>
      </c>
      <c r="B42" s="63">
        <f>SUMIF(テンプレート!$C$4:$C$1000,製造アイテム数!D42,テンプレート!$B$4:$B$1000)</f>
        <v>0</v>
      </c>
      <c r="C42" s="15">
        <f t="shared" si="0"/>
        <v>0</v>
      </c>
      <c r="D42" s="15" t="str">
        <f>使用レシピ!E42</f>
        <v>SAM</v>
      </c>
      <c r="E42" s="15" t="str">
        <f>使用レシピ!F42</f>
        <v/>
      </c>
      <c r="F42" s="15" t="str">
        <f>使用レシピ!G42</f>
        <v/>
      </c>
      <c r="G42" s="15" t="str">
        <f>使用レシピ!H42</f>
        <v/>
      </c>
      <c r="H42" s="15" t="str">
        <f>使用レシピ!I42</f>
        <v/>
      </c>
      <c r="I42" s="15" t="str">
        <f>使用レシピ!J42</f>
        <v/>
      </c>
      <c r="J42" s="15" t="str">
        <f>使用レシピ!K42</f>
        <v/>
      </c>
      <c r="K42" s="15" t="str">
        <f>使用レシピ!L42</f>
        <v/>
      </c>
      <c r="L42" s="15" t="str">
        <f>使用レシピ!M42</f>
        <v/>
      </c>
      <c r="M42" s="15" t="str">
        <f>使用レシピ!N42</f>
        <v/>
      </c>
      <c r="N42" s="15" t="str">
        <f>使用レシピ!O42</f>
        <v/>
      </c>
      <c r="O42" s="15">
        <f>使用レシピ!P42</f>
        <v>1</v>
      </c>
      <c r="P42" s="15">
        <f>使用レシピ!Q42</f>
        <v>1200</v>
      </c>
    </row>
    <row r="43" spans="1:16" ht="14.45" customHeight="1" x14ac:dyDescent="0.4">
      <c r="A43" s="21" t="str">
        <f>使用レシピ!B43</f>
        <v>4202</v>
      </c>
      <c r="B43" s="63">
        <f>SUMIF(テンプレート!$C$4:$C$1000,製造アイテム数!D43,テンプレート!$B$4:$B$1000)</f>
        <v>216</v>
      </c>
      <c r="C43" s="15">
        <f t="shared" si="0"/>
        <v>54</v>
      </c>
      <c r="D43" s="15" t="str">
        <f>使用レシピ!E43</f>
        <v>コンクリート被覆型鋼梁</v>
      </c>
      <c r="E43" s="15" t="str">
        <f>使用レシピ!F43</f>
        <v>鋼管</v>
      </c>
      <c r="F43" s="15" t="str">
        <f>使用レシピ!G43</f>
        <v>コンクリート</v>
      </c>
      <c r="G43" s="15" t="str">
        <f>使用レシピ!H43</f>
        <v/>
      </c>
      <c r="H43" s="15" t="str">
        <f>使用レシピ!I43</f>
        <v/>
      </c>
      <c r="I43" s="15" t="str">
        <f>使用レシピ!J43</f>
        <v/>
      </c>
      <c r="J43" s="15">
        <f>使用レシピ!K43</f>
        <v>6</v>
      </c>
      <c r="K43" s="15">
        <f>使用レシピ!L43</f>
        <v>5</v>
      </c>
      <c r="L43" s="15" t="str">
        <f>使用レシピ!M43</f>
        <v/>
      </c>
      <c r="M43" s="15" t="str">
        <f>使用レシピ!N43</f>
        <v/>
      </c>
      <c r="N43" s="15" t="str">
        <f>使用レシピ!O43</f>
        <v/>
      </c>
      <c r="O43" s="15">
        <f>使用レシピ!P43</f>
        <v>1</v>
      </c>
      <c r="P43" s="15">
        <f>使用レシピ!Q43</f>
        <v>4</v>
      </c>
    </row>
    <row r="44" spans="1:16" ht="14.45" customHeight="1" x14ac:dyDescent="0.4">
      <c r="A44" s="21" t="str">
        <f>使用レシピ!B44</f>
        <v>4301</v>
      </c>
      <c r="B44" s="63">
        <f>SUMIF(テンプレート!$C$4:$C$1000,製造アイテム数!D44,テンプレート!$B$4:$B$1000)</f>
        <v>540</v>
      </c>
      <c r="C44" s="15">
        <f t="shared" si="0"/>
        <v>108</v>
      </c>
      <c r="D44" s="15" t="str">
        <f>使用レシピ!E44</f>
        <v>固定子</v>
      </c>
      <c r="E44" s="15" t="str">
        <f>使用レシピ!F44</f>
        <v>鋼管</v>
      </c>
      <c r="F44" s="15" t="str">
        <f>使用レシピ!G44</f>
        <v>ワイヤー</v>
      </c>
      <c r="G44" s="15" t="str">
        <f>使用レシピ!H44</f>
        <v/>
      </c>
      <c r="H44" s="15" t="str">
        <f>使用レシピ!I44</f>
        <v/>
      </c>
      <c r="I44" s="15" t="str">
        <f>使用レシピ!J44</f>
        <v/>
      </c>
      <c r="J44" s="15">
        <f>使用レシピ!K44</f>
        <v>3</v>
      </c>
      <c r="K44" s="15">
        <f>使用レシピ!L44</f>
        <v>8</v>
      </c>
      <c r="L44" s="15" t="str">
        <f>使用レシピ!M44</f>
        <v/>
      </c>
      <c r="M44" s="15" t="str">
        <f>使用レシピ!N44</f>
        <v/>
      </c>
      <c r="N44" s="15" t="str">
        <f>使用レシピ!O44</f>
        <v/>
      </c>
      <c r="O44" s="15">
        <f>使用レシピ!P44</f>
        <v>1</v>
      </c>
      <c r="P44" s="15">
        <f>使用レシピ!Q44</f>
        <v>5</v>
      </c>
    </row>
    <row r="45" spans="1:16" ht="14.45" customHeight="1" x14ac:dyDescent="0.4">
      <c r="A45" s="21" t="str">
        <f>使用レシピ!B45</f>
        <v>4401</v>
      </c>
      <c r="B45" s="63">
        <f>SUMIF(テンプレート!$C$4:$C$1000,製造アイテム数!D45,テンプレート!$B$4:$B$1000)</f>
        <v>0</v>
      </c>
      <c r="C45" s="15">
        <f t="shared" si="0"/>
        <v>0</v>
      </c>
      <c r="D45" s="15" t="str">
        <f>使用レシピ!E45</f>
        <v>モーター</v>
      </c>
      <c r="E45" s="15" t="str">
        <f>使用レシピ!F45</f>
        <v>ローター</v>
      </c>
      <c r="F45" s="15" t="str">
        <f>使用レシピ!G45</f>
        <v>固定子</v>
      </c>
      <c r="G45" s="15" t="str">
        <f>使用レシピ!H45</f>
        <v/>
      </c>
      <c r="H45" s="15" t="str">
        <f>使用レシピ!I45</f>
        <v/>
      </c>
      <c r="I45" s="15" t="str">
        <f>使用レシピ!J45</f>
        <v/>
      </c>
      <c r="J45" s="15">
        <f>使用レシピ!K45</f>
        <v>2</v>
      </c>
      <c r="K45" s="15">
        <f>使用レシピ!L45</f>
        <v>2</v>
      </c>
      <c r="L45" s="15" t="str">
        <f>使用レシピ!M45</f>
        <v/>
      </c>
      <c r="M45" s="15" t="str">
        <f>使用レシピ!N45</f>
        <v/>
      </c>
      <c r="N45" s="15" t="str">
        <f>使用レシピ!O45</f>
        <v/>
      </c>
      <c r="O45" s="15">
        <f>使用レシピ!P45</f>
        <v>1</v>
      </c>
      <c r="P45" s="15">
        <f>使用レシピ!Q45</f>
        <v>5</v>
      </c>
    </row>
    <row r="46" spans="1:16" ht="14.45" customHeight="1" x14ac:dyDescent="0.4">
      <c r="A46" s="21" t="str">
        <f>使用レシピ!B46</f>
        <v>4501</v>
      </c>
      <c r="B46" s="63">
        <f>SUMIF(テンプレート!$C$4:$C$1000,製造アイテム数!D46,テンプレート!$B$4:$B$1000)</f>
        <v>0</v>
      </c>
      <c r="C46" s="15">
        <f t="shared" si="0"/>
        <v>0</v>
      </c>
      <c r="D46" s="15" t="str">
        <f>使用レシピ!E46</f>
        <v>自動ワイヤー</v>
      </c>
      <c r="E46" s="15" t="str">
        <f>使用レシピ!F46</f>
        <v>固定子</v>
      </c>
      <c r="F46" s="15" t="str">
        <f>使用レシピ!G46</f>
        <v>ケーブル</v>
      </c>
      <c r="G46" s="15" t="str">
        <f>使用レシピ!H46</f>
        <v/>
      </c>
      <c r="H46" s="15" t="str">
        <f>使用レシピ!I46</f>
        <v/>
      </c>
      <c r="I46" s="15" t="str">
        <f>使用レシピ!J46</f>
        <v/>
      </c>
      <c r="J46" s="15">
        <f>使用レシピ!K46</f>
        <v>1</v>
      </c>
      <c r="K46" s="15">
        <f>使用レシピ!L46</f>
        <v>20</v>
      </c>
      <c r="L46" s="15" t="str">
        <f>使用レシピ!M46</f>
        <v/>
      </c>
      <c r="M46" s="15" t="str">
        <f>使用レシピ!N46</f>
        <v/>
      </c>
      <c r="N46" s="15" t="str">
        <f>使用レシピ!O46</f>
        <v/>
      </c>
      <c r="O46" s="15">
        <f>使用レシピ!P46</f>
        <v>1</v>
      </c>
      <c r="P46" s="15">
        <f>使用レシピ!Q46</f>
        <v>2.5</v>
      </c>
    </row>
    <row r="47" spans="1:16" ht="14.45" customHeight="1" x14ac:dyDescent="0.4">
      <c r="A47" s="21" t="str">
        <f>使用レシピ!B47</f>
        <v>4601</v>
      </c>
      <c r="B47" s="63">
        <f>SUMIF(テンプレート!$C$4:$C$1000,製造アイテム数!D47,テンプレート!$B$4:$B$1000)</f>
        <v>0</v>
      </c>
      <c r="C47" s="15">
        <f t="shared" si="0"/>
        <v>0</v>
      </c>
      <c r="D47" s="15" t="str">
        <f>使用レシピ!E47</f>
        <v>SAM変動機</v>
      </c>
      <c r="E47" s="15" t="str">
        <f>使用レシピ!F47</f>
        <v>活性SAM</v>
      </c>
      <c r="F47" s="15" t="str">
        <f>使用レシピ!G47</f>
        <v>ワイヤー</v>
      </c>
      <c r="G47" s="15" t="str">
        <f>使用レシピ!H47</f>
        <v>鋼管</v>
      </c>
      <c r="H47" s="15" t="str">
        <f>使用レシピ!I47</f>
        <v/>
      </c>
      <c r="I47" s="15" t="str">
        <f>使用レシピ!J47</f>
        <v/>
      </c>
      <c r="J47" s="15">
        <f>使用レシピ!K47</f>
        <v>6</v>
      </c>
      <c r="K47" s="15">
        <f>使用レシピ!L47</f>
        <v>5</v>
      </c>
      <c r="L47" s="15">
        <f>使用レシピ!M47</f>
        <v>3</v>
      </c>
      <c r="M47" s="15" t="str">
        <f>使用レシピ!N47</f>
        <v/>
      </c>
      <c r="N47" s="15" t="str">
        <f>使用レシピ!O47</f>
        <v/>
      </c>
      <c r="O47" s="15">
        <f>使用レシピ!P47</f>
        <v>1</v>
      </c>
      <c r="P47" s="15">
        <f>使用レシピ!Q47</f>
        <v>10</v>
      </c>
    </row>
    <row r="48" spans="1:16" ht="14.45" customHeight="1" x14ac:dyDescent="0.4">
      <c r="A48" s="21" t="str">
        <f>使用レシピ!B48</f>
        <v>4702</v>
      </c>
      <c r="B48" s="63">
        <f>SUMIF(テンプレート!$C$4:$C$1000,製造アイテム数!D48,テンプレート!$B$4:$B$1000)</f>
        <v>0</v>
      </c>
      <c r="C48" s="15">
        <f t="shared" si="0"/>
        <v>0</v>
      </c>
      <c r="D48" s="15" t="str">
        <f>使用レシピ!E48</f>
        <v>石英結晶</v>
      </c>
      <c r="E48" s="15" t="str">
        <f>使用レシピ!F48</f>
        <v>未加工石英</v>
      </c>
      <c r="F48" s="15" t="str">
        <f>使用レシピ!G48</f>
        <v>水</v>
      </c>
      <c r="G48" s="15" t="str">
        <f>使用レシピ!H48</f>
        <v/>
      </c>
      <c r="H48" s="15" t="str">
        <f>使用レシピ!I48</f>
        <v/>
      </c>
      <c r="I48" s="15" t="str">
        <f>使用レシピ!J48</f>
        <v/>
      </c>
      <c r="J48" s="15">
        <f>使用レシピ!K48</f>
        <v>9</v>
      </c>
      <c r="K48" s="15">
        <f>使用レシピ!L48</f>
        <v>5</v>
      </c>
      <c r="L48" s="15" t="str">
        <f>使用レシピ!M48</f>
        <v/>
      </c>
      <c r="M48" s="15" t="str">
        <f>使用レシピ!N48</f>
        <v/>
      </c>
      <c r="N48" s="15" t="str">
        <f>使用レシピ!O48</f>
        <v/>
      </c>
      <c r="O48" s="15">
        <f>使用レシピ!P48</f>
        <v>7</v>
      </c>
      <c r="P48" s="15">
        <f>使用レシピ!Q48</f>
        <v>52.5</v>
      </c>
    </row>
    <row r="49" spans="1:16" ht="14.45" customHeight="1" x14ac:dyDescent="0.4">
      <c r="A49" s="21" t="str">
        <f>使用レシピ!B49</f>
        <v>4801</v>
      </c>
      <c r="B49" s="63">
        <f>SUMIF(テンプレート!$C$4:$C$1000,製造アイテム数!D49,テンプレート!$B$4:$B$1000)</f>
        <v>1080</v>
      </c>
      <c r="C49" s="15">
        <f t="shared" si="0"/>
        <v>1</v>
      </c>
      <c r="D49" s="15" t="str">
        <f>使用レシピ!E49</f>
        <v>未加工石英</v>
      </c>
      <c r="E49" s="15" t="str">
        <f>使用レシピ!F49</f>
        <v/>
      </c>
      <c r="F49" s="15" t="str">
        <f>使用レシピ!G49</f>
        <v/>
      </c>
      <c r="G49" s="15" t="str">
        <f>使用レシピ!H49</f>
        <v/>
      </c>
      <c r="H49" s="15" t="str">
        <f>使用レシピ!I49</f>
        <v/>
      </c>
      <c r="I49" s="15" t="str">
        <f>使用レシピ!J49</f>
        <v/>
      </c>
      <c r="J49" s="15" t="str">
        <f>使用レシピ!K49</f>
        <v/>
      </c>
      <c r="K49" s="15" t="str">
        <f>使用レシピ!L49</f>
        <v/>
      </c>
      <c r="L49" s="15" t="str">
        <f>使用レシピ!M49</f>
        <v/>
      </c>
      <c r="M49" s="15" t="str">
        <f>使用レシピ!N49</f>
        <v/>
      </c>
      <c r="N49" s="15" t="str">
        <f>使用レシピ!O49</f>
        <v/>
      </c>
      <c r="O49" s="15">
        <f>使用レシピ!P49</f>
        <v>1</v>
      </c>
      <c r="P49" s="15">
        <f>使用レシピ!Q49</f>
        <v>1200</v>
      </c>
    </row>
    <row r="50" spans="1:16" ht="14.45" customHeight="1" x14ac:dyDescent="0.4">
      <c r="A50" s="21" t="str">
        <f>使用レシピ!B50</f>
        <v>4901</v>
      </c>
      <c r="B50" s="63">
        <f>SUMIF(テンプレート!$C$4:$C$1000,製造アイテム数!D50,テンプレート!$B$4:$B$1000)</f>
        <v>0</v>
      </c>
      <c r="C50" s="15">
        <f t="shared" si="0"/>
        <v>0</v>
      </c>
      <c r="D50" s="15" t="str">
        <f>使用レシピ!E50</f>
        <v>ノーベリスク</v>
      </c>
      <c r="E50" s="15" t="str">
        <f>使用レシピ!F50</f>
        <v>黒色火薬</v>
      </c>
      <c r="F50" s="15" t="str">
        <f>使用レシピ!G50</f>
        <v>鋼管</v>
      </c>
      <c r="G50" s="15" t="str">
        <f>使用レシピ!H50</f>
        <v/>
      </c>
      <c r="H50" s="15" t="str">
        <f>使用レシピ!I50</f>
        <v/>
      </c>
      <c r="I50" s="15" t="str">
        <f>使用レシピ!J50</f>
        <v/>
      </c>
      <c r="J50" s="15">
        <f>使用レシピ!K50</f>
        <v>2</v>
      </c>
      <c r="K50" s="15">
        <f>使用レシピ!L50</f>
        <v>2</v>
      </c>
      <c r="L50" s="15" t="str">
        <f>使用レシピ!M50</f>
        <v/>
      </c>
      <c r="M50" s="15" t="str">
        <f>使用レシピ!N50</f>
        <v/>
      </c>
      <c r="N50" s="15" t="str">
        <f>使用レシピ!O50</f>
        <v/>
      </c>
      <c r="O50" s="15">
        <f>使用レシピ!P50</f>
        <v>1</v>
      </c>
      <c r="P50" s="15">
        <f>使用レシピ!Q50</f>
        <v>10</v>
      </c>
    </row>
    <row r="51" spans="1:16" ht="14.45" customHeight="1" x14ac:dyDescent="0.4">
      <c r="A51" s="21" t="str">
        <f>使用レシピ!B51</f>
        <v>5001</v>
      </c>
      <c r="B51" s="63">
        <f>SUMIF(テンプレート!$C$4:$C$1000,製造アイテム数!D51,テンプレート!$B$4:$B$1000)</f>
        <v>360</v>
      </c>
      <c r="C51" s="15">
        <f t="shared" si="0"/>
        <v>72</v>
      </c>
      <c r="D51" s="15" t="str">
        <f>使用レシピ!E51</f>
        <v>AIリミッター</v>
      </c>
      <c r="E51" s="15" t="str">
        <f>使用レシピ!F51</f>
        <v>銅板</v>
      </c>
      <c r="F51" s="15" t="str">
        <f>使用レシピ!G51</f>
        <v>クイックワイヤー</v>
      </c>
      <c r="G51" s="15" t="str">
        <f>使用レシピ!H51</f>
        <v/>
      </c>
      <c r="H51" s="15" t="str">
        <f>使用レシピ!I51</f>
        <v/>
      </c>
      <c r="I51" s="15" t="str">
        <f>使用レシピ!J51</f>
        <v/>
      </c>
      <c r="J51" s="15">
        <f>使用レシピ!K51</f>
        <v>5</v>
      </c>
      <c r="K51" s="15">
        <f>使用レシピ!L51</f>
        <v>20</v>
      </c>
      <c r="L51" s="15" t="str">
        <f>使用レシピ!M51</f>
        <v/>
      </c>
      <c r="M51" s="15" t="str">
        <f>使用レシピ!N51</f>
        <v/>
      </c>
      <c r="N51" s="15" t="str">
        <f>使用レシピ!O51</f>
        <v/>
      </c>
      <c r="O51" s="15">
        <f>使用レシピ!P51</f>
        <v>1</v>
      </c>
      <c r="P51" s="15">
        <f>使用レシピ!Q51</f>
        <v>5</v>
      </c>
    </row>
    <row r="52" spans="1:16" ht="14.45" customHeight="1" x14ac:dyDescent="0.4">
      <c r="A52" s="21" t="str">
        <f>使用レシピ!B52</f>
        <v>5101</v>
      </c>
      <c r="B52" s="63">
        <f>SUMIF(テンプレート!$C$4:$C$1000,製造アイテム数!D52,テンプレート!$B$4:$B$1000)</f>
        <v>0</v>
      </c>
      <c r="C52" s="15">
        <f t="shared" si="0"/>
        <v>0</v>
      </c>
      <c r="D52" s="15" t="str">
        <f>使用レシピ!E52</f>
        <v>石油コークス</v>
      </c>
      <c r="E52" s="15" t="str">
        <f>使用レシピ!F52</f>
        <v>廃重油</v>
      </c>
      <c r="F52" s="15" t="str">
        <f>使用レシピ!G52</f>
        <v/>
      </c>
      <c r="G52" s="15" t="str">
        <f>使用レシピ!H52</f>
        <v/>
      </c>
      <c r="H52" s="15" t="str">
        <f>使用レシピ!I52</f>
        <v/>
      </c>
      <c r="I52" s="15" t="str">
        <f>使用レシピ!J52</f>
        <v/>
      </c>
      <c r="J52" s="15">
        <f>使用レシピ!K52</f>
        <v>4</v>
      </c>
      <c r="K52" s="15" t="str">
        <f>使用レシピ!L52</f>
        <v/>
      </c>
      <c r="L52" s="15" t="str">
        <f>使用レシピ!M52</f>
        <v/>
      </c>
      <c r="M52" s="15" t="str">
        <f>使用レシピ!N52</f>
        <v/>
      </c>
      <c r="N52" s="15" t="str">
        <f>使用レシピ!O52</f>
        <v/>
      </c>
      <c r="O52" s="15">
        <f>使用レシピ!P52</f>
        <v>12</v>
      </c>
      <c r="P52" s="15">
        <f>使用レシピ!Q52</f>
        <v>120</v>
      </c>
    </row>
    <row r="53" spans="1:16" ht="14.45" customHeight="1" x14ac:dyDescent="0.4">
      <c r="A53" s="21" t="str">
        <f>使用レシピ!B53</f>
        <v>5201</v>
      </c>
      <c r="B53" s="63">
        <f>SUMIF(テンプレート!$C$4:$C$1000,製造アイテム数!D53,テンプレート!$B$4:$B$1000)</f>
        <v>0</v>
      </c>
      <c r="C53" s="15">
        <f t="shared" si="0"/>
        <v>0</v>
      </c>
      <c r="D53" s="15" t="str">
        <f>使用レシピ!E53</f>
        <v>廃重油</v>
      </c>
      <c r="E53" s="15" t="str">
        <f>使用レシピ!F53</f>
        <v>原油</v>
      </c>
      <c r="F53" s="15" t="str">
        <f>使用レシピ!G53</f>
        <v/>
      </c>
      <c r="G53" s="15" t="str">
        <f>使用レシピ!H53</f>
        <v/>
      </c>
      <c r="H53" s="15" t="str">
        <f>使用レシピ!I53</f>
        <v/>
      </c>
      <c r="I53" s="15" t="str">
        <f>使用レシピ!J53</f>
        <v>合成樹脂</v>
      </c>
      <c r="J53" s="15">
        <f>使用レシピ!K53</f>
        <v>3</v>
      </c>
      <c r="K53" s="15" t="str">
        <f>使用レシピ!L53</f>
        <v/>
      </c>
      <c r="L53" s="15" t="str">
        <f>使用レシピ!M53</f>
        <v/>
      </c>
      <c r="M53" s="15" t="str">
        <f>使用レシピ!N53</f>
        <v/>
      </c>
      <c r="N53" s="15">
        <f>使用レシピ!O53</f>
        <v>2</v>
      </c>
      <c r="O53" s="15">
        <f>使用レシピ!P53</f>
        <v>4</v>
      </c>
      <c r="P53" s="15">
        <f>使用レシピ!Q53</f>
        <v>40</v>
      </c>
    </row>
    <row r="54" spans="1:16" ht="14.45" customHeight="1" x14ac:dyDescent="0.4">
      <c r="A54" s="21" t="str">
        <f>使用レシピ!B54</f>
        <v>5301</v>
      </c>
      <c r="B54" s="63">
        <f>SUMIF(テンプレート!$C$4:$C$1000,製造アイテム数!D54,テンプレート!$B$4:$B$1000)</f>
        <v>0</v>
      </c>
      <c r="C54" s="15">
        <f t="shared" si="0"/>
        <v>0</v>
      </c>
      <c r="D54" s="15" t="str">
        <f>使用レシピ!E54</f>
        <v>回路基板</v>
      </c>
      <c r="E54" s="15" t="str">
        <f>使用レシピ!F54</f>
        <v>銅板</v>
      </c>
      <c r="F54" s="15" t="str">
        <f>使用レシピ!G54</f>
        <v>プラスチック</v>
      </c>
      <c r="G54" s="15" t="str">
        <f>使用レシピ!H54</f>
        <v/>
      </c>
      <c r="H54" s="15" t="str">
        <f>使用レシピ!I54</f>
        <v/>
      </c>
      <c r="I54" s="15" t="str">
        <f>使用レシピ!J54</f>
        <v/>
      </c>
      <c r="J54" s="15">
        <f>使用レシピ!K54</f>
        <v>2</v>
      </c>
      <c r="K54" s="15">
        <f>使用レシピ!L54</f>
        <v>4</v>
      </c>
      <c r="L54" s="15" t="str">
        <f>使用レシピ!M54</f>
        <v/>
      </c>
      <c r="M54" s="15" t="str">
        <f>使用レシピ!N54</f>
        <v/>
      </c>
      <c r="N54" s="15" t="str">
        <f>使用レシピ!O54</f>
        <v/>
      </c>
      <c r="O54" s="15">
        <f>使用レシピ!P54</f>
        <v>1</v>
      </c>
      <c r="P54" s="15">
        <f>使用レシピ!Q54</f>
        <v>7.5</v>
      </c>
    </row>
    <row r="55" spans="1:16" ht="14.45" customHeight="1" x14ac:dyDescent="0.4">
      <c r="A55" s="21" t="str">
        <f>使用レシピ!B55</f>
        <v>5401</v>
      </c>
      <c r="B55" s="63">
        <f>SUMIF(テンプレート!$C$4:$C$1000,製造アイテム数!D55,テンプレート!$B$4:$B$1000)</f>
        <v>0</v>
      </c>
      <c r="C55" s="15">
        <f t="shared" si="0"/>
        <v>0</v>
      </c>
      <c r="D55" s="15" t="str">
        <f>使用レシピ!E55</f>
        <v>プラスチック</v>
      </c>
      <c r="E55" s="15" t="str">
        <f>使用レシピ!F55</f>
        <v>原油</v>
      </c>
      <c r="F55" s="15" t="str">
        <f>使用レシピ!G55</f>
        <v/>
      </c>
      <c r="G55" s="15" t="str">
        <f>使用レシピ!H55</f>
        <v/>
      </c>
      <c r="H55" s="15" t="str">
        <f>使用レシピ!I55</f>
        <v/>
      </c>
      <c r="I55" s="15" t="str">
        <f>使用レシピ!J55</f>
        <v>廃重油</v>
      </c>
      <c r="J55" s="15">
        <f>使用レシピ!K55</f>
        <v>3</v>
      </c>
      <c r="K55" s="15" t="str">
        <f>使用レシピ!L55</f>
        <v/>
      </c>
      <c r="L55" s="15" t="str">
        <f>使用レシピ!M55</f>
        <v/>
      </c>
      <c r="M55" s="15" t="str">
        <f>使用レシピ!N55</f>
        <v/>
      </c>
      <c r="N55" s="15">
        <f>使用レシピ!O55</f>
        <v>1</v>
      </c>
      <c r="O55" s="15">
        <f>使用レシピ!P55</f>
        <v>2</v>
      </c>
      <c r="P55" s="15">
        <f>使用レシピ!Q55</f>
        <v>20</v>
      </c>
    </row>
    <row r="56" spans="1:16" ht="14.45" customHeight="1" x14ac:dyDescent="0.4">
      <c r="A56" s="21" t="str">
        <f>使用レシピ!B56</f>
        <v>5503</v>
      </c>
      <c r="B56" s="63">
        <f>SUMIF(テンプレート!$C$4:$C$1000,製造アイテム数!D56,テンプレート!$B$4:$B$1000)</f>
        <v>0</v>
      </c>
      <c r="C56" s="15">
        <f t="shared" si="0"/>
        <v>0</v>
      </c>
      <c r="D56" s="15" t="str">
        <f>使用レシピ!E56</f>
        <v>合成樹脂</v>
      </c>
      <c r="E56" s="15" t="str">
        <f>使用レシピ!F56</f>
        <v>原油</v>
      </c>
      <c r="F56" s="15" t="str">
        <f>使用レシピ!G56</f>
        <v/>
      </c>
      <c r="G56" s="15" t="str">
        <f>使用レシピ!H56</f>
        <v/>
      </c>
      <c r="H56" s="15" t="str">
        <f>使用レシピ!I56</f>
        <v/>
      </c>
      <c r="I56" s="15" t="str">
        <f>使用レシピ!J56</f>
        <v>廃重油</v>
      </c>
      <c r="J56" s="15">
        <f>使用レシピ!K56</f>
        <v>6</v>
      </c>
      <c r="K56" s="15" t="str">
        <f>使用レシピ!L56</f>
        <v/>
      </c>
      <c r="L56" s="15" t="str">
        <f>使用レシピ!M56</f>
        <v/>
      </c>
      <c r="M56" s="15" t="str">
        <f>使用レシピ!N56</f>
        <v/>
      </c>
      <c r="N56" s="15">
        <f>使用レシピ!O56</f>
        <v>2</v>
      </c>
      <c r="O56" s="15">
        <f>使用レシピ!P56</f>
        <v>13</v>
      </c>
      <c r="P56" s="15">
        <f>使用レシピ!Q56</f>
        <v>130</v>
      </c>
    </row>
    <row r="57" spans="1:16" ht="14.45" customHeight="1" x14ac:dyDescent="0.4">
      <c r="A57" s="21" t="str">
        <f>使用レシピ!B57</f>
        <v>5601</v>
      </c>
      <c r="B57" s="63">
        <f>SUMIF(テンプレート!$C$4:$C$1000,製造アイテム数!D57,テンプレート!$B$4:$B$1000)</f>
        <v>94419.230769230751</v>
      </c>
      <c r="C57" s="15">
        <f t="shared" si="0"/>
        <v>787</v>
      </c>
      <c r="D57" s="15" t="str">
        <f>使用レシピ!E57</f>
        <v>水</v>
      </c>
      <c r="E57" s="15" t="str">
        <f>使用レシピ!F57</f>
        <v/>
      </c>
      <c r="F57" s="15" t="str">
        <f>使用レシピ!G57</f>
        <v/>
      </c>
      <c r="G57" s="15" t="str">
        <f>使用レシピ!H57</f>
        <v/>
      </c>
      <c r="H57" s="15" t="str">
        <f>使用レシピ!I57</f>
        <v/>
      </c>
      <c r="I57" s="15" t="str">
        <f>使用レシピ!J57</f>
        <v/>
      </c>
      <c r="J57" s="15" t="str">
        <f>使用レシピ!K57</f>
        <v/>
      </c>
      <c r="K57" s="15" t="str">
        <f>使用レシピ!L57</f>
        <v/>
      </c>
      <c r="L57" s="15" t="str">
        <f>使用レシピ!M57</f>
        <v/>
      </c>
      <c r="M57" s="15" t="str">
        <f>使用レシピ!N57</f>
        <v/>
      </c>
      <c r="N57" s="15" t="str">
        <f>使用レシピ!O57</f>
        <v/>
      </c>
      <c r="O57" s="15">
        <f>使用レシピ!P57</f>
        <v>1</v>
      </c>
      <c r="P57" s="15">
        <f>使用レシピ!Q57</f>
        <v>120</v>
      </c>
    </row>
    <row r="58" spans="1:16" ht="14.45" customHeight="1" x14ac:dyDescent="0.4">
      <c r="A58" s="21" t="str">
        <f>使用レシピ!B58</f>
        <v>5701</v>
      </c>
      <c r="B58" s="63">
        <f>SUMIF(テンプレート!$C$4:$C$1000,製造アイテム数!D58,テンプレート!$B$4:$B$1000)</f>
        <v>0</v>
      </c>
      <c r="C58" s="15">
        <f t="shared" si="0"/>
        <v>0</v>
      </c>
      <c r="D58" s="15" t="str">
        <f>使用レシピ!E58</f>
        <v>ゴム</v>
      </c>
      <c r="E58" s="15" t="str">
        <f>使用レシピ!F58</f>
        <v>原油</v>
      </c>
      <c r="F58" s="15" t="str">
        <f>使用レシピ!G58</f>
        <v/>
      </c>
      <c r="G58" s="15" t="str">
        <f>使用レシピ!H58</f>
        <v/>
      </c>
      <c r="H58" s="15" t="str">
        <f>使用レシピ!I58</f>
        <v/>
      </c>
      <c r="I58" s="15" t="str">
        <f>使用レシピ!J58</f>
        <v>廃重油</v>
      </c>
      <c r="J58" s="15">
        <f>使用レシピ!K58</f>
        <v>3</v>
      </c>
      <c r="K58" s="15" t="str">
        <f>使用レシピ!L58</f>
        <v/>
      </c>
      <c r="L58" s="15" t="str">
        <f>使用レシピ!M58</f>
        <v/>
      </c>
      <c r="M58" s="15" t="str">
        <f>使用レシピ!N58</f>
        <v/>
      </c>
      <c r="N58" s="15">
        <f>使用レシピ!O58</f>
        <v>2</v>
      </c>
      <c r="O58" s="15">
        <f>使用レシピ!P58</f>
        <v>2</v>
      </c>
      <c r="P58" s="15">
        <f>使用レシピ!Q58</f>
        <v>20</v>
      </c>
    </row>
    <row r="59" spans="1:16" ht="14.45" customHeight="1" x14ac:dyDescent="0.4">
      <c r="A59" s="21" t="str">
        <f>使用レシピ!B59</f>
        <v>5801</v>
      </c>
      <c r="B59" s="63">
        <f>SUMIF(テンプレート!$C$4:$C$1000,製造アイテム数!D59,テンプレート!$B$4:$B$1000)</f>
        <v>0</v>
      </c>
      <c r="C59" s="15">
        <f t="shared" si="0"/>
        <v>0</v>
      </c>
      <c r="D59" s="15" t="str">
        <f>使用レシピ!E59</f>
        <v>燃料</v>
      </c>
      <c r="E59" s="15" t="str">
        <f>使用レシピ!F59</f>
        <v>原油</v>
      </c>
      <c r="F59" s="15" t="str">
        <f>使用レシピ!G59</f>
        <v/>
      </c>
      <c r="G59" s="15" t="str">
        <f>使用レシピ!H59</f>
        <v/>
      </c>
      <c r="H59" s="15" t="str">
        <f>使用レシピ!I59</f>
        <v/>
      </c>
      <c r="I59" s="15" t="str">
        <f>使用レシピ!J59</f>
        <v>合成樹脂</v>
      </c>
      <c r="J59" s="15">
        <f>使用レシピ!K59</f>
        <v>6</v>
      </c>
      <c r="K59" s="15" t="str">
        <f>使用レシピ!L59</f>
        <v/>
      </c>
      <c r="L59" s="15" t="str">
        <f>使用レシピ!M59</f>
        <v/>
      </c>
      <c r="M59" s="15" t="str">
        <f>使用レシピ!N59</f>
        <v/>
      </c>
      <c r="N59" s="15">
        <f>使用レシピ!O59</f>
        <v>3</v>
      </c>
      <c r="O59" s="15">
        <f>使用レシピ!P59</f>
        <v>4</v>
      </c>
      <c r="P59" s="15">
        <f>使用レシピ!Q59</f>
        <v>40</v>
      </c>
    </row>
    <row r="60" spans="1:16" ht="14.45" customHeight="1" x14ac:dyDescent="0.4">
      <c r="A60" s="21" t="str">
        <f>使用レシピ!B60</f>
        <v>5901</v>
      </c>
      <c r="B60" s="63">
        <f>SUMIF(テンプレート!$C$4:$C$1000,製造アイテム数!D60,テンプレート!$B$4:$B$1000)</f>
        <v>0</v>
      </c>
      <c r="C60" s="15">
        <f t="shared" si="0"/>
        <v>0</v>
      </c>
      <c r="D60" s="15" t="str">
        <f>使用レシピ!E60</f>
        <v>原油</v>
      </c>
      <c r="E60" s="15" t="str">
        <f>使用レシピ!F60</f>
        <v/>
      </c>
      <c r="F60" s="15" t="str">
        <f>使用レシピ!G60</f>
        <v/>
      </c>
      <c r="G60" s="15" t="str">
        <f>使用レシピ!H60</f>
        <v/>
      </c>
      <c r="H60" s="15" t="str">
        <f>使用レシピ!I60</f>
        <v/>
      </c>
      <c r="I60" s="15" t="str">
        <f>使用レシピ!J60</f>
        <v/>
      </c>
      <c r="J60" s="15" t="str">
        <f>使用レシピ!K60</f>
        <v/>
      </c>
      <c r="K60" s="15" t="str">
        <f>使用レシピ!L60</f>
        <v/>
      </c>
      <c r="L60" s="15" t="str">
        <f>使用レシピ!M60</f>
        <v/>
      </c>
      <c r="M60" s="15" t="str">
        <f>使用レシピ!N60</f>
        <v/>
      </c>
      <c r="N60" s="15" t="str">
        <f>使用レシピ!O60</f>
        <v/>
      </c>
      <c r="O60" s="15">
        <f>使用レシピ!P60</f>
        <v>1</v>
      </c>
      <c r="P60" s="15">
        <f>使用レシピ!Q60</f>
        <v>600</v>
      </c>
    </row>
    <row r="61" spans="1:16" ht="14.45" customHeight="1" x14ac:dyDescent="0.4">
      <c r="A61" s="21" t="str">
        <f>使用レシピ!B61</f>
        <v>6001</v>
      </c>
      <c r="B61" s="63">
        <f>SUMIF(テンプレート!$C$4:$C$1000,製造アイテム数!D61,テンプレート!$B$4:$B$1000)</f>
        <v>1800</v>
      </c>
      <c r="C61" s="15">
        <f t="shared" si="0"/>
        <v>48</v>
      </c>
      <c r="D61" s="15" t="str">
        <f>使用レシピ!E61</f>
        <v>シリカ</v>
      </c>
      <c r="E61" s="15" t="str">
        <f>使用レシピ!F61</f>
        <v>未加工石英</v>
      </c>
      <c r="F61" s="15" t="str">
        <f>使用レシピ!G61</f>
        <v/>
      </c>
      <c r="G61" s="15" t="str">
        <f>使用レシピ!H61</f>
        <v/>
      </c>
      <c r="H61" s="15" t="str">
        <f>使用レシピ!I61</f>
        <v/>
      </c>
      <c r="I61" s="15" t="str">
        <f>使用レシピ!J61</f>
        <v/>
      </c>
      <c r="J61" s="15">
        <f>使用レシピ!K61</f>
        <v>3</v>
      </c>
      <c r="K61" s="15" t="str">
        <f>使用レシピ!L61</f>
        <v/>
      </c>
      <c r="L61" s="15" t="str">
        <f>使用レシピ!M61</f>
        <v/>
      </c>
      <c r="M61" s="15" t="str">
        <f>使用レシピ!N61</f>
        <v/>
      </c>
      <c r="N61" s="15" t="str">
        <f>使用レシピ!O61</f>
        <v/>
      </c>
      <c r="O61" s="15">
        <f>使用レシピ!P61</f>
        <v>5</v>
      </c>
      <c r="P61" s="15">
        <f>使用レシピ!Q61</f>
        <v>37.5</v>
      </c>
    </row>
    <row r="62" spans="1:16" ht="14.45" customHeight="1" x14ac:dyDescent="0.4">
      <c r="A62" s="21" t="str">
        <f>使用レシピ!B62</f>
        <v>6101</v>
      </c>
      <c r="B62" s="63">
        <f>SUMIF(テンプレート!$C$4:$C$1000,製造アイテム数!D62,テンプレート!$B$4:$B$1000)</f>
        <v>0</v>
      </c>
      <c r="C62" s="15">
        <f t="shared" si="0"/>
        <v>0</v>
      </c>
      <c r="D62" s="15" t="str">
        <f>使用レシピ!E62</f>
        <v>水晶発振器</v>
      </c>
      <c r="E62" s="15" t="str">
        <f>使用レシピ!F62</f>
        <v>石英結晶</v>
      </c>
      <c r="F62" s="15" t="str">
        <f>使用レシピ!G62</f>
        <v>ケーブル</v>
      </c>
      <c r="G62" s="15" t="str">
        <f>使用レシピ!H62</f>
        <v>強化鉄板</v>
      </c>
      <c r="H62" s="15" t="str">
        <f>使用レシピ!I62</f>
        <v/>
      </c>
      <c r="I62" s="15" t="str">
        <f>使用レシピ!J62</f>
        <v/>
      </c>
      <c r="J62" s="15">
        <f>使用レシピ!K62</f>
        <v>36</v>
      </c>
      <c r="K62" s="15">
        <f>使用レシピ!L62</f>
        <v>28</v>
      </c>
      <c r="L62" s="15">
        <f>使用レシピ!M62</f>
        <v>5</v>
      </c>
      <c r="M62" s="15" t="str">
        <f>使用レシピ!N62</f>
        <v/>
      </c>
      <c r="N62" s="15" t="str">
        <f>使用レシピ!O62</f>
        <v/>
      </c>
      <c r="O62" s="15">
        <f>使用レシピ!P62</f>
        <v>2</v>
      </c>
      <c r="P62" s="15">
        <f>使用レシピ!Q62</f>
        <v>1</v>
      </c>
    </row>
    <row r="63" spans="1:16" ht="14.45" customHeight="1" x14ac:dyDescent="0.4">
      <c r="A63" s="21" t="str">
        <f>使用レシピ!B63</f>
        <v>6201</v>
      </c>
      <c r="B63" s="63">
        <f>SUMIF(テンプレート!$C$4:$C$1000,製造アイテム数!D63,テンプレート!$B$4:$B$1000)</f>
        <v>0</v>
      </c>
      <c r="C63" s="15">
        <f t="shared" si="0"/>
        <v>0</v>
      </c>
      <c r="D63" s="15" t="str">
        <f>使用レシピ!E63</f>
        <v>空の容器</v>
      </c>
      <c r="E63" s="15" t="str">
        <f>使用レシピ!F63</f>
        <v>プラスチック</v>
      </c>
      <c r="F63" s="15" t="str">
        <f>使用レシピ!G63</f>
        <v/>
      </c>
      <c r="G63" s="15" t="str">
        <f>使用レシピ!H63</f>
        <v/>
      </c>
      <c r="H63" s="15" t="str">
        <f>使用レシピ!I63</f>
        <v/>
      </c>
      <c r="I63" s="15" t="str">
        <f>使用レシピ!J63</f>
        <v/>
      </c>
      <c r="J63" s="15">
        <f>使用レシピ!K63</f>
        <v>2</v>
      </c>
      <c r="K63" s="15" t="str">
        <f>使用レシピ!L63</f>
        <v/>
      </c>
      <c r="L63" s="15" t="str">
        <f>使用レシピ!M63</f>
        <v/>
      </c>
      <c r="M63" s="15" t="str">
        <f>使用レシピ!N63</f>
        <v/>
      </c>
      <c r="N63" s="15" t="str">
        <f>使用レシピ!O63</f>
        <v/>
      </c>
      <c r="O63" s="15">
        <f>使用レシピ!P63</f>
        <v>4</v>
      </c>
      <c r="P63" s="15">
        <f>使用レシピ!Q63</f>
        <v>60</v>
      </c>
    </row>
    <row r="64" spans="1:16" ht="14.45" customHeight="1" x14ac:dyDescent="0.4">
      <c r="A64" s="21" t="str">
        <f>使用レシピ!B64</f>
        <v>6301</v>
      </c>
      <c r="B64" s="63">
        <f>SUMIF(テンプレート!$C$4:$C$1000,製造アイテム数!D64,テンプレート!$B$4:$B$1000)</f>
        <v>0</v>
      </c>
      <c r="C64" s="15">
        <f t="shared" si="0"/>
        <v>0</v>
      </c>
      <c r="D64" s="15" t="str">
        <f>使用レシピ!E64</f>
        <v>包装済み水</v>
      </c>
      <c r="E64" s="15" t="str">
        <f>使用レシピ!F64</f>
        <v>空の容器</v>
      </c>
      <c r="F64" s="15" t="str">
        <f>使用レシピ!G64</f>
        <v>水</v>
      </c>
      <c r="G64" s="15" t="str">
        <f>使用レシピ!H64</f>
        <v/>
      </c>
      <c r="H64" s="15" t="str">
        <f>使用レシピ!I64</f>
        <v/>
      </c>
      <c r="I64" s="15" t="str">
        <f>使用レシピ!J64</f>
        <v/>
      </c>
      <c r="J64" s="15">
        <f>使用レシピ!K64</f>
        <v>2</v>
      </c>
      <c r="K64" s="15">
        <f>使用レシピ!L64</f>
        <v>2</v>
      </c>
      <c r="L64" s="15" t="str">
        <f>使用レシピ!M64</f>
        <v/>
      </c>
      <c r="M64" s="15" t="str">
        <f>使用レシピ!N64</f>
        <v/>
      </c>
      <c r="N64" s="15" t="str">
        <f>使用レシピ!O64</f>
        <v/>
      </c>
      <c r="O64" s="15">
        <f>使用レシピ!P64</f>
        <v>2</v>
      </c>
      <c r="P64" s="15">
        <f>使用レシピ!Q64</f>
        <v>60</v>
      </c>
    </row>
    <row r="65" spans="1:16" ht="14.45" customHeight="1" x14ac:dyDescent="0.4">
      <c r="A65" s="21" t="str">
        <f>使用レシピ!B65</f>
        <v>6401</v>
      </c>
      <c r="B65" s="63">
        <f>SUMIF(テンプレート!$C$4:$C$1000,製造アイテム数!D65,テンプレート!$B$4:$B$1000)</f>
        <v>0</v>
      </c>
      <c r="C65" s="15">
        <f t="shared" si="0"/>
        <v>0</v>
      </c>
      <c r="D65" s="15" t="str">
        <f>使用レシピ!E65</f>
        <v>包装済み原油</v>
      </c>
      <c r="E65" s="15" t="str">
        <f>使用レシピ!F65</f>
        <v>空の容器</v>
      </c>
      <c r="F65" s="15" t="str">
        <f>使用レシピ!G65</f>
        <v>原油</v>
      </c>
      <c r="G65" s="15" t="str">
        <f>使用レシピ!H65</f>
        <v/>
      </c>
      <c r="H65" s="15" t="str">
        <f>使用レシピ!I65</f>
        <v/>
      </c>
      <c r="I65" s="15" t="str">
        <f>使用レシピ!J65</f>
        <v/>
      </c>
      <c r="J65" s="15">
        <f>使用レシピ!K65</f>
        <v>2</v>
      </c>
      <c r="K65" s="15">
        <f>使用レシピ!L65</f>
        <v>2</v>
      </c>
      <c r="L65" s="15" t="str">
        <f>使用レシピ!M65</f>
        <v/>
      </c>
      <c r="M65" s="15" t="str">
        <f>使用レシピ!N65</f>
        <v/>
      </c>
      <c r="N65" s="15" t="str">
        <f>使用レシピ!O65</f>
        <v/>
      </c>
      <c r="O65" s="15">
        <f>使用レシピ!P65</f>
        <v>2</v>
      </c>
      <c r="P65" s="15">
        <f>使用レシピ!Q65</f>
        <v>30</v>
      </c>
    </row>
    <row r="66" spans="1:16" ht="14.45" customHeight="1" x14ac:dyDescent="0.4">
      <c r="A66" s="21" t="str">
        <f>使用レシピ!B66</f>
        <v>6501</v>
      </c>
      <c r="B66" s="63">
        <f>SUMIF(テンプレート!$C$4:$C$1000,製造アイテム数!D66,テンプレート!$B$4:$B$1000)</f>
        <v>0</v>
      </c>
      <c r="C66" s="15">
        <f t="shared" si="0"/>
        <v>0</v>
      </c>
      <c r="D66" s="15" t="str">
        <f>使用レシピ!E66</f>
        <v>包装済み燃料</v>
      </c>
      <c r="E66" s="15" t="str">
        <f>使用レシピ!F66</f>
        <v>空の容器</v>
      </c>
      <c r="F66" s="15" t="str">
        <f>使用レシピ!G66</f>
        <v>燃料</v>
      </c>
      <c r="G66" s="15" t="str">
        <f>使用レシピ!H66</f>
        <v/>
      </c>
      <c r="H66" s="15" t="str">
        <f>使用レシピ!I66</f>
        <v/>
      </c>
      <c r="I66" s="15" t="str">
        <f>使用レシピ!J66</f>
        <v/>
      </c>
      <c r="J66" s="15">
        <f>使用レシピ!K66</f>
        <v>2</v>
      </c>
      <c r="K66" s="15">
        <f>使用レシピ!L66</f>
        <v>2</v>
      </c>
      <c r="L66" s="15" t="str">
        <f>使用レシピ!M66</f>
        <v/>
      </c>
      <c r="M66" s="15" t="str">
        <f>使用レシピ!N66</f>
        <v/>
      </c>
      <c r="N66" s="15" t="str">
        <f>使用レシピ!O66</f>
        <v/>
      </c>
      <c r="O66" s="15">
        <f>使用レシピ!P66</f>
        <v>2</v>
      </c>
      <c r="P66" s="15">
        <f>使用レシピ!Q66</f>
        <v>40</v>
      </c>
    </row>
    <row r="67" spans="1:16" ht="14.45" customHeight="1" x14ac:dyDescent="0.4">
      <c r="A67" s="21" t="str">
        <f>使用レシピ!B67</f>
        <v>6601</v>
      </c>
      <c r="B67" s="63">
        <f>SUMIF(テンプレート!$C$4:$C$1000,製造アイテム数!D67,テンプレート!$B$4:$B$1000)</f>
        <v>0</v>
      </c>
      <c r="C67" s="15">
        <f t="shared" ref="C67:C87" si="1">ROUNDUP(B67/P67,0)</f>
        <v>0</v>
      </c>
      <c r="D67" s="15" t="str">
        <f>使用レシピ!E67</f>
        <v>包装済み廃重油</v>
      </c>
      <c r="E67" s="15" t="str">
        <f>使用レシピ!F67</f>
        <v>空の容器</v>
      </c>
      <c r="F67" s="15" t="str">
        <f>使用レシピ!G67</f>
        <v>廃重油</v>
      </c>
      <c r="G67" s="15" t="str">
        <f>使用レシピ!H67</f>
        <v/>
      </c>
      <c r="H67" s="15" t="str">
        <f>使用レシピ!I67</f>
        <v/>
      </c>
      <c r="I67" s="15" t="str">
        <f>使用レシピ!J67</f>
        <v/>
      </c>
      <c r="J67" s="15">
        <f>使用レシピ!K67</f>
        <v>2</v>
      </c>
      <c r="K67" s="15">
        <f>使用レシピ!L67</f>
        <v>2</v>
      </c>
      <c r="L67" s="15" t="str">
        <f>使用レシピ!M67</f>
        <v/>
      </c>
      <c r="M67" s="15" t="str">
        <f>使用レシピ!N67</f>
        <v/>
      </c>
      <c r="N67" s="15" t="str">
        <f>使用レシピ!O67</f>
        <v/>
      </c>
      <c r="O67" s="15">
        <f>使用レシピ!P67</f>
        <v>2</v>
      </c>
      <c r="P67" s="15">
        <f>使用レシピ!Q67</f>
        <v>30</v>
      </c>
    </row>
    <row r="68" spans="1:16" ht="14.45" customHeight="1" x14ac:dyDescent="0.4">
      <c r="A68" s="21" t="str">
        <f>使用レシピ!B68</f>
        <v>6701</v>
      </c>
      <c r="B68" s="63">
        <f>SUMIF(テンプレート!$C$4:$C$1000,製造アイテム数!D68,テンプレート!$B$4:$B$1000)</f>
        <v>0</v>
      </c>
      <c r="C68" s="15">
        <f t="shared" si="1"/>
        <v>0</v>
      </c>
      <c r="D68" s="15" t="str">
        <f>使用レシピ!E68</f>
        <v>包装済み液体バイオ燃料</v>
      </c>
      <c r="E68" s="15" t="str">
        <f>使用レシピ!F68</f>
        <v>空の容器</v>
      </c>
      <c r="F68" s="15" t="str">
        <f>使用レシピ!G68</f>
        <v>液体バイオ燃料</v>
      </c>
      <c r="G68" s="15" t="str">
        <f>使用レシピ!H68</f>
        <v/>
      </c>
      <c r="H68" s="15" t="str">
        <f>使用レシピ!I68</f>
        <v/>
      </c>
      <c r="I68" s="15" t="str">
        <f>使用レシピ!J68</f>
        <v/>
      </c>
      <c r="J68" s="15">
        <f>使用レシピ!K68</f>
        <v>2</v>
      </c>
      <c r="K68" s="15">
        <f>使用レシピ!L68</f>
        <v>2</v>
      </c>
      <c r="L68" s="15" t="str">
        <f>使用レシピ!M68</f>
        <v/>
      </c>
      <c r="M68" s="15" t="str">
        <f>使用レシピ!N68</f>
        <v/>
      </c>
      <c r="N68" s="15" t="str">
        <f>使用レシピ!O68</f>
        <v/>
      </c>
      <c r="O68" s="15">
        <f>使用レシピ!P68</f>
        <v>2</v>
      </c>
      <c r="P68" s="15">
        <f>使用レシピ!Q68</f>
        <v>40</v>
      </c>
    </row>
    <row r="69" spans="1:16" ht="14.45" customHeight="1" x14ac:dyDescent="0.4">
      <c r="A69" s="21" t="str">
        <f>使用レシピ!B69</f>
        <v>6801</v>
      </c>
      <c r="B69" s="63">
        <f>SUMIF(テンプレート!$C$4:$C$1000,製造アイテム数!D69,テンプレート!$B$4:$B$1000)</f>
        <v>0</v>
      </c>
      <c r="C69" s="15">
        <f t="shared" si="1"/>
        <v>0</v>
      </c>
      <c r="D69" s="15" t="str">
        <f>使用レシピ!E69</f>
        <v>液体バイオ燃料</v>
      </c>
      <c r="E69" s="15" t="str">
        <f>使用レシピ!F69</f>
        <v>固体バイオ燃料</v>
      </c>
      <c r="F69" s="15" t="str">
        <f>使用レシピ!G69</f>
        <v>水</v>
      </c>
      <c r="G69" s="15" t="str">
        <f>使用レシピ!H69</f>
        <v/>
      </c>
      <c r="H69" s="15" t="str">
        <f>使用レシピ!I69</f>
        <v/>
      </c>
      <c r="I69" s="15" t="str">
        <f>使用レシピ!J69</f>
        <v/>
      </c>
      <c r="J69" s="15">
        <f>使用レシピ!K69</f>
        <v>6</v>
      </c>
      <c r="K69" s="15">
        <f>使用レシピ!L69</f>
        <v>3</v>
      </c>
      <c r="L69" s="15" t="str">
        <f>使用レシピ!M69</f>
        <v/>
      </c>
      <c r="M69" s="15" t="str">
        <f>使用レシピ!N69</f>
        <v/>
      </c>
      <c r="N69" s="15" t="str">
        <f>使用レシピ!O69</f>
        <v/>
      </c>
      <c r="O69" s="15">
        <f>使用レシピ!P69</f>
        <v>4</v>
      </c>
      <c r="P69" s="15">
        <f>使用レシピ!Q69</f>
        <v>60</v>
      </c>
    </row>
    <row r="70" spans="1:16" ht="14.45" customHeight="1" x14ac:dyDescent="0.4">
      <c r="A70" s="21" t="str">
        <f>使用レシピ!B70</f>
        <v>6901</v>
      </c>
      <c r="B70" s="63">
        <f>SUMIF(テンプレート!$C$4:$C$1000,製造アイテム数!D70,テンプレート!$B$4:$B$1000)</f>
        <v>0</v>
      </c>
      <c r="C70" s="15">
        <f t="shared" si="1"/>
        <v>0</v>
      </c>
      <c r="D70" s="15" t="str">
        <f>使用レシピ!E70</f>
        <v>圧縮石炭</v>
      </c>
      <c r="E70" s="15" t="str">
        <f>使用レシピ!F70</f>
        <v>石炭</v>
      </c>
      <c r="F70" s="15" t="str">
        <f>使用レシピ!G70</f>
        <v>硫黄</v>
      </c>
      <c r="G70" s="15" t="str">
        <f>使用レシピ!H70</f>
        <v/>
      </c>
      <c r="H70" s="15" t="str">
        <f>使用レシピ!I70</f>
        <v/>
      </c>
      <c r="I70" s="15" t="str">
        <f>使用レシピ!J70</f>
        <v/>
      </c>
      <c r="J70" s="15">
        <f>使用レシピ!K70</f>
        <v>5</v>
      </c>
      <c r="K70" s="15">
        <f>使用レシピ!L70</f>
        <v>5</v>
      </c>
      <c r="L70" s="15" t="str">
        <f>使用レシピ!M70</f>
        <v/>
      </c>
      <c r="M70" s="15" t="str">
        <f>使用レシピ!N70</f>
        <v/>
      </c>
      <c r="N70" s="15" t="str">
        <f>使用レシピ!O70</f>
        <v/>
      </c>
      <c r="O70" s="15">
        <f>使用レシピ!P70</f>
        <v>5</v>
      </c>
      <c r="P70" s="15">
        <f>使用レシピ!Q70</f>
        <v>25</v>
      </c>
    </row>
    <row r="71" spans="1:16" ht="14.45" customHeight="1" x14ac:dyDescent="0.4">
      <c r="A71" s="21" t="str">
        <f>使用レシピ!B71</f>
        <v>7001</v>
      </c>
      <c r="B71" s="63">
        <f>SUMIF(テンプレート!$C$4:$C$1000,製造アイテム数!D71,テンプレート!$B$4:$B$1000)</f>
        <v>0</v>
      </c>
      <c r="C71" s="15">
        <f t="shared" si="1"/>
        <v>0</v>
      </c>
      <c r="D71" s="15" t="str">
        <f>使用レシピ!E71</f>
        <v>コンピューター</v>
      </c>
      <c r="E71" s="15" t="str">
        <f>使用レシピ!F71</f>
        <v>回路基板</v>
      </c>
      <c r="F71" s="15" t="str">
        <f>使用レシピ!G71</f>
        <v>ケーブル</v>
      </c>
      <c r="G71" s="15" t="str">
        <f>使用レシピ!H71</f>
        <v>プラスチック</v>
      </c>
      <c r="H71" s="15" t="str">
        <f>使用レシピ!I71</f>
        <v/>
      </c>
      <c r="I71" s="15" t="str">
        <f>使用レシピ!J71</f>
        <v/>
      </c>
      <c r="J71" s="15">
        <f>使用レシピ!K71</f>
        <v>4</v>
      </c>
      <c r="K71" s="15">
        <f>使用レシピ!L71</f>
        <v>8</v>
      </c>
      <c r="L71" s="15">
        <f>使用レシピ!M71</f>
        <v>16</v>
      </c>
      <c r="M71" s="15" t="str">
        <f>使用レシピ!N71</f>
        <v/>
      </c>
      <c r="N71" s="15" t="str">
        <f>使用レシピ!O71</f>
        <v/>
      </c>
      <c r="O71" s="15">
        <f>使用レシピ!P71</f>
        <v>1</v>
      </c>
      <c r="P71" s="15">
        <f>使用レシピ!Q71</f>
        <v>2.5</v>
      </c>
    </row>
    <row r="72" spans="1:16" ht="14.45" customHeight="1" x14ac:dyDescent="0.4">
      <c r="A72" s="21" t="str">
        <f>使用レシピ!B72</f>
        <v>7101</v>
      </c>
      <c r="B72" s="63">
        <f>SUMIF(テンプレート!$C$4:$C$1000,製造アイテム数!D72,テンプレート!$B$4:$B$1000)</f>
        <v>0</v>
      </c>
      <c r="C72" s="15">
        <f t="shared" si="1"/>
        <v>0</v>
      </c>
      <c r="D72" s="15" t="str">
        <f>使用レシピ!E72</f>
        <v>ヘビー・モジュラー・フレーム</v>
      </c>
      <c r="E72" s="15" t="str">
        <f>使用レシピ!F72</f>
        <v>モジュラー・フレーム</v>
      </c>
      <c r="F72" s="15" t="str">
        <f>使用レシピ!G72</f>
        <v>鋼管</v>
      </c>
      <c r="G72" s="15" t="str">
        <f>使用レシピ!H72</f>
        <v>コンクリート被覆型鋼梁</v>
      </c>
      <c r="H72" s="15" t="str">
        <f>使用レシピ!I72</f>
        <v>ネジ</v>
      </c>
      <c r="I72" s="15" t="str">
        <f>使用レシピ!J72</f>
        <v/>
      </c>
      <c r="J72" s="15">
        <f>使用レシピ!K72</f>
        <v>5</v>
      </c>
      <c r="K72" s="15">
        <f>使用レシピ!L72</f>
        <v>20</v>
      </c>
      <c r="L72" s="15">
        <f>使用レシピ!M72</f>
        <v>5</v>
      </c>
      <c r="M72" s="15">
        <f>使用レシピ!N72</f>
        <v>120</v>
      </c>
      <c r="N72" s="15" t="str">
        <f>使用レシピ!O72</f>
        <v/>
      </c>
      <c r="O72" s="15">
        <f>使用レシピ!P72</f>
        <v>1</v>
      </c>
      <c r="P72" s="15">
        <f>使用レシピ!Q72</f>
        <v>2</v>
      </c>
    </row>
    <row r="73" spans="1:16" ht="14.45" customHeight="1" x14ac:dyDescent="0.4">
      <c r="A73" s="21" t="str">
        <f>使用レシピ!B73</f>
        <v>7201</v>
      </c>
      <c r="B73" s="63">
        <f>SUMIF(テンプレート!$C$4:$C$1000,製造アイテム数!D73,テンプレート!$B$4:$B$1000)</f>
        <v>0</v>
      </c>
      <c r="C73" s="15">
        <f t="shared" si="1"/>
        <v>0</v>
      </c>
      <c r="D73" s="15" t="str">
        <f>使用レシピ!E73</f>
        <v>モジュラーエンジン</v>
      </c>
      <c r="E73" s="15" t="str">
        <f>使用レシピ!F73</f>
        <v>モーター</v>
      </c>
      <c r="F73" s="15" t="str">
        <f>使用レシピ!G73</f>
        <v>ゴム</v>
      </c>
      <c r="G73" s="15" t="str">
        <f>使用レシピ!H73</f>
        <v>スマート・プレート</v>
      </c>
      <c r="H73" s="15" t="str">
        <f>使用レシピ!I73</f>
        <v/>
      </c>
      <c r="I73" s="15" t="str">
        <f>使用レシピ!J73</f>
        <v/>
      </c>
      <c r="J73" s="15">
        <f>使用レシピ!K73</f>
        <v>2</v>
      </c>
      <c r="K73" s="15">
        <f>使用レシピ!L73</f>
        <v>15</v>
      </c>
      <c r="L73" s="15">
        <f>使用レシピ!M73</f>
        <v>2</v>
      </c>
      <c r="M73" s="15" t="str">
        <f>使用レシピ!N73</f>
        <v/>
      </c>
      <c r="N73" s="15" t="str">
        <f>使用レシピ!O73</f>
        <v/>
      </c>
      <c r="O73" s="15">
        <f>使用レシピ!P73</f>
        <v>1</v>
      </c>
      <c r="P73" s="15">
        <f>使用レシピ!Q73</f>
        <v>1</v>
      </c>
    </row>
    <row r="74" spans="1:16" ht="14.45" customHeight="1" x14ac:dyDescent="0.4">
      <c r="A74" s="21" t="str">
        <f>使用レシピ!B74</f>
        <v>7301</v>
      </c>
      <c r="B74" s="63">
        <f>SUMIF(テンプレート!$C$4:$C$1000,製造アイテム数!D74,テンプレート!$B$4:$B$1000)</f>
        <v>0</v>
      </c>
      <c r="C74" s="15">
        <f t="shared" si="1"/>
        <v>0</v>
      </c>
      <c r="D74" s="15" t="str">
        <f>使用レシピ!E74</f>
        <v>自律制御ユニット</v>
      </c>
      <c r="E74" s="15" t="str">
        <f>使用レシピ!F74</f>
        <v>自動ワイヤー</v>
      </c>
      <c r="F74" s="15" t="str">
        <f>使用レシピ!G74</f>
        <v>回路基板</v>
      </c>
      <c r="G74" s="15" t="str">
        <f>使用レシピ!H74</f>
        <v>ヘビー・モジュラー・フレーム</v>
      </c>
      <c r="H74" s="15" t="str">
        <f>使用レシピ!I74</f>
        <v>コンピューター</v>
      </c>
      <c r="I74" s="15" t="str">
        <f>使用レシピ!J74</f>
        <v/>
      </c>
      <c r="J74" s="15">
        <f>使用レシピ!K74</f>
        <v>5</v>
      </c>
      <c r="K74" s="15">
        <f>使用レシピ!L74</f>
        <v>5</v>
      </c>
      <c r="L74" s="15">
        <f>使用レシピ!M74</f>
        <v>1</v>
      </c>
      <c r="M74" s="15">
        <f>使用レシピ!N74</f>
        <v>2</v>
      </c>
      <c r="N74" s="15" t="str">
        <f>使用レシピ!O74</f>
        <v/>
      </c>
      <c r="O74" s="15">
        <f>使用レシピ!P74</f>
        <v>1</v>
      </c>
      <c r="P74" s="15">
        <f>使用レシピ!Q74</f>
        <v>1</v>
      </c>
    </row>
    <row r="75" spans="1:16" ht="14.45" customHeight="1" x14ac:dyDescent="0.4">
      <c r="A75" s="21" t="str">
        <f>使用レシピ!B75</f>
        <v>7401</v>
      </c>
      <c r="B75" s="63">
        <f>SUMIF(テンプレート!$C$4:$C$1000,製造アイテム数!D75,テンプレート!$B$4:$B$1000)</f>
        <v>0</v>
      </c>
      <c r="C75" s="15">
        <f t="shared" si="1"/>
        <v>0</v>
      </c>
      <c r="D75" s="15" t="str">
        <f>使用レシピ!E75</f>
        <v>菌糸</v>
      </c>
      <c r="E75" s="15" t="str">
        <f>使用レシピ!F75</f>
        <v/>
      </c>
      <c r="F75" s="15" t="str">
        <f>使用レシピ!G75</f>
        <v/>
      </c>
      <c r="G75" s="15" t="str">
        <f>使用レシピ!H75</f>
        <v/>
      </c>
      <c r="H75" s="15" t="str">
        <f>使用レシピ!I75</f>
        <v/>
      </c>
      <c r="I75" s="15" t="str">
        <f>使用レシピ!J75</f>
        <v/>
      </c>
      <c r="J75" s="15" t="str">
        <f>使用レシピ!K75</f>
        <v/>
      </c>
      <c r="K75" s="15" t="str">
        <f>使用レシピ!L75</f>
        <v/>
      </c>
      <c r="L75" s="15" t="str">
        <f>使用レシピ!M75</f>
        <v/>
      </c>
      <c r="M75" s="15" t="str">
        <f>使用レシピ!N75</f>
        <v/>
      </c>
      <c r="N75" s="15" t="str">
        <f>使用レシピ!O75</f>
        <v/>
      </c>
      <c r="O75" s="15">
        <f>使用レシピ!P75</f>
        <v>1</v>
      </c>
      <c r="P75" s="15">
        <f>使用レシピ!Q75</f>
        <v>1</v>
      </c>
    </row>
    <row r="76" spans="1:16" ht="14.45" customHeight="1" x14ac:dyDescent="0.4">
      <c r="A76" s="21" t="str">
        <f>使用レシピ!B76</f>
        <v>7501</v>
      </c>
      <c r="B76" s="63">
        <f>SUMIF(テンプレート!$C$4:$C$1000,製造アイテム数!D76,テンプレート!$B$4:$B$1000)</f>
        <v>0</v>
      </c>
      <c r="C76" s="15">
        <f t="shared" si="1"/>
        <v>0</v>
      </c>
      <c r="D76" s="15" t="str">
        <f>使用レシピ!E76</f>
        <v>布地</v>
      </c>
      <c r="E76" s="15" t="str">
        <f>使用レシピ!F76</f>
        <v>菌糸</v>
      </c>
      <c r="F76" s="15" t="str">
        <f>使用レシピ!G76</f>
        <v>バイオマス</v>
      </c>
      <c r="G76" s="15" t="str">
        <f>使用レシピ!H76</f>
        <v/>
      </c>
      <c r="H76" s="15" t="str">
        <f>使用レシピ!I76</f>
        <v/>
      </c>
      <c r="I76" s="15" t="str">
        <f>使用レシピ!J76</f>
        <v/>
      </c>
      <c r="J76" s="15">
        <f>使用レシピ!K76</f>
        <v>1</v>
      </c>
      <c r="K76" s="15">
        <f>使用レシピ!L76</f>
        <v>5</v>
      </c>
      <c r="L76" s="15" t="str">
        <f>使用レシピ!M76</f>
        <v/>
      </c>
      <c r="M76" s="15" t="str">
        <f>使用レシピ!N76</f>
        <v/>
      </c>
      <c r="N76" s="15" t="str">
        <f>使用レシピ!O76</f>
        <v/>
      </c>
      <c r="O76" s="15">
        <f>使用レシピ!P76</f>
        <v>1</v>
      </c>
      <c r="P76" s="15">
        <f>使用レシピ!Q76</f>
        <v>15</v>
      </c>
    </row>
    <row r="77" spans="1:16" ht="14.45" customHeight="1" x14ac:dyDescent="0.4">
      <c r="A77" s="21" t="str">
        <f>使用レシピ!B77</f>
        <v>7601</v>
      </c>
      <c r="B77" s="63">
        <f>SUMIF(テンプレート!$C$4:$C$1000,製造アイテム数!D77,テンプレート!$B$4:$B$1000)</f>
        <v>0</v>
      </c>
      <c r="C77" s="15">
        <f t="shared" si="1"/>
        <v>0</v>
      </c>
      <c r="D77" s="15" t="str">
        <f>使用レシピ!E77</f>
        <v>ガスフィルター</v>
      </c>
      <c r="E77" s="15" t="str">
        <f>使用レシピ!F77</f>
        <v>布地</v>
      </c>
      <c r="F77" s="15" t="str">
        <f>使用レシピ!G77</f>
        <v>石炭</v>
      </c>
      <c r="G77" s="15" t="str">
        <f>使用レシピ!H77</f>
        <v>鉄板</v>
      </c>
      <c r="H77" s="15" t="str">
        <f>使用レシピ!I77</f>
        <v/>
      </c>
      <c r="I77" s="15" t="str">
        <f>使用レシピ!J77</f>
        <v/>
      </c>
      <c r="J77" s="15">
        <f>使用レシピ!K77</f>
        <v>2</v>
      </c>
      <c r="K77" s="15">
        <f>使用レシピ!L77</f>
        <v>4</v>
      </c>
      <c r="L77" s="15">
        <f>使用レシピ!M77</f>
        <v>2</v>
      </c>
      <c r="M77" s="15" t="str">
        <f>使用レシピ!N77</f>
        <v/>
      </c>
      <c r="N77" s="15" t="str">
        <f>使用レシピ!O77</f>
        <v/>
      </c>
      <c r="O77" s="15">
        <f>使用レシピ!P77</f>
        <v>1</v>
      </c>
      <c r="P77" s="15">
        <f>使用レシピ!Q77</f>
        <v>7.5</v>
      </c>
    </row>
    <row r="78" spans="1:16" ht="14.45" customHeight="1" x14ac:dyDescent="0.4">
      <c r="A78" s="21" t="str">
        <f>使用レシピ!B78</f>
        <v>7701</v>
      </c>
      <c r="B78" s="63">
        <f>SUMIF(テンプレート!$C$4:$C$1000,製造アイテム数!D78,テンプレート!$B$4:$B$1000)</f>
        <v>0</v>
      </c>
      <c r="C78" s="15">
        <f t="shared" si="1"/>
        <v>0</v>
      </c>
      <c r="D78" s="15" t="str">
        <f>使用レシピ!E78</f>
        <v>エイリアンのDNAカプセル</v>
      </c>
      <c r="E78" s="15" t="str">
        <f>使用レシピ!F78</f>
        <v>エイリアンのタンパク質</v>
      </c>
      <c r="F78" s="15" t="str">
        <f>使用レシピ!G78</f>
        <v/>
      </c>
      <c r="G78" s="15" t="str">
        <f>使用レシピ!H78</f>
        <v/>
      </c>
      <c r="H78" s="15" t="str">
        <f>使用レシピ!I78</f>
        <v/>
      </c>
      <c r="I78" s="15" t="str">
        <f>使用レシピ!J78</f>
        <v/>
      </c>
      <c r="J78" s="15">
        <f>使用レシピ!K78</f>
        <v>1</v>
      </c>
      <c r="K78" s="15" t="str">
        <f>使用レシピ!L78</f>
        <v/>
      </c>
      <c r="L78" s="15" t="str">
        <f>使用レシピ!M78</f>
        <v/>
      </c>
      <c r="M78" s="15" t="str">
        <f>使用レシピ!N78</f>
        <v/>
      </c>
      <c r="N78" s="15" t="str">
        <f>使用レシピ!O78</f>
        <v/>
      </c>
      <c r="O78" s="15">
        <f>使用レシピ!P78</f>
        <v>1</v>
      </c>
      <c r="P78" s="15">
        <f>使用レシピ!Q78</f>
        <v>10</v>
      </c>
    </row>
    <row r="79" spans="1:16" ht="14.45" customHeight="1" x14ac:dyDescent="0.4">
      <c r="A79" s="21" t="str">
        <f>使用レシピ!B79</f>
        <v>7801</v>
      </c>
      <c r="B79" s="63">
        <f>SUMIF(テンプレート!$C$4:$C$1000,製造アイテム数!D79,テンプレート!$B$4:$B$1000)</f>
        <v>0</v>
      </c>
      <c r="C79" s="15">
        <f t="shared" si="1"/>
        <v>0</v>
      </c>
      <c r="D79" s="15" t="str">
        <f>使用レシピ!E79</f>
        <v>高速コネクター</v>
      </c>
      <c r="E79" s="15" t="str">
        <f>使用レシピ!F79</f>
        <v>クイックワイヤー</v>
      </c>
      <c r="F79" s="15" t="str">
        <f>使用レシピ!G79</f>
        <v>ケーブル</v>
      </c>
      <c r="G79" s="15" t="str">
        <f>使用レシピ!H79</f>
        <v>回路基板</v>
      </c>
      <c r="H79" s="15" t="str">
        <f>使用レシピ!I79</f>
        <v/>
      </c>
      <c r="I79" s="15" t="str">
        <f>使用レシピ!J79</f>
        <v/>
      </c>
      <c r="J79" s="15">
        <f>使用レシピ!K79</f>
        <v>56</v>
      </c>
      <c r="K79" s="15">
        <f>使用レシピ!L79</f>
        <v>10</v>
      </c>
      <c r="L79" s="15">
        <f>使用レシピ!M79</f>
        <v>1</v>
      </c>
      <c r="M79" s="15" t="str">
        <f>使用レシピ!N79</f>
        <v/>
      </c>
      <c r="N79" s="15" t="str">
        <f>使用レシピ!O79</f>
        <v/>
      </c>
      <c r="O79" s="15">
        <f>使用レシピ!P79</f>
        <v>1</v>
      </c>
      <c r="P79" s="15">
        <f>使用レシピ!Q79</f>
        <v>3.75</v>
      </c>
    </row>
    <row r="80" spans="1:16" ht="14.45" customHeight="1" x14ac:dyDescent="0.4">
      <c r="A80" s="21" t="str">
        <f>使用レシピ!B80</f>
        <v>7901</v>
      </c>
      <c r="B80" s="63">
        <f>SUMIF(テンプレート!$C$4:$C$1000,製造アイテム数!D80,テンプレート!$B$4:$B$1000)</f>
        <v>0</v>
      </c>
      <c r="C80" s="15">
        <f t="shared" si="1"/>
        <v>0</v>
      </c>
      <c r="D80" s="15" t="str">
        <f>使用レシピ!E80</f>
        <v>無煙火薬</v>
      </c>
      <c r="E80" s="15" t="str">
        <f>使用レシピ!F80</f>
        <v>黒色火薬</v>
      </c>
      <c r="F80" s="15" t="str">
        <f>使用レシピ!G80</f>
        <v>廃重油</v>
      </c>
      <c r="G80" s="15" t="str">
        <f>使用レシピ!H80</f>
        <v/>
      </c>
      <c r="H80" s="15" t="str">
        <f>使用レシピ!I80</f>
        <v/>
      </c>
      <c r="I80" s="15" t="str">
        <f>使用レシピ!J80</f>
        <v/>
      </c>
      <c r="J80" s="15">
        <f>使用レシピ!K80</f>
        <v>2</v>
      </c>
      <c r="K80" s="15">
        <f>使用レシピ!L80</f>
        <v>1</v>
      </c>
      <c r="L80" s="15" t="str">
        <f>使用レシピ!M80</f>
        <v/>
      </c>
      <c r="M80" s="15" t="str">
        <f>使用レシピ!N80</f>
        <v/>
      </c>
      <c r="N80" s="15" t="str">
        <f>使用レシピ!O80</f>
        <v/>
      </c>
      <c r="O80" s="15">
        <f>使用レシピ!P80</f>
        <v>2</v>
      </c>
      <c r="P80" s="15">
        <f>使用レシピ!Q80</f>
        <v>20</v>
      </c>
    </row>
    <row r="81" spans="1:16" ht="14.45" customHeight="1" x14ac:dyDescent="0.4">
      <c r="A81" s="21" t="str">
        <f>使用レシピ!B81</f>
        <v>8001</v>
      </c>
      <c r="B81" s="63">
        <f>SUMIF(テンプレート!$C$4:$C$1000,製造アイテム数!D81,テンプレート!$B$4:$B$1000)</f>
        <v>0</v>
      </c>
      <c r="C81" s="15">
        <f t="shared" si="1"/>
        <v>0</v>
      </c>
      <c r="D81" s="15" t="str">
        <f>使用レシピ!E81</f>
        <v>アルミナ溶液</v>
      </c>
      <c r="E81" s="15" t="str">
        <f>使用レシピ!F81</f>
        <v>ボーキサイト</v>
      </c>
      <c r="F81" s="15" t="str">
        <f>使用レシピ!G81</f>
        <v>水</v>
      </c>
      <c r="G81" s="15" t="str">
        <f>使用レシピ!H81</f>
        <v/>
      </c>
      <c r="H81" s="15" t="str">
        <f>使用レシピ!I81</f>
        <v/>
      </c>
      <c r="I81" s="15" t="str">
        <f>使用レシピ!J81</f>
        <v>シリカ</v>
      </c>
      <c r="J81" s="15">
        <f>使用レシピ!K81</f>
        <v>12</v>
      </c>
      <c r="K81" s="15">
        <f>使用レシピ!L81</f>
        <v>18</v>
      </c>
      <c r="L81" s="15" t="str">
        <f>使用レシピ!M81</f>
        <v/>
      </c>
      <c r="M81" s="15" t="str">
        <f>使用レシピ!N81</f>
        <v/>
      </c>
      <c r="N81" s="15">
        <f>使用レシピ!O81</f>
        <v>5</v>
      </c>
      <c r="O81" s="15">
        <f>使用レシピ!P81</f>
        <v>12</v>
      </c>
      <c r="P81" s="15">
        <f>使用レシピ!Q81</f>
        <v>120</v>
      </c>
    </row>
    <row r="82" spans="1:16" ht="14.45" customHeight="1" x14ac:dyDescent="0.4">
      <c r="A82" s="21" t="str">
        <f>使用レシピ!B82</f>
        <v>8101</v>
      </c>
      <c r="B82" s="63">
        <f>SUMIF(テンプレート!$C$4:$C$1000,製造アイテム数!D82,テンプレート!$B$4:$B$1000)</f>
        <v>0</v>
      </c>
      <c r="C82" s="15">
        <f t="shared" si="1"/>
        <v>0</v>
      </c>
      <c r="D82" s="15" t="str">
        <f>使用レシピ!E82</f>
        <v>ボーキサイト</v>
      </c>
      <c r="E82" s="15" t="str">
        <f>使用レシピ!F82</f>
        <v/>
      </c>
      <c r="F82" s="15" t="str">
        <f>使用レシピ!G82</f>
        <v/>
      </c>
      <c r="G82" s="15" t="str">
        <f>使用レシピ!H82</f>
        <v/>
      </c>
      <c r="H82" s="15" t="str">
        <f>使用レシピ!I82</f>
        <v/>
      </c>
      <c r="I82" s="15" t="str">
        <f>使用レシピ!J82</f>
        <v/>
      </c>
      <c r="J82" s="15" t="str">
        <f>使用レシピ!K82</f>
        <v/>
      </c>
      <c r="K82" s="15" t="str">
        <f>使用レシピ!L82</f>
        <v/>
      </c>
      <c r="L82" s="15" t="str">
        <f>使用レシピ!M82</f>
        <v/>
      </c>
      <c r="M82" s="15" t="str">
        <f>使用レシピ!N82</f>
        <v/>
      </c>
      <c r="N82" s="15" t="str">
        <f>使用レシピ!O82</f>
        <v/>
      </c>
      <c r="O82" s="15">
        <f>使用レシピ!P82</f>
        <v>1</v>
      </c>
      <c r="P82" s="15">
        <f>使用レシピ!Q82</f>
        <v>1200</v>
      </c>
    </row>
    <row r="83" spans="1:16" ht="14.45" customHeight="1" x14ac:dyDescent="0.4">
      <c r="A83" s="21" t="str">
        <f>使用レシピ!B83</f>
        <v>8201</v>
      </c>
      <c r="B83" s="63">
        <f>SUMIF(テンプレート!$C$4:$C$1000,製造アイテム数!D83,テンプレート!$B$4:$B$1000)</f>
        <v>0</v>
      </c>
      <c r="C83" s="15">
        <f t="shared" si="1"/>
        <v>0</v>
      </c>
      <c r="D83" s="15" t="str">
        <f>使用レシピ!E83</f>
        <v>包装済みアルミナ溶液</v>
      </c>
      <c r="E83" s="15" t="str">
        <f>使用レシピ!F83</f>
        <v>空の容器</v>
      </c>
      <c r="F83" s="15" t="str">
        <f>使用レシピ!G83</f>
        <v>アルミナ溶液</v>
      </c>
      <c r="G83" s="15" t="str">
        <f>使用レシピ!H83</f>
        <v/>
      </c>
      <c r="H83" s="15" t="str">
        <f>使用レシピ!I83</f>
        <v/>
      </c>
      <c r="I83" s="15" t="str">
        <f>使用レシピ!J83</f>
        <v/>
      </c>
      <c r="J83" s="15">
        <f>使用レシピ!K83</f>
        <v>2</v>
      </c>
      <c r="K83" s="15">
        <f>使用レシピ!L83</f>
        <v>2</v>
      </c>
      <c r="L83" s="15" t="str">
        <f>使用レシピ!M83</f>
        <v/>
      </c>
      <c r="M83" s="15" t="str">
        <f>使用レシピ!N83</f>
        <v/>
      </c>
      <c r="N83" s="15" t="str">
        <f>使用レシピ!O83</f>
        <v/>
      </c>
      <c r="O83" s="15">
        <f>使用レシピ!P83</f>
        <v>2</v>
      </c>
      <c r="P83" s="15">
        <f>使用レシピ!Q83</f>
        <v>120</v>
      </c>
    </row>
    <row r="84" spans="1:16" ht="14.45" customHeight="1" x14ac:dyDescent="0.4">
      <c r="A84" s="21" t="str">
        <f>使用レシピ!B84</f>
        <v>8301</v>
      </c>
      <c r="B84" s="63">
        <f>SUMIF(テンプレート!$C$4:$C$1000,製造アイテム数!D84,テンプレート!$B$4:$B$1000)</f>
        <v>0</v>
      </c>
      <c r="C84" s="15">
        <f t="shared" si="1"/>
        <v>0</v>
      </c>
      <c r="D84" s="15" t="str">
        <f>使用レシピ!E84</f>
        <v>アルミのスクラップ</v>
      </c>
      <c r="E84" s="15" t="str">
        <f>使用レシピ!F84</f>
        <v>アルミナ溶液</v>
      </c>
      <c r="F84" s="15" t="str">
        <f>使用レシピ!G84</f>
        <v>石炭</v>
      </c>
      <c r="G84" s="15" t="str">
        <f>使用レシピ!H84</f>
        <v/>
      </c>
      <c r="H84" s="15" t="str">
        <f>使用レシピ!I84</f>
        <v/>
      </c>
      <c r="I84" s="15" t="str">
        <f>使用レシピ!J84</f>
        <v>水</v>
      </c>
      <c r="J84" s="15">
        <f>使用レシピ!K84</f>
        <v>4</v>
      </c>
      <c r="K84" s="15">
        <f>使用レシピ!L84</f>
        <v>2</v>
      </c>
      <c r="L84" s="15" t="str">
        <f>使用レシピ!M84</f>
        <v/>
      </c>
      <c r="M84" s="15" t="str">
        <f>使用レシピ!N84</f>
        <v/>
      </c>
      <c r="N84" s="15">
        <f>使用レシピ!O84</f>
        <v>2</v>
      </c>
      <c r="O84" s="15">
        <f>使用レシピ!P84</f>
        <v>6</v>
      </c>
      <c r="P84" s="15">
        <f>使用レシピ!Q84</f>
        <v>360</v>
      </c>
    </row>
    <row r="85" spans="1:16" ht="14.45" customHeight="1" x14ac:dyDescent="0.4">
      <c r="A85" s="21" t="str">
        <f>使用レシピ!B85</f>
        <v>8401</v>
      </c>
      <c r="B85" s="63">
        <f>SUMIF(テンプレート!$C$4:$C$1000,製造アイテム数!D85,テンプレート!$B$4:$B$1000)</f>
        <v>0</v>
      </c>
      <c r="C85" s="15">
        <f t="shared" si="1"/>
        <v>0</v>
      </c>
      <c r="D85" s="15" t="str">
        <f>使用レシピ!E85</f>
        <v>アルミのインゴット</v>
      </c>
      <c r="E85" s="15" t="str">
        <f>使用レシピ!F85</f>
        <v>アルミのスクラップ</v>
      </c>
      <c r="F85" s="15" t="str">
        <f>使用レシピ!G85</f>
        <v>シリカ</v>
      </c>
      <c r="G85" s="15" t="str">
        <f>使用レシピ!H85</f>
        <v/>
      </c>
      <c r="H85" s="15" t="str">
        <f>使用レシピ!I85</f>
        <v/>
      </c>
      <c r="I85" s="15" t="str">
        <f>使用レシピ!J85</f>
        <v/>
      </c>
      <c r="J85" s="15">
        <f>使用レシピ!K85</f>
        <v>6</v>
      </c>
      <c r="K85" s="15">
        <f>使用レシピ!L85</f>
        <v>5</v>
      </c>
      <c r="L85" s="15" t="str">
        <f>使用レシピ!M85</f>
        <v/>
      </c>
      <c r="M85" s="15" t="str">
        <f>使用レシピ!N85</f>
        <v/>
      </c>
      <c r="N85" s="15" t="str">
        <f>使用レシピ!O85</f>
        <v/>
      </c>
      <c r="O85" s="15">
        <f>使用レシピ!P85</f>
        <v>4</v>
      </c>
      <c r="P85" s="15">
        <f>使用レシピ!Q85</f>
        <v>60</v>
      </c>
    </row>
    <row r="86" spans="1:16" ht="14.45" customHeight="1" x14ac:dyDescent="0.4">
      <c r="A86" s="21" t="str">
        <f>使用レシピ!B86</f>
        <v>8501</v>
      </c>
      <c r="B86" s="63">
        <f>SUMIF(テンプレート!$C$4:$C$1000,製造アイテム数!D86,テンプレート!$B$4:$B$1000)</f>
        <v>0</v>
      </c>
      <c r="C86" s="15">
        <f t="shared" si="1"/>
        <v>0</v>
      </c>
      <c r="D86" s="15" t="str">
        <f>使用レシピ!E86</f>
        <v>アルクラッド・アルミシート</v>
      </c>
      <c r="E86" s="15" t="str">
        <f>使用レシピ!F86</f>
        <v>アルミのインゴット</v>
      </c>
      <c r="F86" s="15" t="str">
        <f>使用レシピ!G86</f>
        <v>銅のインゴット</v>
      </c>
      <c r="G86" s="15" t="str">
        <f>使用レシピ!H86</f>
        <v/>
      </c>
      <c r="H86" s="15" t="str">
        <f>使用レシピ!I86</f>
        <v/>
      </c>
      <c r="I86" s="15" t="str">
        <f>使用レシピ!J86</f>
        <v/>
      </c>
      <c r="J86" s="15">
        <f>使用レシピ!K86</f>
        <v>3</v>
      </c>
      <c r="K86" s="15">
        <f>使用レシピ!L86</f>
        <v>1</v>
      </c>
      <c r="L86" s="15" t="str">
        <f>使用レシピ!M86</f>
        <v/>
      </c>
      <c r="M86" s="15" t="str">
        <f>使用レシピ!N86</f>
        <v/>
      </c>
      <c r="N86" s="15" t="str">
        <f>使用レシピ!O86</f>
        <v/>
      </c>
      <c r="O86" s="15">
        <f>使用レシピ!P86</f>
        <v>3</v>
      </c>
      <c r="P86" s="15">
        <f>使用レシピ!Q86</f>
        <v>30</v>
      </c>
    </row>
    <row r="87" spans="1:16" ht="14.45" customHeight="1" x14ac:dyDescent="0.4">
      <c r="A87" s="21" t="str">
        <f>使用レシピ!B87</f>
        <v>8601</v>
      </c>
      <c r="B87" s="63">
        <f>SUMIF(テンプレート!$C$4:$C$1000,製造アイテム数!D87,テンプレート!$B$4:$B$1000)</f>
        <v>0</v>
      </c>
      <c r="C87" s="15">
        <f t="shared" si="1"/>
        <v>0</v>
      </c>
      <c r="D87" s="15" t="str">
        <f>使用レシピ!E87</f>
        <v>アルミ筐体</v>
      </c>
      <c r="E87" s="15" t="str">
        <f>使用レシピ!F87</f>
        <v>アルミのインゴット</v>
      </c>
      <c r="F87" s="15" t="str">
        <f>使用レシピ!G87</f>
        <v/>
      </c>
      <c r="G87" s="15" t="str">
        <f>使用レシピ!H87</f>
        <v/>
      </c>
      <c r="H87" s="15" t="str">
        <f>使用レシピ!I87</f>
        <v/>
      </c>
      <c r="I87" s="15" t="str">
        <f>使用レシピ!J87</f>
        <v/>
      </c>
      <c r="J87" s="15">
        <f>使用レシピ!K87</f>
        <v>3</v>
      </c>
      <c r="K87" s="15" t="str">
        <f>使用レシピ!L87</f>
        <v/>
      </c>
      <c r="L87" s="15" t="str">
        <f>使用レシピ!M87</f>
        <v/>
      </c>
      <c r="M87" s="15" t="str">
        <f>使用レシピ!N87</f>
        <v/>
      </c>
      <c r="N87" s="15" t="str">
        <f>使用レシピ!O87</f>
        <v/>
      </c>
      <c r="O87" s="15">
        <f>使用レシピ!P87</f>
        <v>2</v>
      </c>
      <c r="P87" s="15">
        <f>使用レシピ!Q87</f>
        <v>60</v>
      </c>
    </row>
  </sheetData>
  <autoFilter ref="A1:P1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T1001"/>
  <sheetViews>
    <sheetView topLeftCell="A222" zoomScale="85" zoomScaleNormal="85" workbookViewId="0">
      <selection activeCell="B238" sqref="B238"/>
    </sheetView>
  </sheetViews>
  <sheetFormatPr defaultRowHeight="18.75" x14ac:dyDescent="0.4"/>
  <cols>
    <col min="1" max="1" width="13.75" customWidth="1"/>
    <col min="2" max="2" width="10.625" style="33" customWidth="1"/>
    <col min="3" max="3" width="27.75" bestFit="1" customWidth="1"/>
    <col min="4" max="7" width="11" customWidth="1"/>
    <col min="8" max="8" width="12.25" customWidth="1"/>
    <col min="9" max="20" width="5.75" customWidth="1"/>
  </cols>
  <sheetData>
    <row r="1" spans="1:20" s="1" customFormat="1" x14ac:dyDescent="0.4">
      <c r="A1" s="67" t="s">
        <v>2</v>
      </c>
      <c r="B1" s="64" t="s">
        <v>3</v>
      </c>
      <c r="C1" s="70" t="s">
        <v>5</v>
      </c>
      <c r="D1" s="71"/>
      <c r="E1" s="71"/>
      <c r="F1" s="71"/>
      <c r="G1" s="71"/>
      <c r="H1" s="72"/>
      <c r="I1" s="70" t="s">
        <v>11</v>
      </c>
      <c r="J1" s="71"/>
      <c r="K1" s="71"/>
      <c r="L1" s="71"/>
      <c r="M1" s="71"/>
      <c r="N1" s="72"/>
      <c r="O1" s="70" t="s">
        <v>1</v>
      </c>
      <c r="P1" s="71"/>
      <c r="Q1" s="71"/>
      <c r="R1" s="71"/>
      <c r="S1" s="71"/>
      <c r="T1" s="72"/>
    </row>
    <row r="2" spans="1:20" s="1" customFormat="1" x14ac:dyDescent="0.4">
      <c r="A2" s="68"/>
      <c r="B2" s="65"/>
      <c r="C2" s="74" t="s">
        <v>0</v>
      </c>
      <c r="D2" s="73" t="s">
        <v>12</v>
      </c>
      <c r="E2" s="73"/>
      <c r="F2" s="73"/>
      <c r="G2" s="73"/>
      <c r="H2" s="76" t="s">
        <v>4</v>
      </c>
      <c r="I2" s="74" t="s">
        <v>6</v>
      </c>
      <c r="J2" s="73" t="s">
        <v>12</v>
      </c>
      <c r="K2" s="73"/>
      <c r="L2" s="73"/>
      <c r="M2" s="73"/>
      <c r="N2" s="76" t="s">
        <v>4</v>
      </c>
      <c r="O2" s="74" t="s">
        <v>6</v>
      </c>
      <c r="P2" s="73" t="s">
        <v>12</v>
      </c>
      <c r="Q2" s="73"/>
      <c r="R2" s="73"/>
      <c r="S2" s="73"/>
      <c r="T2" s="76" t="s">
        <v>4</v>
      </c>
    </row>
    <row r="3" spans="1:20" s="1" customFormat="1" ht="19.5" thickBot="1" x14ac:dyDescent="0.45">
      <c r="A3" s="69"/>
      <c r="B3" s="66"/>
      <c r="C3" s="75"/>
      <c r="D3" s="58">
        <v>1</v>
      </c>
      <c r="E3" s="58">
        <v>2</v>
      </c>
      <c r="F3" s="58">
        <v>3</v>
      </c>
      <c r="G3" s="58">
        <v>4</v>
      </c>
      <c r="H3" s="77"/>
      <c r="I3" s="75"/>
      <c r="J3" s="58">
        <v>1</v>
      </c>
      <c r="K3" s="58">
        <v>2</v>
      </c>
      <c r="L3" s="58">
        <v>3</v>
      </c>
      <c r="M3" s="58">
        <v>4</v>
      </c>
      <c r="N3" s="77"/>
      <c r="O3" s="75"/>
      <c r="P3" s="58">
        <v>1</v>
      </c>
      <c r="Q3" s="58">
        <v>2</v>
      </c>
      <c r="R3" s="58">
        <v>3</v>
      </c>
      <c r="S3" s="58">
        <v>4</v>
      </c>
      <c r="T3" s="77"/>
    </row>
    <row r="4" spans="1:20" x14ac:dyDescent="0.4">
      <c r="A4">
        <v>1</v>
      </c>
      <c r="B4" s="46">
        <v>18</v>
      </c>
      <c r="C4" s="38" t="s">
        <v>125</v>
      </c>
      <c r="D4" s="23" t="str">
        <f>IFERROR(IF(INDEX(使用レシピ!F:F,MATCH(テンプレート!$C4,使用レシピ!$E:$E,0))&lt;&gt;0,INDEX(使用レシピ!F:F,MATCH(テンプレート!$C4,使用レシピ!$E:$E,0)),""),"")</f>
        <v>被覆型プルトニウム・セル</v>
      </c>
      <c r="E4" t="str">
        <f>IFERROR(IF(INDEX(使用レシピ!G:G,MATCH(テンプレート!$C4,使用レシピ!$E:$E,0))&lt;&gt;0,INDEX(使用レシピ!G:G,MATCH(テンプレート!$C4,使用レシピ!$E:$E,0)),""),"")</f>
        <v>鋼梁</v>
      </c>
      <c r="F4" t="str">
        <f>IFERROR(IF(INDEX(使用レシピ!H:H,MATCH(テンプレート!$C4,使用レシピ!$E:$E,0))&lt;&gt;0,INDEX(使用レシピ!H:H,MATCH(テンプレート!$C4,使用レシピ!$E:$E,0)),""),"")</f>
        <v>電磁制御棒</v>
      </c>
      <c r="G4" t="str">
        <f>IFERROR(IF(INDEX(使用レシピ!I:I,MATCH(テンプレート!$C4,使用レシピ!$E:$E,0))&lt;&gt;0,INDEX(使用レシピ!I:I,MATCH(テンプレート!$C4,使用レシピ!$E:$E,0)),""),"")</f>
        <v>ヒートシンク</v>
      </c>
      <c r="H4" s="24" t="str">
        <f>IFERROR(IF(INDEX(使用レシピ!J:J,MATCH(テンプレート!$C4,使用レシピ!$E:$E,0))&lt;&gt;0,INDEX(使用レシピ!J:J,MATCH(テンプレート!$C4,使用レシピ!$E:$E,0)),""),"")</f>
        <v/>
      </c>
      <c r="I4" s="36">
        <f>IFERROR(IF(INDEX(使用レシピ!P:P,MATCH(テンプレート!$C4,使用レシピ!$E:$E,0))&lt;&gt;0,INDEX(使用レシピ!P:P,MATCH(テンプレート!$C4,使用レシピ!$E:$E,0)),""),"")</f>
        <v>1</v>
      </c>
      <c r="J4">
        <f>IFERROR(IF(INDEX(使用レシピ!K:K,MATCH(テンプレート!$C4,使用レシピ!$E:$E,0))&lt;&gt;0,INDEX(使用レシピ!K:K,MATCH(テンプレート!$C4,使用レシピ!$E:$E,0)),""),"")</f>
        <v>30</v>
      </c>
      <c r="K4">
        <f>IFERROR(IF(INDEX(使用レシピ!L:L,MATCH(テンプレート!$C4,使用レシピ!$E:$E,0))&lt;&gt;0,INDEX(使用レシピ!L:L,MATCH(テンプレート!$C4,使用レシピ!$E:$E,0)),""),"")</f>
        <v>18</v>
      </c>
      <c r="L4">
        <f>IFERROR(IF(INDEX(使用レシピ!M:M,MATCH(テンプレート!$C4,使用レシピ!$E:$E,0))&lt;&gt;0,INDEX(使用レシピ!M:M,MATCH(テンプレート!$C4,使用レシピ!$E:$E,0)),""),"")</f>
        <v>6</v>
      </c>
      <c r="M4">
        <f>IFERROR(IF(INDEX(使用レシピ!N:N,MATCH(テンプレート!$C4,使用レシピ!$E:$E,0))&lt;&gt;0,INDEX(使用レシピ!N:N,MATCH(テンプレート!$C4,使用レシピ!$E:$E,0)),""),"")</f>
        <v>10</v>
      </c>
      <c r="N4" s="24" t="str">
        <f>IFERROR(IF(INDEX(使用レシピ!O:O,MATCH(テンプレート!$C4,使用レシピ!$E:$E,0))&lt;&gt;0,INDEX(使用レシピ!O:O,MATCH(テンプレート!$C4,使用レシピ!$E:$E,0)),""),"")</f>
        <v/>
      </c>
      <c r="O4" s="42">
        <f>IFERROR(IF(INDEX(使用レシピ!P:P,MATCH(テンプレート!$C4,使用レシピ!$E:$E,0))&lt;&gt;0,INDEX(使用レシピ!P:P,MATCH(テンプレート!$C4,使用レシピ!$E:$E,0)),""),"")</f>
        <v>1</v>
      </c>
      <c r="P4" s="25">
        <f t="shared" ref="P4:P10" si="0">IFERROR(IF($O4/$I4*J4 &gt; 0,$O4/$I4*J4,""),"")</f>
        <v>30</v>
      </c>
      <c r="Q4" s="26">
        <f t="shared" ref="Q4:Q10" si="1">IFERROR(IF($O4/$I4*K4 &gt; 0,$O4/$I4*K4,""),"")</f>
        <v>18</v>
      </c>
      <c r="R4" s="26">
        <f t="shared" ref="R4:R10" si="2">IFERROR(IF($O4/$I4*L4 &gt; 0,$O4/$I4*L4,""),"")</f>
        <v>6</v>
      </c>
      <c r="S4" s="26">
        <f t="shared" ref="S4:S10" si="3">IFERROR(IF($O4/$I4*M4 &gt; 0,$O4/$I4*M4,""),"")</f>
        <v>10</v>
      </c>
      <c r="T4" s="43" t="str">
        <f t="shared" ref="T4:T10" si="4">IFERROR(IF($O4/$I4*N4 &gt; 0,$O4/$I4*N4,""),"")</f>
        <v/>
      </c>
    </row>
    <row r="5" spans="1:20" x14ac:dyDescent="0.4">
      <c r="A5">
        <v>11</v>
      </c>
      <c r="B5" s="47" cm="1">
        <f t="array" ref="B5">IFERROR((INDEX($P$4:$T$1000,MATCH(VALUE(LEFT($A5,LEN($A5)-1)),$A$4:$A$1000,0),VALUE(RIGHT($A5,1)))/ INDEX($O$4:$O$1000,MATCH(VALUE(LEFT($A5,LEN($A5)-1)),$A$4:$A$1000))) * INDEX($B$4:$B$1000,MATCH(VALUE(LEFT($A5,LEN($A5)-1)),$A$4:$A$1000)),"")</f>
        <v>540</v>
      </c>
      <c r="C5" s="38" t="str" cm="1">
        <f t="array" ref="C5">IFERROR(IF(INDEX($D$4:$H$1000,MATCH(VALUE(LEFT($A5,LEN($A5)-1)),$A$4:$A$1000,0),VALUE(RIGHT($A5,1)))= 0,"",INDEX($D$4:$H$1000,MATCH(VALUE(LEFT($A5,LEN($A5)-1)),$A$4:$A$1000,0),VALUE(RIGHT($A5,1)))),"")</f>
        <v>被覆型プルトニウム・セル</v>
      </c>
      <c r="D5" s="23" t="str">
        <f>IFERROR(IF(INDEX(使用レシピ!F:F,MATCH(テンプレート!$C5,使用レシピ!$E:$E,0))&lt;&gt;0,INDEX(使用レシピ!F:F,MATCH(テンプレート!$C5,使用レシピ!$E:$E,0)),""),"")</f>
        <v>プルトニウム・ペレット</v>
      </c>
      <c r="E5" t="str">
        <f>IFERROR(IF(INDEX(使用レシピ!G:G,MATCH(テンプレート!$C5,使用レシピ!$E:$E,0))&lt;&gt;0,INDEX(使用レシピ!G:G,MATCH(テンプレート!$C5,使用レシピ!$E:$E,0)),""),"")</f>
        <v>コンクリート</v>
      </c>
      <c r="F5" t="str">
        <f>IFERROR(IF(INDEX(使用レシピ!H:H,MATCH(テンプレート!$C5,使用レシピ!$E:$E,0))&lt;&gt;0,INDEX(使用レシピ!H:H,MATCH(テンプレート!$C5,使用レシピ!$E:$E,0)),""),"")</f>
        <v/>
      </c>
      <c r="G5" t="str">
        <f>IFERROR(IF(INDEX(使用レシピ!I:I,MATCH(テンプレート!$C5,使用レシピ!$E:$E,0))&lt;&gt;0,INDEX(使用レシピ!I:I,MATCH(テンプレート!$C5,使用レシピ!$E:$E,0)),""),"")</f>
        <v/>
      </c>
      <c r="H5" s="24" t="str">
        <f>IFERROR(IF(INDEX(使用レシピ!J:J,MATCH(テンプレート!$C5,使用レシピ!$E:$E,0))&lt;&gt;0,INDEX(使用レシピ!J:J,MATCH(テンプレート!$C5,使用レシピ!$E:$E,0)),""),"")</f>
        <v/>
      </c>
      <c r="I5" s="36">
        <f>IFERROR(IF(INDEX(使用レシピ!P:P,MATCH(テンプレート!$C5,使用レシピ!$E:$E,0))&lt;&gt;0,INDEX(使用レシピ!P:P,MATCH(テンプレート!$C5,使用レシピ!$E:$E,0)),""),"")</f>
        <v>1</v>
      </c>
      <c r="J5">
        <f>IFERROR(IF(INDEX(使用レシピ!K:K,MATCH(テンプレート!$C5,使用レシピ!$E:$E,0))&lt;&gt;0,INDEX(使用レシピ!K:K,MATCH(テンプレート!$C5,使用レシピ!$E:$E,0)),""),"")</f>
        <v>2</v>
      </c>
      <c r="K5">
        <f>IFERROR(IF(INDEX(使用レシピ!L:L,MATCH(テンプレート!$C5,使用レシピ!$E:$E,0))&lt;&gt;0,INDEX(使用レシピ!L:L,MATCH(テンプレート!$C5,使用レシピ!$E:$E,0)),""),"")</f>
        <v>4</v>
      </c>
      <c r="L5" t="str">
        <f>IFERROR(IF(INDEX(使用レシピ!M:M,MATCH(テンプレート!$C5,使用レシピ!$E:$E,0))&lt;&gt;0,INDEX(使用レシピ!M:M,MATCH(テンプレート!$C5,使用レシピ!$E:$E,0)),""),"")</f>
        <v/>
      </c>
      <c r="M5" t="str">
        <f>IFERROR(IF(INDEX(使用レシピ!N:N,MATCH(テンプレート!$C5,使用レシピ!$E:$E,0))&lt;&gt;0,INDEX(使用レシピ!N:N,MATCH(テンプレート!$C5,使用レシピ!$E:$E,0)),""),"")</f>
        <v/>
      </c>
      <c r="N5" s="24" t="str">
        <f>IFERROR(IF(INDEX(使用レシピ!O:O,MATCH(テンプレート!$C5,使用レシピ!$E:$E,0))&lt;&gt;0,INDEX(使用レシピ!O:O,MATCH(テンプレート!$C5,使用レシピ!$E:$E,0)),""),"")</f>
        <v/>
      </c>
      <c r="O5" s="42">
        <f>IFERROR(IF(INDEX(使用レシピ!P:P,MATCH(テンプレート!$C5,使用レシピ!$E:$E,0))&lt;&gt;0,INDEX(使用レシピ!P:P,MATCH(テンプレート!$C5,使用レシピ!$E:$E,0)),""),"")</f>
        <v>1</v>
      </c>
      <c r="P5" s="25">
        <f t="shared" si="0"/>
        <v>2</v>
      </c>
      <c r="Q5" s="26">
        <f t="shared" si="1"/>
        <v>4</v>
      </c>
      <c r="R5" s="26" t="str">
        <f t="shared" si="2"/>
        <v/>
      </c>
      <c r="S5" s="26" t="str">
        <f t="shared" si="3"/>
        <v/>
      </c>
      <c r="T5" s="43" t="str">
        <f t="shared" si="4"/>
        <v/>
      </c>
    </row>
    <row r="6" spans="1:20" x14ac:dyDescent="0.4">
      <c r="A6">
        <v>12</v>
      </c>
      <c r="B6" s="47" cm="1">
        <f t="array" ref="B6">IFERROR((INDEX($P$4:$T$1000,MATCH(VALUE(LEFT($A6,LEN($A6)-1)),$A$4:$A$1000,0),VALUE(RIGHT($A6,1)))/ INDEX($O$4:$O$1000,MATCH(VALUE(LEFT($A6,LEN($A6)-1)),$A$4:$A$1000))) * INDEX($B$4:$B$1000,MATCH(VALUE(LEFT($A6,LEN($A6)-1)),$A$4:$A$1000)),"")</f>
        <v>324</v>
      </c>
      <c r="C6" s="38" t="str" cm="1">
        <f t="array" ref="C6">IFERROR(IF(INDEX($D$4:$H$1000,MATCH(VALUE(LEFT($A6,LEN($A6)-1)),$A$4:$A$1000,0),VALUE(RIGHT($A6,1)))= 0,"",INDEX($D$4:$H$1000,MATCH(VALUE(LEFT($A6,LEN($A6)-1)),$A$4:$A$1000,0),VALUE(RIGHT($A6,1)))),"")</f>
        <v>鋼梁</v>
      </c>
      <c r="D6" s="23" t="str">
        <f>IFERROR(IF(INDEX(使用レシピ!F:F,MATCH(テンプレート!$C6,使用レシピ!$E:$E,0))&lt;&gt;0,INDEX(使用レシピ!F:F,MATCH(テンプレート!$C6,使用レシピ!$E:$E,0)),""),"")</f>
        <v>鋼鉄のインゴット</v>
      </c>
      <c r="E6" t="str">
        <f>IFERROR(IF(INDEX(使用レシピ!G:G,MATCH(テンプレート!$C6,使用レシピ!$E:$E,0))&lt;&gt;0,INDEX(使用レシピ!G:G,MATCH(テンプレート!$C6,使用レシピ!$E:$E,0)),""),"")</f>
        <v>コンクリート</v>
      </c>
      <c r="F6" t="str">
        <f>IFERROR(IF(INDEX(使用レシピ!H:H,MATCH(テンプレート!$C6,使用レシピ!$E:$E,0))&lt;&gt;0,INDEX(使用レシピ!H:H,MATCH(テンプレート!$C6,使用レシピ!$E:$E,0)),""),"")</f>
        <v/>
      </c>
      <c r="G6" t="str">
        <f>IFERROR(IF(INDEX(使用レシピ!I:I,MATCH(テンプレート!$C6,使用レシピ!$E:$E,0))&lt;&gt;0,INDEX(使用レシピ!I:I,MATCH(テンプレート!$C6,使用レシピ!$E:$E,0)),""),"")</f>
        <v/>
      </c>
      <c r="H6" s="24" t="str">
        <f>IFERROR(IF(INDEX(使用レシピ!J:J,MATCH(テンプレート!$C6,使用レシピ!$E:$E,0))&lt;&gt;0,INDEX(使用レシピ!J:J,MATCH(テンプレート!$C6,使用レシピ!$E:$E,0)),""),"")</f>
        <v/>
      </c>
      <c r="I6" s="36">
        <f>IFERROR(IF(INDEX(使用レシピ!P:P,MATCH(テンプレート!$C6,使用レシピ!$E:$E,0))&lt;&gt;0,INDEX(使用レシピ!P:P,MATCH(テンプレート!$C6,使用レシピ!$E:$E,0)),""),"")</f>
        <v>9</v>
      </c>
      <c r="J6">
        <f>IFERROR(IF(INDEX(使用レシピ!K:K,MATCH(テンプレート!$C6,使用レシピ!$E:$E,0))&lt;&gt;0,INDEX(使用レシピ!K:K,MATCH(テンプレート!$C6,使用レシピ!$E:$E,0)),""),"")</f>
        <v>24</v>
      </c>
      <c r="K6">
        <f>IFERROR(IF(INDEX(使用レシピ!L:L,MATCH(テンプレート!$C6,使用レシピ!$E:$E,0))&lt;&gt;0,INDEX(使用レシピ!L:L,MATCH(テンプレート!$C6,使用レシピ!$E:$E,0)),""),"")</f>
        <v>16</v>
      </c>
      <c r="L6" t="str">
        <f>IFERROR(IF(INDEX(使用レシピ!M:M,MATCH(テンプレート!$C6,使用レシピ!$E:$E,0))&lt;&gt;0,INDEX(使用レシピ!M:M,MATCH(テンプレート!$C6,使用レシピ!$E:$E,0)),""),"")</f>
        <v/>
      </c>
      <c r="M6" t="str">
        <f>IFERROR(IF(INDEX(使用レシピ!N:N,MATCH(テンプレート!$C6,使用レシピ!$E:$E,0))&lt;&gt;0,INDEX(使用レシピ!N:N,MATCH(テンプレート!$C6,使用レシピ!$E:$E,0)),""),"")</f>
        <v/>
      </c>
      <c r="N6" s="24" t="str">
        <f>IFERROR(IF(INDEX(使用レシピ!O:O,MATCH(テンプレート!$C6,使用レシピ!$E:$E,0))&lt;&gt;0,INDEX(使用レシピ!O:O,MATCH(テンプレート!$C6,使用レシピ!$E:$E,0)),""),"")</f>
        <v/>
      </c>
      <c r="O6" s="42">
        <f>IFERROR(IF(INDEX(使用レシピ!P:P,MATCH(テンプレート!$C6,使用レシピ!$E:$E,0))&lt;&gt;0,INDEX(使用レシピ!P:P,MATCH(テンプレート!$C6,使用レシピ!$E:$E,0)),""),"")</f>
        <v>9</v>
      </c>
      <c r="P6" s="25">
        <f t="shared" si="0"/>
        <v>24</v>
      </c>
      <c r="Q6" s="26">
        <f t="shared" si="1"/>
        <v>16</v>
      </c>
      <c r="R6" s="26" t="str">
        <f t="shared" si="2"/>
        <v/>
      </c>
      <c r="S6" s="26" t="str">
        <f t="shared" si="3"/>
        <v/>
      </c>
      <c r="T6" s="43" t="str">
        <f t="shared" si="4"/>
        <v/>
      </c>
    </row>
    <row r="7" spans="1:20" x14ac:dyDescent="0.4">
      <c r="A7">
        <v>111</v>
      </c>
      <c r="B7" s="47" cm="1">
        <f t="array" ref="B7">IFERROR((INDEX($P$4:$T$1000,MATCH(VALUE(LEFT($A7,LEN($A7)-1)),$A$4:$A$1000,0),VALUE(RIGHT($A7,1)))/ INDEX($O$4:$O$1000,MATCH(VALUE(LEFT($A7,LEN($A7)-1)),$A$4:$A$1000))) * INDEX($B$4:$B$1000,MATCH(VALUE(LEFT($A7,LEN($A7)-1)),$A$4:$A$1000)),"")</f>
        <v>1080</v>
      </c>
      <c r="C7" s="38" t="str" cm="1">
        <f t="array" ref="C7">IFERROR(IF(INDEX($D$4:$H$1000,MATCH(VALUE(LEFT($A7,LEN($A7)-1)),$A$4:$A$1000,0),VALUE(RIGHT($A7,1)))= 0,"",INDEX($D$4:$H$1000,MATCH(VALUE(LEFT($A7,LEN($A7)-1)),$A$4:$A$1000,0),VALUE(RIGHT($A7,1)))),"")</f>
        <v>プルトニウム・ペレット</v>
      </c>
      <c r="D7" s="23" t="str">
        <f>IFERROR(IF(INDEX(使用レシピ!F:F,MATCH(テンプレート!$C7,使用レシピ!$E:$E,0))&lt;&gt;0,INDEX(使用レシピ!F:F,MATCH(テンプレート!$C7,使用レシピ!$E:$E,0)),""),"")</f>
        <v>非核分裂性ウラン</v>
      </c>
      <c r="E7" t="str">
        <f>IFERROR(IF(INDEX(使用レシピ!G:G,MATCH(テンプレート!$C7,使用レシピ!$E:$E,0))&lt;&gt;0,INDEX(使用レシピ!G:G,MATCH(テンプレート!$C7,使用レシピ!$E:$E,0)),""),"")</f>
        <v>ウラン廃棄物</v>
      </c>
      <c r="F7" t="str">
        <f>IFERROR(IF(INDEX(使用レシピ!H:H,MATCH(テンプレート!$C7,使用レシピ!$E:$E,0))&lt;&gt;0,INDEX(使用レシピ!H:H,MATCH(テンプレート!$C7,使用レシピ!$E:$E,0)),""),"")</f>
        <v/>
      </c>
      <c r="G7" t="str">
        <f>IFERROR(IF(INDEX(使用レシピ!I:I,MATCH(テンプレート!$C7,使用レシピ!$E:$E,0))&lt;&gt;0,INDEX(使用レシピ!I:I,MATCH(テンプレート!$C7,使用レシピ!$E:$E,0)),""),"")</f>
        <v/>
      </c>
      <c r="H7" s="24" t="str">
        <f>IFERROR(IF(INDEX(使用レシピ!J:J,MATCH(テンプレート!$C7,使用レシピ!$E:$E,0))&lt;&gt;0,INDEX(使用レシピ!J:J,MATCH(テンプレート!$C7,使用レシピ!$E:$E,0)),""),"")</f>
        <v/>
      </c>
      <c r="I7" s="36">
        <f>IFERROR(IF(INDEX(使用レシピ!P:P,MATCH(テンプレート!$C7,使用レシピ!$E:$E,0))&lt;&gt;0,INDEX(使用レシピ!P:P,MATCH(テンプレート!$C7,使用レシピ!$E:$E,0)),""),"")</f>
        <v>30</v>
      </c>
      <c r="J7">
        <f>IFERROR(IF(INDEX(使用レシピ!K:K,MATCH(テンプレート!$C7,使用レシピ!$E:$E,0))&lt;&gt;0,INDEX(使用レシピ!K:K,MATCH(テンプレート!$C7,使用レシピ!$E:$E,0)),""),"")</f>
        <v>100</v>
      </c>
      <c r="K7">
        <f>IFERROR(IF(INDEX(使用レシピ!L:L,MATCH(テンプレート!$C7,使用レシピ!$E:$E,0))&lt;&gt;0,INDEX(使用レシピ!L:L,MATCH(テンプレート!$C7,使用レシピ!$E:$E,0)),""),"")</f>
        <v>25</v>
      </c>
      <c r="L7" t="str">
        <f>IFERROR(IF(INDEX(使用レシピ!M:M,MATCH(テンプレート!$C7,使用レシピ!$E:$E,0))&lt;&gt;0,INDEX(使用レシピ!M:M,MATCH(テンプレート!$C7,使用レシピ!$E:$E,0)),""),"")</f>
        <v/>
      </c>
      <c r="M7" t="str">
        <f>IFERROR(IF(INDEX(使用レシピ!N:N,MATCH(テンプレート!$C7,使用レシピ!$E:$E,0))&lt;&gt;0,INDEX(使用レシピ!N:N,MATCH(テンプレート!$C7,使用レシピ!$E:$E,0)),""),"")</f>
        <v/>
      </c>
      <c r="N7" s="24" t="str">
        <f>IFERROR(IF(INDEX(使用レシピ!O:O,MATCH(テンプレート!$C7,使用レシピ!$E:$E,0))&lt;&gt;0,INDEX(使用レシピ!O:O,MATCH(テンプレート!$C7,使用レシピ!$E:$E,0)),""),"")</f>
        <v/>
      </c>
      <c r="O7" s="42">
        <f>IFERROR(IF(INDEX(使用レシピ!P:P,MATCH(テンプレート!$C7,使用レシピ!$E:$E,0))&lt;&gt;0,INDEX(使用レシピ!P:P,MATCH(テンプレート!$C7,使用レシピ!$E:$E,0)),""),"")</f>
        <v>30</v>
      </c>
      <c r="P7" s="25">
        <f t="shared" si="0"/>
        <v>100</v>
      </c>
      <c r="Q7" s="26">
        <f t="shared" si="1"/>
        <v>25</v>
      </c>
      <c r="R7" s="26" t="str">
        <f t="shared" si="2"/>
        <v/>
      </c>
      <c r="S7" s="26" t="str">
        <f t="shared" si="3"/>
        <v/>
      </c>
      <c r="T7" s="43" t="str">
        <f t="shared" si="4"/>
        <v/>
      </c>
    </row>
    <row r="8" spans="1:20" x14ac:dyDescent="0.4">
      <c r="A8">
        <v>112</v>
      </c>
      <c r="B8" s="47" cm="1">
        <f t="array" ref="B8">IFERROR((INDEX($P$4:$T$1000,MATCH(VALUE(LEFT($A8,LEN($A8)-1)),$A$4:$A$1000,0),VALUE(RIGHT($A8,1)))/ INDEX($O$4:$O$1000,MATCH(VALUE(LEFT($A8,LEN($A8)-1)),$A$4:$A$1000))) * INDEX($B$4:$B$1000,MATCH(VALUE(LEFT($A8,LEN($A8)-1)),$A$4:$A$1000)),"")</f>
        <v>2160</v>
      </c>
      <c r="C8" s="38" t="str" cm="1">
        <f t="array" ref="C8">IFERROR(IF(INDEX($D$4:$H$1000,MATCH(VALUE(LEFT($A8,LEN($A8)-1)),$A$4:$A$1000,0),VALUE(RIGHT($A8,1)))= 0,"",INDEX($D$4:$H$1000,MATCH(VALUE(LEFT($A8,LEN($A8)-1)),$A$4:$A$1000,0),VALUE(RIGHT($A8,1)))),"")</f>
        <v>コンクリート</v>
      </c>
      <c r="D8" s="23" t="str">
        <f>IFERROR(IF(INDEX(使用レシピ!F:F,MATCH(テンプレート!$C8,使用レシピ!$E:$E,0))&lt;&gt;0,INDEX(使用レシピ!F:F,MATCH(テンプレート!$C8,使用レシピ!$E:$E,0)),""),"")</f>
        <v>石灰岩</v>
      </c>
      <c r="E8" t="str">
        <f>IFERROR(IF(INDEX(使用レシピ!G:G,MATCH(テンプレート!$C8,使用レシピ!$E:$E,0))&lt;&gt;0,INDEX(使用レシピ!G:G,MATCH(テンプレート!$C8,使用レシピ!$E:$E,0)),""),"")</f>
        <v>水</v>
      </c>
      <c r="F8" t="str">
        <f>IFERROR(IF(INDEX(使用レシピ!H:H,MATCH(テンプレート!$C8,使用レシピ!$E:$E,0))&lt;&gt;0,INDEX(使用レシピ!H:H,MATCH(テンプレート!$C8,使用レシピ!$E:$E,0)),""),"")</f>
        <v/>
      </c>
      <c r="G8" t="str">
        <f>IFERROR(IF(INDEX(使用レシピ!I:I,MATCH(テンプレート!$C8,使用レシピ!$E:$E,0))&lt;&gt;0,INDEX(使用レシピ!I:I,MATCH(テンプレート!$C8,使用レシピ!$E:$E,0)),""),"")</f>
        <v/>
      </c>
      <c r="H8" s="24" t="str">
        <f>IFERROR(IF(INDEX(使用レシピ!J:J,MATCH(テンプレート!$C8,使用レシピ!$E:$E,0))&lt;&gt;0,INDEX(使用レシピ!J:J,MATCH(テンプレート!$C8,使用レシピ!$E:$E,0)),""),"")</f>
        <v/>
      </c>
      <c r="I8" s="36">
        <f>IFERROR(IF(INDEX(使用レシピ!P:P,MATCH(テンプレート!$C8,使用レシピ!$E:$E,0))&lt;&gt;0,INDEX(使用レシピ!P:P,MATCH(テンプレート!$C8,使用レシピ!$E:$E,0)),""),"")</f>
        <v>4</v>
      </c>
      <c r="J8">
        <f>IFERROR(IF(INDEX(使用レシピ!K:K,MATCH(テンプレート!$C8,使用レシピ!$E:$E,0))&lt;&gt;0,INDEX(使用レシピ!K:K,MATCH(テンプレート!$C8,使用レシピ!$E:$E,0)),""),"")</f>
        <v>6</v>
      </c>
      <c r="K8">
        <f>IFERROR(IF(INDEX(使用レシピ!L:L,MATCH(テンプレート!$C8,使用レシピ!$E:$E,0))&lt;&gt;0,INDEX(使用レシピ!L:L,MATCH(テンプレート!$C8,使用レシピ!$E:$E,0)),""),"")</f>
        <v>5</v>
      </c>
      <c r="L8" t="str">
        <f>IFERROR(IF(INDEX(使用レシピ!M:M,MATCH(テンプレート!$C8,使用レシピ!$E:$E,0))&lt;&gt;0,INDEX(使用レシピ!M:M,MATCH(テンプレート!$C8,使用レシピ!$E:$E,0)),""),"")</f>
        <v/>
      </c>
      <c r="M8" t="str">
        <f>IFERROR(IF(INDEX(使用レシピ!N:N,MATCH(テンプレート!$C8,使用レシピ!$E:$E,0))&lt;&gt;0,INDEX(使用レシピ!N:N,MATCH(テンプレート!$C8,使用レシピ!$E:$E,0)),""),"")</f>
        <v/>
      </c>
      <c r="N8" s="24" t="str">
        <f>IFERROR(IF(INDEX(使用レシピ!O:O,MATCH(テンプレート!$C8,使用レシピ!$E:$E,0))&lt;&gt;0,INDEX(使用レシピ!O:O,MATCH(テンプレート!$C8,使用レシピ!$E:$E,0)),""),"")</f>
        <v/>
      </c>
      <c r="O8" s="42">
        <f>IFERROR(IF(INDEX(使用レシピ!P:P,MATCH(テンプレート!$C8,使用レシピ!$E:$E,0))&lt;&gt;0,INDEX(使用レシピ!P:P,MATCH(テンプレート!$C8,使用レシピ!$E:$E,0)),""),"")</f>
        <v>4</v>
      </c>
      <c r="P8" s="25">
        <f t="shared" si="0"/>
        <v>6</v>
      </c>
      <c r="Q8" s="26">
        <f t="shared" si="1"/>
        <v>5</v>
      </c>
      <c r="R8" s="26" t="str">
        <f t="shared" si="2"/>
        <v/>
      </c>
      <c r="S8" s="26" t="str">
        <f t="shared" si="3"/>
        <v/>
      </c>
      <c r="T8" s="43" t="str">
        <f t="shared" si="4"/>
        <v/>
      </c>
    </row>
    <row r="9" spans="1:20" x14ac:dyDescent="0.4">
      <c r="A9">
        <v>121</v>
      </c>
      <c r="B9" s="47" cm="1">
        <f t="array" ref="B9">IFERROR((INDEX($P$4:$T$1000,MATCH(VALUE(LEFT($A9,LEN($A9)-1)),$A$4:$A$1000,0),VALUE(RIGHT($A9,1)))/ INDEX($O$4:$O$1000,MATCH(VALUE(LEFT($A9,LEN($A9)-1)),$A$4:$A$1000))) * INDEX($B$4:$B$1000,MATCH(VALUE(LEFT($A9,LEN($A9)-1)),$A$4:$A$1000)),"")</f>
        <v>864</v>
      </c>
      <c r="C9" s="38" t="str" cm="1">
        <f t="array" ref="C9">IFERROR(IF(INDEX($D$4:$H$1000,MATCH(VALUE(LEFT($A9,LEN($A9)-1)),$A$4:$A$1000,0),VALUE(RIGHT($A9,1)))= 0,"",INDEX($D$4:$H$1000,MATCH(VALUE(LEFT($A9,LEN($A9)-1)),$A$4:$A$1000,0),VALUE(RIGHT($A9,1)))),"")</f>
        <v>鋼鉄のインゴット</v>
      </c>
      <c r="D9" s="23" t="str">
        <f>IFERROR(IF(INDEX(使用レシピ!F:F,MATCH(テンプレート!$C9,使用レシピ!$E:$E,0))&lt;&gt;0,INDEX(使用レシピ!F:F,MATCH(テンプレート!$C9,使用レシピ!$E:$E,0)),""),"")</f>
        <v>鉄のインゴット</v>
      </c>
      <c r="E9" t="str">
        <f>IFERROR(IF(INDEX(使用レシピ!G:G,MATCH(テンプレート!$C9,使用レシピ!$E:$E,0))&lt;&gt;0,INDEX(使用レシピ!G:G,MATCH(テンプレート!$C9,使用レシピ!$E:$E,0)),""),"")</f>
        <v>石炭</v>
      </c>
      <c r="F9" t="str">
        <f>IFERROR(IF(INDEX(使用レシピ!H:H,MATCH(テンプレート!$C9,使用レシピ!$E:$E,0))&lt;&gt;0,INDEX(使用レシピ!H:H,MATCH(テンプレート!$C9,使用レシピ!$E:$E,0)),""),"")</f>
        <v/>
      </c>
      <c r="G9" t="str">
        <f>IFERROR(IF(INDEX(使用レシピ!I:I,MATCH(テンプレート!$C9,使用レシピ!$E:$E,0))&lt;&gt;0,INDEX(使用レシピ!I:I,MATCH(テンプレート!$C9,使用レシピ!$E:$E,0)),""),"")</f>
        <v/>
      </c>
      <c r="H9" s="24" t="str">
        <f>IFERROR(IF(INDEX(使用レシピ!J:J,MATCH(テンプレート!$C9,使用レシピ!$E:$E,0))&lt;&gt;0,INDEX(使用レシピ!J:J,MATCH(テンプレート!$C9,使用レシピ!$E:$E,0)),""),"")</f>
        <v/>
      </c>
      <c r="I9" s="36">
        <f>IFERROR(IF(INDEX(使用レシピ!P:P,MATCH(テンプレート!$C9,使用レシピ!$E:$E,0))&lt;&gt;0,INDEX(使用レシピ!P:P,MATCH(テンプレート!$C9,使用レシピ!$E:$E,0)),""),"")</f>
        <v>3</v>
      </c>
      <c r="J9">
        <f>IFERROR(IF(INDEX(使用レシピ!K:K,MATCH(テンプレート!$C9,使用レシピ!$E:$E,0))&lt;&gt;0,INDEX(使用レシピ!K:K,MATCH(テンプレート!$C9,使用レシピ!$E:$E,0)),""),"")</f>
        <v>2</v>
      </c>
      <c r="K9">
        <f>IFERROR(IF(INDEX(使用レシピ!L:L,MATCH(テンプレート!$C9,使用レシピ!$E:$E,0))&lt;&gt;0,INDEX(使用レシピ!L:L,MATCH(テンプレート!$C9,使用レシピ!$E:$E,0)),""),"")</f>
        <v>2</v>
      </c>
      <c r="L9" t="str">
        <f>IFERROR(IF(INDEX(使用レシピ!M:M,MATCH(テンプレート!$C9,使用レシピ!$E:$E,0))&lt;&gt;0,INDEX(使用レシピ!M:M,MATCH(テンプレート!$C9,使用レシピ!$E:$E,0)),""),"")</f>
        <v/>
      </c>
      <c r="M9" t="str">
        <f>IFERROR(IF(INDEX(使用レシピ!N:N,MATCH(テンプレート!$C9,使用レシピ!$E:$E,0))&lt;&gt;0,INDEX(使用レシピ!N:N,MATCH(テンプレート!$C9,使用レシピ!$E:$E,0)),""),"")</f>
        <v/>
      </c>
      <c r="N9" s="24" t="str">
        <f>IFERROR(IF(INDEX(使用レシピ!O:O,MATCH(テンプレート!$C9,使用レシピ!$E:$E,0))&lt;&gt;0,INDEX(使用レシピ!O:O,MATCH(テンプレート!$C9,使用レシピ!$E:$E,0)),""),"")</f>
        <v/>
      </c>
      <c r="O9" s="42">
        <f>IFERROR(IF(INDEX(使用レシピ!P:P,MATCH(テンプレート!$C9,使用レシピ!$E:$E,0))&lt;&gt;0,INDEX(使用レシピ!P:P,MATCH(テンプレート!$C9,使用レシピ!$E:$E,0)),""),"")</f>
        <v>3</v>
      </c>
      <c r="P9" s="25">
        <f t="shared" si="0"/>
        <v>2</v>
      </c>
      <c r="Q9" s="26">
        <f t="shared" si="1"/>
        <v>2</v>
      </c>
      <c r="R9" s="26" t="str">
        <f t="shared" si="2"/>
        <v/>
      </c>
      <c r="S9" s="26" t="str">
        <f t="shared" si="3"/>
        <v/>
      </c>
      <c r="T9" s="43" t="str">
        <f t="shared" si="4"/>
        <v/>
      </c>
    </row>
    <row r="10" spans="1:20" x14ac:dyDescent="0.4">
      <c r="A10">
        <v>122</v>
      </c>
      <c r="B10" s="47" cm="1">
        <f t="array" ref="B10">IFERROR((INDEX($P$4:$T$1000,MATCH(VALUE(LEFT($A10,LEN($A10)-1)),$A$4:$A$1000,0),VALUE(RIGHT($A10,1)))/ INDEX($O$4:$O$1000,MATCH(VALUE(LEFT($A10,LEN($A10)-1)),$A$4:$A$1000))) * INDEX($B$4:$B$1000,MATCH(VALUE(LEFT($A10,LEN($A10)-1)),$A$4:$A$1000)),"")</f>
        <v>576</v>
      </c>
      <c r="C10" s="38" t="str" cm="1">
        <f t="array" ref="C10">IFERROR(IF(INDEX($D$4:$H$1000,MATCH(VALUE(LEFT($A10,LEN($A10)-1)),$A$4:$A$1000,0),VALUE(RIGHT($A10,1)))= 0,"",INDEX($D$4:$H$1000,MATCH(VALUE(LEFT($A10,LEN($A10)-1)),$A$4:$A$1000,0),VALUE(RIGHT($A10,1)))),"")</f>
        <v>コンクリート</v>
      </c>
      <c r="D10" s="23" t="str">
        <f>IFERROR(IF(INDEX(使用レシピ!F:F,MATCH(テンプレート!$C10,使用レシピ!$E:$E,0))&lt;&gt;0,INDEX(使用レシピ!F:F,MATCH(テンプレート!$C10,使用レシピ!$E:$E,0)),""),"")</f>
        <v>石灰岩</v>
      </c>
      <c r="E10" t="str">
        <f>IFERROR(IF(INDEX(使用レシピ!G:G,MATCH(テンプレート!$C10,使用レシピ!$E:$E,0))&lt;&gt;0,INDEX(使用レシピ!G:G,MATCH(テンプレート!$C10,使用レシピ!$E:$E,0)),""),"")</f>
        <v>水</v>
      </c>
      <c r="F10" t="str">
        <f>IFERROR(IF(INDEX(使用レシピ!H:H,MATCH(テンプレート!$C10,使用レシピ!$E:$E,0))&lt;&gt;0,INDEX(使用レシピ!H:H,MATCH(テンプレート!$C10,使用レシピ!$E:$E,0)),""),"")</f>
        <v/>
      </c>
      <c r="G10" t="str">
        <f>IFERROR(IF(INDEX(使用レシピ!I:I,MATCH(テンプレート!$C10,使用レシピ!$E:$E,0))&lt;&gt;0,INDEX(使用レシピ!I:I,MATCH(テンプレート!$C10,使用レシピ!$E:$E,0)),""),"")</f>
        <v/>
      </c>
      <c r="H10" s="24" t="str">
        <f>IFERROR(IF(INDEX(使用レシピ!J:J,MATCH(テンプレート!$C10,使用レシピ!$E:$E,0))&lt;&gt;0,INDEX(使用レシピ!J:J,MATCH(テンプレート!$C10,使用レシピ!$E:$E,0)),""),"")</f>
        <v/>
      </c>
      <c r="I10" s="36">
        <f>IFERROR(IF(INDEX(使用レシピ!P:P,MATCH(テンプレート!$C10,使用レシピ!$E:$E,0))&lt;&gt;0,INDEX(使用レシピ!P:P,MATCH(テンプレート!$C10,使用レシピ!$E:$E,0)),""),"")</f>
        <v>4</v>
      </c>
      <c r="J10">
        <f>IFERROR(IF(INDEX(使用レシピ!K:K,MATCH(テンプレート!$C10,使用レシピ!$E:$E,0))&lt;&gt;0,INDEX(使用レシピ!K:K,MATCH(テンプレート!$C10,使用レシピ!$E:$E,0)),""),"")</f>
        <v>6</v>
      </c>
      <c r="K10">
        <f>IFERROR(IF(INDEX(使用レシピ!L:L,MATCH(テンプレート!$C10,使用レシピ!$E:$E,0))&lt;&gt;0,INDEX(使用レシピ!L:L,MATCH(テンプレート!$C10,使用レシピ!$E:$E,0)),""),"")</f>
        <v>5</v>
      </c>
      <c r="L10" t="str">
        <f>IFERROR(IF(INDEX(使用レシピ!M:M,MATCH(テンプレート!$C10,使用レシピ!$E:$E,0))&lt;&gt;0,INDEX(使用レシピ!M:M,MATCH(テンプレート!$C10,使用レシピ!$E:$E,0)),""),"")</f>
        <v/>
      </c>
      <c r="M10" t="str">
        <f>IFERROR(IF(INDEX(使用レシピ!N:N,MATCH(テンプレート!$C10,使用レシピ!$E:$E,0))&lt;&gt;0,INDEX(使用レシピ!N:N,MATCH(テンプレート!$C10,使用レシピ!$E:$E,0)),""),"")</f>
        <v/>
      </c>
      <c r="N10" s="24" t="str">
        <f>IFERROR(IF(INDEX(使用レシピ!O:O,MATCH(テンプレート!$C10,使用レシピ!$E:$E,0))&lt;&gt;0,INDEX(使用レシピ!O:O,MATCH(テンプレート!$C10,使用レシピ!$E:$E,0)),""),"")</f>
        <v/>
      </c>
      <c r="O10" s="42">
        <f>IFERROR(IF(INDEX(使用レシピ!P:P,MATCH(テンプレート!$C10,使用レシピ!$E:$E,0))&lt;&gt;0,INDEX(使用レシピ!P:P,MATCH(テンプレート!$C10,使用レシピ!$E:$E,0)),""),"")</f>
        <v>4</v>
      </c>
      <c r="P10" s="25">
        <f t="shared" si="0"/>
        <v>6</v>
      </c>
      <c r="Q10" s="26">
        <f t="shared" si="1"/>
        <v>5</v>
      </c>
      <c r="R10" s="26" t="str">
        <f t="shared" si="2"/>
        <v/>
      </c>
      <c r="S10" s="26" t="str">
        <f t="shared" si="3"/>
        <v/>
      </c>
      <c r="T10" s="43" t="str">
        <f t="shared" si="4"/>
        <v/>
      </c>
    </row>
    <row r="11" spans="1:20" x14ac:dyDescent="0.4">
      <c r="A11">
        <v>1111</v>
      </c>
      <c r="B11" s="47" cm="1">
        <f t="array" ref="B11">IFERROR((INDEX($P$4:$T$1000,MATCH(VALUE(LEFT($A11,LEN($A11)-1)),$A$4:$A$1000,0),VALUE(RIGHT($A11,1)))/ INDEX($O$4:$O$1000,MATCH(VALUE(LEFT($A11,LEN($A11)-1)),$A$4:$A$1000))) * INDEX($B$4:$B$1000,MATCH(VALUE(LEFT($A11,LEN($A11)-1)),$A$4:$A$1000)),"")</f>
        <v>3600</v>
      </c>
      <c r="C11" s="38" t="str" cm="1">
        <f t="array" ref="C11">IFERROR(IF(INDEX($D$4:$H$1000,MATCH(VALUE(LEFT($A11,LEN($A11)-1)),$A$4:$A$1000,0),VALUE(RIGHT($A11,1)))= 0,"",INDEX($D$4:$H$1000,MATCH(VALUE(LEFT($A11,LEN($A11)-1)),$A$4:$A$1000,0),VALUE(RIGHT($A11,1)))),"")</f>
        <v>非核分裂性ウラン</v>
      </c>
      <c r="D11" s="23" t="str">
        <f>IFERROR(IF(INDEX(使用レシピ!F:F,MATCH(テンプレート!$C11,使用レシピ!$E:$E,0))&lt;&gt;0,INDEX(使用レシピ!F:F,MATCH(テンプレート!$C11,使用レシピ!$E:$E,0)),""),"")</f>
        <v>ウラン廃棄物</v>
      </c>
      <c r="E11" t="str">
        <f>IFERROR(IF(INDEX(使用レシピ!G:G,MATCH(テンプレート!$C11,使用レシピ!$E:$E,0))&lt;&gt;0,INDEX(使用レシピ!G:G,MATCH(テンプレート!$C11,使用レシピ!$E:$E,0)),""),"")</f>
        <v>シリカ</v>
      </c>
      <c r="F11" t="str">
        <f>IFERROR(IF(INDEX(使用レシピ!H:H,MATCH(テンプレート!$C11,使用レシピ!$E:$E,0))&lt;&gt;0,INDEX(使用レシピ!H:H,MATCH(テンプレート!$C11,使用レシピ!$E:$E,0)),""),"")</f>
        <v>硝酸</v>
      </c>
      <c r="G11" t="str">
        <f>IFERROR(IF(INDEX(使用レシピ!I:I,MATCH(テンプレート!$C11,使用レシピ!$E:$E,0))&lt;&gt;0,INDEX(使用レシピ!I:I,MATCH(テンプレート!$C11,使用レシピ!$E:$E,0)),""),"")</f>
        <v>硫酸</v>
      </c>
      <c r="H11" s="24" t="str">
        <f>IFERROR(IF(INDEX(使用レシピ!J:J,MATCH(テンプレート!$C11,使用レシピ!$E:$E,0))&lt;&gt;0,INDEX(使用レシピ!J:J,MATCH(テンプレート!$C11,使用レシピ!$E:$E,0)),""),"")</f>
        <v>水</v>
      </c>
      <c r="I11" s="36">
        <f>IFERROR(IF(INDEX(使用レシピ!P:P,MATCH(テンプレート!$C11,使用レシピ!$E:$E,0))&lt;&gt;0,INDEX(使用レシピ!P:P,MATCH(テンプレート!$C11,使用レシピ!$E:$E,0)),""),"")</f>
        <v>20</v>
      </c>
      <c r="J11">
        <f>IFERROR(IF(INDEX(使用レシピ!K:K,MATCH(テンプレート!$C11,使用レシピ!$E:$E,0))&lt;&gt;0,INDEX(使用レシピ!K:K,MATCH(テンプレート!$C11,使用レシピ!$E:$E,0)),""),"")</f>
        <v>15</v>
      </c>
      <c r="K11">
        <f>IFERROR(IF(INDEX(使用レシピ!L:L,MATCH(テンプレート!$C11,使用レシピ!$E:$E,0))&lt;&gt;0,INDEX(使用レシピ!L:L,MATCH(テンプレート!$C11,使用レシピ!$E:$E,0)),""),"")</f>
        <v>10</v>
      </c>
      <c r="L11">
        <f>IFERROR(IF(INDEX(使用レシピ!M:M,MATCH(テンプレート!$C11,使用レシピ!$E:$E,0))&lt;&gt;0,INDEX(使用レシピ!M:M,MATCH(テンプレート!$C11,使用レシピ!$E:$E,0)),""),"")</f>
        <v>6</v>
      </c>
      <c r="M11">
        <f>IFERROR(IF(INDEX(使用レシピ!N:N,MATCH(テンプレート!$C11,使用レシピ!$E:$E,0))&lt;&gt;0,INDEX(使用レシピ!N:N,MATCH(テンプレート!$C11,使用レシピ!$E:$E,0)),""),"")</f>
        <v>6</v>
      </c>
      <c r="N11" s="24">
        <f>IFERROR(IF(INDEX(使用レシピ!O:O,MATCH(テンプレート!$C11,使用レシピ!$E:$E,0))&lt;&gt;0,INDEX(使用レシピ!O:O,MATCH(テンプレート!$C11,使用レシピ!$E:$E,0)),""),"")</f>
        <v>6</v>
      </c>
      <c r="O11" s="42">
        <f>IFERROR(IF(INDEX(使用レシピ!P:P,MATCH(テンプレート!$C11,使用レシピ!$E:$E,0))&lt;&gt;0,INDEX(使用レシピ!P:P,MATCH(テンプレート!$C11,使用レシピ!$E:$E,0)),""),"")</f>
        <v>20</v>
      </c>
      <c r="P11" s="25">
        <f t="shared" ref="P11:P68" si="5">IFERROR(IF($O11/$I11*J11 &gt; 0,$O11/$I11*J11,""),"")</f>
        <v>15</v>
      </c>
      <c r="Q11" s="26">
        <f t="shared" ref="Q11:Q68" si="6">IFERROR(IF($O11/$I11*K11 &gt; 0,$O11/$I11*K11,""),"")</f>
        <v>10</v>
      </c>
      <c r="R11" s="26">
        <f t="shared" ref="R11:R68" si="7">IFERROR(IF($O11/$I11*L11 &gt; 0,$O11/$I11*L11,""),"")</f>
        <v>6</v>
      </c>
      <c r="S11" s="26">
        <f t="shared" ref="S11:T68" si="8">IFERROR(IF($O11/$I11*M11 &gt; 0,$O11/$I11*M11,""),"")</f>
        <v>6</v>
      </c>
      <c r="T11" s="43">
        <f t="shared" ref="T11:T19" si="9">IFERROR(IF($O11/$I11*N11 &gt; 0,$O11/$I11*N11,""),"")</f>
        <v>6</v>
      </c>
    </row>
    <row r="12" spans="1:20" x14ac:dyDescent="0.4">
      <c r="A12">
        <v>1112</v>
      </c>
      <c r="B12" s="47" cm="1">
        <f t="array" ref="B12">IFERROR((INDEX($P$4:$T$1000,MATCH(VALUE(LEFT($A12,LEN($A12)-1)),$A$4:$A$1000,0),VALUE(RIGHT($A12,1)))/ INDEX($O$4:$O$1000,MATCH(VALUE(LEFT($A12,LEN($A12)-1)),$A$4:$A$1000))) * INDEX($B$4:$B$1000,MATCH(VALUE(LEFT($A12,LEN($A12)-1)),$A$4:$A$1000)),"")</f>
        <v>900</v>
      </c>
      <c r="C12" s="38" t="str" cm="1">
        <f t="array" ref="C12">IFERROR(IF(INDEX($D$4:$H$1000,MATCH(VALUE(LEFT($A12,LEN($A12)-1)),$A$4:$A$1000,0),VALUE(RIGHT($A12,1)))= 0,"",INDEX($D$4:$H$1000,MATCH(VALUE(LEFT($A12,LEN($A12)-1)),$A$4:$A$1000,0),VALUE(RIGHT($A12,1)))),"")</f>
        <v>ウラン廃棄物</v>
      </c>
      <c r="D12" s="23" t="str">
        <f>IFERROR(IF(INDEX(使用レシピ!F:F,MATCH(テンプレート!$C12,使用レシピ!$E:$E,0))&lt;&gt;0,INDEX(使用レシピ!F:F,MATCH(テンプレート!$C12,使用レシピ!$E:$E,0)),""),"")</f>
        <v>ウラン燃料棒</v>
      </c>
      <c r="E12" t="str">
        <f>IFERROR(IF(INDEX(使用レシピ!G:G,MATCH(テンプレート!$C12,使用レシピ!$E:$E,0))&lt;&gt;0,INDEX(使用レシピ!G:G,MATCH(テンプレート!$C12,使用レシピ!$E:$E,0)),""),"")</f>
        <v>水</v>
      </c>
      <c r="F12" t="str">
        <f>IFERROR(IF(INDEX(使用レシピ!H:H,MATCH(テンプレート!$C12,使用レシピ!$E:$E,0))&lt;&gt;0,INDEX(使用レシピ!H:H,MATCH(テンプレート!$C12,使用レシピ!$E:$E,0)),""),"")</f>
        <v/>
      </c>
      <c r="G12" t="str">
        <f>IFERROR(IF(INDEX(使用レシピ!I:I,MATCH(テンプレート!$C12,使用レシピ!$E:$E,0))&lt;&gt;0,INDEX(使用レシピ!I:I,MATCH(テンプレート!$C12,使用レシピ!$E:$E,0)),""),"")</f>
        <v/>
      </c>
      <c r="H12" s="24" t="str">
        <f>IFERROR(IF(INDEX(使用レシピ!J:J,MATCH(テンプレート!$C12,使用レシピ!$E:$E,0))&lt;&gt;0,INDEX(使用レシピ!J:J,MATCH(テンプレート!$C12,使用レシピ!$E:$E,0)),""),"")</f>
        <v/>
      </c>
      <c r="I12" s="36">
        <f>IFERROR(IF(INDEX(使用レシピ!P:P,MATCH(テンプレート!$C12,使用レシピ!$E:$E,0))&lt;&gt;0,INDEX(使用レシピ!P:P,MATCH(テンプレート!$C12,使用レシピ!$E:$E,0)),""),"")</f>
        <v>50</v>
      </c>
      <c r="J12">
        <f>IFERROR(IF(INDEX(使用レシピ!K:K,MATCH(テンプレート!$C12,使用レシピ!$E:$E,0))&lt;&gt;0,INDEX(使用レシピ!K:K,MATCH(テンプレート!$C12,使用レシピ!$E:$E,0)),""),"")</f>
        <v>1</v>
      </c>
      <c r="K12">
        <f>IFERROR(IF(INDEX(使用レシピ!L:L,MATCH(テンプレート!$C12,使用レシピ!$E:$E,0))&lt;&gt;0,INDEX(使用レシピ!L:L,MATCH(テンプレート!$C12,使用レシピ!$E:$E,0)),""),"")</f>
        <v>1200</v>
      </c>
      <c r="L12" t="str">
        <f>IFERROR(IF(INDEX(使用レシピ!M:M,MATCH(テンプレート!$C12,使用レシピ!$E:$E,0))&lt;&gt;0,INDEX(使用レシピ!M:M,MATCH(テンプレート!$C12,使用レシピ!$E:$E,0)),""),"")</f>
        <v/>
      </c>
      <c r="M12" t="str">
        <f>IFERROR(IF(INDEX(使用レシピ!N:N,MATCH(テンプレート!$C12,使用レシピ!$E:$E,0))&lt;&gt;0,INDEX(使用レシピ!N:N,MATCH(テンプレート!$C12,使用レシピ!$E:$E,0)),""),"")</f>
        <v/>
      </c>
      <c r="N12" s="24" t="str">
        <f>IFERROR(IF(INDEX(使用レシピ!O:O,MATCH(テンプレート!$C12,使用レシピ!$E:$E,0))&lt;&gt;0,INDEX(使用レシピ!O:O,MATCH(テンプレート!$C12,使用レシピ!$E:$E,0)),""),"")</f>
        <v/>
      </c>
      <c r="O12" s="42">
        <f>IFERROR(IF(INDEX(使用レシピ!P:P,MATCH(テンプレート!$C12,使用レシピ!$E:$E,0))&lt;&gt;0,INDEX(使用レシピ!P:P,MATCH(テンプレート!$C12,使用レシピ!$E:$E,0)),""),"")</f>
        <v>50</v>
      </c>
      <c r="P12" s="25">
        <f t="shared" si="5"/>
        <v>1</v>
      </c>
      <c r="Q12" s="26">
        <f t="shared" si="6"/>
        <v>1200</v>
      </c>
      <c r="R12" s="26" t="str">
        <f t="shared" si="7"/>
        <v/>
      </c>
      <c r="S12" s="26" t="str">
        <f t="shared" si="8"/>
        <v/>
      </c>
      <c r="T12" s="43" t="str">
        <f t="shared" si="9"/>
        <v/>
      </c>
    </row>
    <row r="13" spans="1:20" x14ac:dyDescent="0.4">
      <c r="A13">
        <v>1121</v>
      </c>
      <c r="B13" s="47" cm="1">
        <f t="array" ref="B13">IFERROR((INDEX($P$4:$T$1000,MATCH(VALUE(LEFT($A13,LEN($A13)-1)),$A$4:$A$1000,0),VALUE(RIGHT($A13,1)))/ INDEX($O$4:$O$1000,MATCH(VALUE(LEFT($A13,LEN($A13)-1)),$A$4:$A$1000))) * INDEX($B$4:$B$1000,MATCH(VALUE(LEFT($A13,LEN($A13)-1)),$A$4:$A$1000)),"")</f>
        <v>3240</v>
      </c>
      <c r="C13" s="38" t="str" cm="1">
        <f t="array" ref="C13">IFERROR(IF(INDEX($D$4:$H$1000,MATCH(VALUE(LEFT($A13,LEN($A13)-1)),$A$4:$A$1000,0),VALUE(RIGHT($A13,1)))= 0,"",INDEX($D$4:$H$1000,MATCH(VALUE(LEFT($A13,LEN($A13)-1)),$A$4:$A$1000,0),VALUE(RIGHT($A13,1)))),"")</f>
        <v>石灰岩</v>
      </c>
      <c r="D13" s="23" t="str">
        <f>IFERROR(IF(INDEX(使用レシピ!F:F,MATCH(テンプレート!$C13,使用レシピ!$E:$E,0))&lt;&gt;0,INDEX(使用レシピ!F:F,MATCH(テンプレート!$C13,使用レシピ!$E:$E,0)),""),"")</f>
        <v/>
      </c>
      <c r="E13" t="str">
        <f>IFERROR(IF(INDEX(使用レシピ!G:G,MATCH(テンプレート!$C13,使用レシピ!$E:$E,0))&lt;&gt;0,INDEX(使用レシピ!G:G,MATCH(テンプレート!$C13,使用レシピ!$E:$E,0)),""),"")</f>
        <v/>
      </c>
      <c r="F13" t="str">
        <f>IFERROR(IF(INDEX(使用レシピ!H:H,MATCH(テンプレート!$C13,使用レシピ!$E:$E,0))&lt;&gt;0,INDEX(使用レシピ!H:H,MATCH(テンプレート!$C13,使用レシピ!$E:$E,0)),""),"")</f>
        <v/>
      </c>
      <c r="G13" t="str">
        <f>IFERROR(IF(INDEX(使用レシピ!I:I,MATCH(テンプレート!$C13,使用レシピ!$E:$E,0))&lt;&gt;0,INDEX(使用レシピ!I:I,MATCH(テンプレート!$C13,使用レシピ!$E:$E,0)),""),"")</f>
        <v/>
      </c>
      <c r="H13" s="24" t="str">
        <f>IFERROR(IF(INDEX(使用レシピ!J:J,MATCH(テンプレート!$C13,使用レシピ!$E:$E,0))&lt;&gt;0,INDEX(使用レシピ!J:J,MATCH(テンプレート!$C13,使用レシピ!$E:$E,0)),""),"")</f>
        <v/>
      </c>
      <c r="I13" s="36">
        <f>IFERROR(IF(INDEX(使用レシピ!P:P,MATCH(テンプレート!$C13,使用レシピ!$E:$E,0))&lt;&gt;0,INDEX(使用レシピ!P:P,MATCH(テンプレート!$C13,使用レシピ!$E:$E,0)),""),"")</f>
        <v>1</v>
      </c>
      <c r="J13" t="str">
        <f>IFERROR(IF(INDEX(使用レシピ!K:K,MATCH(テンプレート!$C13,使用レシピ!$E:$E,0))&lt;&gt;0,INDEX(使用レシピ!K:K,MATCH(テンプレート!$C13,使用レシピ!$E:$E,0)),""),"")</f>
        <v/>
      </c>
      <c r="K13" t="str">
        <f>IFERROR(IF(INDEX(使用レシピ!L:L,MATCH(テンプレート!$C13,使用レシピ!$E:$E,0))&lt;&gt;0,INDEX(使用レシピ!L:L,MATCH(テンプレート!$C13,使用レシピ!$E:$E,0)),""),"")</f>
        <v/>
      </c>
      <c r="L13" t="str">
        <f>IFERROR(IF(INDEX(使用レシピ!M:M,MATCH(テンプレート!$C13,使用レシピ!$E:$E,0))&lt;&gt;0,INDEX(使用レシピ!M:M,MATCH(テンプレート!$C13,使用レシピ!$E:$E,0)),""),"")</f>
        <v/>
      </c>
      <c r="M13" t="str">
        <f>IFERROR(IF(INDEX(使用レシピ!N:N,MATCH(テンプレート!$C13,使用レシピ!$E:$E,0))&lt;&gt;0,INDEX(使用レシピ!N:N,MATCH(テンプレート!$C13,使用レシピ!$E:$E,0)),""),"")</f>
        <v/>
      </c>
      <c r="N13" s="24" t="str">
        <f>IFERROR(IF(INDEX(使用レシピ!O:O,MATCH(テンプレート!$C13,使用レシピ!$E:$E,0))&lt;&gt;0,INDEX(使用レシピ!O:O,MATCH(テンプレート!$C13,使用レシピ!$E:$E,0)),""),"")</f>
        <v/>
      </c>
      <c r="O13" s="42">
        <f>IFERROR(IF(INDEX(使用レシピ!P:P,MATCH(テンプレート!$C13,使用レシピ!$E:$E,0))&lt;&gt;0,INDEX(使用レシピ!P:P,MATCH(テンプレート!$C13,使用レシピ!$E:$E,0)),""),"")</f>
        <v>1</v>
      </c>
      <c r="P13" s="25" t="str">
        <f t="shared" si="5"/>
        <v/>
      </c>
      <c r="Q13" s="26" t="str">
        <f t="shared" si="6"/>
        <v/>
      </c>
      <c r="R13" s="26" t="str">
        <f t="shared" si="7"/>
        <v/>
      </c>
      <c r="S13" s="26" t="str">
        <f t="shared" si="8"/>
        <v/>
      </c>
      <c r="T13" s="43" t="str">
        <f t="shared" si="9"/>
        <v/>
      </c>
    </row>
    <row r="14" spans="1:20" x14ac:dyDescent="0.4">
      <c r="A14">
        <v>1122</v>
      </c>
      <c r="B14" s="47" cm="1">
        <f t="array" ref="B14">IFERROR((INDEX($P$4:$T$1000,MATCH(VALUE(LEFT($A14,LEN($A14)-1)),$A$4:$A$1000,0),VALUE(RIGHT($A14,1)))/ INDEX($O$4:$O$1000,MATCH(VALUE(LEFT($A14,LEN($A14)-1)),$A$4:$A$1000))) * INDEX($B$4:$B$1000,MATCH(VALUE(LEFT($A14,LEN($A14)-1)),$A$4:$A$1000)),"")</f>
        <v>2700</v>
      </c>
      <c r="C14" s="38" t="str" cm="1">
        <f t="array" ref="C14">IFERROR(IF(INDEX($D$4:$H$1000,MATCH(VALUE(LEFT($A14,LEN($A14)-1)),$A$4:$A$1000,0),VALUE(RIGHT($A14,1)))= 0,"",INDEX($D$4:$H$1000,MATCH(VALUE(LEFT($A14,LEN($A14)-1)),$A$4:$A$1000,0),VALUE(RIGHT($A14,1)))),"")</f>
        <v>水</v>
      </c>
      <c r="D14" s="23" t="str">
        <f>IFERROR(IF(INDEX(使用レシピ!F:F,MATCH(テンプレート!$C14,使用レシピ!$E:$E,0))&lt;&gt;0,INDEX(使用レシピ!F:F,MATCH(テンプレート!$C14,使用レシピ!$E:$E,0)),""),"")</f>
        <v/>
      </c>
      <c r="E14" t="str">
        <f>IFERROR(IF(INDEX(使用レシピ!G:G,MATCH(テンプレート!$C14,使用レシピ!$E:$E,0))&lt;&gt;0,INDEX(使用レシピ!G:G,MATCH(テンプレート!$C14,使用レシピ!$E:$E,0)),""),"")</f>
        <v/>
      </c>
      <c r="F14" t="str">
        <f>IFERROR(IF(INDEX(使用レシピ!H:H,MATCH(テンプレート!$C14,使用レシピ!$E:$E,0))&lt;&gt;0,INDEX(使用レシピ!H:H,MATCH(テンプレート!$C14,使用レシピ!$E:$E,0)),""),"")</f>
        <v/>
      </c>
      <c r="G14" t="str">
        <f>IFERROR(IF(INDEX(使用レシピ!I:I,MATCH(テンプレート!$C14,使用レシピ!$E:$E,0))&lt;&gt;0,INDEX(使用レシピ!I:I,MATCH(テンプレート!$C14,使用レシピ!$E:$E,0)),""),"")</f>
        <v/>
      </c>
      <c r="H14" s="24" t="str">
        <f>IFERROR(IF(INDEX(使用レシピ!J:J,MATCH(テンプレート!$C14,使用レシピ!$E:$E,0))&lt;&gt;0,INDEX(使用レシピ!J:J,MATCH(テンプレート!$C14,使用レシピ!$E:$E,0)),""),"")</f>
        <v/>
      </c>
      <c r="I14" s="36">
        <f>IFERROR(IF(INDEX(使用レシピ!P:P,MATCH(テンプレート!$C14,使用レシピ!$E:$E,0))&lt;&gt;0,INDEX(使用レシピ!P:P,MATCH(テンプレート!$C14,使用レシピ!$E:$E,0)),""),"")</f>
        <v>1</v>
      </c>
      <c r="J14" t="str">
        <f>IFERROR(IF(INDEX(使用レシピ!K:K,MATCH(テンプレート!$C14,使用レシピ!$E:$E,0))&lt;&gt;0,INDEX(使用レシピ!K:K,MATCH(テンプレート!$C14,使用レシピ!$E:$E,0)),""),"")</f>
        <v/>
      </c>
      <c r="K14" t="str">
        <f>IFERROR(IF(INDEX(使用レシピ!L:L,MATCH(テンプレート!$C14,使用レシピ!$E:$E,0))&lt;&gt;0,INDEX(使用レシピ!L:L,MATCH(テンプレート!$C14,使用レシピ!$E:$E,0)),""),"")</f>
        <v/>
      </c>
      <c r="L14" t="str">
        <f>IFERROR(IF(INDEX(使用レシピ!M:M,MATCH(テンプレート!$C14,使用レシピ!$E:$E,0))&lt;&gt;0,INDEX(使用レシピ!M:M,MATCH(テンプレート!$C14,使用レシピ!$E:$E,0)),""),"")</f>
        <v/>
      </c>
      <c r="M14" t="str">
        <f>IFERROR(IF(INDEX(使用レシピ!N:N,MATCH(テンプレート!$C14,使用レシピ!$E:$E,0))&lt;&gt;0,INDEX(使用レシピ!N:N,MATCH(テンプレート!$C14,使用レシピ!$E:$E,0)),""),"")</f>
        <v/>
      </c>
      <c r="N14" s="24" t="str">
        <f>IFERROR(IF(INDEX(使用レシピ!O:O,MATCH(テンプレート!$C14,使用レシピ!$E:$E,0))&lt;&gt;0,INDEX(使用レシピ!O:O,MATCH(テンプレート!$C14,使用レシピ!$E:$E,0)),""),"")</f>
        <v/>
      </c>
      <c r="O14" s="42">
        <f>IFERROR(IF(INDEX(使用レシピ!P:P,MATCH(テンプレート!$C14,使用レシピ!$E:$E,0))&lt;&gt;0,INDEX(使用レシピ!P:P,MATCH(テンプレート!$C14,使用レシピ!$E:$E,0)),""),"")</f>
        <v>1</v>
      </c>
      <c r="P14" s="25" t="str">
        <f t="shared" si="5"/>
        <v/>
      </c>
      <c r="Q14" s="26" t="str">
        <f t="shared" si="6"/>
        <v/>
      </c>
      <c r="R14" s="26" t="str">
        <f t="shared" si="7"/>
        <v/>
      </c>
      <c r="S14" s="26" t="str">
        <f t="shared" si="8"/>
        <v/>
      </c>
      <c r="T14" s="43" t="str">
        <f t="shared" si="9"/>
        <v/>
      </c>
    </row>
    <row r="15" spans="1:20" x14ac:dyDescent="0.4">
      <c r="A15">
        <v>1211</v>
      </c>
      <c r="B15" s="47" cm="1">
        <f t="array" ref="B15">IFERROR((INDEX($P$4:$T$1000,MATCH(VALUE(LEFT($A15,LEN($A15)-1)),$A$4:$A$1000,0),VALUE(RIGHT($A15,1)))/ INDEX($O$4:$O$1000,MATCH(VALUE(LEFT($A15,LEN($A15)-1)),$A$4:$A$1000))) * INDEX($B$4:$B$1000,MATCH(VALUE(LEFT($A15,LEN($A15)-1)),$A$4:$A$1000)),"")</f>
        <v>576</v>
      </c>
      <c r="C15" s="38" t="str" cm="1">
        <f t="array" ref="C15">IFERROR(IF(INDEX($D$4:$H$1000,MATCH(VALUE(LEFT($A15,LEN($A15)-1)),$A$4:$A$1000,0),VALUE(RIGHT($A15,1)))= 0,"",INDEX($D$4:$H$1000,MATCH(VALUE(LEFT($A15,LEN($A15)-1)),$A$4:$A$1000,0),VALUE(RIGHT($A15,1)))),"")</f>
        <v>鉄のインゴット</v>
      </c>
      <c r="D15" s="23" t="str">
        <f>IFERROR(IF(INDEX(使用レシピ!F:F,MATCH(テンプレート!$C15,使用レシピ!$E:$E,0))&lt;&gt;0,INDEX(使用レシピ!F:F,MATCH(テンプレート!$C15,使用レシピ!$E:$E,0)),""),"")</f>
        <v>鉄鉱石</v>
      </c>
      <c r="E15" t="str">
        <f>IFERROR(IF(INDEX(使用レシピ!G:G,MATCH(テンプレート!$C15,使用レシピ!$E:$E,0))&lt;&gt;0,INDEX(使用レシピ!G:G,MATCH(テンプレート!$C15,使用レシピ!$E:$E,0)),""),"")</f>
        <v>水</v>
      </c>
      <c r="F15" t="str">
        <f>IFERROR(IF(INDEX(使用レシピ!H:H,MATCH(テンプレート!$C15,使用レシピ!$E:$E,0))&lt;&gt;0,INDEX(使用レシピ!H:H,MATCH(テンプレート!$C15,使用レシピ!$E:$E,0)),""),"")</f>
        <v/>
      </c>
      <c r="G15" t="str">
        <f>IFERROR(IF(INDEX(使用レシピ!I:I,MATCH(テンプレート!$C15,使用レシピ!$E:$E,0))&lt;&gt;0,INDEX(使用レシピ!I:I,MATCH(テンプレート!$C15,使用レシピ!$E:$E,0)),""),"")</f>
        <v/>
      </c>
      <c r="H15" s="24" t="str">
        <f>IFERROR(IF(INDEX(使用レシピ!J:J,MATCH(テンプレート!$C15,使用レシピ!$E:$E,0))&lt;&gt;0,INDEX(使用レシピ!J:J,MATCH(テンプレート!$C15,使用レシピ!$E:$E,0)),""),"")</f>
        <v/>
      </c>
      <c r="I15" s="36">
        <f>IFERROR(IF(INDEX(使用レシピ!P:P,MATCH(テンプレート!$C15,使用レシピ!$E:$E,0))&lt;&gt;0,INDEX(使用レシピ!P:P,MATCH(テンプレート!$C15,使用レシピ!$E:$E,0)),""),"")</f>
        <v>13</v>
      </c>
      <c r="J15">
        <f>IFERROR(IF(INDEX(使用レシピ!K:K,MATCH(テンプレート!$C15,使用レシピ!$E:$E,0))&lt;&gt;0,INDEX(使用レシピ!K:K,MATCH(テンプレート!$C15,使用レシピ!$E:$E,0)),""),"")</f>
        <v>7</v>
      </c>
      <c r="K15">
        <f>IFERROR(IF(INDEX(使用レシピ!L:L,MATCH(テンプレート!$C15,使用レシピ!$E:$E,0))&lt;&gt;0,INDEX(使用レシピ!L:L,MATCH(テンプレート!$C15,使用レシピ!$E:$E,0)),""),"")</f>
        <v>4</v>
      </c>
      <c r="L15" t="str">
        <f>IFERROR(IF(INDEX(使用レシピ!M:M,MATCH(テンプレート!$C15,使用レシピ!$E:$E,0))&lt;&gt;0,INDEX(使用レシピ!M:M,MATCH(テンプレート!$C15,使用レシピ!$E:$E,0)),""),"")</f>
        <v/>
      </c>
      <c r="M15" t="str">
        <f>IFERROR(IF(INDEX(使用レシピ!N:N,MATCH(テンプレート!$C15,使用レシピ!$E:$E,0))&lt;&gt;0,INDEX(使用レシピ!N:N,MATCH(テンプレート!$C15,使用レシピ!$E:$E,0)),""),"")</f>
        <v/>
      </c>
      <c r="N15" s="24" t="str">
        <f>IFERROR(IF(INDEX(使用レシピ!O:O,MATCH(テンプレート!$C15,使用レシピ!$E:$E,0))&lt;&gt;0,INDEX(使用レシピ!O:O,MATCH(テンプレート!$C15,使用レシピ!$E:$E,0)),""),"")</f>
        <v/>
      </c>
      <c r="O15" s="42">
        <f>IFERROR(IF(INDEX(使用レシピ!P:P,MATCH(テンプレート!$C15,使用レシピ!$E:$E,0))&lt;&gt;0,INDEX(使用レシピ!P:P,MATCH(テンプレート!$C15,使用レシピ!$E:$E,0)),""),"")</f>
        <v>13</v>
      </c>
      <c r="P15" s="25">
        <f t="shared" si="5"/>
        <v>7</v>
      </c>
      <c r="Q15" s="26">
        <f t="shared" si="6"/>
        <v>4</v>
      </c>
      <c r="R15" s="26" t="str">
        <f t="shared" si="7"/>
        <v/>
      </c>
      <c r="S15" s="26" t="str">
        <f t="shared" si="8"/>
        <v/>
      </c>
      <c r="T15" s="43" t="str">
        <f t="shared" si="9"/>
        <v/>
      </c>
    </row>
    <row r="16" spans="1:20" x14ac:dyDescent="0.4">
      <c r="A16">
        <v>1212</v>
      </c>
      <c r="B16" s="47" cm="1">
        <f t="array" ref="B16">IFERROR((INDEX($P$4:$T$1000,MATCH(VALUE(LEFT($A16,LEN($A16)-1)),$A$4:$A$1000,0),VALUE(RIGHT($A16,1)))/ INDEX($O$4:$O$1000,MATCH(VALUE(LEFT($A16,LEN($A16)-1)),$A$4:$A$1000))) * INDEX($B$4:$B$1000,MATCH(VALUE(LEFT($A16,LEN($A16)-1)),$A$4:$A$1000)),"")</f>
        <v>576</v>
      </c>
      <c r="C16" s="38" t="str" cm="1">
        <f t="array" ref="C16">IFERROR(IF(INDEX($D$4:$H$1000,MATCH(VALUE(LEFT($A16,LEN($A16)-1)),$A$4:$A$1000,0),VALUE(RIGHT($A16,1)))= 0,"",INDEX($D$4:$H$1000,MATCH(VALUE(LEFT($A16,LEN($A16)-1)),$A$4:$A$1000,0),VALUE(RIGHT($A16,1)))),"")</f>
        <v>石炭</v>
      </c>
      <c r="D16" s="23" t="str">
        <f>IFERROR(IF(INDEX(使用レシピ!F:F,MATCH(テンプレート!$C16,使用レシピ!$E:$E,0))&lt;&gt;0,INDEX(使用レシピ!F:F,MATCH(テンプレート!$C16,使用レシピ!$E:$E,0)),""),"")</f>
        <v/>
      </c>
      <c r="E16" t="str">
        <f>IFERROR(IF(INDEX(使用レシピ!G:G,MATCH(テンプレート!$C16,使用レシピ!$E:$E,0))&lt;&gt;0,INDEX(使用レシピ!G:G,MATCH(テンプレート!$C16,使用レシピ!$E:$E,0)),""),"")</f>
        <v/>
      </c>
      <c r="F16" t="str">
        <f>IFERROR(IF(INDEX(使用レシピ!H:H,MATCH(テンプレート!$C16,使用レシピ!$E:$E,0))&lt;&gt;0,INDEX(使用レシピ!H:H,MATCH(テンプレート!$C16,使用レシピ!$E:$E,0)),""),"")</f>
        <v/>
      </c>
      <c r="G16" t="str">
        <f>IFERROR(IF(INDEX(使用レシピ!I:I,MATCH(テンプレート!$C16,使用レシピ!$E:$E,0))&lt;&gt;0,INDEX(使用レシピ!I:I,MATCH(テンプレート!$C16,使用レシピ!$E:$E,0)),""),"")</f>
        <v/>
      </c>
      <c r="H16" s="24" t="str">
        <f>IFERROR(IF(INDEX(使用レシピ!J:J,MATCH(テンプレート!$C16,使用レシピ!$E:$E,0))&lt;&gt;0,INDEX(使用レシピ!J:J,MATCH(テンプレート!$C16,使用レシピ!$E:$E,0)),""),"")</f>
        <v/>
      </c>
      <c r="I16" s="36">
        <f>IFERROR(IF(INDEX(使用レシピ!P:P,MATCH(テンプレート!$C16,使用レシピ!$E:$E,0))&lt;&gt;0,INDEX(使用レシピ!P:P,MATCH(テンプレート!$C16,使用レシピ!$E:$E,0)),""),"")</f>
        <v>1</v>
      </c>
      <c r="J16" t="str">
        <f>IFERROR(IF(INDEX(使用レシピ!K:K,MATCH(テンプレート!$C16,使用レシピ!$E:$E,0))&lt;&gt;0,INDEX(使用レシピ!K:K,MATCH(テンプレート!$C16,使用レシピ!$E:$E,0)),""),"")</f>
        <v/>
      </c>
      <c r="K16" t="str">
        <f>IFERROR(IF(INDEX(使用レシピ!L:L,MATCH(テンプレート!$C16,使用レシピ!$E:$E,0))&lt;&gt;0,INDEX(使用レシピ!L:L,MATCH(テンプレート!$C16,使用レシピ!$E:$E,0)),""),"")</f>
        <v/>
      </c>
      <c r="L16" t="str">
        <f>IFERROR(IF(INDEX(使用レシピ!M:M,MATCH(テンプレート!$C16,使用レシピ!$E:$E,0))&lt;&gt;0,INDEX(使用レシピ!M:M,MATCH(テンプレート!$C16,使用レシピ!$E:$E,0)),""),"")</f>
        <v/>
      </c>
      <c r="M16" t="str">
        <f>IFERROR(IF(INDEX(使用レシピ!N:N,MATCH(テンプレート!$C16,使用レシピ!$E:$E,0))&lt;&gt;0,INDEX(使用レシピ!N:N,MATCH(テンプレート!$C16,使用レシピ!$E:$E,0)),""),"")</f>
        <v/>
      </c>
      <c r="N16" s="24" t="str">
        <f>IFERROR(IF(INDEX(使用レシピ!O:O,MATCH(テンプレート!$C16,使用レシピ!$E:$E,0))&lt;&gt;0,INDEX(使用レシピ!O:O,MATCH(テンプレート!$C16,使用レシピ!$E:$E,0)),""),"")</f>
        <v/>
      </c>
      <c r="O16" s="42">
        <f>IFERROR(IF(INDEX(使用レシピ!P:P,MATCH(テンプレート!$C16,使用レシピ!$E:$E,0))&lt;&gt;0,INDEX(使用レシピ!P:P,MATCH(テンプレート!$C16,使用レシピ!$E:$E,0)),""),"")</f>
        <v>1</v>
      </c>
      <c r="P16" s="25" t="str">
        <f t="shared" si="5"/>
        <v/>
      </c>
      <c r="Q16" s="26" t="str">
        <f t="shared" si="6"/>
        <v/>
      </c>
      <c r="R16" s="26" t="str">
        <f t="shared" si="7"/>
        <v/>
      </c>
      <c r="S16" s="26" t="str">
        <f t="shared" si="8"/>
        <v/>
      </c>
      <c r="T16" s="43" t="str">
        <f t="shared" si="9"/>
        <v/>
      </c>
    </row>
    <row r="17" spans="1:20" x14ac:dyDescent="0.4">
      <c r="A17">
        <v>1213</v>
      </c>
      <c r="B17" s="47" t="str" cm="1">
        <f t="array" ref="B17">IFERROR((INDEX($P$4:$T$1000,MATCH(VALUE(LEFT($A17,LEN($A17)-1)),$A$4:$A$1000,0),VALUE(RIGHT($A17,1)))/ INDEX($O$4:$O$1000,MATCH(VALUE(LEFT($A17,LEN($A17)-1)),$A$4:$A$1000))) * INDEX($B$4:$B$1000,MATCH(VALUE(LEFT($A17,LEN($A17)-1)),$A$4:$A$1000)),"")</f>
        <v/>
      </c>
      <c r="C17" s="38" t="str" cm="1">
        <f t="array" ref="C17">IFERROR(IF(INDEX($D$4:$H$1000,MATCH(VALUE(LEFT($A17,LEN($A17)-1)),$A$4:$A$1000,0),VALUE(RIGHT($A17,1)))= 0,"",INDEX($D$4:$H$1000,MATCH(VALUE(LEFT($A17,LEN($A17)-1)),$A$4:$A$1000,0),VALUE(RIGHT($A17,1)))),"")</f>
        <v/>
      </c>
      <c r="D17" s="23" t="str">
        <f>IFERROR(IF(INDEX(使用レシピ!F:F,MATCH(テンプレート!$C17,使用レシピ!$E:$E,0))&lt;&gt;0,INDEX(使用レシピ!F:F,MATCH(テンプレート!$C17,使用レシピ!$E:$E,0)),""),"")</f>
        <v/>
      </c>
      <c r="E17" t="str">
        <f>IFERROR(IF(INDEX(使用レシピ!G:G,MATCH(テンプレート!$C17,使用レシピ!$E:$E,0))&lt;&gt;0,INDEX(使用レシピ!G:G,MATCH(テンプレート!$C17,使用レシピ!$E:$E,0)),""),"")</f>
        <v/>
      </c>
      <c r="F17" t="str">
        <f>IFERROR(IF(INDEX(使用レシピ!H:H,MATCH(テンプレート!$C17,使用レシピ!$E:$E,0))&lt;&gt;0,INDEX(使用レシピ!H:H,MATCH(テンプレート!$C17,使用レシピ!$E:$E,0)),""),"")</f>
        <v/>
      </c>
      <c r="G17" t="str">
        <f>IFERROR(IF(INDEX(使用レシピ!I:I,MATCH(テンプレート!$C17,使用レシピ!$E:$E,0))&lt;&gt;0,INDEX(使用レシピ!I:I,MATCH(テンプレート!$C17,使用レシピ!$E:$E,0)),""),"")</f>
        <v/>
      </c>
      <c r="H17" s="24" t="str">
        <f>IFERROR(IF(INDEX(使用レシピ!J:J,MATCH(テンプレート!$C17,使用レシピ!$E:$E,0))&lt;&gt;0,INDEX(使用レシピ!J:J,MATCH(テンプレート!$C17,使用レシピ!$E:$E,0)),""),"")</f>
        <v/>
      </c>
      <c r="I17" s="36" t="str">
        <f>IFERROR(IF(INDEX(使用レシピ!P:P,MATCH(テンプレート!$C17,使用レシピ!$E:$E,0))&lt;&gt;0,INDEX(使用レシピ!P:P,MATCH(テンプレート!$C17,使用レシピ!$E:$E,0)),""),"")</f>
        <v/>
      </c>
      <c r="J17" t="str">
        <f>IFERROR(IF(INDEX(使用レシピ!K:K,MATCH(テンプレート!$C17,使用レシピ!$E:$E,0))&lt;&gt;0,INDEX(使用レシピ!K:K,MATCH(テンプレート!$C17,使用レシピ!$E:$E,0)),""),"")</f>
        <v/>
      </c>
      <c r="K17" t="str">
        <f>IFERROR(IF(INDEX(使用レシピ!L:L,MATCH(テンプレート!$C17,使用レシピ!$E:$E,0))&lt;&gt;0,INDEX(使用レシピ!L:L,MATCH(テンプレート!$C17,使用レシピ!$E:$E,0)),""),"")</f>
        <v/>
      </c>
      <c r="L17" t="str">
        <f>IFERROR(IF(INDEX(使用レシピ!M:M,MATCH(テンプレート!$C17,使用レシピ!$E:$E,0))&lt;&gt;0,INDEX(使用レシピ!M:M,MATCH(テンプレート!$C17,使用レシピ!$E:$E,0)),""),"")</f>
        <v/>
      </c>
      <c r="M17" t="str">
        <f>IFERROR(IF(INDEX(使用レシピ!N:N,MATCH(テンプレート!$C17,使用レシピ!$E:$E,0))&lt;&gt;0,INDEX(使用レシピ!N:N,MATCH(テンプレート!$C17,使用レシピ!$E:$E,0)),""),"")</f>
        <v/>
      </c>
      <c r="N17" s="24" t="str">
        <f>IFERROR(IF(INDEX(使用レシピ!O:O,MATCH(テンプレート!$C17,使用レシピ!$E:$E,0))&lt;&gt;0,INDEX(使用レシピ!O:O,MATCH(テンプレート!$C17,使用レシピ!$E:$E,0)),""),"")</f>
        <v/>
      </c>
      <c r="O17" s="42" t="str">
        <f>IFERROR(IF(INDEX(使用レシピ!P:P,MATCH(テンプレート!$C17,使用レシピ!$E:$E,0))&lt;&gt;0,INDEX(使用レシピ!P:P,MATCH(テンプレート!$C17,使用レシピ!$E:$E,0)),""),"")</f>
        <v/>
      </c>
      <c r="P17" s="25" t="str">
        <f t="shared" si="5"/>
        <v/>
      </c>
      <c r="Q17" s="26" t="str">
        <f t="shared" si="6"/>
        <v/>
      </c>
      <c r="R17" s="26" t="str">
        <f t="shared" si="7"/>
        <v/>
      </c>
      <c r="S17" s="26" t="str">
        <f t="shared" si="8"/>
        <v/>
      </c>
      <c r="T17" s="43" t="str">
        <f t="shared" si="9"/>
        <v/>
      </c>
    </row>
    <row r="18" spans="1:20" x14ac:dyDescent="0.4">
      <c r="A18">
        <v>1214</v>
      </c>
      <c r="B18" s="47" t="str" cm="1">
        <f t="array" ref="B18">IFERROR((INDEX($P$4:$T$1000,MATCH(VALUE(LEFT($A18,LEN($A18)-1)),$A$4:$A$1000,0),VALUE(RIGHT($A18,1)))/ INDEX($O$4:$O$1000,MATCH(VALUE(LEFT($A18,LEN($A18)-1)),$A$4:$A$1000))) * INDEX($B$4:$B$1000,MATCH(VALUE(LEFT($A18,LEN($A18)-1)),$A$4:$A$1000)),"")</f>
        <v/>
      </c>
      <c r="C18" s="38" t="str" cm="1">
        <f t="array" ref="C18">IFERROR(IF(INDEX($D$4:$H$1000,MATCH(VALUE(LEFT($A18,LEN($A18)-1)),$A$4:$A$1000,0),VALUE(RIGHT($A18,1)))= 0,"",INDEX($D$4:$H$1000,MATCH(VALUE(LEFT($A18,LEN($A18)-1)),$A$4:$A$1000,0),VALUE(RIGHT($A18,1)))),"")</f>
        <v/>
      </c>
      <c r="D18" s="23" t="str">
        <f>IFERROR(IF(INDEX(使用レシピ!F:F,MATCH(テンプレート!$C18,使用レシピ!$E:$E,0))&lt;&gt;0,INDEX(使用レシピ!F:F,MATCH(テンプレート!$C18,使用レシピ!$E:$E,0)),""),"")</f>
        <v/>
      </c>
      <c r="E18" t="str">
        <f>IFERROR(IF(INDEX(使用レシピ!G:G,MATCH(テンプレート!$C18,使用レシピ!$E:$E,0))&lt;&gt;0,INDEX(使用レシピ!G:G,MATCH(テンプレート!$C18,使用レシピ!$E:$E,0)),""),"")</f>
        <v/>
      </c>
      <c r="F18" t="str">
        <f>IFERROR(IF(INDEX(使用レシピ!H:H,MATCH(テンプレート!$C18,使用レシピ!$E:$E,0))&lt;&gt;0,INDEX(使用レシピ!H:H,MATCH(テンプレート!$C18,使用レシピ!$E:$E,0)),""),"")</f>
        <v/>
      </c>
      <c r="G18" t="str">
        <f>IFERROR(IF(INDEX(使用レシピ!I:I,MATCH(テンプレート!$C18,使用レシピ!$E:$E,0))&lt;&gt;0,INDEX(使用レシピ!I:I,MATCH(テンプレート!$C18,使用レシピ!$E:$E,0)),""),"")</f>
        <v/>
      </c>
      <c r="H18" s="24" t="str">
        <f>IFERROR(IF(INDEX(使用レシピ!J:J,MATCH(テンプレート!$C18,使用レシピ!$E:$E,0))&lt;&gt;0,INDEX(使用レシピ!J:J,MATCH(テンプレート!$C18,使用レシピ!$E:$E,0)),""),"")</f>
        <v/>
      </c>
      <c r="I18" s="36" t="str">
        <f>IFERROR(IF(INDEX(使用レシピ!P:P,MATCH(テンプレート!$C18,使用レシピ!$E:$E,0))&lt;&gt;0,INDEX(使用レシピ!P:P,MATCH(テンプレート!$C18,使用レシピ!$E:$E,0)),""),"")</f>
        <v/>
      </c>
      <c r="J18" t="str">
        <f>IFERROR(IF(INDEX(使用レシピ!K:K,MATCH(テンプレート!$C18,使用レシピ!$E:$E,0))&lt;&gt;0,INDEX(使用レシピ!K:K,MATCH(テンプレート!$C18,使用レシピ!$E:$E,0)),""),"")</f>
        <v/>
      </c>
      <c r="K18" t="str">
        <f>IFERROR(IF(INDEX(使用レシピ!L:L,MATCH(テンプレート!$C18,使用レシピ!$E:$E,0))&lt;&gt;0,INDEX(使用レシピ!L:L,MATCH(テンプレート!$C18,使用レシピ!$E:$E,0)),""),"")</f>
        <v/>
      </c>
      <c r="L18" t="str">
        <f>IFERROR(IF(INDEX(使用レシピ!M:M,MATCH(テンプレート!$C18,使用レシピ!$E:$E,0))&lt;&gt;0,INDEX(使用レシピ!M:M,MATCH(テンプレート!$C18,使用レシピ!$E:$E,0)),""),"")</f>
        <v/>
      </c>
      <c r="M18" t="str">
        <f>IFERROR(IF(INDEX(使用レシピ!N:N,MATCH(テンプレート!$C18,使用レシピ!$E:$E,0))&lt;&gt;0,INDEX(使用レシピ!N:N,MATCH(テンプレート!$C18,使用レシピ!$E:$E,0)),""),"")</f>
        <v/>
      </c>
      <c r="N18" s="24" t="str">
        <f>IFERROR(IF(INDEX(使用レシピ!O:O,MATCH(テンプレート!$C18,使用レシピ!$E:$E,0))&lt;&gt;0,INDEX(使用レシピ!O:O,MATCH(テンプレート!$C18,使用レシピ!$E:$E,0)),""),"")</f>
        <v/>
      </c>
      <c r="O18" s="42" t="str">
        <f>IFERROR(IF(INDEX(使用レシピ!P:P,MATCH(テンプレート!$C18,使用レシピ!$E:$E,0))&lt;&gt;0,INDEX(使用レシピ!P:P,MATCH(テンプレート!$C18,使用レシピ!$E:$E,0)),""),"")</f>
        <v/>
      </c>
      <c r="P18" s="25" t="str">
        <f t="shared" si="5"/>
        <v/>
      </c>
      <c r="Q18" s="26" t="str">
        <f t="shared" si="6"/>
        <v/>
      </c>
      <c r="R18" s="26" t="str">
        <f t="shared" si="7"/>
        <v/>
      </c>
      <c r="S18" s="26" t="str">
        <f t="shared" si="8"/>
        <v/>
      </c>
      <c r="T18" s="43" t="str">
        <f t="shared" si="9"/>
        <v/>
      </c>
    </row>
    <row r="19" spans="1:20" x14ac:dyDescent="0.4">
      <c r="A19">
        <v>1221</v>
      </c>
      <c r="B19" s="47" cm="1">
        <f t="array" ref="B19">IFERROR((INDEX($P$4:$T$1000,MATCH(VALUE(LEFT($A19,LEN($A19)-1)),$A$4:$A$1000,0),VALUE(RIGHT($A19,1)))/ INDEX($O$4:$O$1000,MATCH(VALUE(LEFT($A19,LEN($A19)-1)),$A$4:$A$1000))) * INDEX($B$4:$B$1000,MATCH(VALUE(LEFT($A19,LEN($A19)-1)),$A$4:$A$1000)),"")</f>
        <v>864</v>
      </c>
      <c r="C19" s="38" t="str" cm="1">
        <f t="array" ref="C19">IFERROR(IF(INDEX($D$4:$H$1000,MATCH(VALUE(LEFT($A19,LEN($A19)-1)),$A$4:$A$1000,0),VALUE(RIGHT($A19,1)))= 0,"",INDEX($D$4:$H$1000,MATCH(VALUE(LEFT($A19,LEN($A19)-1)),$A$4:$A$1000,0),VALUE(RIGHT($A19,1)))),"")</f>
        <v>石灰岩</v>
      </c>
      <c r="D19" s="23" t="str">
        <f>IFERROR(IF(INDEX(使用レシピ!F:F,MATCH(テンプレート!$C19,使用レシピ!$E:$E,0))&lt;&gt;0,INDEX(使用レシピ!F:F,MATCH(テンプレート!$C19,使用レシピ!$E:$E,0)),""),"")</f>
        <v/>
      </c>
      <c r="E19" t="str">
        <f>IFERROR(IF(INDEX(使用レシピ!G:G,MATCH(テンプレート!$C19,使用レシピ!$E:$E,0))&lt;&gt;0,INDEX(使用レシピ!G:G,MATCH(テンプレート!$C19,使用レシピ!$E:$E,0)),""),"")</f>
        <v/>
      </c>
      <c r="F19" t="str">
        <f>IFERROR(IF(INDEX(使用レシピ!H:H,MATCH(テンプレート!$C19,使用レシピ!$E:$E,0))&lt;&gt;0,INDEX(使用レシピ!H:H,MATCH(テンプレート!$C19,使用レシピ!$E:$E,0)),""),"")</f>
        <v/>
      </c>
      <c r="G19" t="str">
        <f>IFERROR(IF(INDEX(使用レシピ!I:I,MATCH(テンプレート!$C19,使用レシピ!$E:$E,0))&lt;&gt;0,INDEX(使用レシピ!I:I,MATCH(テンプレート!$C19,使用レシピ!$E:$E,0)),""),"")</f>
        <v/>
      </c>
      <c r="H19" s="24" t="str">
        <f>IFERROR(IF(INDEX(使用レシピ!J:J,MATCH(テンプレート!$C19,使用レシピ!$E:$E,0))&lt;&gt;0,INDEX(使用レシピ!J:J,MATCH(テンプレート!$C19,使用レシピ!$E:$E,0)),""),"")</f>
        <v/>
      </c>
      <c r="I19" s="36">
        <f>IFERROR(IF(INDEX(使用レシピ!P:P,MATCH(テンプレート!$C19,使用レシピ!$E:$E,0))&lt;&gt;0,INDEX(使用レシピ!P:P,MATCH(テンプレート!$C19,使用レシピ!$E:$E,0)),""),"")</f>
        <v>1</v>
      </c>
      <c r="J19" t="str">
        <f>IFERROR(IF(INDEX(使用レシピ!K:K,MATCH(テンプレート!$C19,使用レシピ!$E:$E,0))&lt;&gt;0,INDEX(使用レシピ!K:K,MATCH(テンプレート!$C19,使用レシピ!$E:$E,0)),""),"")</f>
        <v/>
      </c>
      <c r="K19" t="str">
        <f>IFERROR(IF(INDEX(使用レシピ!L:L,MATCH(テンプレート!$C19,使用レシピ!$E:$E,0))&lt;&gt;0,INDEX(使用レシピ!L:L,MATCH(テンプレート!$C19,使用レシピ!$E:$E,0)),""),"")</f>
        <v/>
      </c>
      <c r="L19" t="str">
        <f>IFERROR(IF(INDEX(使用レシピ!M:M,MATCH(テンプレート!$C19,使用レシピ!$E:$E,0))&lt;&gt;0,INDEX(使用レシピ!M:M,MATCH(テンプレート!$C19,使用レシピ!$E:$E,0)),""),"")</f>
        <v/>
      </c>
      <c r="M19" t="str">
        <f>IFERROR(IF(INDEX(使用レシピ!N:N,MATCH(テンプレート!$C19,使用レシピ!$E:$E,0))&lt;&gt;0,INDEX(使用レシピ!N:N,MATCH(テンプレート!$C19,使用レシピ!$E:$E,0)),""),"")</f>
        <v/>
      </c>
      <c r="N19" s="24" t="str">
        <f>IFERROR(IF(INDEX(使用レシピ!O:O,MATCH(テンプレート!$C19,使用レシピ!$E:$E,0))&lt;&gt;0,INDEX(使用レシピ!O:O,MATCH(テンプレート!$C19,使用レシピ!$E:$E,0)),""),"")</f>
        <v/>
      </c>
      <c r="O19" s="42">
        <f>IFERROR(IF(INDEX(使用レシピ!P:P,MATCH(テンプレート!$C19,使用レシピ!$E:$E,0))&lt;&gt;0,INDEX(使用レシピ!P:P,MATCH(テンプレート!$C19,使用レシピ!$E:$E,0)),""),"")</f>
        <v>1</v>
      </c>
      <c r="P19" s="25" t="str">
        <f t="shared" si="5"/>
        <v/>
      </c>
      <c r="Q19" s="26" t="str">
        <f t="shared" si="6"/>
        <v/>
      </c>
      <c r="R19" s="26" t="str">
        <f t="shared" si="7"/>
        <v/>
      </c>
      <c r="S19" s="26" t="str">
        <f t="shared" si="8"/>
        <v/>
      </c>
      <c r="T19" s="43" t="str">
        <f t="shared" si="9"/>
        <v/>
      </c>
    </row>
    <row r="20" spans="1:20" x14ac:dyDescent="0.4">
      <c r="A20">
        <v>1222</v>
      </c>
      <c r="B20" s="47" cm="1">
        <f t="array" ref="B20">IFERROR((INDEX($P$4:$T$1000,MATCH(VALUE(LEFT($A20,LEN($A20)-1)),$A$4:$A$1000,0),VALUE(RIGHT($A20,1)))/ INDEX($O$4:$O$1000,MATCH(VALUE(LEFT($A20,LEN($A20)-1)),$A$4:$A$1000))) * INDEX($B$4:$B$1000,MATCH(VALUE(LEFT($A20,LEN($A20)-1)),$A$4:$A$1000)),"")</f>
        <v>720</v>
      </c>
      <c r="C20" s="38" t="str" cm="1">
        <f t="array" ref="C20">IFERROR(IF(INDEX($D$4:$H$1000,MATCH(VALUE(LEFT($A20,LEN($A20)-1)),$A$4:$A$1000,0),VALUE(RIGHT($A20,1)))= 0,"",INDEX($D$4:$H$1000,MATCH(VALUE(LEFT($A20,LEN($A20)-1)),$A$4:$A$1000,0),VALUE(RIGHT($A20,1)))),"")</f>
        <v>水</v>
      </c>
      <c r="D20" s="23" t="str">
        <f>IFERROR(IF(INDEX(使用レシピ!F:F,MATCH(テンプレート!$C20,使用レシピ!$E:$E,0))&lt;&gt;0,INDEX(使用レシピ!F:F,MATCH(テンプレート!$C20,使用レシピ!$E:$E,0)),""),"")</f>
        <v/>
      </c>
      <c r="E20" t="str">
        <f>IFERROR(IF(INDEX(使用レシピ!G:G,MATCH(テンプレート!$C20,使用レシピ!$E:$E,0))&lt;&gt;0,INDEX(使用レシピ!G:G,MATCH(テンプレート!$C20,使用レシピ!$E:$E,0)),""),"")</f>
        <v/>
      </c>
      <c r="F20" t="str">
        <f>IFERROR(IF(INDEX(使用レシピ!H:H,MATCH(テンプレート!$C20,使用レシピ!$E:$E,0))&lt;&gt;0,INDEX(使用レシピ!H:H,MATCH(テンプレート!$C20,使用レシピ!$E:$E,0)),""),"")</f>
        <v/>
      </c>
      <c r="G20" t="str">
        <f>IFERROR(IF(INDEX(使用レシピ!I:I,MATCH(テンプレート!$C20,使用レシピ!$E:$E,0))&lt;&gt;0,INDEX(使用レシピ!I:I,MATCH(テンプレート!$C20,使用レシピ!$E:$E,0)),""),"")</f>
        <v/>
      </c>
      <c r="H20" s="24" t="str">
        <f>IFERROR(IF(INDEX(使用レシピ!J:J,MATCH(テンプレート!$C20,使用レシピ!$E:$E,0))&lt;&gt;0,INDEX(使用レシピ!J:J,MATCH(テンプレート!$C20,使用レシピ!$E:$E,0)),""),"")</f>
        <v/>
      </c>
      <c r="I20" s="36">
        <f>IFERROR(IF(INDEX(使用レシピ!P:P,MATCH(テンプレート!$C20,使用レシピ!$E:$E,0))&lt;&gt;0,INDEX(使用レシピ!P:P,MATCH(テンプレート!$C20,使用レシピ!$E:$E,0)),""),"")</f>
        <v>1</v>
      </c>
      <c r="J20" t="str">
        <f>IFERROR(IF(INDEX(使用レシピ!K:K,MATCH(テンプレート!$C20,使用レシピ!$E:$E,0))&lt;&gt;0,INDEX(使用レシピ!K:K,MATCH(テンプレート!$C20,使用レシピ!$E:$E,0)),""),"")</f>
        <v/>
      </c>
      <c r="K20" t="str">
        <f>IFERROR(IF(INDEX(使用レシピ!L:L,MATCH(テンプレート!$C20,使用レシピ!$E:$E,0))&lt;&gt;0,INDEX(使用レシピ!L:L,MATCH(テンプレート!$C20,使用レシピ!$E:$E,0)),""),"")</f>
        <v/>
      </c>
      <c r="L20" t="str">
        <f>IFERROR(IF(INDEX(使用レシピ!M:M,MATCH(テンプレート!$C20,使用レシピ!$E:$E,0))&lt;&gt;0,INDEX(使用レシピ!M:M,MATCH(テンプレート!$C20,使用レシピ!$E:$E,0)),""),"")</f>
        <v/>
      </c>
      <c r="M20" t="str">
        <f>IFERROR(IF(INDEX(使用レシピ!N:N,MATCH(テンプレート!$C20,使用レシピ!$E:$E,0))&lt;&gt;0,INDEX(使用レシピ!N:N,MATCH(テンプレート!$C20,使用レシピ!$E:$E,0)),""),"")</f>
        <v/>
      </c>
      <c r="N20" s="24" t="str">
        <f>IFERROR(IF(INDEX(使用レシピ!O:O,MATCH(テンプレート!$C20,使用レシピ!$E:$E,0))&lt;&gt;0,INDEX(使用レシピ!O:O,MATCH(テンプレート!$C20,使用レシピ!$E:$E,0)),""),"")</f>
        <v/>
      </c>
      <c r="O20" s="42">
        <f>IFERROR(IF(INDEX(使用レシピ!P:P,MATCH(テンプレート!$C20,使用レシピ!$E:$E,0))&lt;&gt;0,INDEX(使用レシピ!P:P,MATCH(テンプレート!$C20,使用レシピ!$E:$E,0)),""),"")</f>
        <v>1</v>
      </c>
      <c r="P20" s="25" t="str">
        <f t="shared" si="5"/>
        <v/>
      </c>
      <c r="Q20" s="26" t="str">
        <f t="shared" si="6"/>
        <v/>
      </c>
      <c r="R20" s="26" t="str">
        <f t="shared" si="7"/>
        <v/>
      </c>
      <c r="S20" s="26" t="str">
        <f t="shared" si="8"/>
        <v/>
      </c>
      <c r="T20" s="43" t="str">
        <f t="shared" si="8"/>
        <v/>
      </c>
    </row>
    <row r="21" spans="1:20" x14ac:dyDescent="0.4">
      <c r="A21">
        <v>1223</v>
      </c>
      <c r="B21" s="47" t="str" cm="1">
        <f t="array" ref="B21">IFERROR((INDEX($P$4:$T$1000,MATCH(VALUE(LEFT($A21,LEN($A21)-1)),$A$4:$A$1000,0),VALUE(RIGHT($A21,1)))/ INDEX($O$4:$O$1000,MATCH(VALUE(LEFT($A21,LEN($A21)-1)),$A$4:$A$1000))) * INDEX($B$4:$B$1000,MATCH(VALUE(LEFT($A21,LEN($A21)-1)),$A$4:$A$1000)),"")</f>
        <v/>
      </c>
      <c r="C21" s="38" t="str" cm="1">
        <f t="array" ref="C21">IFERROR(IF(INDEX($D$4:$H$1000,MATCH(VALUE(LEFT($A21,LEN($A21)-1)),$A$4:$A$1000,0),VALUE(RIGHT($A21,1)))= 0,"",INDEX($D$4:$H$1000,MATCH(VALUE(LEFT($A21,LEN($A21)-1)),$A$4:$A$1000,0),VALUE(RIGHT($A21,1)))),"")</f>
        <v/>
      </c>
      <c r="D21" s="23" t="str">
        <f>IFERROR(IF(INDEX(使用レシピ!F:F,MATCH(テンプレート!$C21,使用レシピ!$E:$E,0))&lt;&gt;0,INDEX(使用レシピ!F:F,MATCH(テンプレート!$C21,使用レシピ!$E:$E,0)),""),"")</f>
        <v/>
      </c>
      <c r="E21" t="str">
        <f>IFERROR(IF(INDEX(使用レシピ!G:G,MATCH(テンプレート!$C21,使用レシピ!$E:$E,0))&lt;&gt;0,INDEX(使用レシピ!G:G,MATCH(テンプレート!$C21,使用レシピ!$E:$E,0)),""),"")</f>
        <v/>
      </c>
      <c r="F21" t="str">
        <f>IFERROR(IF(INDEX(使用レシピ!H:H,MATCH(テンプレート!$C21,使用レシピ!$E:$E,0))&lt;&gt;0,INDEX(使用レシピ!H:H,MATCH(テンプレート!$C21,使用レシピ!$E:$E,0)),""),"")</f>
        <v/>
      </c>
      <c r="G21" t="str">
        <f>IFERROR(IF(INDEX(使用レシピ!I:I,MATCH(テンプレート!$C21,使用レシピ!$E:$E,0))&lt;&gt;0,INDEX(使用レシピ!I:I,MATCH(テンプレート!$C21,使用レシピ!$E:$E,0)),""),"")</f>
        <v/>
      </c>
      <c r="H21" s="24" t="str">
        <f>IFERROR(IF(INDEX(使用レシピ!J:J,MATCH(テンプレート!$C21,使用レシピ!$E:$E,0))&lt;&gt;0,INDEX(使用レシピ!J:J,MATCH(テンプレート!$C21,使用レシピ!$E:$E,0)),""),"")</f>
        <v/>
      </c>
      <c r="I21" s="36" t="str">
        <f>IFERROR(IF(INDEX(使用レシピ!P:P,MATCH(テンプレート!$C21,使用レシピ!$E:$E,0))&lt;&gt;0,INDEX(使用レシピ!P:P,MATCH(テンプレート!$C21,使用レシピ!$E:$E,0)),""),"")</f>
        <v/>
      </c>
      <c r="J21" t="str">
        <f>IFERROR(IF(INDEX(使用レシピ!K:K,MATCH(テンプレート!$C21,使用レシピ!$E:$E,0))&lt;&gt;0,INDEX(使用レシピ!K:K,MATCH(テンプレート!$C21,使用レシピ!$E:$E,0)),""),"")</f>
        <v/>
      </c>
      <c r="K21" t="str">
        <f>IFERROR(IF(INDEX(使用レシピ!L:L,MATCH(テンプレート!$C21,使用レシピ!$E:$E,0))&lt;&gt;0,INDEX(使用レシピ!L:L,MATCH(テンプレート!$C21,使用レシピ!$E:$E,0)),""),"")</f>
        <v/>
      </c>
      <c r="L21" t="str">
        <f>IFERROR(IF(INDEX(使用レシピ!M:M,MATCH(テンプレート!$C21,使用レシピ!$E:$E,0))&lt;&gt;0,INDEX(使用レシピ!M:M,MATCH(テンプレート!$C21,使用レシピ!$E:$E,0)),""),"")</f>
        <v/>
      </c>
      <c r="M21" t="str">
        <f>IFERROR(IF(INDEX(使用レシピ!N:N,MATCH(テンプレート!$C21,使用レシピ!$E:$E,0))&lt;&gt;0,INDEX(使用レシピ!N:N,MATCH(テンプレート!$C21,使用レシピ!$E:$E,0)),""),"")</f>
        <v/>
      </c>
      <c r="N21" s="24" t="str">
        <f>IFERROR(IF(INDEX(使用レシピ!O:O,MATCH(テンプレート!$C21,使用レシピ!$E:$E,0))&lt;&gt;0,INDEX(使用レシピ!O:O,MATCH(テンプレート!$C21,使用レシピ!$E:$E,0)),""),"")</f>
        <v/>
      </c>
      <c r="O21" s="42" t="str">
        <f>IFERROR(IF(INDEX(使用レシピ!P:P,MATCH(テンプレート!$C21,使用レシピ!$E:$E,0))&lt;&gt;0,INDEX(使用レシピ!P:P,MATCH(テンプレート!$C21,使用レシピ!$E:$E,0)),""),"")</f>
        <v/>
      </c>
      <c r="P21" s="25" t="str">
        <f t="shared" si="5"/>
        <v/>
      </c>
      <c r="Q21" s="26" t="str">
        <f t="shared" si="6"/>
        <v/>
      </c>
      <c r="R21" s="26" t="str">
        <f t="shared" si="7"/>
        <v/>
      </c>
      <c r="S21" s="26" t="str">
        <f t="shared" si="8"/>
        <v/>
      </c>
      <c r="T21" s="43" t="str">
        <f t="shared" si="8"/>
        <v/>
      </c>
    </row>
    <row r="22" spans="1:20" x14ac:dyDescent="0.4">
      <c r="A22">
        <v>11111</v>
      </c>
      <c r="B22" s="47" cm="1">
        <f t="array" ref="B22">IFERROR((INDEX($P$4:$T$1000,MATCH(VALUE(LEFT($A22,LEN($A22)-1)),$A$4:$A$1000,0),VALUE(RIGHT($A22,1)))/ INDEX($O$4:$O$1000,MATCH(VALUE(LEFT($A22,LEN($A22)-1)),$A$4:$A$1000))) * INDEX($B$4:$B$1000,MATCH(VALUE(LEFT($A22,LEN($A22)-1)),$A$4:$A$1000)),"")</f>
        <v>2700</v>
      </c>
      <c r="C22" s="38" t="str" cm="1">
        <f t="array" ref="C22">IFERROR(IF(INDEX($D$4:$H$1000,MATCH(VALUE(LEFT($A22,LEN($A22)-1)),$A$4:$A$1000,0),VALUE(RIGHT($A22,1)))= 0,"",INDEX($D$4:$H$1000,MATCH(VALUE(LEFT($A22,LEN($A22)-1)),$A$4:$A$1000,0),VALUE(RIGHT($A22,1)))),"")</f>
        <v>ウラン廃棄物</v>
      </c>
      <c r="D22" s="23" t="str">
        <f>IFERROR(IF(INDEX(使用レシピ!F:F,MATCH(テンプレート!$C22,使用レシピ!$E:$E,0))&lt;&gt;0,INDEX(使用レシピ!F:F,MATCH(テンプレート!$C22,使用レシピ!$E:$E,0)),""),"")</f>
        <v>ウラン燃料棒</v>
      </c>
      <c r="E22" t="str">
        <f>IFERROR(IF(INDEX(使用レシピ!G:G,MATCH(テンプレート!$C22,使用レシピ!$E:$E,0))&lt;&gt;0,INDEX(使用レシピ!G:G,MATCH(テンプレート!$C22,使用レシピ!$E:$E,0)),""),"")</f>
        <v>水</v>
      </c>
      <c r="F22" t="str">
        <f>IFERROR(IF(INDEX(使用レシピ!H:H,MATCH(テンプレート!$C22,使用レシピ!$E:$E,0))&lt;&gt;0,INDEX(使用レシピ!H:H,MATCH(テンプレート!$C22,使用レシピ!$E:$E,0)),""),"")</f>
        <v/>
      </c>
      <c r="G22" t="str">
        <f>IFERROR(IF(INDEX(使用レシピ!I:I,MATCH(テンプレート!$C22,使用レシピ!$E:$E,0))&lt;&gt;0,INDEX(使用レシピ!I:I,MATCH(テンプレート!$C22,使用レシピ!$E:$E,0)),""),"")</f>
        <v/>
      </c>
      <c r="H22" s="24" t="str">
        <f>IFERROR(IF(INDEX(使用レシピ!J:J,MATCH(テンプレート!$C22,使用レシピ!$E:$E,0))&lt;&gt;0,INDEX(使用レシピ!J:J,MATCH(テンプレート!$C22,使用レシピ!$E:$E,0)),""),"")</f>
        <v/>
      </c>
      <c r="I22" s="36">
        <f>IFERROR(IF(INDEX(使用レシピ!P:P,MATCH(テンプレート!$C22,使用レシピ!$E:$E,0))&lt;&gt;0,INDEX(使用レシピ!P:P,MATCH(テンプレート!$C22,使用レシピ!$E:$E,0)),""),"")</f>
        <v>50</v>
      </c>
      <c r="J22">
        <f>IFERROR(IF(INDEX(使用レシピ!K:K,MATCH(テンプレート!$C22,使用レシピ!$E:$E,0))&lt;&gt;0,INDEX(使用レシピ!K:K,MATCH(テンプレート!$C22,使用レシピ!$E:$E,0)),""),"")</f>
        <v>1</v>
      </c>
      <c r="K22">
        <f>IFERROR(IF(INDEX(使用レシピ!L:L,MATCH(テンプレート!$C22,使用レシピ!$E:$E,0))&lt;&gt;0,INDEX(使用レシピ!L:L,MATCH(テンプレート!$C22,使用レシピ!$E:$E,0)),""),"")</f>
        <v>1200</v>
      </c>
      <c r="L22" t="str">
        <f>IFERROR(IF(INDEX(使用レシピ!M:M,MATCH(テンプレート!$C22,使用レシピ!$E:$E,0))&lt;&gt;0,INDEX(使用レシピ!M:M,MATCH(テンプレート!$C22,使用レシピ!$E:$E,0)),""),"")</f>
        <v/>
      </c>
      <c r="M22" t="str">
        <f>IFERROR(IF(INDEX(使用レシピ!N:N,MATCH(テンプレート!$C22,使用レシピ!$E:$E,0))&lt;&gt;0,INDEX(使用レシピ!N:N,MATCH(テンプレート!$C22,使用レシピ!$E:$E,0)),""),"")</f>
        <v/>
      </c>
      <c r="N22" s="24" t="str">
        <f>IFERROR(IF(INDEX(使用レシピ!O:O,MATCH(テンプレート!$C22,使用レシピ!$E:$E,0))&lt;&gt;0,INDEX(使用レシピ!O:O,MATCH(テンプレート!$C22,使用レシピ!$E:$E,0)),""),"")</f>
        <v/>
      </c>
      <c r="O22" s="42">
        <f>IFERROR(IF(INDEX(使用レシピ!P:P,MATCH(テンプレート!$C22,使用レシピ!$E:$E,0))&lt;&gt;0,INDEX(使用レシピ!P:P,MATCH(テンプレート!$C22,使用レシピ!$E:$E,0)),""),"")</f>
        <v>50</v>
      </c>
      <c r="P22" s="25">
        <f t="shared" si="5"/>
        <v>1</v>
      </c>
      <c r="Q22" s="26">
        <f t="shared" si="6"/>
        <v>1200</v>
      </c>
      <c r="R22" s="26" t="str">
        <f t="shared" si="7"/>
        <v/>
      </c>
      <c r="S22" s="26" t="str">
        <f t="shared" si="8"/>
        <v/>
      </c>
      <c r="T22" s="43" t="str">
        <f t="shared" si="8"/>
        <v/>
      </c>
    </row>
    <row r="23" spans="1:20" x14ac:dyDescent="0.4">
      <c r="A23">
        <v>11112</v>
      </c>
      <c r="B23" s="47" cm="1">
        <f t="array" ref="B23">IFERROR((INDEX($P$4:$T$1000,MATCH(VALUE(LEFT($A23,LEN($A23)-1)),$A$4:$A$1000,0),VALUE(RIGHT($A23,1)))/ INDEX($O$4:$O$1000,MATCH(VALUE(LEFT($A23,LEN($A23)-1)),$A$4:$A$1000))) * INDEX($B$4:$B$1000,MATCH(VALUE(LEFT($A23,LEN($A23)-1)),$A$4:$A$1000)),"")</f>
        <v>1800</v>
      </c>
      <c r="C23" s="38" t="str" cm="1">
        <f t="array" ref="C23">IFERROR(IF(INDEX($D$4:$H$1000,MATCH(VALUE(LEFT($A23,LEN($A23)-1)),$A$4:$A$1000,0),VALUE(RIGHT($A23,1)))= 0,"",INDEX($D$4:$H$1000,MATCH(VALUE(LEFT($A23,LEN($A23)-1)),$A$4:$A$1000,0),VALUE(RIGHT($A23,1)))),"")</f>
        <v>シリカ</v>
      </c>
      <c r="D23" s="23" t="str">
        <f>IFERROR(IF(INDEX(使用レシピ!F:F,MATCH(テンプレート!$C23,使用レシピ!$E:$E,0))&lt;&gt;0,INDEX(使用レシピ!F:F,MATCH(テンプレート!$C23,使用レシピ!$E:$E,0)),""),"")</f>
        <v>未加工石英</v>
      </c>
      <c r="E23" t="str">
        <f>IFERROR(IF(INDEX(使用レシピ!G:G,MATCH(テンプレート!$C23,使用レシピ!$E:$E,0))&lt;&gt;0,INDEX(使用レシピ!G:G,MATCH(テンプレート!$C23,使用レシピ!$E:$E,0)),""),"")</f>
        <v/>
      </c>
      <c r="F23" t="str">
        <f>IFERROR(IF(INDEX(使用レシピ!H:H,MATCH(テンプレート!$C23,使用レシピ!$E:$E,0))&lt;&gt;0,INDEX(使用レシピ!H:H,MATCH(テンプレート!$C23,使用レシピ!$E:$E,0)),""),"")</f>
        <v/>
      </c>
      <c r="G23" t="str">
        <f>IFERROR(IF(INDEX(使用レシピ!I:I,MATCH(テンプレート!$C23,使用レシピ!$E:$E,0))&lt;&gt;0,INDEX(使用レシピ!I:I,MATCH(テンプレート!$C23,使用レシピ!$E:$E,0)),""),"")</f>
        <v/>
      </c>
      <c r="H23" s="24" t="str">
        <f>IFERROR(IF(INDEX(使用レシピ!J:J,MATCH(テンプレート!$C23,使用レシピ!$E:$E,0))&lt;&gt;0,INDEX(使用レシピ!J:J,MATCH(テンプレート!$C23,使用レシピ!$E:$E,0)),""),"")</f>
        <v/>
      </c>
      <c r="I23" s="36">
        <f>IFERROR(IF(INDEX(使用レシピ!P:P,MATCH(テンプレート!$C23,使用レシピ!$E:$E,0))&lt;&gt;0,INDEX(使用レシピ!P:P,MATCH(テンプレート!$C23,使用レシピ!$E:$E,0)),""),"")</f>
        <v>5</v>
      </c>
      <c r="J23">
        <f>IFERROR(IF(INDEX(使用レシピ!K:K,MATCH(テンプレート!$C23,使用レシピ!$E:$E,0))&lt;&gt;0,INDEX(使用レシピ!K:K,MATCH(テンプレート!$C23,使用レシピ!$E:$E,0)),""),"")</f>
        <v>3</v>
      </c>
      <c r="K23" t="str">
        <f>IFERROR(IF(INDEX(使用レシピ!L:L,MATCH(テンプレート!$C23,使用レシピ!$E:$E,0))&lt;&gt;0,INDEX(使用レシピ!L:L,MATCH(テンプレート!$C23,使用レシピ!$E:$E,0)),""),"")</f>
        <v/>
      </c>
      <c r="L23" t="str">
        <f>IFERROR(IF(INDEX(使用レシピ!M:M,MATCH(テンプレート!$C23,使用レシピ!$E:$E,0))&lt;&gt;0,INDEX(使用レシピ!M:M,MATCH(テンプレート!$C23,使用レシピ!$E:$E,0)),""),"")</f>
        <v/>
      </c>
      <c r="M23" t="str">
        <f>IFERROR(IF(INDEX(使用レシピ!N:N,MATCH(テンプレート!$C23,使用レシピ!$E:$E,0))&lt;&gt;0,INDEX(使用レシピ!N:N,MATCH(テンプレート!$C23,使用レシピ!$E:$E,0)),""),"")</f>
        <v/>
      </c>
      <c r="N23" s="24" t="str">
        <f>IFERROR(IF(INDEX(使用レシピ!O:O,MATCH(テンプレート!$C23,使用レシピ!$E:$E,0))&lt;&gt;0,INDEX(使用レシピ!O:O,MATCH(テンプレート!$C23,使用レシピ!$E:$E,0)),""),"")</f>
        <v/>
      </c>
      <c r="O23" s="42">
        <f>IFERROR(IF(INDEX(使用レシピ!P:P,MATCH(テンプレート!$C23,使用レシピ!$E:$E,0))&lt;&gt;0,INDEX(使用レシピ!P:P,MATCH(テンプレート!$C23,使用レシピ!$E:$E,0)),""),"")</f>
        <v>5</v>
      </c>
      <c r="P23" s="25">
        <f t="shared" si="5"/>
        <v>3</v>
      </c>
      <c r="Q23" s="26" t="str">
        <f t="shared" si="6"/>
        <v/>
      </c>
      <c r="R23" s="26" t="str">
        <f t="shared" si="7"/>
        <v/>
      </c>
      <c r="S23" s="26" t="str">
        <f t="shared" si="8"/>
        <v/>
      </c>
      <c r="T23" s="43" t="str">
        <f t="shared" si="8"/>
        <v/>
      </c>
    </row>
    <row r="24" spans="1:20" x14ac:dyDescent="0.4">
      <c r="A24">
        <v>11113</v>
      </c>
      <c r="B24" s="47" cm="1">
        <f t="array" ref="B24">IFERROR((INDEX($P$4:$T$1000,MATCH(VALUE(LEFT($A24,LEN($A24)-1)),$A$4:$A$1000,0),VALUE(RIGHT($A24,1)))/ INDEX($O$4:$O$1000,MATCH(VALUE(LEFT($A24,LEN($A24)-1)),$A$4:$A$1000))) * INDEX($B$4:$B$1000,MATCH(VALUE(LEFT($A24,LEN($A24)-1)),$A$4:$A$1000)),"")</f>
        <v>1080</v>
      </c>
      <c r="C24" s="38" t="str" cm="1">
        <f t="array" ref="C24">IFERROR(IF(INDEX($D$4:$H$1000,MATCH(VALUE(LEFT($A24,LEN($A24)-1)),$A$4:$A$1000,0),VALUE(RIGHT($A24,1)))= 0,"",INDEX($D$4:$H$1000,MATCH(VALUE(LEFT($A24,LEN($A24)-1)),$A$4:$A$1000,0),VALUE(RIGHT($A24,1)))),"")</f>
        <v>硝酸</v>
      </c>
      <c r="D24" s="23" t="str">
        <f>IFERROR(IF(INDEX(使用レシピ!F:F,MATCH(テンプレート!$C24,使用レシピ!$E:$E,0))&lt;&gt;0,INDEX(使用レシピ!F:F,MATCH(テンプレート!$C24,使用レシピ!$E:$E,0)),""),"")</f>
        <v>窒素ガス</v>
      </c>
      <c r="E24" t="str">
        <f>IFERROR(IF(INDEX(使用レシピ!G:G,MATCH(テンプレート!$C24,使用レシピ!$E:$E,0))&lt;&gt;0,INDEX(使用レシピ!G:G,MATCH(テンプレート!$C24,使用レシピ!$E:$E,0)),""),"")</f>
        <v>水</v>
      </c>
      <c r="F24" t="str">
        <f>IFERROR(IF(INDEX(使用レシピ!H:H,MATCH(テンプレート!$C24,使用レシピ!$E:$E,0))&lt;&gt;0,INDEX(使用レシピ!H:H,MATCH(テンプレート!$C24,使用レシピ!$E:$E,0)),""),"")</f>
        <v>鉄板</v>
      </c>
      <c r="G24" t="str">
        <f>IFERROR(IF(INDEX(使用レシピ!I:I,MATCH(テンプレート!$C24,使用レシピ!$E:$E,0))&lt;&gt;0,INDEX(使用レシピ!I:I,MATCH(テンプレート!$C24,使用レシピ!$E:$E,0)),""),"")</f>
        <v/>
      </c>
      <c r="H24" s="24" t="str">
        <f>IFERROR(IF(INDEX(使用レシピ!J:J,MATCH(テンプレート!$C24,使用レシピ!$E:$E,0))&lt;&gt;0,INDEX(使用レシピ!J:J,MATCH(テンプレート!$C24,使用レシピ!$E:$E,0)),""),"")</f>
        <v/>
      </c>
      <c r="I24" s="36">
        <f>IFERROR(IF(INDEX(使用レシピ!P:P,MATCH(テンプレート!$C24,使用レシピ!$E:$E,0))&lt;&gt;0,INDEX(使用レシピ!P:P,MATCH(テンプレート!$C24,使用レシピ!$E:$E,0)),""),"")</f>
        <v>3</v>
      </c>
      <c r="J24">
        <f>IFERROR(IF(INDEX(使用レシピ!K:K,MATCH(テンプレート!$C24,使用レシピ!$E:$E,0))&lt;&gt;0,INDEX(使用レシピ!K:K,MATCH(テンプレート!$C24,使用レシピ!$E:$E,0)),""),"")</f>
        <v>12</v>
      </c>
      <c r="K24">
        <f>IFERROR(IF(INDEX(使用レシピ!L:L,MATCH(テンプレート!$C24,使用レシピ!$E:$E,0))&lt;&gt;0,INDEX(使用レシピ!L:L,MATCH(テンプレート!$C24,使用レシピ!$E:$E,0)),""),"")</f>
        <v>3</v>
      </c>
      <c r="L24">
        <f>IFERROR(IF(INDEX(使用レシピ!M:M,MATCH(テンプレート!$C24,使用レシピ!$E:$E,0))&lt;&gt;0,INDEX(使用レシピ!M:M,MATCH(テンプレート!$C24,使用レシピ!$E:$E,0)),""),"")</f>
        <v>1</v>
      </c>
      <c r="M24" t="str">
        <f>IFERROR(IF(INDEX(使用レシピ!N:N,MATCH(テンプレート!$C24,使用レシピ!$E:$E,0))&lt;&gt;0,INDEX(使用レシピ!N:N,MATCH(テンプレート!$C24,使用レシピ!$E:$E,0)),""),"")</f>
        <v/>
      </c>
      <c r="N24" s="24" t="str">
        <f>IFERROR(IF(INDEX(使用レシピ!O:O,MATCH(テンプレート!$C24,使用レシピ!$E:$E,0))&lt;&gt;0,INDEX(使用レシピ!O:O,MATCH(テンプレート!$C24,使用レシピ!$E:$E,0)),""),"")</f>
        <v/>
      </c>
      <c r="O24" s="42">
        <f>IFERROR(IF(INDEX(使用レシピ!P:P,MATCH(テンプレート!$C24,使用レシピ!$E:$E,0))&lt;&gt;0,INDEX(使用レシピ!P:P,MATCH(テンプレート!$C24,使用レシピ!$E:$E,0)),""),"")</f>
        <v>3</v>
      </c>
      <c r="P24" s="25">
        <f t="shared" si="5"/>
        <v>12</v>
      </c>
      <c r="Q24" s="26">
        <f t="shared" si="6"/>
        <v>3</v>
      </c>
      <c r="R24" s="26">
        <f t="shared" si="7"/>
        <v>1</v>
      </c>
      <c r="S24" s="26" t="str">
        <f t="shared" si="8"/>
        <v/>
      </c>
      <c r="T24" s="43" t="str">
        <f t="shared" si="8"/>
        <v/>
      </c>
    </row>
    <row r="25" spans="1:20" x14ac:dyDescent="0.4">
      <c r="A25">
        <v>11114</v>
      </c>
      <c r="B25" s="47" cm="1">
        <f t="array" ref="B25">IFERROR((INDEX($P$4:$T$1000,MATCH(VALUE(LEFT($A25,LEN($A25)-1)),$A$4:$A$1000,0),VALUE(RIGHT($A25,1)))/ INDEX($O$4:$O$1000,MATCH(VALUE(LEFT($A25,LEN($A25)-1)),$A$4:$A$1000))) * INDEX($B$4:$B$1000,MATCH(VALUE(LEFT($A25,LEN($A25)-1)),$A$4:$A$1000)),"")</f>
        <v>1080</v>
      </c>
      <c r="C25" s="38" t="str" cm="1">
        <f t="array" ref="C25">IFERROR(IF(INDEX($D$4:$H$1000,MATCH(VALUE(LEFT($A25,LEN($A25)-1)),$A$4:$A$1000,0),VALUE(RIGHT($A25,1)))= 0,"",INDEX($D$4:$H$1000,MATCH(VALUE(LEFT($A25,LEN($A25)-1)),$A$4:$A$1000,0),VALUE(RIGHT($A25,1)))),"")</f>
        <v>硫酸</v>
      </c>
      <c r="D25" s="23" t="str">
        <f>IFERROR(IF(INDEX(使用レシピ!F:F,MATCH(テンプレート!$C25,使用レシピ!$E:$E,0))&lt;&gt;0,INDEX(使用レシピ!F:F,MATCH(テンプレート!$C25,使用レシピ!$E:$E,0)),""),"")</f>
        <v>硫黄</v>
      </c>
      <c r="E25" t="str">
        <f>IFERROR(IF(INDEX(使用レシピ!G:G,MATCH(テンプレート!$C25,使用レシピ!$E:$E,0))&lt;&gt;0,INDEX(使用レシピ!G:G,MATCH(テンプレート!$C25,使用レシピ!$E:$E,0)),""),"")</f>
        <v>水</v>
      </c>
      <c r="F25" t="str">
        <f>IFERROR(IF(INDEX(使用レシピ!H:H,MATCH(テンプレート!$C25,使用レシピ!$E:$E,0))&lt;&gt;0,INDEX(使用レシピ!H:H,MATCH(テンプレート!$C25,使用レシピ!$E:$E,0)),""),"")</f>
        <v/>
      </c>
      <c r="G25" t="str">
        <f>IFERROR(IF(INDEX(使用レシピ!I:I,MATCH(テンプレート!$C25,使用レシピ!$E:$E,0))&lt;&gt;0,INDEX(使用レシピ!I:I,MATCH(テンプレート!$C25,使用レシピ!$E:$E,0)),""),"")</f>
        <v/>
      </c>
      <c r="H25" s="24" t="str">
        <f>IFERROR(IF(INDEX(使用レシピ!J:J,MATCH(テンプレート!$C25,使用レシピ!$E:$E,0))&lt;&gt;0,INDEX(使用レシピ!J:J,MATCH(テンプレート!$C25,使用レシピ!$E:$E,0)),""),"")</f>
        <v/>
      </c>
      <c r="I25" s="36">
        <f>IFERROR(IF(INDEX(使用レシピ!P:P,MATCH(テンプレート!$C25,使用レシピ!$E:$E,0))&lt;&gt;0,INDEX(使用レシピ!P:P,MATCH(テンプレート!$C25,使用レシピ!$E:$E,0)),""),"")</f>
        <v>5</v>
      </c>
      <c r="J25">
        <f>IFERROR(IF(INDEX(使用レシピ!K:K,MATCH(テンプレート!$C25,使用レシピ!$E:$E,0))&lt;&gt;0,INDEX(使用レシピ!K:K,MATCH(テンプレート!$C25,使用レシピ!$E:$E,0)),""),"")</f>
        <v>5</v>
      </c>
      <c r="K25">
        <f>IFERROR(IF(INDEX(使用レシピ!L:L,MATCH(テンプレート!$C25,使用レシピ!$E:$E,0))&lt;&gt;0,INDEX(使用レシピ!L:L,MATCH(テンプレート!$C25,使用レシピ!$E:$E,0)),""),"")</f>
        <v>5</v>
      </c>
      <c r="L25" t="str">
        <f>IFERROR(IF(INDEX(使用レシピ!M:M,MATCH(テンプレート!$C25,使用レシピ!$E:$E,0))&lt;&gt;0,INDEX(使用レシピ!M:M,MATCH(テンプレート!$C25,使用レシピ!$E:$E,0)),""),"")</f>
        <v/>
      </c>
      <c r="M25" t="str">
        <f>IFERROR(IF(INDEX(使用レシピ!N:N,MATCH(テンプレート!$C25,使用レシピ!$E:$E,0))&lt;&gt;0,INDEX(使用レシピ!N:N,MATCH(テンプレート!$C25,使用レシピ!$E:$E,0)),""),"")</f>
        <v/>
      </c>
      <c r="N25" s="24" t="str">
        <f>IFERROR(IF(INDEX(使用レシピ!O:O,MATCH(テンプレート!$C25,使用レシピ!$E:$E,0))&lt;&gt;0,INDEX(使用レシピ!O:O,MATCH(テンプレート!$C25,使用レシピ!$E:$E,0)),""),"")</f>
        <v/>
      </c>
      <c r="O25" s="42">
        <f>IFERROR(IF(INDEX(使用レシピ!P:P,MATCH(テンプレート!$C25,使用レシピ!$E:$E,0))&lt;&gt;0,INDEX(使用レシピ!P:P,MATCH(テンプレート!$C25,使用レシピ!$E:$E,0)),""),"")</f>
        <v>5</v>
      </c>
      <c r="P25" s="25">
        <f t="shared" si="5"/>
        <v>5</v>
      </c>
      <c r="Q25" s="26">
        <f t="shared" si="6"/>
        <v>5</v>
      </c>
      <c r="R25" s="26" t="str">
        <f t="shared" si="7"/>
        <v/>
      </c>
      <c r="S25" s="26" t="str">
        <f t="shared" si="8"/>
        <v/>
      </c>
      <c r="T25" s="43" t="str">
        <f t="shared" si="8"/>
        <v/>
      </c>
    </row>
    <row r="26" spans="1:20" x14ac:dyDescent="0.4">
      <c r="A26">
        <v>11121</v>
      </c>
      <c r="B26" s="47" cm="1">
        <f t="array" ref="B26">IFERROR((INDEX($P$4:$T$1000,MATCH(VALUE(LEFT($A26,LEN($A26)-1)),$A$4:$A$1000,0),VALUE(RIGHT($A26,1)))/ INDEX($O$4:$O$1000,MATCH(VALUE(LEFT($A26,LEN($A26)-1)),$A$4:$A$1000))) * INDEX($B$4:$B$1000,MATCH(VALUE(LEFT($A26,LEN($A26)-1)),$A$4:$A$1000)),"")</f>
        <v>18</v>
      </c>
      <c r="C26" s="38" t="str" cm="1">
        <f t="array" ref="C26">IFERROR(IF(INDEX($D$4:$H$1000,MATCH(VALUE(LEFT($A26,LEN($A26)-1)),$A$4:$A$1000,0),VALUE(RIGHT($A26,1)))= 0,"",INDEX($D$4:$H$1000,MATCH(VALUE(LEFT($A26,LEN($A26)-1)),$A$4:$A$1000,0),VALUE(RIGHT($A26,1)))),"")</f>
        <v>ウラン燃料棒</v>
      </c>
      <c r="D26" s="23" t="str">
        <f>IFERROR(IF(INDEX(使用レシピ!F:F,MATCH(テンプレート!$C26,使用レシピ!$E:$E,0))&lt;&gt;0,INDEX(使用レシピ!F:F,MATCH(テンプレート!$C26,使用レシピ!$E:$E,0)),""),"")</f>
        <v>被覆型ウラン・セル</v>
      </c>
      <c r="E26" t="str">
        <f>IFERROR(IF(INDEX(使用レシピ!G:G,MATCH(テンプレート!$C26,使用レシピ!$E:$E,0))&lt;&gt;0,INDEX(使用レシピ!G:G,MATCH(テンプレート!$C26,使用レシピ!$E:$E,0)),""),"")</f>
        <v>コンクリート被覆型鋼梁</v>
      </c>
      <c r="F26" t="str">
        <f>IFERROR(IF(INDEX(使用レシピ!H:H,MATCH(テンプレート!$C26,使用レシピ!$E:$E,0))&lt;&gt;0,INDEX(使用レシピ!H:H,MATCH(テンプレート!$C26,使用レシピ!$E:$E,0)),""),"")</f>
        <v>電磁制御棒</v>
      </c>
      <c r="G26" t="str">
        <f>IFERROR(IF(INDEX(使用レシピ!I:I,MATCH(テンプレート!$C26,使用レシピ!$E:$E,0))&lt;&gt;0,INDEX(使用レシピ!I:I,MATCH(テンプレート!$C26,使用レシピ!$E:$E,0)),""),"")</f>
        <v/>
      </c>
      <c r="H26" s="24" t="str">
        <f>IFERROR(IF(INDEX(使用レシピ!J:J,MATCH(テンプレート!$C26,使用レシピ!$E:$E,0))&lt;&gt;0,INDEX(使用レシピ!J:J,MATCH(テンプレート!$C26,使用レシピ!$E:$E,0)),""),"")</f>
        <v/>
      </c>
      <c r="I26" s="36">
        <f>IFERROR(IF(INDEX(使用レシピ!P:P,MATCH(テンプレート!$C26,使用レシピ!$E:$E,0))&lt;&gt;0,INDEX(使用レシピ!P:P,MATCH(テンプレート!$C26,使用レシピ!$E:$E,0)),""),"")</f>
        <v>1</v>
      </c>
      <c r="J26">
        <f>IFERROR(IF(INDEX(使用レシピ!K:K,MATCH(テンプレート!$C26,使用レシピ!$E:$E,0))&lt;&gt;0,INDEX(使用レシピ!K:K,MATCH(テンプレート!$C26,使用レシピ!$E:$E,0)),""),"")</f>
        <v>50</v>
      </c>
      <c r="K26">
        <f>IFERROR(IF(INDEX(使用レシピ!L:L,MATCH(テンプレート!$C26,使用レシピ!$E:$E,0))&lt;&gt;0,INDEX(使用レシピ!L:L,MATCH(テンプレート!$C26,使用レシピ!$E:$E,0)),""),"")</f>
        <v>3</v>
      </c>
      <c r="L26">
        <f>IFERROR(IF(INDEX(使用レシピ!M:M,MATCH(テンプレート!$C26,使用レシピ!$E:$E,0))&lt;&gt;0,INDEX(使用レシピ!M:M,MATCH(テンプレート!$C26,使用レシピ!$E:$E,0)),""),"")</f>
        <v>5</v>
      </c>
      <c r="M26" t="str">
        <f>IFERROR(IF(INDEX(使用レシピ!N:N,MATCH(テンプレート!$C26,使用レシピ!$E:$E,0))&lt;&gt;0,INDEX(使用レシピ!N:N,MATCH(テンプレート!$C26,使用レシピ!$E:$E,0)),""),"")</f>
        <v/>
      </c>
      <c r="N26" s="24" t="str">
        <f>IFERROR(IF(INDEX(使用レシピ!O:O,MATCH(テンプレート!$C26,使用レシピ!$E:$E,0))&lt;&gt;0,INDEX(使用レシピ!O:O,MATCH(テンプレート!$C26,使用レシピ!$E:$E,0)),""),"")</f>
        <v/>
      </c>
      <c r="O26" s="42">
        <f>IFERROR(IF(INDEX(使用レシピ!P:P,MATCH(テンプレート!$C26,使用レシピ!$E:$E,0))&lt;&gt;0,INDEX(使用レシピ!P:P,MATCH(テンプレート!$C26,使用レシピ!$E:$E,0)),""),"")</f>
        <v>1</v>
      </c>
      <c r="P26" s="25">
        <f t="shared" si="5"/>
        <v>50</v>
      </c>
      <c r="Q26" s="26">
        <f t="shared" si="6"/>
        <v>3</v>
      </c>
      <c r="R26" s="26">
        <f t="shared" si="7"/>
        <v>5</v>
      </c>
      <c r="S26" s="26" t="str">
        <f t="shared" si="8"/>
        <v/>
      </c>
      <c r="T26" s="43" t="str">
        <f t="shared" si="8"/>
        <v/>
      </c>
    </row>
    <row r="27" spans="1:20" x14ac:dyDescent="0.4">
      <c r="A27">
        <v>11122</v>
      </c>
      <c r="B27" s="47" cm="1">
        <f t="array" ref="B27">IFERROR((INDEX($P$4:$T$1000,MATCH(VALUE(LEFT($A27,LEN($A27)-1)),$A$4:$A$1000,0),VALUE(RIGHT($A27,1)))/ INDEX($O$4:$O$1000,MATCH(VALUE(LEFT($A27,LEN($A27)-1)),$A$4:$A$1000))) * INDEX($B$4:$B$1000,MATCH(VALUE(LEFT($A27,LEN($A27)-1)),$A$4:$A$1000)),"")</f>
        <v>21600</v>
      </c>
      <c r="C27" s="38" t="str" cm="1">
        <f t="array" ref="C27">IFERROR(IF(INDEX($D$4:$H$1000,MATCH(VALUE(LEFT($A27,LEN($A27)-1)),$A$4:$A$1000,0),VALUE(RIGHT($A27,1)))= 0,"",INDEX($D$4:$H$1000,MATCH(VALUE(LEFT($A27,LEN($A27)-1)),$A$4:$A$1000,0),VALUE(RIGHT($A27,1)))),"")</f>
        <v>水</v>
      </c>
      <c r="D27" s="23" t="str">
        <f>IFERROR(IF(INDEX(使用レシピ!F:F,MATCH(テンプレート!$C27,使用レシピ!$E:$E,0))&lt;&gt;0,INDEX(使用レシピ!F:F,MATCH(テンプレート!$C27,使用レシピ!$E:$E,0)),""),"")</f>
        <v/>
      </c>
      <c r="E27" t="str">
        <f>IFERROR(IF(INDEX(使用レシピ!G:G,MATCH(テンプレート!$C27,使用レシピ!$E:$E,0))&lt;&gt;0,INDEX(使用レシピ!G:G,MATCH(テンプレート!$C27,使用レシピ!$E:$E,0)),""),"")</f>
        <v/>
      </c>
      <c r="F27" t="str">
        <f>IFERROR(IF(INDEX(使用レシピ!H:H,MATCH(テンプレート!$C27,使用レシピ!$E:$E,0))&lt;&gt;0,INDEX(使用レシピ!H:H,MATCH(テンプレート!$C27,使用レシピ!$E:$E,0)),""),"")</f>
        <v/>
      </c>
      <c r="G27" t="str">
        <f>IFERROR(IF(INDEX(使用レシピ!I:I,MATCH(テンプレート!$C27,使用レシピ!$E:$E,0))&lt;&gt;0,INDEX(使用レシピ!I:I,MATCH(テンプレート!$C27,使用レシピ!$E:$E,0)),""),"")</f>
        <v/>
      </c>
      <c r="H27" s="24" t="str">
        <f>IFERROR(IF(INDEX(使用レシピ!J:J,MATCH(テンプレート!$C27,使用レシピ!$E:$E,0))&lt;&gt;0,INDEX(使用レシピ!J:J,MATCH(テンプレート!$C27,使用レシピ!$E:$E,0)),""),"")</f>
        <v/>
      </c>
      <c r="I27" s="36">
        <f>IFERROR(IF(INDEX(使用レシピ!P:P,MATCH(テンプレート!$C27,使用レシピ!$E:$E,0))&lt;&gt;0,INDEX(使用レシピ!P:P,MATCH(テンプレート!$C27,使用レシピ!$E:$E,0)),""),"")</f>
        <v>1</v>
      </c>
      <c r="J27" t="str">
        <f>IFERROR(IF(INDEX(使用レシピ!K:K,MATCH(テンプレート!$C27,使用レシピ!$E:$E,0))&lt;&gt;0,INDEX(使用レシピ!K:K,MATCH(テンプレート!$C27,使用レシピ!$E:$E,0)),""),"")</f>
        <v/>
      </c>
      <c r="K27" t="str">
        <f>IFERROR(IF(INDEX(使用レシピ!L:L,MATCH(テンプレート!$C27,使用レシピ!$E:$E,0))&lt;&gt;0,INDEX(使用レシピ!L:L,MATCH(テンプレート!$C27,使用レシピ!$E:$E,0)),""),"")</f>
        <v/>
      </c>
      <c r="L27" t="str">
        <f>IFERROR(IF(INDEX(使用レシピ!M:M,MATCH(テンプレート!$C27,使用レシピ!$E:$E,0))&lt;&gt;0,INDEX(使用レシピ!M:M,MATCH(テンプレート!$C27,使用レシピ!$E:$E,0)),""),"")</f>
        <v/>
      </c>
      <c r="M27" t="str">
        <f>IFERROR(IF(INDEX(使用レシピ!N:N,MATCH(テンプレート!$C27,使用レシピ!$E:$E,0))&lt;&gt;0,INDEX(使用レシピ!N:N,MATCH(テンプレート!$C27,使用レシピ!$E:$E,0)),""),"")</f>
        <v/>
      </c>
      <c r="N27" s="24" t="str">
        <f>IFERROR(IF(INDEX(使用レシピ!O:O,MATCH(テンプレート!$C27,使用レシピ!$E:$E,0))&lt;&gt;0,INDEX(使用レシピ!O:O,MATCH(テンプレート!$C27,使用レシピ!$E:$E,0)),""),"")</f>
        <v/>
      </c>
      <c r="O27" s="42">
        <f>IFERROR(IF(INDEX(使用レシピ!P:P,MATCH(テンプレート!$C27,使用レシピ!$E:$E,0))&lt;&gt;0,INDEX(使用レシピ!P:P,MATCH(テンプレート!$C27,使用レシピ!$E:$E,0)),""),"")</f>
        <v>1</v>
      </c>
      <c r="P27" s="25" t="str">
        <f t="shared" si="5"/>
        <v/>
      </c>
      <c r="Q27" s="26" t="str">
        <f t="shared" si="6"/>
        <v/>
      </c>
      <c r="R27" s="26" t="str">
        <f t="shared" si="7"/>
        <v/>
      </c>
      <c r="S27" s="26" t="str">
        <f t="shared" si="8"/>
        <v/>
      </c>
      <c r="T27" s="43" t="str">
        <f t="shared" si="8"/>
        <v/>
      </c>
    </row>
    <row r="28" spans="1:20" x14ac:dyDescent="0.4">
      <c r="A28">
        <v>12111</v>
      </c>
      <c r="B28" s="47" cm="1">
        <f t="array" ref="B28">IFERROR((INDEX($P$4:$T$1000,MATCH(VALUE(LEFT($A28,LEN($A28)-1)),$A$4:$A$1000,0),VALUE(RIGHT($A28,1)))/ INDEX($O$4:$O$1000,MATCH(VALUE(LEFT($A28,LEN($A28)-1)),$A$4:$A$1000))) * INDEX($B$4:$B$1000,MATCH(VALUE(LEFT($A28,LEN($A28)-1)),$A$4:$A$1000)),"")</f>
        <v>310.15384615384613</v>
      </c>
      <c r="C28" s="38" t="str" cm="1">
        <f t="array" ref="C28">IFERROR(IF(INDEX($D$4:$H$1000,MATCH(VALUE(LEFT($A28,LEN($A28)-1)),$A$4:$A$1000,0),VALUE(RIGHT($A28,1)))= 0,"",INDEX($D$4:$H$1000,MATCH(VALUE(LEFT($A28,LEN($A28)-1)),$A$4:$A$1000,0),VALUE(RIGHT($A28,1)))),"")</f>
        <v>鉄鉱石</v>
      </c>
      <c r="D28" s="23" t="str">
        <f>IFERROR(IF(INDEX(使用レシピ!F:F,MATCH(テンプレート!$C28,使用レシピ!$E:$E,0))&lt;&gt;0,INDEX(使用レシピ!F:F,MATCH(テンプレート!$C28,使用レシピ!$E:$E,0)),""),"")</f>
        <v/>
      </c>
      <c r="E28" t="str">
        <f>IFERROR(IF(INDEX(使用レシピ!G:G,MATCH(テンプレート!$C28,使用レシピ!$E:$E,0))&lt;&gt;0,INDEX(使用レシピ!G:G,MATCH(テンプレート!$C28,使用レシピ!$E:$E,0)),""),"")</f>
        <v/>
      </c>
      <c r="F28" t="str">
        <f>IFERROR(IF(INDEX(使用レシピ!H:H,MATCH(テンプレート!$C28,使用レシピ!$E:$E,0))&lt;&gt;0,INDEX(使用レシピ!H:H,MATCH(テンプレート!$C28,使用レシピ!$E:$E,0)),""),"")</f>
        <v/>
      </c>
      <c r="G28" t="str">
        <f>IFERROR(IF(INDEX(使用レシピ!I:I,MATCH(テンプレート!$C28,使用レシピ!$E:$E,0))&lt;&gt;0,INDEX(使用レシピ!I:I,MATCH(テンプレート!$C28,使用レシピ!$E:$E,0)),""),"")</f>
        <v/>
      </c>
      <c r="H28" s="24" t="str">
        <f>IFERROR(IF(INDEX(使用レシピ!J:J,MATCH(テンプレート!$C28,使用レシピ!$E:$E,0))&lt;&gt;0,INDEX(使用レシピ!J:J,MATCH(テンプレート!$C28,使用レシピ!$E:$E,0)),""),"")</f>
        <v/>
      </c>
      <c r="I28" s="36">
        <f>IFERROR(IF(INDEX(使用レシピ!P:P,MATCH(テンプレート!$C28,使用レシピ!$E:$E,0))&lt;&gt;0,INDEX(使用レシピ!P:P,MATCH(テンプレート!$C28,使用レシピ!$E:$E,0)),""),"")</f>
        <v>1</v>
      </c>
      <c r="J28" t="str">
        <f>IFERROR(IF(INDEX(使用レシピ!K:K,MATCH(テンプレート!$C28,使用レシピ!$E:$E,0))&lt;&gt;0,INDEX(使用レシピ!K:K,MATCH(テンプレート!$C28,使用レシピ!$E:$E,0)),""),"")</f>
        <v/>
      </c>
      <c r="K28" t="str">
        <f>IFERROR(IF(INDEX(使用レシピ!L:L,MATCH(テンプレート!$C28,使用レシピ!$E:$E,0))&lt;&gt;0,INDEX(使用レシピ!L:L,MATCH(テンプレート!$C28,使用レシピ!$E:$E,0)),""),"")</f>
        <v/>
      </c>
      <c r="L28" t="str">
        <f>IFERROR(IF(INDEX(使用レシピ!M:M,MATCH(テンプレート!$C28,使用レシピ!$E:$E,0))&lt;&gt;0,INDEX(使用レシピ!M:M,MATCH(テンプレート!$C28,使用レシピ!$E:$E,0)),""),"")</f>
        <v/>
      </c>
      <c r="M28" t="str">
        <f>IFERROR(IF(INDEX(使用レシピ!N:N,MATCH(テンプレート!$C28,使用レシピ!$E:$E,0))&lt;&gt;0,INDEX(使用レシピ!N:N,MATCH(テンプレート!$C28,使用レシピ!$E:$E,0)),""),"")</f>
        <v/>
      </c>
      <c r="N28" s="24" t="str">
        <f>IFERROR(IF(INDEX(使用レシピ!O:O,MATCH(テンプレート!$C28,使用レシピ!$E:$E,0))&lt;&gt;0,INDEX(使用レシピ!O:O,MATCH(テンプレート!$C28,使用レシピ!$E:$E,0)),""),"")</f>
        <v/>
      </c>
      <c r="O28" s="42">
        <f>IFERROR(IF(INDEX(使用レシピ!P:P,MATCH(テンプレート!$C28,使用レシピ!$E:$E,0))&lt;&gt;0,INDEX(使用レシピ!P:P,MATCH(テンプレート!$C28,使用レシピ!$E:$E,0)),""),"")</f>
        <v>1</v>
      </c>
      <c r="P28" s="25" t="str">
        <f t="shared" si="5"/>
        <v/>
      </c>
      <c r="Q28" s="26" t="str">
        <f t="shared" si="6"/>
        <v/>
      </c>
      <c r="R28" s="26" t="str">
        <f t="shared" si="7"/>
        <v/>
      </c>
      <c r="S28" s="26" t="str">
        <f t="shared" si="8"/>
        <v/>
      </c>
      <c r="T28" s="43" t="str">
        <f t="shared" si="8"/>
        <v/>
      </c>
    </row>
    <row r="29" spans="1:20" x14ac:dyDescent="0.4">
      <c r="A29">
        <v>12112</v>
      </c>
      <c r="B29" s="47" cm="1">
        <f t="array" ref="B29">IFERROR((INDEX($P$4:$T$1000,MATCH(VALUE(LEFT($A29,LEN($A29)-1)),$A$4:$A$1000,0),VALUE(RIGHT($A29,1)))/ INDEX($O$4:$O$1000,MATCH(VALUE(LEFT($A29,LEN($A29)-1)),$A$4:$A$1000))) * INDEX($B$4:$B$1000,MATCH(VALUE(LEFT($A29,LEN($A29)-1)),$A$4:$A$1000)),"")</f>
        <v>177.23076923076923</v>
      </c>
      <c r="C29" s="38" t="str" cm="1">
        <f t="array" ref="C29">IFERROR(IF(INDEX($D$4:$H$1000,MATCH(VALUE(LEFT($A29,LEN($A29)-1)),$A$4:$A$1000,0),VALUE(RIGHT($A29,1)))= 0,"",INDEX($D$4:$H$1000,MATCH(VALUE(LEFT($A29,LEN($A29)-1)),$A$4:$A$1000,0),VALUE(RIGHT($A29,1)))),"")</f>
        <v>水</v>
      </c>
      <c r="D29" s="23" t="str">
        <f>IFERROR(IF(INDEX(使用レシピ!F:F,MATCH(テンプレート!$C29,使用レシピ!$E:$E,0))&lt;&gt;0,INDEX(使用レシピ!F:F,MATCH(テンプレート!$C29,使用レシピ!$E:$E,0)),""),"")</f>
        <v/>
      </c>
      <c r="E29" t="str">
        <f>IFERROR(IF(INDEX(使用レシピ!G:G,MATCH(テンプレート!$C29,使用レシピ!$E:$E,0))&lt;&gt;0,INDEX(使用レシピ!G:G,MATCH(テンプレート!$C29,使用レシピ!$E:$E,0)),""),"")</f>
        <v/>
      </c>
      <c r="F29" t="str">
        <f>IFERROR(IF(INDEX(使用レシピ!H:H,MATCH(テンプレート!$C29,使用レシピ!$E:$E,0))&lt;&gt;0,INDEX(使用レシピ!H:H,MATCH(テンプレート!$C29,使用レシピ!$E:$E,0)),""),"")</f>
        <v/>
      </c>
      <c r="G29" t="str">
        <f>IFERROR(IF(INDEX(使用レシピ!I:I,MATCH(テンプレート!$C29,使用レシピ!$E:$E,0))&lt;&gt;0,INDEX(使用レシピ!I:I,MATCH(テンプレート!$C29,使用レシピ!$E:$E,0)),""),"")</f>
        <v/>
      </c>
      <c r="H29" s="24" t="str">
        <f>IFERROR(IF(INDEX(使用レシピ!J:J,MATCH(テンプレート!$C29,使用レシピ!$E:$E,0))&lt;&gt;0,INDEX(使用レシピ!J:J,MATCH(テンプレート!$C29,使用レシピ!$E:$E,0)),""),"")</f>
        <v/>
      </c>
      <c r="I29" s="36">
        <f>IFERROR(IF(INDEX(使用レシピ!P:P,MATCH(テンプレート!$C29,使用レシピ!$E:$E,0))&lt;&gt;0,INDEX(使用レシピ!P:P,MATCH(テンプレート!$C29,使用レシピ!$E:$E,0)),""),"")</f>
        <v>1</v>
      </c>
      <c r="J29" t="str">
        <f>IFERROR(IF(INDEX(使用レシピ!K:K,MATCH(テンプレート!$C29,使用レシピ!$E:$E,0))&lt;&gt;0,INDEX(使用レシピ!K:K,MATCH(テンプレート!$C29,使用レシピ!$E:$E,0)),""),"")</f>
        <v/>
      </c>
      <c r="K29" t="str">
        <f>IFERROR(IF(INDEX(使用レシピ!L:L,MATCH(テンプレート!$C29,使用レシピ!$E:$E,0))&lt;&gt;0,INDEX(使用レシピ!L:L,MATCH(テンプレート!$C29,使用レシピ!$E:$E,0)),""),"")</f>
        <v/>
      </c>
      <c r="L29" t="str">
        <f>IFERROR(IF(INDEX(使用レシピ!M:M,MATCH(テンプレート!$C29,使用レシピ!$E:$E,0))&lt;&gt;0,INDEX(使用レシピ!M:M,MATCH(テンプレート!$C29,使用レシピ!$E:$E,0)),""),"")</f>
        <v/>
      </c>
      <c r="M29" t="str">
        <f>IFERROR(IF(INDEX(使用レシピ!N:N,MATCH(テンプレート!$C29,使用レシピ!$E:$E,0))&lt;&gt;0,INDEX(使用レシピ!N:N,MATCH(テンプレート!$C29,使用レシピ!$E:$E,0)),""),"")</f>
        <v/>
      </c>
      <c r="N29" s="24" t="str">
        <f>IFERROR(IF(INDEX(使用レシピ!O:O,MATCH(テンプレート!$C29,使用レシピ!$E:$E,0))&lt;&gt;0,INDEX(使用レシピ!O:O,MATCH(テンプレート!$C29,使用レシピ!$E:$E,0)),""),"")</f>
        <v/>
      </c>
      <c r="O29" s="42">
        <f>IFERROR(IF(INDEX(使用レシピ!P:P,MATCH(テンプレート!$C29,使用レシピ!$E:$E,0))&lt;&gt;0,INDEX(使用レシピ!P:P,MATCH(テンプレート!$C29,使用レシピ!$E:$E,0)),""),"")</f>
        <v>1</v>
      </c>
      <c r="P29" s="25" t="str">
        <f t="shared" si="5"/>
        <v/>
      </c>
      <c r="Q29" s="26" t="str">
        <f t="shared" si="6"/>
        <v/>
      </c>
      <c r="R29" s="26" t="str">
        <f t="shared" si="7"/>
        <v/>
      </c>
      <c r="S29" s="26" t="str">
        <f t="shared" si="8"/>
        <v/>
      </c>
      <c r="T29" s="43" t="str">
        <f t="shared" si="8"/>
        <v/>
      </c>
    </row>
    <row r="30" spans="1:20" x14ac:dyDescent="0.4">
      <c r="A30">
        <v>12113</v>
      </c>
      <c r="B30" s="47" t="str" cm="1">
        <f t="array" ref="B30">IFERROR((INDEX($P$4:$T$1000,MATCH(VALUE(LEFT($A30,LEN($A30)-1)),$A$4:$A$1000,0),VALUE(RIGHT($A30,1)))/ INDEX($O$4:$O$1000,MATCH(VALUE(LEFT($A30,LEN($A30)-1)),$A$4:$A$1000))) * INDEX($B$4:$B$1000,MATCH(VALUE(LEFT($A30,LEN($A30)-1)),$A$4:$A$1000)),"")</f>
        <v/>
      </c>
      <c r="C30" s="38" t="str" cm="1">
        <f t="array" ref="C30">IFERROR(IF(INDEX($D$4:$H$1000,MATCH(VALUE(LEFT($A30,LEN($A30)-1)),$A$4:$A$1000,0),VALUE(RIGHT($A30,1)))= 0,"",INDEX($D$4:$H$1000,MATCH(VALUE(LEFT($A30,LEN($A30)-1)),$A$4:$A$1000,0),VALUE(RIGHT($A30,1)))),"")</f>
        <v/>
      </c>
      <c r="D30" s="23" t="str">
        <f>IFERROR(IF(INDEX(使用レシピ!F:F,MATCH(テンプレート!$C30,使用レシピ!$E:$E,0))&lt;&gt;0,INDEX(使用レシピ!F:F,MATCH(テンプレート!$C30,使用レシピ!$E:$E,0)),""),"")</f>
        <v/>
      </c>
      <c r="E30" t="str">
        <f>IFERROR(IF(INDEX(使用レシピ!G:G,MATCH(テンプレート!$C30,使用レシピ!$E:$E,0))&lt;&gt;0,INDEX(使用レシピ!G:G,MATCH(テンプレート!$C30,使用レシピ!$E:$E,0)),""),"")</f>
        <v/>
      </c>
      <c r="F30" t="str">
        <f>IFERROR(IF(INDEX(使用レシピ!H:H,MATCH(テンプレート!$C30,使用レシピ!$E:$E,0))&lt;&gt;0,INDEX(使用レシピ!H:H,MATCH(テンプレート!$C30,使用レシピ!$E:$E,0)),""),"")</f>
        <v/>
      </c>
      <c r="G30" t="str">
        <f>IFERROR(IF(INDEX(使用レシピ!I:I,MATCH(テンプレート!$C30,使用レシピ!$E:$E,0))&lt;&gt;0,INDEX(使用レシピ!I:I,MATCH(テンプレート!$C30,使用レシピ!$E:$E,0)),""),"")</f>
        <v/>
      </c>
      <c r="H30" s="24" t="str">
        <f>IFERROR(IF(INDEX(使用レシピ!J:J,MATCH(テンプレート!$C30,使用レシピ!$E:$E,0))&lt;&gt;0,INDEX(使用レシピ!J:J,MATCH(テンプレート!$C30,使用レシピ!$E:$E,0)),""),"")</f>
        <v/>
      </c>
      <c r="I30" s="36" t="str">
        <f>IFERROR(IF(INDEX(使用レシピ!P:P,MATCH(テンプレート!$C30,使用レシピ!$E:$E,0))&lt;&gt;0,INDEX(使用レシピ!P:P,MATCH(テンプレート!$C30,使用レシピ!$E:$E,0)),""),"")</f>
        <v/>
      </c>
      <c r="J30" t="str">
        <f>IFERROR(IF(INDEX(使用レシピ!K:K,MATCH(テンプレート!$C30,使用レシピ!$E:$E,0))&lt;&gt;0,INDEX(使用レシピ!K:K,MATCH(テンプレート!$C30,使用レシピ!$E:$E,0)),""),"")</f>
        <v/>
      </c>
      <c r="K30" t="str">
        <f>IFERROR(IF(INDEX(使用レシピ!L:L,MATCH(テンプレート!$C30,使用レシピ!$E:$E,0))&lt;&gt;0,INDEX(使用レシピ!L:L,MATCH(テンプレート!$C30,使用レシピ!$E:$E,0)),""),"")</f>
        <v/>
      </c>
      <c r="L30" t="str">
        <f>IFERROR(IF(INDEX(使用レシピ!M:M,MATCH(テンプレート!$C30,使用レシピ!$E:$E,0))&lt;&gt;0,INDEX(使用レシピ!M:M,MATCH(テンプレート!$C30,使用レシピ!$E:$E,0)),""),"")</f>
        <v/>
      </c>
      <c r="M30" t="str">
        <f>IFERROR(IF(INDEX(使用レシピ!N:N,MATCH(テンプレート!$C30,使用レシピ!$E:$E,0))&lt;&gt;0,INDEX(使用レシピ!N:N,MATCH(テンプレート!$C30,使用レシピ!$E:$E,0)),""),"")</f>
        <v/>
      </c>
      <c r="N30" s="24" t="str">
        <f>IFERROR(IF(INDEX(使用レシピ!O:O,MATCH(テンプレート!$C30,使用レシピ!$E:$E,0))&lt;&gt;0,INDEX(使用レシピ!O:O,MATCH(テンプレート!$C30,使用レシピ!$E:$E,0)),""),"")</f>
        <v/>
      </c>
      <c r="O30" s="42" t="str">
        <f>IFERROR(IF(INDEX(使用レシピ!P:P,MATCH(テンプレート!$C30,使用レシピ!$E:$E,0))&lt;&gt;0,INDEX(使用レシピ!P:P,MATCH(テンプレート!$C30,使用レシピ!$E:$E,0)),""),"")</f>
        <v/>
      </c>
      <c r="P30" s="25" t="str">
        <f t="shared" si="5"/>
        <v/>
      </c>
      <c r="Q30" s="26" t="str">
        <f t="shared" si="6"/>
        <v/>
      </c>
      <c r="R30" s="26" t="str">
        <f t="shared" si="7"/>
        <v/>
      </c>
      <c r="S30" s="26" t="str">
        <f t="shared" si="8"/>
        <v/>
      </c>
      <c r="T30" s="43" t="str">
        <f t="shared" si="8"/>
        <v/>
      </c>
    </row>
    <row r="31" spans="1:20" x14ac:dyDescent="0.4">
      <c r="A31">
        <v>12114</v>
      </c>
      <c r="B31" s="47" t="str" cm="1">
        <f t="array" ref="B31">IFERROR((INDEX($P$4:$T$1000,MATCH(VALUE(LEFT($A31,LEN($A31)-1)),$A$4:$A$1000,0),VALUE(RIGHT($A31,1)))/ INDEX($O$4:$O$1000,MATCH(VALUE(LEFT($A31,LEN($A31)-1)),$A$4:$A$1000))) * INDEX($B$4:$B$1000,MATCH(VALUE(LEFT($A31,LEN($A31)-1)),$A$4:$A$1000)),"")</f>
        <v/>
      </c>
      <c r="C31" s="38" t="str" cm="1">
        <f t="array" ref="C31">IFERROR(IF(INDEX($D$4:$H$1000,MATCH(VALUE(LEFT($A31,LEN($A31)-1)),$A$4:$A$1000,0),VALUE(RIGHT($A31,1)))= 0,"",INDEX($D$4:$H$1000,MATCH(VALUE(LEFT($A31,LEN($A31)-1)),$A$4:$A$1000,0),VALUE(RIGHT($A31,1)))),"")</f>
        <v/>
      </c>
      <c r="D31" s="23" t="str">
        <f>IFERROR(IF(INDEX(使用レシピ!F:F,MATCH(テンプレート!$C31,使用レシピ!$E:$E,0))&lt;&gt;0,INDEX(使用レシピ!F:F,MATCH(テンプレート!$C31,使用レシピ!$E:$E,0)),""),"")</f>
        <v/>
      </c>
      <c r="E31" t="str">
        <f>IFERROR(IF(INDEX(使用レシピ!G:G,MATCH(テンプレート!$C31,使用レシピ!$E:$E,0))&lt;&gt;0,INDEX(使用レシピ!G:G,MATCH(テンプレート!$C31,使用レシピ!$E:$E,0)),""),"")</f>
        <v/>
      </c>
      <c r="F31" t="str">
        <f>IFERROR(IF(INDEX(使用レシピ!H:H,MATCH(テンプレート!$C31,使用レシピ!$E:$E,0))&lt;&gt;0,INDEX(使用レシピ!H:H,MATCH(テンプレート!$C31,使用レシピ!$E:$E,0)),""),"")</f>
        <v/>
      </c>
      <c r="G31" t="str">
        <f>IFERROR(IF(INDEX(使用レシピ!I:I,MATCH(テンプレート!$C31,使用レシピ!$E:$E,0))&lt;&gt;0,INDEX(使用レシピ!I:I,MATCH(テンプレート!$C31,使用レシピ!$E:$E,0)),""),"")</f>
        <v/>
      </c>
      <c r="H31" s="24" t="str">
        <f>IFERROR(IF(INDEX(使用レシピ!J:J,MATCH(テンプレート!$C31,使用レシピ!$E:$E,0))&lt;&gt;0,INDEX(使用レシピ!J:J,MATCH(テンプレート!$C31,使用レシピ!$E:$E,0)),""),"")</f>
        <v/>
      </c>
      <c r="I31" s="36" t="str">
        <f>IFERROR(IF(INDEX(使用レシピ!P:P,MATCH(テンプレート!$C31,使用レシピ!$E:$E,0))&lt;&gt;0,INDEX(使用レシピ!P:P,MATCH(テンプレート!$C31,使用レシピ!$E:$E,0)),""),"")</f>
        <v/>
      </c>
      <c r="J31" t="str">
        <f>IFERROR(IF(INDEX(使用レシピ!K:K,MATCH(テンプレート!$C31,使用レシピ!$E:$E,0))&lt;&gt;0,INDEX(使用レシピ!K:K,MATCH(テンプレート!$C31,使用レシピ!$E:$E,0)),""),"")</f>
        <v/>
      </c>
      <c r="K31" t="str">
        <f>IFERROR(IF(INDEX(使用レシピ!L:L,MATCH(テンプレート!$C31,使用レシピ!$E:$E,0))&lt;&gt;0,INDEX(使用レシピ!L:L,MATCH(テンプレート!$C31,使用レシピ!$E:$E,0)),""),"")</f>
        <v/>
      </c>
      <c r="L31" t="str">
        <f>IFERROR(IF(INDEX(使用レシピ!M:M,MATCH(テンプレート!$C31,使用レシピ!$E:$E,0))&lt;&gt;0,INDEX(使用レシピ!M:M,MATCH(テンプレート!$C31,使用レシピ!$E:$E,0)),""),"")</f>
        <v/>
      </c>
      <c r="M31" t="str">
        <f>IFERROR(IF(INDEX(使用レシピ!N:N,MATCH(テンプレート!$C31,使用レシピ!$E:$E,0))&lt;&gt;0,INDEX(使用レシピ!N:N,MATCH(テンプレート!$C31,使用レシピ!$E:$E,0)),""),"")</f>
        <v/>
      </c>
      <c r="N31" s="24" t="str">
        <f>IFERROR(IF(INDEX(使用レシピ!O:O,MATCH(テンプレート!$C31,使用レシピ!$E:$E,0))&lt;&gt;0,INDEX(使用レシピ!O:O,MATCH(テンプレート!$C31,使用レシピ!$E:$E,0)),""),"")</f>
        <v/>
      </c>
      <c r="O31" s="42" t="str">
        <f>IFERROR(IF(INDEX(使用レシピ!P:P,MATCH(テンプレート!$C31,使用レシピ!$E:$E,0))&lt;&gt;0,INDEX(使用レシピ!P:P,MATCH(テンプレート!$C31,使用レシピ!$E:$E,0)),""),"")</f>
        <v/>
      </c>
      <c r="P31" s="25" t="str">
        <f t="shared" si="5"/>
        <v/>
      </c>
      <c r="Q31" s="26" t="str">
        <f t="shared" si="6"/>
        <v/>
      </c>
      <c r="R31" s="26" t="str">
        <f t="shared" si="7"/>
        <v/>
      </c>
      <c r="S31" s="26" t="str">
        <f t="shared" si="8"/>
        <v/>
      </c>
      <c r="T31" s="43" t="str">
        <f t="shared" si="8"/>
        <v/>
      </c>
    </row>
    <row r="32" spans="1:20" x14ac:dyDescent="0.4">
      <c r="A32">
        <v>12121</v>
      </c>
      <c r="B32" s="47" t="str" cm="1">
        <f t="array" ref="B32">IFERROR((INDEX($P$4:$T$1000,MATCH(VALUE(LEFT($A32,LEN($A32)-1)),$A$4:$A$1000,0),VALUE(RIGHT($A32,1)))/ INDEX($O$4:$O$1000,MATCH(VALUE(LEFT($A32,LEN($A32)-1)),$A$4:$A$1000))) * INDEX($B$4:$B$1000,MATCH(VALUE(LEFT($A32,LEN($A32)-1)),$A$4:$A$1000)),"")</f>
        <v/>
      </c>
      <c r="C32" s="38" t="str" cm="1">
        <f t="array" ref="C32">IFERROR(IF(INDEX($D$4:$H$1000,MATCH(VALUE(LEFT($A32,LEN($A32)-1)),$A$4:$A$1000,0),VALUE(RIGHT($A32,1)))= 0,"",INDEX($D$4:$H$1000,MATCH(VALUE(LEFT($A32,LEN($A32)-1)),$A$4:$A$1000,0),VALUE(RIGHT($A32,1)))),"")</f>
        <v/>
      </c>
      <c r="D32" s="23" t="str">
        <f>IFERROR(IF(INDEX(使用レシピ!F:F,MATCH(テンプレート!$C32,使用レシピ!$E:$E,0))&lt;&gt;0,INDEX(使用レシピ!F:F,MATCH(テンプレート!$C32,使用レシピ!$E:$E,0)),""),"")</f>
        <v/>
      </c>
      <c r="E32" t="str">
        <f>IFERROR(IF(INDEX(使用レシピ!G:G,MATCH(テンプレート!$C32,使用レシピ!$E:$E,0))&lt;&gt;0,INDEX(使用レシピ!G:G,MATCH(テンプレート!$C32,使用レシピ!$E:$E,0)),""),"")</f>
        <v/>
      </c>
      <c r="F32" t="str">
        <f>IFERROR(IF(INDEX(使用レシピ!H:H,MATCH(テンプレート!$C32,使用レシピ!$E:$E,0))&lt;&gt;0,INDEX(使用レシピ!H:H,MATCH(テンプレート!$C32,使用レシピ!$E:$E,0)),""),"")</f>
        <v/>
      </c>
      <c r="G32" t="str">
        <f>IFERROR(IF(INDEX(使用レシピ!I:I,MATCH(テンプレート!$C32,使用レシピ!$E:$E,0))&lt;&gt;0,INDEX(使用レシピ!I:I,MATCH(テンプレート!$C32,使用レシピ!$E:$E,0)),""),"")</f>
        <v/>
      </c>
      <c r="H32" s="24" t="str">
        <f>IFERROR(IF(INDEX(使用レシピ!J:J,MATCH(テンプレート!$C32,使用レシピ!$E:$E,0))&lt;&gt;0,INDEX(使用レシピ!J:J,MATCH(テンプレート!$C32,使用レシピ!$E:$E,0)),""),"")</f>
        <v/>
      </c>
      <c r="I32" s="36" t="str">
        <f>IFERROR(IF(INDEX(使用レシピ!P:P,MATCH(テンプレート!$C32,使用レシピ!$E:$E,0))&lt;&gt;0,INDEX(使用レシピ!P:P,MATCH(テンプレート!$C32,使用レシピ!$E:$E,0)),""),"")</f>
        <v/>
      </c>
      <c r="J32" t="str">
        <f>IFERROR(IF(INDEX(使用レシピ!K:K,MATCH(テンプレート!$C32,使用レシピ!$E:$E,0))&lt;&gt;0,INDEX(使用レシピ!K:K,MATCH(テンプレート!$C32,使用レシピ!$E:$E,0)),""),"")</f>
        <v/>
      </c>
      <c r="K32" t="str">
        <f>IFERROR(IF(INDEX(使用レシピ!L:L,MATCH(テンプレート!$C32,使用レシピ!$E:$E,0))&lt;&gt;0,INDEX(使用レシピ!L:L,MATCH(テンプレート!$C32,使用レシピ!$E:$E,0)),""),"")</f>
        <v/>
      </c>
      <c r="L32" t="str">
        <f>IFERROR(IF(INDEX(使用レシピ!M:M,MATCH(テンプレート!$C32,使用レシピ!$E:$E,0))&lt;&gt;0,INDEX(使用レシピ!M:M,MATCH(テンプレート!$C32,使用レシピ!$E:$E,0)),""),"")</f>
        <v/>
      </c>
      <c r="M32" t="str">
        <f>IFERROR(IF(INDEX(使用レシピ!N:N,MATCH(テンプレート!$C32,使用レシピ!$E:$E,0))&lt;&gt;0,INDEX(使用レシピ!N:N,MATCH(テンプレート!$C32,使用レシピ!$E:$E,0)),""),"")</f>
        <v/>
      </c>
      <c r="N32" s="24" t="str">
        <f>IFERROR(IF(INDEX(使用レシピ!O:O,MATCH(テンプレート!$C32,使用レシピ!$E:$E,0))&lt;&gt;0,INDEX(使用レシピ!O:O,MATCH(テンプレート!$C32,使用レシピ!$E:$E,0)),""),"")</f>
        <v/>
      </c>
      <c r="O32" s="42" t="str">
        <f>IFERROR(IF(INDEX(使用レシピ!P:P,MATCH(テンプレート!$C32,使用レシピ!$E:$E,0))&lt;&gt;0,INDEX(使用レシピ!P:P,MATCH(テンプレート!$C32,使用レシピ!$E:$E,0)),""),"")</f>
        <v/>
      </c>
      <c r="P32" s="25" t="str">
        <f t="shared" si="5"/>
        <v/>
      </c>
      <c r="Q32" s="26" t="str">
        <f t="shared" si="6"/>
        <v/>
      </c>
      <c r="R32" s="26" t="str">
        <f t="shared" si="7"/>
        <v/>
      </c>
      <c r="S32" s="26" t="str">
        <f t="shared" si="8"/>
        <v/>
      </c>
      <c r="T32" s="43" t="str">
        <f t="shared" si="8"/>
        <v/>
      </c>
    </row>
    <row r="33" spans="1:20" x14ac:dyDescent="0.4">
      <c r="A33">
        <v>12131</v>
      </c>
      <c r="B33" s="47" t="str" cm="1">
        <f t="array" ref="B33">IFERROR((INDEX($P$4:$T$1000,MATCH(VALUE(LEFT($A33,LEN($A33)-1)),$A$4:$A$1000,0),VALUE(RIGHT($A33,1)))/ INDEX($O$4:$O$1000,MATCH(VALUE(LEFT($A33,LEN($A33)-1)),$A$4:$A$1000))) * INDEX($B$4:$B$1000,MATCH(VALUE(LEFT($A33,LEN($A33)-1)),$A$4:$A$1000)),"")</f>
        <v/>
      </c>
      <c r="C33" s="38" t="str" cm="1">
        <f t="array" ref="C33">IFERROR(IF(INDEX($D$4:$H$1000,MATCH(VALUE(LEFT($A33,LEN($A33)-1)),$A$4:$A$1000,0),VALUE(RIGHT($A33,1)))= 0,"",INDEX($D$4:$H$1000,MATCH(VALUE(LEFT($A33,LEN($A33)-1)),$A$4:$A$1000,0),VALUE(RIGHT($A33,1)))),"")</f>
        <v/>
      </c>
      <c r="D33" s="23" t="str">
        <f>IFERROR(IF(INDEX(使用レシピ!F:F,MATCH(テンプレート!$C33,使用レシピ!$E:$E,0))&lt;&gt;0,INDEX(使用レシピ!F:F,MATCH(テンプレート!$C33,使用レシピ!$E:$E,0)),""),"")</f>
        <v/>
      </c>
      <c r="E33" t="str">
        <f>IFERROR(IF(INDEX(使用レシピ!G:G,MATCH(テンプレート!$C33,使用レシピ!$E:$E,0))&lt;&gt;0,INDEX(使用レシピ!G:G,MATCH(テンプレート!$C33,使用レシピ!$E:$E,0)),""),"")</f>
        <v/>
      </c>
      <c r="F33" t="str">
        <f>IFERROR(IF(INDEX(使用レシピ!H:H,MATCH(テンプレート!$C33,使用レシピ!$E:$E,0))&lt;&gt;0,INDEX(使用レシピ!H:H,MATCH(テンプレート!$C33,使用レシピ!$E:$E,0)),""),"")</f>
        <v/>
      </c>
      <c r="G33" t="str">
        <f>IFERROR(IF(INDEX(使用レシピ!I:I,MATCH(テンプレート!$C33,使用レシピ!$E:$E,0))&lt;&gt;0,INDEX(使用レシピ!I:I,MATCH(テンプレート!$C33,使用レシピ!$E:$E,0)),""),"")</f>
        <v/>
      </c>
      <c r="H33" s="24" t="str">
        <f>IFERROR(IF(INDEX(使用レシピ!J:J,MATCH(テンプレート!$C33,使用レシピ!$E:$E,0))&lt;&gt;0,INDEX(使用レシピ!J:J,MATCH(テンプレート!$C33,使用レシピ!$E:$E,0)),""),"")</f>
        <v/>
      </c>
      <c r="I33" s="36" t="str">
        <f>IFERROR(IF(INDEX(使用レシピ!P:P,MATCH(テンプレート!$C33,使用レシピ!$E:$E,0))&lt;&gt;0,INDEX(使用レシピ!P:P,MATCH(テンプレート!$C33,使用レシピ!$E:$E,0)),""),"")</f>
        <v/>
      </c>
      <c r="J33" t="str">
        <f>IFERROR(IF(INDEX(使用レシピ!K:K,MATCH(テンプレート!$C33,使用レシピ!$E:$E,0))&lt;&gt;0,INDEX(使用レシピ!K:K,MATCH(テンプレート!$C33,使用レシピ!$E:$E,0)),""),"")</f>
        <v/>
      </c>
      <c r="K33" t="str">
        <f>IFERROR(IF(INDEX(使用レシピ!L:L,MATCH(テンプレート!$C33,使用レシピ!$E:$E,0))&lt;&gt;0,INDEX(使用レシピ!L:L,MATCH(テンプレート!$C33,使用レシピ!$E:$E,0)),""),"")</f>
        <v/>
      </c>
      <c r="L33" t="str">
        <f>IFERROR(IF(INDEX(使用レシピ!M:M,MATCH(テンプレート!$C33,使用レシピ!$E:$E,0))&lt;&gt;0,INDEX(使用レシピ!M:M,MATCH(テンプレート!$C33,使用レシピ!$E:$E,0)),""),"")</f>
        <v/>
      </c>
      <c r="M33" t="str">
        <f>IFERROR(IF(INDEX(使用レシピ!N:N,MATCH(テンプレート!$C33,使用レシピ!$E:$E,0))&lt;&gt;0,INDEX(使用レシピ!N:N,MATCH(テンプレート!$C33,使用レシピ!$E:$E,0)),""),"")</f>
        <v/>
      </c>
      <c r="N33" s="24" t="str">
        <f>IFERROR(IF(INDEX(使用レシピ!O:O,MATCH(テンプレート!$C33,使用レシピ!$E:$E,0))&lt;&gt;0,INDEX(使用レシピ!O:O,MATCH(テンプレート!$C33,使用レシピ!$E:$E,0)),""),"")</f>
        <v/>
      </c>
      <c r="O33" s="42" t="str">
        <f>IFERROR(IF(INDEX(使用レシピ!P:P,MATCH(テンプレート!$C33,使用レシピ!$E:$E,0))&lt;&gt;0,INDEX(使用レシピ!P:P,MATCH(テンプレート!$C33,使用レシピ!$E:$E,0)),""),"")</f>
        <v/>
      </c>
      <c r="P33" s="25" t="str">
        <f t="shared" si="5"/>
        <v/>
      </c>
      <c r="Q33" s="26" t="str">
        <f t="shared" si="6"/>
        <v/>
      </c>
      <c r="R33" s="26" t="str">
        <f t="shared" si="7"/>
        <v/>
      </c>
      <c r="S33" s="26" t="str">
        <f t="shared" si="8"/>
        <v/>
      </c>
      <c r="T33" s="43" t="str">
        <f t="shared" si="8"/>
        <v/>
      </c>
    </row>
    <row r="34" spans="1:20" x14ac:dyDescent="0.4">
      <c r="A34">
        <v>12132</v>
      </c>
      <c r="B34" s="47" t="str" cm="1">
        <f t="array" ref="B34">IFERROR((INDEX($P$4:$T$1000,MATCH(VALUE(LEFT($A34,LEN($A34)-1)),$A$4:$A$1000,0),VALUE(RIGHT($A34,1)))/ INDEX($O$4:$O$1000,MATCH(VALUE(LEFT($A34,LEN($A34)-1)),$A$4:$A$1000))) * INDEX($B$4:$B$1000,MATCH(VALUE(LEFT($A34,LEN($A34)-1)),$A$4:$A$1000)),"")</f>
        <v/>
      </c>
      <c r="C34" s="38" t="str" cm="1">
        <f t="array" ref="C34">IFERROR(IF(INDEX($D$4:$H$1000,MATCH(VALUE(LEFT($A34,LEN($A34)-1)),$A$4:$A$1000,0),VALUE(RIGHT($A34,1)))= 0,"",INDEX($D$4:$H$1000,MATCH(VALUE(LEFT($A34,LEN($A34)-1)),$A$4:$A$1000,0),VALUE(RIGHT($A34,1)))),"")</f>
        <v/>
      </c>
      <c r="D34" s="23" t="str">
        <f>IFERROR(IF(INDEX(使用レシピ!F:F,MATCH(テンプレート!$C34,使用レシピ!$E:$E,0))&lt;&gt;0,INDEX(使用レシピ!F:F,MATCH(テンプレート!$C34,使用レシピ!$E:$E,0)),""),"")</f>
        <v/>
      </c>
      <c r="E34" t="str">
        <f>IFERROR(IF(INDEX(使用レシピ!G:G,MATCH(テンプレート!$C34,使用レシピ!$E:$E,0))&lt;&gt;0,INDEX(使用レシピ!G:G,MATCH(テンプレート!$C34,使用レシピ!$E:$E,0)),""),"")</f>
        <v/>
      </c>
      <c r="F34" t="str">
        <f>IFERROR(IF(INDEX(使用レシピ!H:H,MATCH(テンプレート!$C34,使用レシピ!$E:$E,0))&lt;&gt;0,INDEX(使用レシピ!H:H,MATCH(テンプレート!$C34,使用レシピ!$E:$E,0)),""),"")</f>
        <v/>
      </c>
      <c r="G34" t="str">
        <f>IFERROR(IF(INDEX(使用レシピ!I:I,MATCH(テンプレート!$C34,使用レシピ!$E:$E,0))&lt;&gt;0,INDEX(使用レシピ!I:I,MATCH(テンプレート!$C34,使用レシピ!$E:$E,0)),""),"")</f>
        <v/>
      </c>
      <c r="H34" s="24" t="str">
        <f>IFERROR(IF(INDEX(使用レシピ!J:J,MATCH(テンプレート!$C34,使用レシピ!$E:$E,0))&lt;&gt;0,INDEX(使用レシピ!J:J,MATCH(テンプレート!$C34,使用レシピ!$E:$E,0)),""),"")</f>
        <v/>
      </c>
      <c r="I34" s="36" t="str">
        <f>IFERROR(IF(INDEX(使用レシピ!P:P,MATCH(テンプレート!$C34,使用レシピ!$E:$E,0))&lt;&gt;0,INDEX(使用レシピ!P:P,MATCH(テンプレート!$C34,使用レシピ!$E:$E,0)),""),"")</f>
        <v/>
      </c>
      <c r="J34" t="str">
        <f>IFERROR(IF(INDEX(使用レシピ!K:K,MATCH(テンプレート!$C34,使用レシピ!$E:$E,0))&lt;&gt;0,INDEX(使用レシピ!K:K,MATCH(テンプレート!$C34,使用レシピ!$E:$E,0)),""),"")</f>
        <v/>
      </c>
      <c r="K34" t="str">
        <f>IFERROR(IF(INDEX(使用レシピ!L:L,MATCH(テンプレート!$C34,使用レシピ!$E:$E,0))&lt;&gt;0,INDEX(使用レシピ!L:L,MATCH(テンプレート!$C34,使用レシピ!$E:$E,0)),""),"")</f>
        <v/>
      </c>
      <c r="L34" t="str">
        <f>IFERROR(IF(INDEX(使用レシピ!M:M,MATCH(テンプレート!$C34,使用レシピ!$E:$E,0))&lt;&gt;0,INDEX(使用レシピ!M:M,MATCH(テンプレート!$C34,使用レシピ!$E:$E,0)),""),"")</f>
        <v/>
      </c>
      <c r="M34" t="str">
        <f>IFERROR(IF(INDEX(使用レシピ!N:N,MATCH(テンプレート!$C34,使用レシピ!$E:$E,0))&lt;&gt;0,INDEX(使用レシピ!N:N,MATCH(テンプレート!$C34,使用レシピ!$E:$E,0)),""),"")</f>
        <v/>
      </c>
      <c r="N34" s="24" t="str">
        <f>IFERROR(IF(INDEX(使用レシピ!O:O,MATCH(テンプレート!$C34,使用レシピ!$E:$E,0))&lt;&gt;0,INDEX(使用レシピ!O:O,MATCH(テンプレート!$C34,使用レシピ!$E:$E,0)),""),"")</f>
        <v/>
      </c>
      <c r="O34" s="42" t="str">
        <f>IFERROR(IF(INDEX(使用レシピ!P:P,MATCH(テンプレート!$C34,使用レシピ!$E:$E,0))&lt;&gt;0,INDEX(使用レシピ!P:P,MATCH(テンプレート!$C34,使用レシピ!$E:$E,0)),""),"")</f>
        <v/>
      </c>
      <c r="P34" s="25" t="str">
        <f t="shared" si="5"/>
        <v/>
      </c>
      <c r="Q34" s="26" t="str">
        <f t="shared" si="6"/>
        <v/>
      </c>
      <c r="R34" s="26" t="str">
        <f t="shared" si="7"/>
        <v/>
      </c>
      <c r="S34" s="26" t="str">
        <f t="shared" si="8"/>
        <v/>
      </c>
      <c r="T34" s="43" t="str">
        <f t="shared" si="8"/>
        <v/>
      </c>
    </row>
    <row r="35" spans="1:20" x14ac:dyDescent="0.4">
      <c r="A35">
        <v>12133</v>
      </c>
      <c r="B35" s="47" t="str" cm="1">
        <f t="array" ref="B35">IFERROR((INDEX($P$4:$T$1000,MATCH(VALUE(LEFT($A35,LEN($A35)-1)),$A$4:$A$1000,0),VALUE(RIGHT($A35,1)))/ INDEX($O$4:$O$1000,MATCH(VALUE(LEFT($A35,LEN($A35)-1)),$A$4:$A$1000))) * INDEX($B$4:$B$1000,MATCH(VALUE(LEFT($A35,LEN($A35)-1)),$A$4:$A$1000)),"")</f>
        <v/>
      </c>
      <c r="C35" s="38" t="str" cm="1">
        <f t="array" ref="C35">IFERROR(IF(INDEX($D$4:$H$1000,MATCH(VALUE(LEFT($A35,LEN($A35)-1)),$A$4:$A$1000,0),VALUE(RIGHT($A35,1)))= 0,"",INDEX($D$4:$H$1000,MATCH(VALUE(LEFT($A35,LEN($A35)-1)),$A$4:$A$1000,0),VALUE(RIGHT($A35,1)))),"")</f>
        <v/>
      </c>
      <c r="D35" s="23" t="str">
        <f>IFERROR(IF(INDEX(使用レシピ!F:F,MATCH(テンプレート!$C35,使用レシピ!$E:$E,0))&lt;&gt;0,INDEX(使用レシピ!F:F,MATCH(テンプレート!$C35,使用レシピ!$E:$E,0)),""),"")</f>
        <v/>
      </c>
      <c r="E35" t="str">
        <f>IFERROR(IF(INDEX(使用レシピ!G:G,MATCH(テンプレート!$C35,使用レシピ!$E:$E,0))&lt;&gt;0,INDEX(使用レシピ!G:G,MATCH(テンプレート!$C35,使用レシピ!$E:$E,0)),""),"")</f>
        <v/>
      </c>
      <c r="F35" t="str">
        <f>IFERROR(IF(INDEX(使用レシピ!H:H,MATCH(テンプレート!$C35,使用レシピ!$E:$E,0))&lt;&gt;0,INDEX(使用レシピ!H:H,MATCH(テンプレート!$C35,使用レシピ!$E:$E,0)),""),"")</f>
        <v/>
      </c>
      <c r="G35" t="str">
        <f>IFERROR(IF(INDEX(使用レシピ!I:I,MATCH(テンプレート!$C35,使用レシピ!$E:$E,0))&lt;&gt;0,INDEX(使用レシピ!I:I,MATCH(テンプレート!$C35,使用レシピ!$E:$E,0)),""),"")</f>
        <v/>
      </c>
      <c r="H35" s="24" t="str">
        <f>IFERROR(IF(INDEX(使用レシピ!J:J,MATCH(テンプレート!$C35,使用レシピ!$E:$E,0))&lt;&gt;0,INDEX(使用レシピ!J:J,MATCH(テンプレート!$C35,使用レシピ!$E:$E,0)),""),"")</f>
        <v/>
      </c>
      <c r="I35" s="36" t="str">
        <f>IFERROR(IF(INDEX(使用レシピ!P:P,MATCH(テンプレート!$C35,使用レシピ!$E:$E,0))&lt;&gt;0,INDEX(使用レシピ!P:P,MATCH(テンプレート!$C35,使用レシピ!$E:$E,0)),""),"")</f>
        <v/>
      </c>
      <c r="J35" t="str">
        <f>IFERROR(IF(INDEX(使用レシピ!K:K,MATCH(テンプレート!$C35,使用レシピ!$E:$E,0))&lt;&gt;0,INDEX(使用レシピ!K:K,MATCH(テンプレート!$C35,使用レシピ!$E:$E,0)),""),"")</f>
        <v/>
      </c>
      <c r="K35" t="str">
        <f>IFERROR(IF(INDEX(使用レシピ!L:L,MATCH(テンプレート!$C35,使用レシピ!$E:$E,0))&lt;&gt;0,INDEX(使用レシピ!L:L,MATCH(テンプレート!$C35,使用レシピ!$E:$E,0)),""),"")</f>
        <v/>
      </c>
      <c r="L35" t="str">
        <f>IFERROR(IF(INDEX(使用レシピ!M:M,MATCH(テンプレート!$C35,使用レシピ!$E:$E,0))&lt;&gt;0,INDEX(使用レシピ!M:M,MATCH(テンプレート!$C35,使用レシピ!$E:$E,0)),""),"")</f>
        <v/>
      </c>
      <c r="M35" t="str">
        <f>IFERROR(IF(INDEX(使用レシピ!N:N,MATCH(テンプレート!$C35,使用レシピ!$E:$E,0))&lt;&gt;0,INDEX(使用レシピ!N:N,MATCH(テンプレート!$C35,使用レシピ!$E:$E,0)),""),"")</f>
        <v/>
      </c>
      <c r="N35" s="24" t="str">
        <f>IFERROR(IF(INDEX(使用レシピ!O:O,MATCH(テンプレート!$C35,使用レシピ!$E:$E,0))&lt;&gt;0,INDEX(使用レシピ!O:O,MATCH(テンプレート!$C35,使用レシピ!$E:$E,0)),""),"")</f>
        <v/>
      </c>
      <c r="O35" s="42" t="str">
        <f>IFERROR(IF(INDEX(使用レシピ!P:P,MATCH(テンプレート!$C35,使用レシピ!$E:$E,0))&lt;&gt;0,INDEX(使用レシピ!P:P,MATCH(テンプレート!$C35,使用レシピ!$E:$E,0)),""),"")</f>
        <v/>
      </c>
      <c r="P35" s="25" t="str">
        <f t="shared" si="5"/>
        <v/>
      </c>
      <c r="Q35" s="26" t="str">
        <f t="shared" si="6"/>
        <v/>
      </c>
      <c r="R35" s="26" t="str">
        <f t="shared" si="7"/>
        <v/>
      </c>
      <c r="S35" s="26" t="str">
        <f t="shared" si="8"/>
        <v/>
      </c>
      <c r="T35" s="43" t="str">
        <f t="shared" si="8"/>
        <v/>
      </c>
    </row>
    <row r="36" spans="1:20" x14ac:dyDescent="0.4">
      <c r="A36">
        <v>12141</v>
      </c>
      <c r="B36" s="47" t="str" cm="1">
        <f t="array" ref="B36">IFERROR((INDEX($P$4:$T$1000,MATCH(VALUE(LEFT($A36,LEN($A36)-1)),$A$4:$A$1000,0),VALUE(RIGHT($A36,1)))/ INDEX($O$4:$O$1000,MATCH(VALUE(LEFT($A36,LEN($A36)-1)),$A$4:$A$1000))) * INDEX($B$4:$B$1000,MATCH(VALUE(LEFT($A36,LEN($A36)-1)),$A$4:$A$1000)),"")</f>
        <v/>
      </c>
      <c r="C36" s="38" t="str" cm="1">
        <f t="array" ref="C36">IFERROR(IF(INDEX($D$4:$H$1000,MATCH(VALUE(LEFT($A36,LEN($A36)-1)),$A$4:$A$1000,0),VALUE(RIGHT($A36,1)))= 0,"",INDEX($D$4:$H$1000,MATCH(VALUE(LEFT($A36,LEN($A36)-1)),$A$4:$A$1000,0),VALUE(RIGHT($A36,1)))),"")</f>
        <v/>
      </c>
      <c r="D36" s="23" t="str">
        <f>IFERROR(IF(INDEX(使用レシピ!F:F,MATCH(テンプレート!$C36,使用レシピ!$E:$E,0))&lt;&gt;0,INDEX(使用レシピ!F:F,MATCH(テンプレート!$C36,使用レシピ!$E:$E,0)),""),"")</f>
        <v/>
      </c>
      <c r="E36" t="str">
        <f>IFERROR(IF(INDEX(使用レシピ!G:G,MATCH(テンプレート!$C36,使用レシピ!$E:$E,0))&lt;&gt;0,INDEX(使用レシピ!G:G,MATCH(テンプレート!$C36,使用レシピ!$E:$E,0)),""),"")</f>
        <v/>
      </c>
      <c r="F36" t="str">
        <f>IFERROR(IF(INDEX(使用レシピ!H:H,MATCH(テンプレート!$C36,使用レシピ!$E:$E,0))&lt;&gt;0,INDEX(使用レシピ!H:H,MATCH(テンプレート!$C36,使用レシピ!$E:$E,0)),""),"")</f>
        <v/>
      </c>
      <c r="G36" t="str">
        <f>IFERROR(IF(INDEX(使用レシピ!I:I,MATCH(テンプレート!$C36,使用レシピ!$E:$E,0))&lt;&gt;0,INDEX(使用レシピ!I:I,MATCH(テンプレート!$C36,使用レシピ!$E:$E,0)),""),"")</f>
        <v/>
      </c>
      <c r="H36" s="24" t="str">
        <f>IFERROR(IF(INDEX(使用レシピ!J:J,MATCH(テンプレート!$C36,使用レシピ!$E:$E,0))&lt;&gt;0,INDEX(使用レシピ!J:J,MATCH(テンプレート!$C36,使用レシピ!$E:$E,0)),""),"")</f>
        <v/>
      </c>
      <c r="I36" s="36" t="str">
        <f>IFERROR(IF(INDEX(使用レシピ!P:P,MATCH(テンプレート!$C36,使用レシピ!$E:$E,0))&lt;&gt;0,INDEX(使用レシピ!P:P,MATCH(テンプレート!$C36,使用レシピ!$E:$E,0)),""),"")</f>
        <v/>
      </c>
      <c r="J36" t="str">
        <f>IFERROR(IF(INDEX(使用レシピ!K:K,MATCH(テンプレート!$C36,使用レシピ!$E:$E,0))&lt;&gt;0,INDEX(使用レシピ!K:K,MATCH(テンプレート!$C36,使用レシピ!$E:$E,0)),""),"")</f>
        <v/>
      </c>
      <c r="K36" t="str">
        <f>IFERROR(IF(INDEX(使用レシピ!L:L,MATCH(テンプレート!$C36,使用レシピ!$E:$E,0))&lt;&gt;0,INDEX(使用レシピ!L:L,MATCH(テンプレート!$C36,使用レシピ!$E:$E,0)),""),"")</f>
        <v/>
      </c>
      <c r="L36" t="str">
        <f>IFERROR(IF(INDEX(使用レシピ!M:M,MATCH(テンプレート!$C36,使用レシピ!$E:$E,0))&lt;&gt;0,INDEX(使用レシピ!M:M,MATCH(テンプレート!$C36,使用レシピ!$E:$E,0)),""),"")</f>
        <v/>
      </c>
      <c r="M36" t="str">
        <f>IFERROR(IF(INDEX(使用レシピ!N:N,MATCH(テンプレート!$C36,使用レシピ!$E:$E,0))&lt;&gt;0,INDEX(使用レシピ!N:N,MATCH(テンプレート!$C36,使用レシピ!$E:$E,0)),""),"")</f>
        <v/>
      </c>
      <c r="N36" s="24" t="str">
        <f>IFERROR(IF(INDEX(使用レシピ!O:O,MATCH(テンプレート!$C36,使用レシピ!$E:$E,0))&lt;&gt;0,INDEX(使用レシピ!O:O,MATCH(テンプレート!$C36,使用レシピ!$E:$E,0)),""),"")</f>
        <v/>
      </c>
      <c r="O36" s="42" t="str">
        <f>IFERROR(IF(INDEX(使用レシピ!P:P,MATCH(テンプレート!$C36,使用レシピ!$E:$E,0))&lt;&gt;0,INDEX(使用レシピ!P:P,MATCH(テンプレート!$C36,使用レシピ!$E:$E,0)),""),"")</f>
        <v/>
      </c>
      <c r="P36" s="25" t="str">
        <f t="shared" si="5"/>
        <v/>
      </c>
      <c r="Q36" s="26" t="str">
        <f t="shared" si="6"/>
        <v/>
      </c>
      <c r="R36" s="26" t="str">
        <f t="shared" si="7"/>
        <v/>
      </c>
      <c r="S36" s="26" t="str">
        <f t="shared" si="8"/>
        <v/>
      </c>
      <c r="T36" s="43" t="str">
        <f t="shared" si="8"/>
        <v/>
      </c>
    </row>
    <row r="37" spans="1:20" x14ac:dyDescent="0.4">
      <c r="A37">
        <v>12211</v>
      </c>
      <c r="B37" s="47" t="str" cm="1">
        <f t="array" ref="B37">IFERROR((INDEX($P$4:$T$1000,MATCH(VALUE(LEFT($A37,LEN($A37)-1)),$A$4:$A$1000,0),VALUE(RIGHT($A37,1)))/ INDEX($O$4:$O$1000,MATCH(VALUE(LEFT($A37,LEN($A37)-1)),$A$4:$A$1000))) * INDEX($B$4:$B$1000,MATCH(VALUE(LEFT($A37,LEN($A37)-1)),$A$4:$A$1000)),"")</f>
        <v/>
      </c>
      <c r="C37" s="38" t="str" cm="1">
        <f t="array" ref="C37">IFERROR(IF(INDEX($D$4:$H$1000,MATCH(VALUE(LEFT($A37,LEN($A37)-1)),$A$4:$A$1000,0),VALUE(RIGHT($A37,1)))= 0,"",INDEX($D$4:$H$1000,MATCH(VALUE(LEFT($A37,LEN($A37)-1)),$A$4:$A$1000,0),VALUE(RIGHT($A37,1)))),"")</f>
        <v/>
      </c>
      <c r="D37" s="23" t="str">
        <f>IFERROR(IF(INDEX(使用レシピ!F:F,MATCH(テンプレート!$C37,使用レシピ!$E:$E,0))&lt;&gt;0,INDEX(使用レシピ!F:F,MATCH(テンプレート!$C37,使用レシピ!$E:$E,0)),""),"")</f>
        <v/>
      </c>
      <c r="E37" t="str">
        <f>IFERROR(IF(INDEX(使用レシピ!G:G,MATCH(テンプレート!$C37,使用レシピ!$E:$E,0))&lt;&gt;0,INDEX(使用レシピ!G:G,MATCH(テンプレート!$C37,使用レシピ!$E:$E,0)),""),"")</f>
        <v/>
      </c>
      <c r="F37" t="str">
        <f>IFERROR(IF(INDEX(使用レシピ!H:H,MATCH(テンプレート!$C37,使用レシピ!$E:$E,0))&lt;&gt;0,INDEX(使用レシピ!H:H,MATCH(テンプレート!$C37,使用レシピ!$E:$E,0)),""),"")</f>
        <v/>
      </c>
      <c r="G37" t="str">
        <f>IFERROR(IF(INDEX(使用レシピ!I:I,MATCH(テンプレート!$C37,使用レシピ!$E:$E,0))&lt;&gt;0,INDEX(使用レシピ!I:I,MATCH(テンプレート!$C37,使用レシピ!$E:$E,0)),""),"")</f>
        <v/>
      </c>
      <c r="H37" s="24" t="str">
        <f>IFERROR(IF(INDEX(使用レシピ!J:J,MATCH(テンプレート!$C37,使用レシピ!$E:$E,0))&lt;&gt;0,INDEX(使用レシピ!J:J,MATCH(テンプレート!$C37,使用レシピ!$E:$E,0)),""),"")</f>
        <v/>
      </c>
      <c r="I37" s="36" t="str">
        <f>IFERROR(IF(INDEX(使用レシピ!P:P,MATCH(テンプレート!$C37,使用レシピ!$E:$E,0))&lt;&gt;0,INDEX(使用レシピ!P:P,MATCH(テンプレート!$C37,使用レシピ!$E:$E,0)),""),"")</f>
        <v/>
      </c>
      <c r="J37" t="str">
        <f>IFERROR(IF(INDEX(使用レシピ!K:K,MATCH(テンプレート!$C37,使用レシピ!$E:$E,0))&lt;&gt;0,INDEX(使用レシピ!K:K,MATCH(テンプレート!$C37,使用レシピ!$E:$E,0)),""),"")</f>
        <v/>
      </c>
      <c r="K37" t="str">
        <f>IFERROR(IF(INDEX(使用レシピ!L:L,MATCH(テンプレート!$C37,使用レシピ!$E:$E,0))&lt;&gt;0,INDEX(使用レシピ!L:L,MATCH(テンプレート!$C37,使用レシピ!$E:$E,0)),""),"")</f>
        <v/>
      </c>
      <c r="L37" t="str">
        <f>IFERROR(IF(INDEX(使用レシピ!M:M,MATCH(テンプレート!$C37,使用レシピ!$E:$E,0))&lt;&gt;0,INDEX(使用レシピ!M:M,MATCH(テンプレート!$C37,使用レシピ!$E:$E,0)),""),"")</f>
        <v/>
      </c>
      <c r="M37" t="str">
        <f>IFERROR(IF(INDEX(使用レシピ!N:N,MATCH(テンプレート!$C37,使用レシピ!$E:$E,0))&lt;&gt;0,INDEX(使用レシピ!N:N,MATCH(テンプレート!$C37,使用レシピ!$E:$E,0)),""),"")</f>
        <v/>
      </c>
      <c r="N37" s="24" t="str">
        <f>IFERROR(IF(INDEX(使用レシピ!O:O,MATCH(テンプレート!$C37,使用レシピ!$E:$E,0))&lt;&gt;0,INDEX(使用レシピ!O:O,MATCH(テンプレート!$C37,使用レシピ!$E:$E,0)),""),"")</f>
        <v/>
      </c>
      <c r="O37" s="42" t="str">
        <f>IFERROR(IF(INDEX(使用レシピ!P:P,MATCH(テンプレート!$C37,使用レシピ!$E:$E,0))&lt;&gt;0,INDEX(使用レシピ!P:P,MATCH(テンプレート!$C37,使用レシピ!$E:$E,0)),""),"")</f>
        <v/>
      </c>
      <c r="P37" s="25" t="str">
        <f t="shared" si="5"/>
        <v/>
      </c>
      <c r="Q37" s="26" t="str">
        <f t="shared" si="6"/>
        <v/>
      </c>
      <c r="R37" s="26" t="str">
        <f t="shared" si="7"/>
        <v/>
      </c>
      <c r="S37" s="26" t="str">
        <f t="shared" si="8"/>
        <v/>
      </c>
      <c r="T37" s="43" t="str">
        <f t="shared" si="8"/>
        <v/>
      </c>
    </row>
    <row r="38" spans="1:20" x14ac:dyDescent="0.4">
      <c r="A38">
        <v>12212</v>
      </c>
      <c r="B38" s="47" t="str" cm="1">
        <f t="array" ref="B38">IFERROR((INDEX($P$4:$T$1000,MATCH(VALUE(LEFT($A38,LEN($A38)-1)),$A$4:$A$1000,0),VALUE(RIGHT($A38,1)))/ INDEX($O$4:$O$1000,MATCH(VALUE(LEFT($A38,LEN($A38)-1)),$A$4:$A$1000))) * INDEX($B$4:$B$1000,MATCH(VALUE(LEFT($A38,LEN($A38)-1)),$A$4:$A$1000)),"")</f>
        <v/>
      </c>
      <c r="C38" s="38" t="str" cm="1">
        <f t="array" ref="C38">IFERROR(IF(INDEX($D$4:$H$1000,MATCH(VALUE(LEFT($A38,LEN($A38)-1)),$A$4:$A$1000,0),VALUE(RIGHT($A38,1)))= 0,"",INDEX($D$4:$H$1000,MATCH(VALUE(LEFT($A38,LEN($A38)-1)),$A$4:$A$1000,0),VALUE(RIGHT($A38,1)))),"")</f>
        <v/>
      </c>
      <c r="D38" s="23" t="str">
        <f>IFERROR(IF(INDEX(使用レシピ!F:F,MATCH(テンプレート!$C38,使用レシピ!$E:$E,0))&lt;&gt;0,INDEX(使用レシピ!F:F,MATCH(テンプレート!$C38,使用レシピ!$E:$E,0)),""),"")</f>
        <v/>
      </c>
      <c r="E38" t="str">
        <f>IFERROR(IF(INDEX(使用レシピ!G:G,MATCH(テンプレート!$C38,使用レシピ!$E:$E,0))&lt;&gt;0,INDEX(使用レシピ!G:G,MATCH(テンプレート!$C38,使用レシピ!$E:$E,0)),""),"")</f>
        <v/>
      </c>
      <c r="F38" t="str">
        <f>IFERROR(IF(INDEX(使用レシピ!H:H,MATCH(テンプレート!$C38,使用レシピ!$E:$E,0))&lt;&gt;0,INDEX(使用レシピ!H:H,MATCH(テンプレート!$C38,使用レシピ!$E:$E,0)),""),"")</f>
        <v/>
      </c>
      <c r="G38" t="str">
        <f>IFERROR(IF(INDEX(使用レシピ!I:I,MATCH(テンプレート!$C38,使用レシピ!$E:$E,0))&lt;&gt;0,INDEX(使用レシピ!I:I,MATCH(テンプレート!$C38,使用レシピ!$E:$E,0)),""),"")</f>
        <v/>
      </c>
      <c r="H38" s="24" t="str">
        <f>IFERROR(IF(INDEX(使用レシピ!J:J,MATCH(テンプレート!$C38,使用レシピ!$E:$E,0))&lt;&gt;0,INDEX(使用レシピ!J:J,MATCH(テンプレート!$C38,使用レシピ!$E:$E,0)),""),"")</f>
        <v/>
      </c>
      <c r="I38" s="36" t="str">
        <f>IFERROR(IF(INDEX(使用レシピ!P:P,MATCH(テンプレート!$C38,使用レシピ!$E:$E,0))&lt;&gt;0,INDEX(使用レシピ!P:P,MATCH(テンプレート!$C38,使用レシピ!$E:$E,0)),""),"")</f>
        <v/>
      </c>
      <c r="J38" t="str">
        <f>IFERROR(IF(INDEX(使用レシピ!K:K,MATCH(テンプレート!$C38,使用レシピ!$E:$E,0))&lt;&gt;0,INDEX(使用レシピ!K:K,MATCH(テンプレート!$C38,使用レシピ!$E:$E,0)),""),"")</f>
        <v/>
      </c>
      <c r="K38" t="str">
        <f>IFERROR(IF(INDEX(使用レシピ!L:L,MATCH(テンプレート!$C38,使用レシピ!$E:$E,0))&lt;&gt;0,INDEX(使用レシピ!L:L,MATCH(テンプレート!$C38,使用レシピ!$E:$E,0)),""),"")</f>
        <v/>
      </c>
      <c r="L38" t="str">
        <f>IFERROR(IF(INDEX(使用レシピ!M:M,MATCH(テンプレート!$C38,使用レシピ!$E:$E,0))&lt;&gt;0,INDEX(使用レシピ!M:M,MATCH(テンプレート!$C38,使用レシピ!$E:$E,0)),""),"")</f>
        <v/>
      </c>
      <c r="M38" t="str">
        <f>IFERROR(IF(INDEX(使用レシピ!N:N,MATCH(テンプレート!$C38,使用レシピ!$E:$E,0))&lt;&gt;0,INDEX(使用レシピ!N:N,MATCH(テンプレート!$C38,使用レシピ!$E:$E,0)),""),"")</f>
        <v/>
      </c>
      <c r="N38" s="24" t="str">
        <f>IFERROR(IF(INDEX(使用レシピ!O:O,MATCH(テンプレート!$C38,使用レシピ!$E:$E,0))&lt;&gt;0,INDEX(使用レシピ!O:O,MATCH(テンプレート!$C38,使用レシピ!$E:$E,0)),""),"")</f>
        <v/>
      </c>
      <c r="O38" s="42" t="str">
        <f>IFERROR(IF(INDEX(使用レシピ!P:P,MATCH(テンプレート!$C38,使用レシピ!$E:$E,0))&lt;&gt;0,INDEX(使用レシピ!P:P,MATCH(テンプレート!$C38,使用レシピ!$E:$E,0)),""),"")</f>
        <v/>
      </c>
      <c r="P38" s="25" t="str">
        <f t="shared" si="5"/>
        <v/>
      </c>
      <c r="Q38" s="26" t="str">
        <f t="shared" si="6"/>
        <v/>
      </c>
      <c r="R38" s="26" t="str">
        <f t="shared" si="7"/>
        <v/>
      </c>
      <c r="S38" s="26" t="str">
        <f t="shared" si="8"/>
        <v/>
      </c>
      <c r="T38" s="43" t="str">
        <f t="shared" si="8"/>
        <v/>
      </c>
    </row>
    <row r="39" spans="1:20" x14ac:dyDescent="0.4">
      <c r="A39">
        <v>12221</v>
      </c>
      <c r="B39" s="47" t="str" cm="1">
        <f t="array" ref="B39">IFERROR((INDEX($P$4:$T$1000,MATCH(VALUE(LEFT($A39,LEN($A39)-1)),$A$4:$A$1000,0),VALUE(RIGHT($A39,1)))/ INDEX($O$4:$O$1000,MATCH(VALUE(LEFT($A39,LEN($A39)-1)),$A$4:$A$1000))) * INDEX($B$4:$B$1000,MATCH(VALUE(LEFT($A39,LEN($A39)-1)),$A$4:$A$1000)),"")</f>
        <v/>
      </c>
      <c r="C39" s="38" t="str" cm="1">
        <f t="array" ref="C39">IFERROR(IF(INDEX($D$4:$H$1000,MATCH(VALUE(LEFT($A39,LEN($A39)-1)),$A$4:$A$1000,0),VALUE(RIGHT($A39,1)))= 0,"",INDEX($D$4:$H$1000,MATCH(VALUE(LEFT($A39,LEN($A39)-1)),$A$4:$A$1000,0),VALUE(RIGHT($A39,1)))),"")</f>
        <v/>
      </c>
      <c r="D39" s="23" t="str">
        <f>IFERROR(IF(INDEX(使用レシピ!F:F,MATCH(テンプレート!$C39,使用レシピ!$E:$E,0))&lt;&gt;0,INDEX(使用レシピ!F:F,MATCH(テンプレート!$C39,使用レシピ!$E:$E,0)),""),"")</f>
        <v/>
      </c>
      <c r="E39" t="str">
        <f>IFERROR(IF(INDEX(使用レシピ!G:G,MATCH(テンプレート!$C39,使用レシピ!$E:$E,0))&lt;&gt;0,INDEX(使用レシピ!G:G,MATCH(テンプレート!$C39,使用レシピ!$E:$E,0)),""),"")</f>
        <v/>
      </c>
      <c r="F39" t="str">
        <f>IFERROR(IF(INDEX(使用レシピ!H:H,MATCH(テンプレート!$C39,使用レシピ!$E:$E,0))&lt;&gt;0,INDEX(使用レシピ!H:H,MATCH(テンプレート!$C39,使用レシピ!$E:$E,0)),""),"")</f>
        <v/>
      </c>
      <c r="G39" t="str">
        <f>IFERROR(IF(INDEX(使用レシピ!I:I,MATCH(テンプレート!$C39,使用レシピ!$E:$E,0))&lt;&gt;0,INDEX(使用レシピ!I:I,MATCH(テンプレート!$C39,使用レシピ!$E:$E,0)),""),"")</f>
        <v/>
      </c>
      <c r="H39" s="24" t="str">
        <f>IFERROR(IF(INDEX(使用レシピ!J:J,MATCH(テンプレート!$C39,使用レシピ!$E:$E,0))&lt;&gt;0,INDEX(使用レシピ!J:J,MATCH(テンプレート!$C39,使用レシピ!$E:$E,0)),""),"")</f>
        <v/>
      </c>
      <c r="I39" s="36" t="str">
        <f>IFERROR(IF(INDEX(使用レシピ!P:P,MATCH(テンプレート!$C39,使用レシピ!$E:$E,0))&lt;&gt;0,INDEX(使用レシピ!P:P,MATCH(テンプレート!$C39,使用レシピ!$E:$E,0)),""),"")</f>
        <v/>
      </c>
      <c r="J39" t="str">
        <f>IFERROR(IF(INDEX(使用レシピ!K:K,MATCH(テンプレート!$C39,使用レシピ!$E:$E,0))&lt;&gt;0,INDEX(使用レシピ!K:K,MATCH(テンプレート!$C39,使用レシピ!$E:$E,0)),""),"")</f>
        <v/>
      </c>
      <c r="K39" t="str">
        <f>IFERROR(IF(INDEX(使用レシピ!L:L,MATCH(テンプレート!$C39,使用レシピ!$E:$E,0))&lt;&gt;0,INDEX(使用レシピ!L:L,MATCH(テンプレート!$C39,使用レシピ!$E:$E,0)),""),"")</f>
        <v/>
      </c>
      <c r="L39" t="str">
        <f>IFERROR(IF(INDEX(使用レシピ!M:M,MATCH(テンプレート!$C39,使用レシピ!$E:$E,0))&lt;&gt;0,INDEX(使用レシピ!M:M,MATCH(テンプレート!$C39,使用レシピ!$E:$E,0)),""),"")</f>
        <v/>
      </c>
      <c r="M39" t="str">
        <f>IFERROR(IF(INDEX(使用レシピ!N:N,MATCH(テンプレート!$C39,使用レシピ!$E:$E,0))&lt;&gt;0,INDEX(使用レシピ!N:N,MATCH(テンプレート!$C39,使用レシピ!$E:$E,0)),""),"")</f>
        <v/>
      </c>
      <c r="N39" s="24" t="str">
        <f>IFERROR(IF(INDEX(使用レシピ!O:O,MATCH(テンプレート!$C39,使用レシピ!$E:$E,0))&lt;&gt;0,INDEX(使用レシピ!O:O,MATCH(テンプレート!$C39,使用レシピ!$E:$E,0)),""),"")</f>
        <v/>
      </c>
      <c r="O39" s="42" t="str">
        <f>IFERROR(IF(INDEX(使用レシピ!P:P,MATCH(テンプレート!$C39,使用レシピ!$E:$E,0))&lt;&gt;0,INDEX(使用レシピ!P:P,MATCH(テンプレート!$C39,使用レシピ!$E:$E,0)),""),"")</f>
        <v/>
      </c>
      <c r="P39" s="25" t="str">
        <f t="shared" si="5"/>
        <v/>
      </c>
      <c r="Q39" s="26" t="str">
        <f t="shared" si="6"/>
        <v/>
      </c>
      <c r="R39" s="26" t="str">
        <f t="shared" si="7"/>
        <v/>
      </c>
      <c r="S39" s="26" t="str">
        <f t="shared" si="8"/>
        <v/>
      </c>
      <c r="T39" s="43" t="str">
        <f t="shared" si="8"/>
        <v/>
      </c>
    </row>
    <row r="40" spans="1:20" x14ac:dyDescent="0.4">
      <c r="A40">
        <v>12222</v>
      </c>
      <c r="B40" s="47" t="str" cm="1">
        <f t="array" ref="B40">IFERROR((INDEX($P$4:$T$1000,MATCH(VALUE(LEFT($A40,LEN($A40)-1)),$A$4:$A$1000,0),VALUE(RIGHT($A40,1)))/ INDEX($O$4:$O$1000,MATCH(VALUE(LEFT($A40,LEN($A40)-1)),$A$4:$A$1000))) * INDEX($B$4:$B$1000,MATCH(VALUE(LEFT($A40,LEN($A40)-1)),$A$4:$A$1000)),"")</f>
        <v/>
      </c>
      <c r="C40" s="38" t="str" cm="1">
        <f t="array" ref="C40">IFERROR(IF(INDEX($D$4:$H$1000,MATCH(VALUE(LEFT($A40,LEN($A40)-1)),$A$4:$A$1000,0),VALUE(RIGHT($A40,1)))= 0,"",INDEX($D$4:$H$1000,MATCH(VALUE(LEFT($A40,LEN($A40)-1)),$A$4:$A$1000,0),VALUE(RIGHT($A40,1)))),"")</f>
        <v/>
      </c>
      <c r="D40" s="32" t="str">
        <f>IFERROR(IF(INDEX(使用レシピ!F:F,MATCH(テンプレート!$C40,使用レシピ!$E:$E,0))&lt;&gt;0,INDEX(使用レシピ!F:F,MATCH(テンプレート!$C40,使用レシピ!$E:$E,0)),""),"")</f>
        <v/>
      </c>
      <c r="E40" t="str">
        <f>IFERROR(IF(INDEX(使用レシピ!G:G,MATCH(テンプレート!$C40,使用レシピ!$E:$E,0))&lt;&gt;0,INDEX(使用レシピ!G:G,MATCH(テンプレート!$C40,使用レシピ!$E:$E,0)),""),"")</f>
        <v/>
      </c>
      <c r="F40" t="str">
        <f>IFERROR(IF(INDEX(使用レシピ!H:H,MATCH(テンプレート!$C40,使用レシピ!$E:$E,0))&lt;&gt;0,INDEX(使用レシピ!H:H,MATCH(テンプレート!$C40,使用レシピ!$E:$E,0)),""),"")</f>
        <v/>
      </c>
      <c r="G40" t="str">
        <f>IFERROR(IF(INDEX(使用レシピ!I:I,MATCH(テンプレート!$C40,使用レシピ!$E:$E,0))&lt;&gt;0,INDEX(使用レシピ!I:I,MATCH(テンプレート!$C40,使用レシピ!$E:$E,0)),""),"")</f>
        <v/>
      </c>
      <c r="H40" s="24" t="str">
        <f>IFERROR(IF(INDEX(使用レシピ!J:J,MATCH(テンプレート!$C40,使用レシピ!$E:$E,0))&lt;&gt;0,INDEX(使用レシピ!J:J,MATCH(テンプレート!$C40,使用レシピ!$E:$E,0)),""),"")</f>
        <v/>
      </c>
      <c r="I40" s="36" t="str">
        <f>IFERROR(IF(INDEX(使用レシピ!P:P,MATCH(テンプレート!$C40,使用レシピ!$E:$E,0))&lt;&gt;0,INDEX(使用レシピ!P:P,MATCH(テンプレート!$C40,使用レシピ!$E:$E,0)),""),"")</f>
        <v/>
      </c>
      <c r="J40" t="str">
        <f>IFERROR(IF(INDEX(使用レシピ!K:K,MATCH(テンプレート!$C40,使用レシピ!$E:$E,0))&lt;&gt;0,INDEX(使用レシピ!K:K,MATCH(テンプレート!$C40,使用レシピ!$E:$E,0)),""),"")</f>
        <v/>
      </c>
      <c r="K40" t="str">
        <f>IFERROR(IF(INDEX(使用レシピ!L:L,MATCH(テンプレート!$C40,使用レシピ!$E:$E,0))&lt;&gt;0,INDEX(使用レシピ!L:L,MATCH(テンプレート!$C40,使用レシピ!$E:$E,0)),""),"")</f>
        <v/>
      </c>
      <c r="L40" t="str">
        <f>IFERROR(IF(INDEX(使用レシピ!M:M,MATCH(テンプレート!$C40,使用レシピ!$E:$E,0))&lt;&gt;0,INDEX(使用レシピ!M:M,MATCH(テンプレート!$C40,使用レシピ!$E:$E,0)),""),"")</f>
        <v/>
      </c>
      <c r="M40" t="str">
        <f>IFERROR(IF(INDEX(使用レシピ!N:N,MATCH(テンプレート!$C40,使用レシピ!$E:$E,0))&lt;&gt;0,INDEX(使用レシピ!N:N,MATCH(テンプレート!$C40,使用レシピ!$E:$E,0)),""),"")</f>
        <v/>
      </c>
      <c r="N40" s="24" t="str">
        <f>IFERROR(IF(INDEX(使用レシピ!O:O,MATCH(テンプレート!$C40,使用レシピ!$E:$E,0))&lt;&gt;0,INDEX(使用レシピ!O:O,MATCH(テンプレート!$C40,使用レシピ!$E:$E,0)),""),"")</f>
        <v/>
      </c>
      <c r="O40" s="42" t="str">
        <f>IFERROR(IF(INDEX(使用レシピ!P:P,MATCH(テンプレート!$C40,使用レシピ!$E:$E,0))&lt;&gt;0,INDEX(使用レシピ!P:P,MATCH(テンプレート!$C40,使用レシピ!$E:$E,0)),""),"")</f>
        <v/>
      </c>
      <c r="P40" s="25" t="str">
        <f t="shared" si="5"/>
        <v/>
      </c>
      <c r="Q40" s="26" t="str">
        <f t="shared" si="6"/>
        <v/>
      </c>
      <c r="R40" s="26" t="str">
        <f t="shared" si="7"/>
        <v/>
      </c>
      <c r="S40" s="26" t="str">
        <f t="shared" si="8"/>
        <v/>
      </c>
      <c r="T40" s="43" t="str">
        <f t="shared" si="8"/>
        <v/>
      </c>
    </row>
    <row r="41" spans="1:20" x14ac:dyDescent="0.4">
      <c r="A41">
        <v>12223</v>
      </c>
      <c r="B41" s="47" t="str" cm="1">
        <f t="array" ref="B41">IFERROR((INDEX($P$4:$T$1000,MATCH(VALUE(LEFT($A41,LEN($A41)-1)),$A$4:$A$1000,0),VALUE(RIGHT($A41,1)))/ INDEX($O$4:$O$1000,MATCH(VALUE(LEFT($A41,LEN($A41)-1)),$A$4:$A$1000))) * INDEX($B$4:$B$1000,MATCH(VALUE(LEFT($A41,LEN($A41)-1)),$A$4:$A$1000)),"")</f>
        <v/>
      </c>
      <c r="C41" s="38" t="str" cm="1">
        <f t="array" ref="C41">IFERROR(IF(INDEX($D$4:$H$1000,MATCH(VALUE(LEFT($A41,LEN($A41)-1)),$A$4:$A$1000,0),VALUE(RIGHT($A41,1)))= 0,"",INDEX($D$4:$H$1000,MATCH(VALUE(LEFT($A41,LEN($A41)-1)),$A$4:$A$1000,0),VALUE(RIGHT($A41,1)))),"")</f>
        <v/>
      </c>
      <c r="D41" s="23" t="str">
        <f>IFERROR(IF(INDEX(使用レシピ!F:F,MATCH(テンプレート!$C41,使用レシピ!$E:$E,0))&lt;&gt;0,INDEX(使用レシピ!F:F,MATCH(テンプレート!$C41,使用レシピ!$E:$E,0)),""),"")</f>
        <v/>
      </c>
      <c r="E41" t="str">
        <f>IFERROR(IF(INDEX(使用レシピ!G:G,MATCH(テンプレート!$C41,使用レシピ!$E:$E,0))&lt;&gt;0,INDEX(使用レシピ!G:G,MATCH(テンプレート!$C41,使用レシピ!$E:$E,0)),""),"")</f>
        <v/>
      </c>
      <c r="F41" t="str">
        <f>IFERROR(IF(INDEX(使用レシピ!H:H,MATCH(テンプレート!$C41,使用レシピ!$E:$E,0))&lt;&gt;0,INDEX(使用レシピ!H:H,MATCH(テンプレート!$C41,使用レシピ!$E:$E,0)),""),"")</f>
        <v/>
      </c>
      <c r="G41" t="str">
        <f>IFERROR(IF(INDEX(使用レシピ!I:I,MATCH(テンプレート!$C41,使用レシピ!$E:$E,0))&lt;&gt;0,INDEX(使用レシピ!I:I,MATCH(テンプレート!$C41,使用レシピ!$E:$E,0)),""),"")</f>
        <v/>
      </c>
      <c r="H41" s="24" t="str">
        <f>IFERROR(IF(INDEX(使用レシピ!J:J,MATCH(テンプレート!$C41,使用レシピ!$E:$E,0))&lt;&gt;0,INDEX(使用レシピ!J:J,MATCH(テンプレート!$C41,使用レシピ!$E:$E,0)),""),"")</f>
        <v/>
      </c>
      <c r="I41" s="36" t="str">
        <f>IFERROR(IF(INDEX(使用レシピ!P:P,MATCH(テンプレート!$C41,使用レシピ!$E:$E,0))&lt;&gt;0,INDEX(使用レシピ!P:P,MATCH(テンプレート!$C41,使用レシピ!$E:$E,0)),""),"")</f>
        <v/>
      </c>
      <c r="J41" t="str">
        <f>IFERROR(IF(INDEX(使用レシピ!K:K,MATCH(テンプレート!$C41,使用レシピ!$E:$E,0))&lt;&gt;0,INDEX(使用レシピ!K:K,MATCH(テンプレート!$C41,使用レシピ!$E:$E,0)),""),"")</f>
        <v/>
      </c>
      <c r="K41" t="str">
        <f>IFERROR(IF(INDEX(使用レシピ!L:L,MATCH(テンプレート!$C41,使用レシピ!$E:$E,0))&lt;&gt;0,INDEX(使用レシピ!L:L,MATCH(テンプレート!$C41,使用レシピ!$E:$E,0)),""),"")</f>
        <v/>
      </c>
      <c r="L41" t="str">
        <f>IFERROR(IF(INDEX(使用レシピ!M:M,MATCH(テンプレート!$C41,使用レシピ!$E:$E,0))&lt;&gt;0,INDEX(使用レシピ!M:M,MATCH(テンプレート!$C41,使用レシピ!$E:$E,0)),""),"")</f>
        <v/>
      </c>
      <c r="M41" t="str">
        <f>IFERROR(IF(INDEX(使用レシピ!N:N,MATCH(テンプレート!$C41,使用レシピ!$E:$E,0))&lt;&gt;0,INDEX(使用レシピ!N:N,MATCH(テンプレート!$C41,使用レシピ!$E:$E,0)),""),"")</f>
        <v/>
      </c>
      <c r="N41" s="24" t="str">
        <f>IFERROR(IF(INDEX(使用レシピ!O:O,MATCH(テンプレート!$C41,使用レシピ!$E:$E,0))&lt;&gt;0,INDEX(使用レシピ!O:O,MATCH(テンプレート!$C41,使用レシピ!$E:$E,0)),""),"")</f>
        <v/>
      </c>
      <c r="O41" s="42" t="str">
        <f>IFERROR(IF(INDEX(使用レシピ!P:P,MATCH(テンプレート!$C41,使用レシピ!$E:$E,0))&lt;&gt;0,INDEX(使用レシピ!P:P,MATCH(テンプレート!$C41,使用レシピ!$E:$E,0)),""),"")</f>
        <v/>
      </c>
      <c r="P41" s="25" t="str">
        <f t="shared" si="5"/>
        <v/>
      </c>
      <c r="Q41" s="26" t="str">
        <f t="shared" si="6"/>
        <v/>
      </c>
      <c r="R41" s="26" t="str">
        <f t="shared" si="7"/>
        <v/>
      </c>
      <c r="S41" s="26" t="str">
        <f t="shared" si="8"/>
        <v/>
      </c>
      <c r="T41" s="43" t="str">
        <f t="shared" si="8"/>
        <v/>
      </c>
    </row>
    <row r="42" spans="1:20" x14ac:dyDescent="0.4">
      <c r="A42">
        <v>12231</v>
      </c>
      <c r="B42" s="47" t="str" cm="1">
        <f t="array" ref="B42">IFERROR((INDEX($P$4:$T$1000,MATCH(VALUE(LEFT($A42,LEN($A42)-1)),$A$4:$A$1000,0),VALUE(RIGHT($A42,1)))/ INDEX($O$4:$O$1000,MATCH(VALUE(LEFT($A42,LEN($A42)-1)),$A$4:$A$1000))) * INDEX($B$4:$B$1000,MATCH(VALUE(LEFT($A42,LEN($A42)-1)),$A$4:$A$1000)),"")</f>
        <v/>
      </c>
      <c r="C42" s="38" t="str" cm="1">
        <f t="array" ref="C42">IFERROR(IF(INDEX($D$4:$H$1000,MATCH(VALUE(LEFT($A42,LEN($A42)-1)),$A$4:$A$1000,0),VALUE(RIGHT($A42,1)))= 0,"",INDEX($D$4:$H$1000,MATCH(VALUE(LEFT($A42,LEN($A42)-1)),$A$4:$A$1000,0),VALUE(RIGHT($A42,1)))),"")</f>
        <v/>
      </c>
      <c r="D42" s="23" t="str">
        <f>IFERROR(IF(INDEX(使用レシピ!F:F,MATCH(テンプレート!$C42,使用レシピ!$E:$E,0))&lt;&gt;0,INDEX(使用レシピ!F:F,MATCH(テンプレート!$C42,使用レシピ!$E:$E,0)),""),"")</f>
        <v/>
      </c>
      <c r="E42" t="str">
        <f>IFERROR(IF(INDEX(使用レシピ!G:G,MATCH(テンプレート!$C42,使用レシピ!$E:$E,0))&lt;&gt;0,INDEX(使用レシピ!G:G,MATCH(テンプレート!$C42,使用レシピ!$E:$E,0)),""),"")</f>
        <v/>
      </c>
      <c r="F42" t="str">
        <f>IFERROR(IF(INDEX(使用レシピ!H:H,MATCH(テンプレート!$C42,使用レシピ!$E:$E,0))&lt;&gt;0,INDEX(使用レシピ!H:H,MATCH(テンプレート!$C42,使用レシピ!$E:$E,0)),""),"")</f>
        <v/>
      </c>
      <c r="G42" t="str">
        <f>IFERROR(IF(INDEX(使用レシピ!I:I,MATCH(テンプレート!$C42,使用レシピ!$E:$E,0))&lt;&gt;0,INDEX(使用レシピ!I:I,MATCH(テンプレート!$C42,使用レシピ!$E:$E,0)),""),"")</f>
        <v/>
      </c>
      <c r="H42" s="24" t="str">
        <f>IFERROR(IF(INDEX(使用レシピ!J:J,MATCH(テンプレート!$C42,使用レシピ!$E:$E,0))&lt;&gt;0,INDEX(使用レシピ!J:J,MATCH(テンプレート!$C42,使用レシピ!$E:$E,0)),""),"")</f>
        <v/>
      </c>
      <c r="I42" s="36" t="str">
        <f>IFERROR(IF(INDEX(使用レシピ!P:P,MATCH(テンプレート!$C42,使用レシピ!$E:$E,0))&lt;&gt;0,INDEX(使用レシピ!P:P,MATCH(テンプレート!$C42,使用レシピ!$E:$E,0)),""),"")</f>
        <v/>
      </c>
      <c r="J42" t="str">
        <f>IFERROR(IF(INDEX(使用レシピ!K:K,MATCH(テンプレート!$C42,使用レシピ!$E:$E,0))&lt;&gt;0,INDEX(使用レシピ!K:K,MATCH(テンプレート!$C42,使用レシピ!$E:$E,0)),""),"")</f>
        <v/>
      </c>
      <c r="K42" t="str">
        <f>IFERROR(IF(INDEX(使用レシピ!L:L,MATCH(テンプレート!$C42,使用レシピ!$E:$E,0))&lt;&gt;0,INDEX(使用レシピ!L:L,MATCH(テンプレート!$C42,使用レシピ!$E:$E,0)),""),"")</f>
        <v/>
      </c>
      <c r="L42" t="str">
        <f>IFERROR(IF(INDEX(使用レシピ!M:M,MATCH(テンプレート!$C42,使用レシピ!$E:$E,0))&lt;&gt;0,INDEX(使用レシピ!M:M,MATCH(テンプレート!$C42,使用レシピ!$E:$E,0)),""),"")</f>
        <v/>
      </c>
      <c r="M42" t="str">
        <f>IFERROR(IF(INDEX(使用レシピ!N:N,MATCH(テンプレート!$C42,使用レシピ!$E:$E,0))&lt;&gt;0,INDEX(使用レシピ!N:N,MATCH(テンプレート!$C42,使用レシピ!$E:$E,0)),""),"")</f>
        <v/>
      </c>
      <c r="N42" s="24" t="str">
        <f>IFERROR(IF(INDEX(使用レシピ!O:O,MATCH(テンプレート!$C42,使用レシピ!$E:$E,0))&lt;&gt;0,INDEX(使用レシピ!O:O,MATCH(テンプレート!$C42,使用レシピ!$E:$E,0)),""),"")</f>
        <v/>
      </c>
      <c r="O42" s="42" t="str">
        <f>IFERROR(IF(INDEX(使用レシピ!P:P,MATCH(テンプレート!$C42,使用レシピ!$E:$E,0))&lt;&gt;0,INDEX(使用レシピ!P:P,MATCH(テンプレート!$C42,使用レシピ!$E:$E,0)),""),"")</f>
        <v/>
      </c>
      <c r="P42" s="25" t="str">
        <f t="shared" si="5"/>
        <v/>
      </c>
      <c r="Q42" s="26" t="str">
        <f t="shared" si="6"/>
        <v/>
      </c>
      <c r="R42" s="26" t="str">
        <f t="shared" si="7"/>
        <v/>
      </c>
      <c r="S42" s="26" t="str">
        <f t="shared" si="8"/>
        <v/>
      </c>
      <c r="T42" s="43" t="str">
        <f t="shared" si="8"/>
        <v/>
      </c>
    </row>
    <row r="43" spans="1:20" x14ac:dyDescent="0.4">
      <c r="A43">
        <v>12232</v>
      </c>
      <c r="B43" s="47" t="str" cm="1">
        <f t="array" ref="B43">IFERROR((INDEX($P$4:$T$1000,MATCH(VALUE(LEFT($A43,LEN($A43)-1)),$A$4:$A$1000,0),VALUE(RIGHT($A43,1)))/ INDEX($O$4:$O$1000,MATCH(VALUE(LEFT($A43,LEN($A43)-1)),$A$4:$A$1000))) * INDEX($B$4:$B$1000,MATCH(VALUE(LEFT($A43,LEN($A43)-1)),$A$4:$A$1000)),"")</f>
        <v/>
      </c>
      <c r="C43" s="38" t="str" cm="1">
        <f t="array" ref="C43">IFERROR(IF(INDEX($D$4:$H$1000,MATCH(VALUE(LEFT($A43,LEN($A43)-1)),$A$4:$A$1000,0),VALUE(RIGHT($A43,1)))= 0,"",INDEX($D$4:$H$1000,MATCH(VALUE(LEFT($A43,LEN($A43)-1)),$A$4:$A$1000,0),VALUE(RIGHT($A43,1)))),"")</f>
        <v/>
      </c>
      <c r="D43" s="23" t="str">
        <f>IFERROR(IF(INDEX(使用レシピ!F:F,MATCH(テンプレート!$C43,使用レシピ!$E:$E,0))&lt;&gt;0,INDEX(使用レシピ!F:F,MATCH(テンプレート!$C43,使用レシピ!$E:$E,0)),""),"")</f>
        <v/>
      </c>
      <c r="E43" t="str">
        <f>IFERROR(IF(INDEX(使用レシピ!G:G,MATCH(テンプレート!$C43,使用レシピ!$E:$E,0))&lt;&gt;0,INDEX(使用レシピ!G:G,MATCH(テンプレート!$C43,使用レシピ!$E:$E,0)),""),"")</f>
        <v/>
      </c>
      <c r="F43" t="str">
        <f>IFERROR(IF(INDEX(使用レシピ!H:H,MATCH(テンプレート!$C43,使用レシピ!$E:$E,0))&lt;&gt;0,INDEX(使用レシピ!H:H,MATCH(テンプレート!$C43,使用レシピ!$E:$E,0)),""),"")</f>
        <v/>
      </c>
      <c r="G43" t="str">
        <f>IFERROR(IF(INDEX(使用レシピ!I:I,MATCH(テンプレート!$C43,使用レシピ!$E:$E,0))&lt;&gt;0,INDEX(使用レシピ!I:I,MATCH(テンプレート!$C43,使用レシピ!$E:$E,0)),""),"")</f>
        <v/>
      </c>
      <c r="H43" s="24" t="str">
        <f>IFERROR(IF(INDEX(使用レシピ!J:J,MATCH(テンプレート!$C43,使用レシピ!$E:$E,0))&lt;&gt;0,INDEX(使用レシピ!J:J,MATCH(テンプレート!$C43,使用レシピ!$E:$E,0)),""),"")</f>
        <v/>
      </c>
      <c r="I43" s="36" t="str">
        <f>IFERROR(IF(INDEX(使用レシピ!P:P,MATCH(テンプレート!$C43,使用レシピ!$E:$E,0))&lt;&gt;0,INDEX(使用レシピ!P:P,MATCH(テンプレート!$C43,使用レシピ!$E:$E,0)),""),"")</f>
        <v/>
      </c>
      <c r="J43" t="str">
        <f>IFERROR(IF(INDEX(使用レシピ!K:K,MATCH(テンプレート!$C43,使用レシピ!$E:$E,0))&lt;&gt;0,INDEX(使用レシピ!K:K,MATCH(テンプレート!$C43,使用レシピ!$E:$E,0)),""),"")</f>
        <v/>
      </c>
      <c r="K43" t="str">
        <f>IFERROR(IF(INDEX(使用レシピ!L:L,MATCH(テンプレート!$C43,使用レシピ!$E:$E,0))&lt;&gt;0,INDEX(使用レシピ!L:L,MATCH(テンプレート!$C43,使用レシピ!$E:$E,0)),""),"")</f>
        <v/>
      </c>
      <c r="L43" t="str">
        <f>IFERROR(IF(INDEX(使用レシピ!M:M,MATCH(テンプレート!$C43,使用レシピ!$E:$E,0))&lt;&gt;0,INDEX(使用レシピ!M:M,MATCH(テンプレート!$C43,使用レシピ!$E:$E,0)),""),"")</f>
        <v/>
      </c>
      <c r="M43" t="str">
        <f>IFERROR(IF(INDEX(使用レシピ!N:N,MATCH(テンプレート!$C43,使用レシピ!$E:$E,0))&lt;&gt;0,INDEX(使用レシピ!N:N,MATCH(テンプレート!$C43,使用レシピ!$E:$E,0)),""),"")</f>
        <v/>
      </c>
      <c r="N43" s="24" t="str">
        <f>IFERROR(IF(INDEX(使用レシピ!O:O,MATCH(テンプレート!$C43,使用レシピ!$E:$E,0))&lt;&gt;0,INDEX(使用レシピ!O:O,MATCH(テンプレート!$C43,使用レシピ!$E:$E,0)),""),"")</f>
        <v/>
      </c>
      <c r="O43" s="42" t="str">
        <f>IFERROR(IF(INDEX(使用レシピ!P:P,MATCH(テンプレート!$C43,使用レシピ!$E:$E,0))&lt;&gt;0,INDEX(使用レシピ!P:P,MATCH(テンプレート!$C43,使用レシピ!$E:$E,0)),""),"")</f>
        <v/>
      </c>
      <c r="P43" s="25" t="str">
        <f t="shared" si="5"/>
        <v/>
      </c>
      <c r="Q43" s="26" t="str">
        <f t="shared" si="6"/>
        <v/>
      </c>
      <c r="R43" s="26" t="str">
        <f t="shared" si="7"/>
        <v/>
      </c>
      <c r="S43" s="26" t="str">
        <f t="shared" si="8"/>
        <v/>
      </c>
      <c r="T43" s="43" t="str">
        <f t="shared" si="8"/>
        <v/>
      </c>
    </row>
    <row r="44" spans="1:20" x14ac:dyDescent="0.4">
      <c r="A44">
        <v>12233</v>
      </c>
      <c r="B44" s="47" t="str" cm="1">
        <f t="array" ref="B44">IFERROR((INDEX($P$4:$T$1000,MATCH(VALUE(LEFT($A44,LEN($A44)-1)),$A$4:$A$1000,0),VALUE(RIGHT($A44,1)))/ INDEX($O$4:$O$1000,MATCH(VALUE(LEFT($A44,LEN($A44)-1)),$A$4:$A$1000))) * INDEX($B$4:$B$1000,MATCH(VALUE(LEFT($A44,LEN($A44)-1)),$A$4:$A$1000)),"")</f>
        <v/>
      </c>
      <c r="C44" s="38" t="str" cm="1">
        <f t="array" ref="C44">IFERROR(IF(INDEX($D$4:$H$1000,MATCH(VALUE(LEFT($A44,LEN($A44)-1)),$A$4:$A$1000,0),VALUE(RIGHT($A44,1)))= 0,"",INDEX($D$4:$H$1000,MATCH(VALUE(LEFT($A44,LEN($A44)-1)),$A$4:$A$1000,0),VALUE(RIGHT($A44,1)))),"")</f>
        <v/>
      </c>
      <c r="D44" s="23" t="str">
        <f>IFERROR(IF(INDEX(使用レシピ!F:F,MATCH(テンプレート!$C44,使用レシピ!$E:$E,0))&lt;&gt;0,INDEX(使用レシピ!F:F,MATCH(テンプレート!$C44,使用レシピ!$E:$E,0)),""),"")</f>
        <v/>
      </c>
      <c r="E44" t="str">
        <f>IFERROR(IF(INDEX(使用レシピ!G:G,MATCH(テンプレート!$C44,使用レシピ!$E:$E,0))&lt;&gt;0,INDEX(使用レシピ!G:G,MATCH(テンプレート!$C44,使用レシピ!$E:$E,0)),""),"")</f>
        <v/>
      </c>
      <c r="F44" t="str">
        <f>IFERROR(IF(INDEX(使用レシピ!H:H,MATCH(テンプレート!$C44,使用レシピ!$E:$E,0))&lt;&gt;0,INDEX(使用レシピ!H:H,MATCH(テンプレート!$C44,使用レシピ!$E:$E,0)),""),"")</f>
        <v/>
      </c>
      <c r="G44" t="str">
        <f>IFERROR(IF(INDEX(使用レシピ!I:I,MATCH(テンプレート!$C44,使用レシピ!$E:$E,0))&lt;&gt;0,INDEX(使用レシピ!I:I,MATCH(テンプレート!$C44,使用レシピ!$E:$E,0)),""),"")</f>
        <v/>
      </c>
      <c r="H44" s="24" t="str">
        <f>IFERROR(IF(INDEX(使用レシピ!J:J,MATCH(テンプレート!$C44,使用レシピ!$E:$E,0))&lt;&gt;0,INDEX(使用レシピ!J:J,MATCH(テンプレート!$C44,使用レシピ!$E:$E,0)),""),"")</f>
        <v/>
      </c>
      <c r="I44" s="36" t="str">
        <f>IFERROR(IF(INDEX(使用レシピ!P:P,MATCH(テンプレート!$C44,使用レシピ!$E:$E,0))&lt;&gt;0,INDEX(使用レシピ!P:P,MATCH(テンプレート!$C44,使用レシピ!$E:$E,0)),""),"")</f>
        <v/>
      </c>
      <c r="J44" t="str">
        <f>IFERROR(IF(INDEX(使用レシピ!K:K,MATCH(テンプレート!$C44,使用レシピ!$E:$E,0))&lt;&gt;0,INDEX(使用レシピ!K:K,MATCH(テンプレート!$C44,使用レシピ!$E:$E,0)),""),"")</f>
        <v/>
      </c>
      <c r="K44" t="str">
        <f>IFERROR(IF(INDEX(使用レシピ!L:L,MATCH(テンプレート!$C44,使用レシピ!$E:$E,0))&lt;&gt;0,INDEX(使用レシピ!L:L,MATCH(テンプレート!$C44,使用レシピ!$E:$E,0)),""),"")</f>
        <v/>
      </c>
      <c r="L44" t="str">
        <f>IFERROR(IF(INDEX(使用レシピ!M:M,MATCH(テンプレート!$C44,使用レシピ!$E:$E,0))&lt;&gt;0,INDEX(使用レシピ!M:M,MATCH(テンプレート!$C44,使用レシピ!$E:$E,0)),""),"")</f>
        <v/>
      </c>
      <c r="M44" t="str">
        <f>IFERROR(IF(INDEX(使用レシピ!N:N,MATCH(テンプレート!$C44,使用レシピ!$E:$E,0))&lt;&gt;0,INDEX(使用レシピ!N:N,MATCH(テンプレート!$C44,使用レシピ!$E:$E,0)),""),"")</f>
        <v/>
      </c>
      <c r="N44" s="24" t="str">
        <f>IFERROR(IF(INDEX(使用レシピ!O:O,MATCH(テンプレート!$C44,使用レシピ!$E:$E,0))&lt;&gt;0,INDEX(使用レシピ!O:O,MATCH(テンプレート!$C44,使用レシピ!$E:$E,0)),""),"")</f>
        <v/>
      </c>
      <c r="O44" s="42" t="str">
        <f>IFERROR(IF(INDEX(使用レシピ!P:P,MATCH(テンプレート!$C44,使用レシピ!$E:$E,0))&lt;&gt;0,INDEX(使用レシピ!P:P,MATCH(テンプレート!$C44,使用レシピ!$E:$E,0)),""),"")</f>
        <v/>
      </c>
      <c r="P44" s="25" t="str">
        <f t="shared" si="5"/>
        <v/>
      </c>
      <c r="Q44" s="26" t="str">
        <f t="shared" si="6"/>
        <v/>
      </c>
      <c r="R44" s="26" t="str">
        <f t="shared" si="7"/>
        <v/>
      </c>
      <c r="S44" s="26" t="str">
        <f t="shared" si="8"/>
        <v/>
      </c>
      <c r="T44" s="43" t="str">
        <f t="shared" si="8"/>
        <v/>
      </c>
    </row>
    <row r="45" spans="1:20" x14ac:dyDescent="0.4">
      <c r="A45">
        <v>111111</v>
      </c>
      <c r="B45" s="47" cm="1">
        <f t="array" ref="B45">IFERROR((INDEX($P$4:$T$1000,MATCH(VALUE(LEFT($A45,LEN($A45)-1)),$A$4:$A$1000,0),VALUE(RIGHT($A45,1)))/ INDEX($O$4:$O$1000,MATCH(VALUE(LEFT($A45,LEN($A45)-1)),$A$4:$A$1000))) * INDEX($B$4:$B$1000,MATCH(VALUE(LEFT($A45,LEN($A45)-1)),$A$4:$A$1000)),"")</f>
        <v>54</v>
      </c>
      <c r="C45" s="38" t="str" cm="1">
        <f t="array" ref="C45">IFERROR(IF(INDEX($D$4:$H$1000,MATCH(VALUE(LEFT($A45,LEN($A45)-1)),$A$4:$A$1000,0),VALUE(RIGHT($A45,1)))= 0,"",INDEX($D$4:$H$1000,MATCH(VALUE(LEFT($A45,LEN($A45)-1)),$A$4:$A$1000,0),VALUE(RIGHT($A45,1)))),"")</f>
        <v>ウラン燃料棒</v>
      </c>
      <c r="D45" s="23" t="str">
        <f>IFERROR(IF(INDEX(使用レシピ!F:F,MATCH(テンプレート!$C45,使用レシピ!$E:$E,0))&lt;&gt;0,INDEX(使用レシピ!F:F,MATCH(テンプレート!$C45,使用レシピ!$E:$E,0)),""),"")</f>
        <v>被覆型ウラン・セル</v>
      </c>
      <c r="E45" t="str">
        <f>IFERROR(IF(INDEX(使用レシピ!G:G,MATCH(テンプレート!$C45,使用レシピ!$E:$E,0))&lt;&gt;0,INDEX(使用レシピ!G:G,MATCH(テンプレート!$C45,使用レシピ!$E:$E,0)),""),"")</f>
        <v>コンクリート被覆型鋼梁</v>
      </c>
      <c r="F45" t="str">
        <f>IFERROR(IF(INDEX(使用レシピ!H:H,MATCH(テンプレート!$C45,使用レシピ!$E:$E,0))&lt;&gt;0,INDEX(使用レシピ!H:H,MATCH(テンプレート!$C45,使用レシピ!$E:$E,0)),""),"")</f>
        <v>電磁制御棒</v>
      </c>
      <c r="G45" t="str">
        <f>IFERROR(IF(INDEX(使用レシピ!I:I,MATCH(テンプレート!$C45,使用レシピ!$E:$E,0))&lt;&gt;0,INDEX(使用レシピ!I:I,MATCH(テンプレート!$C45,使用レシピ!$E:$E,0)),""),"")</f>
        <v/>
      </c>
      <c r="H45" s="24" t="str">
        <f>IFERROR(IF(INDEX(使用レシピ!J:J,MATCH(テンプレート!$C45,使用レシピ!$E:$E,0))&lt;&gt;0,INDEX(使用レシピ!J:J,MATCH(テンプレート!$C45,使用レシピ!$E:$E,0)),""),"")</f>
        <v/>
      </c>
      <c r="I45" s="36">
        <f>IFERROR(IF(INDEX(使用レシピ!P:P,MATCH(テンプレート!$C45,使用レシピ!$E:$E,0))&lt;&gt;0,INDEX(使用レシピ!P:P,MATCH(テンプレート!$C45,使用レシピ!$E:$E,0)),""),"")</f>
        <v>1</v>
      </c>
      <c r="J45">
        <f>IFERROR(IF(INDEX(使用レシピ!K:K,MATCH(テンプレート!$C45,使用レシピ!$E:$E,0))&lt;&gt;0,INDEX(使用レシピ!K:K,MATCH(テンプレート!$C45,使用レシピ!$E:$E,0)),""),"")</f>
        <v>50</v>
      </c>
      <c r="K45">
        <f>IFERROR(IF(INDEX(使用レシピ!L:L,MATCH(テンプレート!$C45,使用レシピ!$E:$E,0))&lt;&gt;0,INDEX(使用レシピ!L:L,MATCH(テンプレート!$C45,使用レシピ!$E:$E,0)),""),"")</f>
        <v>3</v>
      </c>
      <c r="L45">
        <f>IFERROR(IF(INDEX(使用レシピ!M:M,MATCH(テンプレート!$C45,使用レシピ!$E:$E,0))&lt;&gt;0,INDEX(使用レシピ!M:M,MATCH(テンプレート!$C45,使用レシピ!$E:$E,0)),""),"")</f>
        <v>5</v>
      </c>
      <c r="M45" t="str">
        <f>IFERROR(IF(INDEX(使用レシピ!N:N,MATCH(テンプレート!$C45,使用レシピ!$E:$E,0))&lt;&gt;0,INDEX(使用レシピ!N:N,MATCH(テンプレート!$C45,使用レシピ!$E:$E,0)),""),"")</f>
        <v/>
      </c>
      <c r="N45" s="24" t="str">
        <f>IFERROR(IF(INDEX(使用レシピ!O:O,MATCH(テンプレート!$C45,使用レシピ!$E:$E,0))&lt;&gt;0,INDEX(使用レシピ!O:O,MATCH(テンプレート!$C45,使用レシピ!$E:$E,0)),""),"")</f>
        <v/>
      </c>
      <c r="O45" s="42">
        <f>IFERROR(IF(INDEX(使用レシピ!P:P,MATCH(テンプレート!$C45,使用レシピ!$E:$E,0))&lt;&gt;0,INDEX(使用レシピ!P:P,MATCH(テンプレート!$C45,使用レシピ!$E:$E,0)),""),"")</f>
        <v>1</v>
      </c>
      <c r="P45" s="25">
        <f t="shared" si="5"/>
        <v>50</v>
      </c>
      <c r="Q45" s="26">
        <f t="shared" si="6"/>
        <v>3</v>
      </c>
      <c r="R45" s="26">
        <f t="shared" si="7"/>
        <v>5</v>
      </c>
      <c r="S45" s="26" t="str">
        <f t="shared" si="8"/>
        <v/>
      </c>
      <c r="T45" s="43" t="str">
        <f t="shared" si="8"/>
        <v/>
      </c>
    </row>
    <row r="46" spans="1:20" x14ac:dyDescent="0.4">
      <c r="A46">
        <v>111112</v>
      </c>
      <c r="B46" s="47" cm="1">
        <f t="array" ref="B46">IFERROR((INDEX($P$4:$T$1000,MATCH(VALUE(LEFT($A46,LEN($A46)-1)),$A$4:$A$1000,0),VALUE(RIGHT($A46,1)))/ INDEX($O$4:$O$1000,MATCH(VALUE(LEFT($A46,LEN($A46)-1)),$A$4:$A$1000))) * INDEX($B$4:$B$1000,MATCH(VALUE(LEFT($A46,LEN($A46)-1)),$A$4:$A$1000)),"")</f>
        <v>64800</v>
      </c>
      <c r="C46" s="38" t="str" cm="1">
        <f t="array" ref="C46">IFERROR(IF(INDEX($D$4:$H$1000,MATCH(VALUE(LEFT($A46,LEN($A46)-1)),$A$4:$A$1000,0),VALUE(RIGHT($A46,1)))= 0,"",INDEX($D$4:$H$1000,MATCH(VALUE(LEFT($A46,LEN($A46)-1)),$A$4:$A$1000,0),VALUE(RIGHT($A46,1)))),"")</f>
        <v>水</v>
      </c>
      <c r="D46" s="23" t="str">
        <f>IFERROR(IF(INDEX(使用レシピ!F:F,MATCH(テンプレート!$C46,使用レシピ!$E:$E,0))&lt;&gt;0,INDEX(使用レシピ!F:F,MATCH(テンプレート!$C46,使用レシピ!$E:$E,0)),""),"")</f>
        <v/>
      </c>
      <c r="E46" t="str">
        <f>IFERROR(IF(INDEX(使用レシピ!G:G,MATCH(テンプレート!$C46,使用レシピ!$E:$E,0))&lt;&gt;0,INDEX(使用レシピ!G:G,MATCH(テンプレート!$C46,使用レシピ!$E:$E,0)),""),"")</f>
        <v/>
      </c>
      <c r="F46" t="str">
        <f>IFERROR(IF(INDEX(使用レシピ!H:H,MATCH(テンプレート!$C46,使用レシピ!$E:$E,0))&lt;&gt;0,INDEX(使用レシピ!H:H,MATCH(テンプレート!$C46,使用レシピ!$E:$E,0)),""),"")</f>
        <v/>
      </c>
      <c r="G46" t="str">
        <f>IFERROR(IF(INDEX(使用レシピ!I:I,MATCH(テンプレート!$C46,使用レシピ!$E:$E,0))&lt;&gt;0,INDEX(使用レシピ!I:I,MATCH(テンプレート!$C46,使用レシピ!$E:$E,0)),""),"")</f>
        <v/>
      </c>
      <c r="H46" s="24" t="str">
        <f>IFERROR(IF(INDEX(使用レシピ!J:J,MATCH(テンプレート!$C46,使用レシピ!$E:$E,0))&lt;&gt;0,INDEX(使用レシピ!J:J,MATCH(テンプレート!$C46,使用レシピ!$E:$E,0)),""),"")</f>
        <v/>
      </c>
      <c r="I46" s="36">
        <f>IFERROR(IF(INDEX(使用レシピ!P:P,MATCH(テンプレート!$C46,使用レシピ!$E:$E,0))&lt;&gt;0,INDEX(使用レシピ!P:P,MATCH(テンプレート!$C46,使用レシピ!$E:$E,0)),""),"")</f>
        <v>1</v>
      </c>
      <c r="J46" t="str">
        <f>IFERROR(IF(INDEX(使用レシピ!K:K,MATCH(テンプレート!$C46,使用レシピ!$E:$E,0))&lt;&gt;0,INDEX(使用レシピ!K:K,MATCH(テンプレート!$C46,使用レシピ!$E:$E,0)),""),"")</f>
        <v/>
      </c>
      <c r="K46" t="str">
        <f>IFERROR(IF(INDEX(使用レシピ!L:L,MATCH(テンプレート!$C46,使用レシピ!$E:$E,0))&lt;&gt;0,INDEX(使用レシピ!L:L,MATCH(テンプレート!$C46,使用レシピ!$E:$E,0)),""),"")</f>
        <v/>
      </c>
      <c r="L46" t="str">
        <f>IFERROR(IF(INDEX(使用レシピ!M:M,MATCH(テンプレート!$C46,使用レシピ!$E:$E,0))&lt;&gt;0,INDEX(使用レシピ!M:M,MATCH(テンプレート!$C46,使用レシピ!$E:$E,0)),""),"")</f>
        <v/>
      </c>
      <c r="M46" t="str">
        <f>IFERROR(IF(INDEX(使用レシピ!N:N,MATCH(テンプレート!$C46,使用レシピ!$E:$E,0))&lt;&gt;0,INDEX(使用レシピ!N:N,MATCH(テンプレート!$C46,使用レシピ!$E:$E,0)),""),"")</f>
        <v/>
      </c>
      <c r="N46" s="24" t="str">
        <f>IFERROR(IF(INDEX(使用レシピ!O:O,MATCH(テンプレート!$C46,使用レシピ!$E:$E,0))&lt;&gt;0,INDEX(使用レシピ!O:O,MATCH(テンプレート!$C46,使用レシピ!$E:$E,0)),""),"")</f>
        <v/>
      </c>
      <c r="O46" s="42">
        <f>IFERROR(IF(INDEX(使用レシピ!P:P,MATCH(テンプレート!$C46,使用レシピ!$E:$E,0))&lt;&gt;0,INDEX(使用レシピ!P:P,MATCH(テンプレート!$C46,使用レシピ!$E:$E,0)),""),"")</f>
        <v>1</v>
      </c>
      <c r="P46" s="25" t="str">
        <f t="shared" si="5"/>
        <v/>
      </c>
      <c r="Q46" s="26" t="str">
        <f t="shared" si="6"/>
        <v/>
      </c>
      <c r="R46" s="26" t="str">
        <f t="shared" si="7"/>
        <v/>
      </c>
      <c r="S46" s="26" t="str">
        <f t="shared" si="8"/>
        <v/>
      </c>
      <c r="T46" s="43" t="str">
        <f t="shared" si="8"/>
        <v/>
      </c>
    </row>
    <row r="47" spans="1:20" x14ac:dyDescent="0.4">
      <c r="A47">
        <v>111121</v>
      </c>
      <c r="B47" s="47" cm="1">
        <f t="array" ref="B47">IFERROR((INDEX($P$4:$T$1000,MATCH(VALUE(LEFT($A47,LEN($A47)-1)),$A$4:$A$1000,0),VALUE(RIGHT($A47,1)))/ INDEX($O$4:$O$1000,MATCH(VALUE(LEFT($A47,LEN($A47)-1)),$A$4:$A$1000))) * INDEX($B$4:$B$1000,MATCH(VALUE(LEFT($A47,LEN($A47)-1)),$A$4:$A$1000)),"")</f>
        <v>1080</v>
      </c>
      <c r="C47" s="38" t="str" cm="1">
        <f t="array" ref="C47">IFERROR(IF(INDEX($D$4:$H$1000,MATCH(VALUE(LEFT($A47,LEN($A47)-1)),$A$4:$A$1000,0),VALUE(RIGHT($A47,1)))= 0,"",INDEX($D$4:$H$1000,MATCH(VALUE(LEFT($A47,LEN($A47)-1)),$A$4:$A$1000,0),VALUE(RIGHT($A47,1)))),"")</f>
        <v>未加工石英</v>
      </c>
      <c r="D47" s="23" t="str">
        <f>IFERROR(IF(INDEX(使用レシピ!F:F,MATCH(テンプレート!$C47,使用レシピ!$E:$E,0))&lt;&gt;0,INDEX(使用レシピ!F:F,MATCH(テンプレート!$C47,使用レシピ!$E:$E,0)),""),"")</f>
        <v/>
      </c>
      <c r="E47" t="str">
        <f>IFERROR(IF(INDEX(使用レシピ!G:G,MATCH(テンプレート!$C47,使用レシピ!$E:$E,0))&lt;&gt;0,INDEX(使用レシピ!G:G,MATCH(テンプレート!$C47,使用レシピ!$E:$E,0)),""),"")</f>
        <v/>
      </c>
      <c r="F47" t="str">
        <f>IFERROR(IF(INDEX(使用レシピ!H:H,MATCH(テンプレート!$C47,使用レシピ!$E:$E,0))&lt;&gt;0,INDEX(使用レシピ!H:H,MATCH(テンプレート!$C47,使用レシピ!$E:$E,0)),""),"")</f>
        <v/>
      </c>
      <c r="G47" t="str">
        <f>IFERROR(IF(INDEX(使用レシピ!I:I,MATCH(テンプレート!$C47,使用レシピ!$E:$E,0))&lt;&gt;0,INDEX(使用レシピ!I:I,MATCH(テンプレート!$C47,使用レシピ!$E:$E,0)),""),"")</f>
        <v/>
      </c>
      <c r="H47" s="24" t="str">
        <f>IFERROR(IF(INDEX(使用レシピ!J:J,MATCH(テンプレート!$C47,使用レシピ!$E:$E,0))&lt;&gt;0,INDEX(使用レシピ!J:J,MATCH(テンプレート!$C47,使用レシピ!$E:$E,0)),""),"")</f>
        <v/>
      </c>
      <c r="I47" s="36">
        <f>IFERROR(IF(INDEX(使用レシピ!P:P,MATCH(テンプレート!$C47,使用レシピ!$E:$E,0))&lt;&gt;0,INDEX(使用レシピ!P:P,MATCH(テンプレート!$C47,使用レシピ!$E:$E,0)),""),"")</f>
        <v>1</v>
      </c>
      <c r="J47" t="str">
        <f>IFERROR(IF(INDEX(使用レシピ!K:K,MATCH(テンプレート!$C47,使用レシピ!$E:$E,0))&lt;&gt;0,INDEX(使用レシピ!K:K,MATCH(テンプレート!$C47,使用レシピ!$E:$E,0)),""),"")</f>
        <v/>
      </c>
      <c r="K47" t="str">
        <f>IFERROR(IF(INDEX(使用レシピ!L:L,MATCH(テンプレート!$C47,使用レシピ!$E:$E,0))&lt;&gt;0,INDEX(使用レシピ!L:L,MATCH(テンプレート!$C47,使用レシピ!$E:$E,0)),""),"")</f>
        <v/>
      </c>
      <c r="L47" t="str">
        <f>IFERROR(IF(INDEX(使用レシピ!M:M,MATCH(テンプレート!$C47,使用レシピ!$E:$E,0))&lt;&gt;0,INDEX(使用レシピ!M:M,MATCH(テンプレート!$C47,使用レシピ!$E:$E,0)),""),"")</f>
        <v/>
      </c>
      <c r="M47" t="str">
        <f>IFERROR(IF(INDEX(使用レシピ!N:N,MATCH(テンプレート!$C47,使用レシピ!$E:$E,0))&lt;&gt;0,INDEX(使用レシピ!N:N,MATCH(テンプレート!$C47,使用レシピ!$E:$E,0)),""),"")</f>
        <v/>
      </c>
      <c r="N47" s="24" t="str">
        <f>IFERROR(IF(INDEX(使用レシピ!O:O,MATCH(テンプレート!$C47,使用レシピ!$E:$E,0))&lt;&gt;0,INDEX(使用レシピ!O:O,MATCH(テンプレート!$C47,使用レシピ!$E:$E,0)),""),"")</f>
        <v/>
      </c>
      <c r="O47" s="42">
        <f>IFERROR(IF(INDEX(使用レシピ!P:P,MATCH(テンプレート!$C47,使用レシピ!$E:$E,0))&lt;&gt;0,INDEX(使用レシピ!P:P,MATCH(テンプレート!$C47,使用レシピ!$E:$E,0)),""),"")</f>
        <v>1</v>
      </c>
      <c r="P47" s="25" t="str">
        <f t="shared" si="5"/>
        <v/>
      </c>
      <c r="Q47" s="26" t="str">
        <f t="shared" si="6"/>
        <v/>
      </c>
      <c r="R47" s="26" t="str">
        <f t="shared" si="7"/>
        <v/>
      </c>
      <c r="S47" s="26" t="str">
        <f t="shared" si="8"/>
        <v/>
      </c>
      <c r="T47" s="43" t="str">
        <f t="shared" si="8"/>
        <v/>
      </c>
    </row>
    <row r="48" spans="1:20" x14ac:dyDescent="0.4">
      <c r="A48">
        <v>111131</v>
      </c>
      <c r="B48" s="47" cm="1">
        <f t="array" ref="B48">IFERROR((INDEX($P$4:$T$1000,MATCH(VALUE(LEFT($A48,LEN($A48)-1)),$A$4:$A$1000,0),VALUE(RIGHT($A48,1)))/ INDEX($O$4:$O$1000,MATCH(VALUE(LEFT($A48,LEN($A48)-1)),$A$4:$A$1000))) * INDEX($B$4:$B$1000,MATCH(VALUE(LEFT($A48,LEN($A48)-1)),$A$4:$A$1000)),"")</f>
        <v>4320</v>
      </c>
      <c r="C48" s="38" t="str" cm="1">
        <f t="array" ref="C48">IFERROR(IF(INDEX($D$4:$H$1000,MATCH(VALUE(LEFT($A48,LEN($A48)-1)),$A$4:$A$1000,0),VALUE(RIGHT($A48,1)))= 0,"",INDEX($D$4:$H$1000,MATCH(VALUE(LEFT($A48,LEN($A48)-1)),$A$4:$A$1000,0),VALUE(RIGHT($A48,1)))),"")</f>
        <v>窒素ガス</v>
      </c>
      <c r="D48" s="23" t="str">
        <f>IFERROR(IF(INDEX(使用レシピ!F:F,MATCH(テンプレート!$C48,使用レシピ!$E:$E,0))&lt;&gt;0,INDEX(使用レシピ!F:F,MATCH(テンプレート!$C48,使用レシピ!$E:$E,0)),""),"")</f>
        <v/>
      </c>
      <c r="E48" t="str">
        <f>IFERROR(IF(INDEX(使用レシピ!G:G,MATCH(テンプレート!$C48,使用レシピ!$E:$E,0))&lt;&gt;0,INDEX(使用レシピ!G:G,MATCH(テンプレート!$C48,使用レシピ!$E:$E,0)),""),"")</f>
        <v/>
      </c>
      <c r="F48" t="str">
        <f>IFERROR(IF(INDEX(使用レシピ!H:H,MATCH(テンプレート!$C48,使用レシピ!$E:$E,0))&lt;&gt;0,INDEX(使用レシピ!H:H,MATCH(テンプレート!$C48,使用レシピ!$E:$E,0)),""),"")</f>
        <v/>
      </c>
      <c r="G48" t="str">
        <f>IFERROR(IF(INDEX(使用レシピ!I:I,MATCH(テンプレート!$C48,使用レシピ!$E:$E,0))&lt;&gt;0,INDEX(使用レシピ!I:I,MATCH(テンプレート!$C48,使用レシピ!$E:$E,0)),""),"")</f>
        <v/>
      </c>
      <c r="H48" s="24" t="str">
        <f>IFERROR(IF(INDEX(使用レシピ!J:J,MATCH(テンプレート!$C48,使用レシピ!$E:$E,0))&lt;&gt;0,INDEX(使用レシピ!J:J,MATCH(テンプレート!$C48,使用レシピ!$E:$E,0)),""),"")</f>
        <v/>
      </c>
      <c r="I48" s="36">
        <f>IFERROR(IF(INDEX(使用レシピ!P:P,MATCH(テンプレート!$C48,使用レシピ!$E:$E,0))&lt;&gt;0,INDEX(使用レシピ!P:P,MATCH(テンプレート!$C48,使用レシピ!$E:$E,0)),""),"")</f>
        <v>1</v>
      </c>
      <c r="J48" t="str">
        <f>IFERROR(IF(INDEX(使用レシピ!K:K,MATCH(テンプレート!$C48,使用レシピ!$E:$E,0))&lt;&gt;0,INDEX(使用レシピ!K:K,MATCH(テンプレート!$C48,使用レシピ!$E:$E,0)),""),"")</f>
        <v/>
      </c>
      <c r="K48" t="str">
        <f>IFERROR(IF(INDEX(使用レシピ!L:L,MATCH(テンプレート!$C48,使用レシピ!$E:$E,0))&lt;&gt;0,INDEX(使用レシピ!L:L,MATCH(テンプレート!$C48,使用レシピ!$E:$E,0)),""),"")</f>
        <v/>
      </c>
      <c r="L48" t="str">
        <f>IFERROR(IF(INDEX(使用レシピ!M:M,MATCH(テンプレート!$C48,使用レシピ!$E:$E,0))&lt;&gt;0,INDEX(使用レシピ!M:M,MATCH(テンプレート!$C48,使用レシピ!$E:$E,0)),""),"")</f>
        <v/>
      </c>
      <c r="M48" t="str">
        <f>IFERROR(IF(INDEX(使用レシピ!N:N,MATCH(テンプレート!$C48,使用レシピ!$E:$E,0))&lt;&gt;0,INDEX(使用レシピ!N:N,MATCH(テンプレート!$C48,使用レシピ!$E:$E,0)),""),"")</f>
        <v/>
      </c>
      <c r="N48" s="24" t="str">
        <f>IFERROR(IF(INDEX(使用レシピ!O:O,MATCH(テンプレート!$C48,使用レシピ!$E:$E,0))&lt;&gt;0,INDEX(使用レシピ!O:O,MATCH(テンプレート!$C48,使用レシピ!$E:$E,0)),""),"")</f>
        <v/>
      </c>
      <c r="O48" s="42">
        <f>IFERROR(IF(INDEX(使用レシピ!P:P,MATCH(テンプレート!$C48,使用レシピ!$E:$E,0))&lt;&gt;0,INDEX(使用レシピ!P:P,MATCH(テンプレート!$C48,使用レシピ!$E:$E,0)),""),"")</f>
        <v>1</v>
      </c>
      <c r="P48" s="25" t="str">
        <f t="shared" si="5"/>
        <v/>
      </c>
      <c r="Q48" s="26" t="str">
        <f t="shared" si="6"/>
        <v/>
      </c>
      <c r="R48" s="26" t="str">
        <f t="shared" si="7"/>
        <v/>
      </c>
      <c r="S48" s="26" t="str">
        <f t="shared" si="8"/>
        <v/>
      </c>
      <c r="T48" s="43" t="str">
        <f t="shared" si="8"/>
        <v/>
      </c>
    </row>
    <row r="49" spans="1:20" x14ac:dyDescent="0.4">
      <c r="A49">
        <v>111132</v>
      </c>
      <c r="B49" s="47" cm="1">
        <f t="array" ref="B49">IFERROR((INDEX($P$4:$T$1000,MATCH(VALUE(LEFT($A49,LEN($A49)-1)),$A$4:$A$1000,0),VALUE(RIGHT($A49,1)))/ INDEX($O$4:$O$1000,MATCH(VALUE(LEFT($A49,LEN($A49)-1)),$A$4:$A$1000))) * INDEX($B$4:$B$1000,MATCH(VALUE(LEFT($A49,LEN($A49)-1)),$A$4:$A$1000)),"")</f>
        <v>1080</v>
      </c>
      <c r="C49" s="38" t="str" cm="1">
        <f t="array" ref="C49">IFERROR(IF(INDEX($D$4:$H$1000,MATCH(VALUE(LEFT($A49,LEN($A49)-1)),$A$4:$A$1000,0),VALUE(RIGHT($A49,1)))= 0,"",INDEX($D$4:$H$1000,MATCH(VALUE(LEFT($A49,LEN($A49)-1)),$A$4:$A$1000,0),VALUE(RIGHT($A49,1)))),"")</f>
        <v>水</v>
      </c>
      <c r="D49" s="23" t="str">
        <f>IFERROR(IF(INDEX(使用レシピ!F:F,MATCH(テンプレート!$C49,使用レシピ!$E:$E,0))&lt;&gt;0,INDEX(使用レシピ!F:F,MATCH(テンプレート!$C49,使用レシピ!$E:$E,0)),""),"")</f>
        <v/>
      </c>
      <c r="E49" t="str">
        <f>IFERROR(IF(INDEX(使用レシピ!G:G,MATCH(テンプレート!$C49,使用レシピ!$E:$E,0))&lt;&gt;0,INDEX(使用レシピ!G:G,MATCH(テンプレート!$C49,使用レシピ!$E:$E,0)),""),"")</f>
        <v/>
      </c>
      <c r="F49" t="str">
        <f>IFERROR(IF(INDEX(使用レシピ!H:H,MATCH(テンプレート!$C49,使用レシピ!$E:$E,0))&lt;&gt;0,INDEX(使用レシピ!H:H,MATCH(テンプレート!$C49,使用レシピ!$E:$E,0)),""),"")</f>
        <v/>
      </c>
      <c r="G49" t="str">
        <f>IFERROR(IF(INDEX(使用レシピ!I:I,MATCH(テンプレート!$C49,使用レシピ!$E:$E,0))&lt;&gt;0,INDEX(使用レシピ!I:I,MATCH(テンプレート!$C49,使用レシピ!$E:$E,0)),""),"")</f>
        <v/>
      </c>
      <c r="H49" s="24" t="str">
        <f>IFERROR(IF(INDEX(使用レシピ!J:J,MATCH(テンプレート!$C49,使用レシピ!$E:$E,0))&lt;&gt;0,INDEX(使用レシピ!J:J,MATCH(テンプレート!$C49,使用レシピ!$E:$E,0)),""),"")</f>
        <v/>
      </c>
      <c r="I49" s="36">
        <f>IFERROR(IF(INDEX(使用レシピ!P:P,MATCH(テンプレート!$C49,使用レシピ!$E:$E,0))&lt;&gt;0,INDEX(使用レシピ!P:P,MATCH(テンプレート!$C49,使用レシピ!$E:$E,0)),""),"")</f>
        <v>1</v>
      </c>
      <c r="J49" t="str">
        <f>IFERROR(IF(INDEX(使用レシピ!K:K,MATCH(テンプレート!$C49,使用レシピ!$E:$E,0))&lt;&gt;0,INDEX(使用レシピ!K:K,MATCH(テンプレート!$C49,使用レシピ!$E:$E,0)),""),"")</f>
        <v/>
      </c>
      <c r="K49" t="str">
        <f>IFERROR(IF(INDEX(使用レシピ!L:L,MATCH(テンプレート!$C49,使用レシピ!$E:$E,0))&lt;&gt;0,INDEX(使用レシピ!L:L,MATCH(テンプレート!$C49,使用レシピ!$E:$E,0)),""),"")</f>
        <v/>
      </c>
      <c r="L49" t="str">
        <f>IFERROR(IF(INDEX(使用レシピ!M:M,MATCH(テンプレート!$C49,使用レシピ!$E:$E,0))&lt;&gt;0,INDEX(使用レシピ!M:M,MATCH(テンプレート!$C49,使用レシピ!$E:$E,0)),""),"")</f>
        <v/>
      </c>
      <c r="M49" t="str">
        <f>IFERROR(IF(INDEX(使用レシピ!N:N,MATCH(テンプレート!$C49,使用レシピ!$E:$E,0))&lt;&gt;0,INDEX(使用レシピ!N:N,MATCH(テンプレート!$C49,使用レシピ!$E:$E,0)),""),"")</f>
        <v/>
      </c>
      <c r="N49" s="24" t="str">
        <f>IFERROR(IF(INDEX(使用レシピ!O:O,MATCH(テンプレート!$C49,使用レシピ!$E:$E,0))&lt;&gt;0,INDEX(使用レシピ!O:O,MATCH(テンプレート!$C49,使用レシピ!$E:$E,0)),""),"")</f>
        <v/>
      </c>
      <c r="O49" s="42">
        <f>IFERROR(IF(INDEX(使用レシピ!P:P,MATCH(テンプレート!$C49,使用レシピ!$E:$E,0))&lt;&gt;0,INDEX(使用レシピ!P:P,MATCH(テンプレート!$C49,使用レシピ!$E:$E,0)),""),"")</f>
        <v>1</v>
      </c>
      <c r="P49" s="25" t="str">
        <f t="shared" si="5"/>
        <v/>
      </c>
      <c r="Q49" s="26" t="str">
        <f t="shared" si="6"/>
        <v/>
      </c>
      <c r="R49" s="26" t="str">
        <f t="shared" si="7"/>
        <v/>
      </c>
      <c r="S49" s="26" t="str">
        <f t="shared" si="8"/>
        <v/>
      </c>
      <c r="T49" s="43" t="str">
        <f t="shared" si="8"/>
        <v/>
      </c>
    </row>
    <row r="50" spans="1:20" x14ac:dyDescent="0.4">
      <c r="A50">
        <v>111133</v>
      </c>
      <c r="B50" s="47" cm="1">
        <f t="array" ref="B50">IFERROR((INDEX($P$4:$T$1000,MATCH(VALUE(LEFT($A50,LEN($A50)-1)),$A$4:$A$1000,0),VALUE(RIGHT($A50,1)))/ INDEX($O$4:$O$1000,MATCH(VALUE(LEFT($A50,LEN($A50)-1)),$A$4:$A$1000))) * INDEX($B$4:$B$1000,MATCH(VALUE(LEFT($A50,LEN($A50)-1)),$A$4:$A$1000)),"")</f>
        <v>360</v>
      </c>
      <c r="C50" s="38" t="str" cm="1">
        <f t="array" ref="C50">IFERROR(IF(INDEX($D$4:$H$1000,MATCH(VALUE(LEFT($A50,LEN($A50)-1)),$A$4:$A$1000,0),VALUE(RIGHT($A50,1)))= 0,"",INDEX($D$4:$H$1000,MATCH(VALUE(LEFT($A50,LEN($A50)-1)),$A$4:$A$1000,0),VALUE(RIGHT($A50,1)))),"")</f>
        <v>鉄板</v>
      </c>
      <c r="D50" s="23" t="str">
        <f>IFERROR(IF(INDEX(使用レシピ!F:F,MATCH(テンプレート!$C50,使用レシピ!$E:$E,0))&lt;&gt;0,INDEX(使用レシピ!F:F,MATCH(テンプレート!$C50,使用レシピ!$E:$E,0)),""),"")</f>
        <v>鉄のインゴット</v>
      </c>
      <c r="E50" t="str">
        <f>IFERROR(IF(INDEX(使用レシピ!G:G,MATCH(テンプレート!$C50,使用レシピ!$E:$E,0))&lt;&gt;0,INDEX(使用レシピ!G:G,MATCH(テンプレート!$C50,使用レシピ!$E:$E,0)),""),"")</f>
        <v/>
      </c>
      <c r="F50" t="str">
        <f>IFERROR(IF(INDEX(使用レシピ!H:H,MATCH(テンプレート!$C50,使用レシピ!$E:$E,0))&lt;&gt;0,INDEX(使用レシピ!H:H,MATCH(テンプレート!$C50,使用レシピ!$E:$E,0)),""),"")</f>
        <v/>
      </c>
      <c r="G50" t="str">
        <f>IFERROR(IF(INDEX(使用レシピ!I:I,MATCH(テンプレート!$C50,使用レシピ!$E:$E,0))&lt;&gt;0,INDEX(使用レシピ!I:I,MATCH(テンプレート!$C50,使用レシピ!$E:$E,0)),""),"")</f>
        <v/>
      </c>
      <c r="H50" s="24" t="str">
        <f>IFERROR(IF(INDEX(使用レシピ!J:J,MATCH(テンプレート!$C50,使用レシピ!$E:$E,0))&lt;&gt;0,INDEX(使用レシピ!J:J,MATCH(テンプレート!$C50,使用レシピ!$E:$E,0)),""),"")</f>
        <v/>
      </c>
      <c r="I50" s="36">
        <f>IFERROR(IF(INDEX(使用レシピ!P:P,MATCH(テンプレート!$C50,使用レシピ!$E:$E,0))&lt;&gt;0,INDEX(使用レシピ!P:P,MATCH(テンプレート!$C50,使用レシピ!$E:$E,0)),""),"")</f>
        <v>2</v>
      </c>
      <c r="J50">
        <f>IFERROR(IF(INDEX(使用レシピ!K:K,MATCH(テンプレート!$C50,使用レシピ!$E:$E,0))&lt;&gt;0,INDEX(使用レシピ!K:K,MATCH(テンプレート!$C50,使用レシピ!$E:$E,0)),""),"")</f>
        <v>3</v>
      </c>
      <c r="K50" t="str">
        <f>IFERROR(IF(INDEX(使用レシピ!L:L,MATCH(テンプレート!$C50,使用レシピ!$E:$E,0))&lt;&gt;0,INDEX(使用レシピ!L:L,MATCH(テンプレート!$C50,使用レシピ!$E:$E,0)),""),"")</f>
        <v/>
      </c>
      <c r="L50" t="str">
        <f>IFERROR(IF(INDEX(使用レシピ!M:M,MATCH(テンプレート!$C50,使用レシピ!$E:$E,0))&lt;&gt;0,INDEX(使用レシピ!M:M,MATCH(テンプレート!$C50,使用レシピ!$E:$E,0)),""),"")</f>
        <v/>
      </c>
      <c r="M50" t="str">
        <f>IFERROR(IF(INDEX(使用レシピ!N:N,MATCH(テンプレート!$C50,使用レシピ!$E:$E,0))&lt;&gt;0,INDEX(使用レシピ!N:N,MATCH(テンプレート!$C50,使用レシピ!$E:$E,0)),""),"")</f>
        <v/>
      </c>
      <c r="N50" s="24" t="str">
        <f>IFERROR(IF(INDEX(使用レシピ!O:O,MATCH(テンプレート!$C50,使用レシピ!$E:$E,0))&lt;&gt;0,INDEX(使用レシピ!O:O,MATCH(テンプレート!$C50,使用レシピ!$E:$E,0)),""),"")</f>
        <v/>
      </c>
      <c r="O50" s="42">
        <f>IFERROR(IF(INDEX(使用レシピ!P:P,MATCH(テンプレート!$C50,使用レシピ!$E:$E,0))&lt;&gt;0,INDEX(使用レシピ!P:P,MATCH(テンプレート!$C50,使用レシピ!$E:$E,0)),""),"")</f>
        <v>2</v>
      </c>
      <c r="P50" s="25">
        <f t="shared" si="5"/>
        <v>3</v>
      </c>
      <c r="Q50" s="26" t="str">
        <f t="shared" si="6"/>
        <v/>
      </c>
      <c r="R50" s="26" t="str">
        <f t="shared" si="7"/>
        <v/>
      </c>
      <c r="S50" s="26" t="str">
        <f t="shared" si="8"/>
        <v/>
      </c>
      <c r="T50" s="43" t="str">
        <f t="shared" si="8"/>
        <v/>
      </c>
    </row>
    <row r="51" spans="1:20" x14ac:dyDescent="0.4">
      <c r="A51">
        <v>111141</v>
      </c>
      <c r="B51" s="47" cm="1">
        <f t="array" ref="B51">IFERROR((INDEX($P$4:$T$1000,MATCH(VALUE(LEFT($A51,LEN($A51)-1)),$A$4:$A$1000,0),VALUE(RIGHT($A51,1)))/ INDEX($O$4:$O$1000,MATCH(VALUE(LEFT($A51,LEN($A51)-1)),$A$4:$A$1000))) * INDEX($B$4:$B$1000,MATCH(VALUE(LEFT($A51,LEN($A51)-1)),$A$4:$A$1000)),"")</f>
        <v>1080</v>
      </c>
      <c r="C51" s="38" t="str" cm="1">
        <f t="array" ref="C51">IFERROR(IF(INDEX($D$4:$H$1000,MATCH(VALUE(LEFT($A51,LEN($A51)-1)),$A$4:$A$1000,0),VALUE(RIGHT($A51,1)))= 0,"",INDEX($D$4:$H$1000,MATCH(VALUE(LEFT($A51,LEN($A51)-1)),$A$4:$A$1000,0),VALUE(RIGHT($A51,1)))),"")</f>
        <v>硫黄</v>
      </c>
      <c r="D51" s="23" t="str">
        <f>IFERROR(IF(INDEX(使用レシピ!F:F,MATCH(テンプレート!$C51,使用レシピ!$E:$E,0))&lt;&gt;0,INDEX(使用レシピ!F:F,MATCH(テンプレート!$C51,使用レシピ!$E:$E,0)),""),"")</f>
        <v/>
      </c>
      <c r="E51" t="str">
        <f>IFERROR(IF(INDEX(使用レシピ!G:G,MATCH(テンプレート!$C51,使用レシピ!$E:$E,0))&lt;&gt;0,INDEX(使用レシピ!G:G,MATCH(テンプレート!$C51,使用レシピ!$E:$E,0)),""),"")</f>
        <v/>
      </c>
      <c r="F51" t="str">
        <f>IFERROR(IF(INDEX(使用レシピ!H:H,MATCH(テンプレート!$C51,使用レシピ!$E:$E,0))&lt;&gt;0,INDEX(使用レシピ!H:H,MATCH(テンプレート!$C51,使用レシピ!$E:$E,0)),""),"")</f>
        <v/>
      </c>
      <c r="G51" t="str">
        <f>IFERROR(IF(INDEX(使用レシピ!I:I,MATCH(テンプレート!$C51,使用レシピ!$E:$E,0))&lt;&gt;0,INDEX(使用レシピ!I:I,MATCH(テンプレート!$C51,使用レシピ!$E:$E,0)),""),"")</f>
        <v/>
      </c>
      <c r="H51" s="24" t="str">
        <f>IFERROR(IF(INDEX(使用レシピ!J:J,MATCH(テンプレート!$C51,使用レシピ!$E:$E,0))&lt;&gt;0,INDEX(使用レシピ!J:J,MATCH(テンプレート!$C51,使用レシピ!$E:$E,0)),""),"")</f>
        <v/>
      </c>
      <c r="I51" s="36">
        <f>IFERROR(IF(INDEX(使用レシピ!P:P,MATCH(テンプレート!$C51,使用レシピ!$E:$E,0))&lt;&gt;0,INDEX(使用レシピ!P:P,MATCH(テンプレート!$C51,使用レシピ!$E:$E,0)),""),"")</f>
        <v>1</v>
      </c>
      <c r="J51" t="str">
        <f>IFERROR(IF(INDEX(使用レシピ!K:K,MATCH(テンプレート!$C51,使用レシピ!$E:$E,0))&lt;&gt;0,INDEX(使用レシピ!K:K,MATCH(テンプレート!$C51,使用レシピ!$E:$E,0)),""),"")</f>
        <v/>
      </c>
      <c r="K51" t="str">
        <f>IFERROR(IF(INDEX(使用レシピ!L:L,MATCH(テンプレート!$C51,使用レシピ!$E:$E,0))&lt;&gt;0,INDEX(使用レシピ!L:L,MATCH(テンプレート!$C51,使用レシピ!$E:$E,0)),""),"")</f>
        <v/>
      </c>
      <c r="L51" t="str">
        <f>IFERROR(IF(INDEX(使用レシピ!M:M,MATCH(テンプレート!$C51,使用レシピ!$E:$E,0))&lt;&gt;0,INDEX(使用レシピ!M:M,MATCH(テンプレート!$C51,使用レシピ!$E:$E,0)),""),"")</f>
        <v/>
      </c>
      <c r="M51" t="str">
        <f>IFERROR(IF(INDEX(使用レシピ!N:N,MATCH(テンプレート!$C51,使用レシピ!$E:$E,0))&lt;&gt;0,INDEX(使用レシピ!N:N,MATCH(テンプレート!$C51,使用レシピ!$E:$E,0)),""),"")</f>
        <v/>
      </c>
      <c r="N51" s="24" t="str">
        <f>IFERROR(IF(INDEX(使用レシピ!O:O,MATCH(テンプレート!$C51,使用レシピ!$E:$E,0))&lt;&gt;0,INDEX(使用レシピ!O:O,MATCH(テンプレート!$C51,使用レシピ!$E:$E,0)),""),"")</f>
        <v/>
      </c>
      <c r="O51" s="42">
        <f>IFERROR(IF(INDEX(使用レシピ!P:P,MATCH(テンプレート!$C51,使用レシピ!$E:$E,0))&lt;&gt;0,INDEX(使用レシピ!P:P,MATCH(テンプレート!$C51,使用レシピ!$E:$E,0)),""),"")</f>
        <v>1</v>
      </c>
      <c r="P51" s="25" t="str">
        <f t="shared" si="5"/>
        <v/>
      </c>
      <c r="Q51" s="26" t="str">
        <f t="shared" si="6"/>
        <v/>
      </c>
      <c r="R51" s="26" t="str">
        <f t="shared" si="7"/>
        <v/>
      </c>
      <c r="S51" s="26" t="str">
        <f t="shared" si="8"/>
        <v/>
      </c>
      <c r="T51" s="43" t="str">
        <f t="shared" si="8"/>
        <v/>
      </c>
    </row>
    <row r="52" spans="1:20" x14ac:dyDescent="0.4">
      <c r="A52">
        <v>111142</v>
      </c>
      <c r="B52" s="47" cm="1">
        <f t="array" ref="B52">IFERROR((INDEX($P$4:$T$1000,MATCH(VALUE(LEFT($A52,LEN($A52)-1)),$A$4:$A$1000,0),VALUE(RIGHT($A52,1)))/ INDEX($O$4:$O$1000,MATCH(VALUE(LEFT($A52,LEN($A52)-1)),$A$4:$A$1000))) * INDEX($B$4:$B$1000,MATCH(VALUE(LEFT($A52,LEN($A52)-1)),$A$4:$A$1000)),"")</f>
        <v>1080</v>
      </c>
      <c r="C52" s="38" t="str" cm="1">
        <f t="array" ref="C52">IFERROR(IF(INDEX($D$4:$H$1000,MATCH(VALUE(LEFT($A52,LEN($A52)-1)),$A$4:$A$1000,0),VALUE(RIGHT($A52,1)))= 0,"",INDEX($D$4:$H$1000,MATCH(VALUE(LEFT($A52,LEN($A52)-1)),$A$4:$A$1000,0),VALUE(RIGHT($A52,1)))),"")</f>
        <v>水</v>
      </c>
      <c r="D52" s="23" t="str">
        <f>IFERROR(IF(INDEX(使用レシピ!F:F,MATCH(テンプレート!$C52,使用レシピ!$E:$E,0))&lt;&gt;0,INDEX(使用レシピ!F:F,MATCH(テンプレート!$C52,使用レシピ!$E:$E,0)),""),"")</f>
        <v/>
      </c>
      <c r="E52" t="str">
        <f>IFERROR(IF(INDEX(使用レシピ!G:G,MATCH(テンプレート!$C52,使用レシピ!$E:$E,0))&lt;&gt;0,INDEX(使用レシピ!G:G,MATCH(テンプレート!$C52,使用レシピ!$E:$E,0)),""),"")</f>
        <v/>
      </c>
      <c r="F52" t="str">
        <f>IFERROR(IF(INDEX(使用レシピ!H:H,MATCH(テンプレート!$C52,使用レシピ!$E:$E,0))&lt;&gt;0,INDEX(使用レシピ!H:H,MATCH(テンプレート!$C52,使用レシピ!$E:$E,0)),""),"")</f>
        <v/>
      </c>
      <c r="G52" t="str">
        <f>IFERROR(IF(INDEX(使用レシピ!I:I,MATCH(テンプレート!$C52,使用レシピ!$E:$E,0))&lt;&gt;0,INDEX(使用レシピ!I:I,MATCH(テンプレート!$C52,使用レシピ!$E:$E,0)),""),"")</f>
        <v/>
      </c>
      <c r="H52" s="24" t="str">
        <f>IFERROR(IF(INDEX(使用レシピ!J:J,MATCH(テンプレート!$C52,使用レシピ!$E:$E,0))&lt;&gt;0,INDEX(使用レシピ!J:J,MATCH(テンプレート!$C52,使用レシピ!$E:$E,0)),""),"")</f>
        <v/>
      </c>
      <c r="I52" s="36">
        <f>IFERROR(IF(INDEX(使用レシピ!P:P,MATCH(テンプレート!$C52,使用レシピ!$E:$E,0))&lt;&gt;0,INDEX(使用レシピ!P:P,MATCH(テンプレート!$C52,使用レシピ!$E:$E,0)),""),"")</f>
        <v>1</v>
      </c>
      <c r="J52" t="str">
        <f>IFERROR(IF(INDEX(使用レシピ!K:K,MATCH(テンプレート!$C52,使用レシピ!$E:$E,0))&lt;&gt;0,INDEX(使用レシピ!K:K,MATCH(テンプレート!$C52,使用レシピ!$E:$E,0)),""),"")</f>
        <v/>
      </c>
      <c r="K52" t="str">
        <f>IFERROR(IF(INDEX(使用レシピ!L:L,MATCH(テンプレート!$C52,使用レシピ!$E:$E,0))&lt;&gt;0,INDEX(使用レシピ!L:L,MATCH(テンプレート!$C52,使用レシピ!$E:$E,0)),""),"")</f>
        <v/>
      </c>
      <c r="L52" t="str">
        <f>IFERROR(IF(INDEX(使用レシピ!M:M,MATCH(テンプレート!$C52,使用レシピ!$E:$E,0))&lt;&gt;0,INDEX(使用レシピ!M:M,MATCH(テンプレート!$C52,使用レシピ!$E:$E,0)),""),"")</f>
        <v/>
      </c>
      <c r="M52" t="str">
        <f>IFERROR(IF(INDEX(使用レシピ!N:N,MATCH(テンプレート!$C52,使用レシピ!$E:$E,0))&lt;&gt;0,INDEX(使用レシピ!N:N,MATCH(テンプレート!$C52,使用レシピ!$E:$E,0)),""),"")</f>
        <v/>
      </c>
      <c r="N52" s="24" t="str">
        <f>IFERROR(IF(INDEX(使用レシピ!O:O,MATCH(テンプレート!$C52,使用レシピ!$E:$E,0))&lt;&gt;0,INDEX(使用レシピ!O:O,MATCH(テンプレート!$C52,使用レシピ!$E:$E,0)),""),"")</f>
        <v/>
      </c>
      <c r="O52" s="42">
        <f>IFERROR(IF(INDEX(使用レシピ!P:P,MATCH(テンプレート!$C52,使用レシピ!$E:$E,0))&lt;&gt;0,INDEX(使用レシピ!P:P,MATCH(テンプレート!$C52,使用レシピ!$E:$E,0)),""),"")</f>
        <v>1</v>
      </c>
      <c r="P52" s="25" t="str">
        <f t="shared" si="5"/>
        <v/>
      </c>
      <c r="Q52" s="26" t="str">
        <f t="shared" si="6"/>
        <v/>
      </c>
      <c r="R52" s="26" t="str">
        <f t="shared" si="7"/>
        <v/>
      </c>
      <c r="S52" s="26" t="str">
        <f t="shared" si="8"/>
        <v/>
      </c>
      <c r="T52" s="43" t="str">
        <f t="shared" si="8"/>
        <v/>
      </c>
    </row>
    <row r="53" spans="1:20" x14ac:dyDescent="0.4">
      <c r="A53">
        <v>111211</v>
      </c>
      <c r="B53" s="47" cm="1">
        <f t="array" ref="B53">IFERROR((INDEX($P$4:$T$1000,MATCH(VALUE(LEFT($A53,LEN($A53)-1)),$A$4:$A$1000,0),VALUE(RIGHT($A53,1)))/ INDEX($O$4:$O$1000,MATCH(VALUE(LEFT($A53,LEN($A53)-1)),$A$4:$A$1000))) * INDEX($B$4:$B$1000,MATCH(VALUE(LEFT($A53,LEN($A53)-1)),$A$4:$A$1000)),"")</f>
        <v>900</v>
      </c>
      <c r="C53" s="38" t="str" cm="1">
        <f t="array" ref="C53">IFERROR(IF(INDEX($D$4:$H$1000,MATCH(VALUE(LEFT($A53,LEN($A53)-1)),$A$4:$A$1000,0),VALUE(RIGHT($A53,1)))= 0,"",INDEX($D$4:$H$1000,MATCH(VALUE(LEFT($A53,LEN($A53)-1)),$A$4:$A$1000,0),VALUE(RIGHT($A53,1)))),"")</f>
        <v>被覆型ウラン・セル</v>
      </c>
      <c r="D53" s="23" t="str">
        <f>IFERROR(IF(INDEX(使用レシピ!F:F,MATCH(テンプレート!$C53,使用レシピ!$E:$E,0))&lt;&gt;0,INDEX(使用レシピ!F:F,MATCH(テンプレート!$C53,使用レシピ!$E:$E,0)),""),"")</f>
        <v>ウラン</v>
      </c>
      <c r="E53" t="str">
        <f>IFERROR(IF(INDEX(使用レシピ!G:G,MATCH(テンプレート!$C53,使用レシピ!$E:$E,0))&lt;&gt;0,INDEX(使用レシピ!G:G,MATCH(テンプレート!$C53,使用レシピ!$E:$E,0)),""),"")</f>
        <v>コンクリート</v>
      </c>
      <c r="F53" t="str">
        <f>IFERROR(IF(INDEX(使用レシピ!H:H,MATCH(テンプレート!$C53,使用レシピ!$E:$E,0))&lt;&gt;0,INDEX(使用レシピ!H:H,MATCH(テンプレート!$C53,使用レシピ!$E:$E,0)),""),"")</f>
        <v>硫酸</v>
      </c>
      <c r="G53" t="str">
        <f>IFERROR(IF(INDEX(使用レシピ!I:I,MATCH(テンプレート!$C53,使用レシピ!$E:$E,0))&lt;&gt;0,INDEX(使用レシピ!I:I,MATCH(テンプレート!$C53,使用レシピ!$E:$E,0)),""),"")</f>
        <v/>
      </c>
      <c r="H53" s="24" t="str">
        <f>IFERROR(IF(INDEX(使用レシピ!J:J,MATCH(テンプレート!$C53,使用レシピ!$E:$E,0))&lt;&gt;0,INDEX(使用レシピ!J:J,MATCH(テンプレート!$C53,使用レシピ!$E:$E,0)),""),"")</f>
        <v>硫酸</v>
      </c>
      <c r="I53" s="36">
        <f>IFERROR(IF(INDEX(使用レシピ!P:P,MATCH(テンプレート!$C53,使用レシピ!$E:$E,0))&lt;&gt;0,INDEX(使用レシピ!P:P,MATCH(テンプレート!$C53,使用レシピ!$E:$E,0)),""),"")</f>
        <v>5</v>
      </c>
      <c r="J53">
        <f>IFERROR(IF(INDEX(使用レシピ!K:K,MATCH(テンプレート!$C53,使用レシピ!$E:$E,0))&lt;&gt;0,INDEX(使用レシピ!K:K,MATCH(テンプレート!$C53,使用レシピ!$E:$E,0)),""),"")</f>
        <v>10</v>
      </c>
      <c r="K53">
        <f>IFERROR(IF(INDEX(使用レシピ!L:L,MATCH(テンプレート!$C53,使用レシピ!$E:$E,0))&lt;&gt;0,INDEX(使用レシピ!L:L,MATCH(テンプレート!$C53,使用レシピ!$E:$E,0)),""),"")</f>
        <v>3</v>
      </c>
      <c r="L53">
        <f>IFERROR(IF(INDEX(使用レシピ!M:M,MATCH(テンプレート!$C53,使用レシピ!$E:$E,0))&lt;&gt;0,INDEX(使用レシピ!M:M,MATCH(テンプレート!$C53,使用レシピ!$E:$E,0)),""),"")</f>
        <v>8</v>
      </c>
      <c r="M53" t="str">
        <f>IFERROR(IF(INDEX(使用レシピ!N:N,MATCH(テンプレート!$C53,使用レシピ!$E:$E,0))&lt;&gt;0,INDEX(使用レシピ!N:N,MATCH(テンプレート!$C53,使用レシピ!$E:$E,0)),""),"")</f>
        <v/>
      </c>
      <c r="N53" s="24">
        <f>IFERROR(IF(INDEX(使用レシピ!O:O,MATCH(テンプレート!$C53,使用レシピ!$E:$E,0))&lt;&gt;0,INDEX(使用レシピ!O:O,MATCH(テンプレート!$C53,使用レシピ!$E:$E,0)),""),"")</f>
        <v>2</v>
      </c>
      <c r="O53" s="42">
        <f>IFERROR(IF(INDEX(使用レシピ!P:P,MATCH(テンプレート!$C53,使用レシピ!$E:$E,0))&lt;&gt;0,INDEX(使用レシピ!P:P,MATCH(テンプレート!$C53,使用レシピ!$E:$E,0)),""),"")</f>
        <v>5</v>
      </c>
      <c r="P53" s="25">
        <f t="shared" si="5"/>
        <v>10</v>
      </c>
      <c r="Q53" s="26">
        <f t="shared" si="6"/>
        <v>3</v>
      </c>
      <c r="R53" s="26">
        <f t="shared" si="7"/>
        <v>8</v>
      </c>
      <c r="S53" s="26" t="str">
        <f t="shared" si="8"/>
        <v/>
      </c>
      <c r="T53" s="43">
        <f t="shared" si="8"/>
        <v>2</v>
      </c>
    </row>
    <row r="54" spans="1:20" x14ac:dyDescent="0.4">
      <c r="A54">
        <v>111212</v>
      </c>
      <c r="B54" s="47" cm="1">
        <f t="array" ref="B54">IFERROR((INDEX($P$4:$T$1000,MATCH(VALUE(LEFT($A54,LEN($A54)-1)),$A$4:$A$1000,0),VALUE(RIGHT($A54,1)))/ INDEX($O$4:$O$1000,MATCH(VALUE(LEFT($A54,LEN($A54)-1)),$A$4:$A$1000))) * INDEX($B$4:$B$1000,MATCH(VALUE(LEFT($A54,LEN($A54)-1)),$A$4:$A$1000)),"")</f>
        <v>54</v>
      </c>
      <c r="C54" s="38" t="str" cm="1">
        <f t="array" ref="C54">IFERROR(IF(INDEX($D$4:$H$1000,MATCH(VALUE(LEFT($A54,LEN($A54)-1)),$A$4:$A$1000,0),VALUE(RIGHT($A54,1)))= 0,"",INDEX($D$4:$H$1000,MATCH(VALUE(LEFT($A54,LEN($A54)-1)),$A$4:$A$1000,0),VALUE(RIGHT($A54,1)))),"")</f>
        <v>コンクリート被覆型鋼梁</v>
      </c>
      <c r="D54" s="23" t="str">
        <f>IFERROR(IF(INDEX(使用レシピ!F:F,MATCH(テンプレート!$C54,使用レシピ!$E:$E,0))&lt;&gt;0,INDEX(使用レシピ!F:F,MATCH(テンプレート!$C54,使用レシピ!$E:$E,0)),""),"")</f>
        <v>鋼管</v>
      </c>
      <c r="E54" t="str">
        <f>IFERROR(IF(INDEX(使用レシピ!G:G,MATCH(テンプレート!$C54,使用レシピ!$E:$E,0))&lt;&gt;0,INDEX(使用レシピ!G:G,MATCH(テンプレート!$C54,使用レシピ!$E:$E,0)),""),"")</f>
        <v>コンクリート</v>
      </c>
      <c r="F54" t="str">
        <f>IFERROR(IF(INDEX(使用レシピ!H:H,MATCH(テンプレート!$C54,使用レシピ!$E:$E,0))&lt;&gt;0,INDEX(使用レシピ!H:H,MATCH(テンプレート!$C54,使用レシピ!$E:$E,0)),""),"")</f>
        <v/>
      </c>
      <c r="G54" t="str">
        <f>IFERROR(IF(INDEX(使用レシピ!I:I,MATCH(テンプレート!$C54,使用レシピ!$E:$E,0))&lt;&gt;0,INDEX(使用レシピ!I:I,MATCH(テンプレート!$C54,使用レシピ!$E:$E,0)),""),"")</f>
        <v/>
      </c>
      <c r="H54" s="24" t="str">
        <f>IFERROR(IF(INDEX(使用レシピ!J:J,MATCH(テンプレート!$C54,使用レシピ!$E:$E,0))&lt;&gt;0,INDEX(使用レシピ!J:J,MATCH(テンプレート!$C54,使用レシピ!$E:$E,0)),""),"")</f>
        <v/>
      </c>
      <c r="I54" s="36">
        <f>IFERROR(IF(INDEX(使用レシピ!P:P,MATCH(テンプレート!$C54,使用レシピ!$E:$E,0))&lt;&gt;0,INDEX(使用レシピ!P:P,MATCH(テンプレート!$C54,使用レシピ!$E:$E,0)),""),"")</f>
        <v>1</v>
      </c>
      <c r="J54">
        <f>IFERROR(IF(INDEX(使用レシピ!K:K,MATCH(テンプレート!$C54,使用レシピ!$E:$E,0))&lt;&gt;0,INDEX(使用レシピ!K:K,MATCH(テンプレート!$C54,使用レシピ!$E:$E,0)),""),"")</f>
        <v>6</v>
      </c>
      <c r="K54">
        <f>IFERROR(IF(INDEX(使用レシピ!L:L,MATCH(テンプレート!$C54,使用レシピ!$E:$E,0))&lt;&gt;0,INDEX(使用レシピ!L:L,MATCH(テンプレート!$C54,使用レシピ!$E:$E,0)),""),"")</f>
        <v>5</v>
      </c>
      <c r="L54" t="str">
        <f>IFERROR(IF(INDEX(使用レシピ!M:M,MATCH(テンプレート!$C54,使用レシピ!$E:$E,0))&lt;&gt;0,INDEX(使用レシピ!M:M,MATCH(テンプレート!$C54,使用レシピ!$E:$E,0)),""),"")</f>
        <v/>
      </c>
      <c r="M54" t="str">
        <f>IFERROR(IF(INDEX(使用レシピ!N:N,MATCH(テンプレート!$C54,使用レシピ!$E:$E,0))&lt;&gt;0,INDEX(使用レシピ!N:N,MATCH(テンプレート!$C54,使用レシピ!$E:$E,0)),""),"")</f>
        <v/>
      </c>
      <c r="N54" s="24" t="str">
        <f>IFERROR(IF(INDEX(使用レシピ!O:O,MATCH(テンプレート!$C54,使用レシピ!$E:$E,0))&lt;&gt;0,INDEX(使用レシピ!O:O,MATCH(テンプレート!$C54,使用レシピ!$E:$E,0)),""),"")</f>
        <v/>
      </c>
      <c r="O54" s="42">
        <f>IFERROR(IF(INDEX(使用レシピ!P:P,MATCH(テンプレート!$C54,使用レシピ!$E:$E,0))&lt;&gt;0,INDEX(使用レシピ!P:P,MATCH(テンプレート!$C54,使用レシピ!$E:$E,0)),""),"")</f>
        <v>1</v>
      </c>
      <c r="P54" s="25">
        <f t="shared" si="5"/>
        <v>6</v>
      </c>
      <c r="Q54" s="26">
        <f t="shared" si="6"/>
        <v>5</v>
      </c>
      <c r="R54" s="26" t="str">
        <f t="shared" si="7"/>
        <v/>
      </c>
      <c r="S54" s="26" t="str">
        <f t="shared" si="8"/>
        <v/>
      </c>
      <c r="T54" s="43" t="str">
        <f t="shared" si="8"/>
        <v/>
      </c>
    </row>
    <row r="55" spans="1:20" x14ac:dyDescent="0.4">
      <c r="A55">
        <v>111213</v>
      </c>
      <c r="B55" s="47" cm="1">
        <f t="array" ref="B55">IFERROR((INDEX($P$4:$T$1000,MATCH(VALUE(LEFT($A55,LEN($A55)-1)),$A$4:$A$1000,0),VALUE(RIGHT($A55,1)))/ INDEX($O$4:$O$1000,MATCH(VALUE(LEFT($A55,LEN($A55)-1)),$A$4:$A$1000))) * INDEX($B$4:$B$1000,MATCH(VALUE(LEFT($A55,LEN($A55)-1)),$A$4:$A$1000)),"")</f>
        <v>90</v>
      </c>
      <c r="C55" s="38" t="str" cm="1">
        <f t="array" ref="C55">IFERROR(IF(INDEX($D$4:$H$1000,MATCH(VALUE(LEFT($A55,LEN($A55)-1)),$A$4:$A$1000,0),VALUE(RIGHT($A55,1)))= 0,"",INDEX($D$4:$H$1000,MATCH(VALUE(LEFT($A55,LEN($A55)-1)),$A$4:$A$1000,0),VALUE(RIGHT($A55,1)))),"")</f>
        <v>電磁制御棒</v>
      </c>
      <c r="D55" s="23" t="str">
        <f>IFERROR(IF(INDEX(使用レシピ!F:F,MATCH(テンプレート!$C55,使用レシピ!$E:$E,0))&lt;&gt;0,INDEX(使用レシピ!F:F,MATCH(テンプレート!$C55,使用レシピ!$E:$E,0)),""),"")</f>
        <v>固定子</v>
      </c>
      <c r="E55" t="str">
        <f>IFERROR(IF(INDEX(使用レシピ!G:G,MATCH(テンプレート!$C55,使用レシピ!$E:$E,0))&lt;&gt;0,INDEX(使用レシピ!G:G,MATCH(テンプレート!$C55,使用レシピ!$E:$E,0)),""),"")</f>
        <v>AIリミッター</v>
      </c>
      <c r="F55" t="str">
        <f>IFERROR(IF(INDEX(使用レシピ!H:H,MATCH(テンプレート!$C55,使用レシピ!$E:$E,0))&lt;&gt;0,INDEX(使用レシピ!H:H,MATCH(テンプレート!$C55,使用レシピ!$E:$E,0)),""),"")</f>
        <v/>
      </c>
      <c r="G55" t="str">
        <f>IFERROR(IF(INDEX(使用レシピ!I:I,MATCH(テンプレート!$C55,使用レシピ!$E:$E,0))&lt;&gt;0,INDEX(使用レシピ!I:I,MATCH(テンプレート!$C55,使用レシピ!$E:$E,0)),""),"")</f>
        <v/>
      </c>
      <c r="H55" s="24" t="str">
        <f>IFERROR(IF(INDEX(使用レシピ!J:J,MATCH(テンプレート!$C55,使用レシピ!$E:$E,0))&lt;&gt;0,INDEX(使用レシピ!J:J,MATCH(テンプレート!$C55,使用レシピ!$E:$E,0)),""),"")</f>
        <v/>
      </c>
      <c r="I55" s="36">
        <f>IFERROR(IF(INDEX(使用レシピ!P:P,MATCH(テンプレート!$C55,使用レシピ!$E:$E,0))&lt;&gt;0,INDEX(使用レシピ!P:P,MATCH(テンプレート!$C55,使用レシピ!$E:$E,0)),""),"")</f>
        <v>2</v>
      </c>
      <c r="J55">
        <f>IFERROR(IF(INDEX(使用レシピ!K:K,MATCH(テンプレート!$C55,使用レシピ!$E:$E,0))&lt;&gt;0,INDEX(使用レシピ!K:K,MATCH(テンプレート!$C55,使用レシピ!$E:$E,0)),""),"")</f>
        <v>3</v>
      </c>
      <c r="K55">
        <f>IFERROR(IF(INDEX(使用レシピ!L:L,MATCH(テンプレート!$C55,使用レシピ!$E:$E,0))&lt;&gt;0,INDEX(使用レシピ!L:L,MATCH(テンプレート!$C55,使用レシピ!$E:$E,0)),""),"")</f>
        <v>2</v>
      </c>
      <c r="L55" t="str">
        <f>IFERROR(IF(INDEX(使用レシピ!M:M,MATCH(テンプレート!$C55,使用レシピ!$E:$E,0))&lt;&gt;0,INDEX(使用レシピ!M:M,MATCH(テンプレート!$C55,使用レシピ!$E:$E,0)),""),"")</f>
        <v/>
      </c>
      <c r="M55" t="str">
        <f>IFERROR(IF(INDEX(使用レシピ!N:N,MATCH(テンプレート!$C55,使用レシピ!$E:$E,0))&lt;&gt;0,INDEX(使用レシピ!N:N,MATCH(テンプレート!$C55,使用レシピ!$E:$E,0)),""),"")</f>
        <v/>
      </c>
      <c r="N55" s="24" t="str">
        <f>IFERROR(IF(INDEX(使用レシピ!O:O,MATCH(テンプレート!$C55,使用レシピ!$E:$E,0))&lt;&gt;0,INDEX(使用レシピ!O:O,MATCH(テンプレート!$C55,使用レシピ!$E:$E,0)),""),"")</f>
        <v/>
      </c>
      <c r="O55" s="42">
        <f>IFERROR(IF(INDEX(使用レシピ!P:P,MATCH(テンプレート!$C55,使用レシピ!$E:$E,0))&lt;&gt;0,INDEX(使用レシピ!P:P,MATCH(テンプレート!$C55,使用レシピ!$E:$E,0)),""),"")</f>
        <v>2</v>
      </c>
      <c r="P55" s="25">
        <f t="shared" si="5"/>
        <v>3</v>
      </c>
      <c r="Q55" s="26">
        <f t="shared" si="6"/>
        <v>2</v>
      </c>
      <c r="R55" s="26" t="str">
        <f t="shared" si="7"/>
        <v/>
      </c>
      <c r="S55" s="26" t="str">
        <f t="shared" si="8"/>
        <v/>
      </c>
      <c r="T55" s="43" t="str">
        <f t="shared" si="8"/>
        <v/>
      </c>
    </row>
    <row r="56" spans="1:20" x14ac:dyDescent="0.4">
      <c r="A56">
        <v>111214</v>
      </c>
      <c r="B56" s="47" t="str" cm="1">
        <f t="array" ref="B56">IFERROR((INDEX($P$4:$T$1000,MATCH(VALUE(LEFT($A56,LEN($A56)-1)),$A$4:$A$1000,0),VALUE(RIGHT($A56,1)))/ INDEX($O$4:$O$1000,MATCH(VALUE(LEFT($A56,LEN($A56)-1)),$A$4:$A$1000))) * INDEX($B$4:$B$1000,MATCH(VALUE(LEFT($A56,LEN($A56)-1)),$A$4:$A$1000)),"")</f>
        <v/>
      </c>
      <c r="C56" s="38" t="str" cm="1">
        <f t="array" ref="C56">IFERROR(IF(INDEX($D$4:$H$1000,MATCH(VALUE(LEFT($A56,LEN($A56)-1)),$A$4:$A$1000,0),VALUE(RIGHT($A56,1)))= 0,"",INDEX($D$4:$H$1000,MATCH(VALUE(LEFT($A56,LEN($A56)-1)),$A$4:$A$1000,0),VALUE(RIGHT($A56,1)))),"")</f>
        <v/>
      </c>
      <c r="D56" s="23" t="str">
        <f>IFERROR(IF(INDEX(使用レシピ!F:F,MATCH(テンプレート!$C56,使用レシピ!$E:$E,0))&lt;&gt;0,INDEX(使用レシピ!F:F,MATCH(テンプレート!$C56,使用レシピ!$E:$E,0)),""),"")</f>
        <v/>
      </c>
      <c r="E56" t="str">
        <f>IFERROR(IF(INDEX(使用レシピ!G:G,MATCH(テンプレート!$C56,使用レシピ!$E:$E,0))&lt;&gt;0,INDEX(使用レシピ!G:G,MATCH(テンプレート!$C56,使用レシピ!$E:$E,0)),""),"")</f>
        <v/>
      </c>
      <c r="F56" t="str">
        <f>IFERROR(IF(INDEX(使用レシピ!H:H,MATCH(テンプレート!$C56,使用レシピ!$E:$E,0))&lt;&gt;0,INDEX(使用レシピ!H:H,MATCH(テンプレート!$C56,使用レシピ!$E:$E,0)),""),"")</f>
        <v/>
      </c>
      <c r="G56" t="str">
        <f>IFERROR(IF(INDEX(使用レシピ!I:I,MATCH(テンプレート!$C56,使用レシピ!$E:$E,0))&lt;&gt;0,INDEX(使用レシピ!I:I,MATCH(テンプレート!$C56,使用レシピ!$E:$E,0)),""),"")</f>
        <v/>
      </c>
      <c r="H56" s="24" t="str">
        <f>IFERROR(IF(INDEX(使用レシピ!J:J,MATCH(テンプレート!$C56,使用レシピ!$E:$E,0))&lt;&gt;0,INDEX(使用レシピ!J:J,MATCH(テンプレート!$C56,使用レシピ!$E:$E,0)),""),"")</f>
        <v/>
      </c>
      <c r="I56" s="36" t="str">
        <f>IFERROR(IF(INDEX(使用レシピ!P:P,MATCH(テンプレート!$C56,使用レシピ!$E:$E,0))&lt;&gt;0,INDEX(使用レシピ!P:P,MATCH(テンプレート!$C56,使用レシピ!$E:$E,0)),""),"")</f>
        <v/>
      </c>
      <c r="J56" t="str">
        <f>IFERROR(IF(INDEX(使用レシピ!K:K,MATCH(テンプレート!$C56,使用レシピ!$E:$E,0))&lt;&gt;0,INDEX(使用レシピ!K:K,MATCH(テンプレート!$C56,使用レシピ!$E:$E,0)),""),"")</f>
        <v/>
      </c>
      <c r="K56" t="str">
        <f>IFERROR(IF(INDEX(使用レシピ!L:L,MATCH(テンプレート!$C56,使用レシピ!$E:$E,0))&lt;&gt;0,INDEX(使用レシピ!L:L,MATCH(テンプレート!$C56,使用レシピ!$E:$E,0)),""),"")</f>
        <v/>
      </c>
      <c r="L56" t="str">
        <f>IFERROR(IF(INDEX(使用レシピ!M:M,MATCH(テンプレート!$C56,使用レシピ!$E:$E,0))&lt;&gt;0,INDEX(使用レシピ!M:M,MATCH(テンプレート!$C56,使用レシピ!$E:$E,0)),""),"")</f>
        <v/>
      </c>
      <c r="M56" t="str">
        <f>IFERROR(IF(INDEX(使用レシピ!N:N,MATCH(テンプレート!$C56,使用レシピ!$E:$E,0))&lt;&gt;0,INDEX(使用レシピ!N:N,MATCH(テンプレート!$C56,使用レシピ!$E:$E,0)),""),"")</f>
        <v/>
      </c>
      <c r="N56" s="24" t="str">
        <f>IFERROR(IF(INDEX(使用レシピ!O:O,MATCH(テンプレート!$C56,使用レシピ!$E:$E,0))&lt;&gt;0,INDEX(使用レシピ!O:O,MATCH(テンプレート!$C56,使用レシピ!$E:$E,0)),""),"")</f>
        <v/>
      </c>
      <c r="O56" s="42" t="str">
        <f>IFERROR(IF(INDEX(使用レシピ!P:P,MATCH(テンプレート!$C56,使用レシピ!$E:$E,0))&lt;&gt;0,INDEX(使用レシピ!P:P,MATCH(テンプレート!$C56,使用レシピ!$E:$E,0)),""),"")</f>
        <v/>
      </c>
      <c r="P56" s="25" t="str">
        <f t="shared" si="5"/>
        <v/>
      </c>
      <c r="Q56" s="26" t="str">
        <f t="shared" si="6"/>
        <v/>
      </c>
      <c r="R56" s="26" t="str">
        <f t="shared" si="7"/>
        <v/>
      </c>
      <c r="S56" s="26" t="str">
        <f t="shared" si="8"/>
        <v/>
      </c>
      <c r="T56" s="43" t="str">
        <f t="shared" si="8"/>
        <v/>
      </c>
    </row>
    <row r="57" spans="1:20" x14ac:dyDescent="0.4">
      <c r="A57">
        <v>121111</v>
      </c>
      <c r="B57" s="47" t="str" cm="1">
        <f t="array" ref="B57">IFERROR((INDEX($P$4:$T$1000,MATCH(VALUE(LEFT($A57,LEN($A57)-1)),$A$4:$A$1000,0),VALUE(RIGHT($A57,1)))/ INDEX($O$4:$O$1000,MATCH(VALUE(LEFT($A57,LEN($A57)-1)),$A$4:$A$1000))) * INDEX($B$4:$B$1000,MATCH(VALUE(LEFT($A57,LEN($A57)-1)),$A$4:$A$1000)),"")</f>
        <v/>
      </c>
      <c r="C57" s="38" t="str" cm="1">
        <f t="array" ref="C57">IFERROR(IF(INDEX($D$4:$H$1000,MATCH(VALUE(LEFT($A57,LEN($A57)-1)),$A$4:$A$1000,0),VALUE(RIGHT($A57,1)))= 0,"",INDEX($D$4:$H$1000,MATCH(VALUE(LEFT($A57,LEN($A57)-1)),$A$4:$A$1000,0),VALUE(RIGHT($A57,1)))),"")</f>
        <v/>
      </c>
      <c r="D57" s="23" t="str">
        <f>IFERROR(IF(INDEX(使用レシピ!F:F,MATCH(テンプレート!$C57,使用レシピ!$E:$E,0))&lt;&gt;0,INDEX(使用レシピ!F:F,MATCH(テンプレート!$C57,使用レシピ!$E:$E,0)),""),"")</f>
        <v/>
      </c>
      <c r="E57" t="str">
        <f>IFERROR(IF(INDEX(使用レシピ!G:G,MATCH(テンプレート!$C57,使用レシピ!$E:$E,0))&lt;&gt;0,INDEX(使用レシピ!G:G,MATCH(テンプレート!$C57,使用レシピ!$E:$E,0)),""),"")</f>
        <v/>
      </c>
      <c r="F57" t="str">
        <f>IFERROR(IF(INDEX(使用レシピ!H:H,MATCH(テンプレート!$C57,使用レシピ!$E:$E,0))&lt;&gt;0,INDEX(使用レシピ!H:H,MATCH(テンプレート!$C57,使用レシピ!$E:$E,0)),""),"")</f>
        <v/>
      </c>
      <c r="G57" t="str">
        <f>IFERROR(IF(INDEX(使用レシピ!I:I,MATCH(テンプレート!$C57,使用レシピ!$E:$E,0))&lt;&gt;0,INDEX(使用レシピ!I:I,MATCH(テンプレート!$C57,使用レシピ!$E:$E,0)),""),"")</f>
        <v/>
      </c>
      <c r="H57" s="24" t="str">
        <f>IFERROR(IF(INDEX(使用レシピ!J:J,MATCH(テンプレート!$C57,使用レシピ!$E:$E,0))&lt;&gt;0,INDEX(使用レシピ!J:J,MATCH(テンプレート!$C57,使用レシピ!$E:$E,0)),""),"")</f>
        <v/>
      </c>
      <c r="I57" s="36" t="str">
        <f>IFERROR(IF(INDEX(使用レシピ!P:P,MATCH(テンプレート!$C57,使用レシピ!$E:$E,0))&lt;&gt;0,INDEX(使用レシピ!P:P,MATCH(テンプレート!$C57,使用レシピ!$E:$E,0)),""),"")</f>
        <v/>
      </c>
      <c r="J57" t="str">
        <f>IFERROR(IF(INDEX(使用レシピ!K:K,MATCH(テンプレート!$C57,使用レシピ!$E:$E,0))&lt;&gt;0,INDEX(使用レシピ!K:K,MATCH(テンプレート!$C57,使用レシピ!$E:$E,0)),""),"")</f>
        <v/>
      </c>
      <c r="K57" t="str">
        <f>IFERROR(IF(INDEX(使用レシピ!L:L,MATCH(テンプレート!$C57,使用レシピ!$E:$E,0))&lt;&gt;0,INDEX(使用レシピ!L:L,MATCH(テンプレート!$C57,使用レシピ!$E:$E,0)),""),"")</f>
        <v/>
      </c>
      <c r="L57" t="str">
        <f>IFERROR(IF(INDEX(使用レシピ!M:M,MATCH(テンプレート!$C57,使用レシピ!$E:$E,0))&lt;&gt;0,INDEX(使用レシピ!M:M,MATCH(テンプレート!$C57,使用レシピ!$E:$E,0)),""),"")</f>
        <v/>
      </c>
      <c r="M57" t="str">
        <f>IFERROR(IF(INDEX(使用レシピ!N:N,MATCH(テンプレート!$C57,使用レシピ!$E:$E,0))&lt;&gt;0,INDEX(使用レシピ!N:N,MATCH(テンプレート!$C57,使用レシピ!$E:$E,0)),""),"")</f>
        <v/>
      </c>
      <c r="N57" s="24" t="str">
        <f>IFERROR(IF(INDEX(使用レシピ!O:O,MATCH(テンプレート!$C57,使用レシピ!$E:$E,0))&lt;&gt;0,INDEX(使用レシピ!O:O,MATCH(テンプレート!$C57,使用レシピ!$E:$E,0)),""),"")</f>
        <v/>
      </c>
      <c r="O57" s="42" t="str">
        <f>IFERROR(IF(INDEX(使用レシピ!P:P,MATCH(テンプレート!$C57,使用レシピ!$E:$E,0))&lt;&gt;0,INDEX(使用レシピ!P:P,MATCH(テンプレート!$C57,使用レシピ!$E:$E,0)),""),"")</f>
        <v/>
      </c>
      <c r="P57" s="25" t="str">
        <f t="shared" si="5"/>
        <v/>
      </c>
      <c r="Q57" s="26" t="str">
        <f t="shared" si="6"/>
        <v/>
      </c>
      <c r="R57" s="26" t="str">
        <f t="shared" si="7"/>
        <v/>
      </c>
      <c r="S57" s="26" t="str">
        <f t="shared" si="8"/>
        <v/>
      </c>
      <c r="T57" s="43" t="str">
        <f t="shared" si="8"/>
        <v/>
      </c>
    </row>
    <row r="58" spans="1:20" x14ac:dyDescent="0.4">
      <c r="A58">
        <v>121112</v>
      </c>
      <c r="B58" s="47" t="str" cm="1">
        <f t="array" ref="B58">IFERROR((INDEX($P$4:$T$1000,MATCH(VALUE(LEFT($A58,LEN($A58)-1)),$A$4:$A$1000,0),VALUE(RIGHT($A58,1)))/ INDEX($O$4:$O$1000,MATCH(VALUE(LEFT($A58,LEN($A58)-1)),$A$4:$A$1000))) * INDEX($B$4:$B$1000,MATCH(VALUE(LEFT($A58,LEN($A58)-1)),$A$4:$A$1000)),"")</f>
        <v/>
      </c>
      <c r="C58" s="38" t="str" cm="1">
        <f t="array" ref="C58">IFERROR(IF(INDEX($D$4:$H$1000,MATCH(VALUE(LEFT($A58,LEN($A58)-1)),$A$4:$A$1000,0),VALUE(RIGHT($A58,1)))= 0,"",INDEX($D$4:$H$1000,MATCH(VALUE(LEFT($A58,LEN($A58)-1)),$A$4:$A$1000,0),VALUE(RIGHT($A58,1)))),"")</f>
        <v/>
      </c>
      <c r="D58" s="23" t="str">
        <f>IFERROR(IF(INDEX(使用レシピ!F:F,MATCH(テンプレート!$C58,使用レシピ!$E:$E,0))&lt;&gt;0,INDEX(使用レシピ!F:F,MATCH(テンプレート!$C58,使用レシピ!$E:$E,0)),""),"")</f>
        <v/>
      </c>
      <c r="E58" t="str">
        <f>IFERROR(IF(INDEX(使用レシピ!G:G,MATCH(テンプレート!$C58,使用レシピ!$E:$E,0))&lt;&gt;0,INDEX(使用レシピ!G:G,MATCH(テンプレート!$C58,使用レシピ!$E:$E,0)),""),"")</f>
        <v/>
      </c>
      <c r="F58" t="str">
        <f>IFERROR(IF(INDEX(使用レシピ!H:H,MATCH(テンプレート!$C58,使用レシピ!$E:$E,0))&lt;&gt;0,INDEX(使用レシピ!H:H,MATCH(テンプレート!$C58,使用レシピ!$E:$E,0)),""),"")</f>
        <v/>
      </c>
      <c r="G58" t="str">
        <f>IFERROR(IF(INDEX(使用レシピ!I:I,MATCH(テンプレート!$C58,使用レシピ!$E:$E,0))&lt;&gt;0,INDEX(使用レシピ!I:I,MATCH(テンプレート!$C58,使用レシピ!$E:$E,0)),""),"")</f>
        <v/>
      </c>
      <c r="H58" s="24" t="str">
        <f>IFERROR(IF(INDEX(使用レシピ!J:J,MATCH(テンプレート!$C58,使用レシピ!$E:$E,0))&lt;&gt;0,INDEX(使用レシピ!J:J,MATCH(テンプレート!$C58,使用レシピ!$E:$E,0)),""),"")</f>
        <v/>
      </c>
      <c r="I58" s="36" t="str">
        <f>IFERROR(IF(INDEX(使用レシピ!P:P,MATCH(テンプレート!$C58,使用レシピ!$E:$E,0))&lt;&gt;0,INDEX(使用レシピ!P:P,MATCH(テンプレート!$C58,使用レシピ!$E:$E,0)),""),"")</f>
        <v/>
      </c>
      <c r="J58" t="str">
        <f>IFERROR(IF(INDEX(使用レシピ!K:K,MATCH(テンプレート!$C58,使用レシピ!$E:$E,0))&lt;&gt;0,INDEX(使用レシピ!K:K,MATCH(テンプレート!$C58,使用レシピ!$E:$E,0)),""),"")</f>
        <v/>
      </c>
      <c r="K58" t="str">
        <f>IFERROR(IF(INDEX(使用レシピ!L:L,MATCH(テンプレート!$C58,使用レシピ!$E:$E,0))&lt;&gt;0,INDEX(使用レシピ!L:L,MATCH(テンプレート!$C58,使用レシピ!$E:$E,0)),""),"")</f>
        <v/>
      </c>
      <c r="L58" t="str">
        <f>IFERROR(IF(INDEX(使用レシピ!M:M,MATCH(テンプレート!$C58,使用レシピ!$E:$E,0))&lt;&gt;0,INDEX(使用レシピ!M:M,MATCH(テンプレート!$C58,使用レシピ!$E:$E,0)),""),"")</f>
        <v/>
      </c>
      <c r="M58" t="str">
        <f>IFERROR(IF(INDEX(使用レシピ!N:N,MATCH(テンプレート!$C58,使用レシピ!$E:$E,0))&lt;&gt;0,INDEX(使用レシピ!N:N,MATCH(テンプレート!$C58,使用レシピ!$E:$E,0)),""),"")</f>
        <v/>
      </c>
      <c r="N58" s="24" t="str">
        <f>IFERROR(IF(INDEX(使用レシピ!O:O,MATCH(テンプレート!$C58,使用レシピ!$E:$E,0))&lt;&gt;0,INDEX(使用レシピ!O:O,MATCH(テンプレート!$C58,使用レシピ!$E:$E,0)),""),"")</f>
        <v/>
      </c>
      <c r="O58" s="42" t="str">
        <f>IFERROR(IF(INDEX(使用レシピ!P:P,MATCH(テンプレート!$C58,使用レシピ!$E:$E,0))&lt;&gt;0,INDEX(使用レシピ!P:P,MATCH(テンプレート!$C58,使用レシピ!$E:$E,0)),""),"")</f>
        <v/>
      </c>
      <c r="P58" s="25" t="str">
        <f t="shared" si="5"/>
        <v/>
      </c>
      <c r="Q58" s="26" t="str">
        <f t="shared" si="6"/>
        <v/>
      </c>
      <c r="R58" s="26" t="str">
        <f t="shared" si="7"/>
        <v/>
      </c>
      <c r="S58" s="26" t="str">
        <f t="shared" si="8"/>
        <v/>
      </c>
      <c r="T58" s="43" t="str">
        <f t="shared" si="8"/>
        <v/>
      </c>
    </row>
    <row r="59" spans="1:20" x14ac:dyDescent="0.4">
      <c r="A59">
        <v>121121</v>
      </c>
      <c r="B59" s="47" t="str" cm="1">
        <f t="array" ref="B59">IFERROR((INDEX($P$4:$T$1000,MATCH(VALUE(LEFT($A59,LEN($A59)-1)),$A$4:$A$1000,0),VALUE(RIGHT($A59,1)))/ INDEX($O$4:$O$1000,MATCH(VALUE(LEFT($A59,LEN($A59)-1)),$A$4:$A$1000))) * INDEX($B$4:$B$1000,MATCH(VALUE(LEFT($A59,LEN($A59)-1)),$A$4:$A$1000)),"")</f>
        <v/>
      </c>
      <c r="C59" s="38" t="str" cm="1">
        <f t="array" ref="C59">IFERROR(IF(INDEX($D$4:$H$1000,MATCH(VALUE(LEFT($A59,LEN($A59)-1)),$A$4:$A$1000,0),VALUE(RIGHT($A59,1)))= 0,"",INDEX($D$4:$H$1000,MATCH(VALUE(LEFT($A59,LEN($A59)-1)),$A$4:$A$1000,0),VALUE(RIGHT($A59,1)))),"")</f>
        <v/>
      </c>
      <c r="D59" s="23" t="str">
        <f>IFERROR(IF(INDEX(使用レシピ!F:F,MATCH(テンプレート!$C59,使用レシピ!$E:$E,0))&lt;&gt;0,INDEX(使用レシピ!F:F,MATCH(テンプレート!$C59,使用レシピ!$E:$E,0)),""),"")</f>
        <v/>
      </c>
      <c r="E59" t="str">
        <f>IFERROR(IF(INDEX(使用レシピ!G:G,MATCH(テンプレート!$C59,使用レシピ!$E:$E,0))&lt;&gt;0,INDEX(使用レシピ!G:G,MATCH(テンプレート!$C59,使用レシピ!$E:$E,0)),""),"")</f>
        <v/>
      </c>
      <c r="F59" t="str">
        <f>IFERROR(IF(INDEX(使用レシピ!H:H,MATCH(テンプレート!$C59,使用レシピ!$E:$E,0))&lt;&gt;0,INDEX(使用レシピ!H:H,MATCH(テンプレート!$C59,使用レシピ!$E:$E,0)),""),"")</f>
        <v/>
      </c>
      <c r="G59" t="str">
        <f>IFERROR(IF(INDEX(使用レシピ!I:I,MATCH(テンプレート!$C59,使用レシピ!$E:$E,0))&lt;&gt;0,INDEX(使用レシピ!I:I,MATCH(テンプレート!$C59,使用レシピ!$E:$E,0)),""),"")</f>
        <v/>
      </c>
      <c r="H59" s="24" t="str">
        <f>IFERROR(IF(INDEX(使用レシピ!J:J,MATCH(テンプレート!$C59,使用レシピ!$E:$E,0))&lt;&gt;0,INDEX(使用レシピ!J:J,MATCH(テンプレート!$C59,使用レシピ!$E:$E,0)),""),"")</f>
        <v/>
      </c>
      <c r="I59" s="36" t="str">
        <f>IFERROR(IF(INDEX(使用レシピ!P:P,MATCH(テンプレート!$C59,使用レシピ!$E:$E,0))&lt;&gt;0,INDEX(使用レシピ!P:P,MATCH(テンプレート!$C59,使用レシピ!$E:$E,0)),""),"")</f>
        <v/>
      </c>
      <c r="J59" t="str">
        <f>IFERROR(IF(INDEX(使用レシピ!K:K,MATCH(テンプレート!$C59,使用レシピ!$E:$E,0))&lt;&gt;0,INDEX(使用レシピ!K:K,MATCH(テンプレート!$C59,使用レシピ!$E:$E,0)),""),"")</f>
        <v/>
      </c>
      <c r="K59" t="str">
        <f>IFERROR(IF(INDEX(使用レシピ!L:L,MATCH(テンプレート!$C59,使用レシピ!$E:$E,0))&lt;&gt;0,INDEX(使用レシピ!L:L,MATCH(テンプレート!$C59,使用レシピ!$E:$E,0)),""),"")</f>
        <v/>
      </c>
      <c r="L59" t="str">
        <f>IFERROR(IF(INDEX(使用レシピ!M:M,MATCH(テンプレート!$C59,使用レシピ!$E:$E,0))&lt;&gt;0,INDEX(使用レシピ!M:M,MATCH(テンプレート!$C59,使用レシピ!$E:$E,0)),""),"")</f>
        <v/>
      </c>
      <c r="M59" t="str">
        <f>IFERROR(IF(INDEX(使用レシピ!N:N,MATCH(テンプレート!$C59,使用レシピ!$E:$E,0))&lt;&gt;0,INDEX(使用レシピ!N:N,MATCH(テンプレート!$C59,使用レシピ!$E:$E,0)),""),"")</f>
        <v/>
      </c>
      <c r="N59" s="24" t="str">
        <f>IFERROR(IF(INDEX(使用レシピ!O:O,MATCH(テンプレート!$C59,使用レシピ!$E:$E,0))&lt;&gt;0,INDEX(使用レシピ!O:O,MATCH(テンプレート!$C59,使用レシピ!$E:$E,0)),""),"")</f>
        <v/>
      </c>
      <c r="O59" s="42" t="str">
        <f>IFERROR(IF(INDEX(使用レシピ!P:P,MATCH(テンプレート!$C59,使用レシピ!$E:$E,0))&lt;&gt;0,INDEX(使用レシピ!P:P,MATCH(テンプレート!$C59,使用レシピ!$E:$E,0)),""),"")</f>
        <v/>
      </c>
      <c r="P59" s="25" t="str">
        <f t="shared" si="5"/>
        <v/>
      </c>
      <c r="Q59" s="26" t="str">
        <f t="shared" si="6"/>
        <v/>
      </c>
      <c r="R59" s="26" t="str">
        <f t="shared" si="7"/>
        <v/>
      </c>
      <c r="S59" s="26" t="str">
        <f t="shared" si="8"/>
        <v/>
      </c>
      <c r="T59" s="43" t="str">
        <f t="shared" si="8"/>
        <v/>
      </c>
    </row>
    <row r="60" spans="1:20" x14ac:dyDescent="0.4">
      <c r="A60">
        <v>121122</v>
      </c>
      <c r="B60" s="47" t="str" cm="1">
        <f t="array" ref="B60">IFERROR((INDEX($P$4:$T$1000,MATCH(VALUE(LEFT($A60,LEN($A60)-1)),$A$4:$A$1000,0),VALUE(RIGHT($A60,1)))/ INDEX($O$4:$O$1000,MATCH(VALUE(LEFT($A60,LEN($A60)-1)),$A$4:$A$1000))) * INDEX($B$4:$B$1000,MATCH(VALUE(LEFT($A60,LEN($A60)-1)),$A$4:$A$1000)),"")</f>
        <v/>
      </c>
      <c r="C60" s="38" t="str" cm="1">
        <f t="array" ref="C60">IFERROR(IF(INDEX($D$4:$H$1000,MATCH(VALUE(LEFT($A60,LEN($A60)-1)),$A$4:$A$1000,0),VALUE(RIGHT($A60,1)))= 0,"",INDEX($D$4:$H$1000,MATCH(VALUE(LEFT($A60,LEN($A60)-1)),$A$4:$A$1000,0),VALUE(RIGHT($A60,1)))),"")</f>
        <v/>
      </c>
      <c r="D60" s="23" t="str">
        <f>IFERROR(IF(INDEX(使用レシピ!F:F,MATCH(テンプレート!$C60,使用レシピ!$E:$E,0))&lt;&gt;0,INDEX(使用レシピ!F:F,MATCH(テンプレート!$C60,使用レシピ!$E:$E,0)),""),"")</f>
        <v/>
      </c>
      <c r="E60" t="str">
        <f>IFERROR(IF(INDEX(使用レシピ!G:G,MATCH(テンプレート!$C60,使用レシピ!$E:$E,0))&lt;&gt;0,INDEX(使用レシピ!G:G,MATCH(テンプレート!$C60,使用レシピ!$E:$E,0)),""),"")</f>
        <v/>
      </c>
      <c r="F60" t="str">
        <f>IFERROR(IF(INDEX(使用レシピ!H:H,MATCH(テンプレート!$C60,使用レシピ!$E:$E,0))&lt;&gt;0,INDEX(使用レシピ!H:H,MATCH(テンプレート!$C60,使用レシピ!$E:$E,0)),""),"")</f>
        <v/>
      </c>
      <c r="G60" t="str">
        <f>IFERROR(IF(INDEX(使用レシピ!I:I,MATCH(テンプレート!$C60,使用レシピ!$E:$E,0))&lt;&gt;0,INDEX(使用レシピ!I:I,MATCH(テンプレート!$C60,使用レシピ!$E:$E,0)),""),"")</f>
        <v/>
      </c>
      <c r="H60" s="24" t="str">
        <f>IFERROR(IF(INDEX(使用レシピ!J:J,MATCH(テンプレート!$C60,使用レシピ!$E:$E,0))&lt;&gt;0,INDEX(使用レシピ!J:J,MATCH(テンプレート!$C60,使用レシピ!$E:$E,0)),""),"")</f>
        <v/>
      </c>
      <c r="I60" s="36" t="str">
        <f>IFERROR(IF(INDEX(使用レシピ!P:P,MATCH(テンプレート!$C60,使用レシピ!$E:$E,0))&lt;&gt;0,INDEX(使用レシピ!P:P,MATCH(テンプレート!$C60,使用レシピ!$E:$E,0)),""),"")</f>
        <v/>
      </c>
      <c r="J60" t="str">
        <f>IFERROR(IF(INDEX(使用レシピ!K:K,MATCH(テンプレート!$C60,使用レシピ!$E:$E,0))&lt;&gt;0,INDEX(使用レシピ!K:K,MATCH(テンプレート!$C60,使用レシピ!$E:$E,0)),""),"")</f>
        <v/>
      </c>
      <c r="K60" t="str">
        <f>IFERROR(IF(INDEX(使用レシピ!L:L,MATCH(テンプレート!$C60,使用レシピ!$E:$E,0))&lt;&gt;0,INDEX(使用レシピ!L:L,MATCH(テンプレート!$C60,使用レシピ!$E:$E,0)),""),"")</f>
        <v/>
      </c>
      <c r="L60" t="str">
        <f>IFERROR(IF(INDEX(使用レシピ!M:M,MATCH(テンプレート!$C60,使用レシピ!$E:$E,0))&lt;&gt;0,INDEX(使用レシピ!M:M,MATCH(テンプレート!$C60,使用レシピ!$E:$E,0)),""),"")</f>
        <v/>
      </c>
      <c r="M60" t="str">
        <f>IFERROR(IF(INDEX(使用レシピ!N:N,MATCH(テンプレート!$C60,使用レシピ!$E:$E,0))&lt;&gt;0,INDEX(使用レシピ!N:N,MATCH(テンプレート!$C60,使用レシピ!$E:$E,0)),""),"")</f>
        <v/>
      </c>
      <c r="N60" s="24" t="str">
        <f>IFERROR(IF(INDEX(使用レシピ!O:O,MATCH(テンプレート!$C60,使用レシピ!$E:$E,0))&lt;&gt;0,INDEX(使用レシピ!O:O,MATCH(テンプレート!$C60,使用レシピ!$E:$E,0)),""),"")</f>
        <v/>
      </c>
      <c r="O60" s="42" t="str">
        <f>IFERROR(IF(INDEX(使用レシピ!P:P,MATCH(テンプレート!$C60,使用レシピ!$E:$E,0))&lt;&gt;0,INDEX(使用レシピ!P:P,MATCH(テンプレート!$C60,使用レシピ!$E:$E,0)),""),"")</f>
        <v/>
      </c>
      <c r="P60" s="25" t="str">
        <f t="shared" si="5"/>
        <v/>
      </c>
      <c r="Q60" s="26" t="str">
        <f t="shared" si="6"/>
        <v/>
      </c>
      <c r="R60" s="26" t="str">
        <f t="shared" si="7"/>
        <v/>
      </c>
      <c r="S60" s="26" t="str">
        <f t="shared" si="8"/>
        <v/>
      </c>
      <c r="T60" s="43" t="str">
        <f t="shared" si="8"/>
        <v/>
      </c>
    </row>
    <row r="61" spans="1:20" x14ac:dyDescent="0.4">
      <c r="A61">
        <v>121131</v>
      </c>
      <c r="B61" s="47" t="str" cm="1">
        <f t="array" ref="B61">IFERROR((INDEX($P$4:$T$1000,MATCH(VALUE(LEFT($A61,LEN($A61)-1)),$A$4:$A$1000,0),VALUE(RIGHT($A61,1)))/ INDEX($O$4:$O$1000,MATCH(VALUE(LEFT($A61,LEN($A61)-1)),$A$4:$A$1000))) * INDEX($B$4:$B$1000,MATCH(VALUE(LEFT($A61,LEN($A61)-1)),$A$4:$A$1000)),"")</f>
        <v/>
      </c>
      <c r="C61" s="38" t="str" cm="1">
        <f t="array" ref="C61">IFERROR(IF(INDEX($D$4:$H$1000,MATCH(VALUE(LEFT($A61,LEN($A61)-1)),$A$4:$A$1000,0),VALUE(RIGHT($A61,1)))= 0,"",INDEX($D$4:$H$1000,MATCH(VALUE(LEFT($A61,LEN($A61)-1)),$A$4:$A$1000,0),VALUE(RIGHT($A61,1)))),"")</f>
        <v/>
      </c>
      <c r="D61" s="23" t="str">
        <f>IFERROR(IF(INDEX(使用レシピ!F:F,MATCH(テンプレート!$C61,使用レシピ!$E:$E,0))&lt;&gt;0,INDEX(使用レシピ!F:F,MATCH(テンプレート!$C61,使用レシピ!$E:$E,0)),""),"")</f>
        <v/>
      </c>
      <c r="E61" t="str">
        <f>IFERROR(IF(INDEX(使用レシピ!G:G,MATCH(テンプレート!$C61,使用レシピ!$E:$E,0))&lt;&gt;0,INDEX(使用レシピ!G:G,MATCH(テンプレート!$C61,使用レシピ!$E:$E,0)),""),"")</f>
        <v/>
      </c>
      <c r="F61" t="str">
        <f>IFERROR(IF(INDEX(使用レシピ!H:H,MATCH(テンプレート!$C61,使用レシピ!$E:$E,0))&lt;&gt;0,INDEX(使用レシピ!H:H,MATCH(テンプレート!$C61,使用レシピ!$E:$E,0)),""),"")</f>
        <v/>
      </c>
      <c r="G61" t="str">
        <f>IFERROR(IF(INDEX(使用レシピ!I:I,MATCH(テンプレート!$C61,使用レシピ!$E:$E,0))&lt;&gt;0,INDEX(使用レシピ!I:I,MATCH(テンプレート!$C61,使用レシピ!$E:$E,0)),""),"")</f>
        <v/>
      </c>
      <c r="H61" s="24" t="str">
        <f>IFERROR(IF(INDEX(使用レシピ!J:J,MATCH(テンプレート!$C61,使用レシピ!$E:$E,0))&lt;&gt;0,INDEX(使用レシピ!J:J,MATCH(テンプレート!$C61,使用レシピ!$E:$E,0)),""),"")</f>
        <v/>
      </c>
      <c r="I61" s="36" t="str">
        <f>IFERROR(IF(INDEX(使用レシピ!P:P,MATCH(テンプレート!$C61,使用レシピ!$E:$E,0))&lt;&gt;0,INDEX(使用レシピ!P:P,MATCH(テンプレート!$C61,使用レシピ!$E:$E,0)),""),"")</f>
        <v/>
      </c>
      <c r="J61" t="str">
        <f>IFERROR(IF(INDEX(使用レシピ!K:K,MATCH(テンプレート!$C61,使用レシピ!$E:$E,0))&lt;&gt;0,INDEX(使用レシピ!K:K,MATCH(テンプレート!$C61,使用レシピ!$E:$E,0)),""),"")</f>
        <v/>
      </c>
      <c r="K61" t="str">
        <f>IFERROR(IF(INDEX(使用レシピ!L:L,MATCH(テンプレート!$C61,使用レシピ!$E:$E,0))&lt;&gt;0,INDEX(使用レシピ!L:L,MATCH(テンプレート!$C61,使用レシピ!$E:$E,0)),""),"")</f>
        <v/>
      </c>
      <c r="L61" t="str">
        <f>IFERROR(IF(INDEX(使用レシピ!M:M,MATCH(テンプレート!$C61,使用レシピ!$E:$E,0))&lt;&gt;0,INDEX(使用レシピ!M:M,MATCH(テンプレート!$C61,使用レシピ!$E:$E,0)),""),"")</f>
        <v/>
      </c>
      <c r="M61" t="str">
        <f>IFERROR(IF(INDEX(使用レシピ!N:N,MATCH(テンプレート!$C61,使用レシピ!$E:$E,0))&lt;&gt;0,INDEX(使用レシピ!N:N,MATCH(テンプレート!$C61,使用レシピ!$E:$E,0)),""),"")</f>
        <v/>
      </c>
      <c r="N61" s="24" t="str">
        <f>IFERROR(IF(INDEX(使用レシピ!O:O,MATCH(テンプレート!$C61,使用レシピ!$E:$E,0))&lt;&gt;0,INDEX(使用レシピ!O:O,MATCH(テンプレート!$C61,使用レシピ!$E:$E,0)),""),"")</f>
        <v/>
      </c>
      <c r="O61" s="42" t="str">
        <f>IFERROR(IF(INDEX(使用レシピ!P:P,MATCH(テンプレート!$C61,使用レシピ!$E:$E,0))&lt;&gt;0,INDEX(使用レシピ!P:P,MATCH(テンプレート!$C61,使用レシピ!$E:$E,0)),""),"")</f>
        <v/>
      </c>
      <c r="P61" s="25" t="str">
        <f t="shared" si="5"/>
        <v/>
      </c>
      <c r="Q61" s="26" t="str">
        <f t="shared" si="6"/>
        <v/>
      </c>
      <c r="R61" s="26" t="str">
        <f t="shared" si="7"/>
        <v/>
      </c>
      <c r="S61" s="26" t="str">
        <f t="shared" si="8"/>
        <v/>
      </c>
      <c r="T61" s="43" t="str">
        <f t="shared" si="8"/>
        <v/>
      </c>
    </row>
    <row r="62" spans="1:20" x14ac:dyDescent="0.4">
      <c r="A62">
        <v>121132</v>
      </c>
      <c r="B62" s="47" t="str" cm="1">
        <f t="array" ref="B62">IFERROR((INDEX($P$4:$T$1000,MATCH(VALUE(LEFT($A62,LEN($A62)-1)),$A$4:$A$1000,0),VALUE(RIGHT($A62,1)))/ INDEX($O$4:$O$1000,MATCH(VALUE(LEFT($A62,LEN($A62)-1)),$A$4:$A$1000))) * INDEX($B$4:$B$1000,MATCH(VALUE(LEFT($A62,LEN($A62)-1)),$A$4:$A$1000)),"")</f>
        <v/>
      </c>
      <c r="C62" s="38" t="str" cm="1">
        <f t="array" ref="C62">IFERROR(IF(INDEX($D$4:$H$1000,MATCH(VALUE(LEFT($A62,LEN($A62)-1)),$A$4:$A$1000,0),VALUE(RIGHT($A62,1)))= 0,"",INDEX($D$4:$H$1000,MATCH(VALUE(LEFT($A62,LEN($A62)-1)),$A$4:$A$1000,0),VALUE(RIGHT($A62,1)))),"")</f>
        <v/>
      </c>
      <c r="D62" s="23" t="str">
        <f>IFERROR(IF(INDEX(使用レシピ!F:F,MATCH(テンプレート!$C62,使用レシピ!$E:$E,0))&lt;&gt;0,INDEX(使用レシピ!F:F,MATCH(テンプレート!$C62,使用レシピ!$E:$E,0)),""),"")</f>
        <v/>
      </c>
      <c r="E62" t="str">
        <f>IFERROR(IF(INDEX(使用レシピ!G:G,MATCH(テンプレート!$C62,使用レシピ!$E:$E,0))&lt;&gt;0,INDEX(使用レシピ!G:G,MATCH(テンプレート!$C62,使用レシピ!$E:$E,0)),""),"")</f>
        <v/>
      </c>
      <c r="F62" t="str">
        <f>IFERROR(IF(INDEX(使用レシピ!H:H,MATCH(テンプレート!$C62,使用レシピ!$E:$E,0))&lt;&gt;0,INDEX(使用レシピ!H:H,MATCH(テンプレート!$C62,使用レシピ!$E:$E,0)),""),"")</f>
        <v/>
      </c>
      <c r="G62" t="str">
        <f>IFERROR(IF(INDEX(使用レシピ!I:I,MATCH(テンプレート!$C62,使用レシピ!$E:$E,0))&lt;&gt;0,INDEX(使用レシピ!I:I,MATCH(テンプレート!$C62,使用レシピ!$E:$E,0)),""),"")</f>
        <v/>
      </c>
      <c r="H62" s="24" t="str">
        <f>IFERROR(IF(INDEX(使用レシピ!J:J,MATCH(テンプレート!$C62,使用レシピ!$E:$E,0))&lt;&gt;0,INDEX(使用レシピ!J:J,MATCH(テンプレート!$C62,使用レシピ!$E:$E,0)),""),"")</f>
        <v/>
      </c>
      <c r="I62" s="36" t="str">
        <f>IFERROR(IF(INDEX(使用レシピ!P:P,MATCH(テンプレート!$C62,使用レシピ!$E:$E,0))&lt;&gt;0,INDEX(使用レシピ!P:P,MATCH(テンプレート!$C62,使用レシピ!$E:$E,0)),""),"")</f>
        <v/>
      </c>
      <c r="J62" t="str">
        <f>IFERROR(IF(INDEX(使用レシピ!K:K,MATCH(テンプレート!$C62,使用レシピ!$E:$E,0))&lt;&gt;0,INDEX(使用レシピ!K:K,MATCH(テンプレート!$C62,使用レシピ!$E:$E,0)),""),"")</f>
        <v/>
      </c>
      <c r="K62" t="str">
        <f>IFERROR(IF(INDEX(使用レシピ!L:L,MATCH(テンプレート!$C62,使用レシピ!$E:$E,0))&lt;&gt;0,INDEX(使用レシピ!L:L,MATCH(テンプレート!$C62,使用レシピ!$E:$E,0)),""),"")</f>
        <v/>
      </c>
      <c r="L62" t="str">
        <f>IFERROR(IF(INDEX(使用レシピ!M:M,MATCH(テンプレート!$C62,使用レシピ!$E:$E,0))&lt;&gt;0,INDEX(使用レシピ!M:M,MATCH(テンプレート!$C62,使用レシピ!$E:$E,0)),""),"")</f>
        <v/>
      </c>
      <c r="M62" t="str">
        <f>IFERROR(IF(INDEX(使用レシピ!N:N,MATCH(テンプレート!$C62,使用レシピ!$E:$E,0))&lt;&gt;0,INDEX(使用レシピ!N:N,MATCH(テンプレート!$C62,使用レシピ!$E:$E,0)),""),"")</f>
        <v/>
      </c>
      <c r="N62" s="24" t="str">
        <f>IFERROR(IF(INDEX(使用レシピ!O:O,MATCH(テンプレート!$C62,使用レシピ!$E:$E,0))&lt;&gt;0,INDEX(使用レシピ!O:O,MATCH(テンプレート!$C62,使用レシピ!$E:$E,0)),""),"")</f>
        <v/>
      </c>
      <c r="O62" s="42" t="str">
        <f>IFERROR(IF(INDEX(使用レシピ!P:P,MATCH(テンプレート!$C62,使用レシピ!$E:$E,0))&lt;&gt;0,INDEX(使用レシピ!P:P,MATCH(テンプレート!$C62,使用レシピ!$E:$E,0)),""),"")</f>
        <v/>
      </c>
      <c r="P62" s="25" t="str">
        <f t="shared" si="5"/>
        <v/>
      </c>
      <c r="Q62" s="26" t="str">
        <f t="shared" si="6"/>
        <v/>
      </c>
      <c r="R62" s="26" t="str">
        <f t="shared" si="7"/>
        <v/>
      </c>
      <c r="S62" s="26" t="str">
        <f t="shared" si="8"/>
        <v/>
      </c>
      <c r="T62" s="43" t="str">
        <f t="shared" si="8"/>
        <v/>
      </c>
    </row>
    <row r="63" spans="1:20" x14ac:dyDescent="0.4">
      <c r="A63">
        <v>121141</v>
      </c>
      <c r="B63" s="47" t="str" cm="1">
        <f t="array" ref="B63">IFERROR((INDEX($P$4:$T$1000,MATCH(VALUE(LEFT($A63,LEN($A63)-1)),$A$4:$A$1000,0),VALUE(RIGHT($A63,1)))/ INDEX($O$4:$O$1000,MATCH(VALUE(LEFT($A63,LEN($A63)-1)),$A$4:$A$1000))) * INDEX($B$4:$B$1000,MATCH(VALUE(LEFT($A63,LEN($A63)-1)),$A$4:$A$1000)),"")</f>
        <v/>
      </c>
      <c r="C63" s="38" t="str" cm="1">
        <f t="array" ref="C63">IFERROR(IF(INDEX($D$4:$H$1000,MATCH(VALUE(LEFT($A63,LEN($A63)-1)),$A$4:$A$1000,0),VALUE(RIGHT($A63,1)))= 0,"",INDEX($D$4:$H$1000,MATCH(VALUE(LEFT($A63,LEN($A63)-1)),$A$4:$A$1000,0),VALUE(RIGHT($A63,1)))),"")</f>
        <v/>
      </c>
      <c r="D63" s="23" t="str">
        <f>IFERROR(IF(INDEX(使用レシピ!F:F,MATCH(テンプレート!$C63,使用レシピ!$E:$E,0))&lt;&gt;0,INDEX(使用レシピ!F:F,MATCH(テンプレート!$C63,使用レシピ!$E:$E,0)),""),"")</f>
        <v/>
      </c>
      <c r="E63" t="str">
        <f>IFERROR(IF(INDEX(使用レシピ!G:G,MATCH(テンプレート!$C63,使用レシピ!$E:$E,0))&lt;&gt;0,INDEX(使用レシピ!G:G,MATCH(テンプレート!$C63,使用レシピ!$E:$E,0)),""),"")</f>
        <v/>
      </c>
      <c r="F63" t="str">
        <f>IFERROR(IF(INDEX(使用レシピ!H:H,MATCH(テンプレート!$C63,使用レシピ!$E:$E,0))&lt;&gt;0,INDEX(使用レシピ!H:H,MATCH(テンプレート!$C63,使用レシピ!$E:$E,0)),""),"")</f>
        <v/>
      </c>
      <c r="G63" t="str">
        <f>IFERROR(IF(INDEX(使用レシピ!I:I,MATCH(テンプレート!$C63,使用レシピ!$E:$E,0))&lt;&gt;0,INDEX(使用レシピ!I:I,MATCH(テンプレート!$C63,使用レシピ!$E:$E,0)),""),"")</f>
        <v/>
      </c>
      <c r="H63" s="24" t="str">
        <f>IFERROR(IF(INDEX(使用レシピ!J:J,MATCH(テンプレート!$C63,使用レシピ!$E:$E,0))&lt;&gt;0,INDEX(使用レシピ!J:J,MATCH(テンプレート!$C63,使用レシピ!$E:$E,0)),""),"")</f>
        <v/>
      </c>
      <c r="I63" s="36" t="str">
        <f>IFERROR(IF(INDEX(使用レシピ!P:P,MATCH(テンプレート!$C63,使用レシピ!$E:$E,0))&lt;&gt;0,INDEX(使用レシピ!P:P,MATCH(テンプレート!$C63,使用レシピ!$E:$E,0)),""),"")</f>
        <v/>
      </c>
      <c r="J63" t="str">
        <f>IFERROR(IF(INDEX(使用レシピ!K:K,MATCH(テンプレート!$C63,使用レシピ!$E:$E,0))&lt;&gt;0,INDEX(使用レシピ!K:K,MATCH(テンプレート!$C63,使用レシピ!$E:$E,0)),""),"")</f>
        <v/>
      </c>
      <c r="K63" t="str">
        <f>IFERROR(IF(INDEX(使用レシピ!L:L,MATCH(テンプレート!$C63,使用レシピ!$E:$E,0))&lt;&gt;0,INDEX(使用レシピ!L:L,MATCH(テンプレート!$C63,使用レシピ!$E:$E,0)),""),"")</f>
        <v/>
      </c>
      <c r="L63" t="str">
        <f>IFERROR(IF(INDEX(使用レシピ!M:M,MATCH(テンプレート!$C63,使用レシピ!$E:$E,0))&lt;&gt;0,INDEX(使用レシピ!M:M,MATCH(テンプレート!$C63,使用レシピ!$E:$E,0)),""),"")</f>
        <v/>
      </c>
      <c r="M63" t="str">
        <f>IFERROR(IF(INDEX(使用レシピ!N:N,MATCH(テンプレート!$C63,使用レシピ!$E:$E,0))&lt;&gt;0,INDEX(使用レシピ!N:N,MATCH(テンプレート!$C63,使用レシピ!$E:$E,0)),""),"")</f>
        <v/>
      </c>
      <c r="N63" s="24" t="str">
        <f>IFERROR(IF(INDEX(使用レシピ!O:O,MATCH(テンプレート!$C63,使用レシピ!$E:$E,0))&lt;&gt;0,INDEX(使用レシピ!O:O,MATCH(テンプレート!$C63,使用レシピ!$E:$E,0)),""),"")</f>
        <v/>
      </c>
      <c r="O63" s="42" t="str">
        <f>IFERROR(IF(INDEX(使用レシピ!P:P,MATCH(テンプレート!$C63,使用レシピ!$E:$E,0))&lt;&gt;0,INDEX(使用レシピ!P:P,MATCH(テンプレート!$C63,使用レシピ!$E:$E,0)),""),"")</f>
        <v/>
      </c>
      <c r="P63" s="25" t="str">
        <f t="shared" si="5"/>
        <v/>
      </c>
      <c r="Q63" s="26" t="str">
        <f t="shared" si="6"/>
        <v/>
      </c>
      <c r="R63" s="26" t="str">
        <f t="shared" si="7"/>
        <v/>
      </c>
      <c r="S63" s="26" t="str">
        <f t="shared" si="8"/>
        <v/>
      </c>
      <c r="T63" s="43" t="str">
        <f t="shared" si="8"/>
        <v/>
      </c>
    </row>
    <row r="64" spans="1:20" x14ac:dyDescent="0.4">
      <c r="A64">
        <v>121211</v>
      </c>
      <c r="B64" s="47" t="str" cm="1">
        <f t="array" ref="B64">IFERROR((INDEX($P$4:$T$1000,MATCH(VALUE(LEFT($A64,LEN($A64)-1)),$A$4:$A$1000,0),VALUE(RIGHT($A64,1)))/ INDEX($O$4:$O$1000,MATCH(VALUE(LEFT($A64,LEN($A64)-1)),$A$4:$A$1000))) * INDEX($B$4:$B$1000,MATCH(VALUE(LEFT($A64,LEN($A64)-1)),$A$4:$A$1000)),"")</f>
        <v/>
      </c>
      <c r="C64" s="38" t="str" cm="1">
        <f t="array" ref="C64">IFERROR(IF(INDEX($D$4:$H$1000,MATCH(VALUE(LEFT($A64,LEN($A64)-1)),$A$4:$A$1000,0),VALUE(RIGHT($A64,1)))= 0,"",INDEX($D$4:$H$1000,MATCH(VALUE(LEFT($A64,LEN($A64)-1)),$A$4:$A$1000,0),VALUE(RIGHT($A64,1)))),"")</f>
        <v/>
      </c>
      <c r="D64" s="23" t="str">
        <f>IFERROR(IF(INDEX(使用レシピ!F:F,MATCH(テンプレート!$C64,使用レシピ!$E:$E,0))&lt;&gt;0,INDEX(使用レシピ!F:F,MATCH(テンプレート!$C64,使用レシピ!$E:$E,0)),""),"")</f>
        <v/>
      </c>
      <c r="E64" t="str">
        <f>IFERROR(IF(INDEX(使用レシピ!G:G,MATCH(テンプレート!$C64,使用レシピ!$E:$E,0))&lt;&gt;0,INDEX(使用レシピ!G:G,MATCH(テンプレート!$C64,使用レシピ!$E:$E,0)),""),"")</f>
        <v/>
      </c>
      <c r="F64" t="str">
        <f>IFERROR(IF(INDEX(使用レシピ!H:H,MATCH(テンプレート!$C64,使用レシピ!$E:$E,0))&lt;&gt;0,INDEX(使用レシピ!H:H,MATCH(テンプレート!$C64,使用レシピ!$E:$E,0)),""),"")</f>
        <v/>
      </c>
      <c r="G64" t="str">
        <f>IFERROR(IF(INDEX(使用レシピ!I:I,MATCH(テンプレート!$C64,使用レシピ!$E:$E,0))&lt;&gt;0,INDEX(使用レシピ!I:I,MATCH(テンプレート!$C64,使用レシピ!$E:$E,0)),""),"")</f>
        <v/>
      </c>
      <c r="H64" s="24" t="str">
        <f>IFERROR(IF(INDEX(使用レシピ!J:J,MATCH(テンプレート!$C64,使用レシピ!$E:$E,0))&lt;&gt;0,INDEX(使用レシピ!J:J,MATCH(テンプレート!$C64,使用レシピ!$E:$E,0)),""),"")</f>
        <v/>
      </c>
      <c r="I64" s="36" t="str">
        <f>IFERROR(IF(INDEX(使用レシピ!P:P,MATCH(テンプレート!$C64,使用レシピ!$E:$E,0))&lt;&gt;0,INDEX(使用レシピ!P:P,MATCH(テンプレート!$C64,使用レシピ!$E:$E,0)),""),"")</f>
        <v/>
      </c>
      <c r="J64" t="str">
        <f>IFERROR(IF(INDEX(使用レシピ!K:K,MATCH(テンプレート!$C64,使用レシピ!$E:$E,0))&lt;&gt;0,INDEX(使用レシピ!K:K,MATCH(テンプレート!$C64,使用レシピ!$E:$E,0)),""),"")</f>
        <v/>
      </c>
      <c r="K64" t="str">
        <f>IFERROR(IF(INDEX(使用レシピ!L:L,MATCH(テンプレート!$C64,使用レシピ!$E:$E,0))&lt;&gt;0,INDEX(使用レシピ!L:L,MATCH(テンプレート!$C64,使用レシピ!$E:$E,0)),""),"")</f>
        <v/>
      </c>
      <c r="L64" t="str">
        <f>IFERROR(IF(INDEX(使用レシピ!M:M,MATCH(テンプレート!$C64,使用レシピ!$E:$E,0))&lt;&gt;0,INDEX(使用レシピ!M:M,MATCH(テンプレート!$C64,使用レシピ!$E:$E,0)),""),"")</f>
        <v/>
      </c>
      <c r="M64" t="str">
        <f>IFERROR(IF(INDEX(使用レシピ!N:N,MATCH(テンプレート!$C64,使用レシピ!$E:$E,0))&lt;&gt;0,INDEX(使用レシピ!N:N,MATCH(テンプレート!$C64,使用レシピ!$E:$E,0)),""),"")</f>
        <v/>
      </c>
      <c r="N64" s="24" t="str">
        <f>IFERROR(IF(INDEX(使用レシピ!O:O,MATCH(テンプレート!$C64,使用レシピ!$E:$E,0))&lt;&gt;0,INDEX(使用レシピ!O:O,MATCH(テンプレート!$C64,使用レシピ!$E:$E,0)),""),"")</f>
        <v/>
      </c>
      <c r="O64" s="42" t="str">
        <f>IFERROR(IF(INDEX(使用レシピ!P:P,MATCH(テンプレート!$C64,使用レシピ!$E:$E,0))&lt;&gt;0,INDEX(使用レシピ!P:P,MATCH(テンプレート!$C64,使用レシピ!$E:$E,0)),""),"")</f>
        <v/>
      </c>
      <c r="P64" s="25" t="str">
        <f t="shared" si="5"/>
        <v/>
      </c>
      <c r="Q64" s="26" t="str">
        <f t="shared" si="6"/>
        <v/>
      </c>
      <c r="R64" s="26" t="str">
        <f t="shared" si="7"/>
        <v/>
      </c>
      <c r="S64" s="26" t="str">
        <f t="shared" si="8"/>
        <v/>
      </c>
      <c r="T64" s="43" t="str">
        <f t="shared" si="8"/>
        <v/>
      </c>
    </row>
    <row r="65" spans="1:20" x14ac:dyDescent="0.4">
      <c r="A65">
        <v>121212</v>
      </c>
      <c r="B65" s="47" t="str" cm="1">
        <f t="array" ref="B65">IFERROR((INDEX($P$4:$T$1000,MATCH(VALUE(LEFT($A65,LEN($A65)-1)),$A$4:$A$1000,0),VALUE(RIGHT($A65,1)))/ INDEX($O$4:$O$1000,MATCH(VALUE(LEFT($A65,LEN($A65)-1)),$A$4:$A$1000))) * INDEX($B$4:$B$1000,MATCH(VALUE(LEFT($A65,LEN($A65)-1)),$A$4:$A$1000)),"")</f>
        <v/>
      </c>
      <c r="C65" s="38" t="str" cm="1">
        <f t="array" ref="C65">IFERROR(IF(INDEX($D$4:$H$1000,MATCH(VALUE(LEFT($A65,LEN($A65)-1)),$A$4:$A$1000,0),VALUE(RIGHT($A65,1)))= 0,"",INDEX($D$4:$H$1000,MATCH(VALUE(LEFT($A65,LEN($A65)-1)),$A$4:$A$1000,0),VALUE(RIGHT($A65,1)))),"")</f>
        <v/>
      </c>
      <c r="D65" s="23" t="str">
        <f>IFERROR(IF(INDEX(使用レシピ!F:F,MATCH(テンプレート!$C65,使用レシピ!$E:$E,0))&lt;&gt;0,INDEX(使用レシピ!F:F,MATCH(テンプレート!$C65,使用レシピ!$E:$E,0)),""),"")</f>
        <v/>
      </c>
      <c r="E65" t="str">
        <f>IFERROR(IF(INDEX(使用レシピ!G:G,MATCH(テンプレート!$C65,使用レシピ!$E:$E,0))&lt;&gt;0,INDEX(使用レシピ!G:G,MATCH(テンプレート!$C65,使用レシピ!$E:$E,0)),""),"")</f>
        <v/>
      </c>
      <c r="F65" t="str">
        <f>IFERROR(IF(INDEX(使用レシピ!H:H,MATCH(テンプレート!$C65,使用レシピ!$E:$E,0))&lt;&gt;0,INDEX(使用レシピ!H:H,MATCH(テンプレート!$C65,使用レシピ!$E:$E,0)),""),"")</f>
        <v/>
      </c>
      <c r="G65" t="str">
        <f>IFERROR(IF(INDEX(使用レシピ!I:I,MATCH(テンプレート!$C65,使用レシピ!$E:$E,0))&lt;&gt;0,INDEX(使用レシピ!I:I,MATCH(テンプレート!$C65,使用レシピ!$E:$E,0)),""),"")</f>
        <v/>
      </c>
      <c r="H65" s="24" t="str">
        <f>IFERROR(IF(INDEX(使用レシピ!J:J,MATCH(テンプレート!$C65,使用レシピ!$E:$E,0))&lt;&gt;0,INDEX(使用レシピ!J:J,MATCH(テンプレート!$C65,使用レシピ!$E:$E,0)),""),"")</f>
        <v/>
      </c>
      <c r="I65" s="36" t="str">
        <f>IFERROR(IF(INDEX(使用レシピ!P:P,MATCH(テンプレート!$C65,使用レシピ!$E:$E,0))&lt;&gt;0,INDEX(使用レシピ!P:P,MATCH(テンプレート!$C65,使用レシピ!$E:$E,0)),""),"")</f>
        <v/>
      </c>
      <c r="J65" t="str">
        <f>IFERROR(IF(INDEX(使用レシピ!K:K,MATCH(テンプレート!$C65,使用レシピ!$E:$E,0))&lt;&gt;0,INDEX(使用レシピ!K:K,MATCH(テンプレート!$C65,使用レシピ!$E:$E,0)),""),"")</f>
        <v/>
      </c>
      <c r="K65" t="str">
        <f>IFERROR(IF(INDEX(使用レシピ!L:L,MATCH(テンプレート!$C65,使用レシピ!$E:$E,0))&lt;&gt;0,INDEX(使用レシピ!L:L,MATCH(テンプレート!$C65,使用レシピ!$E:$E,0)),""),"")</f>
        <v/>
      </c>
      <c r="L65" t="str">
        <f>IFERROR(IF(INDEX(使用レシピ!M:M,MATCH(テンプレート!$C65,使用レシピ!$E:$E,0))&lt;&gt;0,INDEX(使用レシピ!M:M,MATCH(テンプレート!$C65,使用レシピ!$E:$E,0)),""),"")</f>
        <v/>
      </c>
      <c r="M65" t="str">
        <f>IFERROR(IF(INDEX(使用レシピ!N:N,MATCH(テンプレート!$C65,使用レシピ!$E:$E,0))&lt;&gt;0,INDEX(使用レシピ!N:N,MATCH(テンプレート!$C65,使用レシピ!$E:$E,0)),""),"")</f>
        <v/>
      </c>
      <c r="N65" s="24" t="str">
        <f>IFERROR(IF(INDEX(使用レシピ!O:O,MATCH(テンプレート!$C65,使用レシピ!$E:$E,0))&lt;&gt;0,INDEX(使用レシピ!O:O,MATCH(テンプレート!$C65,使用レシピ!$E:$E,0)),""),"")</f>
        <v/>
      </c>
      <c r="O65" s="42" t="str">
        <f>IFERROR(IF(INDEX(使用レシピ!P:P,MATCH(テンプレート!$C65,使用レシピ!$E:$E,0))&lt;&gt;0,INDEX(使用レシピ!P:P,MATCH(テンプレート!$C65,使用レシピ!$E:$E,0)),""),"")</f>
        <v/>
      </c>
      <c r="P65" s="25" t="str">
        <f t="shared" si="5"/>
        <v/>
      </c>
      <c r="Q65" s="26" t="str">
        <f t="shared" si="6"/>
        <v/>
      </c>
      <c r="R65" s="26" t="str">
        <f t="shared" si="7"/>
        <v/>
      </c>
      <c r="S65" s="26" t="str">
        <f t="shared" si="8"/>
        <v/>
      </c>
      <c r="T65" s="43" t="str">
        <f t="shared" si="8"/>
        <v/>
      </c>
    </row>
    <row r="66" spans="1:20" x14ac:dyDescent="0.4">
      <c r="A66">
        <v>121331</v>
      </c>
      <c r="B66" s="47" t="str" cm="1">
        <f t="array" ref="B66">IFERROR((INDEX($P$4:$T$1000,MATCH(VALUE(LEFT($A66,LEN($A66)-1)),$A$4:$A$1000,0),VALUE(RIGHT($A66,1)))/ INDEX($O$4:$O$1000,MATCH(VALUE(LEFT($A66,LEN($A66)-1)),$A$4:$A$1000))) * INDEX($B$4:$B$1000,MATCH(VALUE(LEFT($A66,LEN($A66)-1)),$A$4:$A$1000)),"")</f>
        <v/>
      </c>
      <c r="C66" s="38" t="str" cm="1">
        <f t="array" ref="C66">IFERROR(IF(INDEX($D$4:$H$1000,MATCH(VALUE(LEFT($A66,LEN($A66)-1)),$A$4:$A$1000,0),VALUE(RIGHT($A66,1)))= 0,"",INDEX($D$4:$H$1000,MATCH(VALUE(LEFT($A66,LEN($A66)-1)),$A$4:$A$1000,0),VALUE(RIGHT($A66,1)))),"")</f>
        <v/>
      </c>
      <c r="D66" s="23" t="str">
        <f>IFERROR(IF(INDEX(使用レシピ!F:F,MATCH(テンプレート!$C66,使用レシピ!$E:$E,0))&lt;&gt;0,INDEX(使用レシピ!F:F,MATCH(テンプレート!$C66,使用レシピ!$E:$E,0)),""),"")</f>
        <v/>
      </c>
      <c r="E66" t="str">
        <f>IFERROR(IF(INDEX(使用レシピ!G:G,MATCH(テンプレート!$C66,使用レシピ!$E:$E,0))&lt;&gt;0,INDEX(使用レシピ!G:G,MATCH(テンプレート!$C66,使用レシピ!$E:$E,0)),""),"")</f>
        <v/>
      </c>
      <c r="F66" t="str">
        <f>IFERROR(IF(INDEX(使用レシピ!H:H,MATCH(テンプレート!$C66,使用レシピ!$E:$E,0))&lt;&gt;0,INDEX(使用レシピ!H:H,MATCH(テンプレート!$C66,使用レシピ!$E:$E,0)),""),"")</f>
        <v/>
      </c>
      <c r="G66" t="str">
        <f>IFERROR(IF(INDEX(使用レシピ!I:I,MATCH(テンプレート!$C66,使用レシピ!$E:$E,0))&lt;&gt;0,INDEX(使用レシピ!I:I,MATCH(テンプレート!$C66,使用レシピ!$E:$E,0)),""),"")</f>
        <v/>
      </c>
      <c r="H66" s="24" t="str">
        <f>IFERROR(IF(INDEX(使用レシピ!J:J,MATCH(テンプレート!$C66,使用レシピ!$E:$E,0))&lt;&gt;0,INDEX(使用レシピ!J:J,MATCH(テンプレート!$C66,使用レシピ!$E:$E,0)),""),"")</f>
        <v/>
      </c>
      <c r="I66" s="36" t="str">
        <f>IFERROR(IF(INDEX(使用レシピ!P:P,MATCH(テンプレート!$C66,使用レシピ!$E:$E,0))&lt;&gt;0,INDEX(使用レシピ!P:P,MATCH(テンプレート!$C66,使用レシピ!$E:$E,0)),""),"")</f>
        <v/>
      </c>
      <c r="J66" t="str">
        <f>IFERROR(IF(INDEX(使用レシピ!K:K,MATCH(テンプレート!$C66,使用レシピ!$E:$E,0))&lt;&gt;0,INDEX(使用レシピ!K:K,MATCH(テンプレート!$C66,使用レシピ!$E:$E,0)),""),"")</f>
        <v/>
      </c>
      <c r="K66" t="str">
        <f>IFERROR(IF(INDEX(使用レシピ!L:L,MATCH(テンプレート!$C66,使用レシピ!$E:$E,0))&lt;&gt;0,INDEX(使用レシピ!L:L,MATCH(テンプレート!$C66,使用レシピ!$E:$E,0)),""),"")</f>
        <v/>
      </c>
      <c r="L66" t="str">
        <f>IFERROR(IF(INDEX(使用レシピ!M:M,MATCH(テンプレート!$C66,使用レシピ!$E:$E,0))&lt;&gt;0,INDEX(使用レシピ!M:M,MATCH(テンプレート!$C66,使用レシピ!$E:$E,0)),""),"")</f>
        <v/>
      </c>
      <c r="M66" t="str">
        <f>IFERROR(IF(INDEX(使用レシピ!N:N,MATCH(テンプレート!$C66,使用レシピ!$E:$E,0))&lt;&gt;0,INDEX(使用レシピ!N:N,MATCH(テンプレート!$C66,使用レシピ!$E:$E,0)),""),"")</f>
        <v/>
      </c>
      <c r="N66" s="24" t="str">
        <f>IFERROR(IF(INDEX(使用レシピ!O:O,MATCH(テンプレート!$C66,使用レシピ!$E:$E,0))&lt;&gt;0,INDEX(使用レシピ!O:O,MATCH(テンプレート!$C66,使用レシピ!$E:$E,0)),""),"")</f>
        <v/>
      </c>
      <c r="O66" s="42" t="str">
        <f>IFERROR(IF(INDEX(使用レシピ!P:P,MATCH(テンプレート!$C66,使用レシピ!$E:$E,0))&lt;&gt;0,INDEX(使用レシピ!P:P,MATCH(テンプレート!$C66,使用レシピ!$E:$E,0)),""),"")</f>
        <v/>
      </c>
      <c r="P66" s="25" t="str">
        <f t="shared" si="5"/>
        <v/>
      </c>
      <c r="Q66" s="26" t="str">
        <f t="shared" si="6"/>
        <v/>
      </c>
      <c r="R66" s="26" t="str">
        <f t="shared" si="7"/>
        <v/>
      </c>
      <c r="S66" s="26" t="str">
        <f t="shared" si="8"/>
        <v/>
      </c>
      <c r="T66" s="43" t="str">
        <f t="shared" si="8"/>
        <v/>
      </c>
    </row>
    <row r="67" spans="1:20" x14ac:dyDescent="0.4">
      <c r="A67">
        <v>122111</v>
      </c>
      <c r="B67" s="47" t="str" cm="1">
        <f t="array" ref="B67">IFERROR((INDEX($P$4:$T$1000,MATCH(VALUE(LEFT($A67,LEN($A67)-1)),$A$4:$A$1000,0),VALUE(RIGHT($A67,1)))/ INDEX($O$4:$O$1000,MATCH(VALUE(LEFT($A67,LEN($A67)-1)),$A$4:$A$1000))) * INDEX($B$4:$B$1000,MATCH(VALUE(LEFT($A67,LEN($A67)-1)),$A$4:$A$1000)),"")</f>
        <v/>
      </c>
      <c r="C67" s="38" t="str" cm="1">
        <f t="array" ref="C67">IFERROR(IF(INDEX($D$4:$H$1000,MATCH(VALUE(LEFT($A67,LEN($A67)-1)),$A$4:$A$1000,0),VALUE(RIGHT($A67,1)))= 0,"",INDEX($D$4:$H$1000,MATCH(VALUE(LEFT($A67,LEN($A67)-1)),$A$4:$A$1000,0),VALUE(RIGHT($A67,1)))),"")</f>
        <v/>
      </c>
      <c r="D67" s="23" t="str">
        <f>IFERROR(IF(INDEX(使用レシピ!F:F,MATCH(テンプレート!$C67,使用レシピ!$E:$E,0))&lt;&gt;0,INDEX(使用レシピ!F:F,MATCH(テンプレート!$C67,使用レシピ!$E:$E,0)),""),"")</f>
        <v/>
      </c>
      <c r="E67" t="str">
        <f>IFERROR(IF(INDEX(使用レシピ!G:G,MATCH(テンプレート!$C67,使用レシピ!$E:$E,0))&lt;&gt;0,INDEX(使用レシピ!G:G,MATCH(テンプレート!$C67,使用レシピ!$E:$E,0)),""),"")</f>
        <v/>
      </c>
      <c r="F67" t="str">
        <f>IFERROR(IF(INDEX(使用レシピ!H:H,MATCH(テンプレート!$C67,使用レシピ!$E:$E,0))&lt;&gt;0,INDEX(使用レシピ!H:H,MATCH(テンプレート!$C67,使用レシピ!$E:$E,0)),""),"")</f>
        <v/>
      </c>
      <c r="G67" t="str">
        <f>IFERROR(IF(INDEX(使用レシピ!I:I,MATCH(テンプレート!$C67,使用レシピ!$E:$E,0))&lt;&gt;0,INDEX(使用レシピ!I:I,MATCH(テンプレート!$C67,使用レシピ!$E:$E,0)),""),"")</f>
        <v/>
      </c>
      <c r="H67" s="24" t="str">
        <f>IFERROR(IF(INDEX(使用レシピ!J:J,MATCH(テンプレート!$C67,使用レシピ!$E:$E,0))&lt;&gt;0,INDEX(使用レシピ!J:J,MATCH(テンプレート!$C67,使用レシピ!$E:$E,0)),""),"")</f>
        <v/>
      </c>
      <c r="I67" s="36" t="str">
        <f>IFERROR(IF(INDEX(使用レシピ!P:P,MATCH(テンプレート!$C67,使用レシピ!$E:$E,0))&lt;&gt;0,INDEX(使用レシピ!P:P,MATCH(テンプレート!$C67,使用レシピ!$E:$E,0)),""),"")</f>
        <v/>
      </c>
      <c r="J67" t="str">
        <f>IFERROR(IF(INDEX(使用レシピ!K:K,MATCH(テンプレート!$C67,使用レシピ!$E:$E,0))&lt;&gt;0,INDEX(使用レシピ!K:K,MATCH(テンプレート!$C67,使用レシピ!$E:$E,0)),""),"")</f>
        <v/>
      </c>
      <c r="K67" t="str">
        <f>IFERROR(IF(INDEX(使用レシピ!L:L,MATCH(テンプレート!$C67,使用レシピ!$E:$E,0))&lt;&gt;0,INDEX(使用レシピ!L:L,MATCH(テンプレート!$C67,使用レシピ!$E:$E,0)),""),"")</f>
        <v/>
      </c>
      <c r="L67" t="str">
        <f>IFERROR(IF(INDEX(使用レシピ!M:M,MATCH(テンプレート!$C67,使用レシピ!$E:$E,0))&lt;&gt;0,INDEX(使用レシピ!M:M,MATCH(テンプレート!$C67,使用レシピ!$E:$E,0)),""),"")</f>
        <v/>
      </c>
      <c r="M67" t="str">
        <f>IFERROR(IF(INDEX(使用レシピ!N:N,MATCH(テンプレート!$C67,使用レシピ!$E:$E,0))&lt;&gt;0,INDEX(使用レシピ!N:N,MATCH(テンプレート!$C67,使用レシピ!$E:$E,0)),""),"")</f>
        <v/>
      </c>
      <c r="N67" s="24" t="str">
        <f>IFERROR(IF(INDEX(使用レシピ!O:O,MATCH(テンプレート!$C67,使用レシピ!$E:$E,0))&lt;&gt;0,INDEX(使用レシピ!O:O,MATCH(テンプレート!$C67,使用レシピ!$E:$E,0)),""),"")</f>
        <v/>
      </c>
      <c r="O67" s="42" t="str">
        <f>IFERROR(IF(INDEX(使用レシピ!P:P,MATCH(テンプレート!$C67,使用レシピ!$E:$E,0))&lt;&gt;0,INDEX(使用レシピ!P:P,MATCH(テンプレート!$C67,使用レシピ!$E:$E,0)),""),"")</f>
        <v/>
      </c>
      <c r="P67" s="25" t="str">
        <f t="shared" si="5"/>
        <v/>
      </c>
      <c r="Q67" s="26" t="str">
        <f t="shared" si="6"/>
        <v/>
      </c>
      <c r="R67" s="26" t="str">
        <f t="shared" si="7"/>
        <v/>
      </c>
      <c r="S67" s="26" t="str">
        <f t="shared" si="8"/>
        <v/>
      </c>
      <c r="T67" s="43" t="str">
        <f t="shared" si="8"/>
        <v/>
      </c>
    </row>
    <row r="68" spans="1:20" x14ac:dyDescent="0.4">
      <c r="A68">
        <v>122121</v>
      </c>
      <c r="B68" s="47" t="str" cm="1">
        <f t="array" ref="B68">IFERROR((INDEX($P$4:$T$1000,MATCH(VALUE(LEFT($A68,LEN($A68)-1)),$A$4:$A$1000,0),VALUE(RIGHT($A68,1)))/ INDEX($O$4:$O$1000,MATCH(VALUE(LEFT($A68,LEN($A68)-1)),$A$4:$A$1000))) * INDEX($B$4:$B$1000,MATCH(VALUE(LEFT($A68,LEN($A68)-1)),$A$4:$A$1000)),"")</f>
        <v/>
      </c>
      <c r="C68" s="38" t="str" cm="1">
        <f t="array" ref="C68">IFERROR(IF(INDEX($D$4:$H$1000,MATCH(VALUE(LEFT($A68,LEN($A68)-1)),$A$4:$A$1000,0),VALUE(RIGHT($A68,1)))= 0,"",INDEX($D$4:$H$1000,MATCH(VALUE(LEFT($A68,LEN($A68)-1)),$A$4:$A$1000,0),VALUE(RIGHT($A68,1)))),"")</f>
        <v/>
      </c>
      <c r="D68" s="23" t="str">
        <f>IFERROR(IF(INDEX(使用レシピ!F:F,MATCH(テンプレート!$C68,使用レシピ!$E:$E,0))&lt;&gt;0,INDEX(使用レシピ!F:F,MATCH(テンプレート!$C68,使用レシピ!$E:$E,0)),""),"")</f>
        <v/>
      </c>
      <c r="E68" t="str">
        <f>IFERROR(IF(INDEX(使用レシピ!G:G,MATCH(テンプレート!$C68,使用レシピ!$E:$E,0))&lt;&gt;0,INDEX(使用レシピ!G:G,MATCH(テンプレート!$C68,使用レシピ!$E:$E,0)),""),"")</f>
        <v/>
      </c>
      <c r="F68" t="str">
        <f>IFERROR(IF(INDEX(使用レシピ!H:H,MATCH(テンプレート!$C68,使用レシピ!$E:$E,0))&lt;&gt;0,INDEX(使用レシピ!H:H,MATCH(テンプレート!$C68,使用レシピ!$E:$E,0)),""),"")</f>
        <v/>
      </c>
      <c r="G68" t="str">
        <f>IFERROR(IF(INDEX(使用レシピ!I:I,MATCH(テンプレート!$C68,使用レシピ!$E:$E,0))&lt;&gt;0,INDEX(使用レシピ!I:I,MATCH(テンプレート!$C68,使用レシピ!$E:$E,0)),""),"")</f>
        <v/>
      </c>
      <c r="H68" s="24" t="str">
        <f>IFERROR(IF(INDEX(使用レシピ!J:J,MATCH(テンプレート!$C68,使用レシピ!$E:$E,0))&lt;&gt;0,INDEX(使用レシピ!J:J,MATCH(テンプレート!$C68,使用レシピ!$E:$E,0)),""),"")</f>
        <v/>
      </c>
      <c r="I68" s="36" t="str">
        <f>IFERROR(IF(INDEX(使用レシピ!P:P,MATCH(テンプレート!$C68,使用レシピ!$E:$E,0))&lt;&gt;0,INDEX(使用レシピ!P:P,MATCH(テンプレート!$C68,使用レシピ!$E:$E,0)),""),"")</f>
        <v/>
      </c>
      <c r="J68" t="str">
        <f>IFERROR(IF(INDEX(使用レシピ!K:K,MATCH(テンプレート!$C68,使用レシピ!$E:$E,0))&lt;&gt;0,INDEX(使用レシピ!K:K,MATCH(テンプレート!$C68,使用レシピ!$E:$E,0)),""),"")</f>
        <v/>
      </c>
      <c r="K68" t="str">
        <f>IFERROR(IF(INDEX(使用レシピ!L:L,MATCH(テンプレート!$C68,使用レシピ!$E:$E,0))&lt;&gt;0,INDEX(使用レシピ!L:L,MATCH(テンプレート!$C68,使用レシピ!$E:$E,0)),""),"")</f>
        <v/>
      </c>
      <c r="L68" t="str">
        <f>IFERROR(IF(INDEX(使用レシピ!M:M,MATCH(テンプレート!$C68,使用レシピ!$E:$E,0))&lt;&gt;0,INDEX(使用レシピ!M:M,MATCH(テンプレート!$C68,使用レシピ!$E:$E,0)),""),"")</f>
        <v/>
      </c>
      <c r="M68" t="str">
        <f>IFERROR(IF(INDEX(使用レシピ!N:N,MATCH(テンプレート!$C68,使用レシピ!$E:$E,0))&lt;&gt;0,INDEX(使用レシピ!N:N,MATCH(テンプレート!$C68,使用レシピ!$E:$E,0)),""),"")</f>
        <v/>
      </c>
      <c r="N68" s="24" t="str">
        <f>IFERROR(IF(INDEX(使用レシピ!O:O,MATCH(テンプレート!$C68,使用レシピ!$E:$E,0))&lt;&gt;0,INDEX(使用レシピ!O:O,MATCH(テンプレート!$C68,使用レシピ!$E:$E,0)),""),"")</f>
        <v/>
      </c>
      <c r="O68" s="42" t="str">
        <f>IFERROR(IF(INDEX(使用レシピ!P:P,MATCH(テンプレート!$C68,使用レシピ!$E:$E,0))&lt;&gt;0,INDEX(使用レシピ!P:P,MATCH(テンプレート!$C68,使用レシピ!$E:$E,0)),""),"")</f>
        <v/>
      </c>
      <c r="P68" s="25" t="str">
        <f t="shared" si="5"/>
        <v/>
      </c>
      <c r="Q68" s="26" t="str">
        <f t="shared" si="6"/>
        <v/>
      </c>
      <c r="R68" s="26" t="str">
        <f t="shared" si="7"/>
        <v/>
      </c>
      <c r="S68" s="26" t="str">
        <f t="shared" si="8"/>
        <v/>
      </c>
      <c r="T68" s="43" t="str">
        <f t="shared" si="8"/>
        <v/>
      </c>
    </row>
    <row r="69" spans="1:20" x14ac:dyDescent="0.4">
      <c r="A69">
        <v>122122</v>
      </c>
      <c r="B69" s="47" t="str" cm="1">
        <f t="array" ref="B69">IFERROR((INDEX($P$4:$T$1000,MATCH(VALUE(LEFT($A69,LEN($A69)-1)),$A$4:$A$1000,0),VALUE(RIGHT($A69,1)))/ INDEX($O$4:$O$1000,MATCH(VALUE(LEFT($A69,LEN($A69)-1)),$A$4:$A$1000))) * INDEX($B$4:$B$1000,MATCH(VALUE(LEFT($A69,LEN($A69)-1)),$A$4:$A$1000)),"")</f>
        <v/>
      </c>
      <c r="C69" s="38" t="str" cm="1">
        <f t="array" ref="C69">IFERROR(IF(INDEX($D$4:$H$1000,MATCH(VALUE(LEFT($A69,LEN($A69)-1)),$A$4:$A$1000,0),VALUE(RIGHT($A69,1)))= 0,"",INDEX($D$4:$H$1000,MATCH(VALUE(LEFT($A69,LEN($A69)-1)),$A$4:$A$1000,0),VALUE(RIGHT($A69,1)))),"")</f>
        <v/>
      </c>
      <c r="D69" s="23" t="str">
        <f>IFERROR(IF(INDEX(使用レシピ!F:F,MATCH(テンプレート!$C69,使用レシピ!$E:$E,0))&lt;&gt;0,INDEX(使用レシピ!F:F,MATCH(テンプレート!$C69,使用レシピ!$E:$E,0)),""),"")</f>
        <v/>
      </c>
      <c r="E69" t="str">
        <f>IFERROR(IF(INDEX(使用レシピ!G:G,MATCH(テンプレート!$C69,使用レシピ!$E:$E,0))&lt;&gt;0,INDEX(使用レシピ!G:G,MATCH(テンプレート!$C69,使用レシピ!$E:$E,0)),""),"")</f>
        <v/>
      </c>
      <c r="F69" t="str">
        <f>IFERROR(IF(INDEX(使用レシピ!H:H,MATCH(テンプレート!$C69,使用レシピ!$E:$E,0))&lt;&gt;0,INDEX(使用レシピ!H:H,MATCH(テンプレート!$C69,使用レシピ!$E:$E,0)),""),"")</f>
        <v/>
      </c>
      <c r="G69" t="str">
        <f>IFERROR(IF(INDEX(使用レシピ!I:I,MATCH(テンプレート!$C69,使用レシピ!$E:$E,0))&lt;&gt;0,INDEX(使用レシピ!I:I,MATCH(テンプレート!$C69,使用レシピ!$E:$E,0)),""),"")</f>
        <v/>
      </c>
      <c r="H69" s="24" t="str">
        <f>IFERROR(IF(INDEX(使用レシピ!J:J,MATCH(テンプレート!$C69,使用レシピ!$E:$E,0))&lt;&gt;0,INDEX(使用レシピ!J:J,MATCH(テンプレート!$C69,使用レシピ!$E:$E,0)),""),"")</f>
        <v/>
      </c>
      <c r="I69" s="36" t="str">
        <f>IFERROR(IF(INDEX(使用レシピ!P:P,MATCH(テンプレート!$C69,使用レシピ!$E:$E,0))&lt;&gt;0,INDEX(使用レシピ!P:P,MATCH(テンプレート!$C69,使用レシピ!$E:$E,0)),""),"")</f>
        <v/>
      </c>
      <c r="J69" t="str">
        <f>IFERROR(IF(INDEX(使用レシピ!K:K,MATCH(テンプレート!$C69,使用レシピ!$E:$E,0))&lt;&gt;0,INDEX(使用レシピ!K:K,MATCH(テンプレート!$C69,使用レシピ!$E:$E,0)),""),"")</f>
        <v/>
      </c>
      <c r="K69" t="str">
        <f>IFERROR(IF(INDEX(使用レシピ!L:L,MATCH(テンプレート!$C69,使用レシピ!$E:$E,0))&lt;&gt;0,INDEX(使用レシピ!L:L,MATCH(テンプレート!$C69,使用レシピ!$E:$E,0)),""),"")</f>
        <v/>
      </c>
      <c r="L69" t="str">
        <f>IFERROR(IF(INDEX(使用レシピ!M:M,MATCH(テンプレート!$C69,使用レシピ!$E:$E,0))&lt;&gt;0,INDEX(使用レシピ!M:M,MATCH(テンプレート!$C69,使用レシピ!$E:$E,0)),""),"")</f>
        <v/>
      </c>
      <c r="M69" t="str">
        <f>IFERROR(IF(INDEX(使用レシピ!N:N,MATCH(テンプレート!$C69,使用レシピ!$E:$E,0))&lt;&gt;0,INDEX(使用レシピ!N:N,MATCH(テンプレート!$C69,使用レシピ!$E:$E,0)),""),"")</f>
        <v/>
      </c>
      <c r="N69" s="24" t="str">
        <f>IFERROR(IF(INDEX(使用レシピ!O:O,MATCH(テンプレート!$C69,使用レシピ!$E:$E,0))&lt;&gt;0,INDEX(使用レシピ!O:O,MATCH(テンプレート!$C69,使用レシピ!$E:$E,0)),""),"")</f>
        <v/>
      </c>
      <c r="O69" s="42" t="str">
        <f>IFERROR(IF(INDEX(使用レシピ!P:P,MATCH(テンプレート!$C69,使用レシピ!$E:$E,0))&lt;&gt;0,INDEX(使用レシピ!P:P,MATCH(テンプレート!$C69,使用レシピ!$E:$E,0)),""),"")</f>
        <v/>
      </c>
      <c r="P69" s="25" t="str">
        <f t="shared" ref="P69:P132" si="10">IFERROR(IF($O69/$I69*J69 &gt; 0,$O69/$I69*J69,""),"")</f>
        <v/>
      </c>
      <c r="Q69" s="26" t="str">
        <f t="shared" ref="Q69:Q132" si="11">IFERROR(IF($O69/$I69*K69 &gt; 0,$O69/$I69*K69,""),"")</f>
        <v/>
      </c>
      <c r="R69" s="26" t="str">
        <f t="shared" ref="R69:R132" si="12">IFERROR(IF($O69/$I69*L69 &gt; 0,$O69/$I69*L69,""),"")</f>
        <v/>
      </c>
      <c r="S69" s="26" t="str">
        <f t="shared" ref="S69:T132" si="13">IFERROR(IF($O69/$I69*M69 &gt; 0,$O69/$I69*M69,""),"")</f>
        <v/>
      </c>
      <c r="T69" s="43" t="str">
        <f t="shared" si="13"/>
        <v/>
      </c>
    </row>
    <row r="70" spans="1:20" x14ac:dyDescent="0.4">
      <c r="A70">
        <v>122211</v>
      </c>
      <c r="B70" s="47" t="str" cm="1">
        <f t="array" ref="B70">IFERROR((INDEX($P$4:$T$1000,MATCH(VALUE(LEFT($A70,LEN($A70)-1)),$A$4:$A$1000,0),VALUE(RIGHT($A70,1)))/ INDEX($O$4:$O$1000,MATCH(VALUE(LEFT($A70,LEN($A70)-1)),$A$4:$A$1000))) * INDEX($B$4:$B$1000,MATCH(VALUE(LEFT($A70,LEN($A70)-1)),$A$4:$A$1000)),"")</f>
        <v/>
      </c>
      <c r="C70" s="38" t="str" cm="1">
        <f t="array" ref="C70">IFERROR(IF(INDEX($D$4:$H$1000,MATCH(VALUE(LEFT($A70,LEN($A70)-1)),$A$4:$A$1000,0),VALUE(RIGHT($A70,1)))= 0,"",INDEX($D$4:$H$1000,MATCH(VALUE(LEFT($A70,LEN($A70)-1)),$A$4:$A$1000,0),VALUE(RIGHT($A70,1)))),"")</f>
        <v/>
      </c>
      <c r="D70" s="23" t="str">
        <f>IFERROR(IF(INDEX(使用レシピ!F:F,MATCH(テンプレート!$C70,使用レシピ!$E:$E,0))&lt;&gt;0,INDEX(使用レシピ!F:F,MATCH(テンプレート!$C70,使用レシピ!$E:$E,0)),""),"")</f>
        <v/>
      </c>
      <c r="E70" t="str">
        <f>IFERROR(IF(INDEX(使用レシピ!G:G,MATCH(テンプレート!$C70,使用レシピ!$E:$E,0))&lt;&gt;0,INDEX(使用レシピ!G:G,MATCH(テンプレート!$C70,使用レシピ!$E:$E,0)),""),"")</f>
        <v/>
      </c>
      <c r="F70" t="str">
        <f>IFERROR(IF(INDEX(使用レシピ!H:H,MATCH(テンプレート!$C70,使用レシピ!$E:$E,0))&lt;&gt;0,INDEX(使用レシピ!H:H,MATCH(テンプレート!$C70,使用レシピ!$E:$E,0)),""),"")</f>
        <v/>
      </c>
      <c r="G70" t="str">
        <f>IFERROR(IF(INDEX(使用レシピ!I:I,MATCH(テンプレート!$C70,使用レシピ!$E:$E,0))&lt;&gt;0,INDEX(使用レシピ!I:I,MATCH(テンプレート!$C70,使用レシピ!$E:$E,0)),""),"")</f>
        <v/>
      </c>
      <c r="H70" s="24" t="str">
        <f>IFERROR(IF(INDEX(使用レシピ!J:J,MATCH(テンプレート!$C70,使用レシピ!$E:$E,0))&lt;&gt;0,INDEX(使用レシピ!J:J,MATCH(テンプレート!$C70,使用レシピ!$E:$E,0)),""),"")</f>
        <v/>
      </c>
      <c r="I70" s="36" t="str">
        <f>IFERROR(IF(INDEX(使用レシピ!P:P,MATCH(テンプレート!$C70,使用レシピ!$E:$E,0))&lt;&gt;0,INDEX(使用レシピ!P:P,MATCH(テンプレート!$C70,使用レシピ!$E:$E,0)),""),"")</f>
        <v/>
      </c>
      <c r="J70" t="str">
        <f>IFERROR(IF(INDEX(使用レシピ!K:K,MATCH(テンプレート!$C70,使用レシピ!$E:$E,0))&lt;&gt;0,INDEX(使用レシピ!K:K,MATCH(テンプレート!$C70,使用レシピ!$E:$E,0)),""),"")</f>
        <v/>
      </c>
      <c r="K70" t="str">
        <f>IFERROR(IF(INDEX(使用レシピ!L:L,MATCH(テンプレート!$C70,使用レシピ!$E:$E,0))&lt;&gt;0,INDEX(使用レシピ!L:L,MATCH(テンプレート!$C70,使用レシピ!$E:$E,0)),""),"")</f>
        <v/>
      </c>
      <c r="L70" t="str">
        <f>IFERROR(IF(INDEX(使用レシピ!M:M,MATCH(テンプレート!$C70,使用レシピ!$E:$E,0))&lt;&gt;0,INDEX(使用レシピ!M:M,MATCH(テンプレート!$C70,使用レシピ!$E:$E,0)),""),"")</f>
        <v/>
      </c>
      <c r="M70" t="str">
        <f>IFERROR(IF(INDEX(使用レシピ!N:N,MATCH(テンプレート!$C70,使用レシピ!$E:$E,0))&lt;&gt;0,INDEX(使用レシピ!N:N,MATCH(テンプレート!$C70,使用レシピ!$E:$E,0)),""),"")</f>
        <v/>
      </c>
      <c r="N70" s="24" t="str">
        <f>IFERROR(IF(INDEX(使用レシピ!O:O,MATCH(テンプレート!$C70,使用レシピ!$E:$E,0))&lt;&gt;0,INDEX(使用レシピ!O:O,MATCH(テンプレート!$C70,使用レシピ!$E:$E,0)),""),"")</f>
        <v/>
      </c>
      <c r="O70" s="42" t="str">
        <f>IFERROR(IF(INDEX(使用レシピ!P:P,MATCH(テンプレート!$C70,使用レシピ!$E:$E,0))&lt;&gt;0,INDEX(使用レシピ!P:P,MATCH(テンプレート!$C70,使用レシピ!$E:$E,0)),""),"")</f>
        <v/>
      </c>
      <c r="P70" s="25" t="str">
        <f t="shared" si="10"/>
        <v/>
      </c>
      <c r="Q70" s="26" t="str">
        <f t="shared" si="11"/>
        <v/>
      </c>
      <c r="R70" s="26" t="str">
        <f t="shared" si="12"/>
        <v/>
      </c>
      <c r="S70" s="26" t="str">
        <f t="shared" si="13"/>
        <v/>
      </c>
      <c r="T70" s="43" t="str">
        <f t="shared" si="13"/>
        <v/>
      </c>
    </row>
    <row r="71" spans="1:20" x14ac:dyDescent="0.4">
      <c r="A71">
        <v>122212</v>
      </c>
      <c r="B71" s="47" t="str" cm="1">
        <f t="array" ref="B71">IFERROR((INDEX($P$4:$T$1000,MATCH(VALUE(LEFT($A71,LEN($A71)-1)),$A$4:$A$1000,0),VALUE(RIGHT($A71,1)))/ INDEX($O$4:$O$1000,MATCH(VALUE(LEFT($A71,LEN($A71)-1)),$A$4:$A$1000))) * INDEX($B$4:$B$1000,MATCH(VALUE(LEFT($A71,LEN($A71)-1)),$A$4:$A$1000)),"")</f>
        <v/>
      </c>
      <c r="C71" s="38" t="str" cm="1">
        <f t="array" ref="C71">IFERROR(IF(INDEX($D$4:$H$1000,MATCH(VALUE(LEFT($A71,LEN($A71)-1)),$A$4:$A$1000,0),VALUE(RIGHT($A71,1)))= 0,"",INDEX($D$4:$H$1000,MATCH(VALUE(LEFT($A71,LEN($A71)-1)),$A$4:$A$1000,0),VALUE(RIGHT($A71,1)))),"")</f>
        <v/>
      </c>
      <c r="D71" s="23" t="str">
        <f>IFERROR(IF(INDEX(使用レシピ!F:F,MATCH(テンプレート!$C71,使用レシピ!$E:$E,0))&lt;&gt;0,INDEX(使用レシピ!F:F,MATCH(テンプレート!$C71,使用レシピ!$E:$E,0)),""),"")</f>
        <v/>
      </c>
      <c r="E71" t="str">
        <f>IFERROR(IF(INDEX(使用レシピ!G:G,MATCH(テンプレート!$C71,使用レシピ!$E:$E,0))&lt;&gt;0,INDEX(使用レシピ!G:G,MATCH(テンプレート!$C71,使用レシピ!$E:$E,0)),""),"")</f>
        <v/>
      </c>
      <c r="F71" t="str">
        <f>IFERROR(IF(INDEX(使用レシピ!H:H,MATCH(テンプレート!$C71,使用レシピ!$E:$E,0))&lt;&gt;0,INDEX(使用レシピ!H:H,MATCH(テンプレート!$C71,使用レシピ!$E:$E,0)),""),"")</f>
        <v/>
      </c>
      <c r="G71" t="str">
        <f>IFERROR(IF(INDEX(使用レシピ!I:I,MATCH(テンプレート!$C71,使用レシピ!$E:$E,0))&lt;&gt;0,INDEX(使用レシピ!I:I,MATCH(テンプレート!$C71,使用レシピ!$E:$E,0)),""),"")</f>
        <v/>
      </c>
      <c r="H71" s="24" t="str">
        <f>IFERROR(IF(INDEX(使用レシピ!J:J,MATCH(テンプレート!$C71,使用レシピ!$E:$E,0))&lt;&gt;0,INDEX(使用レシピ!J:J,MATCH(テンプレート!$C71,使用レシピ!$E:$E,0)),""),"")</f>
        <v/>
      </c>
      <c r="I71" s="36" t="str">
        <f>IFERROR(IF(INDEX(使用レシピ!P:P,MATCH(テンプレート!$C71,使用レシピ!$E:$E,0))&lt;&gt;0,INDEX(使用レシピ!P:P,MATCH(テンプレート!$C71,使用レシピ!$E:$E,0)),""),"")</f>
        <v/>
      </c>
      <c r="J71" t="str">
        <f>IFERROR(IF(INDEX(使用レシピ!K:K,MATCH(テンプレート!$C71,使用レシピ!$E:$E,0))&lt;&gt;0,INDEX(使用レシピ!K:K,MATCH(テンプレート!$C71,使用レシピ!$E:$E,0)),""),"")</f>
        <v/>
      </c>
      <c r="K71" t="str">
        <f>IFERROR(IF(INDEX(使用レシピ!L:L,MATCH(テンプレート!$C71,使用レシピ!$E:$E,0))&lt;&gt;0,INDEX(使用レシピ!L:L,MATCH(テンプレート!$C71,使用レシピ!$E:$E,0)),""),"")</f>
        <v/>
      </c>
      <c r="L71" t="str">
        <f>IFERROR(IF(INDEX(使用レシピ!M:M,MATCH(テンプレート!$C71,使用レシピ!$E:$E,0))&lt;&gt;0,INDEX(使用レシピ!M:M,MATCH(テンプレート!$C71,使用レシピ!$E:$E,0)),""),"")</f>
        <v/>
      </c>
      <c r="M71" t="str">
        <f>IFERROR(IF(INDEX(使用レシピ!N:N,MATCH(テンプレート!$C71,使用レシピ!$E:$E,0))&lt;&gt;0,INDEX(使用レシピ!N:N,MATCH(テンプレート!$C71,使用レシピ!$E:$E,0)),""),"")</f>
        <v/>
      </c>
      <c r="N71" s="24" t="str">
        <f>IFERROR(IF(INDEX(使用レシピ!O:O,MATCH(テンプレート!$C71,使用レシピ!$E:$E,0))&lt;&gt;0,INDEX(使用レシピ!O:O,MATCH(テンプレート!$C71,使用レシピ!$E:$E,0)),""),"")</f>
        <v/>
      </c>
      <c r="O71" s="42" t="str">
        <f>IFERROR(IF(INDEX(使用レシピ!P:P,MATCH(テンプレート!$C71,使用レシピ!$E:$E,0))&lt;&gt;0,INDEX(使用レシピ!P:P,MATCH(テンプレート!$C71,使用レシピ!$E:$E,0)),""),"")</f>
        <v/>
      </c>
      <c r="P71" s="25" t="str">
        <f t="shared" si="10"/>
        <v/>
      </c>
      <c r="Q71" s="26" t="str">
        <f t="shared" si="11"/>
        <v/>
      </c>
      <c r="R71" s="26" t="str">
        <f t="shared" si="12"/>
        <v/>
      </c>
      <c r="S71" s="26" t="str">
        <f t="shared" si="13"/>
        <v/>
      </c>
      <c r="T71" s="43" t="str">
        <f t="shared" si="13"/>
        <v/>
      </c>
    </row>
    <row r="72" spans="1:20" x14ac:dyDescent="0.4">
      <c r="A72">
        <v>122221</v>
      </c>
      <c r="B72" s="47" t="str" cm="1">
        <f t="array" ref="B72">IFERROR((INDEX($P$4:$T$1000,MATCH(VALUE(LEFT($A72,LEN($A72)-1)),$A$4:$A$1000,0),VALUE(RIGHT($A72,1)))/ INDEX($O$4:$O$1000,MATCH(VALUE(LEFT($A72,LEN($A72)-1)),$A$4:$A$1000))) * INDEX($B$4:$B$1000,MATCH(VALUE(LEFT($A72,LEN($A72)-1)),$A$4:$A$1000)),"")</f>
        <v/>
      </c>
      <c r="C72" s="38" t="str" cm="1">
        <f t="array" ref="C72">IFERROR(IF(INDEX($D$4:$H$1000,MATCH(VALUE(LEFT($A72,LEN($A72)-1)),$A$4:$A$1000,0),VALUE(RIGHT($A72,1)))= 0,"",INDEX($D$4:$H$1000,MATCH(VALUE(LEFT($A72,LEN($A72)-1)),$A$4:$A$1000,0),VALUE(RIGHT($A72,1)))),"")</f>
        <v/>
      </c>
      <c r="D72" s="23" t="str">
        <f>IFERROR(IF(INDEX(使用レシピ!F:F,MATCH(テンプレート!$C72,使用レシピ!$E:$E,0))&lt;&gt;0,INDEX(使用レシピ!F:F,MATCH(テンプレート!$C72,使用レシピ!$E:$E,0)),""),"")</f>
        <v/>
      </c>
      <c r="E72" t="str">
        <f>IFERROR(IF(INDEX(使用レシピ!G:G,MATCH(テンプレート!$C72,使用レシピ!$E:$E,0))&lt;&gt;0,INDEX(使用レシピ!G:G,MATCH(テンプレート!$C72,使用レシピ!$E:$E,0)),""),"")</f>
        <v/>
      </c>
      <c r="F72" t="str">
        <f>IFERROR(IF(INDEX(使用レシピ!H:H,MATCH(テンプレート!$C72,使用レシピ!$E:$E,0))&lt;&gt;0,INDEX(使用レシピ!H:H,MATCH(テンプレート!$C72,使用レシピ!$E:$E,0)),""),"")</f>
        <v/>
      </c>
      <c r="G72" t="str">
        <f>IFERROR(IF(INDEX(使用レシピ!I:I,MATCH(テンプレート!$C72,使用レシピ!$E:$E,0))&lt;&gt;0,INDEX(使用レシピ!I:I,MATCH(テンプレート!$C72,使用レシピ!$E:$E,0)),""),"")</f>
        <v/>
      </c>
      <c r="H72" s="24" t="str">
        <f>IFERROR(IF(INDEX(使用レシピ!J:J,MATCH(テンプレート!$C72,使用レシピ!$E:$E,0))&lt;&gt;0,INDEX(使用レシピ!J:J,MATCH(テンプレート!$C72,使用レシピ!$E:$E,0)),""),"")</f>
        <v/>
      </c>
      <c r="I72" s="36" t="str">
        <f>IFERROR(IF(INDEX(使用レシピ!P:P,MATCH(テンプレート!$C72,使用レシピ!$E:$E,0))&lt;&gt;0,INDEX(使用レシピ!P:P,MATCH(テンプレート!$C72,使用レシピ!$E:$E,0)),""),"")</f>
        <v/>
      </c>
      <c r="J72" t="str">
        <f>IFERROR(IF(INDEX(使用レシピ!K:K,MATCH(テンプレート!$C72,使用レシピ!$E:$E,0))&lt;&gt;0,INDEX(使用レシピ!K:K,MATCH(テンプレート!$C72,使用レシピ!$E:$E,0)),""),"")</f>
        <v/>
      </c>
      <c r="K72" t="str">
        <f>IFERROR(IF(INDEX(使用レシピ!L:L,MATCH(テンプレート!$C72,使用レシピ!$E:$E,0))&lt;&gt;0,INDEX(使用レシピ!L:L,MATCH(テンプレート!$C72,使用レシピ!$E:$E,0)),""),"")</f>
        <v/>
      </c>
      <c r="L72" t="str">
        <f>IFERROR(IF(INDEX(使用レシピ!M:M,MATCH(テンプレート!$C72,使用レシピ!$E:$E,0))&lt;&gt;0,INDEX(使用レシピ!M:M,MATCH(テンプレート!$C72,使用レシピ!$E:$E,0)),""),"")</f>
        <v/>
      </c>
      <c r="M72" t="str">
        <f>IFERROR(IF(INDEX(使用レシピ!N:N,MATCH(テンプレート!$C72,使用レシピ!$E:$E,0))&lt;&gt;0,INDEX(使用レシピ!N:N,MATCH(テンプレート!$C72,使用レシピ!$E:$E,0)),""),"")</f>
        <v/>
      </c>
      <c r="N72" s="24" t="str">
        <f>IFERROR(IF(INDEX(使用レシピ!O:O,MATCH(テンプレート!$C72,使用レシピ!$E:$E,0))&lt;&gt;0,INDEX(使用レシピ!O:O,MATCH(テンプレート!$C72,使用レシピ!$E:$E,0)),""),"")</f>
        <v/>
      </c>
      <c r="O72" s="42" t="str">
        <f>IFERROR(IF(INDEX(使用レシピ!P:P,MATCH(テンプレート!$C72,使用レシピ!$E:$E,0))&lt;&gt;0,INDEX(使用レシピ!P:P,MATCH(テンプレート!$C72,使用レシピ!$E:$E,0)),""),"")</f>
        <v/>
      </c>
      <c r="P72" s="25" t="str">
        <f t="shared" si="10"/>
        <v/>
      </c>
      <c r="Q72" s="26" t="str">
        <f t="shared" si="11"/>
        <v/>
      </c>
      <c r="R72" s="26" t="str">
        <f t="shared" si="12"/>
        <v/>
      </c>
      <c r="S72" s="26" t="str">
        <f t="shared" si="13"/>
        <v/>
      </c>
      <c r="T72" s="43" t="str">
        <f t="shared" si="13"/>
        <v/>
      </c>
    </row>
    <row r="73" spans="1:20" x14ac:dyDescent="0.4">
      <c r="A73">
        <v>122231</v>
      </c>
      <c r="B73" s="47" t="str" cm="1">
        <f t="array" ref="B73">IFERROR((INDEX($P$4:$T$1000,MATCH(VALUE(LEFT($A73,LEN($A73)-1)),$A$4:$A$1000,0),VALUE(RIGHT($A73,1)))/ INDEX($O$4:$O$1000,MATCH(VALUE(LEFT($A73,LEN($A73)-1)),$A$4:$A$1000))) * INDEX($B$4:$B$1000,MATCH(VALUE(LEFT($A73,LEN($A73)-1)),$A$4:$A$1000)),"")</f>
        <v/>
      </c>
      <c r="C73" s="38" t="str" cm="1">
        <f t="array" ref="C73">IFERROR(IF(INDEX($D$4:$H$1000,MATCH(VALUE(LEFT($A73,LEN($A73)-1)),$A$4:$A$1000,0),VALUE(RIGHT($A73,1)))= 0,"",INDEX($D$4:$H$1000,MATCH(VALUE(LEFT($A73,LEN($A73)-1)),$A$4:$A$1000,0),VALUE(RIGHT($A73,1)))),"")</f>
        <v/>
      </c>
      <c r="D73" s="23" t="str">
        <f>IFERROR(IF(INDEX(使用レシピ!F:F,MATCH(テンプレート!$C73,使用レシピ!$E:$E,0))&lt;&gt;0,INDEX(使用レシピ!F:F,MATCH(テンプレート!$C73,使用レシピ!$E:$E,0)),""),"")</f>
        <v/>
      </c>
      <c r="E73" t="str">
        <f>IFERROR(IF(INDEX(使用レシピ!G:G,MATCH(テンプレート!$C73,使用レシピ!$E:$E,0))&lt;&gt;0,INDEX(使用レシピ!G:G,MATCH(テンプレート!$C73,使用レシピ!$E:$E,0)),""),"")</f>
        <v/>
      </c>
      <c r="F73" t="str">
        <f>IFERROR(IF(INDEX(使用レシピ!H:H,MATCH(テンプレート!$C73,使用レシピ!$E:$E,0))&lt;&gt;0,INDEX(使用レシピ!H:H,MATCH(テンプレート!$C73,使用レシピ!$E:$E,0)),""),"")</f>
        <v/>
      </c>
      <c r="G73" t="str">
        <f>IFERROR(IF(INDEX(使用レシピ!I:I,MATCH(テンプレート!$C73,使用レシピ!$E:$E,0))&lt;&gt;0,INDEX(使用レシピ!I:I,MATCH(テンプレート!$C73,使用レシピ!$E:$E,0)),""),"")</f>
        <v/>
      </c>
      <c r="H73" s="24" t="str">
        <f>IFERROR(IF(INDEX(使用レシピ!J:J,MATCH(テンプレート!$C73,使用レシピ!$E:$E,0))&lt;&gt;0,INDEX(使用レシピ!J:J,MATCH(テンプレート!$C73,使用レシピ!$E:$E,0)),""),"")</f>
        <v/>
      </c>
      <c r="I73" s="36" t="str">
        <f>IFERROR(IF(INDEX(使用レシピ!P:P,MATCH(テンプレート!$C73,使用レシピ!$E:$E,0))&lt;&gt;0,INDEX(使用レシピ!P:P,MATCH(テンプレート!$C73,使用レシピ!$E:$E,0)),""),"")</f>
        <v/>
      </c>
      <c r="J73" t="str">
        <f>IFERROR(IF(INDEX(使用レシピ!K:K,MATCH(テンプレート!$C73,使用レシピ!$E:$E,0))&lt;&gt;0,INDEX(使用レシピ!K:K,MATCH(テンプレート!$C73,使用レシピ!$E:$E,0)),""),"")</f>
        <v/>
      </c>
      <c r="K73" t="str">
        <f>IFERROR(IF(INDEX(使用レシピ!L:L,MATCH(テンプレート!$C73,使用レシピ!$E:$E,0))&lt;&gt;0,INDEX(使用レシピ!L:L,MATCH(テンプレート!$C73,使用レシピ!$E:$E,0)),""),"")</f>
        <v/>
      </c>
      <c r="L73" t="str">
        <f>IFERROR(IF(INDEX(使用レシピ!M:M,MATCH(テンプレート!$C73,使用レシピ!$E:$E,0))&lt;&gt;0,INDEX(使用レシピ!M:M,MATCH(テンプレート!$C73,使用レシピ!$E:$E,0)),""),"")</f>
        <v/>
      </c>
      <c r="M73" t="str">
        <f>IFERROR(IF(INDEX(使用レシピ!N:N,MATCH(テンプレート!$C73,使用レシピ!$E:$E,0))&lt;&gt;0,INDEX(使用レシピ!N:N,MATCH(テンプレート!$C73,使用レシピ!$E:$E,0)),""),"")</f>
        <v/>
      </c>
      <c r="N73" s="24" t="str">
        <f>IFERROR(IF(INDEX(使用レシピ!O:O,MATCH(テンプレート!$C73,使用レシピ!$E:$E,0))&lt;&gt;0,INDEX(使用レシピ!O:O,MATCH(テンプレート!$C73,使用レシピ!$E:$E,0)),""),"")</f>
        <v/>
      </c>
      <c r="O73" s="42" t="str">
        <f>IFERROR(IF(INDEX(使用レシピ!P:P,MATCH(テンプレート!$C73,使用レシピ!$E:$E,0))&lt;&gt;0,INDEX(使用レシピ!P:P,MATCH(テンプレート!$C73,使用レシピ!$E:$E,0)),""),"")</f>
        <v/>
      </c>
      <c r="P73" s="25" t="str">
        <f t="shared" si="10"/>
        <v/>
      </c>
      <c r="Q73" s="26" t="str">
        <f t="shared" si="11"/>
        <v/>
      </c>
      <c r="R73" s="26" t="str">
        <f t="shared" si="12"/>
        <v/>
      </c>
      <c r="S73" s="26" t="str">
        <f t="shared" si="13"/>
        <v/>
      </c>
      <c r="T73" s="43" t="str">
        <f t="shared" si="13"/>
        <v/>
      </c>
    </row>
    <row r="74" spans="1:20" x14ac:dyDescent="0.4">
      <c r="A74">
        <v>122232</v>
      </c>
      <c r="B74" s="47" t="str" cm="1">
        <f t="array" ref="B74">IFERROR((INDEX($P$4:$T$1000,MATCH(VALUE(LEFT($A74,LEN($A74)-1)),$A$4:$A$1000,0),VALUE(RIGHT($A74,1)))/ INDEX($O$4:$O$1000,MATCH(VALUE(LEFT($A74,LEN($A74)-1)),$A$4:$A$1000))) * INDEX($B$4:$B$1000,MATCH(VALUE(LEFT($A74,LEN($A74)-1)),$A$4:$A$1000)),"")</f>
        <v/>
      </c>
      <c r="C74" s="38" t="str" cm="1">
        <f t="array" ref="C74">IFERROR(IF(INDEX($D$4:$H$1000,MATCH(VALUE(LEFT($A74,LEN($A74)-1)),$A$4:$A$1000,0),VALUE(RIGHT($A74,1)))= 0,"",INDEX($D$4:$H$1000,MATCH(VALUE(LEFT($A74,LEN($A74)-1)),$A$4:$A$1000,0),VALUE(RIGHT($A74,1)))),"")</f>
        <v/>
      </c>
      <c r="D74" s="23" t="str">
        <f>IFERROR(IF(INDEX(使用レシピ!F:F,MATCH(テンプレート!$C74,使用レシピ!$E:$E,0))&lt;&gt;0,INDEX(使用レシピ!F:F,MATCH(テンプレート!$C74,使用レシピ!$E:$E,0)),""),"")</f>
        <v/>
      </c>
      <c r="E74" t="str">
        <f>IFERROR(IF(INDEX(使用レシピ!G:G,MATCH(テンプレート!$C74,使用レシピ!$E:$E,0))&lt;&gt;0,INDEX(使用レシピ!G:G,MATCH(テンプレート!$C74,使用レシピ!$E:$E,0)),""),"")</f>
        <v/>
      </c>
      <c r="F74" t="str">
        <f>IFERROR(IF(INDEX(使用レシピ!H:H,MATCH(テンプレート!$C74,使用レシピ!$E:$E,0))&lt;&gt;0,INDEX(使用レシピ!H:H,MATCH(テンプレート!$C74,使用レシピ!$E:$E,0)),""),"")</f>
        <v/>
      </c>
      <c r="G74" t="str">
        <f>IFERROR(IF(INDEX(使用レシピ!I:I,MATCH(テンプレート!$C74,使用レシピ!$E:$E,0))&lt;&gt;0,INDEX(使用レシピ!I:I,MATCH(テンプレート!$C74,使用レシピ!$E:$E,0)),""),"")</f>
        <v/>
      </c>
      <c r="H74" s="24" t="str">
        <f>IFERROR(IF(INDEX(使用レシピ!J:J,MATCH(テンプレート!$C74,使用レシピ!$E:$E,0))&lt;&gt;0,INDEX(使用レシピ!J:J,MATCH(テンプレート!$C74,使用レシピ!$E:$E,0)),""),"")</f>
        <v/>
      </c>
      <c r="I74" s="36" t="str">
        <f>IFERROR(IF(INDEX(使用レシピ!P:P,MATCH(テンプレート!$C74,使用レシピ!$E:$E,0))&lt;&gt;0,INDEX(使用レシピ!P:P,MATCH(テンプレート!$C74,使用レシピ!$E:$E,0)),""),"")</f>
        <v/>
      </c>
      <c r="J74" t="str">
        <f>IFERROR(IF(INDEX(使用レシピ!K:K,MATCH(テンプレート!$C74,使用レシピ!$E:$E,0))&lt;&gt;0,INDEX(使用レシピ!K:K,MATCH(テンプレート!$C74,使用レシピ!$E:$E,0)),""),"")</f>
        <v/>
      </c>
      <c r="K74" t="str">
        <f>IFERROR(IF(INDEX(使用レシピ!L:L,MATCH(テンプレート!$C74,使用レシピ!$E:$E,0))&lt;&gt;0,INDEX(使用レシピ!L:L,MATCH(テンプレート!$C74,使用レシピ!$E:$E,0)),""),"")</f>
        <v/>
      </c>
      <c r="L74" t="str">
        <f>IFERROR(IF(INDEX(使用レシピ!M:M,MATCH(テンプレート!$C74,使用レシピ!$E:$E,0))&lt;&gt;0,INDEX(使用レシピ!M:M,MATCH(テンプレート!$C74,使用レシピ!$E:$E,0)),""),"")</f>
        <v/>
      </c>
      <c r="M74" t="str">
        <f>IFERROR(IF(INDEX(使用レシピ!N:N,MATCH(テンプレート!$C74,使用レシピ!$E:$E,0))&lt;&gt;0,INDEX(使用レシピ!N:N,MATCH(テンプレート!$C74,使用レシピ!$E:$E,0)),""),"")</f>
        <v/>
      </c>
      <c r="N74" s="24" t="str">
        <f>IFERROR(IF(INDEX(使用レシピ!O:O,MATCH(テンプレート!$C74,使用レシピ!$E:$E,0))&lt;&gt;0,INDEX(使用レシピ!O:O,MATCH(テンプレート!$C74,使用レシピ!$E:$E,0)),""),"")</f>
        <v/>
      </c>
      <c r="O74" s="42" t="str">
        <f>IFERROR(IF(INDEX(使用レシピ!P:P,MATCH(テンプレート!$C74,使用レシピ!$E:$E,0))&lt;&gt;0,INDEX(使用レシピ!P:P,MATCH(テンプレート!$C74,使用レシピ!$E:$E,0)),""),"")</f>
        <v/>
      </c>
      <c r="P74" s="25" t="str">
        <f t="shared" si="10"/>
        <v/>
      </c>
      <c r="Q74" s="26" t="str">
        <f t="shared" si="11"/>
        <v/>
      </c>
      <c r="R74" s="26" t="str">
        <f t="shared" si="12"/>
        <v/>
      </c>
      <c r="S74" s="26" t="str">
        <f t="shared" si="13"/>
        <v/>
      </c>
      <c r="T74" s="43" t="str">
        <f t="shared" si="13"/>
        <v/>
      </c>
    </row>
    <row r="75" spans="1:20" x14ac:dyDescent="0.4">
      <c r="A75">
        <v>122311</v>
      </c>
      <c r="B75" s="47" t="str" cm="1">
        <f t="array" ref="B75">IFERROR((INDEX($P$4:$T$1000,MATCH(VALUE(LEFT($A75,LEN($A75)-1)),$A$4:$A$1000,0),VALUE(RIGHT($A75,1)))/ INDEX($O$4:$O$1000,MATCH(VALUE(LEFT($A75,LEN($A75)-1)),$A$4:$A$1000))) * INDEX($B$4:$B$1000,MATCH(VALUE(LEFT($A75,LEN($A75)-1)),$A$4:$A$1000)),"")</f>
        <v/>
      </c>
      <c r="C75" s="38" t="str" cm="1">
        <f t="array" ref="C75">IFERROR(IF(INDEX($D$4:$H$1000,MATCH(VALUE(LEFT($A75,LEN($A75)-1)),$A$4:$A$1000,0),VALUE(RIGHT($A75,1)))= 0,"",INDEX($D$4:$H$1000,MATCH(VALUE(LEFT($A75,LEN($A75)-1)),$A$4:$A$1000,0),VALUE(RIGHT($A75,1)))),"")</f>
        <v/>
      </c>
      <c r="D75" s="23" t="str">
        <f>IFERROR(IF(INDEX(使用レシピ!F:F,MATCH(テンプレート!$C75,使用レシピ!$E:$E,0))&lt;&gt;0,INDEX(使用レシピ!F:F,MATCH(テンプレート!$C75,使用レシピ!$E:$E,0)),""),"")</f>
        <v/>
      </c>
      <c r="E75" t="str">
        <f>IFERROR(IF(INDEX(使用レシピ!G:G,MATCH(テンプレート!$C75,使用レシピ!$E:$E,0))&lt;&gt;0,INDEX(使用レシピ!G:G,MATCH(テンプレート!$C75,使用レシピ!$E:$E,0)),""),"")</f>
        <v/>
      </c>
      <c r="F75" t="str">
        <f>IFERROR(IF(INDEX(使用レシピ!H:H,MATCH(テンプレート!$C75,使用レシピ!$E:$E,0))&lt;&gt;0,INDEX(使用レシピ!H:H,MATCH(テンプレート!$C75,使用レシピ!$E:$E,0)),""),"")</f>
        <v/>
      </c>
      <c r="G75" t="str">
        <f>IFERROR(IF(INDEX(使用レシピ!I:I,MATCH(テンプレート!$C75,使用レシピ!$E:$E,0))&lt;&gt;0,INDEX(使用レシピ!I:I,MATCH(テンプレート!$C75,使用レシピ!$E:$E,0)),""),"")</f>
        <v/>
      </c>
      <c r="H75" s="24" t="str">
        <f>IFERROR(IF(INDEX(使用レシピ!J:J,MATCH(テンプレート!$C75,使用レシピ!$E:$E,0))&lt;&gt;0,INDEX(使用レシピ!J:J,MATCH(テンプレート!$C75,使用レシピ!$E:$E,0)),""),"")</f>
        <v/>
      </c>
      <c r="I75" s="36" t="str">
        <f>IFERROR(IF(INDEX(使用レシピ!P:P,MATCH(テンプレート!$C75,使用レシピ!$E:$E,0))&lt;&gt;0,INDEX(使用レシピ!P:P,MATCH(テンプレート!$C75,使用レシピ!$E:$E,0)),""),"")</f>
        <v/>
      </c>
      <c r="J75" t="str">
        <f>IFERROR(IF(INDEX(使用レシピ!K:K,MATCH(テンプレート!$C75,使用レシピ!$E:$E,0))&lt;&gt;0,INDEX(使用レシピ!K:K,MATCH(テンプレート!$C75,使用レシピ!$E:$E,0)),""),"")</f>
        <v/>
      </c>
      <c r="K75" t="str">
        <f>IFERROR(IF(INDEX(使用レシピ!L:L,MATCH(テンプレート!$C75,使用レシピ!$E:$E,0))&lt;&gt;0,INDEX(使用レシピ!L:L,MATCH(テンプレート!$C75,使用レシピ!$E:$E,0)),""),"")</f>
        <v/>
      </c>
      <c r="L75" t="str">
        <f>IFERROR(IF(INDEX(使用レシピ!M:M,MATCH(テンプレート!$C75,使用レシピ!$E:$E,0))&lt;&gt;0,INDEX(使用レシピ!M:M,MATCH(テンプレート!$C75,使用レシピ!$E:$E,0)),""),"")</f>
        <v/>
      </c>
      <c r="M75" t="str">
        <f>IFERROR(IF(INDEX(使用レシピ!N:N,MATCH(テンプレート!$C75,使用レシピ!$E:$E,0))&lt;&gt;0,INDEX(使用レシピ!N:N,MATCH(テンプレート!$C75,使用レシピ!$E:$E,0)),""),"")</f>
        <v/>
      </c>
      <c r="N75" s="24" t="str">
        <f>IFERROR(IF(INDEX(使用レシピ!O:O,MATCH(テンプレート!$C75,使用レシピ!$E:$E,0))&lt;&gt;0,INDEX(使用レシピ!O:O,MATCH(テンプレート!$C75,使用レシピ!$E:$E,0)),""),"")</f>
        <v/>
      </c>
      <c r="O75" s="42" t="str">
        <f>IFERROR(IF(INDEX(使用レシピ!P:P,MATCH(テンプレート!$C75,使用レシピ!$E:$E,0))&lt;&gt;0,INDEX(使用レシピ!P:P,MATCH(テンプレート!$C75,使用レシピ!$E:$E,0)),""),"")</f>
        <v/>
      </c>
      <c r="P75" s="25" t="str">
        <f t="shared" si="10"/>
        <v/>
      </c>
      <c r="Q75" s="26" t="str">
        <f t="shared" si="11"/>
        <v/>
      </c>
      <c r="R75" s="26" t="str">
        <f t="shared" si="12"/>
        <v/>
      </c>
      <c r="S75" s="26" t="str">
        <f t="shared" si="13"/>
        <v/>
      </c>
      <c r="T75" s="43" t="str">
        <f t="shared" si="13"/>
        <v/>
      </c>
    </row>
    <row r="76" spans="1:20" x14ac:dyDescent="0.4">
      <c r="A76">
        <v>122312</v>
      </c>
      <c r="B76" s="47" t="str" cm="1">
        <f t="array" ref="B76">IFERROR((INDEX($P$4:$T$1000,MATCH(VALUE(LEFT($A76,LEN($A76)-1)),$A$4:$A$1000,0),VALUE(RIGHT($A76,1)))/ INDEX($O$4:$O$1000,MATCH(VALUE(LEFT($A76,LEN($A76)-1)),$A$4:$A$1000))) * INDEX($B$4:$B$1000,MATCH(VALUE(LEFT($A76,LEN($A76)-1)),$A$4:$A$1000)),"")</f>
        <v/>
      </c>
      <c r="C76" s="38" t="str" cm="1">
        <f t="array" ref="C76">IFERROR(IF(INDEX($D$4:$H$1000,MATCH(VALUE(LEFT($A76,LEN($A76)-1)),$A$4:$A$1000,0),VALUE(RIGHT($A76,1)))= 0,"",INDEX($D$4:$H$1000,MATCH(VALUE(LEFT($A76,LEN($A76)-1)),$A$4:$A$1000,0),VALUE(RIGHT($A76,1)))),"")</f>
        <v/>
      </c>
      <c r="D76" s="23" t="str">
        <f>IFERROR(IF(INDEX(使用レシピ!F:F,MATCH(テンプレート!$C76,使用レシピ!$E:$E,0))&lt;&gt;0,INDEX(使用レシピ!F:F,MATCH(テンプレート!$C76,使用レシピ!$E:$E,0)),""),"")</f>
        <v/>
      </c>
      <c r="E76" t="str">
        <f>IFERROR(IF(INDEX(使用レシピ!G:G,MATCH(テンプレート!$C76,使用レシピ!$E:$E,0))&lt;&gt;0,INDEX(使用レシピ!G:G,MATCH(テンプレート!$C76,使用レシピ!$E:$E,0)),""),"")</f>
        <v/>
      </c>
      <c r="F76" t="str">
        <f>IFERROR(IF(INDEX(使用レシピ!H:H,MATCH(テンプレート!$C76,使用レシピ!$E:$E,0))&lt;&gt;0,INDEX(使用レシピ!H:H,MATCH(テンプレート!$C76,使用レシピ!$E:$E,0)),""),"")</f>
        <v/>
      </c>
      <c r="G76" t="str">
        <f>IFERROR(IF(INDEX(使用レシピ!I:I,MATCH(テンプレート!$C76,使用レシピ!$E:$E,0))&lt;&gt;0,INDEX(使用レシピ!I:I,MATCH(テンプレート!$C76,使用レシピ!$E:$E,0)),""),"")</f>
        <v/>
      </c>
      <c r="H76" s="24" t="str">
        <f>IFERROR(IF(INDEX(使用レシピ!J:J,MATCH(テンプレート!$C76,使用レシピ!$E:$E,0))&lt;&gt;0,INDEX(使用レシピ!J:J,MATCH(テンプレート!$C76,使用レシピ!$E:$E,0)),""),"")</f>
        <v/>
      </c>
      <c r="I76" s="36" t="str">
        <f>IFERROR(IF(INDEX(使用レシピ!P:P,MATCH(テンプレート!$C76,使用レシピ!$E:$E,0))&lt;&gt;0,INDEX(使用レシピ!P:P,MATCH(テンプレート!$C76,使用レシピ!$E:$E,0)),""),"")</f>
        <v/>
      </c>
      <c r="J76" t="str">
        <f>IFERROR(IF(INDEX(使用レシピ!K:K,MATCH(テンプレート!$C76,使用レシピ!$E:$E,0))&lt;&gt;0,INDEX(使用レシピ!K:K,MATCH(テンプレート!$C76,使用レシピ!$E:$E,0)),""),"")</f>
        <v/>
      </c>
      <c r="K76" t="str">
        <f>IFERROR(IF(INDEX(使用レシピ!L:L,MATCH(テンプレート!$C76,使用レシピ!$E:$E,0))&lt;&gt;0,INDEX(使用レシピ!L:L,MATCH(テンプレート!$C76,使用レシピ!$E:$E,0)),""),"")</f>
        <v/>
      </c>
      <c r="L76" t="str">
        <f>IFERROR(IF(INDEX(使用レシピ!M:M,MATCH(テンプレート!$C76,使用レシピ!$E:$E,0))&lt;&gt;0,INDEX(使用レシピ!M:M,MATCH(テンプレート!$C76,使用レシピ!$E:$E,0)),""),"")</f>
        <v/>
      </c>
      <c r="M76" t="str">
        <f>IFERROR(IF(INDEX(使用レシピ!N:N,MATCH(テンプレート!$C76,使用レシピ!$E:$E,0))&lt;&gt;0,INDEX(使用レシピ!N:N,MATCH(テンプレート!$C76,使用レシピ!$E:$E,0)),""),"")</f>
        <v/>
      </c>
      <c r="N76" s="24" t="str">
        <f>IFERROR(IF(INDEX(使用レシピ!O:O,MATCH(テンプレート!$C76,使用レシピ!$E:$E,0))&lt;&gt;0,INDEX(使用レシピ!O:O,MATCH(テンプレート!$C76,使用レシピ!$E:$E,0)),""),"")</f>
        <v/>
      </c>
      <c r="O76" s="42" t="str">
        <f>IFERROR(IF(INDEX(使用レシピ!P:P,MATCH(テンプレート!$C76,使用レシピ!$E:$E,0))&lt;&gt;0,INDEX(使用レシピ!P:P,MATCH(テンプレート!$C76,使用レシピ!$E:$E,0)),""),"")</f>
        <v/>
      </c>
      <c r="P76" s="25" t="str">
        <f t="shared" si="10"/>
        <v/>
      </c>
      <c r="Q76" s="26" t="str">
        <f t="shared" si="11"/>
        <v/>
      </c>
      <c r="R76" s="26" t="str">
        <f t="shared" si="12"/>
        <v/>
      </c>
      <c r="S76" s="26" t="str">
        <f t="shared" si="13"/>
        <v/>
      </c>
      <c r="T76" s="43" t="str">
        <f t="shared" si="13"/>
        <v/>
      </c>
    </row>
    <row r="77" spans="1:20" x14ac:dyDescent="0.4">
      <c r="A77">
        <v>122321</v>
      </c>
      <c r="B77" s="47" t="str" cm="1">
        <f t="array" ref="B77">IFERROR((INDEX($P$4:$T$1000,MATCH(VALUE(LEFT($A77,LEN($A77)-1)),$A$4:$A$1000,0),VALUE(RIGHT($A77,1)))/ INDEX($O$4:$O$1000,MATCH(VALUE(LEFT($A77,LEN($A77)-1)),$A$4:$A$1000))) * INDEX($B$4:$B$1000,MATCH(VALUE(LEFT($A77,LEN($A77)-1)),$A$4:$A$1000)),"")</f>
        <v/>
      </c>
      <c r="C77" s="38" t="str" cm="1">
        <f t="array" ref="C77">IFERROR(IF(INDEX($D$4:$H$1000,MATCH(VALUE(LEFT($A77,LEN($A77)-1)),$A$4:$A$1000,0),VALUE(RIGHT($A77,1)))= 0,"",INDEX($D$4:$H$1000,MATCH(VALUE(LEFT($A77,LEN($A77)-1)),$A$4:$A$1000,0),VALUE(RIGHT($A77,1)))),"")</f>
        <v/>
      </c>
      <c r="D77" s="23" t="str">
        <f>IFERROR(IF(INDEX(使用レシピ!F:F,MATCH(テンプレート!$C77,使用レシピ!$E:$E,0))&lt;&gt;0,INDEX(使用レシピ!F:F,MATCH(テンプレート!$C77,使用レシピ!$E:$E,0)),""),"")</f>
        <v/>
      </c>
      <c r="E77" t="str">
        <f>IFERROR(IF(INDEX(使用レシピ!G:G,MATCH(テンプレート!$C77,使用レシピ!$E:$E,0))&lt;&gt;0,INDEX(使用レシピ!G:G,MATCH(テンプレート!$C77,使用レシピ!$E:$E,0)),""),"")</f>
        <v/>
      </c>
      <c r="F77" t="str">
        <f>IFERROR(IF(INDEX(使用レシピ!H:H,MATCH(テンプレート!$C77,使用レシピ!$E:$E,0))&lt;&gt;0,INDEX(使用レシピ!H:H,MATCH(テンプレート!$C77,使用レシピ!$E:$E,0)),""),"")</f>
        <v/>
      </c>
      <c r="G77" t="str">
        <f>IFERROR(IF(INDEX(使用レシピ!I:I,MATCH(テンプレート!$C77,使用レシピ!$E:$E,0))&lt;&gt;0,INDEX(使用レシピ!I:I,MATCH(テンプレート!$C77,使用レシピ!$E:$E,0)),""),"")</f>
        <v/>
      </c>
      <c r="H77" s="24" t="str">
        <f>IFERROR(IF(INDEX(使用レシピ!J:J,MATCH(テンプレート!$C77,使用レシピ!$E:$E,0))&lt;&gt;0,INDEX(使用レシピ!J:J,MATCH(テンプレート!$C77,使用レシピ!$E:$E,0)),""),"")</f>
        <v/>
      </c>
      <c r="I77" s="36" t="str">
        <f>IFERROR(IF(INDEX(使用レシピ!P:P,MATCH(テンプレート!$C77,使用レシピ!$E:$E,0))&lt;&gt;0,INDEX(使用レシピ!P:P,MATCH(テンプレート!$C77,使用レシピ!$E:$E,0)),""),"")</f>
        <v/>
      </c>
      <c r="J77" t="str">
        <f>IFERROR(IF(INDEX(使用レシピ!K:K,MATCH(テンプレート!$C77,使用レシピ!$E:$E,0))&lt;&gt;0,INDEX(使用レシピ!K:K,MATCH(テンプレート!$C77,使用レシピ!$E:$E,0)),""),"")</f>
        <v/>
      </c>
      <c r="K77" t="str">
        <f>IFERROR(IF(INDEX(使用レシピ!L:L,MATCH(テンプレート!$C77,使用レシピ!$E:$E,0))&lt;&gt;0,INDEX(使用レシピ!L:L,MATCH(テンプレート!$C77,使用レシピ!$E:$E,0)),""),"")</f>
        <v/>
      </c>
      <c r="L77" t="str">
        <f>IFERROR(IF(INDEX(使用レシピ!M:M,MATCH(テンプレート!$C77,使用レシピ!$E:$E,0))&lt;&gt;0,INDEX(使用レシピ!M:M,MATCH(テンプレート!$C77,使用レシピ!$E:$E,0)),""),"")</f>
        <v/>
      </c>
      <c r="M77" t="str">
        <f>IFERROR(IF(INDEX(使用レシピ!N:N,MATCH(テンプレート!$C77,使用レシピ!$E:$E,0))&lt;&gt;0,INDEX(使用レシピ!N:N,MATCH(テンプレート!$C77,使用レシピ!$E:$E,0)),""),"")</f>
        <v/>
      </c>
      <c r="N77" s="24" t="str">
        <f>IFERROR(IF(INDEX(使用レシピ!O:O,MATCH(テンプレート!$C77,使用レシピ!$E:$E,0))&lt;&gt;0,INDEX(使用レシピ!O:O,MATCH(テンプレート!$C77,使用レシピ!$E:$E,0)),""),"")</f>
        <v/>
      </c>
      <c r="O77" s="42" t="str">
        <f>IFERROR(IF(INDEX(使用レシピ!P:P,MATCH(テンプレート!$C77,使用レシピ!$E:$E,0))&lt;&gt;0,INDEX(使用レシピ!P:P,MATCH(テンプレート!$C77,使用レシピ!$E:$E,0)),""),"")</f>
        <v/>
      </c>
      <c r="P77" s="25" t="str">
        <f t="shared" si="10"/>
        <v/>
      </c>
      <c r="Q77" s="26" t="str">
        <f t="shared" si="11"/>
        <v/>
      </c>
      <c r="R77" s="26" t="str">
        <f t="shared" si="12"/>
        <v/>
      </c>
      <c r="S77" s="26" t="str">
        <f t="shared" si="13"/>
        <v/>
      </c>
      <c r="T77" s="43" t="str">
        <f t="shared" si="13"/>
        <v/>
      </c>
    </row>
    <row r="78" spans="1:20" x14ac:dyDescent="0.4">
      <c r="A78">
        <v>122331</v>
      </c>
      <c r="B78" s="47" t="str" cm="1">
        <f t="array" ref="B78">IFERROR((INDEX($P$4:$T$1000,MATCH(VALUE(LEFT($A78,LEN($A78)-1)),$A$4:$A$1000,0),VALUE(RIGHT($A78,1)))/ INDEX($O$4:$O$1000,MATCH(VALUE(LEFT($A78,LEN($A78)-1)),$A$4:$A$1000))) * INDEX($B$4:$B$1000,MATCH(VALUE(LEFT($A78,LEN($A78)-1)),$A$4:$A$1000)),"")</f>
        <v/>
      </c>
      <c r="C78" s="38" t="str" cm="1">
        <f t="array" ref="C78">IFERROR(IF(INDEX($D$4:$H$1000,MATCH(VALUE(LEFT($A78,LEN($A78)-1)),$A$4:$A$1000,0),VALUE(RIGHT($A78,1)))= 0,"",INDEX($D$4:$H$1000,MATCH(VALUE(LEFT($A78,LEN($A78)-1)),$A$4:$A$1000,0),VALUE(RIGHT($A78,1)))),"")</f>
        <v/>
      </c>
      <c r="D78" s="23" t="str">
        <f>IFERROR(IF(INDEX(使用レシピ!F:F,MATCH(テンプレート!$C78,使用レシピ!$E:$E,0))&lt;&gt;0,INDEX(使用レシピ!F:F,MATCH(テンプレート!$C78,使用レシピ!$E:$E,0)),""),"")</f>
        <v/>
      </c>
      <c r="E78" t="str">
        <f>IFERROR(IF(INDEX(使用レシピ!G:G,MATCH(テンプレート!$C78,使用レシピ!$E:$E,0))&lt;&gt;0,INDEX(使用レシピ!G:G,MATCH(テンプレート!$C78,使用レシピ!$E:$E,0)),""),"")</f>
        <v/>
      </c>
      <c r="F78" t="str">
        <f>IFERROR(IF(INDEX(使用レシピ!H:H,MATCH(テンプレート!$C78,使用レシピ!$E:$E,0))&lt;&gt;0,INDEX(使用レシピ!H:H,MATCH(テンプレート!$C78,使用レシピ!$E:$E,0)),""),"")</f>
        <v/>
      </c>
      <c r="G78" t="str">
        <f>IFERROR(IF(INDEX(使用レシピ!I:I,MATCH(テンプレート!$C78,使用レシピ!$E:$E,0))&lt;&gt;0,INDEX(使用レシピ!I:I,MATCH(テンプレート!$C78,使用レシピ!$E:$E,0)),""),"")</f>
        <v/>
      </c>
      <c r="H78" s="24" t="str">
        <f>IFERROR(IF(INDEX(使用レシピ!J:J,MATCH(テンプレート!$C78,使用レシピ!$E:$E,0))&lt;&gt;0,INDEX(使用レシピ!J:J,MATCH(テンプレート!$C78,使用レシピ!$E:$E,0)),""),"")</f>
        <v/>
      </c>
      <c r="I78" s="36" t="str">
        <f>IFERROR(IF(INDEX(使用レシピ!P:P,MATCH(テンプレート!$C78,使用レシピ!$E:$E,0))&lt;&gt;0,INDEX(使用レシピ!P:P,MATCH(テンプレート!$C78,使用レシピ!$E:$E,0)),""),"")</f>
        <v/>
      </c>
      <c r="J78" t="str">
        <f>IFERROR(IF(INDEX(使用レシピ!K:K,MATCH(テンプレート!$C78,使用レシピ!$E:$E,0))&lt;&gt;0,INDEX(使用レシピ!K:K,MATCH(テンプレート!$C78,使用レシピ!$E:$E,0)),""),"")</f>
        <v/>
      </c>
      <c r="K78" t="str">
        <f>IFERROR(IF(INDEX(使用レシピ!L:L,MATCH(テンプレート!$C78,使用レシピ!$E:$E,0))&lt;&gt;0,INDEX(使用レシピ!L:L,MATCH(テンプレート!$C78,使用レシピ!$E:$E,0)),""),"")</f>
        <v/>
      </c>
      <c r="L78" t="str">
        <f>IFERROR(IF(INDEX(使用レシピ!M:M,MATCH(テンプレート!$C78,使用レシピ!$E:$E,0))&lt;&gt;0,INDEX(使用レシピ!M:M,MATCH(テンプレート!$C78,使用レシピ!$E:$E,0)),""),"")</f>
        <v/>
      </c>
      <c r="M78" t="str">
        <f>IFERROR(IF(INDEX(使用レシピ!N:N,MATCH(テンプレート!$C78,使用レシピ!$E:$E,0))&lt;&gt;0,INDEX(使用レシピ!N:N,MATCH(テンプレート!$C78,使用レシピ!$E:$E,0)),""),"")</f>
        <v/>
      </c>
      <c r="N78" s="24" t="str">
        <f>IFERROR(IF(INDEX(使用レシピ!O:O,MATCH(テンプレート!$C78,使用レシピ!$E:$E,0))&lt;&gt;0,INDEX(使用レシピ!O:O,MATCH(テンプレート!$C78,使用レシピ!$E:$E,0)),""),"")</f>
        <v/>
      </c>
      <c r="O78" s="42" t="str">
        <f>IFERROR(IF(INDEX(使用レシピ!P:P,MATCH(テンプレート!$C78,使用レシピ!$E:$E,0))&lt;&gt;0,INDEX(使用レシピ!P:P,MATCH(テンプレート!$C78,使用レシピ!$E:$E,0)),""),"")</f>
        <v/>
      </c>
      <c r="P78" s="25" t="str">
        <f t="shared" si="10"/>
        <v/>
      </c>
      <c r="Q78" s="26" t="str">
        <f t="shared" si="11"/>
        <v/>
      </c>
      <c r="R78" s="26" t="str">
        <f t="shared" si="12"/>
        <v/>
      </c>
      <c r="S78" s="26" t="str">
        <f t="shared" si="13"/>
        <v/>
      </c>
      <c r="T78" s="43" t="str">
        <f t="shared" si="13"/>
        <v/>
      </c>
    </row>
    <row r="79" spans="1:20" x14ac:dyDescent="0.4">
      <c r="A79">
        <v>1111111</v>
      </c>
      <c r="B79" s="47" cm="1">
        <f t="array" ref="B79">IFERROR((INDEX($P$4:$T$1000,MATCH(VALUE(LEFT($A79,LEN($A79)-1)),$A$4:$A$1000,0),VALUE(RIGHT($A79,1)))/ INDEX($O$4:$O$1000,MATCH(VALUE(LEFT($A79,LEN($A79)-1)),$A$4:$A$1000))) * INDEX($B$4:$B$1000,MATCH(VALUE(LEFT($A79,LEN($A79)-1)),$A$4:$A$1000)),"")</f>
        <v>2700</v>
      </c>
      <c r="C79" s="38" t="str" cm="1">
        <f t="array" ref="C79">IFERROR(IF(INDEX($D$4:$H$1000,MATCH(VALUE(LEFT($A79,LEN($A79)-1)),$A$4:$A$1000,0),VALUE(RIGHT($A79,1)))= 0,"",INDEX($D$4:$H$1000,MATCH(VALUE(LEFT($A79,LEN($A79)-1)),$A$4:$A$1000,0),VALUE(RIGHT($A79,1)))),"")</f>
        <v>被覆型ウラン・セル</v>
      </c>
      <c r="D79" s="23" t="str">
        <f>IFERROR(IF(INDEX(使用レシピ!F:F,MATCH(テンプレート!$C79,使用レシピ!$E:$E,0))&lt;&gt;0,INDEX(使用レシピ!F:F,MATCH(テンプレート!$C79,使用レシピ!$E:$E,0)),""),"")</f>
        <v>ウラン</v>
      </c>
      <c r="E79" t="str">
        <f>IFERROR(IF(INDEX(使用レシピ!G:G,MATCH(テンプレート!$C79,使用レシピ!$E:$E,0))&lt;&gt;0,INDEX(使用レシピ!G:G,MATCH(テンプレート!$C79,使用レシピ!$E:$E,0)),""),"")</f>
        <v>コンクリート</v>
      </c>
      <c r="F79" t="str">
        <f>IFERROR(IF(INDEX(使用レシピ!H:H,MATCH(テンプレート!$C79,使用レシピ!$E:$E,0))&lt;&gt;0,INDEX(使用レシピ!H:H,MATCH(テンプレート!$C79,使用レシピ!$E:$E,0)),""),"")</f>
        <v>硫酸</v>
      </c>
      <c r="G79" t="str">
        <f>IFERROR(IF(INDEX(使用レシピ!I:I,MATCH(テンプレート!$C79,使用レシピ!$E:$E,0))&lt;&gt;0,INDEX(使用レシピ!I:I,MATCH(テンプレート!$C79,使用レシピ!$E:$E,0)),""),"")</f>
        <v/>
      </c>
      <c r="H79" s="24" t="str">
        <f>IFERROR(IF(INDEX(使用レシピ!J:J,MATCH(テンプレート!$C79,使用レシピ!$E:$E,0))&lt;&gt;0,INDEX(使用レシピ!J:J,MATCH(テンプレート!$C79,使用レシピ!$E:$E,0)),""),"")</f>
        <v>硫酸</v>
      </c>
      <c r="I79" s="36">
        <f>IFERROR(IF(INDEX(使用レシピ!P:P,MATCH(テンプレート!$C79,使用レシピ!$E:$E,0))&lt;&gt;0,INDEX(使用レシピ!P:P,MATCH(テンプレート!$C79,使用レシピ!$E:$E,0)),""),"")</f>
        <v>5</v>
      </c>
      <c r="J79">
        <f>IFERROR(IF(INDEX(使用レシピ!K:K,MATCH(テンプレート!$C79,使用レシピ!$E:$E,0))&lt;&gt;0,INDEX(使用レシピ!K:K,MATCH(テンプレート!$C79,使用レシピ!$E:$E,0)),""),"")</f>
        <v>10</v>
      </c>
      <c r="K79">
        <f>IFERROR(IF(INDEX(使用レシピ!L:L,MATCH(テンプレート!$C79,使用レシピ!$E:$E,0))&lt;&gt;0,INDEX(使用レシピ!L:L,MATCH(テンプレート!$C79,使用レシピ!$E:$E,0)),""),"")</f>
        <v>3</v>
      </c>
      <c r="L79">
        <f>IFERROR(IF(INDEX(使用レシピ!M:M,MATCH(テンプレート!$C79,使用レシピ!$E:$E,0))&lt;&gt;0,INDEX(使用レシピ!M:M,MATCH(テンプレート!$C79,使用レシピ!$E:$E,0)),""),"")</f>
        <v>8</v>
      </c>
      <c r="M79" t="str">
        <f>IFERROR(IF(INDEX(使用レシピ!N:N,MATCH(テンプレート!$C79,使用レシピ!$E:$E,0))&lt;&gt;0,INDEX(使用レシピ!N:N,MATCH(テンプレート!$C79,使用レシピ!$E:$E,0)),""),"")</f>
        <v/>
      </c>
      <c r="N79" s="24">
        <f>IFERROR(IF(INDEX(使用レシピ!O:O,MATCH(テンプレート!$C79,使用レシピ!$E:$E,0))&lt;&gt;0,INDEX(使用レシピ!O:O,MATCH(テンプレート!$C79,使用レシピ!$E:$E,0)),""),"")</f>
        <v>2</v>
      </c>
      <c r="O79" s="42">
        <f>IFERROR(IF(INDEX(使用レシピ!P:P,MATCH(テンプレート!$C79,使用レシピ!$E:$E,0))&lt;&gt;0,INDEX(使用レシピ!P:P,MATCH(テンプレート!$C79,使用レシピ!$E:$E,0)),""),"")</f>
        <v>5</v>
      </c>
      <c r="P79" s="25">
        <f t="shared" si="10"/>
        <v>10</v>
      </c>
      <c r="Q79" s="26">
        <f t="shared" si="11"/>
        <v>3</v>
      </c>
      <c r="R79" s="26">
        <f t="shared" si="12"/>
        <v>8</v>
      </c>
      <c r="S79" s="26" t="str">
        <f t="shared" si="13"/>
        <v/>
      </c>
      <c r="T79" s="43">
        <f t="shared" si="13"/>
        <v>2</v>
      </c>
    </row>
    <row r="80" spans="1:20" x14ac:dyDescent="0.4">
      <c r="A80">
        <v>1111112</v>
      </c>
      <c r="B80" s="47" cm="1">
        <f t="array" ref="B80">IFERROR((INDEX($P$4:$T$1000,MATCH(VALUE(LEFT($A80,LEN($A80)-1)),$A$4:$A$1000,0),VALUE(RIGHT($A80,1)))/ INDEX($O$4:$O$1000,MATCH(VALUE(LEFT($A80,LEN($A80)-1)),$A$4:$A$1000))) * INDEX($B$4:$B$1000,MATCH(VALUE(LEFT($A80,LEN($A80)-1)),$A$4:$A$1000)),"")</f>
        <v>162</v>
      </c>
      <c r="C80" s="38" t="str" cm="1">
        <f t="array" ref="C80">IFERROR(IF(INDEX($D$4:$H$1000,MATCH(VALUE(LEFT($A80,LEN($A80)-1)),$A$4:$A$1000,0),VALUE(RIGHT($A80,1)))= 0,"",INDEX($D$4:$H$1000,MATCH(VALUE(LEFT($A80,LEN($A80)-1)),$A$4:$A$1000,0),VALUE(RIGHT($A80,1)))),"")</f>
        <v>コンクリート被覆型鋼梁</v>
      </c>
      <c r="D80" s="23" t="str">
        <f>IFERROR(IF(INDEX(使用レシピ!F:F,MATCH(テンプレート!$C80,使用レシピ!$E:$E,0))&lt;&gt;0,INDEX(使用レシピ!F:F,MATCH(テンプレート!$C80,使用レシピ!$E:$E,0)),""),"")</f>
        <v>鋼管</v>
      </c>
      <c r="E80" t="str">
        <f>IFERROR(IF(INDEX(使用レシピ!G:G,MATCH(テンプレート!$C80,使用レシピ!$E:$E,0))&lt;&gt;0,INDEX(使用レシピ!G:G,MATCH(テンプレート!$C80,使用レシピ!$E:$E,0)),""),"")</f>
        <v>コンクリート</v>
      </c>
      <c r="F80" t="str">
        <f>IFERROR(IF(INDEX(使用レシピ!H:H,MATCH(テンプレート!$C80,使用レシピ!$E:$E,0))&lt;&gt;0,INDEX(使用レシピ!H:H,MATCH(テンプレート!$C80,使用レシピ!$E:$E,0)),""),"")</f>
        <v/>
      </c>
      <c r="G80" t="str">
        <f>IFERROR(IF(INDEX(使用レシピ!I:I,MATCH(テンプレート!$C80,使用レシピ!$E:$E,0))&lt;&gt;0,INDEX(使用レシピ!I:I,MATCH(テンプレート!$C80,使用レシピ!$E:$E,0)),""),"")</f>
        <v/>
      </c>
      <c r="H80" s="24" t="str">
        <f>IFERROR(IF(INDEX(使用レシピ!J:J,MATCH(テンプレート!$C80,使用レシピ!$E:$E,0))&lt;&gt;0,INDEX(使用レシピ!J:J,MATCH(テンプレート!$C80,使用レシピ!$E:$E,0)),""),"")</f>
        <v/>
      </c>
      <c r="I80" s="36">
        <f>IFERROR(IF(INDEX(使用レシピ!P:P,MATCH(テンプレート!$C80,使用レシピ!$E:$E,0))&lt;&gt;0,INDEX(使用レシピ!P:P,MATCH(テンプレート!$C80,使用レシピ!$E:$E,0)),""),"")</f>
        <v>1</v>
      </c>
      <c r="J80">
        <f>IFERROR(IF(INDEX(使用レシピ!K:K,MATCH(テンプレート!$C80,使用レシピ!$E:$E,0))&lt;&gt;0,INDEX(使用レシピ!K:K,MATCH(テンプレート!$C80,使用レシピ!$E:$E,0)),""),"")</f>
        <v>6</v>
      </c>
      <c r="K80">
        <f>IFERROR(IF(INDEX(使用レシピ!L:L,MATCH(テンプレート!$C80,使用レシピ!$E:$E,0))&lt;&gt;0,INDEX(使用レシピ!L:L,MATCH(テンプレート!$C80,使用レシピ!$E:$E,0)),""),"")</f>
        <v>5</v>
      </c>
      <c r="L80" t="str">
        <f>IFERROR(IF(INDEX(使用レシピ!M:M,MATCH(テンプレート!$C80,使用レシピ!$E:$E,0))&lt;&gt;0,INDEX(使用レシピ!M:M,MATCH(テンプレート!$C80,使用レシピ!$E:$E,0)),""),"")</f>
        <v/>
      </c>
      <c r="M80" t="str">
        <f>IFERROR(IF(INDEX(使用レシピ!N:N,MATCH(テンプレート!$C80,使用レシピ!$E:$E,0))&lt;&gt;0,INDEX(使用レシピ!N:N,MATCH(テンプレート!$C80,使用レシピ!$E:$E,0)),""),"")</f>
        <v/>
      </c>
      <c r="N80" s="24" t="str">
        <f>IFERROR(IF(INDEX(使用レシピ!O:O,MATCH(テンプレート!$C80,使用レシピ!$E:$E,0))&lt;&gt;0,INDEX(使用レシピ!O:O,MATCH(テンプレート!$C80,使用レシピ!$E:$E,0)),""),"")</f>
        <v/>
      </c>
      <c r="O80" s="42">
        <f>IFERROR(IF(INDEX(使用レシピ!P:P,MATCH(テンプレート!$C80,使用レシピ!$E:$E,0))&lt;&gt;0,INDEX(使用レシピ!P:P,MATCH(テンプレート!$C80,使用レシピ!$E:$E,0)),""),"")</f>
        <v>1</v>
      </c>
      <c r="P80" s="25">
        <f t="shared" si="10"/>
        <v>6</v>
      </c>
      <c r="Q80" s="26">
        <f t="shared" si="11"/>
        <v>5</v>
      </c>
      <c r="R80" s="26" t="str">
        <f t="shared" si="12"/>
        <v/>
      </c>
      <c r="S80" s="26" t="str">
        <f t="shared" si="13"/>
        <v/>
      </c>
      <c r="T80" s="43" t="str">
        <f t="shared" si="13"/>
        <v/>
      </c>
    </row>
    <row r="81" spans="1:20" x14ac:dyDescent="0.4">
      <c r="A81">
        <v>1111113</v>
      </c>
      <c r="B81" s="47" cm="1">
        <f t="array" ref="B81">IFERROR((INDEX($P$4:$T$1000,MATCH(VALUE(LEFT($A81,LEN($A81)-1)),$A$4:$A$1000,0),VALUE(RIGHT($A81,1)))/ INDEX($O$4:$O$1000,MATCH(VALUE(LEFT($A81,LEN($A81)-1)),$A$4:$A$1000))) * INDEX($B$4:$B$1000,MATCH(VALUE(LEFT($A81,LEN($A81)-1)),$A$4:$A$1000)),"")</f>
        <v>270</v>
      </c>
      <c r="C81" s="38" t="str" cm="1">
        <f t="array" ref="C81">IFERROR(IF(INDEX($D$4:$H$1000,MATCH(VALUE(LEFT($A81,LEN($A81)-1)),$A$4:$A$1000,0),VALUE(RIGHT($A81,1)))= 0,"",INDEX($D$4:$H$1000,MATCH(VALUE(LEFT($A81,LEN($A81)-1)),$A$4:$A$1000,0),VALUE(RIGHT($A81,1)))),"")</f>
        <v>電磁制御棒</v>
      </c>
      <c r="D81" s="23" t="str">
        <f>IFERROR(IF(INDEX(使用レシピ!F:F,MATCH(テンプレート!$C81,使用レシピ!$E:$E,0))&lt;&gt;0,INDEX(使用レシピ!F:F,MATCH(テンプレート!$C81,使用レシピ!$E:$E,0)),""),"")</f>
        <v>固定子</v>
      </c>
      <c r="E81" t="str">
        <f>IFERROR(IF(INDEX(使用レシピ!G:G,MATCH(テンプレート!$C81,使用レシピ!$E:$E,0))&lt;&gt;0,INDEX(使用レシピ!G:G,MATCH(テンプレート!$C81,使用レシピ!$E:$E,0)),""),"")</f>
        <v>AIリミッター</v>
      </c>
      <c r="F81" t="str">
        <f>IFERROR(IF(INDEX(使用レシピ!H:H,MATCH(テンプレート!$C81,使用レシピ!$E:$E,0))&lt;&gt;0,INDEX(使用レシピ!H:H,MATCH(テンプレート!$C81,使用レシピ!$E:$E,0)),""),"")</f>
        <v/>
      </c>
      <c r="G81" t="str">
        <f>IFERROR(IF(INDEX(使用レシピ!I:I,MATCH(テンプレート!$C81,使用レシピ!$E:$E,0))&lt;&gt;0,INDEX(使用レシピ!I:I,MATCH(テンプレート!$C81,使用レシピ!$E:$E,0)),""),"")</f>
        <v/>
      </c>
      <c r="H81" s="24" t="str">
        <f>IFERROR(IF(INDEX(使用レシピ!J:J,MATCH(テンプレート!$C81,使用レシピ!$E:$E,0))&lt;&gt;0,INDEX(使用レシピ!J:J,MATCH(テンプレート!$C81,使用レシピ!$E:$E,0)),""),"")</f>
        <v/>
      </c>
      <c r="I81" s="36">
        <f>IFERROR(IF(INDEX(使用レシピ!P:P,MATCH(テンプレート!$C81,使用レシピ!$E:$E,0))&lt;&gt;0,INDEX(使用レシピ!P:P,MATCH(テンプレート!$C81,使用レシピ!$E:$E,0)),""),"")</f>
        <v>2</v>
      </c>
      <c r="J81">
        <f>IFERROR(IF(INDEX(使用レシピ!K:K,MATCH(テンプレート!$C81,使用レシピ!$E:$E,0))&lt;&gt;0,INDEX(使用レシピ!K:K,MATCH(テンプレート!$C81,使用レシピ!$E:$E,0)),""),"")</f>
        <v>3</v>
      </c>
      <c r="K81">
        <f>IFERROR(IF(INDEX(使用レシピ!L:L,MATCH(テンプレート!$C81,使用レシピ!$E:$E,0))&lt;&gt;0,INDEX(使用レシピ!L:L,MATCH(テンプレート!$C81,使用レシピ!$E:$E,0)),""),"")</f>
        <v>2</v>
      </c>
      <c r="L81" t="str">
        <f>IFERROR(IF(INDEX(使用レシピ!M:M,MATCH(テンプレート!$C81,使用レシピ!$E:$E,0))&lt;&gt;0,INDEX(使用レシピ!M:M,MATCH(テンプレート!$C81,使用レシピ!$E:$E,0)),""),"")</f>
        <v/>
      </c>
      <c r="M81" t="str">
        <f>IFERROR(IF(INDEX(使用レシピ!N:N,MATCH(テンプレート!$C81,使用レシピ!$E:$E,0))&lt;&gt;0,INDEX(使用レシピ!N:N,MATCH(テンプレート!$C81,使用レシピ!$E:$E,0)),""),"")</f>
        <v/>
      </c>
      <c r="N81" s="24" t="str">
        <f>IFERROR(IF(INDEX(使用レシピ!O:O,MATCH(テンプレート!$C81,使用レシピ!$E:$E,0))&lt;&gt;0,INDEX(使用レシピ!O:O,MATCH(テンプレート!$C81,使用レシピ!$E:$E,0)),""),"")</f>
        <v/>
      </c>
      <c r="O81" s="42">
        <f>IFERROR(IF(INDEX(使用レシピ!P:P,MATCH(テンプレート!$C81,使用レシピ!$E:$E,0))&lt;&gt;0,INDEX(使用レシピ!P:P,MATCH(テンプレート!$C81,使用レシピ!$E:$E,0)),""),"")</f>
        <v>2</v>
      </c>
      <c r="P81" s="25">
        <f t="shared" si="10"/>
        <v>3</v>
      </c>
      <c r="Q81" s="26">
        <f t="shared" si="11"/>
        <v>2</v>
      </c>
      <c r="R81" s="26" t="str">
        <f t="shared" si="12"/>
        <v/>
      </c>
      <c r="S81" s="26" t="str">
        <f t="shared" si="13"/>
        <v/>
      </c>
      <c r="T81" s="43" t="str">
        <f t="shared" si="13"/>
        <v/>
      </c>
    </row>
    <row r="82" spans="1:20" x14ac:dyDescent="0.4">
      <c r="A82">
        <v>1111114</v>
      </c>
      <c r="B82" s="47" t="str" cm="1">
        <f t="array" ref="B82">IFERROR((INDEX($P$4:$T$1000,MATCH(VALUE(LEFT($A82,LEN($A82)-1)),$A$4:$A$1000,0),VALUE(RIGHT($A82,1)))/ INDEX($O$4:$O$1000,MATCH(VALUE(LEFT($A82,LEN($A82)-1)),$A$4:$A$1000))) * INDEX($B$4:$B$1000,MATCH(VALUE(LEFT($A82,LEN($A82)-1)),$A$4:$A$1000)),"")</f>
        <v/>
      </c>
      <c r="C82" s="38" t="str" cm="1">
        <f t="array" ref="C82">IFERROR(IF(INDEX($D$4:$H$1000,MATCH(VALUE(LEFT($A82,LEN($A82)-1)),$A$4:$A$1000,0),VALUE(RIGHT($A82,1)))= 0,"",INDEX($D$4:$H$1000,MATCH(VALUE(LEFT($A82,LEN($A82)-1)),$A$4:$A$1000,0),VALUE(RIGHT($A82,1)))),"")</f>
        <v/>
      </c>
      <c r="D82" s="23" t="str">
        <f>IFERROR(IF(INDEX(使用レシピ!F:F,MATCH(テンプレート!$C82,使用レシピ!$E:$E,0))&lt;&gt;0,INDEX(使用レシピ!F:F,MATCH(テンプレート!$C82,使用レシピ!$E:$E,0)),""),"")</f>
        <v/>
      </c>
      <c r="E82" t="str">
        <f>IFERROR(IF(INDEX(使用レシピ!G:G,MATCH(テンプレート!$C82,使用レシピ!$E:$E,0))&lt;&gt;0,INDEX(使用レシピ!G:G,MATCH(テンプレート!$C82,使用レシピ!$E:$E,0)),""),"")</f>
        <v/>
      </c>
      <c r="F82" t="str">
        <f>IFERROR(IF(INDEX(使用レシピ!H:H,MATCH(テンプレート!$C82,使用レシピ!$E:$E,0))&lt;&gt;0,INDEX(使用レシピ!H:H,MATCH(テンプレート!$C82,使用レシピ!$E:$E,0)),""),"")</f>
        <v/>
      </c>
      <c r="G82" t="str">
        <f>IFERROR(IF(INDEX(使用レシピ!I:I,MATCH(テンプレート!$C82,使用レシピ!$E:$E,0))&lt;&gt;0,INDEX(使用レシピ!I:I,MATCH(テンプレート!$C82,使用レシピ!$E:$E,0)),""),"")</f>
        <v/>
      </c>
      <c r="H82" s="24" t="str">
        <f>IFERROR(IF(INDEX(使用レシピ!J:J,MATCH(テンプレート!$C82,使用レシピ!$E:$E,0))&lt;&gt;0,INDEX(使用レシピ!J:J,MATCH(テンプレート!$C82,使用レシピ!$E:$E,0)),""),"")</f>
        <v/>
      </c>
      <c r="I82" s="36" t="str">
        <f>IFERROR(IF(INDEX(使用レシピ!P:P,MATCH(テンプレート!$C82,使用レシピ!$E:$E,0))&lt;&gt;0,INDEX(使用レシピ!P:P,MATCH(テンプレート!$C82,使用レシピ!$E:$E,0)),""),"")</f>
        <v/>
      </c>
      <c r="J82" t="str">
        <f>IFERROR(IF(INDEX(使用レシピ!K:K,MATCH(テンプレート!$C82,使用レシピ!$E:$E,0))&lt;&gt;0,INDEX(使用レシピ!K:K,MATCH(テンプレート!$C82,使用レシピ!$E:$E,0)),""),"")</f>
        <v/>
      </c>
      <c r="K82" t="str">
        <f>IFERROR(IF(INDEX(使用レシピ!L:L,MATCH(テンプレート!$C82,使用レシピ!$E:$E,0))&lt;&gt;0,INDEX(使用レシピ!L:L,MATCH(テンプレート!$C82,使用レシピ!$E:$E,0)),""),"")</f>
        <v/>
      </c>
      <c r="L82" t="str">
        <f>IFERROR(IF(INDEX(使用レシピ!M:M,MATCH(テンプレート!$C82,使用レシピ!$E:$E,0))&lt;&gt;0,INDEX(使用レシピ!M:M,MATCH(テンプレート!$C82,使用レシピ!$E:$E,0)),""),"")</f>
        <v/>
      </c>
      <c r="M82" t="str">
        <f>IFERROR(IF(INDEX(使用レシピ!N:N,MATCH(テンプレート!$C82,使用レシピ!$E:$E,0))&lt;&gt;0,INDEX(使用レシピ!N:N,MATCH(テンプレート!$C82,使用レシピ!$E:$E,0)),""),"")</f>
        <v/>
      </c>
      <c r="N82" s="24" t="str">
        <f>IFERROR(IF(INDEX(使用レシピ!O:O,MATCH(テンプレート!$C82,使用レシピ!$E:$E,0))&lt;&gt;0,INDEX(使用レシピ!O:O,MATCH(テンプレート!$C82,使用レシピ!$E:$E,0)),""),"")</f>
        <v/>
      </c>
      <c r="O82" s="42" t="str">
        <f>IFERROR(IF(INDEX(使用レシピ!P:P,MATCH(テンプレート!$C82,使用レシピ!$E:$E,0))&lt;&gt;0,INDEX(使用レシピ!P:P,MATCH(テンプレート!$C82,使用レシピ!$E:$E,0)),""),"")</f>
        <v/>
      </c>
      <c r="P82" s="25" t="str">
        <f t="shared" si="10"/>
        <v/>
      </c>
      <c r="Q82" s="26" t="str">
        <f t="shared" si="11"/>
        <v/>
      </c>
      <c r="R82" s="26" t="str">
        <f t="shared" si="12"/>
        <v/>
      </c>
      <c r="S82" s="26" t="str">
        <f t="shared" si="13"/>
        <v/>
      </c>
      <c r="T82" s="43" t="str">
        <f t="shared" si="13"/>
        <v/>
      </c>
    </row>
    <row r="83" spans="1:20" x14ac:dyDescent="0.4">
      <c r="A83">
        <v>1111331</v>
      </c>
      <c r="B83" s="47" cm="1">
        <f t="array" ref="B83">IFERROR((INDEX($P$4:$T$1000,MATCH(VALUE(LEFT($A83,LEN($A83)-1)),$A$4:$A$1000,0),VALUE(RIGHT($A83,1)))/ INDEX($O$4:$O$1000,MATCH(VALUE(LEFT($A83,LEN($A83)-1)),$A$4:$A$1000))) * INDEX($B$4:$B$1000,MATCH(VALUE(LEFT($A83,LEN($A83)-1)),$A$4:$A$1000)),"")</f>
        <v>540</v>
      </c>
      <c r="C83" s="38" t="str" cm="1">
        <f t="array" ref="C83">IFERROR(IF(INDEX($D$4:$H$1000,MATCH(VALUE(LEFT($A83,LEN($A83)-1)),$A$4:$A$1000,0),VALUE(RIGHT($A83,1)))= 0,"",INDEX($D$4:$H$1000,MATCH(VALUE(LEFT($A83,LEN($A83)-1)),$A$4:$A$1000,0),VALUE(RIGHT($A83,1)))),"")</f>
        <v>鉄のインゴット</v>
      </c>
      <c r="D83" s="23" t="str">
        <f>IFERROR(IF(INDEX(使用レシピ!F:F,MATCH(テンプレート!$C83,使用レシピ!$E:$E,0))&lt;&gt;0,INDEX(使用レシピ!F:F,MATCH(テンプレート!$C83,使用レシピ!$E:$E,0)),""),"")</f>
        <v>鉄鉱石</v>
      </c>
      <c r="E83" t="str">
        <f>IFERROR(IF(INDEX(使用レシピ!G:G,MATCH(テンプレート!$C83,使用レシピ!$E:$E,0))&lt;&gt;0,INDEX(使用レシピ!G:G,MATCH(テンプレート!$C83,使用レシピ!$E:$E,0)),""),"")</f>
        <v>水</v>
      </c>
      <c r="F83" t="str">
        <f>IFERROR(IF(INDEX(使用レシピ!H:H,MATCH(テンプレート!$C83,使用レシピ!$E:$E,0))&lt;&gt;0,INDEX(使用レシピ!H:H,MATCH(テンプレート!$C83,使用レシピ!$E:$E,0)),""),"")</f>
        <v/>
      </c>
      <c r="G83" t="str">
        <f>IFERROR(IF(INDEX(使用レシピ!I:I,MATCH(テンプレート!$C83,使用レシピ!$E:$E,0))&lt;&gt;0,INDEX(使用レシピ!I:I,MATCH(テンプレート!$C83,使用レシピ!$E:$E,0)),""),"")</f>
        <v/>
      </c>
      <c r="H83" s="24" t="str">
        <f>IFERROR(IF(INDEX(使用レシピ!J:J,MATCH(テンプレート!$C83,使用レシピ!$E:$E,0))&lt;&gt;0,INDEX(使用レシピ!J:J,MATCH(テンプレート!$C83,使用レシピ!$E:$E,0)),""),"")</f>
        <v/>
      </c>
      <c r="I83" s="36">
        <f>IFERROR(IF(INDEX(使用レシピ!P:P,MATCH(テンプレート!$C83,使用レシピ!$E:$E,0))&lt;&gt;0,INDEX(使用レシピ!P:P,MATCH(テンプレート!$C83,使用レシピ!$E:$E,0)),""),"")</f>
        <v>13</v>
      </c>
      <c r="J83">
        <f>IFERROR(IF(INDEX(使用レシピ!K:K,MATCH(テンプレート!$C83,使用レシピ!$E:$E,0))&lt;&gt;0,INDEX(使用レシピ!K:K,MATCH(テンプレート!$C83,使用レシピ!$E:$E,0)),""),"")</f>
        <v>7</v>
      </c>
      <c r="K83">
        <f>IFERROR(IF(INDEX(使用レシピ!L:L,MATCH(テンプレート!$C83,使用レシピ!$E:$E,0))&lt;&gt;0,INDEX(使用レシピ!L:L,MATCH(テンプレート!$C83,使用レシピ!$E:$E,0)),""),"")</f>
        <v>4</v>
      </c>
      <c r="L83" t="str">
        <f>IFERROR(IF(INDEX(使用レシピ!M:M,MATCH(テンプレート!$C83,使用レシピ!$E:$E,0))&lt;&gt;0,INDEX(使用レシピ!M:M,MATCH(テンプレート!$C83,使用レシピ!$E:$E,0)),""),"")</f>
        <v/>
      </c>
      <c r="M83" t="str">
        <f>IFERROR(IF(INDEX(使用レシピ!N:N,MATCH(テンプレート!$C83,使用レシピ!$E:$E,0))&lt;&gt;0,INDEX(使用レシピ!N:N,MATCH(テンプレート!$C83,使用レシピ!$E:$E,0)),""),"")</f>
        <v/>
      </c>
      <c r="N83" s="24" t="str">
        <f>IFERROR(IF(INDEX(使用レシピ!O:O,MATCH(テンプレート!$C83,使用レシピ!$E:$E,0))&lt;&gt;0,INDEX(使用レシピ!O:O,MATCH(テンプレート!$C83,使用レシピ!$E:$E,0)),""),"")</f>
        <v/>
      </c>
      <c r="O83" s="42">
        <f>IFERROR(IF(INDEX(使用レシピ!P:P,MATCH(テンプレート!$C83,使用レシピ!$E:$E,0))&lt;&gt;0,INDEX(使用レシピ!P:P,MATCH(テンプレート!$C83,使用レシピ!$E:$E,0)),""),"")</f>
        <v>13</v>
      </c>
      <c r="P83" s="25">
        <f t="shared" si="10"/>
        <v>7</v>
      </c>
      <c r="Q83" s="26">
        <f t="shared" si="11"/>
        <v>4</v>
      </c>
      <c r="R83" s="26" t="str">
        <f t="shared" si="12"/>
        <v/>
      </c>
      <c r="S83" s="26" t="str">
        <f t="shared" si="13"/>
        <v/>
      </c>
      <c r="T83" s="43" t="str">
        <f t="shared" si="13"/>
        <v/>
      </c>
    </row>
    <row r="84" spans="1:20" x14ac:dyDescent="0.4">
      <c r="A84">
        <v>1112111</v>
      </c>
      <c r="B84" s="47" cm="1">
        <f t="array" ref="B84">IFERROR((INDEX($P$4:$T$1000,MATCH(VALUE(LEFT($A84,LEN($A84)-1)),$A$4:$A$1000,0),VALUE(RIGHT($A84,1)))/ INDEX($O$4:$O$1000,MATCH(VALUE(LEFT($A84,LEN($A84)-1)),$A$4:$A$1000))) * INDEX($B$4:$B$1000,MATCH(VALUE(LEFT($A84,LEN($A84)-1)),$A$4:$A$1000)),"")</f>
        <v>1800</v>
      </c>
      <c r="C84" s="38" t="str" cm="1">
        <f t="array" ref="C84">IFERROR(IF(INDEX($D$4:$H$1000,MATCH(VALUE(LEFT($A84,LEN($A84)-1)),$A$4:$A$1000,0),VALUE(RIGHT($A84,1)))= 0,"",INDEX($D$4:$H$1000,MATCH(VALUE(LEFT($A84,LEN($A84)-1)),$A$4:$A$1000,0),VALUE(RIGHT($A84,1)))),"")</f>
        <v>ウラン</v>
      </c>
      <c r="D84" s="23" t="str">
        <f>IFERROR(IF(INDEX(使用レシピ!F:F,MATCH(テンプレート!$C84,使用レシピ!$E:$E,0))&lt;&gt;0,INDEX(使用レシピ!F:F,MATCH(テンプレート!$C84,使用レシピ!$E:$E,0)),""),"")</f>
        <v/>
      </c>
      <c r="E84" t="str">
        <f>IFERROR(IF(INDEX(使用レシピ!G:G,MATCH(テンプレート!$C84,使用レシピ!$E:$E,0))&lt;&gt;0,INDEX(使用レシピ!G:G,MATCH(テンプレート!$C84,使用レシピ!$E:$E,0)),""),"")</f>
        <v/>
      </c>
      <c r="F84" t="str">
        <f>IFERROR(IF(INDEX(使用レシピ!H:H,MATCH(テンプレート!$C84,使用レシピ!$E:$E,0))&lt;&gt;0,INDEX(使用レシピ!H:H,MATCH(テンプレート!$C84,使用レシピ!$E:$E,0)),""),"")</f>
        <v/>
      </c>
      <c r="G84" t="str">
        <f>IFERROR(IF(INDEX(使用レシピ!I:I,MATCH(テンプレート!$C84,使用レシピ!$E:$E,0))&lt;&gt;0,INDEX(使用レシピ!I:I,MATCH(テンプレート!$C84,使用レシピ!$E:$E,0)),""),"")</f>
        <v/>
      </c>
      <c r="H84" s="24" t="str">
        <f>IFERROR(IF(INDEX(使用レシピ!J:J,MATCH(テンプレート!$C84,使用レシピ!$E:$E,0))&lt;&gt;0,INDEX(使用レシピ!J:J,MATCH(テンプレート!$C84,使用レシピ!$E:$E,0)),""),"")</f>
        <v/>
      </c>
      <c r="I84" s="36">
        <f>IFERROR(IF(INDEX(使用レシピ!P:P,MATCH(テンプレート!$C84,使用レシピ!$E:$E,0))&lt;&gt;0,INDEX(使用レシピ!P:P,MATCH(テンプレート!$C84,使用レシピ!$E:$E,0)),""),"")</f>
        <v>1</v>
      </c>
      <c r="J84" t="str">
        <f>IFERROR(IF(INDEX(使用レシピ!K:K,MATCH(テンプレート!$C84,使用レシピ!$E:$E,0))&lt;&gt;0,INDEX(使用レシピ!K:K,MATCH(テンプレート!$C84,使用レシピ!$E:$E,0)),""),"")</f>
        <v/>
      </c>
      <c r="K84" t="str">
        <f>IFERROR(IF(INDEX(使用レシピ!L:L,MATCH(テンプレート!$C84,使用レシピ!$E:$E,0))&lt;&gt;0,INDEX(使用レシピ!L:L,MATCH(テンプレート!$C84,使用レシピ!$E:$E,0)),""),"")</f>
        <v/>
      </c>
      <c r="L84" t="str">
        <f>IFERROR(IF(INDEX(使用レシピ!M:M,MATCH(テンプレート!$C84,使用レシピ!$E:$E,0))&lt;&gt;0,INDEX(使用レシピ!M:M,MATCH(テンプレート!$C84,使用レシピ!$E:$E,0)),""),"")</f>
        <v/>
      </c>
      <c r="M84" t="str">
        <f>IFERROR(IF(INDEX(使用レシピ!N:N,MATCH(テンプレート!$C84,使用レシピ!$E:$E,0))&lt;&gt;0,INDEX(使用レシピ!N:N,MATCH(テンプレート!$C84,使用レシピ!$E:$E,0)),""),"")</f>
        <v/>
      </c>
      <c r="N84" s="24" t="str">
        <f>IFERROR(IF(INDEX(使用レシピ!O:O,MATCH(テンプレート!$C84,使用レシピ!$E:$E,0))&lt;&gt;0,INDEX(使用レシピ!O:O,MATCH(テンプレート!$C84,使用レシピ!$E:$E,0)),""),"")</f>
        <v/>
      </c>
      <c r="O84" s="42">
        <f>IFERROR(IF(INDEX(使用レシピ!P:P,MATCH(テンプレート!$C84,使用レシピ!$E:$E,0))&lt;&gt;0,INDEX(使用レシピ!P:P,MATCH(テンプレート!$C84,使用レシピ!$E:$E,0)),""),"")</f>
        <v>1</v>
      </c>
      <c r="P84" s="25" t="str">
        <f t="shared" si="10"/>
        <v/>
      </c>
      <c r="Q84" s="26" t="str">
        <f t="shared" si="11"/>
        <v/>
      </c>
      <c r="R84" s="26" t="str">
        <f t="shared" si="12"/>
        <v/>
      </c>
      <c r="S84" s="26" t="str">
        <f t="shared" si="13"/>
        <v/>
      </c>
      <c r="T84" s="43" t="str">
        <f t="shared" si="13"/>
        <v/>
      </c>
    </row>
    <row r="85" spans="1:20" x14ac:dyDescent="0.4">
      <c r="A85">
        <v>1112112</v>
      </c>
      <c r="B85" s="47" cm="1">
        <f t="array" ref="B85">IFERROR((INDEX($P$4:$T$1000,MATCH(VALUE(LEFT($A85,LEN($A85)-1)),$A$4:$A$1000,0),VALUE(RIGHT($A85,1)))/ INDEX($O$4:$O$1000,MATCH(VALUE(LEFT($A85,LEN($A85)-1)),$A$4:$A$1000))) * INDEX($B$4:$B$1000,MATCH(VALUE(LEFT($A85,LEN($A85)-1)),$A$4:$A$1000)),"")</f>
        <v>540</v>
      </c>
      <c r="C85" s="38" t="str" cm="1">
        <f t="array" ref="C85">IFERROR(IF(INDEX($D$4:$H$1000,MATCH(VALUE(LEFT($A85,LEN($A85)-1)),$A$4:$A$1000,0),VALUE(RIGHT($A85,1)))= 0,"",INDEX($D$4:$H$1000,MATCH(VALUE(LEFT($A85,LEN($A85)-1)),$A$4:$A$1000,0),VALUE(RIGHT($A85,1)))),"")</f>
        <v>コンクリート</v>
      </c>
      <c r="D85" s="23" t="str">
        <f>IFERROR(IF(INDEX(使用レシピ!F:F,MATCH(テンプレート!$C85,使用レシピ!$E:$E,0))&lt;&gt;0,INDEX(使用レシピ!F:F,MATCH(テンプレート!$C85,使用レシピ!$E:$E,0)),""),"")</f>
        <v>石灰岩</v>
      </c>
      <c r="E85" t="str">
        <f>IFERROR(IF(INDEX(使用レシピ!G:G,MATCH(テンプレート!$C85,使用レシピ!$E:$E,0))&lt;&gt;0,INDEX(使用レシピ!G:G,MATCH(テンプレート!$C85,使用レシピ!$E:$E,0)),""),"")</f>
        <v>水</v>
      </c>
      <c r="F85" t="str">
        <f>IFERROR(IF(INDEX(使用レシピ!H:H,MATCH(テンプレート!$C85,使用レシピ!$E:$E,0))&lt;&gt;0,INDEX(使用レシピ!H:H,MATCH(テンプレート!$C85,使用レシピ!$E:$E,0)),""),"")</f>
        <v/>
      </c>
      <c r="G85" t="str">
        <f>IFERROR(IF(INDEX(使用レシピ!I:I,MATCH(テンプレート!$C85,使用レシピ!$E:$E,0))&lt;&gt;0,INDEX(使用レシピ!I:I,MATCH(テンプレート!$C85,使用レシピ!$E:$E,0)),""),"")</f>
        <v/>
      </c>
      <c r="H85" s="24" t="str">
        <f>IFERROR(IF(INDEX(使用レシピ!J:J,MATCH(テンプレート!$C85,使用レシピ!$E:$E,0))&lt;&gt;0,INDEX(使用レシピ!J:J,MATCH(テンプレート!$C85,使用レシピ!$E:$E,0)),""),"")</f>
        <v/>
      </c>
      <c r="I85" s="36">
        <f>IFERROR(IF(INDEX(使用レシピ!P:P,MATCH(テンプレート!$C85,使用レシピ!$E:$E,0))&lt;&gt;0,INDEX(使用レシピ!P:P,MATCH(テンプレート!$C85,使用レシピ!$E:$E,0)),""),"")</f>
        <v>4</v>
      </c>
      <c r="J85">
        <f>IFERROR(IF(INDEX(使用レシピ!K:K,MATCH(テンプレート!$C85,使用レシピ!$E:$E,0))&lt;&gt;0,INDEX(使用レシピ!K:K,MATCH(テンプレート!$C85,使用レシピ!$E:$E,0)),""),"")</f>
        <v>6</v>
      </c>
      <c r="K85">
        <f>IFERROR(IF(INDEX(使用レシピ!L:L,MATCH(テンプレート!$C85,使用レシピ!$E:$E,0))&lt;&gt;0,INDEX(使用レシピ!L:L,MATCH(テンプレート!$C85,使用レシピ!$E:$E,0)),""),"")</f>
        <v>5</v>
      </c>
      <c r="L85" t="str">
        <f>IFERROR(IF(INDEX(使用レシピ!M:M,MATCH(テンプレート!$C85,使用レシピ!$E:$E,0))&lt;&gt;0,INDEX(使用レシピ!M:M,MATCH(テンプレート!$C85,使用レシピ!$E:$E,0)),""),"")</f>
        <v/>
      </c>
      <c r="M85" t="str">
        <f>IFERROR(IF(INDEX(使用レシピ!N:N,MATCH(テンプレート!$C85,使用レシピ!$E:$E,0))&lt;&gt;0,INDEX(使用レシピ!N:N,MATCH(テンプレート!$C85,使用レシピ!$E:$E,0)),""),"")</f>
        <v/>
      </c>
      <c r="N85" s="24" t="str">
        <f>IFERROR(IF(INDEX(使用レシピ!O:O,MATCH(テンプレート!$C85,使用レシピ!$E:$E,0))&lt;&gt;0,INDEX(使用レシピ!O:O,MATCH(テンプレート!$C85,使用レシピ!$E:$E,0)),""),"")</f>
        <v/>
      </c>
      <c r="O85" s="42">
        <f>IFERROR(IF(INDEX(使用レシピ!P:P,MATCH(テンプレート!$C85,使用レシピ!$E:$E,0))&lt;&gt;0,INDEX(使用レシピ!P:P,MATCH(テンプレート!$C85,使用レシピ!$E:$E,0)),""),"")</f>
        <v>4</v>
      </c>
      <c r="P85" s="25">
        <f t="shared" si="10"/>
        <v>6</v>
      </c>
      <c r="Q85" s="26">
        <f t="shared" si="11"/>
        <v>5</v>
      </c>
      <c r="R85" s="26" t="str">
        <f t="shared" si="12"/>
        <v/>
      </c>
      <c r="S85" s="26" t="str">
        <f t="shared" si="13"/>
        <v/>
      </c>
      <c r="T85" s="43" t="str">
        <f t="shared" si="13"/>
        <v/>
      </c>
    </row>
    <row r="86" spans="1:20" x14ac:dyDescent="0.4">
      <c r="A86">
        <v>1112113</v>
      </c>
      <c r="B86" s="47" cm="1">
        <f t="array" ref="B86">IFERROR((INDEX($P$4:$T$1000,MATCH(VALUE(LEFT($A86,LEN($A86)-1)),$A$4:$A$1000,0),VALUE(RIGHT($A86,1)))/ INDEX($O$4:$O$1000,MATCH(VALUE(LEFT($A86,LEN($A86)-1)),$A$4:$A$1000))) * INDEX($B$4:$B$1000,MATCH(VALUE(LEFT($A86,LEN($A86)-1)),$A$4:$A$1000)),"")</f>
        <v>1440</v>
      </c>
      <c r="C86" s="38" t="str" cm="1">
        <f t="array" ref="C86">IFERROR(IF(INDEX($D$4:$H$1000,MATCH(VALUE(LEFT($A86,LEN($A86)-1)),$A$4:$A$1000,0),VALUE(RIGHT($A86,1)))= 0,"",INDEX($D$4:$H$1000,MATCH(VALUE(LEFT($A86,LEN($A86)-1)),$A$4:$A$1000,0),VALUE(RIGHT($A86,1)))),"")</f>
        <v>硫酸</v>
      </c>
      <c r="D86" s="23" t="str">
        <f>IFERROR(IF(INDEX(使用レシピ!F:F,MATCH(テンプレート!$C86,使用レシピ!$E:$E,0))&lt;&gt;0,INDEX(使用レシピ!F:F,MATCH(テンプレート!$C86,使用レシピ!$E:$E,0)),""),"")</f>
        <v>硫黄</v>
      </c>
      <c r="E86" t="str">
        <f>IFERROR(IF(INDEX(使用レシピ!G:G,MATCH(テンプレート!$C86,使用レシピ!$E:$E,0))&lt;&gt;0,INDEX(使用レシピ!G:G,MATCH(テンプレート!$C86,使用レシピ!$E:$E,0)),""),"")</f>
        <v>水</v>
      </c>
      <c r="F86" t="str">
        <f>IFERROR(IF(INDEX(使用レシピ!H:H,MATCH(テンプレート!$C86,使用レシピ!$E:$E,0))&lt;&gt;0,INDEX(使用レシピ!H:H,MATCH(テンプレート!$C86,使用レシピ!$E:$E,0)),""),"")</f>
        <v/>
      </c>
      <c r="G86" t="str">
        <f>IFERROR(IF(INDEX(使用レシピ!I:I,MATCH(テンプレート!$C86,使用レシピ!$E:$E,0))&lt;&gt;0,INDEX(使用レシピ!I:I,MATCH(テンプレート!$C86,使用レシピ!$E:$E,0)),""),"")</f>
        <v/>
      </c>
      <c r="H86" s="24" t="str">
        <f>IFERROR(IF(INDEX(使用レシピ!J:J,MATCH(テンプレート!$C86,使用レシピ!$E:$E,0))&lt;&gt;0,INDEX(使用レシピ!J:J,MATCH(テンプレート!$C86,使用レシピ!$E:$E,0)),""),"")</f>
        <v/>
      </c>
      <c r="I86" s="36">
        <f>IFERROR(IF(INDEX(使用レシピ!P:P,MATCH(テンプレート!$C86,使用レシピ!$E:$E,0))&lt;&gt;0,INDEX(使用レシピ!P:P,MATCH(テンプレート!$C86,使用レシピ!$E:$E,0)),""),"")</f>
        <v>5</v>
      </c>
      <c r="J86">
        <f>IFERROR(IF(INDEX(使用レシピ!K:K,MATCH(テンプレート!$C86,使用レシピ!$E:$E,0))&lt;&gt;0,INDEX(使用レシピ!K:K,MATCH(テンプレート!$C86,使用レシピ!$E:$E,0)),""),"")</f>
        <v>5</v>
      </c>
      <c r="K86">
        <f>IFERROR(IF(INDEX(使用レシピ!L:L,MATCH(テンプレート!$C86,使用レシピ!$E:$E,0))&lt;&gt;0,INDEX(使用レシピ!L:L,MATCH(テンプレート!$C86,使用レシピ!$E:$E,0)),""),"")</f>
        <v>5</v>
      </c>
      <c r="L86" t="str">
        <f>IFERROR(IF(INDEX(使用レシピ!M:M,MATCH(テンプレート!$C86,使用レシピ!$E:$E,0))&lt;&gt;0,INDEX(使用レシピ!M:M,MATCH(テンプレート!$C86,使用レシピ!$E:$E,0)),""),"")</f>
        <v/>
      </c>
      <c r="M86" t="str">
        <f>IFERROR(IF(INDEX(使用レシピ!N:N,MATCH(テンプレート!$C86,使用レシピ!$E:$E,0))&lt;&gt;0,INDEX(使用レシピ!N:N,MATCH(テンプレート!$C86,使用レシピ!$E:$E,0)),""),"")</f>
        <v/>
      </c>
      <c r="N86" s="24" t="str">
        <f>IFERROR(IF(INDEX(使用レシピ!O:O,MATCH(テンプレート!$C86,使用レシピ!$E:$E,0))&lt;&gt;0,INDEX(使用レシピ!O:O,MATCH(テンプレート!$C86,使用レシピ!$E:$E,0)),""),"")</f>
        <v/>
      </c>
      <c r="O86" s="42">
        <f>IFERROR(IF(INDEX(使用レシピ!P:P,MATCH(テンプレート!$C86,使用レシピ!$E:$E,0))&lt;&gt;0,INDEX(使用レシピ!P:P,MATCH(テンプレート!$C86,使用レシピ!$E:$E,0)),""),"")</f>
        <v>5</v>
      </c>
      <c r="P86" s="25">
        <f t="shared" si="10"/>
        <v>5</v>
      </c>
      <c r="Q86" s="26">
        <f t="shared" si="11"/>
        <v>5</v>
      </c>
      <c r="R86" s="26" t="str">
        <f t="shared" si="12"/>
        <v/>
      </c>
      <c r="S86" s="26" t="str">
        <f t="shared" si="13"/>
        <v/>
      </c>
      <c r="T86" s="43" t="str">
        <f t="shared" si="13"/>
        <v/>
      </c>
    </row>
    <row r="87" spans="1:20" x14ac:dyDescent="0.4">
      <c r="A87">
        <v>1112114</v>
      </c>
      <c r="B87" s="47" t="str" cm="1">
        <f t="array" ref="B87">IFERROR((INDEX($P$4:$T$1000,MATCH(VALUE(LEFT($A87,LEN($A87)-1)),$A$4:$A$1000,0),VALUE(RIGHT($A87,1)))/ INDEX($O$4:$O$1000,MATCH(VALUE(LEFT($A87,LEN($A87)-1)),$A$4:$A$1000))) * INDEX($B$4:$B$1000,MATCH(VALUE(LEFT($A87,LEN($A87)-1)),$A$4:$A$1000)),"")</f>
        <v/>
      </c>
      <c r="C87" s="38" t="str" cm="1">
        <f t="array" ref="C87">IFERROR(IF(INDEX($D$4:$H$1000,MATCH(VALUE(LEFT($A87,LEN($A87)-1)),$A$4:$A$1000,0),VALUE(RIGHT($A87,1)))= 0,"",INDEX($D$4:$H$1000,MATCH(VALUE(LEFT($A87,LEN($A87)-1)),$A$4:$A$1000,0),VALUE(RIGHT($A87,1)))),"")</f>
        <v/>
      </c>
      <c r="D87" s="23" t="str">
        <f>IFERROR(IF(INDEX(使用レシピ!F:F,MATCH(テンプレート!$C87,使用レシピ!$E:$E,0))&lt;&gt;0,INDEX(使用レシピ!F:F,MATCH(テンプレート!$C87,使用レシピ!$E:$E,0)),""),"")</f>
        <v/>
      </c>
      <c r="E87" t="str">
        <f>IFERROR(IF(INDEX(使用レシピ!G:G,MATCH(テンプレート!$C87,使用レシピ!$E:$E,0))&lt;&gt;0,INDEX(使用レシピ!G:G,MATCH(テンプレート!$C87,使用レシピ!$E:$E,0)),""),"")</f>
        <v/>
      </c>
      <c r="F87" t="str">
        <f>IFERROR(IF(INDEX(使用レシピ!H:H,MATCH(テンプレート!$C87,使用レシピ!$E:$E,0))&lt;&gt;0,INDEX(使用レシピ!H:H,MATCH(テンプレート!$C87,使用レシピ!$E:$E,0)),""),"")</f>
        <v/>
      </c>
      <c r="G87" t="str">
        <f>IFERROR(IF(INDEX(使用レシピ!I:I,MATCH(テンプレート!$C87,使用レシピ!$E:$E,0))&lt;&gt;0,INDEX(使用レシピ!I:I,MATCH(テンプレート!$C87,使用レシピ!$E:$E,0)),""),"")</f>
        <v/>
      </c>
      <c r="H87" s="24" t="str">
        <f>IFERROR(IF(INDEX(使用レシピ!J:J,MATCH(テンプレート!$C87,使用レシピ!$E:$E,0))&lt;&gt;0,INDEX(使用レシピ!J:J,MATCH(テンプレート!$C87,使用レシピ!$E:$E,0)),""),"")</f>
        <v/>
      </c>
      <c r="I87" s="36" t="str">
        <f>IFERROR(IF(INDEX(使用レシピ!P:P,MATCH(テンプレート!$C87,使用レシピ!$E:$E,0))&lt;&gt;0,INDEX(使用レシピ!P:P,MATCH(テンプレート!$C87,使用レシピ!$E:$E,0)),""),"")</f>
        <v/>
      </c>
      <c r="J87" t="str">
        <f>IFERROR(IF(INDEX(使用レシピ!K:K,MATCH(テンプレート!$C87,使用レシピ!$E:$E,0))&lt;&gt;0,INDEX(使用レシピ!K:K,MATCH(テンプレート!$C87,使用レシピ!$E:$E,0)),""),"")</f>
        <v/>
      </c>
      <c r="K87" t="str">
        <f>IFERROR(IF(INDEX(使用レシピ!L:L,MATCH(テンプレート!$C87,使用レシピ!$E:$E,0))&lt;&gt;0,INDEX(使用レシピ!L:L,MATCH(テンプレート!$C87,使用レシピ!$E:$E,0)),""),"")</f>
        <v/>
      </c>
      <c r="L87" t="str">
        <f>IFERROR(IF(INDEX(使用レシピ!M:M,MATCH(テンプレート!$C87,使用レシピ!$E:$E,0))&lt;&gt;0,INDEX(使用レシピ!M:M,MATCH(テンプレート!$C87,使用レシピ!$E:$E,0)),""),"")</f>
        <v/>
      </c>
      <c r="M87" t="str">
        <f>IFERROR(IF(INDEX(使用レシピ!N:N,MATCH(テンプレート!$C87,使用レシピ!$E:$E,0))&lt;&gt;0,INDEX(使用レシピ!N:N,MATCH(テンプレート!$C87,使用レシピ!$E:$E,0)),""),"")</f>
        <v/>
      </c>
      <c r="N87" s="24" t="str">
        <f>IFERROR(IF(INDEX(使用レシピ!O:O,MATCH(テンプレート!$C87,使用レシピ!$E:$E,0))&lt;&gt;0,INDEX(使用レシピ!O:O,MATCH(テンプレート!$C87,使用レシピ!$E:$E,0)),""),"")</f>
        <v/>
      </c>
      <c r="O87" s="42" t="str">
        <f>IFERROR(IF(INDEX(使用レシピ!P:P,MATCH(テンプレート!$C87,使用レシピ!$E:$E,0))&lt;&gt;0,INDEX(使用レシピ!P:P,MATCH(テンプレート!$C87,使用レシピ!$E:$E,0)),""),"")</f>
        <v/>
      </c>
      <c r="P87" s="25" t="str">
        <f t="shared" si="10"/>
        <v/>
      </c>
      <c r="Q87" s="26" t="str">
        <f t="shared" si="11"/>
        <v/>
      </c>
      <c r="R87" s="26" t="str">
        <f t="shared" si="12"/>
        <v/>
      </c>
      <c r="S87" s="26" t="str">
        <f t="shared" si="13"/>
        <v/>
      </c>
      <c r="T87" s="43" t="str">
        <f t="shared" si="13"/>
        <v/>
      </c>
    </row>
    <row r="88" spans="1:20" x14ac:dyDescent="0.4">
      <c r="A88">
        <v>1112121</v>
      </c>
      <c r="B88" s="47" cm="1">
        <f t="array" ref="B88">IFERROR((INDEX($P$4:$T$1000,MATCH(VALUE(LEFT($A88,LEN($A88)-1)),$A$4:$A$1000,0),VALUE(RIGHT($A88,1)))/ INDEX($O$4:$O$1000,MATCH(VALUE(LEFT($A88,LEN($A88)-1)),$A$4:$A$1000))) * INDEX($B$4:$B$1000,MATCH(VALUE(LEFT($A88,LEN($A88)-1)),$A$4:$A$1000)),"")</f>
        <v>324</v>
      </c>
      <c r="C88" s="38" t="str" cm="1">
        <f t="array" ref="C88">IFERROR(IF(INDEX($D$4:$H$1000,MATCH(VALUE(LEFT($A88,LEN($A88)-1)),$A$4:$A$1000,0),VALUE(RIGHT($A88,1)))= 0,"",INDEX($D$4:$H$1000,MATCH(VALUE(LEFT($A88,LEN($A88)-1)),$A$4:$A$1000,0),VALUE(RIGHT($A88,1)))),"")</f>
        <v>鋼管</v>
      </c>
      <c r="D88" s="23" t="str">
        <f>IFERROR(IF(INDEX(使用レシピ!F:F,MATCH(テンプレート!$C88,使用レシピ!$E:$E,0))&lt;&gt;0,INDEX(使用レシピ!F:F,MATCH(テンプレート!$C88,使用レシピ!$E:$E,0)),""),"")</f>
        <v>鋼鉄のインゴット</v>
      </c>
      <c r="E88" t="str">
        <f>IFERROR(IF(INDEX(使用レシピ!G:G,MATCH(テンプレート!$C88,使用レシピ!$E:$E,0))&lt;&gt;0,INDEX(使用レシピ!G:G,MATCH(テンプレート!$C88,使用レシピ!$E:$E,0)),""),"")</f>
        <v>コンクリート</v>
      </c>
      <c r="F88" t="str">
        <f>IFERROR(IF(INDEX(使用レシピ!H:H,MATCH(テンプレート!$C88,使用レシピ!$E:$E,0))&lt;&gt;0,INDEX(使用レシピ!H:H,MATCH(テンプレート!$C88,使用レシピ!$E:$E,0)),""),"")</f>
        <v/>
      </c>
      <c r="G88" t="str">
        <f>IFERROR(IF(INDEX(使用レシピ!I:I,MATCH(テンプレート!$C88,使用レシピ!$E:$E,0))&lt;&gt;0,INDEX(使用レシピ!I:I,MATCH(テンプレート!$C88,使用レシピ!$E:$E,0)),""),"")</f>
        <v/>
      </c>
      <c r="H88" s="24" t="str">
        <f>IFERROR(IF(INDEX(使用レシピ!J:J,MATCH(テンプレート!$C88,使用レシピ!$E:$E,0))&lt;&gt;0,INDEX(使用レシピ!J:J,MATCH(テンプレート!$C88,使用レシピ!$E:$E,0)),""),"")</f>
        <v/>
      </c>
      <c r="I88" s="36">
        <f>IFERROR(IF(INDEX(使用レシピ!P:P,MATCH(テンプレート!$C88,使用レシピ!$E:$E,0))&lt;&gt;0,INDEX(使用レシピ!P:P,MATCH(テンプレート!$C88,使用レシピ!$E:$E,0)),""),"")</f>
        <v>5</v>
      </c>
      <c r="J88">
        <f>IFERROR(IF(INDEX(使用レシピ!K:K,MATCH(テンプレート!$C88,使用レシピ!$E:$E,0))&lt;&gt;0,INDEX(使用レシピ!K:K,MATCH(テンプレート!$C88,使用レシピ!$E:$E,0)),""),"")</f>
        <v>5</v>
      </c>
      <c r="K88">
        <f>IFERROR(IF(INDEX(使用レシピ!L:L,MATCH(テンプレート!$C88,使用レシピ!$E:$E,0))&lt;&gt;0,INDEX(使用レシピ!L:L,MATCH(テンプレート!$C88,使用レシピ!$E:$E,0)),""),"")</f>
        <v>3</v>
      </c>
      <c r="L88" t="str">
        <f>IFERROR(IF(INDEX(使用レシピ!M:M,MATCH(テンプレート!$C88,使用レシピ!$E:$E,0))&lt;&gt;0,INDEX(使用レシピ!M:M,MATCH(テンプレート!$C88,使用レシピ!$E:$E,0)),""),"")</f>
        <v/>
      </c>
      <c r="M88" t="str">
        <f>IFERROR(IF(INDEX(使用レシピ!N:N,MATCH(テンプレート!$C88,使用レシピ!$E:$E,0))&lt;&gt;0,INDEX(使用レシピ!N:N,MATCH(テンプレート!$C88,使用レシピ!$E:$E,0)),""),"")</f>
        <v/>
      </c>
      <c r="N88" s="24" t="str">
        <f>IFERROR(IF(INDEX(使用レシピ!O:O,MATCH(テンプレート!$C88,使用レシピ!$E:$E,0))&lt;&gt;0,INDEX(使用レシピ!O:O,MATCH(テンプレート!$C88,使用レシピ!$E:$E,0)),""),"")</f>
        <v/>
      </c>
      <c r="O88" s="42">
        <f>IFERROR(IF(INDEX(使用レシピ!P:P,MATCH(テンプレート!$C88,使用レシピ!$E:$E,0))&lt;&gt;0,INDEX(使用レシピ!P:P,MATCH(テンプレート!$C88,使用レシピ!$E:$E,0)),""),"")</f>
        <v>5</v>
      </c>
      <c r="P88" s="25">
        <f t="shared" si="10"/>
        <v>5</v>
      </c>
      <c r="Q88" s="26">
        <f t="shared" si="11"/>
        <v>3</v>
      </c>
      <c r="R88" s="26" t="str">
        <f t="shared" si="12"/>
        <v/>
      </c>
      <c r="S88" s="26" t="str">
        <f t="shared" si="13"/>
        <v/>
      </c>
      <c r="T88" s="43" t="str">
        <f t="shared" si="13"/>
        <v/>
      </c>
    </row>
    <row r="89" spans="1:20" x14ac:dyDescent="0.4">
      <c r="A89">
        <v>1112122</v>
      </c>
      <c r="B89" s="47" cm="1">
        <f t="array" ref="B89">IFERROR((INDEX($P$4:$T$1000,MATCH(VALUE(LEFT($A89,LEN($A89)-1)),$A$4:$A$1000,0),VALUE(RIGHT($A89,1)))/ INDEX($O$4:$O$1000,MATCH(VALUE(LEFT($A89,LEN($A89)-1)),$A$4:$A$1000))) * INDEX($B$4:$B$1000,MATCH(VALUE(LEFT($A89,LEN($A89)-1)),$A$4:$A$1000)),"")</f>
        <v>270</v>
      </c>
      <c r="C89" s="38" t="str" cm="1">
        <f t="array" ref="C89">IFERROR(IF(INDEX($D$4:$H$1000,MATCH(VALUE(LEFT($A89,LEN($A89)-1)),$A$4:$A$1000,0),VALUE(RIGHT($A89,1)))= 0,"",INDEX($D$4:$H$1000,MATCH(VALUE(LEFT($A89,LEN($A89)-1)),$A$4:$A$1000,0),VALUE(RIGHT($A89,1)))),"")</f>
        <v>コンクリート</v>
      </c>
      <c r="D89" s="23" t="str">
        <f>IFERROR(IF(INDEX(使用レシピ!F:F,MATCH(テンプレート!$C89,使用レシピ!$E:$E,0))&lt;&gt;0,INDEX(使用レシピ!F:F,MATCH(テンプレート!$C89,使用レシピ!$E:$E,0)),""),"")</f>
        <v>石灰岩</v>
      </c>
      <c r="E89" t="str">
        <f>IFERROR(IF(INDEX(使用レシピ!G:G,MATCH(テンプレート!$C89,使用レシピ!$E:$E,0))&lt;&gt;0,INDEX(使用レシピ!G:G,MATCH(テンプレート!$C89,使用レシピ!$E:$E,0)),""),"")</f>
        <v>水</v>
      </c>
      <c r="F89" t="str">
        <f>IFERROR(IF(INDEX(使用レシピ!H:H,MATCH(テンプレート!$C89,使用レシピ!$E:$E,0))&lt;&gt;0,INDEX(使用レシピ!H:H,MATCH(テンプレート!$C89,使用レシピ!$E:$E,0)),""),"")</f>
        <v/>
      </c>
      <c r="G89" t="str">
        <f>IFERROR(IF(INDEX(使用レシピ!I:I,MATCH(テンプレート!$C89,使用レシピ!$E:$E,0))&lt;&gt;0,INDEX(使用レシピ!I:I,MATCH(テンプレート!$C89,使用レシピ!$E:$E,0)),""),"")</f>
        <v/>
      </c>
      <c r="H89" s="24" t="str">
        <f>IFERROR(IF(INDEX(使用レシピ!J:J,MATCH(テンプレート!$C89,使用レシピ!$E:$E,0))&lt;&gt;0,INDEX(使用レシピ!J:J,MATCH(テンプレート!$C89,使用レシピ!$E:$E,0)),""),"")</f>
        <v/>
      </c>
      <c r="I89" s="36">
        <f>IFERROR(IF(INDEX(使用レシピ!P:P,MATCH(テンプレート!$C89,使用レシピ!$E:$E,0))&lt;&gt;0,INDEX(使用レシピ!P:P,MATCH(テンプレート!$C89,使用レシピ!$E:$E,0)),""),"")</f>
        <v>4</v>
      </c>
      <c r="J89">
        <f>IFERROR(IF(INDEX(使用レシピ!K:K,MATCH(テンプレート!$C89,使用レシピ!$E:$E,0))&lt;&gt;0,INDEX(使用レシピ!K:K,MATCH(テンプレート!$C89,使用レシピ!$E:$E,0)),""),"")</f>
        <v>6</v>
      </c>
      <c r="K89">
        <f>IFERROR(IF(INDEX(使用レシピ!L:L,MATCH(テンプレート!$C89,使用レシピ!$E:$E,0))&lt;&gt;0,INDEX(使用レシピ!L:L,MATCH(テンプレート!$C89,使用レシピ!$E:$E,0)),""),"")</f>
        <v>5</v>
      </c>
      <c r="L89" t="str">
        <f>IFERROR(IF(INDEX(使用レシピ!M:M,MATCH(テンプレート!$C89,使用レシピ!$E:$E,0))&lt;&gt;0,INDEX(使用レシピ!M:M,MATCH(テンプレート!$C89,使用レシピ!$E:$E,0)),""),"")</f>
        <v/>
      </c>
      <c r="M89" t="str">
        <f>IFERROR(IF(INDEX(使用レシピ!N:N,MATCH(テンプレート!$C89,使用レシピ!$E:$E,0))&lt;&gt;0,INDEX(使用レシピ!N:N,MATCH(テンプレート!$C89,使用レシピ!$E:$E,0)),""),"")</f>
        <v/>
      </c>
      <c r="N89" s="24" t="str">
        <f>IFERROR(IF(INDEX(使用レシピ!O:O,MATCH(テンプレート!$C89,使用レシピ!$E:$E,0))&lt;&gt;0,INDEX(使用レシピ!O:O,MATCH(テンプレート!$C89,使用レシピ!$E:$E,0)),""),"")</f>
        <v/>
      </c>
      <c r="O89" s="42">
        <f>IFERROR(IF(INDEX(使用レシピ!P:P,MATCH(テンプレート!$C89,使用レシピ!$E:$E,0))&lt;&gt;0,INDEX(使用レシピ!P:P,MATCH(テンプレート!$C89,使用レシピ!$E:$E,0)),""),"")</f>
        <v>4</v>
      </c>
      <c r="P89" s="25">
        <f t="shared" si="10"/>
        <v>6</v>
      </c>
      <c r="Q89" s="26">
        <f t="shared" si="11"/>
        <v>5</v>
      </c>
      <c r="R89" s="26" t="str">
        <f t="shared" si="12"/>
        <v/>
      </c>
      <c r="S89" s="26" t="str">
        <f t="shared" si="13"/>
        <v/>
      </c>
      <c r="T89" s="43" t="str">
        <f t="shared" si="13"/>
        <v/>
      </c>
    </row>
    <row r="90" spans="1:20" x14ac:dyDescent="0.4">
      <c r="A90">
        <v>1112131</v>
      </c>
      <c r="B90" s="47" cm="1">
        <f t="array" ref="B90">IFERROR((INDEX($P$4:$T$1000,MATCH(VALUE(LEFT($A90,LEN($A90)-1)),$A$4:$A$1000,0),VALUE(RIGHT($A90,1)))/ INDEX($O$4:$O$1000,MATCH(VALUE(LEFT($A90,LEN($A90)-1)),$A$4:$A$1000))) * INDEX($B$4:$B$1000,MATCH(VALUE(LEFT($A90,LEN($A90)-1)),$A$4:$A$1000)),"")</f>
        <v>135</v>
      </c>
      <c r="C90" s="38" t="str" cm="1">
        <f t="array" ref="C90">IFERROR(IF(INDEX($D$4:$H$1000,MATCH(VALUE(LEFT($A90,LEN($A90)-1)),$A$4:$A$1000,0),VALUE(RIGHT($A90,1)))= 0,"",INDEX($D$4:$H$1000,MATCH(VALUE(LEFT($A90,LEN($A90)-1)),$A$4:$A$1000,0),VALUE(RIGHT($A90,1)))),"")</f>
        <v>固定子</v>
      </c>
      <c r="D90" s="23" t="str">
        <f>IFERROR(IF(INDEX(使用レシピ!F:F,MATCH(テンプレート!$C90,使用レシピ!$E:$E,0))&lt;&gt;0,INDEX(使用レシピ!F:F,MATCH(テンプレート!$C90,使用レシピ!$E:$E,0)),""),"")</f>
        <v>鋼管</v>
      </c>
      <c r="E90" t="str">
        <f>IFERROR(IF(INDEX(使用レシピ!G:G,MATCH(テンプレート!$C90,使用レシピ!$E:$E,0))&lt;&gt;0,INDEX(使用レシピ!G:G,MATCH(テンプレート!$C90,使用レシピ!$E:$E,0)),""),"")</f>
        <v>ワイヤー</v>
      </c>
      <c r="F90" t="str">
        <f>IFERROR(IF(INDEX(使用レシピ!H:H,MATCH(テンプレート!$C90,使用レシピ!$E:$E,0))&lt;&gt;0,INDEX(使用レシピ!H:H,MATCH(テンプレート!$C90,使用レシピ!$E:$E,0)),""),"")</f>
        <v/>
      </c>
      <c r="G90" t="str">
        <f>IFERROR(IF(INDEX(使用レシピ!I:I,MATCH(テンプレート!$C90,使用レシピ!$E:$E,0))&lt;&gt;0,INDEX(使用レシピ!I:I,MATCH(テンプレート!$C90,使用レシピ!$E:$E,0)),""),"")</f>
        <v/>
      </c>
      <c r="H90" s="24" t="str">
        <f>IFERROR(IF(INDEX(使用レシピ!J:J,MATCH(テンプレート!$C90,使用レシピ!$E:$E,0))&lt;&gt;0,INDEX(使用レシピ!J:J,MATCH(テンプレート!$C90,使用レシピ!$E:$E,0)),""),"")</f>
        <v/>
      </c>
      <c r="I90" s="36">
        <f>IFERROR(IF(INDEX(使用レシピ!P:P,MATCH(テンプレート!$C90,使用レシピ!$E:$E,0))&lt;&gt;0,INDEX(使用レシピ!P:P,MATCH(テンプレート!$C90,使用レシピ!$E:$E,0)),""),"")</f>
        <v>1</v>
      </c>
      <c r="J90">
        <f>IFERROR(IF(INDEX(使用レシピ!K:K,MATCH(テンプレート!$C90,使用レシピ!$E:$E,0))&lt;&gt;0,INDEX(使用レシピ!K:K,MATCH(テンプレート!$C90,使用レシピ!$E:$E,0)),""),"")</f>
        <v>3</v>
      </c>
      <c r="K90">
        <f>IFERROR(IF(INDEX(使用レシピ!L:L,MATCH(テンプレート!$C90,使用レシピ!$E:$E,0))&lt;&gt;0,INDEX(使用レシピ!L:L,MATCH(テンプレート!$C90,使用レシピ!$E:$E,0)),""),"")</f>
        <v>8</v>
      </c>
      <c r="L90" t="str">
        <f>IFERROR(IF(INDEX(使用レシピ!M:M,MATCH(テンプレート!$C90,使用レシピ!$E:$E,0))&lt;&gt;0,INDEX(使用レシピ!M:M,MATCH(テンプレート!$C90,使用レシピ!$E:$E,0)),""),"")</f>
        <v/>
      </c>
      <c r="M90" t="str">
        <f>IFERROR(IF(INDEX(使用レシピ!N:N,MATCH(テンプレート!$C90,使用レシピ!$E:$E,0))&lt;&gt;0,INDEX(使用レシピ!N:N,MATCH(テンプレート!$C90,使用レシピ!$E:$E,0)),""),"")</f>
        <v/>
      </c>
      <c r="N90" s="24" t="str">
        <f>IFERROR(IF(INDEX(使用レシピ!O:O,MATCH(テンプレート!$C90,使用レシピ!$E:$E,0))&lt;&gt;0,INDEX(使用レシピ!O:O,MATCH(テンプレート!$C90,使用レシピ!$E:$E,0)),""),"")</f>
        <v/>
      </c>
      <c r="O90" s="42">
        <f>IFERROR(IF(INDEX(使用レシピ!P:P,MATCH(テンプレート!$C90,使用レシピ!$E:$E,0))&lt;&gt;0,INDEX(使用レシピ!P:P,MATCH(テンプレート!$C90,使用レシピ!$E:$E,0)),""),"")</f>
        <v>1</v>
      </c>
      <c r="P90" s="25">
        <f t="shared" si="10"/>
        <v>3</v>
      </c>
      <c r="Q90" s="26">
        <f t="shared" si="11"/>
        <v>8</v>
      </c>
      <c r="R90" s="26" t="str">
        <f t="shared" si="12"/>
        <v/>
      </c>
      <c r="S90" s="26" t="str">
        <f t="shared" si="13"/>
        <v/>
      </c>
      <c r="T90" s="43" t="str">
        <f t="shared" si="13"/>
        <v/>
      </c>
    </row>
    <row r="91" spans="1:20" x14ac:dyDescent="0.4">
      <c r="A91">
        <v>1112132</v>
      </c>
      <c r="B91" s="47" cm="1">
        <f t="array" ref="B91">IFERROR((INDEX($P$4:$T$1000,MATCH(VALUE(LEFT($A91,LEN($A91)-1)),$A$4:$A$1000,0),VALUE(RIGHT($A91,1)))/ INDEX($O$4:$O$1000,MATCH(VALUE(LEFT($A91,LEN($A91)-1)),$A$4:$A$1000))) * INDEX($B$4:$B$1000,MATCH(VALUE(LEFT($A91,LEN($A91)-1)),$A$4:$A$1000)),"")</f>
        <v>90</v>
      </c>
      <c r="C91" s="38" t="str" cm="1">
        <f t="array" ref="C91">IFERROR(IF(INDEX($D$4:$H$1000,MATCH(VALUE(LEFT($A91,LEN($A91)-1)),$A$4:$A$1000,0),VALUE(RIGHT($A91,1)))= 0,"",INDEX($D$4:$H$1000,MATCH(VALUE(LEFT($A91,LEN($A91)-1)),$A$4:$A$1000,0),VALUE(RIGHT($A91,1)))),"")</f>
        <v>AIリミッター</v>
      </c>
      <c r="D91" s="23" t="str">
        <f>IFERROR(IF(INDEX(使用レシピ!F:F,MATCH(テンプレート!$C91,使用レシピ!$E:$E,0))&lt;&gt;0,INDEX(使用レシピ!F:F,MATCH(テンプレート!$C91,使用レシピ!$E:$E,0)),""),"")</f>
        <v>銅板</v>
      </c>
      <c r="E91" t="str">
        <f>IFERROR(IF(INDEX(使用レシピ!G:G,MATCH(テンプレート!$C91,使用レシピ!$E:$E,0))&lt;&gt;0,INDEX(使用レシピ!G:G,MATCH(テンプレート!$C91,使用レシピ!$E:$E,0)),""),"")</f>
        <v>クイックワイヤー</v>
      </c>
      <c r="F91" t="str">
        <f>IFERROR(IF(INDEX(使用レシピ!H:H,MATCH(テンプレート!$C91,使用レシピ!$E:$E,0))&lt;&gt;0,INDEX(使用レシピ!H:H,MATCH(テンプレート!$C91,使用レシピ!$E:$E,0)),""),"")</f>
        <v/>
      </c>
      <c r="G91" t="str">
        <f>IFERROR(IF(INDEX(使用レシピ!I:I,MATCH(テンプレート!$C91,使用レシピ!$E:$E,0))&lt;&gt;0,INDEX(使用レシピ!I:I,MATCH(テンプレート!$C91,使用レシピ!$E:$E,0)),""),"")</f>
        <v/>
      </c>
      <c r="H91" s="24" t="str">
        <f>IFERROR(IF(INDEX(使用レシピ!J:J,MATCH(テンプレート!$C91,使用レシピ!$E:$E,0))&lt;&gt;0,INDEX(使用レシピ!J:J,MATCH(テンプレート!$C91,使用レシピ!$E:$E,0)),""),"")</f>
        <v/>
      </c>
      <c r="I91" s="36">
        <f>IFERROR(IF(INDEX(使用レシピ!P:P,MATCH(テンプレート!$C91,使用レシピ!$E:$E,0))&lt;&gt;0,INDEX(使用レシピ!P:P,MATCH(テンプレート!$C91,使用レシピ!$E:$E,0)),""),"")</f>
        <v>1</v>
      </c>
      <c r="J91">
        <f>IFERROR(IF(INDEX(使用レシピ!K:K,MATCH(テンプレート!$C91,使用レシピ!$E:$E,0))&lt;&gt;0,INDEX(使用レシピ!K:K,MATCH(テンプレート!$C91,使用レシピ!$E:$E,0)),""),"")</f>
        <v>5</v>
      </c>
      <c r="K91">
        <f>IFERROR(IF(INDEX(使用レシピ!L:L,MATCH(テンプレート!$C91,使用レシピ!$E:$E,0))&lt;&gt;0,INDEX(使用レシピ!L:L,MATCH(テンプレート!$C91,使用レシピ!$E:$E,0)),""),"")</f>
        <v>20</v>
      </c>
      <c r="L91" t="str">
        <f>IFERROR(IF(INDEX(使用レシピ!M:M,MATCH(テンプレート!$C91,使用レシピ!$E:$E,0))&lt;&gt;0,INDEX(使用レシピ!M:M,MATCH(テンプレート!$C91,使用レシピ!$E:$E,0)),""),"")</f>
        <v/>
      </c>
      <c r="M91" t="str">
        <f>IFERROR(IF(INDEX(使用レシピ!N:N,MATCH(テンプレート!$C91,使用レシピ!$E:$E,0))&lt;&gt;0,INDEX(使用レシピ!N:N,MATCH(テンプレート!$C91,使用レシピ!$E:$E,0)),""),"")</f>
        <v/>
      </c>
      <c r="N91" s="24" t="str">
        <f>IFERROR(IF(INDEX(使用レシピ!O:O,MATCH(テンプレート!$C91,使用レシピ!$E:$E,0))&lt;&gt;0,INDEX(使用レシピ!O:O,MATCH(テンプレート!$C91,使用レシピ!$E:$E,0)),""),"")</f>
        <v/>
      </c>
      <c r="O91" s="42">
        <f>IFERROR(IF(INDEX(使用レシピ!P:P,MATCH(テンプレート!$C91,使用レシピ!$E:$E,0))&lt;&gt;0,INDEX(使用レシピ!P:P,MATCH(テンプレート!$C91,使用レシピ!$E:$E,0)),""),"")</f>
        <v>1</v>
      </c>
      <c r="P91" s="25">
        <f t="shared" si="10"/>
        <v>5</v>
      </c>
      <c r="Q91" s="26">
        <f t="shared" si="11"/>
        <v>20</v>
      </c>
      <c r="R91" s="26" t="str">
        <f t="shared" si="12"/>
        <v/>
      </c>
      <c r="S91" s="26" t="str">
        <f t="shared" si="13"/>
        <v/>
      </c>
      <c r="T91" s="43" t="str">
        <f t="shared" si="13"/>
        <v/>
      </c>
    </row>
    <row r="92" spans="1:20" x14ac:dyDescent="0.4">
      <c r="A92">
        <v>1112133</v>
      </c>
      <c r="B92" s="47" t="str" cm="1">
        <f t="array" ref="B92">IFERROR((INDEX($P$4:$T$1000,MATCH(VALUE(LEFT($A92,LEN($A92)-1)),$A$4:$A$1000,0),VALUE(RIGHT($A92,1)))/ INDEX($O$4:$O$1000,MATCH(VALUE(LEFT($A92,LEN($A92)-1)),$A$4:$A$1000))) * INDEX($B$4:$B$1000,MATCH(VALUE(LEFT($A92,LEN($A92)-1)),$A$4:$A$1000)),"")</f>
        <v/>
      </c>
      <c r="C92" s="38" t="str" cm="1">
        <f t="array" ref="C92">IFERROR(IF(INDEX($D$4:$H$1000,MATCH(VALUE(LEFT($A92,LEN($A92)-1)),$A$4:$A$1000,0),VALUE(RIGHT($A92,1)))= 0,"",INDEX($D$4:$H$1000,MATCH(VALUE(LEFT($A92,LEN($A92)-1)),$A$4:$A$1000,0),VALUE(RIGHT($A92,1)))),"")</f>
        <v/>
      </c>
      <c r="D92" s="23" t="str">
        <f>IFERROR(IF(INDEX(使用レシピ!F:F,MATCH(テンプレート!$C92,使用レシピ!$E:$E,0))&lt;&gt;0,INDEX(使用レシピ!F:F,MATCH(テンプレート!$C92,使用レシピ!$E:$E,0)),""),"")</f>
        <v/>
      </c>
      <c r="E92" t="str">
        <f>IFERROR(IF(INDEX(使用レシピ!G:G,MATCH(テンプレート!$C92,使用レシピ!$E:$E,0))&lt;&gt;0,INDEX(使用レシピ!G:G,MATCH(テンプレート!$C92,使用レシピ!$E:$E,0)),""),"")</f>
        <v/>
      </c>
      <c r="F92" t="str">
        <f>IFERROR(IF(INDEX(使用レシピ!H:H,MATCH(テンプレート!$C92,使用レシピ!$E:$E,0))&lt;&gt;0,INDEX(使用レシピ!H:H,MATCH(テンプレート!$C92,使用レシピ!$E:$E,0)),""),"")</f>
        <v/>
      </c>
      <c r="G92" t="str">
        <f>IFERROR(IF(INDEX(使用レシピ!I:I,MATCH(テンプレート!$C92,使用レシピ!$E:$E,0))&lt;&gt;0,INDEX(使用レシピ!I:I,MATCH(テンプレート!$C92,使用レシピ!$E:$E,0)),""),"")</f>
        <v/>
      </c>
      <c r="H92" s="24" t="str">
        <f>IFERROR(IF(INDEX(使用レシピ!J:J,MATCH(テンプレート!$C92,使用レシピ!$E:$E,0))&lt;&gt;0,INDEX(使用レシピ!J:J,MATCH(テンプレート!$C92,使用レシピ!$E:$E,0)),""),"")</f>
        <v/>
      </c>
      <c r="I92" s="36" t="str">
        <f>IFERROR(IF(INDEX(使用レシピ!P:P,MATCH(テンプレート!$C92,使用レシピ!$E:$E,0))&lt;&gt;0,INDEX(使用レシピ!P:P,MATCH(テンプレート!$C92,使用レシピ!$E:$E,0)),""),"")</f>
        <v/>
      </c>
      <c r="J92" t="str">
        <f>IFERROR(IF(INDEX(使用レシピ!K:K,MATCH(テンプレート!$C92,使用レシピ!$E:$E,0))&lt;&gt;0,INDEX(使用レシピ!K:K,MATCH(テンプレート!$C92,使用レシピ!$E:$E,0)),""),"")</f>
        <v/>
      </c>
      <c r="K92" t="str">
        <f>IFERROR(IF(INDEX(使用レシピ!L:L,MATCH(テンプレート!$C92,使用レシピ!$E:$E,0))&lt;&gt;0,INDEX(使用レシピ!L:L,MATCH(テンプレート!$C92,使用レシピ!$E:$E,0)),""),"")</f>
        <v/>
      </c>
      <c r="L92" t="str">
        <f>IFERROR(IF(INDEX(使用レシピ!M:M,MATCH(テンプレート!$C92,使用レシピ!$E:$E,0))&lt;&gt;0,INDEX(使用レシピ!M:M,MATCH(テンプレート!$C92,使用レシピ!$E:$E,0)),""),"")</f>
        <v/>
      </c>
      <c r="M92" t="str">
        <f>IFERROR(IF(INDEX(使用レシピ!N:N,MATCH(テンプレート!$C92,使用レシピ!$E:$E,0))&lt;&gt;0,INDEX(使用レシピ!N:N,MATCH(テンプレート!$C92,使用レシピ!$E:$E,0)),""),"")</f>
        <v/>
      </c>
      <c r="N92" s="24" t="str">
        <f>IFERROR(IF(INDEX(使用レシピ!O:O,MATCH(テンプレート!$C92,使用レシピ!$E:$E,0))&lt;&gt;0,INDEX(使用レシピ!O:O,MATCH(テンプレート!$C92,使用レシピ!$E:$E,0)),""),"")</f>
        <v/>
      </c>
      <c r="O92" s="42" t="str">
        <f>IFERROR(IF(INDEX(使用レシピ!P:P,MATCH(テンプレート!$C92,使用レシピ!$E:$E,0))&lt;&gt;0,INDEX(使用レシピ!P:P,MATCH(テンプレート!$C92,使用レシピ!$E:$E,0)),""),"")</f>
        <v/>
      </c>
      <c r="P92" s="25" t="str">
        <f t="shared" si="10"/>
        <v/>
      </c>
      <c r="Q92" s="26" t="str">
        <f t="shared" si="11"/>
        <v/>
      </c>
      <c r="R92" s="26" t="str">
        <f t="shared" si="12"/>
        <v/>
      </c>
      <c r="S92" s="26" t="str">
        <f t="shared" si="13"/>
        <v/>
      </c>
      <c r="T92" s="43" t="str">
        <f t="shared" si="13"/>
        <v/>
      </c>
    </row>
    <row r="93" spans="1:20" x14ac:dyDescent="0.4">
      <c r="A93">
        <v>1112141</v>
      </c>
      <c r="B93" s="47" t="str" cm="1">
        <f t="array" ref="B93">IFERROR((INDEX($P$4:$T$1000,MATCH(VALUE(LEFT($A93,LEN($A93)-1)),$A$4:$A$1000,0),VALUE(RIGHT($A93,1)))/ INDEX($O$4:$O$1000,MATCH(VALUE(LEFT($A93,LEN($A93)-1)),$A$4:$A$1000))) * INDEX($B$4:$B$1000,MATCH(VALUE(LEFT($A93,LEN($A93)-1)),$A$4:$A$1000)),"")</f>
        <v/>
      </c>
      <c r="C93" s="38" t="str" cm="1">
        <f t="array" ref="C93">IFERROR(IF(INDEX($D$4:$H$1000,MATCH(VALUE(LEFT($A93,LEN($A93)-1)),$A$4:$A$1000,0),VALUE(RIGHT($A93,1)))= 0,"",INDEX($D$4:$H$1000,MATCH(VALUE(LEFT($A93,LEN($A93)-1)),$A$4:$A$1000,0),VALUE(RIGHT($A93,1)))),"")</f>
        <v/>
      </c>
      <c r="D93" s="23" t="str">
        <f>IFERROR(IF(INDEX(使用レシピ!F:F,MATCH(テンプレート!$C93,使用レシピ!$E:$E,0))&lt;&gt;0,INDEX(使用レシピ!F:F,MATCH(テンプレート!$C93,使用レシピ!$E:$E,0)),""),"")</f>
        <v/>
      </c>
      <c r="E93" t="str">
        <f>IFERROR(IF(INDEX(使用レシピ!G:G,MATCH(テンプレート!$C93,使用レシピ!$E:$E,0))&lt;&gt;0,INDEX(使用レシピ!G:G,MATCH(テンプレート!$C93,使用レシピ!$E:$E,0)),""),"")</f>
        <v/>
      </c>
      <c r="F93" t="str">
        <f>IFERROR(IF(INDEX(使用レシピ!H:H,MATCH(テンプレート!$C93,使用レシピ!$E:$E,0))&lt;&gt;0,INDEX(使用レシピ!H:H,MATCH(テンプレート!$C93,使用レシピ!$E:$E,0)),""),"")</f>
        <v/>
      </c>
      <c r="G93" t="str">
        <f>IFERROR(IF(INDEX(使用レシピ!I:I,MATCH(テンプレート!$C93,使用レシピ!$E:$E,0))&lt;&gt;0,INDEX(使用レシピ!I:I,MATCH(テンプレート!$C93,使用レシピ!$E:$E,0)),""),"")</f>
        <v/>
      </c>
      <c r="H93" s="24" t="str">
        <f>IFERROR(IF(INDEX(使用レシピ!J:J,MATCH(テンプレート!$C93,使用レシピ!$E:$E,0))&lt;&gt;0,INDEX(使用レシピ!J:J,MATCH(テンプレート!$C93,使用レシピ!$E:$E,0)),""),"")</f>
        <v/>
      </c>
      <c r="I93" s="36" t="str">
        <f>IFERROR(IF(INDEX(使用レシピ!P:P,MATCH(テンプレート!$C93,使用レシピ!$E:$E,0))&lt;&gt;0,INDEX(使用レシピ!P:P,MATCH(テンプレート!$C93,使用レシピ!$E:$E,0)),""),"")</f>
        <v/>
      </c>
      <c r="J93" t="str">
        <f>IFERROR(IF(INDEX(使用レシピ!K:K,MATCH(テンプレート!$C93,使用レシピ!$E:$E,0))&lt;&gt;0,INDEX(使用レシピ!K:K,MATCH(テンプレート!$C93,使用レシピ!$E:$E,0)),""),"")</f>
        <v/>
      </c>
      <c r="K93" t="str">
        <f>IFERROR(IF(INDEX(使用レシピ!L:L,MATCH(テンプレート!$C93,使用レシピ!$E:$E,0))&lt;&gt;0,INDEX(使用レシピ!L:L,MATCH(テンプレート!$C93,使用レシピ!$E:$E,0)),""),"")</f>
        <v/>
      </c>
      <c r="L93" t="str">
        <f>IFERROR(IF(INDEX(使用レシピ!M:M,MATCH(テンプレート!$C93,使用レシピ!$E:$E,0))&lt;&gt;0,INDEX(使用レシピ!M:M,MATCH(テンプレート!$C93,使用レシピ!$E:$E,0)),""),"")</f>
        <v/>
      </c>
      <c r="M93" t="str">
        <f>IFERROR(IF(INDEX(使用レシピ!N:N,MATCH(テンプレート!$C93,使用レシピ!$E:$E,0))&lt;&gt;0,INDEX(使用レシピ!N:N,MATCH(テンプレート!$C93,使用レシピ!$E:$E,0)),""),"")</f>
        <v/>
      </c>
      <c r="N93" s="24" t="str">
        <f>IFERROR(IF(INDEX(使用レシピ!O:O,MATCH(テンプレート!$C93,使用レシピ!$E:$E,0))&lt;&gt;0,INDEX(使用レシピ!O:O,MATCH(テンプレート!$C93,使用レシピ!$E:$E,0)),""),"")</f>
        <v/>
      </c>
      <c r="O93" s="42" t="str">
        <f>IFERROR(IF(INDEX(使用レシピ!P:P,MATCH(テンプレート!$C93,使用レシピ!$E:$E,0))&lt;&gt;0,INDEX(使用レシピ!P:P,MATCH(テンプレート!$C93,使用レシピ!$E:$E,0)),""),"")</f>
        <v/>
      </c>
      <c r="P93" s="25" t="str">
        <f t="shared" si="10"/>
        <v/>
      </c>
      <c r="Q93" s="26" t="str">
        <f t="shared" si="11"/>
        <v/>
      </c>
      <c r="R93" s="26" t="str">
        <f t="shared" si="12"/>
        <v/>
      </c>
      <c r="S93" s="26" t="str">
        <f t="shared" si="13"/>
        <v/>
      </c>
      <c r="T93" s="43" t="str">
        <f t="shared" si="13"/>
        <v/>
      </c>
    </row>
    <row r="94" spans="1:20" x14ac:dyDescent="0.4">
      <c r="A94">
        <v>1112142</v>
      </c>
      <c r="B94" s="47" t="str" cm="1">
        <f t="array" ref="B94">IFERROR((INDEX($P$4:$T$1000,MATCH(VALUE(LEFT($A94,LEN($A94)-1)),$A$4:$A$1000,0),VALUE(RIGHT($A94,1)))/ INDEX($O$4:$O$1000,MATCH(VALUE(LEFT($A94,LEN($A94)-1)),$A$4:$A$1000))) * INDEX($B$4:$B$1000,MATCH(VALUE(LEFT($A94,LEN($A94)-1)),$A$4:$A$1000)),"")</f>
        <v/>
      </c>
      <c r="C94" s="38" t="str" cm="1">
        <f t="array" ref="C94">IFERROR(IF(INDEX($D$4:$H$1000,MATCH(VALUE(LEFT($A94,LEN($A94)-1)),$A$4:$A$1000,0),VALUE(RIGHT($A94,1)))= 0,"",INDEX($D$4:$H$1000,MATCH(VALUE(LEFT($A94,LEN($A94)-1)),$A$4:$A$1000,0),VALUE(RIGHT($A94,1)))),"")</f>
        <v/>
      </c>
      <c r="D94" s="23" t="str">
        <f>IFERROR(IF(INDEX(使用レシピ!F:F,MATCH(テンプレート!$C94,使用レシピ!$E:$E,0))&lt;&gt;0,INDEX(使用レシピ!F:F,MATCH(テンプレート!$C94,使用レシピ!$E:$E,0)),""),"")</f>
        <v/>
      </c>
      <c r="E94" t="str">
        <f>IFERROR(IF(INDEX(使用レシピ!G:G,MATCH(テンプレート!$C94,使用レシピ!$E:$E,0))&lt;&gt;0,INDEX(使用レシピ!G:G,MATCH(テンプレート!$C94,使用レシピ!$E:$E,0)),""),"")</f>
        <v/>
      </c>
      <c r="F94" t="str">
        <f>IFERROR(IF(INDEX(使用レシピ!H:H,MATCH(テンプレート!$C94,使用レシピ!$E:$E,0))&lt;&gt;0,INDEX(使用レシピ!H:H,MATCH(テンプレート!$C94,使用レシピ!$E:$E,0)),""),"")</f>
        <v/>
      </c>
      <c r="G94" t="str">
        <f>IFERROR(IF(INDEX(使用レシピ!I:I,MATCH(テンプレート!$C94,使用レシピ!$E:$E,0))&lt;&gt;0,INDEX(使用レシピ!I:I,MATCH(テンプレート!$C94,使用レシピ!$E:$E,0)),""),"")</f>
        <v/>
      </c>
      <c r="H94" s="24" t="str">
        <f>IFERROR(IF(INDEX(使用レシピ!J:J,MATCH(テンプレート!$C94,使用レシピ!$E:$E,0))&lt;&gt;0,INDEX(使用レシピ!J:J,MATCH(テンプレート!$C94,使用レシピ!$E:$E,0)),""),"")</f>
        <v/>
      </c>
      <c r="I94" s="36" t="str">
        <f>IFERROR(IF(INDEX(使用レシピ!P:P,MATCH(テンプレート!$C94,使用レシピ!$E:$E,0))&lt;&gt;0,INDEX(使用レシピ!P:P,MATCH(テンプレート!$C94,使用レシピ!$E:$E,0)),""),"")</f>
        <v/>
      </c>
      <c r="J94" t="str">
        <f>IFERROR(IF(INDEX(使用レシピ!K:K,MATCH(テンプレート!$C94,使用レシピ!$E:$E,0))&lt;&gt;0,INDEX(使用レシピ!K:K,MATCH(テンプレート!$C94,使用レシピ!$E:$E,0)),""),"")</f>
        <v/>
      </c>
      <c r="K94" t="str">
        <f>IFERROR(IF(INDEX(使用レシピ!L:L,MATCH(テンプレート!$C94,使用レシピ!$E:$E,0))&lt;&gt;0,INDEX(使用レシピ!L:L,MATCH(テンプレート!$C94,使用レシピ!$E:$E,0)),""),"")</f>
        <v/>
      </c>
      <c r="L94" t="str">
        <f>IFERROR(IF(INDEX(使用レシピ!M:M,MATCH(テンプレート!$C94,使用レシピ!$E:$E,0))&lt;&gt;0,INDEX(使用レシピ!M:M,MATCH(テンプレート!$C94,使用レシピ!$E:$E,0)),""),"")</f>
        <v/>
      </c>
      <c r="M94" t="str">
        <f>IFERROR(IF(INDEX(使用レシピ!N:N,MATCH(テンプレート!$C94,使用レシピ!$E:$E,0))&lt;&gt;0,INDEX(使用レシピ!N:N,MATCH(テンプレート!$C94,使用レシピ!$E:$E,0)),""),"")</f>
        <v/>
      </c>
      <c r="N94" s="24" t="str">
        <f>IFERROR(IF(INDEX(使用レシピ!O:O,MATCH(テンプレート!$C94,使用レシピ!$E:$E,0))&lt;&gt;0,INDEX(使用レシピ!O:O,MATCH(テンプレート!$C94,使用レシピ!$E:$E,0)),""),"")</f>
        <v/>
      </c>
      <c r="O94" s="42" t="str">
        <f>IFERROR(IF(INDEX(使用レシピ!P:P,MATCH(テンプレート!$C94,使用レシピ!$E:$E,0))&lt;&gt;0,INDEX(使用レシピ!P:P,MATCH(テンプレート!$C94,使用レシピ!$E:$E,0)),""),"")</f>
        <v/>
      </c>
      <c r="P94" s="25" t="str">
        <f t="shared" si="10"/>
        <v/>
      </c>
      <c r="Q94" s="26" t="str">
        <f t="shared" si="11"/>
        <v/>
      </c>
      <c r="R94" s="26" t="str">
        <f t="shared" si="12"/>
        <v/>
      </c>
      <c r="S94" s="26" t="str">
        <f t="shared" si="13"/>
        <v/>
      </c>
      <c r="T94" s="43" t="str">
        <f t="shared" si="13"/>
        <v/>
      </c>
    </row>
    <row r="95" spans="1:20" x14ac:dyDescent="0.4">
      <c r="A95">
        <v>1211111</v>
      </c>
      <c r="B95" s="47" t="str" cm="1">
        <f t="array" ref="B95">IFERROR((INDEX($P$4:$T$1000,MATCH(VALUE(LEFT($A95,LEN($A95)-1)),$A$4:$A$1000,0),VALUE(RIGHT($A95,1)))/ INDEX($O$4:$O$1000,MATCH(VALUE(LEFT($A95,LEN($A95)-1)),$A$4:$A$1000))) * INDEX($B$4:$B$1000,MATCH(VALUE(LEFT($A95,LEN($A95)-1)),$A$4:$A$1000)),"")</f>
        <v/>
      </c>
      <c r="C95" s="38" t="str" cm="1">
        <f t="array" ref="C95">IFERROR(IF(INDEX($D$4:$H$1000,MATCH(VALUE(LEFT($A95,LEN($A95)-1)),$A$4:$A$1000,0),VALUE(RIGHT($A95,1)))= 0,"",INDEX($D$4:$H$1000,MATCH(VALUE(LEFT($A95,LEN($A95)-1)),$A$4:$A$1000,0),VALUE(RIGHT($A95,1)))),"")</f>
        <v/>
      </c>
      <c r="D95" s="23" t="str">
        <f>IFERROR(IF(INDEX(使用レシピ!F:F,MATCH(テンプレート!$C95,使用レシピ!$E:$E,0))&lt;&gt;0,INDEX(使用レシピ!F:F,MATCH(テンプレート!$C95,使用レシピ!$E:$E,0)),""),"")</f>
        <v/>
      </c>
      <c r="E95" t="str">
        <f>IFERROR(IF(INDEX(使用レシピ!G:G,MATCH(テンプレート!$C95,使用レシピ!$E:$E,0))&lt;&gt;0,INDEX(使用レシピ!G:G,MATCH(テンプレート!$C95,使用レシピ!$E:$E,0)),""),"")</f>
        <v/>
      </c>
      <c r="F95" t="str">
        <f>IFERROR(IF(INDEX(使用レシピ!H:H,MATCH(テンプレート!$C95,使用レシピ!$E:$E,0))&lt;&gt;0,INDEX(使用レシピ!H:H,MATCH(テンプレート!$C95,使用レシピ!$E:$E,0)),""),"")</f>
        <v/>
      </c>
      <c r="G95" t="str">
        <f>IFERROR(IF(INDEX(使用レシピ!I:I,MATCH(テンプレート!$C95,使用レシピ!$E:$E,0))&lt;&gt;0,INDEX(使用レシピ!I:I,MATCH(テンプレート!$C95,使用レシピ!$E:$E,0)),""),"")</f>
        <v/>
      </c>
      <c r="H95" s="24" t="str">
        <f>IFERROR(IF(INDEX(使用レシピ!J:J,MATCH(テンプレート!$C95,使用レシピ!$E:$E,0))&lt;&gt;0,INDEX(使用レシピ!J:J,MATCH(テンプレート!$C95,使用レシピ!$E:$E,0)),""),"")</f>
        <v/>
      </c>
      <c r="I95" s="36" t="str">
        <f>IFERROR(IF(INDEX(使用レシピ!P:P,MATCH(テンプレート!$C95,使用レシピ!$E:$E,0))&lt;&gt;0,INDEX(使用レシピ!P:P,MATCH(テンプレート!$C95,使用レシピ!$E:$E,0)),""),"")</f>
        <v/>
      </c>
      <c r="J95" t="str">
        <f>IFERROR(IF(INDEX(使用レシピ!K:K,MATCH(テンプレート!$C95,使用レシピ!$E:$E,0))&lt;&gt;0,INDEX(使用レシピ!K:K,MATCH(テンプレート!$C95,使用レシピ!$E:$E,0)),""),"")</f>
        <v/>
      </c>
      <c r="K95" t="str">
        <f>IFERROR(IF(INDEX(使用レシピ!L:L,MATCH(テンプレート!$C95,使用レシピ!$E:$E,0))&lt;&gt;0,INDEX(使用レシピ!L:L,MATCH(テンプレート!$C95,使用レシピ!$E:$E,0)),""),"")</f>
        <v/>
      </c>
      <c r="L95" t="str">
        <f>IFERROR(IF(INDEX(使用レシピ!M:M,MATCH(テンプレート!$C95,使用レシピ!$E:$E,0))&lt;&gt;0,INDEX(使用レシピ!M:M,MATCH(テンプレート!$C95,使用レシピ!$E:$E,0)),""),"")</f>
        <v/>
      </c>
      <c r="M95" t="str">
        <f>IFERROR(IF(INDEX(使用レシピ!N:N,MATCH(テンプレート!$C95,使用レシピ!$E:$E,0))&lt;&gt;0,INDEX(使用レシピ!N:N,MATCH(テンプレート!$C95,使用レシピ!$E:$E,0)),""),"")</f>
        <v/>
      </c>
      <c r="N95" s="24" t="str">
        <f>IFERROR(IF(INDEX(使用レシピ!O:O,MATCH(テンプレート!$C95,使用レシピ!$E:$E,0))&lt;&gt;0,INDEX(使用レシピ!O:O,MATCH(テンプレート!$C95,使用レシピ!$E:$E,0)),""),"")</f>
        <v/>
      </c>
      <c r="O95" s="42" t="str">
        <f>IFERROR(IF(INDEX(使用レシピ!P:P,MATCH(テンプレート!$C95,使用レシピ!$E:$E,0))&lt;&gt;0,INDEX(使用レシピ!P:P,MATCH(テンプレート!$C95,使用レシピ!$E:$E,0)),""),"")</f>
        <v/>
      </c>
      <c r="P95" s="25" t="str">
        <f t="shared" si="10"/>
        <v/>
      </c>
      <c r="Q95" s="26" t="str">
        <f t="shared" si="11"/>
        <v/>
      </c>
      <c r="R95" s="26" t="str">
        <f t="shared" si="12"/>
        <v/>
      </c>
      <c r="S95" s="26" t="str">
        <f t="shared" si="13"/>
        <v/>
      </c>
      <c r="T95" s="43" t="str">
        <f t="shared" si="13"/>
        <v/>
      </c>
    </row>
    <row r="96" spans="1:20" x14ac:dyDescent="0.4">
      <c r="A96">
        <v>1211112</v>
      </c>
      <c r="B96" s="47" t="str" cm="1">
        <f t="array" ref="B96">IFERROR((INDEX($P$4:$T$1000,MATCH(VALUE(LEFT($A96,LEN($A96)-1)),$A$4:$A$1000,0),VALUE(RIGHT($A96,1)))/ INDEX($O$4:$O$1000,MATCH(VALUE(LEFT($A96,LEN($A96)-1)),$A$4:$A$1000))) * INDEX($B$4:$B$1000,MATCH(VALUE(LEFT($A96,LEN($A96)-1)),$A$4:$A$1000)),"")</f>
        <v/>
      </c>
      <c r="C96" s="38" t="str" cm="1">
        <f t="array" ref="C96">IFERROR(IF(INDEX($D$4:$H$1000,MATCH(VALUE(LEFT($A96,LEN($A96)-1)),$A$4:$A$1000,0),VALUE(RIGHT($A96,1)))= 0,"",INDEX($D$4:$H$1000,MATCH(VALUE(LEFT($A96,LEN($A96)-1)),$A$4:$A$1000,0),VALUE(RIGHT($A96,1)))),"")</f>
        <v/>
      </c>
      <c r="D96" s="23" t="str">
        <f>IFERROR(IF(INDEX(使用レシピ!F:F,MATCH(テンプレート!$C96,使用レシピ!$E:$E,0))&lt;&gt;0,INDEX(使用レシピ!F:F,MATCH(テンプレート!$C96,使用レシピ!$E:$E,0)),""),"")</f>
        <v/>
      </c>
      <c r="E96" t="str">
        <f>IFERROR(IF(INDEX(使用レシピ!G:G,MATCH(テンプレート!$C96,使用レシピ!$E:$E,0))&lt;&gt;0,INDEX(使用レシピ!G:G,MATCH(テンプレート!$C96,使用レシピ!$E:$E,0)),""),"")</f>
        <v/>
      </c>
      <c r="F96" t="str">
        <f>IFERROR(IF(INDEX(使用レシピ!H:H,MATCH(テンプレート!$C96,使用レシピ!$E:$E,0))&lt;&gt;0,INDEX(使用レシピ!H:H,MATCH(テンプレート!$C96,使用レシピ!$E:$E,0)),""),"")</f>
        <v/>
      </c>
      <c r="G96" t="str">
        <f>IFERROR(IF(INDEX(使用レシピ!I:I,MATCH(テンプレート!$C96,使用レシピ!$E:$E,0))&lt;&gt;0,INDEX(使用レシピ!I:I,MATCH(テンプレート!$C96,使用レシピ!$E:$E,0)),""),"")</f>
        <v/>
      </c>
      <c r="H96" s="24" t="str">
        <f>IFERROR(IF(INDEX(使用レシピ!J:J,MATCH(テンプレート!$C96,使用レシピ!$E:$E,0))&lt;&gt;0,INDEX(使用レシピ!J:J,MATCH(テンプレート!$C96,使用レシピ!$E:$E,0)),""),"")</f>
        <v/>
      </c>
      <c r="I96" s="36" t="str">
        <f>IFERROR(IF(INDEX(使用レシピ!P:P,MATCH(テンプレート!$C96,使用レシピ!$E:$E,0))&lt;&gt;0,INDEX(使用レシピ!P:P,MATCH(テンプレート!$C96,使用レシピ!$E:$E,0)),""),"")</f>
        <v/>
      </c>
      <c r="J96" t="str">
        <f>IFERROR(IF(INDEX(使用レシピ!K:K,MATCH(テンプレート!$C96,使用レシピ!$E:$E,0))&lt;&gt;0,INDEX(使用レシピ!K:K,MATCH(テンプレート!$C96,使用レシピ!$E:$E,0)),""),"")</f>
        <v/>
      </c>
      <c r="K96" t="str">
        <f>IFERROR(IF(INDEX(使用レシピ!L:L,MATCH(テンプレート!$C96,使用レシピ!$E:$E,0))&lt;&gt;0,INDEX(使用レシピ!L:L,MATCH(テンプレート!$C96,使用レシピ!$E:$E,0)),""),"")</f>
        <v/>
      </c>
      <c r="L96" t="str">
        <f>IFERROR(IF(INDEX(使用レシピ!M:M,MATCH(テンプレート!$C96,使用レシピ!$E:$E,0))&lt;&gt;0,INDEX(使用レシピ!M:M,MATCH(テンプレート!$C96,使用レシピ!$E:$E,0)),""),"")</f>
        <v/>
      </c>
      <c r="M96" t="str">
        <f>IFERROR(IF(INDEX(使用レシピ!N:N,MATCH(テンプレート!$C96,使用レシピ!$E:$E,0))&lt;&gt;0,INDEX(使用レシピ!N:N,MATCH(テンプレート!$C96,使用レシピ!$E:$E,0)),""),"")</f>
        <v/>
      </c>
      <c r="N96" s="24" t="str">
        <f>IFERROR(IF(INDEX(使用レシピ!O:O,MATCH(テンプレート!$C96,使用レシピ!$E:$E,0))&lt;&gt;0,INDEX(使用レシピ!O:O,MATCH(テンプレート!$C96,使用レシピ!$E:$E,0)),""),"")</f>
        <v/>
      </c>
      <c r="O96" s="42" t="str">
        <f>IFERROR(IF(INDEX(使用レシピ!P:P,MATCH(テンプレート!$C96,使用レシピ!$E:$E,0))&lt;&gt;0,INDEX(使用レシピ!P:P,MATCH(テンプレート!$C96,使用レシピ!$E:$E,0)),""),"")</f>
        <v/>
      </c>
      <c r="P96" s="25" t="str">
        <f t="shared" si="10"/>
        <v/>
      </c>
      <c r="Q96" s="26" t="str">
        <f t="shared" si="11"/>
        <v/>
      </c>
      <c r="R96" s="26" t="str">
        <f t="shared" si="12"/>
        <v/>
      </c>
      <c r="S96" s="26" t="str">
        <f t="shared" si="13"/>
        <v/>
      </c>
      <c r="T96" s="43" t="str">
        <f t="shared" si="13"/>
        <v/>
      </c>
    </row>
    <row r="97" spans="1:20" x14ac:dyDescent="0.4">
      <c r="A97">
        <v>1211121</v>
      </c>
      <c r="B97" s="47" t="str" cm="1">
        <f t="array" ref="B97">IFERROR((INDEX($P$4:$T$1000,MATCH(VALUE(LEFT($A97,LEN($A97)-1)),$A$4:$A$1000,0),VALUE(RIGHT($A97,1)))/ INDEX($O$4:$O$1000,MATCH(VALUE(LEFT($A97,LEN($A97)-1)),$A$4:$A$1000))) * INDEX($B$4:$B$1000,MATCH(VALUE(LEFT($A97,LEN($A97)-1)),$A$4:$A$1000)),"")</f>
        <v/>
      </c>
      <c r="C97" s="38" t="str" cm="1">
        <f t="array" ref="C97">IFERROR(IF(INDEX($D$4:$H$1000,MATCH(VALUE(LEFT($A97,LEN($A97)-1)),$A$4:$A$1000,0),VALUE(RIGHT($A97,1)))= 0,"",INDEX($D$4:$H$1000,MATCH(VALUE(LEFT($A97,LEN($A97)-1)),$A$4:$A$1000,0),VALUE(RIGHT($A97,1)))),"")</f>
        <v/>
      </c>
      <c r="D97" s="23" t="str">
        <f>IFERROR(IF(INDEX(使用レシピ!F:F,MATCH(テンプレート!$C97,使用レシピ!$E:$E,0))&lt;&gt;0,INDEX(使用レシピ!F:F,MATCH(テンプレート!$C97,使用レシピ!$E:$E,0)),""),"")</f>
        <v/>
      </c>
      <c r="E97" t="str">
        <f>IFERROR(IF(INDEX(使用レシピ!G:G,MATCH(テンプレート!$C97,使用レシピ!$E:$E,0))&lt;&gt;0,INDEX(使用レシピ!G:G,MATCH(テンプレート!$C97,使用レシピ!$E:$E,0)),""),"")</f>
        <v/>
      </c>
      <c r="F97" t="str">
        <f>IFERROR(IF(INDEX(使用レシピ!H:H,MATCH(テンプレート!$C97,使用レシピ!$E:$E,0))&lt;&gt;0,INDEX(使用レシピ!H:H,MATCH(テンプレート!$C97,使用レシピ!$E:$E,0)),""),"")</f>
        <v/>
      </c>
      <c r="G97" t="str">
        <f>IFERROR(IF(INDEX(使用レシピ!I:I,MATCH(テンプレート!$C97,使用レシピ!$E:$E,0))&lt;&gt;0,INDEX(使用レシピ!I:I,MATCH(テンプレート!$C97,使用レシピ!$E:$E,0)),""),"")</f>
        <v/>
      </c>
      <c r="H97" s="24" t="str">
        <f>IFERROR(IF(INDEX(使用レシピ!J:J,MATCH(テンプレート!$C97,使用レシピ!$E:$E,0))&lt;&gt;0,INDEX(使用レシピ!J:J,MATCH(テンプレート!$C97,使用レシピ!$E:$E,0)),""),"")</f>
        <v/>
      </c>
      <c r="I97" s="36" t="str">
        <f>IFERROR(IF(INDEX(使用レシピ!P:P,MATCH(テンプレート!$C97,使用レシピ!$E:$E,0))&lt;&gt;0,INDEX(使用レシピ!P:P,MATCH(テンプレート!$C97,使用レシピ!$E:$E,0)),""),"")</f>
        <v/>
      </c>
      <c r="J97" t="str">
        <f>IFERROR(IF(INDEX(使用レシピ!K:K,MATCH(テンプレート!$C97,使用レシピ!$E:$E,0))&lt;&gt;0,INDEX(使用レシピ!K:K,MATCH(テンプレート!$C97,使用レシピ!$E:$E,0)),""),"")</f>
        <v/>
      </c>
      <c r="K97" t="str">
        <f>IFERROR(IF(INDEX(使用レシピ!L:L,MATCH(テンプレート!$C97,使用レシピ!$E:$E,0))&lt;&gt;0,INDEX(使用レシピ!L:L,MATCH(テンプレート!$C97,使用レシピ!$E:$E,0)),""),"")</f>
        <v/>
      </c>
      <c r="L97" t="str">
        <f>IFERROR(IF(INDEX(使用レシピ!M:M,MATCH(テンプレート!$C97,使用レシピ!$E:$E,0))&lt;&gt;0,INDEX(使用レシピ!M:M,MATCH(テンプレート!$C97,使用レシピ!$E:$E,0)),""),"")</f>
        <v/>
      </c>
      <c r="M97" t="str">
        <f>IFERROR(IF(INDEX(使用レシピ!N:N,MATCH(テンプレート!$C97,使用レシピ!$E:$E,0))&lt;&gt;0,INDEX(使用レシピ!N:N,MATCH(テンプレート!$C97,使用レシピ!$E:$E,0)),""),"")</f>
        <v/>
      </c>
      <c r="N97" s="24" t="str">
        <f>IFERROR(IF(INDEX(使用レシピ!O:O,MATCH(テンプレート!$C97,使用レシピ!$E:$E,0))&lt;&gt;0,INDEX(使用レシピ!O:O,MATCH(テンプレート!$C97,使用レシピ!$E:$E,0)),""),"")</f>
        <v/>
      </c>
      <c r="O97" s="42" t="str">
        <f>IFERROR(IF(INDEX(使用レシピ!P:P,MATCH(テンプレート!$C97,使用レシピ!$E:$E,0))&lt;&gt;0,INDEX(使用レシピ!P:P,MATCH(テンプレート!$C97,使用レシピ!$E:$E,0)),""),"")</f>
        <v/>
      </c>
      <c r="P97" s="25" t="str">
        <f t="shared" si="10"/>
        <v/>
      </c>
      <c r="Q97" s="26" t="str">
        <f t="shared" si="11"/>
        <v/>
      </c>
      <c r="R97" s="26" t="str">
        <f t="shared" si="12"/>
        <v/>
      </c>
      <c r="S97" s="26" t="str">
        <f t="shared" si="13"/>
        <v/>
      </c>
      <c r="T97" s="43" t="str">
        <f t="shared" si="13"/>
        <v/>
      </c>
    </row>
    <row r="98" spans="1:20" x14ac:dyDescent="0.4">
      <c r="A98">
        <v>1211211</v>
      </c>
      <c r="B98" s="47" t="str" cm="1">
        <f t="array" ref="B98">IFERROR((INDEX($P$4:$T$1000,MATCH(VALUE(LEFT($A98,LEN($A98)-1)),$A$4:$A$1000,0),VALUE(RIGHT($A98,1)))/ INDEX($O$4:$O$1000,MATCH(VALUE(LEFT($A98,LEN($A98)-1)),$A$4:$A$1000))) * INDEX($B$4:$B$1000,MATCH(VALUE(LEFT($A98,LEN($A98)-1)),$A$4:$A$1000)),"")</f>
        <v/>
      </c>
      <c r="C98" s="38" t="str" cm="1">
        <f t="array" ref="C98">IFERROR(IF(INDEX($D$4:$H$1000,MATCH(VALUE(LEFT($A98,LEN($A98)-1)),$A$4:$A$1000,0),VALUE(RIGHT($A98,1)))= 0,"",INDEX($D$4:$H$1000,MATCH(VALUE(LEFT($A98,LEN($A98)-1)),$A$4:$A$1000,0),VALUE(RIGHT($A98,1)))),"")</f>
        <v/>
      </c>
      <c r="D98" s="23" t="str">
        <f>IFERROR(IF(INDEX(使用レシピ!F:F,MATCH(テンプレート!$C98,使用レシピ!$E:$E,0))&lt;&gt;0,INDEX(使用レシピ!F:F,MATCH(テンプレート!$C98,使用レシピ!$E:$E,0)),""),"")</f>
        <v/>
      </c>
      <c r="E98" t="str">
        <f>IFERROR(IF(INDEX(使用レシピ!G:G,MATCH(テンプレート!$C98,使用レシピ!$E:$E,0))&lt;&gt;0,INDEX(使用レシピ!G:G,MATCH(テンプレート!$C98,使用レシピ!$E:$E,0)),""),"")</f>
        <v/>
      </c>
      <c r="F98" t="str">
        <f>IFERROR(IF(INDEX(使用レシピ!H:H,MATCH(テンプレート!$C98,使用レシピ!$E:$E,0))&lt;&gt;0,INDEX(使用レシピ!H:H,MATCH(テンプレート!$C98,使用レシピ!$E:$E,0)),""),"")</f>
        <v/>
      </c>
      <c r="G98" t="str">
        <f>IFERROR(IF(INDEX(使用レシピ!I:I,MATCH(テンプレート!$C98,使用レシピ!$E:$E,0))&lt;&gt;0,INDEX(使用レシピ!I:I,MATCH(テンプレート!$C98,使用レシピ!$E:$E,0)),""),"")</f>
        <v/>
      </c>
      <c r="H98" s="24" t="str">
        <f>IFERROR(IF(INDEX(使用レシピ!J:J,MATCH(テンプレート!$C98,使用レシピ!$E:$E,0))&lt;&gt;0,INDEX(使用レシピ!J:J,MATCH(テンプレート!$C98,使用レシピ!$E:$E,0)),""),"")</f>
        <v/>
      </c>
      <c r="I98" s="36" t="str">
        <f>IFERROR(IF(INDEX(使用レシピ!P:P,MATCH(テンプレート!$C98,使用レシピ!$E:$E,0))&lt;&gt;0,INDEX(使用レシピ!P:P,MATCH(テンプレート!$C98,使用レシピ!$E:$E,0)),""),"")</f>
        <v/>
      </c>
      <c r="J98" t="str">
        <f>IFERROR(IF(INDEX(使用レシピ!K:K,MATCH(テンプレート!$C98,使用レシピ!$E:$E,0))&lt;&gt;0,INDEX(使用レシピ!K:K,MATCH(テンプレート!$C98,使用レシピ!$E:$E,0)),""),"")</f>
        <v/>
      </c>
      <c r="K98" t="str">
        <f>IFERROR(IF(INDEX(使用レシピ!L:L,MATCH(テンプレート!$C98,使用レシピ!$E:$E,0))&lt;&gt;0,INDEX(使用レシピ!L:L,MATCH(テンプレート!$C98,使用レシピ!$E:$E,0)),""),"")</f>
        <v/>
      </c>
      <c r="L98" t="str">
        <f>IFERROR(IF(INDEX(使用レシピ!M:M,MATCH(テンプレート!$C98,使用レシピ!$E:$E,0))&lt;&gt;0,INDEX(使用レシピ!M:M,MATCH(テンプレート!$C98,使用レシピ!$E:$E,0)),""),"")</f>
        <v/>
      </c>
      <c r="M98" t="str">
        <f>IFERROR(IF(INDEX(使用レシピ!N:N,MATCH(テンプレート!$C98,使用レシピ!$E:$E,0))&lt;&gt;0,INDEX(使用レシピ!N:N,MATCH(テンプレート!$C98,使用レシピ!$E:$E,0)),""),"")</f>
        <v/>
      </c>
      <c r="N98" s="24" t="str">
        <f>IFERROR(IF(INDEX(使用レシピ!O:O,MATCH(テンプレート!$C98,使用レシピ!$E:$E,0))&lt;&gt;0,INDEX(使用レシピ!O:O,MATCH(テンプレート!$C98,使用レシピ!$E:$E,0)),""),"")</f>
        <v/>
      </c>
      <c r="O98" s="42" t="str">
        <f>IFERROR(IF(INDEX(使用レシピ!P:P,MATCH(テンプレート!$C98,使用レシピ!$E:$E,0))&lt;&gt;0,INDEX(使用レシピ!P:P,MATCH(テンプレート!$C98,使用レシピ!$E:$E,0)),""),"")</f>
        <v/>
      </c>
      <c r="P98" s="25" t="str">
        <f t="shared" si="10"/>
        <v/>
      </c>
      <c r="Q98" s="26" t="str">
        <f t="shared" si="11"/>
        <v/>
      </c>
      <c r="R98" s="26" t="str">
        <f t="shared" si="12"/>
        <v/>
      </c>
      <c r="S98" s="26" t="str">
        <f t="shared" si="13"/>
        <v/>
      </c>
      <c r="T98" s="43" t="str">
        <f t="shared" si="13"/>
        <v/>
      </c>
    </row>
    <row r="99" spans="1:20" x14ac:dyDescent="0.4">
      <c r="A99">
        <v>1211212</v>
      </c>
      <c r="B99" s="47" t="str" cm="1">
        <f t="array" ref="B99">IFERROR((INDEX($P$4:$T$1000,MATCH(VALUE(LEFT($A99,LEN($A99)-1)),$A$4:$A$1000,0),VALUE(RIGHT($A99,1)))/ INDEX($O$4:$O$1000,MATCH(VALUE(LEFT($A99,LEN($A99)-1)),$A$4:$A$1000))) * INDEX($B$4:$B$1000,MATCH(VALUE(LEFT($A99,LEN($A99)-1)),$A$4:$A$1000)),"")</f>
        <v/>
      </c>
      <c r="C99" s="38" t="str" cm="1">
        <f t="array" ref="C99">IFERROR(IF(INDEX($D$4:$H$1000,MATCH(VALUE(LEFT($A99,LEN($A99)-1)),$A$4:$A$1000,0),VALUE(RIGHT($A99,1)))= 0,"",INDEX($D$4:$H$1000,MATCH(VALUE(LEFT($A99,LEN($A99)-1)),$A$4:$A$1000,0),VALUE(RIGHT($A99,1)))),"")</f>
        <v/>
      </c>
      <c r="D99" s="23" t="str">
        <f>IFERROR(IF(INDEX(使用レシピ!F:F,MATCH(テンプレート!$C99,使用レシピ!$E:$E,0))&lt;&gt;0,INDEX(使用レシピ!F:F,MATCH(テンプレート!$C99,使用レシピ!$E:$E,0)),""),"")</f>
        <v/>
      </c>
      <c r="E99" t="str">
        <f>IFERROR(IF(INDEX(使用レシピ!G:G,MATCH(テンプレート!$C99,使用レシピ!$E:$E,0))&lt;&gt;0,INDEX(使用レシピ!G:G,MATCH(テンプレート!$C99,使用レシピ!$E:$E,0)),""),"")</f>
        <v/>
      </c>
      <c r="F99" t="str">
        <f>IFERROR(IF(INDEX(使用レシピ!H:H,MATCH(テンプレート!$C99,使用レシピ!$E:$E,0))&lt;&gt;0,INDEX(使用レシピ!H:H,MATCH(テンプレート!$C99,使用レシピ!$E:$E,0)),""),"")</f>
        <v/>
      </c>
      <c r="G99" t="str">
        <f>IFERROR(IF(INDEX(使用レシピ!I:I,MATCH(テンプレート!$C99,使用レシピ!$E:$E,0))&lt;&gt;0,INDEX(使用レシピ!I:I,MATCH(テンプレート!$C99,使用レシピ!$E:$E,0)),""),"")</f>
        <v/>
      </c>
      <c r="H99" s="24" t="str">
        <f>IFERROR(IF(INDEX(使用レシピ!J:J,MATCH(テンプレート!$C99,使用レシピ!$E:$E,0))&lt;&gt;0,INDEX(使用レシピ!J:J,MATCH(テンプレート!$C99,使用レシピ!$E:$E,0)),""),"")</f>
        <v/>
      </c>
      <c r="I99" s="36" t="str">
        <f>IFERROR(IF(INDEX(使用レシピ!P:P,MATCH(テンプレート!$C99,使用レシピ!$E:$E,0))&lt;&gt;0,INDEX(使用レシピ!P:P,MATCH(テンプレート!$C99,使用レシピ!$E:$E,0)),""),"")</f>
        <v/>
      </c>
      <c r="J99" t="str">
        <f>IFERROR(IF(INDEX(使用レシピ!K:K,MATCH(テンプレート!$C99,使用レシピ!$E:$E,0))&lt;&gt;0,INDEX(使用レシピ!K:K,MATCH(テンプレート!$C99,使用レシピ!$E:$E,0)),""),"")</f>
        <v/>
      </c>
      <c r="K99" t="str">
        <f>IFERROR(IF(INDEX(使用レシピ!L:L,MATCH(テンプレート!$C99,使用レシピ!$E:$E,0))&lt;&gt;0,INDEX(使用レシピ!L:L,MATCH(テンプレート!$C99,使用レシピ!$E:$E,0)),""),"")</f>
        <v/>
      </c>
      <c r="L99" t="str">
        <f>IFERROR(IF(INDEX(使用レシピ!M:M,MATCH(テンプレート!$C99,使用レシピ!$E:$E,0))&lt;&gt;0,INDEX(使用レシピ!M:M,MATCH(テンプレート!$C99,使用レシピ!$E:$E,0)),""),"")</f>
        <v/>
      </c>
      <c r="M99" t="str">
        <f>IFERROR(IF(INDEX(使用レシピ!N:N,MATCH(テンプレート!$C99,使用レシピ!$E:$E,0))&lt;&gt;0,INDEX(使用レシピ!N:N,MATCH(テンプレート!$C99,使用レシピ!$E:$E,0)),""),"")</f>
        <v/>
      </c>
      <c r="N99" s="24" t="str">
        <f>IFERROR(IF(INDEX(使用レシピ!O:O,MATCH(テンプレート!$C99,使用レシピ!$E:$E,0))&lt;&gt;0,INDEX(使用レシピ!O:O,MATCH(テンプレート!$C99,使用レシピ!$E:$E,0)),""),"")</f>
        <v/>
      </c>
      <c r="O99" s="42" t="str">
        <f>IFERROR(IF(INDEX(使用レシピ!P:P,MATCH(テンプレート!$C99,使用レシピ!$E:$E,0))&lt;&gt;0,INDEX(使用レシピ!P:P,MATCH(テンプレート!$C99,使用レシピ!$E:$E,0)),""),"")</f>
        <v/>
      </c>
      <c r="P99" s="25" t="str">
        <f t="shared" si="10"/>
        <v/>
      </c>
      <c r="Q99" s="26" t="str">
        <f t="shared" si="11"/>
        <v/>
      </c>
      <c r="R99" s="26" t="str">
        <f t="shared" si="12"/>
        <v/>
      </c>
      <c r="S99" s="26" t="str">
        <f t="shared" si="13"/>
        <v/>
      </c>
      <c r="T99" s="43" t="str">
        <f t="shared" si="13"/>
        <v/>
      </c>
    </row>
    <row r="100" spans="1:20" x14ac:dyDescent="0.4">
      <c r="A100">
        <v>1211221</v>
      </c>
      <c r="B100" s="47" t="str" cm="1">
        <f t="array" ref="B100">IFERROR((INDEX($P$4:$T$1000,MATCH(VALUE(LEFT($A100,LEN($A100)-1)),$A$4:$A$1000,0),VALUE(RIGHT($A100,1)))/ INDEX($O$4:$O$1000,MATCH(VALUE(LEFT($A100,LEN($A100)-1)),$A$4:$A$1000))) * INDEX($B$4:$B$1000,MATCH(VALUE(LEFT($A100,LEN($A100)-1)),$A$4:$A$1000)),"")</f>
        <v/>
      </c>
      <c r="C100" s="38" t="str" cm="1">
        <f t="array" ref="C100">IFERROR(IF(INDEX($D$4:$H$1000,MATCH(VALUE(LEFT($A100,LEN($A100)-1)),$A$4:$A$1000,0),VALUE(RIGHT($A100,1)))= 0,"",INDEX($D$4:$H$1000,MATCH(VALUE(LEFT($A100,LEN($A100)-1)),$A$4:$A$1000,0),VALUE(RIGHT($A100,1)))),"")</f>
        <v/>
      </c>
      <c r="D100" s="23" t="str">
        <f>IFERROR(IF(INDEX(使用レシピ!F:F,MATCH(テンプレート!$C100,使用レシピ!$E:$E,0))&lt;&gt;0,INDEX(使用レシピ!F:F,MATCH(テンプレート!$C100,使用レシピ!$E:$E,0)),""),"")</f>
        <v/>
      </c>
      <c r="E100" t="str">
        <f>IFERROR(IF(INDEX(使用レシピ!G:G,MATCH(テンプレート!$C100,使用レシピ!$E:$E,0))&lt;&gt;0,INDEX(使用レシピ!G:G,MATCH(テンプレート!$C100,使用レシピ!$E:$E,0)),""),"")</f>
        <v/>
      </c>
      <c r="F100" t="str">
        <f>IFERROR(IF(INDEX(使用レシピ!H:H,MATCH(テンプレート!$C100,使用レシピ!$E:$E,0))&lt;&gt;0,INDEX(使用レシピ!H:H,MATCH(テンプレート!$C100,使用レシピ!$E:$E,0)),""),"")</f>
        <v/>
      </c>
      <c r="G100" t="str">
        <f>IFERROR(IF(INDEX(使用レシピ!I:I,MATCH(テンプレート!$C100,使用レシピ!$E:$E,0))&lt;&gt;0,INDEX(使用レシピ!I:I,MATCH(テンプレート!$C100,使用レシピ!$E:$E,0)),""),"")</f>
        <v/>
      </c>
      <c r="H100" s="24" t="str">
        <f>IFERROR(IF(INDEX(使用レシピ!J:J,MATCH(テンプレート!$C100,使用レシピ!$E:$E,0))&lt;&gt;0,INDEX(使用レシピ!J:J,MATCH(テンプレート!$C100,使用レシピ!$E:$E,0)),""),"")</f>
        <v/>
      </c>
      <c r="I100" s="36" t="str">
        <f>IFERROR(IF(INDEX(使用レシピ!P:P,MATCH(テンプレート!$C100,使用レシピ!$E:$E,0))&lt;&gt;0,INDEX(使用レシピ!P:P,MATCH(テンプレート!$C100,使用レシピ!$E:$E,0)),""),"")</f>
        <v/>
      </c>
      <c r="J100" t="str">
        <f>IFERROR(IF(INDEX(使用レシピ!K:K,MATCH(テンプレート!$C100,使用レシピ!$E:$E,0))&lt;&gt;0,INDEX(使用レシピ!K:K,MATCH(テンプレート!$C100,使用レシピ!$E:$E,0)),""),"")</f>
        <v/>
      </c>
      <c r="K100" t="str">
        <f>IFERROR(IF(INDEX(使用レシピ!L:L,MATCH(テンプレート!$C100,使用レシピ!$E:$E,0))&lt;&gt;0,INDEX(使用レシピ!L:L,MATCH(テンプレート!$C100,使用レシピ!$E:$E,0)),""),"")</f>
        <v/>
      </c>
      <c r="L100" t="str">
        <f>IFERROR(IF(INDEX(使用レシピ!M:M,MATCH(テンプレート!$C100,使用レシピ!$E:$E,0))&lt;&gt;0,INDEX(使用レシピ!M:M,MATCH(テンプレート!$C100,使用レシピ!$E:$E,0)),""),"")</f>
        <v/>
      </c>
      <c r="M100" t="str">
        <f>IFERROR(IF(INDEX(使用レシピ!N:N,MATCH(テンプレート!$C100,使用レシピ!$E:$E,0))&lt;&gt;0,INDEX(使用レシピ!N:N,MATCH(テンプレート!$C100,使用レシピ!$E:$E,0)),""),"")</f>
        <v/>
      </c>
      <c r="N100" s="24" t="str">
        <f>IFERROR(IF(INDEX(使用レシピ!O:O,MATCH(テンプレート!$C100,使用レシピ!$E:$E,0))&lt;&gt;0,INDEX(使用レシピ!O:O,MATCH(テンプレート!$C100,使用レシピ!$E:$E,0)),""),"")</f>
        <v/>
      </c>
      <c r="O100" s="42" t="str">
        <f>IFERROR(IF(INDEX(使用レシピ!P:P,MATCH(テンプレート!$C100,使用レシピ!$E:$E,0))&lt;&gt;0,INDEX(使用レシピ!P:P,MATCH(テンプレート!$C100,使用レシピ!$E:$E,0)),""),"")</f>
        <v/>
      </c>
      <c r="P100" s="25" t="str">
        <f t="shared" si="10"/>
        <v/>
      </c>
      <c r="Q100" s="26" t="str">
        <f t="shared" si="11"/>
        <v/>
      </c>
      <c r="R100" s="26" t="str">
        <f t="shared" si="12"/>
        <v/>
      </c>
      <c r="S100" s="26" t="str">
        <f t="shared" si="13"/>
        <v/>
      </c>
      <c r="T100" s="43" t="str">
        <f t="shared" si="13"/>
        <v/>
      </c>
    </row>
    <row r="101" spans="1:20" x14ac:dyDescent="0.4">
      <c r="A101">
        <v>1211222</v>
      </c>
      <c r="B101" s="47" t="str" cm="1">
        <f t="array" ref="B101">IFERROR((INDEX($P$4:$T$1000,MATCH(VALUE(LEFT($A101,LEN($A101)-1)),$A$4:$A$1000,0),VALUE(RIGHT($A101,1)))/ INDEX($O$4:$O$1000,MATCH(VALUE(LEFT($A101,LEN($A101)-1)),$A$4:$A$1000))) * INDEX($B$4:$B$1000,MATCH(VALUE(LEFT($A101,LEN($A101)-1)),$A$4:$A$1000)),"")</f>
        <v/>
      </c>
      <c r="C101" s="38" t="str" cm="1">
        <f t="array" ref="C101">IFERROR(IF(INDEX($D$4:$H$1000,MATCH(VALUE(LEFT($A101,LEN($A101)-1)),$A$4:$A$1000,0),VALUE(RIGHT($A101,1)))= 0,"",INDEX($D$4:$H$1000,MATCH(VALUE(LEFT($A101,LEN($A101)-1)),$A$4:$A$1000,0),VALUE(RIGHT($A101,1)))),"")</f>
        <v/>
      </c>
      <c r="D101" s="23" t="str">
        <f>IFERROR(IF(INDEX(使用レシピ!F:F,MATCH(テンプレート!$C101,使用レシピ!$E:$E,0))&lt;&gt;0,INDEX(使用レシピ!F:F,MATCH(テンプレート!$C101,使用レシピ!$E:$E,0)),""),"")</f>
        <v/>
      </c>
      <c r="E101" t="str">
        <f>IFERROR(IF(INDEX(使用レシピ!G:G,MATCH(テンプレート!$C101,使用レシピ!$E:$E,0))&lt;&gt;0,INDEX(使用レシピ!G:G,MATCH(テンプレート!$C101,使用レシピ!$E:$E,0)),""),"")</f>
        <v/>
      </c>
      <c r="F101" t="str">
        <f>IFERROR(IF(INDEX(使用レシピ!H:H,MATCH(テンプレート!$C101,使用レシピ!$E:$E,0))&lt;&gt;0,INDEX(使用レシピ!H:H,MATCH(テンプレート!$C101,使用レシピ!$E:$E,0)),""),"")</f>
        <v/>
      </c>
      <c r="G101" t="str">
        <f>IFERROR(IF(INDEX(使用レシピ!I:I,MATCH(テンプレート!$C101,使用レシピ!$E:$E,0))&lt;&gt;0,INDEX(使用レシピ!I:I,MATCH(テンプレート!$C101,使用レシピ!$E:$E,0)),""),"")</f>
        <v/>
      </c>
      <c r="H101" s="24" t="str">
        <f>IFERROR(IF(INDEX(使用レシピ!J:J,MATCH(テンプレート!$C101,使用レシピ!$E:$E,0))&lt;&gt;0,INDEX(使用レシピ!J:J,MATCH(テンプレート!$C101,使用レシピ!$E:$E,0)),""),"")</f>
        <v/>
      </c>
      <c r="I101" s="36" t="str">
        <f>IFERROR(IF(INDEX(使用レシピ!P:P,MATCH(テンプレート!$C101,使用レシピ!$E:$E,0))&lt;&gt;0,INDEX(使用レシピ!P:P,MATCH(テンプレート!$C101,使用レシピ!$E:$E,0)),""),"")</f>
        <v/>
      </c>
      <c r="J101" t="str">
        <f>IFERROR(IF(INDEX(使用レシピ!K:K,MATCH(テンプレート!$C101,使用レシピ!$E:$E,0))&lt;&gt;0,INDEX(使用レシピ!K:K,MATCH(テンプレート!$C101,使用レシピ!$E:$E,0)),""),"")</f>
        <v/>
      </c>
      <c r="K101" t="str">
        <f>IFERROR(IF(INDEX(使用レシピ!L:L,MATCH(テンプレート!$C101,使用レシピ!$E:$E,0))&lt;&gt;0,INDEX(使用レシピ!L:L,MATCH(テンプレート!$C101,使用レシピ!$E:$E,0)),""),"")</f>
        <v/>
      </c>
      <c r="L101" t="str">
        <f>IFERROR(IF(INDEX(使用レシピ!M:M,MATCH(テンプレート!$C101,使用レシピ!$E:$E,0))&lt;&gt;0,INDEX(使用レシピ!M:M,MATCH(テンプレート!$C101,使用レシピ!$E:$E,0)),""),"")</f>
        <v/>
      </c>
      <c r="M101" t="str">
        <f>IFERROR(IF(INDEX(使用レシピ!N:N,MATCH(テンプレート!$C101,使用レシピ!$E:$E,0))&lt;&gt;0,INDEX(使用レシピ!N:N,MATCH(テンプレート!$C101,使用レシピ!$E:$E,0)),""),"")</f>
        <v/>
      </c>
      <c r="N101" s="24" t="str">
        <f>IFERROR(IF(INDEX(使用レシピ!O:O,MATCH(テンプレート!$C101,使用レシピ!$E:$E,0))&lt;&gt;0,INDEX(使用レシピ!O:O,MATCH(テンプレート!$C101,使用レシピ!$E:$E,0)),""),"")</f>
        <v/>
      </c>
      <c r="O101" s="42" t="str">
        <f>IFERROR(IF(INDEX(使用レシピ!P:P,MATCH(テンプレート!$C101,使用レシピ!$E:$E,0))&lt;&gt;0,INDEX(使用レシピ!P:P,MATCH(テンプレート!$C101,使用レシピ!$E:$E,0)),""),"")</f>
        <v/>
      </c>
      <c r="P101" s="25" t="str">
        <f t="shared" si="10"/>
        <v/>
      </c>
      <c r="Q101" s="26" t="str">
        <f t="shared" si="11"/>
        <v/>
      </c>
      <c r="R101" s="26" t="str">
        <f t="shared" si="12"/>
        <v/>
      </c>
      <c r="S101" s="26" t="str">
        <f t="shared" si="13"/>
        <v/>
      </c>
      <c r="T101" s="43" t="str">
        <f t="shared" si="13"/>
        <v/>
      </c>
    </row>
    <row r="102" spans="1:20" x14ac:dyDescent="0.4">
      <c r="A102">
        <v>1211311</v>
      </c>
      <c r="B102" s="47" t="str" cm="1">
        <f t="array" ref="B102">IFERROR((INDEX($P$4:$T$1000,MATCH(VALUE(LEFT($A102,LEN($A102)-1)),$A$4:$A$1000,0),VALUE(RIGHT($A102,1)))/ INDEX($O$4:$O$1000,MATCH(VALUE(LEFT($A102,LEN($A102)-1)),$A$4:$A$1000))) * INDEX($B$4:$B$1000,MATCH(VALUE(LEFT($A102,LEN($A102)-1)),$A$4:$A$1000)),"")</f>
        <v/>
      </c>
      <c r="C102" s="38" t="str" cm="1">
        <f t="array" ref="C102">IFERROR(IF(INDEX($D$4:$H$1000,MATCH(VALUE(LEFT($A102,LEN($A102)-1)),$A$4:$A$1000,0),VALUE(RIGHT($A102,1)))= 0,"",INDEX($D$4:$H$1000,MATCH(VALUE(LEFT($A102,LEN($A102)-1)),$A$4:$A$1000,0),VALUE(RIGHT($A102,1)))),"")</f>
        <v/>
      </c>
      <c r="D102" s="23" t="str">
        <f>IFERROR(IF(INDEX(使用レシピ!F:F,MATCH(テンプレート!$C102,使用レシピ!$E:$E,0))&lt;&gt;0,INDEX(使用レシピ!F:F,MATCH(テンプレート!$C102,使用レシピ!$E:$E,0)),""),"")</f>
        <v/>
      </c>
      <c r="E102" t="str">
        <f>IFERROR(IF(INDEX(使用レシピ!G:G,MATCH(テンプレート!$C102,使用レシピ!$E:$E,0))&lt;&gt;0,INDEX(使用レシピ!G:G,MATCH(テンプレート!$C102,使用レシピ!$E:$E,0)),""),"")</f>
        <v/>
      </c>
      <c r="F102" t="str">
        <f>IFERROR(IF(INDEX(使用レシピ!H:H,MATCH(テンプレート!$C102,使用レシピ!$E:$E,0))&lt;&gt;0,INDEX(使用レシピ!H:H,MATCH(テンプレート!$C102,使用レシピ!$E:$E,0)),""),"")</f>
        <v/>
      </c>
      <c r="G102" t="str">
        <f>IFERROR(IF(INDEX(使用レシピ!I:I,MATCH(テンプレート!$C102,使用レシピ!$E:$E,0))&lt;&gt;0,INDEX(使用レシピ!I:I,MATCH(テンプレート!$C102,使用レシピ!$E:$E,0)),""),"")</f>
        <v/>
      </c>
      <c r="H102" s="24" t="str">
        <f>IFERROR(IF(INDEX(使用レシピ!J:J,MATCH(テンプレート!$C102,使用レシピ!$E:$E,0))&lt;&gt;0,INDEX(使用レシピ!J:J,MATCH(テンプレート!$C102,使用レシピ!$E:$E,0)),""),"")</f>
        <v/>
      </c>
      <c r="I102" s="36" t="str">
        <f>IFERROR(IF(INDEX(使用レシピ!P:P,MATCH(テンプレート!$C102,使用レシピ!$E:$E,0))&lt;&gt;0,INDEX(使用レシピ!P:P,MATCH(テンプレート!$C102,使用レシピ!$E:$E,0)),""),"")</f>
        <v/>
      </c>
      <c r="J102" t="str">
        <f>IFERROR(IF(INDEX(使用レシピ!K:K,MATCH(テンプレート!$C102,使用レシピ!$E:$E,0))&lt;&gt;0,INDEX(使用レシピ!K:K,MATCH(テンプレート!$C102,使用レシピ!$E:$E,0)),""),"")</f>
        <v/>
      </c>
      <c r="K102" t="str">
        <f>IFERROR(IF(INDEX(使用レシピ!L:L,MATCH(テンプレート!$C102,使用レシピ!$E:$E,0))&lt;&gt;0,INDEX(使用レシピ!L:L,MATCH(テンプレート!$C102,使用レシピ!$E:$E,0)),""),"")</f>
        <v/>
      </c>
      <c r="L102" t="str">
        <f>IFERROR(IF(INDEX(使用レシピ!M:M,MATCH(テンプレート!$C102,使用レシピ!$E:$E,0))&lt;&gt;0,INDEX(使用レシピ!M:M,MATCH(テンプレート!$C102,使用レシピ!$E:$E,0)),""),"")</f>
        <v/>
      </c>
      <c r="M102" t="str">
        <f>IFERROR(IF(INDEX(使用レシピ!N:N,MATCH(テンプレート!$C102,使用レシピ!$E:$E,0))&lt;&gt;0,INDEX(使用レシピ!N:N,MATCH(テンプレート!$C102,使用レシピ!$E:$E,0)),""),"")</f>
        <v/>
      </c>
      <c r="N102" s="24" t="str">
        <f>IFERROR(IF(INDEX(使用レシピ!O:O,MATCH(テンプレート!$C102,使用レシピ!$E:$E,0))&lt;&gt;0,INDEX(使用レシピ!O:O,MATCH(テンプレート!$C102,使用レシピ!$E:$E,0)),""),"")</f>
        <v/>
      </c>
      <c r="O102" s="42" t="str">
        <f>IFERROR(IF(INDEX(使用レシピ!P:P,MATCH(テンプレート!$C102,使用レシピ!$E:$E,0))&lt;&gt;0,INDEX(使用レシピ!P:P,MATCH(テンプレート!$C102,使用レシピ!$E:$E,0)),""),"")</f>
        <v/>
      </c>
      <c r="P102" s="25" t="str">
        <f t="shared" si="10"/>
        <v/>
      </c>
      <c r="Q102" s="26" t="str">
        <f t="shared" si="11"/>
        <v/>
      </c>
      <c r="R102" s="26" t="str">
        <f t="shared" si="12"/>
        <v/>
      </c>
      <c r="S102" s="26" t="str">
        <f t="shared" si="13"/>
        <v/>
      </c>
      <c r="T102" s="43" t="str">
        <f t="shared" si="13"/>
        <v/>
      </c>
    </row>
    <row r="103" spans="1:20" x14ac:dyDescent="0.4">
      <c r="A103">
        <v>1211312</v>
      </c>
      <c r="B103" s="47" t="str" cm="1">
        <f t="array" ref="B103">IFERROR((INDEX($P$4:$T$1000,MATCH(VALUE(LEFT($A103,LEN($A103)-1)),$A$4:$A$1000,0),VALUE(RIGHT($A103,1)))/ INDEX($O$4:$O$1000,MATCH(VALUE(LEFT($A103,LEN($A103)-1)),$A$4:$A$1000))) * INDEX($B$4:$B$1000,MATCH(VALUE(LEFT($A103,LEN($A103)-1)),$A$4:$A$1000)),"")</f>
        <v/>
      </c>
      <c r="C103" s="38" t="str" cm="1">
        <f t="array" ref="C103">IFERROR(IF(INDEX($D$4:$H$1000,MATCH(VALUE(LEFT($A103,LEN($A103)-1)),$A$4:$A$1000,0),VALUE(RIGHT($A103,1)))= 0,"",INDEX($D$4:$H$1000,MATCH(VALUE(LEFT($A103,LEN($A103)-1)),$A$4:$A$1000,0),VALUE(RIGHT($A103,1)))),"")</f>
        <v/>
      </c>
      <c r="D103" s="23" t="str">
        <f>IFERROR(IF(INDEX(使用レシピ!F:F,MATCH(テンプレート!$C103,使用レシピ!$E:$E,0))&lt;&gt;0,INDEX(使用レシピ!F:F,MATCH(テンプレート!$C103,使用レシピ!$E:$E,0)),""),"")</f>
        <v/>
      </c>
      <c r="E103" t="str">
        <f>IFERROR(IF(INDEX(使用レシピ!G:G,MATCH(テンプレート!$C103,使用レシピ!$E:$E,0))&lt;&gt;0,INDEX(使用レシピ!G:G,MATCH(テンプレート!$C103,使用レシピ!$E:$E,0)),""),"")</f>
        <v/>
      </c>
      <c r="F103" t="str">
        <f>IFERROR(IF(INDEX(使用レシピ!H:H,MATCH(テンプレート!$C103,使用レシピ!$E:$E,0))&lt;&gt;0,INDEX(使用レシピ!H:H,MATCH(テンプレート!$C103,使用レシピ!$E:$E,0)),""),"")</f>
        <v/>
      </c>
      <c r="G103" t="str">
        <f>IFERROR(IF(INDEX(使用レシピ!I:I,MATCH(テンプレート!$C103,使用レシピ!$E:$E,0))&lt;&gt;0,INDEX(使用レシピ!I:I,MATCH(テンプレート!$C103,使用レシピ!$E:$E,0)),""),"")</f>
        <v/>
      </c>
      <c r="H103" s="24" t="str">
        <f>IFERROR(IF(INDEX(使用レシピ!J:J,MATCH(テンプレート!$C103,使用レシピ!$E:$E,0))&lt;&gt;0,INDEX(使用レシピ!J:J,MATCH(テンプレート!$C103,使用レシピ!$E:$E,0)),""),"")</f>
        <v/>
      </c>
      <c r="I103" s="36" t="str">
        <f>IFERROR(IF(INDEX(使用レシピ!P:P,MATCH(テンプレート!$C103,使用レシピ!$E:$E,0))&lt;&gt;0,INDEX(使用レシピ!P:P,MATCH(テンプレート!$C103,使用レシピ!$E:$E,0)),""),"")</f>
        <v/>
      </c>
      <c r="J103" t="str">
        <f>IFERROR(IF(INDEX(使用レシピ!K:K,MATCH(テンプレート!$C103,使用レシピ!$E:$E,0))&lt;&gt;0,INDEX(使用レシピ!K:K,MATCH(テンプレート!$C103,使用レシピ!$E:$E,0)),""),"")</f>
        <v/>
      </c>
      <c r="K103" t="str">
        <f>IFERROR(IF(INDEX(使用レシピ!L:L,MATCH(テンプレート!$C103,使用レシピ!$E:$E,0))&lt;&gt;0,INDEX(使用レシピ!L:L,MATCH(テンプレート!$C103,使用レシピ!$E:$E,0)),""),"")</f>
        <v/>
      </c>
      <c r="L103" t="str">
        <f>IFERROR(IF(INDEX(使用レシピ!M:M,MATCH(テンプレート!$C103,使用レシピ!$E:$E,0))&lt;&gt;0,INDEX(使用レシピ!M:M,MATCH(テンプレート!$C103,使用レシピ!$E:$E,0)),""),"")</f>
        <v/>
      </c>
      <c r="M103" t="str">
        <f>IFERROR(IF(INDEX(使用レシピ!N:N,MATCH(テンプレート!$C103,使用レシピ!$E:$E,0))&lt;&gt;0,INDEX(使用レシピ!N:N,MATCH(テンプレート!$C103,使用レシピ!$E:$E,0)),""),"")</f>
        <v/>
      </c>
      <c r="N103" s="24" t="str">
        <f>IFERROR(IF(INDEX(使用レシピ!O:O,MATCH(テンプレート!$C103,使用レシピ!$E:$E,0))&lt;&gt;0,INDEX(使用レシピ!O:O,MATCH(テンプレート!$C103,使用レシピ!$E:$E,0)),""),"")</f>
        <v/>
      </c>
      <c r="O103" s="42" t="str">
        <f>IFERROR(IF(INDEX(使用レシピ!P:P,MATCH(テンプレート!$C103,使用レシピ!$E:$E,0))&lt;&gt;0,INDEX(使用レシピ!P:P,MATCH(テンプレート!$C103,使用レシピ!$E:$E,0)),""),"")</f>
        <v/>
      </c>
      <c r="P103" s="25" t="str">
        <f t="shared" si="10"/>
        <v/>
      </c>
      <c r="Q103" s="26" t="str">
        <f t="shared" si="11"/>
        <v/>
      </c>
      <c r="R103" s="26" t="str">
        <f t="shared" si="12"/>
        <v/>
      </c>
      <c r="S103" s="26" t="str">
        <f t="shared" si="13"/>
        <v/>
      </c>
      <c r="T103" s="43" t="str">
        <f t="shared" si="13"/>
        <v/>
      </c>
    </row>
    <row r="104" spans="1:20" x14ac:dyDescent="0.4">
      <c r="A104">
        <v>1211321</v>
      </c>
      <c r="B104" s="47" t="str" cm="1">
        <f t="array" ref="B104">IFERROR((INDEX($P$4:$T$1000,MATCH(VALUE(LEFT($A104,LEN($A104)-1)),$A$4:$A$1000,0),VALUE(RIGHT($A104,1)))/ INDEX($O$4:$O$1000,MATCH(VALUE(LEFT($A104,LEN($A104)-1)),$A$4:$A$1000))) * INDEX($B$4:$B$1000,MATCH(VALUE(LEFT($A104,LEN($A104)-1)),$A$4:$A$1000)),"")</f>
        <v/>
      </c>
      <c r="C104" s="38" t="str" cm="1">
        <f t="array" ref="C104">IFERROR(IF(INDEX($D$4:$H$1000,MATCH(VALUE(LEFT($A104,LEN($A104)-1)),$A$4:$A$1000,0),VALUE(RIGHT($A104,1)))= 0,"",INDEX($D$4:$H$1000,MATCH(VALUE(LEFT($A104,LEN($A104)-1)),$A$4:$A$1000,0),VALUE(RIGHT($A104,1)))),"")</f>
        <v/>
      </c>
      <c r="D104" s="23" t="str">
        <f>IFERROR(IF(INDEX(使用レシピ!F:F,MATCH(テンプレート!$C104,使用レシピ!$E:$E,0))&lt;&gt;0,INDEX(使用レシピ!F:F,MATCH(テンプレート!$C104,使用レシピ!$E:$E,0)),""),"")</f>
        <v/>
      </c>
      <c r="E104" t="str">
        <f>IFERROR(IF(INDEX(使用レシピ!G:G,MATCH(テンプレート!$C104,使用レシピ!$E:$E,0))&lt;&gt;0,INDEX(使用レシピ!G:G,MATCH(テンプレート!$C104,使用レシピ!$E:$E,0)),""),"")</f>
        <v/>
      </c>
      <c r="F104" t="str">
        <f>IFERROR(IF(INDEX(使用レシピ!H:H,MATCH(テンプレート!$C104,使用レシピ!$E:$E,0))&lt;&gt;0,INDEX(使用レシピ!H:H,MATCH(テンプレート!$C104,使用レシピ!$E:$E,0)),""),"")</f>
        <v/>
      </c>
      <c r="G104" t="str">
        <f>IFERROR(IF(INDEX(使用レシピ!I:I,MATCH(テンプレート!$C104,使用レシピ!$E:$E,0))&lt;&gt;0,INDEX(使用レシピ!I:I,MATCH(テンプレート!$C104,使用レシピ!$E:$E,0)),""),"")</f>
        <v/>
      </c>
      <c r="H104" s="24" t="str">
        <f>IFERROR(IF(INDEX(使用レシピ!J:J,MATCH(テンプレート!$C104,使用レシピ!$E:$E,0))&lt;&gt;0,INDEX(使用レシピ!J:J,MATCH(テンプレート!$C104,使用レシピ!$E:$E,0)),""),"")</f>
        <v/>
      </c>
      <c r="I104" s="36" t="str">
        <f>IFERROR(IF(INDEX(使用レシピ!P:P,MATCH(テンプレート!$C104,使用レシピ!$E:$E,0))&lt;&gt;0,INDEX(使用レシピ!P:P,MATCH(テンプレート!$C104,使用レシピ!$E:$E,0)),""),"")</f>
        <v/>
      </c>
      <c r="J104" t="str">
        <f>IFERROR(IF(INDEX(使用レシピ!K:K,MATCH(テンプレート!$C104,使用レシピ!$E:$E,0))&lt;&gt;0,INDEX(使用レシピ!K:K,MATCH(テンプレート!$C104,使用レシピ!$E:$E,0)),""),"")</f>
        <v/>
      </c>
      <c r="K104" t="str">
        <f>IFERROR(IF(INDEX(使用レシピ!L:L,MATCH(テンプレート!$C104,使用レシピ!$E:$E,0))&lt;&gt;0,INDEX(使用レシピ!L:L,MATCH(テンプレート!$C104,使用レシピ!$E:$E,0)),""),"")</f>
        <v/>
      </c>
      <c r="L104" t="str">
        <f>IFERROR(IF(INDEX(使用レシピ!M:M,MATCH(テンプレート!$C104,使用レシピ!$E:$E,0))&lt;&gt;0,INDEX(使用レシピ!M:M,MATCH(テンプレート!$C104,使用レシピ!$E:$E,0)),""),"")</f>
        <v/>
      </c>
      <c r="M104" t="str">
        <f>IFERROR(IF(INDEX(使用レシピ!N:N,MATCH(テンプレート!$C104,使用レシピ!$E:$E,0))&lt;&gt;0,INDEX(使用レシピ!N:N,MATCH(テンプレート!$C104,使用レシピ!$E:$E,0)),""),"")</f>
        <v/>
      </c>
      <c r="N104" s="24" t="str">
        <f>IFERROR(IF(INDEX(使用レシピ!O:O,MATCH(テンプレート!$C104,使用レシピ!$E:$E,0))&lt;&gt;0,INDEX(使用レシピ!O:O,MATCH(テンプレート!$C104,使用レシピ!$E:$E,0)),""),"")</f>
        <v/>
      </c>
      <c r="O104" s="42" t="str">
        <f>IFERROR(IF(INDEX(使用レシピ!P:P,MATCH(テンプレート!$C104,使用レシピ!$E:$E,0))&lt;&gt;0,INDEX(使用レシピ!P:P,MATCH(テンプレート!$C104,使用レシピ!$E:$E,0)),""),"")</f>
        <v/>
      </c>
      <c r="P104" s="25" t="str">
        <f t="shared" si="10"/>
        <v/>
      </c>
      <c r="Q104" s="26" t="str">
        <f t="shared" si="11"/>
        <v/>
      </c>
      <c r="R104" s="26" t="str">
        <f t="shared" si="12"/>
        <v/>
      </c>
      <c r="S104" s="26" t="str">
        <f t="shared" si="13"/>
        <v/>
      </c>
      <c r="T104" s="43" t="str">
        <f t="shared" si="13"/>
        <v/>
      </c>
    </row>
    <row r="105" spans="1:20" x14ac:dyDescent="0.4">
      <c r="A105">
        <v>1211322</v>
      </c>
      <c r="B105" s="47" t="str" cm="1">
        <f t="array" ref="B105">IFERROR((INDEX($P$4:$T$1000,MATCH(VALUE(LEFT($A105,LEN($A105)-1)),$A$4:$A$1000,0),VALUE(RIGHT($A105,1)))/ INDEX($O$4:$O$1000,MATCH(VALUE(LEFT($A105,LEN($A105)-1)),$A$4:$A$1000))) * INDEX($B$4:$B$1000,MATCH(VALUE(LEFT($A105,LEN($A105)-1)),$A$4:$A$1000)),"")</f>
        <v/>
      </c>
      <c r="C105" s="38" t="str" cm="1">
        <f t="array" ref="C105">IFERROR(IF(INDEX($D$4:$H$1000,MATCH(VALUE(LEFT($A105,LEN($A105)-1)),$A$4:$A$1000,0),VALUE(RIGHT($A105,1)))= 0,"",INDEX($D$4:$H$1000,MATCH(VALUE(LEFT($A105,LEN($A105)-1)),$A$4:$A$1000,0),VALUE(RIGHT($A105,1)))),"")</f>
        <v/>
      </c>
      <c r="D105" s="23" t="str">
        <f>IFERROR(IF(INDEX(使用レシピ!F:F,MATCH(テンプレート!$C105,使用レシピ!$E:$E,0))&lt;&gt;0,INDEX(使用レシピ!F:F,MATCH(テンプレート!$C105,使用レシピ!$E:$E,0)),""),"")</f>
        <v/>
      </c>
      <c r="E105" t="str">
        <f>IFERROR(IF(INDEX(使用レシピ!G:G,MATCH(テンプレート!$C105,使用レシピ!$E:$E,0))&lt;&gt;0,INDEX(使用レシピ!G:G,MATCH(テンプレート!$C105,使用レシピ!$E:$E,0)),""),"")</f>
        <v/>
      </c>
      <c r="F105" t="str">
        <f>IFERROR(IF(INDEX(使用レシピ!H:H,MATCH(テンプレート!$C105,使用レシピ!$E:$E,0))&lt;&gt;0,INDEX(使用レシピ!H:H,MATCH(テンプレート!$C105,使用レシピ!$E:$E,0)),""),"")</f>
        <v/>
      </c>
      <c r="G105" t="str">
        <f>IFERROR(IF(INDEX(使用レシピ!I:I,MATCH(テンプレート!$C105,使用レシピ!$E:$E,0))&lt;&gt;0,INDEX(使用レシピ!I:I,MATCH(テンプレート!$C105,使用レシピ!$E:$E,0)),""),"")</f>
        <v/>
      </c>
      <c r="H105" s="24" t="str">
        <f>IFERROR(IF(INDEX(使用レシピ!J:J,MATCH(テンプレート!$C105,使用レシピ!$E:$E,0))&lt;&gt;0,INDEX(使用レシピ!J:J,MATCH(テンプレート!$C105,使用レシピ!$E:$E,0)),""),"")</f>
        <v/>
      </c>
      <c r="I105" s="36" t="str">
        <f>IFERROR(IF(INDEX(使用レシピ!P:P,MATCH(テンプレート!$C105,使用レシピ!$E:$E,0))&lt;&gt;0,INDEX(使用レシピ!P:P,MATCH(テンプレート!$C105,使用レシピ!$E:$E,0)),""),"")</f>
        <v/>
      </c>
      <c r="J105" t="str">
        <f>IFERROR(IF(INDEX(使用レシピ!K:K,MATCH(テンプレート!$C105,使用レシピ!$E:$E,0))&lt;&gt;0,INDEX(使用レシピ!K:K,MATCH(テンプレート!$C105,使用レシピ!$E:$E,0)),""),"")</f>
        <v/>
      </c>
      <c r="K105" t="str">
        <f>IFERROR(IF(INDEX(使用レシピ!L:L,MATCH(テンプレート!$C105,使用レシピ!$E:$E,0))&lt;&gt;0,INDEX(使用レシピ!L:L,MATCH(テンプレート!$C105,使用レシピ!$E:$E,0)),""),"")</f>
        <v/>
      </c>
      <c r="L105" t="str">
        <f>IFERROR(IF(INDEX(使用レシピ!M:M,MATCH(テンプレート!$C105,使用レシピ!$E:$E,0))&lt;&gt;0,INDEX(使用レシピ!M:M,MATCH(テンプレート!$C105,使用レシピ!$E:$E,0)),""),"")</f>
        <v/>
      </c>
      <c r="M105" t="str">
        <f>IFERROR(IF(INDEX(使用レシピ!N:N,MATCH(テンプレート!$C105,使用レシピ!$E:$E,0))&lt;&gt;0,INDEX(使用レシピ!N:N,MATCH(テンプレート!$C105,使用レシピ!$E:$E,0)),""),"")</f>
        <v/>
      </c>
      <c r="N105" s="24" t="str">
        <f>IFERROR(IF(INDEX(使用レシピ!O:O,MATCH(テンプレート!$C105,使用レシピ!$E:$E,0))&lt;&gt;0,INDEX(使用レシピ!O:O,MATCH(テンプレート!$C105,使用レシピ!$E:$E,0)),""),"")</f>
        <v/>
      </c>
      <c r="O105" s="42" t="str">
        <f>IFERROR(IF(INDEX(使用レシピ!P:P,MATCH(テンプレート!$C105,使用レシピ!$E:$E,0))&lt;&gt;0,INDEX(使用レシピ!P:P,MATCH(テンプレート!$C105,使用レシピ!$E:$E,0)),""),"")</f>
        <v/>
      </c>
      <c r="P105" s="25" t="str">
        <f t="shared" si="10"/>
        <v/>
      </c>
      <c r="Q105" s="26" t="str">
        <f t="shared" si="11"/>
        <v/>
      </c>
      <c r="R105" s="26" t="str">
        <f t="shared" si="12"/>
        <v/>
      </c>
      <c r="S105" s="26" t="str">
        <f t="shared" si="13"/>
        <v/>
      </c>
      <c r="T105" s="43" t="str">
        <f t="shared" si="13"/>
        <v/>
      </c>
    </row>
    <row r="106" spans="1:20" x14ac:dyDescent="0.4">
      <c r="A106">
        <v>1212111</v>
      </c>
      <c r="B106" s="47" t="str" cm="1">
        <f t="array" ref="B106">IFERROR((INDEX($P$4:$T$1000,MATCH(VALUE(LEFT($A106,LEN($A106)-1)),$A$4:$A$1000,0),VALUE(RIGHT($A106,1)))/ INDEX($O$4:$O$1000,MATCH(VALUE(LEFT($A106,LEN($A106)-1)),$A$4:$A$1000))) * INDEX($B$4:$B$1000,MATCH(VALUE(LEFT($A106,LEN($A106)-1)),$A$4:$A$1000)),"")</f>
        <v/>
      </c>
      <c r="C106" s="38" t="str" cm="1">
        <f t="array" ref="C106">IFERROR(IF(INDEX($D$4:$H$1000,MATCH(VALUE(LEFT($A106,LEN($A106)-1)),$A$4:$A$1000,0),VALUE(RIGHT($A106,1)))= 0,"",INDEX($D$4:$H$1000,MATCH(VALUE(LEFT($A106,LEN($A106)-1)),$A$4:$A$1000,0),VALUE(RIGHT($A106,1)))),"")</f>
        <v/>
      </c>
      <c r="D106" s="23" t="str">
        <f>IFERROR(IF(INDEX(使用レシピ!F:F,MATCH(テンプレート!$C106,使用レシピ!$E:$E,0))&lt;&gt;0,INDEX(使用レシピ!F:F,MATCH(テンプレート!$C106,使用レシピ!$E:$E,0)),""),"")</f>
        <v/>
      </c>
      <c r="E106" t="str">
        <f>IFERROR(IF(INDEX(使用レシピ!G:G,MATCH(テンプレート!$C106,使用レシピ!$E:$E,0))&lt;&gt;0,INDEX(使用レシピ!G:G,MATCH(テンプレート!$C106,使用レシピ!$E:$E,0)),""),"")</f>
        <v/>
      </c>
      <c r="F106" t="str">
        <f>IFERROR(IF(INDEX(使用レシピ!H:H,MATCH(テンプレート!$C106,使用レシピ!$E:$E,0))&lt;&gt;0,INDEX(使用レシピ!H:H,MATCH(テンプレート!$C106,使用レシピ!$E:$E,0)),""),"")</f>
        <v/>
      </c>
      <c r="G106" t="str">
        <f>IFERROR(IF(INDEX(使用レシピ!I:I,MATCH(テンプレート!$C106,使用レシピ!$E:$E,0))&lt;&gt;0,INDEX(使用レシピ!I:I,MATCH(テンプレート!$C106,使用レシピ!$E:$E,0)),""),"")</f>
        <v/>
      </c>
      <c r="H106" s="24" t="str">
        <f>IFERROR(IF(INDEX(使用レシピ!J:J,MATCH(テンプレート!$C106,使用レシピ!$E:$E,0))&lt;&gt;0,INDEX(使用レシピ!J:J,MATCH(テンプレート!$C106,使用レシピ!$E:$E,0)),""),"")</f>
        <v/>
      </c>
      <c r="I106" s="36" t="str">
        <f>IFERROR(IF(INDEX(使用レシピ!P:P,MATCH(テンプレート!$C106,使用レシピ!$E:$E,0))&lt;&gt;0,INDEX(使用レシピ!P:P,MATCH(テンプレート!$C106,使用レシピ!$E:$E,0)),""),"")</f>
        <v/>
      </c>
      <c r="J106" t="str">
        <f>IFERROR(IF(INDEX(使用レシピ!K:K,MATCH(テンプレート!$C106,使用レシピ!$E:$E,0))&lt;&gt;0,INDEX(使用レシピ!K:K,MATCH(テンプレート!$C106,使用レシピ!$E:$E,0)),""),"")</f>
        <v/>
      </c>
      <c r="K106" t="str">
        <f>IFERROR(IF(INDEX(使用レシピ!L:L,MATCH(テンプレート!$C106,使用レシピ!$E:$E,0))&lt;&gt;0,INDEX(使用レシピ!L:L,MATCH(テンプレート!$C106,使用レシピ!$E:$E,0)),""),"")</f>
        <v/>
      </c>
      <c r="L106" t="str">
        <f>IFERROR(IF(INDEX(使用レシピ!M:M,MATCH(テンプレート!$C106,使用レシピ!$E:$E,0))&lt;&gt;0,INDEX(使用レシピ!M:M,MATCH(テンプレート!$C106,使用レシピ!$E:$E,0)),""),"")</f>
        <v/>
      </c>
      <c r="M106" t="str">
        <f>IFERROR(IF(INDEX(使用レシピ!N:N,MATCH(テンプレート!$C106,使用レシピ!$E:$E,0))&lt;&gt;0,INDEX(使用レシピ!N:N,MATCH(テンプレート!$C106,使用レシピ!$E:$E,0)),""),"")</f>
        <v/>
      </c>
      <c r="N106" s="24" t="str">
        <f>IFERROR(IF(INDEX(使用レシピ!O:O,MATCH(テンプレート!$C106,使用レシピ!$E:$E,0))&lt;&gt;0,INDEX(使用レシピ!O:O,MATCH(テンプレート!$C106,使用レシピ!$E:$E,0)),""),"")</f>
        <v/>
      </c>
      <c r="O106" s="42" t="str">
        <f>IFERROR(IF(INDEX(使用レシピ!P:P,MATCH(テンプレート!$C106,使用レシピ!$E:$E,0))&lt;&gt;0,INDEX(使用レシピ!P:P,MATCH(テンプレート!$C106,使用レシピ!$E:$E,0)),""),"")</f>
        <v/>
      </c>
      <c r="P106" s="25" t="str">
        <f t="shared" si="10"/>
        <v/>
      </c>
      <c r="Q106" s="26" t="str">
        <f t="shared" si="11"/>
        <v/>
      </c>
      <c r="R106" s="26" t="str">
        <f t="shared" si="12"/>
        <v/>
      </c>
      <c r="S106" s="26" t="str">
        <f t="shared" si="13"/>
        <v/>
      </c>
      <c r="T106" s="43" t="str">
        <f t="shared" si="13"/>
        <v/>
      </c>
    </row>
    <row r="107" spans="1:20" x14ac:dyDescent="0.4">
      <c r="A107">
        <v>1212112</v>
      </c>
      <c r="B107" s="47" t="str" cm="1">
        <f t="array" ref="B107">IFERROR((INDEX($P$4:$T$1000,MATCH(VALUE(LEFT($A107,LEN($A107)-1)),$A$4:$A$1000,0),VALUE(RIGHT($A107,1)))/ INDEX($O$4:$O$1000,MATCH(VALUE(LEFT($A107,LEN($A107)-1)),$A$4:$A$1000))) * INDEX($B$4:$B$1000,MATCH(VALUE(LEFT($A107,LEN($A107)-1)),$A$4:$A$1000)),"")</f>
        <v/>
      </c>
      <c r="C107" s="38" t="str" cm="1">
        <f t="array" ref="C107">IFERROR(IF(INDEX($D$4:$H$1000,MATCH(VALUE(LEFT($A107,LEN($A107)-1)),$A$4:$A$1000,0),VALUE(RIGHT($A107,1)))= 0,"",INDEX($D$4:$H$1000,MATCH(VALUE(LEFT($A107,LEN($A107)-1)),$A$4:$A$1000,0),VALUE(RIGHT($A107,1)))),"")</f>
        <v/>
      </c>
      <c r="D107" s="23" t="str">
        <f>IFERROR(IF(INDEX(使用レシピ!F:F,MATCH(テンプレート!$C107,使用レシピ!$E:$E,0))&lt;&gt;0,INDEX(使用レシピ!F:F,MATCH(テンプレート!$C107,使用レシピ!$E:$E,0)),""),"")</f>
        <v/>
      </c>
      <c r="E107" t="str">
        <f>IFERROR(IF(INDEX(使用レシピ!G:G,MATCH(テンプレート!$C107,使用レシピ!$E:$E,0))&lt;&gt;0,INDEX(使用レシピ!G:G,MATCH(テンプレート!$C107,使用レシピ!$E:$E,0)),""),"")</f>
        <v/>
      </c>
      <c r="F107" t="str">
        <f>IFERROR(IF(INDEX(使用レシピ!H:H,MATCH(テンプレート!$C107,使用レシピ!$E:$E,0))&lt;&gt;0,INDEX(使用レシピ!H:H,MATCH(テンプレート!$C107,使用レシピ!$E:$E,0)),""),"")</f>
        <v/>
      </c>
      <c r="G107" t="str">
        <f>IFERROR(IF(INDEX(使用レシピ!I:I,MATCH(テンプレート!$C107,使用レシピ!$E:$E,0))&lt;&gt;0,INDEX(使用レシピ!I:I,MATCH(テンプレート!$C107,使用レシピ!$E:$E,0)),""),"")</f>
        <v/>
      </c>
      <c r="H107" s="24" t="str">
        <f>IFERROR(IF(INDEX(使用レシピ!J:J,MATCH(テンプレート!$C107,使用レシピ!$E:$E,0))&lt;&gt;0,INDEX(使用レシピ!J:J,MATCH(テンプレート!$C107,使用レシピ!$E:$E,0)),""),"")</f>
        <v/>
      </c>
      <c r="I107" s="36" t="str">
        <f>IFERROR(IF(INDEX(使用レシピ!P:P,MATCH(テンプレート!$C107,使用レシピ!$E:$E,0))&lt;&gt;0,INDEX(使用レシピ!P:P,MATCH(テンプレート!$C107,使用レシピ!$E:$E,0)),""),"")</f>
        <v/>
      </c>
      <c r="J107" t="str">
        <f>IFERROR(IF(INDEX(使用レシピ!K:K,MATCH(テンプレート!$C107,使用レシピ!$E:$E,0))&lt;&gt;0,INDEX(使用レシピ!K:K,MATCH(テンプレート!$C107,使用レシピ!$E:$E,0)),""),"")</f>
        <v/>
      </c>
      <c r="K107" t="str">
        <f>IFERROR(IF(INDEX(使用レシピ!L:L,MATCH(テンプレート!$C107,使用レシピ!$E:$E,0))&lt;&gt;0,INDEX(使用レシピ!L:L,MATCH(テンプレート!$C107,使用レシピ!$E:$E,0)),""),"")</f>
        <v/>
      </c>
      <c r="L107" t="str">
        <f>IFERROR(IF(INDEX(使用レシピ!M:M,MATCH(テンプレート!$C107,使用レシピ!$E:$E,0))&lt;&gt;0,INDEX(使用レシピ!M:M,MATCH(テンプレート!$C107,使用レシピ!$E:$E,0)),""),"")</f>
        <v/>
      </c>
      <c r="M107" t="str">
        <f>IFERROR(IF(INDEX(使用レシピ!N:N,MATCH(テンプレート!$C107,使用レシピ!$E:$E,0))&lt;&gt;0,INDEX(使用レシピ!N:N,MATCH(テンプレート!$C107,使用レシピ!$E:$E,0)),""),"")</f>
        <v/>
      </c>
      <c r="N107" s="24" t="str">
        <f>IFERROR(IF(INDEX(使用レシピ!O:O,MATCH(テンプレート!$C107,使用レシピ!$E:$E,0))&lt;&gt;0,INDEX(使用レシピ!O:O,MATCH(テンプレート!$C107,使用レシピ!$E:$E,0)),""),"")</f>
        <v/>
      </c>
      <c r="O107" s="42" t="str">
        <f>IFERROR(IF(INDEX(使用レシピ!P:P,MATCH(テンプレート!$C107,使用レシピ!$E:$E,0))&lt;&gt;0,INDEX(使用レシピ!P:P,MATCH(テンプレート!$C107,使用レシピ!$E:$E,0)),""),"")</f>
        <v/>
      </c>
      <c r="P107" s="25" t="str">
        <f t="shared" si="10"/>
        <v/>
      </c>
      <c r="Q107" s="26" t="str">
        <f t="shared" si="11"/>
        <v/>
      </c>
      <c r="R107" s="26" t="str">
        <f t="shared" si="12"/>
        <v/>
      </c>
      <c r="S107" s="26" t="str">
        <f t="shared" si="13"/>
        <v/>
      </c>
      <c r="T107" s="43" t="str">
        <f t="shared" si="13"/>
        <v/>
      </c>
    </row>
    <row r="108" spans="1:20" x14ac:dyDescent="0.4">
      <c r="A108">
        <v>1213311</v>
      </c>
      <c r="B108" s="47" t="str" cm="1">
        <f t="array" ref="B108">IFERROR((INDEX($P$4:$T$1000,MATCH(VALUE(LEFT($A108,LEN($A108)-1)),$A$4:$A$1000,0),VALUE(RIGHT($A108,1)))/ INDEX($O$4:$O$1000,MATCH(VALUE(LEFT($A108,LEN($A108)-1)),$A$4:$A$1000))) * INDEX($B$4:$B$1000,MATCH(VALUE(LEFT($A108,LEN($A108)-1)),$A$4:$A$1000)),"")</f>
        <v/>
      </c>
      <c r="C108" s="38" t="str" cm="1">
        <f t="array" ref="C108">IFERROR(IF(INDEX($D$4:$H$1000,MATCH(VALUE(LEFT($A108,LEN($A108)-1)),$A$4:$A$1000,0),VALUE(RIGHT($A108,1)))= 0,"",INDEX($D$4:$H$1000,MATCH(VALUE(LEFT($A108,LEN($A108)-1)),$A$4:$A$1000,0),VALUE(RIGHT($A108,1)))),"")</f>
        <v/>
      </c>
      <c r="D108" s="23" t="str">
        <f>IFERROR(IF(INDEX(使用レシピ!F:F,MATCH(テンプレート!$C108,使用レシピ!$E:$E,0))&lt;&gt;0,INDEX(使用レシピ!F:F,MATCH(テンプレート!$C108,使用レシピ!$E:$E,0)),""),"")</f>
        <v/>
      </c>
      <c r="E108" t="str">
        <f>IFERROR(IF(INDEX(使用レシピ!G:G,MATCH(テンプレート!$C108,使用レシピ!$E:$E,0))&lt;&gt;0,INDEX(使用レシピ!G:G,MATCH(テンプレート!$C108,使用レシピ!$E:$E,0)),""),"")</f>
        <v/>
      </c>
      <c r="F108" t="str">
        <f>IFERROR(IF(INDEX(使用レシピ!H:H,MATCH(テンプレート!$C108,使用レシピ!$E:$E,0))&lt;&gt;0,INDEX(使用レシピ!H:H,MATCH(テンプレート!$C108,使用レシピ!$E:$E,0)),""),"")</f>
        <v/>
      </c>
      <c r="G108" t="str">
        <f>IFERROR(IF(INDEX(使用レシピ!I:I,MATCH(テンプレート!$C108,使用レシピ!$E:$E,0))&lt;&gt;0,INDEX(使用レシピ!I:I,MATCH(テンプレート!$C108,使用レシピ!$E:$E,0)),""),"")</f>
        <v/>
      </c>
      <c r="H108" s="24" t="str">
        <f>IFERROR(IF(INDEX(使用レシピ!J:J,MATCH(テンプレート!$C108,使用レシピ!$E:$E,0))&lt;&gt;0,INDEX(使用レシピ!J:J,MATCH(テンプレート!$C108,使用レシピ!$E:$E,0)),""),"")</f>
        <v/>
      </c>
      <c r="I108" s="36" t="str">
        <f>IFERROR(IF(INDEX(使用レシピ!P:P,MATCH(テンプレート!$C108,使用レシピ!$E:$E,0))&lt;&gt;0,INDEX(使用レシピ!P:P,MATCH(テンプレート!$C108,使用レシピ!$E:$E,0)),""),"")</f>
        <v/>
      </c>
      <c r="J108" t="str">
        <f>IFERROR(IF(INDEX(使用レシピ!K:K,MATCH(テンプレート!$C108,使用レシピ!$E:$E,0))&lt;&gt;0,INDEX(使用レシピ!K:K,MATCH(テンプレート!$C108,使用レシピ!$E:$E,0)),""),"")</f>
        <v/>
      </c>
      <c r="K108" t="str">
        <f>IFERROR(IF(INDEX(使用レシピ!L:L,MATCH(テンプレート!$C108,使用レシピ!$E:$E,0))&lt;&gt;0,INDEX(使用レシピ!L:L,MATCH(テンプレート!$C108,使用レシピ!$E:$E,0)),""),"")</f>
        <v/>
      </c>
      <c r="L108" t="str">
        <f>IFERROR(IF(INDEX(使用レシピ!M:M,MATCH(テンプレート!$C108,使用レシピ!$E:$E,0))&lt;&gt;0,INDEX(使用レシピ!M:M,MATCH(テンプレート!$C108,使用レシピ!$E:$E,0)),""),"")</f>
        <v/>
      </c>
      <c r="M108" t="str">
        <f>IFERROR(IF(INDEX(使用レシピ!N:N,MATCH(テンプレート!$C108,使用レシピ!$E:$E,0))&lt;&gt;0,INDEX(使用レシピ!N:N,MATCH(テンプレート!$C108,使用レシピ!$E:$E,0)),""),"")</f>
        <v/>
      </c>
      <c r="N108" s="24" t="str">
        <f>IFERROR(IF(INDEX(使用レシピ!O:O,MATCH(テンプレート!$C108,使用レシピ!$E:$E,0))&lt;&gt;0,INDEX(使用レシピ!O:O,MATCH(テンプレート!$C108,使用レシピ!$E:$E,0)),""),"")</f>
        <v/>
      </c>
      <c r="O108" s="42" t="str">
        <f>IFERROR(IF(INDEX(使用レシピ!P:P,MATCH(テンプレート!$C108,使用レシピ!$E:$E,0))&lt;&gt;0,INDEX(使用レシピ!P:P,MATCH(テンプレート!$C108,使用レシピ!$E:$E,0)),""),"")</f>
        <v/>
      </c>
      <c r="P108" s="25" t="str">
        <f t="shared" si="10"/>
        <v/>
      </c>
      <c r="Q108" s="26" t="str">
        <f t="shared" si="11"/>
        <v/>
      </c>
      <c r="R108" s="26" t="str">
        <f t="shared" si="12"/>
        <v/>
      </c>
      <c r="S108" s="26" t="str">
        <f t="shared" si="13"/>
        <v/>
      </c>
      <c r="T108" s="43" t="str">
        <f t="shared" si="13"/>
        <v/>
      </c>
    </row>
    <row r="109" spans="1:20" x14ac:dyDescent="0.4">
      <c r="A109">
        <v>1213312</v>
      </c>
      <c r="B109" s="47" t="str" cm="1">
        <f t="array" ref="B109">IFERROR((INDEX($P$4:$T$1000,MATCH(VALUE(LEFT($A109,LEN($A109)-1)),$A$4:$A$1000,0),VALUE(RIGHT($A109,1)))/ INDEX($O$4:$O$1000,MATCH(VALUE(LEFT($A109,LEN($A109)-1)),$A$4:$A$1000))) * INDEX($B$4:$B$1000,MATCH(VALUE(LEFT($A109,LEN($A109)-1)),$A$4:$A$1000)),"")</f>
        <v/>
      </c>
      <c r="C109" s="38" t="str" cm="1">
        <f t="array" ref="C109">IFERROR(IF(INDEX($D$4:$H$1000,MATCH(VALUE(LEFT($A109,LEN($A109)-1)),$A$4:$A$1000,0),VALUE(RIGHT($A109,1)))= 0,"",INDEX($D$4:$H$1000,MATCH(VALUE(LEFT($A109,LEN($A109)-1)),$A$4:$A$1000,0),VALUE(RIGHT($A109,1)))),"")</f>
        <v/>
      </c>
      <c r="D109" s="23" t="str">
        <f>IFERROR(IF(INDEX(使用レシピ!F:F,MATCH(テンプレート!$C109,使用レシピ!$E:$E,0))&lt;&gt;0,INDEX(使用レシピ!F:F,MATCH(テンプレート!$C109,使用レシピ!$E:$E,0)),""),"")</f>
        <v/>
      </c>
      <c r="E109" t="str">
        <f>IFERROR(IF(INDEX(使用レシピ!G:G,MATCH(テンプレート!$C109,使用レシピ!$E:$E,0))&lt;&gt;0,INDEX(使用レシピ!G:G,MATCH(テンプレート!$C109,使用レシピ!$E:$E,0)),""),"")</f>
        <v/>
      </c>
      <c r="F109" t="str">
        <f>IFERROR(IF(INDEX(使用レシピ!H:H,MATCH(テンプレート!$C109,使用レシピ!$E:$E,0))&lt;&gt;0,INDEX(使用レシピ!H:H,MATCH(テンプレート!$C109,使用レシピ!$E:$E,0)),""),"")</f>
        <v/>
      </c>
      <c r="G109" t="str">
        <f>IFERROR(IF(INDEX(使用レシピ!I:I,MATCH(テンプレート!$C109,使用レシピ!$E:$E,0))&lt;&gt;0,INDEX(使用レシピ!I:I,MATCH(テンプレート!$C109,使用レシピ!$E:$E,0)),""),"")</f>
        <v/>
      </c>
      <c r="H109" s="24" t="str">
        <f>IFERROR(IF(INDEX(使用レシピ!J:J,MATCH(テンプレート!$C109,使用レシピ!$E:$E,0))&lt;&gt;0,INDEX(使用レシピ!J:J,MATCH(テンプレート!$C109,使用レシピ!$E:$E,0)),""),"")</f>
        <v/>
      </c>
      <c r="I109" s="36" t="str">
        <f>IFERROR(IF(INDEX(使用レシピ!P:P,MATCH(テンプレート!$C109,使用レシピ!$E:$E,0))&lt;&gt;0,INDEX(使用レシピ!P:P,MATCH(テンプレート!$C109,使用レシピ!$E:$E,0)),""),"")</f>
        <v/>
      </c>
      <c r="J109" t="str">
        <f>IFERROR(IF(INDEX(使用レシピ!K:K,MATCH(テンプレート!$C109,使用レシピ!$E:$E,0))&lt;&gt;0,INDEX(使用レシピ!K:K,MATCH(テンプレート!$C109,使用レシピ!$E:$E,0)),""),"")</f>
        <v/>
      </c>
      <c r="K109" t="str">
        <f>IFERROR(IF(INDEX(使用レシピ!L:L,MATCH(テンプレート!$C109,使用レシピ!$E:$E,0))&lt;&gt;0,INDEX(使用レシピ!L:L,MATCH(テンプレート!$C109,使用レシピ!$E:$E,0)),""),"")</f>
        <v/>
      </c>
      <c r="L109" t="str">
        <f>IFERROR(IF(INDEX(使用レシピ!M:M,MATCH(テンプレート!$C109,使用レシピ!$E:$E,0))&lt;&gt;0,INDEX(使用レシピ!M:M,MATCH(テンプレート!$C109,使用レシピ!$E:$E,0)),""),"")</f>
        <v/>
      </c>
      <c r="M109" t="str">
        <f>IFERROR(IF(INDEX(使用レシピ!N:N,MATCH(テンプレート!$C109,使用レシピ!$E:$E,0))&lt;&gt;0,INDEX(使用レシピ!N:N,MATCH(テンプレート!$C109,使用レシピ!$E:$E,0)),""),"")</f>
        <v/>
      </c>
      <c r="N109" s="24" t="str">
        <f>IFERROR(IF(INDEX(使用レシピ!O:O,MATCH(テンプレート!$C109,使用レシピ!$E:$E,0))&lt;&gt;0,INDEX(使用レシピ!O:O,MATCH(テンプレート!$C109,使用レシピ!$E:$E,0)),""),"")</f>
        <v/>
      </c>
      <c r="O109" s="42" t="str">
        <f>IFERROR(IF(INDEX(使用レシピ!P:P,MATCH(テンプレート!$C109,使用レシピ!$E:$E,0))&lt;&gt;0,INDEX(使用レシピ!P:P,MATCH(テンプレート!$C109,使用レシピ!$E:$E,0)),""),"")</f>
        <v/>
      </c>
      <c r="P109" s="25" t="str">
        <f t="shared" si="10"/>
        <v/>
      </c>
      <c r="Q109" s="26" t="str">
        <f t="shared" si="11"/>
        <v/>
      </c>
      <c r="R109" s="26" t="str">
        <f t="shared" si="12"/>
        <v/>
      </c>
      <c r="S109" s="26" t="str">
        <f t="shared" si="13"/>
        <v/>
      </c>
      <c r="T109" s="43" t="str">
        <f t="shared" si="13"/>
        <v/>
      </c>
    </row>
    <row r="110" spans="1:20" x14ac:dyDescent="0.4">
      <c r="A110">
        <v>1221111</v>
      </c>
      <c r="B110" s="47" t="str" cm="1">
        <f t="array" ref="B110">IFERROR((INDEX($P$4:$T$1000,MATCH(VALUE(LEFT($A110,LEN($A110)-1)),$A$4:$A$1000,0),VALUE(RIGHT($A110,1)))/ INDEX($O$4:$O$1000,MATCH(VALUE(LEFT($A110,LEN($A110)-1)),$A$4:$A$1000))) * INDEX($B$4:$B$1000,MATCH(VALUE(LEFT($A110,LEN($A110)-1)),$A$4:$A$1000)),"")</f>
        <v/>
      </c>
      <c r="C110" s="38" t="str" cm="1">
        <f t="array" ref="C110">IFERROR(IF(INDEX($D$4:$H$1000,MATCH(VALUE(LEFT($A110,LEN($A110)-1)),$A$4:$A$1000,0),VALUE(RIGHT($A110,1)))= 0,"",INDEX($D$4:$H$1000,MATCH(VALUE(LEFT($A110,LEN($A110)-1)),$A$4:$A$1000,0),VALUE(RIGHT($A110,1)))),"")</f>
        <v/>
      </c>
      <c r="D110" s="23" t="str">
        <f>IFERROR(IF(INDEX(使用レシピ!F:F,MATCH(テンプレート!$C110,使用レシピ!$E:$E,0))&lt;&gt;0,INDEX(使用レシピ!F:F,MATCH(テンプレート!$C110,使用レシピ!$E:$E,0)),""),"")</f>
        <v/>
      </c>
      <c r="E110" t="str">
        <f>IFERROR(IF(INDEX(使用レシピ!G:G,MATCH(テンプレート!$C110,使用レシピ!$E:$E,0))&lt;&gt;0,INDEX(使用レシピ!G:G,MATCH(テンプレート!$C110,使用レシピ!$E:$E,0)),""),"")</f>
        <v/>
      </c>
      <c r="F110" t="str">
        <f>IFERROR(IF(INDEX(使用レシピ!H:H,MATCH(テンプレート!$C110,使用レシピ!$E:$E,0))&lt;&gt;0,INDEX(使用レシピ!H:H,MATCH(テンプレート!$C110,使用レシピ!$E:$E,0)),""),"")</f>
        <v/>
      </c>
      <c r="G110" t="str">
        <f>IFERROR(IF(INDEX(使用レシピ!I:I,MATCH(テンプレート!$C110,使用レシピ!$E:$E,0))&lt;&gt;0,INDEX(使用レシピ!I:I,MATCH(テンプレート!$C110,使用レシピ!$E:$E,0)),""),"")</f>
        <v/>
      </c>
      <c r="H110" s="24" t="str">
        <f>IFERROR(IF(INDEX(使用レシピ!J:J,MATCH(テンプレート!$C110,使用レシピ!$E:$E,0))&lt;&gt;0,INDEX(使用レシピ!J:J,MATCH(テンプレート!$C110,使用レシピ!$E:$E,0)),""),"")</f>
        <v/>
      </c>
      <c r="I110" s="36" t="str">
        <f>IFERROR(IF(INDEX(使用レシピ!P:P,MATCH(テンプレート!$C110,使用レシピ!$E:$E,0))&lt;&gt;0,INDEX(使用レシピ!P:P,MATCH(テンプレート!$C110,使用レシピ!$E:$E,0)),""),"")</f>
        <v/>
      </c>
      <c r="J110" t="str">
        <f>IFERROR(IF(INDEX(使用レシピ!K:K,MATCH(テンプレート!$C110,使用レシピ!$E:$E,0))&lt;&gt;0,INDEX(使用レシピ!K:K,MATCH(テンプレート!$C110,使用レシピ!$E:$E,0)),""),"")</f>
        <v/>
      </c>
      <c r="K110" t="str">
        <f>IFERROR(IF(INDEX(使用レシピ!L:L,MATCH(テンプレート!$C110,使用レシピ!$E:$E,0))&lt;&gt;0,INDEX(使用レシピ!L:L,MATCH(テンプレート!$C110,使用レシピ!$E:$E,0)),""),"")</f>
        <v/>
      </c>
      <c r="L110" t="str">
        <f>IFERROR(IF(INDEX(使用レシピ!M:M,MATCH(テンプレート!$C110,使用レシピ!$E:$E,0))&lt;&gt;0,INDEX(使用レシピ!M:M,MATCH(テンプレート!$C110,使用レシピ!$E:$E,0)),""),"")</f>
        <v/>
      </c>
      <c r="M110" t="str">
        <f>IFERROR(IF(INDEX(使用レシピ!N:N,MATCH(テンプレート!$C110,使用レシピ!$E:$E,0))&lt;&gt;0,INDEX(使用レシピ!N:N,MATCH(テンプレート!$C110,使用レシピ!$E:$E,0)),""),"")</f>
        <v/>
      </c>
      <c r="N110" s="24" t="str">
        <f>IFERROR(IF(INDEX(使用レシピ!O:O,MATCH(テンプレート!$C110,使用レシピ!$E:$E,0))&lt;&gt;0,INDEX(使用レシピ!O:O,MATCH(テンプレート!$C110,使用レシピ!$E:$E,0)),""),"")</f>
        <v/>
      </c>
      <c r="O110" s="42" t="str">
        <f>IFERROR(IF(INDEX(使用レシピ!P:P,MATCH(テンプレート!$C110,使用レシピ!$E:$E,0))&lt;&gt;0,INDEX(使用レシピ!P:P,MATCH(テンプレート!$C110,使用レシピ!$E:$E,0)),""),"")</f>
        <v/>
      </c>
      <c r="P110" s="25" t="str">
        <f t="shared" si="10"/>
        <v/>
      </c>
      <c r="Q110" s="26" t="str">
        <f t="shared" si="11"/>
        <v/>
      </c>
      <c r="R110" s="26" t="str">
        <f t="shared" si="12"/>
        <v/>
      </c>
      <c r="S110" s="26" t="str">
        <f t="shared" si="13"/>
        <v/>
      </c>
      <c r="T110" s="43" t="str">
        <f t="shared" si="13"/>
        <v/>
      </c>
    </row>
    <row r="111" spans="1:20" x14ac:dyDescent="0.4">
      <c r="A111">
        <v>1221112</v>
      </c>
      <c r="B111" s="47" t="str" cm="1">
        <f t="array" ref="B111">IFERROR((INDEX($P$4:$T$1000,MATCH(VALUE(LEFT($A111,LEN($A111)-1)),$A$4:$A$1000,0),VALUE(RIGHT($A111,1)))/ INDEX($O$4:$O$1000,MATCH(VALUE(LEFT($A111,LEN($A111)-1)),$A$4:$A$1000))) * INDEX($B$4:$B$1000,MATCH(VALUE(LEFT($A111,LEN($A111)-1)),$A$4:$A$1000)),"")</f>
        <v/>
      </c>
      <c r="C111" s="38" t="str" cm="1">
        <f t="array" ref="C111">IFERROR(IF(INDEX($D$4:$H$1000,MATCH(VALUE(LEFT($A111,LEN($A111)-1)),$A$4:$A$1000,0),VALUE(RIGHT($A111,1)))= 0,"",INDEX($D$4:$H$1000,MATCH(VALUE(LEFT($A111,LEN($A111)-1)),$A$4:$A$1000,0),VALUE(RIGHT($A111,1)))),"")</f>
        <v/>
      </c>
      <c r="D111" s="23" t="str">
        <f>IFERROR(IF(INDEX(使用レシピ!F:F,MATCH(テンプレート!$C111,使用レシピ!$E:$E,0))&lt;&gt;0,INDEX(使用レシピ!F:F,MATCH(テンプレート!$C111,使用レシピ!$E:$E,0)),""),"")</f>
        <v/>
      </c>
      <c r="E111" t="str">
        <f>IFERROR(IF(INDEX(使用レシピ!G:G,MATCH(テンプレート!$C111,使用レシピ!$E:$E,0))&lt;&gt;0,INDEX(使用レシピ!G:G,MATCH(テンプレート!$C111,使用レシピ!$E:$E,0)),""),"")</f>
        <v/>
      </c>
      <c r="F111" t="str">
        <f>IFERROR(IF(INDEX(使用レシピ!H:H,MATCH(テンプレート!$C111,使用レシピ!$E:$E,0))&lt;&gt;0,INDEX(使用レシピ!H:H,MATCH(テンプレート!$C111,使用レシピ!$E:$E,0)),""),"")</f>
        <v/>
      </c>
      <c r="G111" t="str">
        <f>IFERROR(IF(INDEX(使用レシピ!I:I,MATCH(テンプレート!$C111,使用レシピ!$E:$E,0))&lt;&gt;0,INDEX(使用レシピ!I:I,MATCH(テンプレート!$C111,使用レシピ!$E:$E,0)),""),"")</f>
        <v/>
      </c>
      <c r="H111" s="24" t="str">
        <f>IFERROR(IF(INDEX(使用レシピ!J:J,MATCH(テンプレート!$C111,使用レシピ!$E:$E,0))&lt;&gt;0,INDEX(使用レシピ!J:J,MATCH(テンプレート!$C111,使用レシピ!$E:$E,0)),""),"")</f>
        <v/>
      </c>
      <c r="I111" s="36" t="str">
        <f>IFERROR(IF(INDEX(使用レシピ!P:P,MATCH(テンプレート!$C111,使用レシピ!$E:$E,0))&lt;&gt;0,INDEX(使用レシピ!P:P,MATCH(テンプレート!$C111,使用レシピ!$E:$E,0)),""),"")</f>
        <v/>
      </c>
      <c r="J111" t="str">
        <f>IFERROR(IF(INDEX(使用レシピ!K:K,MATCH(テンプレート!$C111,使用レシピ!$E:$E,0))&lt;&gt;0,INDEX(使用レシピ!K:K,MATCH(テンプレート!$C111,使用レシピ!$E:$E,0)),""),"")</f>
        <v/>
      </c>
      <c r="K111" t="str">
        <f>IFERROR(IF(INDEX(使用レシピ!L:L,MATCH(テンプレート!$C111,使用レシピ!$E:$E,0))&lt;&gt;0,INDEX(使用レシピ!L:L,MATCH(テンプレート!$C111,使用レシピ!$E:$E,0)),""),"")</f>
        <v/>
      </c>
      <c r="L111" t="str">
        <f>IFERROR(IF(INDEX(使用レシピ!M:M,MATCH(テンプレート!$C111,使用レシピ!$E:$E,0))&lt;&gt;0,INDEX(使用レシピ!M:M,MATCH(テンプレート!$C111,使用レシピ!$E:$E,0)),""),"")</f>
        <v/>
      </c>
      <c r="M111" t="str">
        <f>IFERROR(IF(INDEX(使用レシピ!N:N,MATCH(テンプレート!$C111,使用レシピ!$E:$E,0))&lt;&gt;0,INDEX(使用レシピ!N:N,MATCH(テンプレート!$C111,使用レシピ!$E:$E,0)),""),"")</f>
        <v/>
      </c>
      <c r="N111" s="24" t="str">
        <f>IFERROR(IF(INDEX(使用レシピ!O:O,MATCH(テンプレート!$C111,使用レシピ!$E:$E,0))&lt;&gt;0,INDEX(使用レシピ!O:O,MATCH(テンプレート!$C111,使用レシピ!$E:$E,0)),""),"")</f>
        <v/>
      </c>
      <c r="O111" s="42" t="str">
        <f>IFERROR(IF(INDEX(使用レシピ!P:P,MATCH(テンプレート!$C111,使用レシピ!$E:$E,0))&lt;&gt;0,INDEX(使用レシピ!P:P,MATCH(テンプレート!$C111,使用レシピ!$E:$E,0)),""),"")</f>
        <v/>
      </c>
      <c r="P111" s="25" t="str">
        <f t="shared" si="10"/>
        <v/>
      </c>
      <c r="Q111" s="26" t="str">
        <f t="shared" si="11"/>
        <v/>
      </c>
      <c r="R111" s="26" t="str">
        <f t="shared" si="12"/>
        <v/>
      </c>
      <c r="S111" s="26" t="str">
        <f t="shared" si="13"/>
        <v/>
      </c>
      <c r="T111" s="43" t="str">
        <f t="shared" si="13"/>
        <v/>
      </c>
    </row>
    <row r="112" spans="1:20" x14ac:dyDescent="0.4">
      <c r="A112">
        <v>1222211</v>
      </c>
      <c r="B112" s="47" t="str" cm="1">
        <f t="array" ref="B112">IFERROR((INDEX($P$4:$T$1000,MATCH(VALUE(LEFT($A112,LEN($A112)-1)),$A$4:$A$1000,0),VALUE(RIGHT($A112,1)))/ INDEX($O$4:$O$1000,MATCH(VALUE(LEFT($A112,LEN($A112)-1)),$A$4:$A$1000))) * INDEX($B$4:$B$1000,MATCH(VALUE(LEFT($A112,LEN($A112)-1)),$A$4:$A$1000)),"")</f>
        <v/>
      </c>
      <c r="C112" s="38" t="str" cm="1">
        <f t="array" ref="C112">IFERROR(IF(INDEX($D$4:$H$1000,MATCH(VALUE(LEFT($A112,LEN($A112)-1)),$A$4:$A$1000,0),VALUE(RIGHT($A112,1)))= 0,"",INDEX($D$4:$H$1000,MATCH(VALUE(LEFT($A112,LEN($A112)-1)),$A$4:$A$1000,0),VALUE(RIGHT($A112,1)))),"")</f>
        <v/>
      </c>
      <c r="D112" s="23" t="str">
        <f>IFERROR(IF(INDEX(使用レシピ!F:F,MATCH(テンプレート!$C112,使用レシピ!$E:$E,0))&lt;&gt;0,INDEX(使用レシピ!F:F,MATCH(テンプレート!$C112,使用レシピ!$E:$E,0)),""),"")</f>
        <v/>
      </c>
      <c r="E112" t="str">
        <f>IFERROR(IF(INDEX(使用レシピ!G:G,MATCH(テンプレート!$C112,使用レシピ!$E:$E,0))&lt;&gt;0,INDEX(使用レシピ!G:G,MATCH(テンプレート!$C112,使用レシピ!$E:$E,0)),""),"")</f>
        <v/>
      </c>
      <c r="F112" t="str">
        <f>IFERROR(IF(INDEX(使用レシピ!H:H,MATCH(テンプレート!$C112,使用レシピ!$E:$E,0))&lt;&gt;0,INDEX(使用レシピ!H:H,MATCH(テンプレート!$C112,使用レシピ!$E:$E,0)),""),"")</f>
        <v/>
      </c>
      <c r="G112" t="str">
        <f>IFERROR(IF(INDEX(使用レシピ!I:I,MATCH(テンプレート!$C112,使用レシピ!$E:$E,0))&lt;&gt;0,INDEX(使用レシピ!I:I,MATCH(テンプレート!$C112,使用レシピ!$E:$E,0)),""),"")</f>
        <v/>
      </c>
      <c r="H112" s="24" t="str">
        <f>IFERROR(IF(INDEX(使用レシピ!J:J,MATCH(テンプレート!$C112,使用レシピ!$E:$E,0))&lt;&gt;0,INDEX(使用レシピ!J:J,MATCH(テンプレート!$C112,使用レシピ!$E:$E,0)),""),"")</f>
        <v/>
      </c>
      <c r="I112" s="36" t="str">
        <f>IFERROR(IF(INDEX(使用レシピ!P:P,MATCH(テンプレート!$C112,使用レシピ!$E:$E,0))&lt;&gt;0,INDEX(使用レシピ!P:P,MATCH(テンプレート!$C112,使用レシピ!$E:$E,0)),""),"")</f>
        <v/>
      </c>
      <c r="J112" t="str">
        <f>IFERROR(IF(INDEX(使用レシピ!K:K,MATCH(テンプレート!$C112,使用レシピ!$E:$E,0))&lt;&gt;0,INDEX(使用レシピ!K:K,MATCH(テンプレート!$C112,使用レシピ!$E:$E,0)),""),"")</f>
        <v/>
      </c>
      <c r="K112" t="str">
        <f>IFERROR(IF(INDEX(使用レシピ!L:L,MATCH(テンプレート!$C112,使用レシピ!$E:$E,0))&lt;&gt;0,INDEX(使用レシピ!L:L,MATCH(テンプレート!$C112,使用レシピ!$E:$E,0)),""),"")</f>
        <v/>
      </c>
      <c r="L112" t="str">
        <f>IFERROR(IF(INDEX(使用レシピ!M:M,MATCH(テンプレート!$C112,使用レシピ!$E:$E,0))&lt;&gt;0,INDEX(使用レシピ!M:M,MATCH(テンプレート!$C112,使用レシピ!$E:$E,0)),""),"")</f>
        <v/>
      </c>
      <c r="M112" t="str">
        <f>IFERROR(IF(INDEX(使用レシピ!N:N,MATCH(テンプレート!$C112,使用レシピ!$E:$E,0))&lt;&gt;0,INDEX(使用レシピ!N:N,MATCH(テンプレート!$C112,使用レシピ!$E:$E,0)),""),"")</f>
        <v/>
      </c>
      <c r="N112" s="24" t="str">
        <f>IFERROR(IF(INDEX(使用レシピ!O:O,MATCH(テンプレート!$C112,使用レシピ!$E:$E,0))&lt;&gt;0,INDEX(使用レシピ!O:O,MATCH(テンプレート!$C112,使用レシピ!$E:$E,0)),""),"")</f>
        <v/>
      </c>
      <c r="O112" s="42" t="str">
        <f>IFERROR(IF(INDEX(使用レシピ!P:P,MATCH(テンプレート!$C112,使用レシピ!$E:$E,0))&lt;&gt;0,INDEX(使用レシピ!P:P,MATCH(テンプレート!$C112,使用レシピ!$E:$E,0)),""),"")</f>
        <v/>
      </c>
      <c r="P112" s="25" t="str">
        <f t="shared" si="10"/>
        <v/>
      </c>
      <c r="Q112" s="26" t="str">
        <f t="shared" si="11"/>
        <v/>
      </c>
      <c r="R112" s="26" t="str">
        <f t="shared" si="12"/>
        <v/>
      </c>
      <c r="S112" s="26" t="str">
        <f t="shared" si="13"/>
        <v/>
      </c>
      <c r="T112" s="43" t="str">
        <f t="shared" si="13"/>
        <v/>
      </c>
    </row>
    <row r="113" spans="1:20" x14ac:dyDescent="0.4">
      <c r="A113">
        <v>1222311</v>
      </c>
      <c r="B113" s="47" t="str" cm="1">
        <f t="array" ref="B113">IFERROR((INDEX($P$4:$T$1000,MATCH(VALUE(LEFT($A113,LEN($A113)-1)),$A$4:$A$1000,0),VALUE(RIGHT($A113,1)))/ INDEX($O$4:$O$1000,MATCH(VALUE(LEFT($A113,LEN($A113)-1)),$A$4:$A$1000))) * INDEX($B$4:$B$1000,MATCH(VALUE(LEFT($A113,LEN($A113)-1)),$A$4:$A$1000)),"")</f>
        <v/>
      </c>
      <c r="C113" s="38" t="str" cm="1">
        <f t="array" ref="C113">IFERROR(IF(INDEX($D$4:$H$1000,MATCH(VALUE(LEFT($A113,LEN($A113)-1)),$A$4:$A$1000,0),VALUE(RIGHT($A113,1)))= 0,"",INDEX($D$4:$H$1000,MATCH(VALUE(LEFT($A113,LEN($A113)-1)),$A$4:$A$1000,0),VALUE(RIGHT($A113,1)))),"")</f>
        <v/>
      </c>
      <c r="D113" s="23" t="str">
        <f>IFERROR(IF(INDEX(使用レシピ!F:F,MATCH(テンプレート!$C113,使用レシピ!$E:$E,0))&lt;&gt;0,INDEX(使用レシピ!F:F,MATCH(テンプレート!$C113,使用レシピ!$E:$E,0)),""),"")</f>
        <v/>
      </c>
      <c r="E113" t="str">
        <f>IFERROR(IF(INDEX(使用レシピ!G:G,MATCH(テンプレート!$C113,使用レシピ!$E:$E,0))&lt;&gt;0,INDEX(使用レシピ!G:G,MATCH(テンプレート!$C113,使用レシピ!$E:$E,0)),""),"")</f>
        <v/>
      </c>
      <c r="F113" t="str">
        <f>IFERROR(IF(INDEX(使用レシピ!H:H,MATCH(テンプレート!$C113,使用レシピ!$E:$E,0))&lt;&gt;0,INDEX(使用レシピ!H:H,MATCH(テンプレート!$C113,使用レシピ!$E:$E,0)),""),"")</f>
        <v/>
      </c>
      <c r="G113" t="str">
        <f>IFERROR(IF(INDEX(使用レシピ!I:I,MATCH(テンプレート!$C113,使用レシピ!$E:$E,0))&lt;&gt;0,INDEX(使用レシピ!I:I,MATCH(テンプレート!$C113,使用レシピ!$E:$E,0)),""),"")</f>
        <v/>
      </c>
      <c r="H113" s="24" t="str">
        <f>IFERROR(IF(INDEX(使用レシピ!J:J,MATCH(テンプレート!$C113,使用レシピ!$E:$E,0))&lt;&gt;0,INDEX(使用レシピ!J:J,MATCH(テンプレート!$C113,使用レシピ!$E:$E,0)),""),"")</f>
        <v/>
      </c>
      <c r="I113" s="36" t="str">
        <f>IFERROR(IF(INDEX(使用レシピ!P:P,MATCH(テンプレート!$C113,使用レシピ!$E:$E,0))&lt;&gt;0,INDEX(使用レシピ!P:P,MATCH(テンプレート!$C113,使用レシピ!$E:$E,0)),""),"")</f>
        <v/>
      </c>
      <c r="J113" t="str">
        <f>IFERROR(IF(INDEX(使用レシピ!K:K,MATCH(テンプレート!$C113,使用レシピ!$E:$E,0))&lt;&gt;0,INDEX(使用レシピ!K:K,MATCH(テンプレート!$C113,使用レシピ!$E:$E,0)),""),"")</f>
        <v/>
      </c>
      <c r="K113" t="str">
        <f>IFERROR(IF(INDEX(使用レシピ!L:L,MATCH(テンプレート!$C113,使用レシピ!$E:$E,0))&lt;&gt;0,INDEX(使用レシピ!L:L,MATCH(テンプレート!$C113,使用レシピ!$E:$E,0)),""),"")</f>
        <v/>
      </c>
      <c r="L113" t="str">
        <f>IFERROR(IF(INDEX(使用レシピ!M:M,MATCH(テンプレート!$C113,使用レシピ!$E:$E,0))&lt;&gt;0,INDEX(使用レシピ!M:M,MATCH(テンプレート!$C113,使用レシピ!$E:$E,0)),""),"")</f>
        <v/>
      </c>
      <c r="M113" t="str">
        <f>IFERROR(IF(INDEX(使用レシピ!N:N,MATCH(テンプレート!$C113,使用レシピ!$E:$E,0))&lt;&gt;0,INDEX(使用レシピ!N:N,MATCH(テンプレート!$C113,使用レシピ!$E:$E,0)),""),"")</f>
        <v/>
      </c>
      <c r="N113" s="24" t="str">
        <f>IFERROR(IF(INDEX(使用レシピ!O:O,MATCH(テンプレート!$C113,使用レシピ!$E:$E,0))&lt;&gt;0,INDEX(使用レシピ!O:O,MATCH(テンプレート!$C113,使用レシピ!$E:$E,0)),""),"")</f>
        <v/>
      </c>
      <c r="O113" s="42" t="str">
        <f>IFERROR(IF(INDEX(使用レシピ!P:P,MATCH(テンプレート!$C113,使用レシピ!$E:$E,0))&lt;&gt;0,INDEX(使用レシピ!P:P,MATCH(テンプレート!$C113,使用レシピ!$E:$E,0)),""),"")</f>
        <v/>
      </c>
      <c r="P113" s="25" t="str">
        <f t="shared" si="10"/>
        <v/>
      </c>
      <c r="Q113" s="26" t="str">
        <f t="shared" si="11"/>
        <v/>
      </c>
      <c r="R113" s="26" t="str">
        <f t="shared" si="12"/>
        <v/>
      </c>
      <c r="S113" s="26" t="str">
        <f t="shared" si="13"/>
        <v/>
      </c>
      <c r="T113" s="43" t="str">
        <f t="shared" si="13"/>
        <v/>
      </c>
    </row>
    <row r="114" spans="1:20" x14ac:dyDescent="0.4">
      <c r="A114">
        <v>1222321</v>
      </c>
      <c r="B114" s="47" t="str" cm="1">
        <f t="array" ref="B114">IFERROR((INDEX($P$4:$T$1000,MATCH(VALUE(LEFT($A114,LEN($A114)-1)),$A$4:$A$1000,0),VALUE(RIGHT($A114,1)))/ INDEX($O$4:$O$1000,MATCH(VALUE(LEFT($A114,LEN($A114)-1)),$A$4:$A$1000))) * INDEX($B$4:$B$1000,MATCH(VALUE(LEFT($A114,LEN($A114)-1)),$A$4:$A$1000)),"")</f>
        <v/>
      </c>
      <c r="C114" s="38" t="str" cm="1">
        <f t="array" ref="C114">IFERROR(IF(INDEX($D$4:$H$1000,MATCH(VALUE(LEFT($A114,LEN($A114)-1)),$A$4:$A$1000,0),VALUE(RIGHT($A114,1)))= 0,"",INDEX($D$4:$H$1000,MATCH(VALUE(LEFT($A114,LEN($A114)-1)),$A$4:$A$1000,0),VALUE(RIGHT($A114,1)))),"")</f>
        <v/>
      </c>
      <c r="D114" s="23" t="str">
        <f>IFERROR(IF(INDEX(使用レシピ!F:F,MATCH(テンプレート!$C114,使用レシピ!$E:$E,0))&lt;&gt;0,INDEX(使用レシピ!F:F,MATCH(テンプレート!$C114,使用レシピ!$E:$E,0)),""),"")</f>
        <v/>
      </c>
      <c r="E114" t="str">
        <f>IFERROR(IF(INDEX(使用レシピ!G:G,MATCH(テンプレート!$C114,使用レシピ!$E:$E,0))&lt;&gt;0,INDEX(使用レシピ!G:G,MATCH(テンプレート!$C114,使用レシピ!$E:$E,0)),""),"")</f>
        <v/>
      </c>
      <c r="F114" t="str">
        <f>IFERROR(IF(INDEX(使用レシピ!H:H,MATCH(テンプレート!$C114,使用レシピ!$E:$E,0))&lt;&gt;0,INDEX(使用レシピ!H:H,MATCH(テンプレート!$C114,使用レシピ!$E:$E,0)),""),"")</f>
        <v/>
      </c>
      <c r="G114" t="str">
        <f>IFERROR(IF(INDEX(使用レシピ!I:I,MATCH(テンプレート!$C114,使用レシピ!$E:$E,0))&lt;&gt;0,INDEX(使用レシピ!I:I,MATCH(テンプレート!$C114,使用レシピ!$E:$E,0)),""),"")</f>
        <v/>
      </c>
      <c r="H114" s="24" t="str">
        <f>IFERROR(IF(INDEX(使用レシピ!J:J,MATCH(テンプレート!$C114,使用レシピ!$E:$E,0))&lt;&gt;0,INDEX(使用レシピ!J:J,MATCH(テンプレート!$C114,使用レシピ!$E:$E,0)),""),"")</f>
        <v/>
      </c>
      <c r="I114" s="36" t="str">
        <f>IFERROR(IF(INDEX(使用レシピ!P:P,MATCH(テンプレート!$C114,使用レシピ!$E:$E,0))&lt;&gt;0,INDEX(使用レシピ!P:P,MATCH(テンプレート!$C114,使用レシピ!$E:$E,0)),""),"")</f>
        <v/>
      </c>
      <c r="J114" t="str">
        <f>IFERROR(IF(INDEX(使用レシピ!K:K,MATCH(テンプレート!$C114,使用レシピ!$E:$E,0))&lt;&gt;0,INDEX(使用レシピ!K:K,MATCH(テンプレート!$C114,使用レシピ!$E:$E,0)),""),"")</f>
        <v/>
      </c>
      <c r="K114" t="str">
        <f>IFERROR(IF(INDEX(使用レシピ!L:L,MATCH(テンプレート!$C114,使用レシピ!$E:$E,0))&lt;&gt;0,INDEX(使用レシピ!L:L,MATCH(テンプレート!$C114,使用レシピ!$E:$E,0)),""),"")</f>
        <v/>
      </c>
      <c r="L114" t="str">
        <f>IFERROR(IF(INDEX(使用レシピ!M:M,MATCH(テンプレート!$C114,使用レシピ!$E:$E,0))&lt;&gt;0,INDEX(使用レシピ!M:M,MATCH(テンプレート!$C114,使用レシピ!$E:$E,0)),""),"")</f>
        <v/>
      </c>
      <c r="M114" t="str">
        <f>IFERROR(IF(INDEX(使用レシピ!N:N,MATCH(テンプレート!$C114,使用レシピ!$E:$E,0))&lt;&gt;0,INDEX(使用レシピ!N:N,MATCH(テンプレート!$C114,使用レシピ!$E:$E,0)),""),"")</f>
        <v/>
      </c>
      <c r="N114" s="24" t="str">
        <f>IFERROR(IF(INDEX(使用レシピ!O:O,MATCH(テンプレート!$C114,使用レシピ!$E:$E,0))&lt;&gt;0,INDEX(使用レシピ!O:O,MATCH(テンプレート!$C114,使用レシピ!$E:$E,0)),""),"")</f>
        <v/>
      </c>
      <c r="O114" s="42" t="str">
        <f>IFERROR(IF(INDEX(使用レシピ!P:P,MATCH(テンプレート!$C114,使用レシピ!$E:$E,0))&lt;&gt;0,INDEX(使用レシピ!P:P,MATCH(テンプレート!$C114,使用レシピ!$E:$E,0)),""),"")</f>
        <v/>
      </c>
      <c r="P114" s="25" t="str">
        <f t="shared" si="10"/>
        <v/>
      </c>
      <c r="Q114" s="26" t="str">
        <f t="shared" si="11"/>
        <v/>
      </c>
      <c r="R114" s="26" t="str">
        <f t="shared" si="12"/>
        <v/>
      </c>
      <c r="S114" s="26" t="str">
        <f t="shared" si="13"/>
        <v/>
      </c>
      <c r="T114" s="43" t="str">
        <f t="shared" si="13"/>
        <v/>
      </c>
    </row>
    <row r="115" spans="1:20" x14ac:dyDescent="0.4">
      <c r="A115">
        <v>1223111</v>
      </c>
      <c r="B115" s="47" t="str" cm="1">
        <f t="array" ref="B115">IFERROR((INDEX($P$4:$T$1000,MATCH(VALUE(LEFT($A115,LEN($A115)-1)),$A$4:$A$1000,0),VALUE(RIGHT($A115,1)))/ INDEX($O$4:$O$1000,MATCH(VALUE(LEFT($A115,LEN($A115)-1)),$A$4:$A$1000))) * INDEX($B$4:$B$1000,MATCH(VALUE(LEFT($A115,LEN($A115)-1)),$A$4:$A$1000)),"")</f>
        <v/>
      </c>
      <c r="C115" s="38" t="str" cm="1">
        <f t="array" ref="C115">IFERROR(IF(INDEX($D$4:$H$1000,MATCH(VALUE(LEFT($A115,LEN($A115)-1)),$A$4:$A$1000,0),VALUE(RIGHT($A115,1)))= 0,"",INDEX($D$4:$H$1000,MATCH(VALUE(LEFT($A115,LEN($A115)-1)),$A$4:$A$1000,0),VALUE(RIGHT($A115,1)))),"")</f>
        <v/>
      </c>
      <c r="D115" s="23" t="str">
        <f>IFERROR(IF(INDEX(使用レシピ!F:F,MATCH(テンプレート!$C115,使用レシピ!$E:$E,0))&lt;&gt;0,INDEX(使用レシピ!F:F,MATCH(テンプレート!$C115,使用レシピ!$E:$E,0)),""),"")</f>
        <v/>
      </c>
      <c r="E115" t="str">
        <f>IFERROR(IF(INDEX(使用レシピ!G:G,MATCH(テンプレート!$C115,使用レシピ!$E:$E,0))&lt;&gt;0,INDEX(使用レシピ!G:G,MATCH(テンプレート!$C115,使用レシピ!$E:$E,0)),""),"")</f>
        <v/>
      </c>
      <c r="F115" t="str">
        <f>IFERROR(IF(INDEX(使用レシピ!H:H,MATCH(テンプレート!$C115,使用レシピ!$E:$E,0))&lt;&gt;0,INDEX(使用レシピ!H:H,MATCH(テンプレート!$C115,使用レシピ!$E:$E,0)),""),"")</f>
        <v/>
      </c>
      <c r="G115" t="str">
        <f>IFERROR(IF(INDEX(使用レシピ!I:I,MATCH(テンプレート!$C115,使用レシピ!$E:$E,0))&lt;&gt;0,INDEX(使用レシピ!I:I,MATCH(テンプレート!$C115,使用レシピ!$E:$E,0)),""),"")</f>
        <v/>
      </c>
      <c r="H115" s="24" t="str">
        <f>IFERROR(IF(INDEX(使用レシピ!J:J,MATCH(テンプレート!$C115,使用レシピ!$E:$E,0))&lt;&gt;0,INDEX(使用レシピ!J:J,MATCH(テンプレート!$C115,使用レシピ!$E:$E,0)),""),"")</f>
        <v/>
      </c>
      <c r="I115" s="36" t="str">
        <f>IFERROR(IF(INDEX(使用レシピ!P:P,MATCH(テンプレート!$C115,使用レシピ!$E:$E,0))&lt;&gt;0,INDEX(使用レシピ!P:P,MATCH(テンプレート!$C115,使用レシピ!$E:$E,0)),""),"")</f>
        <v/>
      </c>
      <c r="J115" t="str">
        <f>IFERROR(IF(INDEX(使用レシピ!K:K,MATCH(テンプレート!$C115,使用レシピ!$E:$E,0))&lt;&gt;0,INDEX(使用レシピ!K:K,MATCH(テンプレート!$C115,使用レシピ!$E:$E,0)),""),"")</f>
        <v/>
      </c>
      <c r="K115" t="str">
        <f>IFERROR(IF(INDEX(使用レシピ!L:L,MATCH(テンプレート!$C115,使用レシピ!$E:$E,0))&lt;&gt;0,INDEX(使用レシピ!L:L,MATCH(テンプレート!$C115,使用レシピ!$E:$E,0)),""),"")</f>
        <v/>
      </c>
      <c r="L115" t="str">
        <f>IFERROR(IF(INDEX(使用レシピ!M:M,MATCH(テンプレート!$C115,使用レシピ!$E:$E,0))&lt;&gt;0,INDEX(使用レシピ!M:M,MATCH(テンプレート!$C115,使用レシピ!$E:$E,0)),""),"")</f>
        <v/>
      </c>
      <c r="M115" t="str">
        <f>IFERROR(IF(INDEX(使用レシピ!N:N,MATCH(テンプレート!$C115,使用レシピ!$E:$E,0))&lt;&gt;0,INDEX(使用レシピ!N:N,MATCH(テンプレート!$C115,使用レシピ!$E:$E,0)),""),"")</f>
        <v/>
      </c>
      <c r="N115" s="24" t="str">
        <f>IFERROR(IF(INDEX(使用レシピ!O:O,MATCH(テンプレート!$C115,使用レシピ!$E:$E,0))&lt;&gt;0,INDEX(使用レシピ!O:O,MATCH(テンプレート!$C115,使用レシピ!$E:$E,0)),""),"")</f>
        <v/>
      </c>
      <c r="O115" s="42" t="str">
        <f>IFERROR(IF(INDEX(使用レシピ!P:P,MATCH(テンプレート!$C115,使用レシピ!$E:$E,0))&lt;&gt;0,INDEX(使用レシピ!P:P,MATCH(テンプレート!$C115,使用レシピ!$E:$E,0)),""),"")</f>
        <v/>
      </c>
      <c r="P115" s="25" t="str">
        <f t="shared" si="10"/>
        <v/>
      </c>
      <c r="Q115" s="26" t="str">
        <f t="shared" si="11"/>
        <v/>
      </c>
      <c r="R115" s="26" t="str">
        <f t="shared" si="12"/>
        <v/>
      </c>
      <c r="S115" s="26" t="str">
        <f t="shared" si="13"/>
        <v/>
      </c>
      <c r="T115" s="43" t="str">
        <f t="shared" si="13"/>
        <v/>
      </c>
    </row>
    <row r="116" spans="1:20" x14ac:dyDescent="0.4">
      <c r="A116">
        <v>1223112</v>
      </c>
      <c r="B116" s="47" t="str" cm="1">
        <f t="array" ref="B116">IFERROR((INDEX($P$4:$T$1000,MATCH(VALUE(LEFT($A116,LEN($A116)-1)),$A$4:$A$1000,0),VALUE(RIGHT($A116,1)))/ INDEX($O$4:$O$1000,MATCH(VALUE(LEFT($A116,LEN($A116)-1)),$A$4:$A$1000))) * INDEX($B$4:$B$1000,MATCH(VALUE(LEFT($A116,LEN($A116)-1)),$A$4:$A$1000)),"")</f>
        <v/>
      </c>
      <c r="C116" s="38" t="str" cm="1">
        <f t="array" ref="C116">IFERROR(IF(INDEX($D$4:$H$1000,MATCH(VALUE(LEFT($A116,LEN($A116)-1)),$A$4:$A$1000,0),VALUE(RIGHT($A116,1)))= 0,"",INDEX($D$4:$H$1000,MATCH(VALUE(LEFT($A116,LEN($A116)-1)),$A$4:$A$1000,0),VALUE(RIGHT($A116,1)))),"")</f>
        <v/>
      </c>
      <c r="D116" s="23" t="str">
        <f>IFERROR(IF(INDEX(使用レシピ!F:F,MATCH(テンプレート!$C116,使用レシピ!$E:$E,0))&lt;&gt;0,INDEX(使用レシピ!F:F,MATCH(テンプレート!$C116,使用レシピ!$E:$E,0)),""),"")</f>
        <v/>
      </c>
      <c r="E116" t="str">
        <f>IFERROR(IF(INDEX(使用レシピ!G:G,MATCH(テンプレート!$C116,使用レシピ!$E:$E,0))&lt;&gt;0,INDEX(使用レシピ!G:G,MATCH(テンプレート!$C116,使用レシピ!$E:$E,0)),""),"")</f>
        <v/>
      </c>
      <c r="F116" t="str">
        <f>IFERROR(IF(INDEX(使用レシピ!H:H,MATCH(テンプレート!$C116,使用レシピ!$E:$E,0))&lt;&gt;0,INDEX(使用レシピ!H:H,MATCH(テンプレート!$C116,使用レシピ!$E:$E,0)),""),"")</f>
        <v/>
      </c>
      <c r="G116" t="str">
        <f>IFERROR(IF(INDEX(使用レシピ!I:I,MATCH(テンプレート!$C116,使用レシピ!$E:$E,0))&lt;&gt;0,INDEX(使用レシピ!I:I,MATCH(テンプレート!$C116,使用レシピ!$E:$E,0)),""),"")</f>
        <v/>
      </c>
      <c r="H116" s="24" t="str">
        <f>IFERROR(IF(INDEX(使用レシピ!J:J,MATCH(テンプレート!$C116,使用レシピ!$E:$E,0))&lt;&gt;0,INDEX(使用レシピ!J:J,MATCH(テンプレート!$C116,使用レシピ!$E:$E,0)),""),"")</f>
        <v/>
      </c>
      <c r="I116" s="36" t="str">
        <f>IFERROR(IF(INDEX(使用レシピ!P:P,MATCH(テンプレート!$C116,使用レシピ!$E:$E,0))&lt;&gt;0,INDEX(使用レシピ!P:P,MATCH(テンプレート!$C116,使用レシピ!$E:$E,0)),""),"")</f>
        <v/>
      </c>
      <c r="J116" t="str">
        <f>IFERROR(IF(INDEX(使用レシピ!K:K,MATCH(テンプレート!$C116,使用レシピ!$E:$E,0))&lt;&gt;0,INDEX(使用レシピ!K:K,MATCH(テンプレート!$C116,使用レシピ!$E:$E,0)),""),"")</f>
        <v/>
      </c>
      <c r="K116" t="str">
        <f>IFERROR(IF(INDEX(使用レシピ!L:L,MATCH(テンプレート!$C116,使用レシピ!$E:$E,0))&lt;&gt;0,INDEX(使用レシピ!L:L,MATCH(テンプレート!$C116,使用レシピ!$E:$E,0)),""),"")</f>
        <v/>
      </c>
      <c r="L116" t="str">
        <f>IFERROR(IF(INDEX(使用レシピ!M:M,MATCH(テンプレート!$C116,使用レシピ!$E:$E,0))&lt;&gt;0,INDEX(使用レシピ!M:M,MATCH(テンプレート!$C116,使用レシピ!$E:$E,0)),""),"")</f>
        <v/>
      </c>
      <c r="M116" t="str">
        <f>IFERROR(IF(INDEX(使用レシピ!N:N,MATCH(テンプレート!$C116,使用レシピ!$E:$E,0))&lt;&gt;0,INDEX(使用レシピ!N:N,MATCH(テンプレート!$C116,使用レシピ!$E:$E,0)),""),"")</f>
        <v/>
      </c>
      <c r="N116" s="24" t="str">
        <f>IFERROR(IF(INDEX(使用レシピ!O:O,MATCH(テンプレート!$C116,使用レシピ!$E:$E,0))&lt;&gt;0,INDEX(使用レシピ!O:O,MATCH(テンプレート!$C116,使用レシピ!$E:$E,0)),""),"")</f>
        <v/>
      </c>
      <c r="O116" s="42" t="str">
        <f>IFERROR(IF(INDEX(使用レシピ!P:P,MATCH(テンプレート!$C116,使用レシピ!$E:$E,0))&lt;&gt;0,INDEX(使用レシピ!P:P,MATCH(テンプレート!$C116,使用レシピ!$E:$E,0)),""),"")</f>
        <v/>
      </c>
      <c r="P116" s="25" t="str">
        <f t="shared" si="10"/>
        <v/>
      </c>
      <c r="Q116" s="26" t="str">
        <f t="shared" si="11"/>
        <v/>
      </c>
      <c r="R116" s="26" t="str">
        <f t="shared" si="12"/>
        <v/>
      </c>
      <c r="S116" s="26" t="str">
        <f t="shared" si="13"/>
        <v/>
      </c>
      <c r="T116" s="43" t="str">
        <f t="shared" si="13"/>
        <v/>
      </c>
    </row>
    <row r="117" spans="1:20" x14ac:dyDescent="0.4">
      <c r="A117">
        <v>1223121</v>
      </c>
      <c r="B117" s="47" t="str" cm="1">
        <f t="array" ref="B117">IFERROR((INDEX($P$4:$T$1000,MATCH(VALUE(LEFT($A117,LEN($A117)-1)),$A$4:$A$1000,0),VALUE(RIGHT($A117,1)))/ INDEX($O$4:$O$1000,MATCH(VALUE(LEFT($A117,LEN($A117)-1)),$A$4:$A$1000))) * INDEX($B$4:$B$1000,MATCH(VALUE(LEFT($A117,LEN($A117)-1)),$A$4:$A$1000)),"")</f>
        <v/>
      </c>
      <c r="C117" s="38" t="str" cm="1">
        <f t="array" ref="C117">IFERROR(IF(INDEX($D$4:$H$1000,MATCH(VALUE(LEFT($A117,LEN($A117)-1)),$A$4:$A$1000,0),VALUE(RIGHT($A117,1)))= 0,"",INDEX($D$4:$H$1000,MATCH(VALUE(LEFT($A117,LEN($A117)-1)),$A$4:$A$1000,0),VALUE(RIGHT($A117,1)))),"")</f>
        <v/>
      </c>
      <c r="D117" s="23" t="str">
        <f>IFERROR(IF(INDEX(使用レシピ!F:F,MATCH(テンプレート!$C117,使用レシピ!$E:$E,0))&lt;&gt;0,INDEX(使用レシピ!F:F,MATCH(テンプレート!$C117,使用レシピ!$E:$E,0)),""),"")</f>
        <v/>
      </c>
      <c r="E117" t="str">
        <f>IFERROR(IF(INDEX(使用レシピ!G:G,MATCH(テンプレート!$C117,使用レシピ!$E:$E,0))&lt;&gt;0,INDEX(使用レシピ!G:G,MATCH(テンプレート!$C117,使用レシピ!$E:$E,0)),""),"")</f>
        <v/>
      </c>
      <c r="F117" t="str">
        <f>IFERROR(IF(INDEX(使用レシピ!H:H,MATCH(テンプレート!$C117,使用レシピ!$E:$E,0))&lt;&gt;0,INDEX(使用レシピ!H:H,MATCH(テンプレート!$C117,使用レシピ!$E:$E,0)),""),"")</f>
        <v/>
      </c>
      <c r="G117" t="str">
        <f>IFERROR(IF(INDEX(使用レシピ!I:I,MATCH(テンプレート!$C117,使用レシピ!$E:$E,0))&lt;&gt;0,INDEX(使用レシピ!I:I,MATCH(テンプレート!$C117,使用レシピ!$E:$E,0)),""),"")</f>
        <v/>
      </c>
      <c r="H117" s="24" t="str">
        <f>IFERROR(IF(INDEX(使用レシピ!J:J,MATCH(テンプレート!$C117,使用レシピ!$E:$E,0))&lt;&gt;0,INDEX(使用レシピ!J:J,MATCH(テンプレート!$C117,使用レシピ!$E:$E,0)),""),"")</f>
        <v/>
      </c>
      <c r="I117" s="36" t="str">
        <f>IFERROR(IF(INDEX(使用レシピ!P:P,MATCH(テンプレート!$C117,使用レシピ!$E:$E,0))&lt;&gt;0,INDEX(使用レシピ!P:P,MATCH(テンプレート!$C117,使用レシピ!$E:$E,0)),""),"")</f>
        <v/>
      </c>
      <c r="J117" t="str">
        <f>IFERROR(IF(INDEX(使用レシピ!K:K,MATCH(テンプレート!$C117,使用レシピ!$E:$E,0))&lt;&gt;0,INDEX(使用レシピ!K:K,MATCH(テンプレート!$C117,使用レシピ!$E:$E,0)),""),"")</f>
        <v/>
      </c>
      <c r="K117" t="str">
        <f>IFERROR(IF(INDEX(使用レシピ!L:L,MATCH(テンプレート!$C117,使用レシピ!$E:$E,0))&lt;&gt;0,INDEX(使用レシピ!L:L,MATCH(テンプレート!$C117,使用レシピ!$E:$E,0)),""),"")</f>
        <v/>
      </c>
      <c r="L117" t="str">
        <f>IFERROR(IF(INDEX(使用レシピ!M:M,MATCH(テンプレート!$C117,使用レシピ!$E:$E,0))&lt;&gt;0,INDEX(使用レシピ!M:M,MATCH(テンプレート!$C117,使用レシピ!$E:$E,0)),""),"")</f>
        <v/>
      </c>
      <c r="M117" t="str">
        <f>IFERROR(IF(INDEX(使用レシピ!N:N,MATCH(テンプレート!$C117,使用レシピ!$E:$E,0))&lt;&gt;0,INDEX(使用レシピ!N:N,MATCH(テンプレート!$C117,使用レシピ!$E:$E,0)),""),"")</f>
        <v/>
      </c>
      <c r="N117" s="24" t="str">
        <f>IFERROR(IF(INDEX(使用レシピ!O:O,MATCH(テンプレート!$C117,使用レシピ!$E:$E,0))&lt;&gt;0,INDEX(使用レシピ!O:O,MATCH(テンプレート!$C117,使用レシピ!$E:$E,0)),""),"")</f>
        <v/>
      </c>
      <c r="O117" s="42" t="str">
        <f>IFERROR(IF(INDEX(使用レシピ!P:P,MATCH(テンプレート!$C117,使用レシピ!$E:$E,0))&lt;&gt;0,INDEX(使用レシピ!P:P,MATCH(テンプレート!$C117,使用レシピ!$E:$E,0)),""),"")</f>
        <v/>
      </c>
      <c r="P117" s="25" t="str">
        <f t="shared" si="10"/>
        <v/>
      </c>
      <c r="Q117" s="26" t="str">
        <f t="shared" si="11"/>
        <v/>
      </c>
      <c r="R117" s="26" t="str">
        <f t="shared" si="12"/>
        <v/>
      </c>
      <c r="S117" s="26" t="str">
        <f t="shared" si="13"/>
        <v/>
      </c>
      <c r="T117" s="43" t="str">
        <f t="shared" si="13"/>
        <v/>
      </c>
    </row>
    <row r="118" spans="1:20" x14ac:dyDescent="0.4">
      <c r="A118">
        <v>1223211</v>
      </c>
      <c r="B118" s="47" t="str" cm="1">
        <f t="array" ref="B118">IFERROR((INDEX($P$4:$T$1000,MATCH(VALUE(LEFT($A118,LEN($A118)-1)),$A$4:$A$1000,0),VALUE(RIGHT($A118,1)))/ INDEX($O$4:$O$1000,MATCH(VALUE(LEFT($A118,LEN($A118)-1)),$A$4:$A$1000))) * INDEX($B$4:$B$1000,MATCH(VALUE(LEFT($A118,LEN($A118)-1)),$A$4:$A$1000)),"")</f>
        <v/>
      </c>
      <c r="C118" s="38" t="str" cm="1">
        <f t="array" ref="C118">IFERROR(IF(INDEX($D$4:$H$1000,MATCH(VALUE(LEFT($A118,LEN($A118)-1)),$A$4:$A$1000,0),VALUE(RIGHT($A118,1)))= 0,"",INDEX($D$4:$H$1000,MATCH(VALUE(LEFT($A118,LEN($A118)-1)),$A$4:$A$1000,0),VALUE(RIGHT($A118,1)))),"")</f>
        <v/>
      </c>
      <c r="D118" s="23" t="str">
        <f>IFERROR(IF(INDEX(使用レシピ!F:F,MATCH(テンプレート!$C118,使用レシピ!$E:$E,0))&lt;&gt;0,INDEX(使用レシピ!F:F,MATCH(テンプレート!$C118,使用レシピ!$E:$E,0)),""),"")</f>
        <v/>
      </c>
      <c r="E118" t="str">
        <f>IFERROR(IF(INDEX(使用レシピ!G:G,MATCH(テンプレート!$C118,使用レシピ!$E:$E,0))&lt;&gt;0,INDEX(使用レシピ!G:G,MATCH(テンプレート!$C118,使用レシピ!$E:$E,0)),""),"")</f>
        <v/>
      </c>
      <c r="F118" t="str">
        <f>IFERROR(IF(INDEX(使用レシピ!H:H,MATCH(テンプレート!$C118,使用レシピ!$E:$E,0))&lt;&gt;0,INDEX(使用レシピ!H:H,MATCH(テンプレート!$C118,使用レシピ!$E:$E,0)),""),"")</f>
        <v/>
      </c>
      <c r="G118" t="str">
        <f>IFERROR(IF(INDEX(使用レシピ!I:I,MATCH(テンプレート!$C118,使用レシピ!$E:$E,0))&lt;&gt;0,INDEX(使用レシピ!I:I,MATCH(テンプレート!$C118,使用レシピ!$E:$E,0)),""),"")</f>
        <v/>
      </c>
      <c r="H118" s="24" t="str">
        <f>IFERROR(IF(INDEX(使用レシピ!J:J,MATCH(テンプレート!$C118,使用レシピ!$E:$E,0))&lt;&gt;0,INDEX(使用レシピ!J:J,MATCH(テンプレート!$C118,使用レシピ!$E:$E,0)),""),"")</f>
        <v/>
      </c>
      <c r="I118" s="36" t="str">
        <f>IFERROR(IF(INDEX(使用レシピ!P:P,MATCH(テンプレート!$C118,使用レシピ!$E:$E,0))&lt;&gt;0,INDEX(使用レシピ!P:P,MATCH(テンプレート!$C118,使用レシピ!$E:$E,0)),""),"")</f>
        <v/>
      </c>
      <c r="J118" t="str">
        <f>IFERROR(IF(INDEX(使用レシピ!K:K,MATCH(テンプレート!$C118,使用レシピ!$E:$E,0))&lt;&gt;0,INDEX(使用レシピ!K:K,MATCH(テンプレート!$C118,使用レシピ!$E:$E,0)),""),"")</f>
        <v/>
      </c>
      <c r="K118" t="str">
        <f>IFERROR(IF(INDEX(使用レシピ!L:L,MATCH(テンプレート!$C118,使用レシピ!$E:$E,0))&lt;&gt;0,INDEX(使用レシピ!L:L,MATCH(テンプレート!$C118,使用レシピ!$E:$E,0)),""),"")</f>
        <v/>
      </c>
      <c r="L118" t="str">
        <f>IFERROR(IF(INDEX(使用レシピ!M:M,MATCH(テンプレート!$C118,使用レシピ!$E:$E,0))&lt;&gt;0,INDEX(使用レシピ!M:M,MATCH(テンプレート!$C118,使用レシピ!$E:$E,0)),""),"")</f>
        <v/>
      </c>
      <c r="M118" t="str">
        <f>IFERROR(IF(INDEX(使用レシピ!N:N,MATCH(テンプレート!$C118,使用レシピ!$E:$E,0))&lt;&gt;0,INDEX(使用レシピ!N:N,MATCH(テンプレート!$C118,使用レシピ!$E:$E,0)),""),"")</f>
        <v/>
      </c>
      <c r="N118" s="24" t="str">
        <f>IFERROR(IF(INDEX(使用レシピ!O:O,MATCH(テンプレート!$C118,使用レシピ!$E:$E,0))&lt;&gt;0,INDEX(使用レシピ!O:O,MATCH(テンプレート!$C118,使用レシピ!$E:$E,0)),""),"")</f>
        <v/>
      </c>
      <c r="O118" s="42" t="str">
        <f>IFERROR(IF(INDEX(使用レシピ!P:P,MATCH(テンプレート!$C118,使用レシピ!$E:$E,0))&lt;&gt;0,INDEX(使用レシピ!P:P,MATCH(テンプレート!$C118,使用レシピ!$E:$E,0)),""),"")</f>
        <v/>
      </c>
      <c r="P118" s="25" t="str">
        <f t="shared" si="10"/>
        <v/>
      </c>
      <c r="Q118" s="26" t="str">
        <f t="shared" si="11"/>
        <v/>
      </c>
      <c r="R118" s="26" t="str">
        <f t="shared" si="12"/>
        <v/>
      </c>
      <c r="S118" s="26" t="str">
        <f t="shared" si="13"/>
        <v/>
      </c>
      <c r="T118" s="43" t="str">
        <f t="shared" si="13"/>
        <v/>
      </c>
    </row>
    <row r="119" spans="1:20" x14ac:dyDescent="0.4">
      <c r="A119">
        <v>1223212</v>
      </c>
      <c r="B119" s="47" t="str" cm="1">
        <f t="array" ref="B119">IFERROR((INDEX($P$4:$T$1000,MATCH(VALUE(LEFT($A119,LEN($A119)-1)),$A$4:$A$1000,0),VALUE(RIGHT($A119,1)))/ INDEX($O$4:$O$1000,MATCH(VALUE(LEFT($A119,LEN($A119)-1)),$A$4:$A$1000))) * INDEX($B$4:$B$1000,MATCH(VALUE(LEFT($A119,LEN($A119)-1)),$A$4:$A$1000)),"")</f>
        <v/>
      </c>
      <c r="C119" s="38" t="str" cm="1">
        <f t="array" ref="C119">IFERROR(IF(INDEX($D$4:$H$1000,MATCH(VALUE(LEFT($A119,LEN($A119)-1)),$A$4:$A$1000,0),VALUE(RIGHT($A119,1)))= 0,"",INDEX($D$4:$H$1000,MATCH(VALUE(LEFT($A119,LEN($A119)-1)),$A$4:$A$1000,0),VALUE(RIGHT($A119,1)))),"")</f>
        <v/>
      </c>
      <c r="D119" s="23" t="str">
        <f>IFERROR(IF(INDEX(使用レシピ!F:F,MATCH(テンプレート!$C119,使用レシピ!$E:$E,0))&lt;&gt;0,INDEX(使用レシピ!F:F,MATCH(テンプレート!$C119,使用レシピ!$E:$E,0)),""),"")</f>
        <v/>
      </c>
      <c r="E119" t="str">
        <f>IFERROR(IF(INDEX(使用レシピ!G:G,MATCH(テンプレート!$C119,使用レシピ!$E:$E,0))&lt;&gt;0,INDEX(使用レシピ!G:G,MATCH(テンプレート!$C119,使用レシピ!$E:$E,0)),""),"")</f>
        <v/>
      </c>
      <c r="F119" t="str">
        <f>IFERROR(IF(INDEX(使用レシピ!H:H,MATCH(テンプレート!$C119,使用レシピ!$E:$E,0))&lt;&gt;0,INDEX(使用レシピ!H:H,MATCH(テンプレート!$C119,使用レシピ!$E:$E,0)),""),"")</f>
        <v/>
      </c>
      <c r="G119" t="str">
        <f>IFERROR(IF(INDEX(使用レシピ!I:I,MATCH(テンプレート!$C119,使用レシピ!$E:$E,0))&lt;&gt;0,INDEX(使用レシピ!I:I,MATCH(テンプレート!$C119,使用レシピ!$E:$E,0)),""),"")</f>
        <v/>
      </c>
      <c r="H119" s="24" t="str">
        <f>IFERROR(IF(INDEX(使用レシピ!J:J,MATCH(テンプレート!$C119,使用レシピ!$E:$E,0))&lt;&gt;0,INDEX(使用レシピ!J:J,MATCH(テンプレート!$C119,使用レシピ!$E:$E,0)),""),"")</f>
        <v/>
      </c>
      <c r="I119" s="36" t="str">
        <f>IFERROR(IF(INDEX(使用レシピ!P:P,MATCH(テンプレート!$C119,使用レシピ!$E:$E,0))&lt;&gt;0,INDEX(使用レシピ!P:P,MATCH(テンプレート!$C119,使用レシピ!$E:$E,0)),""),"")</f>
        <v/>
      </c>
      <c r="J119" t="str">
        <f>IFERROR(IF(INDEX(使用レシピ!K:K,MATCH(テンプレート!$C119,使用レシピ!$E:$E,0))&lt;&gt;0,INDEX(使用レシピ!K:K,MATCH(テンプレート!$C119,使用レシピ!$E:$E,0)),""),"")</f>
        <v/>
      </c>
      <c r="K119" t="str">
        <f>IFERROR(IF(INDEX(使用レシピ!L:L,MATCH(テンプレート!$C119,使用レシピ!$E:$E,0))&lt;&gt;0,INDEX(使用レシピ!L:L,MATCH(テンプレート!$C119,使用レシピ!$E:$E,0)),""),"")</f>
        <v/>
      </c>
      <c r="L119" t="str">
        <f>IFERROR(IF(INDEX(使用レシピ!M:M,MATCH(テンプレート!$C119,使用レシピ!$E:$E,0))&lt;&gt;0,INDEX(使用レシピ!M:M,MATCH(テンプレート!$C119,使用レシピ!$E:$E,0)),""),"")</f>
        <v/>
      </c>
      <c r="M119" t="str">
        <f>IFERROR(IF(INDEX(使用レシピ!N:N,MATCH(テンプレート!$C119,使用レシピ!$E:$E,0))&lt;&gt;0,INDEX(使用レシピ!N:N,MATCH(テンプレート!$C119,使用レシピ!$E:$E,0)),""),"")</f>
        <v/>
      </c>
      <c r="N119" s="24" t="str">
        <f>IFERROR(IF(INDEX(使用レシピ!O:O,MATCH(テンプレート!$C119,使用レシピ!$E:$E,0))&lt;&gt;0,INDEX(使用レシピ!O:O,MATCH(テンプレート!$C119,使用レシピ!$E:$E,0)),""),"")</f>
        <v/>
      </c>
      <c r="O119" s="42" t="str">
        <f>IFERROR(IF(INDEX(使用レシピ!P:P,MATCH(テンプレート!$C119,使用レシピ!$E:$E,0))&lt;&gt;0,INDEX(使用レシピ!P:P,MATCH(テンプレート!$C119,使用レシピ!$E:$E,0)),""),"")</f>
        <v/>
      </c>
      <c r="P119" s="25" t="str">
        <f t="shared" si="10"/>
        <v/>
      </c>
      <c r="Q119" s="26" t="str">
        <f t="shared" si="11"/>
        <v/>
      </c>
      <c r="R119" s="26" t="str">
        <f t="shared" si="12"/>
        <v/>
      </c>
      <c r="S119" s="26" t="str">
        <f t="shared" si="13"/>
        <v/>
      </c>
      <c r="T119" s="43" t="str">
        <f t="shared" si="13"/>
        <v/>
      </c>
    </row>
    <row r="120" spans="1:20" x14ac:dyDescent="0.4">
      <c r="A120">
        <v>11111111</v>
      </c>
      <c r="B120" s="47" cm="1">
        <f t="array" ref="B120">IFERROR((INDEX($P$4:$T$1000,MATCH(VALUE(LEFT($A120,LEN($A120)-1)),$A$4:$A$1000,0),VALUE(RIGHT($A120,1)))/ INDEX($O$4:$O$1000,MATCH(VALUE(LEFT($A120,LEN($A120)-1)),$A$4:$A$1000))) * INDEX($B$4:$B$1000,MATCH(VALUE(LEFT($A120,LEN($A120)-1)),$A$4:$A$1000)),"")</f>
        <v>5400</v>
      </c>
      <c r="C120" s="38" t="str" cm="1">
        <f t="array" ref="C120">IFERROR(IF(INDEX($D$4:$H$1000,MATCH(VALUE(LEFT($A120,LEN($A120)-1)),$A$4:$A$1000,0),VALUE(RIGHT($A120,1)))= 0,"",INDEX($D$4:$H$1000,MATCH(VALUE(LEFT($A120,LEN($A120)-1)),$A$4:$A$1000,0),VALUE(RIGHT($A120,1)))),"")</f>
        <v>ウラン</v>
      </c>
      <c r="D120" s="23" t="str">
        <f>IFERROR(IF(INDEX(使用レシピ!F:F,MATCH(テンプレート!$C120,使用レシピ!$E:$E,0))&lt;&gt;0,INDEX(使用レシピ!F:F,MATCH(テンプレート!$C120,使用レシピ!$E:$E,0)),""),"")</f>
        <v/>
      </c>
      <c r="E120" t="str">
        <f>IFERROR(IF(INDEX(使用レシピ!G:G,MATCH(テンプレート!$C120,使用レシピ!$E:$E,0))&lt;&gt;0,INDEX(使用レシピ!G:G,MATCH(テンプレート!$C120,使用レシピ!$E:$E,0)),""),"")</f>
        <v/>
      </c>
      <c r="F120" t="str">
        <f>IFERROR(IF(INDEX(使用レシピ!H:H,MATCH(テンプレート!$C120,使用レシピ!$E:$E,0))&lt;&gt;0,INDEX(使用レシピ!H:H,MATCH(テンプレート!$C120,使用レシピ!$E:$E,0)),""),"")</f>
        <v/>
      </c>
      <c r="G120" t="str">
        <f>IFERROR(IF(INDEX(使用レシピ!I:I,MATCH(テンプレート!$C120,使用レシピ!$E:$E,0))&lt;&gt;0,INDEX(使用レシピ!I:I,MATCH(テンプレート!$C120,使用レシピ!$E:$E,0)),""),"")</f>
        <v/>
      </c>
      <c r="H120" s="24" t="str">
        <f>IFERROR(IF(INDEX(使用レシピ!J:J,MATCH(テンプレート!$C120,使用レシピ!$E:$E,0))&lt;&gt;0,INDEX(使用レシピ!J:J,MATCH(テンプレート!$C120,使用レシピ!$E:$E,0)),""),"")</f>
        <v/>
      </c>
      <c r="I120" s="36">
        <f>IFERROR(IF(INDEX(使用レシピ!P:P,MATCH(テンプレート!$C120,使用レシピ!$E:$E,0))&lt;&gt;0,INDEX(使用レシピ!P:P,MATCH(テンプレート!$C120,使用レシピ!$E:$E,0)),""),"")</f>
        <v>1</v>
      </c>
      <c r="J120" t="str">
        <f>IFERROR(IF(INDEX(使用レシピ!K:K,MATCH(テンプレート!$C120,使用レシピ!$E:$E,0))&lt;&gt;0,INDEX(使用レシピ!K:K,MATCH(テンプレート!$C120,使用レシピ!$E:$E,0)),""),"")</f>
        <v/>
      </c>
      <c r="K120" t="str">
        <f>IFERROR(IF(INDEX(使用レシピ!L:L,MATCH(テンプレート!$C120,使用レシピ!$E:$E,0))&lt;&gt;0,INDEX(使用レシピ!L:L,MATCH(テンプレート!$C120,使用レシピ!$E:$E,0)),""),"")</f>
        <v/>
      </c>
      <c r="L120" t="str">
        <f>IFERROR(IF(INDEX(使用レシピ!M:M,MATCH(テンプレート!$C120,使用レシピ!$E:$E,0))&lt;&gt;0,INDEX(使用レシピ!M:M,MATCH(テンプレート!$C120,使用レシピ!$E:$E,0)),""),"")</f>
        <v/>
      </c>
      <c r="M120" t="str">
        <f>IFERROR(IF(INDEX(使用レシピ!N:N,MATCH(テンプレート!$C120,使用レシピ!$E:$E,0))&lt;&gt;0,INDEX(使用レシピ!N:N,MATCH(テンプレート!$C120,使用レシピ!$E:$E,0)),""),"")</f>
        <v/>
      </c>
      <c r="N120" s="24" t="str">
        <f>IFERROR(IF(INDEX(使用レシピ!O:O,MATCH(テンプレート!$C120,使用レシピ!$E:$E,0))&lt;&gt;0,INDEX(使用レシピ!O:O,MATCH(テンプレート!$C120,使用レシピ!$E:$E,0)),""),"")</f>
        <v/>
      </c>
      <c r="O120" s="42">
        <f>IFERROR(IF(INDEX(使用レシピ!P:P,MATCH(テンプレート!$C120,使用レシピ!$E:$E,0))&lt;&gt;0,INDEX(使用レシピ!P:P,MATCH(テンプレート!$C120,使用レシピ!$E:$E,0)),""),"")</f>
        <v>1</v>
      </c>
      <c r="P120" s="25" t="str">
        <f t="shared" si="10"/>
        <v/>
      </c>
      <c r="Q120" s="26" t="str">
        <f t="shared" si="11"/>
        <v/>
      </c>
      <c r="R120" s="26" t="str">
        <f t="shared" si="12"/>
        <v/>
      </c>
      <c r="S120" s="26" t="str">
        <f t="shared" si="13"/>
        <v/>
      </c>
      <c r="T120" s="43" t="str">
        <f t="shared" si="13"/>
        <v/>
      </c>
    </row>
    <row r="121" spans="1:20" x14ac:dyDescent="0.4">
      <c r="A121">
        <v>11111112</v>
      </c>
      <c r="B121" s="47" cm="1">
        <f t="array" ref="B121">IFERROR((INDEX($P$4:$T$1000,MATCH(VALUE(LEFT($A121,LEN($A121)-1)),$A$4:$A$1000,0),VALUE(RIGHT($A121,1)))/ INDEX($O$4:$O$1000,MATCH(VALUE(LEFT($A121,LEN($A121)-1)),$A$4:$A$1000))) * INDEX($B$4:$B$1000,MATCH(VALUE(LEFT($A121,LEN($A121)-1)),$A$4:$A$1000)),"")</f>
        <v>1620</v>
      </c>
      <c r="C121" s="38" t="str" cm="1">
        <f t="array" ref="C121">IFERROR(IF(INDEX($D$4:$H$1000,MATCH(VALUE(LEFT($A121,LEN($A121)-1)),$A$4:$A$1000,0),VALUE(RIGHT($A121,1)))= 0,"",INDEX($D$4:$H$1000,MATCH(VALUE(LEFT($A121,LEN($A121)-1)),$A$4:$A$1000,0),VALUE(RIGHT($A121,1)))),"")</f>
        <v>コンクリート</v>
      </c>
      <c r="D121" s="23" t="str">
        <f>IFERROR(IF(INDEX(使用レシピ!F:F,MATCH(テンプレート!$C121,使用レシピ!$E:$E,0))&lt;&gt;0,INDEX(使用レシピ!F:F,MATCH(テンプレート!$C121,使用レシピ!$E:$E,0)),""),"")</f>
        <v>石灰岩</v>
      </c>
      <c r="E121" t="str">
        <f>IFERROR(IF(INDEX(使用レシピ!G:G,MATCH(テンプレート!$C121,使用レシピ!$E:$E,0))&lt;&gt;0,INDEX(使用レシピ!G:G,MATCH(テンプレート!$C121,使用レシピ!$E:$E,0)),""),"")</f>
        <v>水</v>
      </c>
      <c r="F121" t="str">
        <f>IFERROR(IF(INDEX(使用レシピ!H:H,MATCH(テンプレート!$C121,使用レシピ!$E:$E,0))&lt;&gt;0,INDEX(使用レシピ!H:H,MATCH(テンプレート!$C121,使用レシピ!$E:$E,0)),""),"")</f>
        <v/>
      </c>
      <c r="G121" t="str">
        <f>IFERROR(IF(INDEX(使用レシピ!I:I,MATCH(テンプレート!$C121,使用レシピ!$E:$E,0))&lt;&gt;0,INDEX(使用レシピ!I:I,MATCH(テンプレート!$C121,使用レシピ!$E:$E,0)),""),"")</f>
        <v/>
      </c>
      <c r="H121" s="24" t="str">
        <f>IFERROR(IF(INDEX(使用レシピ!J:J,MATCH(テンプレート!$C121,使用レシピ!$E:$E,0))&lt;&gt;0,INDEX(使用レシピ!J:J,MATCH(テンプレート!$C121,使用レシピ!$E:$E,0)),""),"")</f>
        <v/>
      </c>
      <c r="I121" s="36">
        <f>IFERROR(IF(INDEX(使用レシピ!P:P,MATCH(テンプレート!$C121,使用レシピ!$E:$E,0))&lt;&gt;0,INDEX(使用レシピ!P:P,MATCH(テンプレート!$C121,使用レシピ!$E:$E,0)),""),"")</f>
        <v>4</v>
      </c>
      <c r="J121">
        <f>IFERROR(IF(INDEX(使用レシピ!K:K,MATCH(テンプレート!$C121,使用レシピ!$E:$E,0))&lt;&gt;0,INDEX(使用レシピ!K:K,MATCH(テンプレート!$C121,使用レシピ!$E:$E,0)),""),"")</f>
        <v>6</v>
      </c>
      <c r="K121">
        <f>IFERROR(IF(INDEX(使用レシピ!L:L,MATCH(テンプレート!$C121,使用レシピ!$E:$E,0))&lt;&gt;0,INDEX(使用レシピ!L:L,MATCH(テンプレート!$C121,使用レシピ!$E:$E,0)),""),"")</f>
        <v>5</v>
      </c>
      <c r="L121" t="str">
        <f>IFERROR(IF(INDEX(使用レシピ!M:M,MATCH(テンプレート!$C121,使用レシピ!$E:$E,0))&lt;&gt;0,INDEX(使用レシピ!M:M,MATCH(テンプレート!$C121,使用レシピ!$E:$E,0)),""),"")</f>
        <v/>
      </c>
      <c r="M121" t="str">
        <f>IFERROR(IF(INDEX(使用レシピ!N:N,MATCH(テンプレート!$C121,使用レシピ!$E:$E,0))&lt;&gt;0,INDEX(使用レシピ!N:N,MATCH(テンプレート!$C121,使用レシピ!$E:$E,0)),""),"")</f>
        <v/>
      </c>
      <c r="N121" s="24" t="str">
        <f>IFERROR(IF(INDEX(使用レシピ!O:O,MATCH(テンプレート!$C121,使用レシピ!$E:$E,0))&lt;&gt;0,INDEX(使用レシピ!O:O,MATCH(テンプレート!$C121,使用レシピ!$E:$E,0)),""),"")</f>
        <v/>
      </c>
      <c r="O121" s="42">
        <f>IFERROR(IF(INDEX(使用レシピ!P:P,MATCH(テンプレート!$C121,使用レシピ!$E:$E,0))&lt;&gt;0,INDEX(使用レシピ!P:P,MATCH(テンプレート!$C121,使用レシピ!$E:$E,0)),""),"")</f>
        <v>4</v>
      </c>
      <c r="P121" s="25">
        <f t="shared" si="10"/>
        <v>6</v>
      </c>
      <c r="Q121" s="26">
        <f t="shared" si="11"/>
        <v>5</v>
      </c>
      <c r="R121" s="26" t="str">
        <f t="shared" si="12"/>
        <v/>
      </c>
      <c r="S121" s="26" t="str">
        <f t="shared" si="13"/>
        <v/>
      </c>
      <c r="T121" s="43" t="str">
        <f t="shared" si="13"/>
        <v/>
      </c>
    </row>
    <row r="122" spans="1:20" x14ac:dyDescent="0.4">
      <c r="A122">
        <v>11111113</v>
      </c>
      <c r="B122" s="47" cm="1">
        <f t="array" ref="B122">IFERROR((INDEX($P$4:$T$1000,MATCH(VALUE(LEFT($A122,LEN($A122)-1)),$A$4:$A$1000,0),VALUE(RIGHT($A122,1)))/ INDEX($O$4:$O$1000,MATCH(VALUE(LEFT($A122,LEN($A122)-1)),$A$4:$A$1000))) * INDEX($B$4:$B$1000,MATCH(VALUE(LEFT($A122,LEN($A122)-1)),$A$4:$A$1000)),"")</f>
        <v>4320</v>
      </c>
      <c r="C122" s="38" t="str" cm="1">
        <f t="array" ref="C122">IFERROR(IF(INDEX($D$4:$H$1000,MATCH(VALUE(LEFT($A122,LEN($A122)-1)),$A$4:$A$1000,0),VALUE(RIGHT($A122,1)))= 0,"",INDEX($D$4:$H$1000,MATCH(VALUE(LEFT($A122,LEN($A122)-1)),$A$4:$A$1000,0),VALUE(RIGHT($A122,1)))),"")</f>
        <v>硫酸</v>
      </c>
      <c r="D122" s="23" t="str">
        <f>IFERROR(IF(INDEX(使用レシピ!F:F,MATCH(テンプレート!$C122,使用レシピ!$E:$E,0))&lt;&gt;0,INDEX(使用レシピ!F:F,MATCH(テンプレート!$C122,使用レシピ!$E:$E,0)),""),"")</f>
        <v>硫黄</v>
      </c>
      <c r="E122" t="str">
        <f>IFERROR(IF(INDEX(使用レシピ!G:G,MATCH(テンプレート!$C122,使用レシピ!$E:$E,0))&lt;&gt;0,INDEX(使用レシピ!G:G,MATCH(テンプレート!$C122,使用レシピ!$E:$E,0)),""),"")</f>
        <v>水</v>
      </c>
      <c r="F122" t="str">
        <f>IFERROR(IF(INDEX(使用レシピ!H:H,MATCH(テンプレート!$C122,使用レシピ!$E:$E,0))&lt;&gt;0,INDEX(使用レシピ!H:H,MATCH(テンプレート!$C122,使用レシピ!$E:$E,0)),""),"")</f>
        <v/>
      </c>
      <c r="G122" t="str">
        <f>IFERROR(IF(INDEX(使用レシピ!I:I,MATCH(テンプレート!$C122,使用レシピ!$E:$E,0))&lt;&gt;0,INDEX(使用レシピ!I:I,MATCH(テンプレート!$C122,使用レシピ!$E:$E,0)),""),"")</f>
        <v/>
      </c>
      <c r="H122" s="24" t="str">
        <f>IFERROR(IF(INDEX(使用レシピ!J:J,MATCH(テンプレート!$C122,使用レシピ!$E:$E,0))&lt;&gt;0,INDEX(使用レシピ!J:J,MATCH(テンプレート!$C122,使用レシピ!$E:$E,0)),""),"")</f>
        <v/>
      </c>
      <c r="I122" s="36">
        <f>IFERROR(IF(INDEX(使用レシピ!P:P,MATCH(テンプレート!$C122,使用レシピ!$E:$E,0))&lt;&gt;0,INDEX(使用レシピ!P:P,MATCH(テンプレート!$C122,使用レシピ!$E:$E,0)),""),"")</f>
        <v>5</v>
      </c>
      <c r="J122">
        <f>IFERROR(IF(INDEX(使用レシピ!K:K,MATCH(テンプレート!$C122,使用レシピ!$E:$E,0))&lt;&gt;0,INDEX(使用レシピ!K:K,MATCH(テンプレート!$C122,使用レシピ!$E:$E,0)),""),"")</f>
        <v>5</v>
      </c>
      <c r="K122">
        <f>IFERROR(IF(INDEX(使用レシピ!L:L,MATCH(テンプレート!$C122,使用レシピ!$E:$E,0))&lt;&gt;0,INDEX(使用レシピ!L:L,MATCH(テンプレート!$C122,使用レシピ!$E:$E,0)),""),"")</f>
        <v>5</v>
      </c>
      <c r="L122" t="str">
        <f>IFERROR(IF(INDEX(使用レシピ!M:M,MATCH(テンプレート!$C122,使用レシピ!$E:$E,0))&lt;&gt;0,INDEX(使用レシピ!M:M,MATCH(テンプレート!$C122,使用レシピ!$E:$E,0)),""),"")</f>
        <v/>
      </c>
      <c r="M122" t="str">
        <f>IFERROR(IF(INDEX(使用レシピ!N:N,MATCH(テンプレート!$C122,使用レシピ!$E:$E,0))&lt;&gt;0,INDEX(使用レシピ!N:N,MATCH(テンプレート!$C122,使用レシピ!$E:$E,0)),""),"")</f>
        <v/>
      </c>
      <c r="N122" s="24" t="str">
        <f>IFERROR(IF(INDEX(使用レシピ!O:O,MATCH(テンプレート!$C122,使用レシピ!$E:$E,0))&lt;&gt;0,INDEX(使用レシピ!O:O,MATCH(テンプレート!$C122,使用レシピ!$E:$E,0)),""),"")</f>
        <v/>
      </c>
      <c r="O122" s="42">
        <f>IFERROR(IF(INDEX(使用レシピ!P:P,MATCH(テンプレート!$C122,使用レシピ!$E:$E,0))&lt;&gt;0,INDEX(使用レシピ!P:P,MATCH(テンプレート!$C122,使用レシピ!$E:$E,0)),""),"")</f>
        <v>5</v>
      </c>
      <c r="P122" s="25">
        <f t="shared" si="10"/>
        <v>5</v>
      </c>
      <c r="Q122" s="26">
        <f t="shared" si="11"/>
        <v>5</v>
      </c>
      <c r="R122" s="26" t="str">
        <f t="shared" si="12"/>
        <v/>
      </c>
      <c r="S122" s="26" t="str">
        <f t="shared" si="13"/>
        <v/>
      </c>
      <c r="T122" s="43" t="str">
        <f t="shared" si="13"/>
        <v/>
      </c>
    </row>
    <row r="123" spans="1:20" x14ac:dyDescent="0.4">
      <c r="A123">
        <v>11111114</v>
      </c>
      <c r="B123" s="47" t="str" cm="1">
        <f t="array" ref="B123">IFERROR((INDEX($P$4:$T$1000,MATCH(VALUE(LEFT($A123,LEN($A123)-1)),$A$4:$A$1000,0),VALUE(RIGHT($A123,1)))/ INDEX($O$4:$O$1000,MATCH(VALUE(LEFT($A123,LEN($A123)-1)),$A$4:$A$1000))) * INDEX($B$4:$B$1000,MATCH(VALUE(LEFT($A123,LEN($A123)-1)),$A$4:$A$1000)),"")</f>
        <v/>
      </c>
      <c r="C123" s="38" t="str" cm="1">
        <f t="array" ref="C123">IFERROR(IF(INDEX($D$4:$H$1000,MATCH(VALUE(LEFT($A123,LEN($A123)-1)),$A$4:$A$1000,0),VALUE(RIGHT($A123,1)))= 0,"",INDEX($D$4:$H$1000,MATCH(VALUE(LEFT($A123,LEN($A123)-1)),$A$4:$A$1000,0),VALUE(RIGHT($A123,1)))),"")</f>
        <v/>
      </c>
      <c r="D123" s="23" t="str">
        <f>IFERROR(IF(INDEX(使用レシピ!F:F,MATCH(テンプレート!$C123,使用レシピ!$E:$E,0))&lt;&gt;0,INDEX(使用レシピ!F:F,MATCH(テンプレート!$C123,使用レシピ!$E:$E,0)),""),"")</f>
        <v/>
      </c>
      <c r="E123" t="str">
        <f>IFERROR(IF(INDEX(使用レシピ!G:G,MATCH(テンプレート!$C123,使用レシピ!$E:$E,0))&lt;&gt;0,INDEX(使用レシピ!G:G,MATCH(テンプレート!$C123,使用レシピ!$E:$E,0)),""),"")</f>
        <v/>
      </c>
      <c r="F123" t="str">
        <f>IFERROR(IF(INDEX(使用レシピ!H:H,MATCH(テンプレート!$C123,使用レシピ!$E:$E,0))&lt;&gt;0,INDEX(使用レシピ!H:H,MATCH(テンプレート!$C123,使用レシピ!$E:$E,0)),""),"")</f>
        <v/>
      </c>
      <c r="G123" t="str">
        <f>IFERROR(IF(INDEX(使用レシピ!I:I,MATCH(テンプレート!$C123,使用レシピ!$E:$E,0))&lt;&gt;0,INDEX(使用レシピ!I:I,MATCH(テンプレート!$C123,使用レシピ!$E:$E,0)),""),"")</f>
        <v/>
      </c>
      <c r="H123" s="24" t="str">
        <f>IFERROR(IF(INDEX(使用レシピ!J:J,MATCH(テンプレート!$C123,使用レシピ!$E:$E,0))&lt;&gt;0,INDEX(使用レシピ!J:J,MATCH(テンプレート!$C123,使用レシピ!$E:$E,0)),""),"")</f>
        <v/>
      </c>
      <c r="I123" s="36" t="str">
        <f>IFERROR(IF(INDEX(使用レシピ!P:P,MATCH(テンプレート!$C123,使用レシピ!$E:$E,0))&lt;&gt;0,INDEX(使用レシピ!P:P,MATCH(テンプレート!$C123,使用レシピ!$E:$E,0)),""),"")</f>
        <v/>
      </c>
      <c r="J123" t="str">
        <f>IFERROR(IF(INDEX(使用レシピ!K:K,MATCH(テンプレート!$C123,使用レシピ!$E:$E,0))&lt;&gt;0,INDEX(使用レシピ!K:K,MATCH(テンプレート!$C123,使用レシピ!$E:$E,0)),""),"")</f>
        <v/>
      </c>
      <c r="K123" t="str">
        <f>IFERROR(IF(INDEX(使用レシピ!L:L,MATCH(テンプレート!$C123,使用レシピ!$E:$E,0))&lt;&gt;0,INDEX(使用レシピ!L:L,MATCH(テンプレート!$C123,使用レシピ!$E:$E,0)),""),"")</f>
        <v/>
      </c>
      <c r="L123" t="str">
        <f>IFERROR(IF(INDEX(使用レシピ!M:M,MATCH(テンプレート!$C123,使用レシピ!$E:$E,0))&lt;&gt;0,INDEX(使用レシピ!M:M,MATCH(テンプレート!$C123,使用レシピ!$E:$E,0)),""),"")</f>
        <v/>
      </c>
      <c r="M123" t="str">
        <f>IFERROR(IF(INDEX(使用レシピ!N:N,MATCH(テンプレート!$C123,使用レシピ!$E:$E,0))&lt;&gt;0,INDEX(使用レシピ!N:N,MATCH(テンプレート!$C123,使用レシピ!$E:$E,0)),""),"")</f>
        <v/>
      </c>
      <c r="N123" s="24" t="str">
        <f>IFERROR(IF(INDEX(使用レシピ!O:O,MATCH(テンプレート!$C123,使用レシピ!$E:$E,0))&lt;&gt;0,INDEX(使用レシピ!O:O,MATCH(テンプレート!$C123,使用レシピ!$E:$E,0)),""),"")</f>
        <v/>
      </c>
      <c r="O123" s="42" t="str">
        <f>IFERROR(IF(INDEX(使用レシピ!P:P,MATCH(テンプレート!$C123,使用レシピ!$E:$E,0))&lt;&gt;0,INDEX(使用レシピ!P:P,MATCH(テンプレート!$C123,使用レシピ!$E:$E,0)),""),"")</f>
        <v/>
      </c>
      <c r="P123" s="25" t="str">
        <f t="shared" si="10"/>
        <v/>
      </c>
      <c r="Q123" s="26" t="str">
        <f t="shared" si="11"/>
        <v/>
      </c>
      <c r="R123" s="26" t="str">
        <f t="shared" si="12"/>
        <v/>
      </c>
      <c r="S123" s="26" t="str">
        <f t="shared" si="13"/>
        <v/>
      </c>
      <c r="T123" s="43" t="str">
        <f t="shared" si="13"/>
        <v/>
      </c>
    </row>
    <row r="124" spans="1:20" x14ac:dyDescent="0.4">
      <c r="A124">
        <v>11111121</v>
      </c>
      <c r="B124" s="47" cm="1">
        <f t="array" ref="B124">IFERROR((INDEX($P$4:$T$1000,MATCH(VALUE(LEFT($A124,LEN($A124)-1)),$A$4:$A$1000,0),VALUE(RIGHT($A124,1)))/ INDEX($O$4:$O$1000,MATCH(VALUE(LEFT($A124,LEN($A124)-1)),$A$4:$A$1000))) * INDEX($B$4:$B$1000,MATCH(VALUE(LEFT($A124,LEN($A124)-1)),$A$4:$A$1000)),"")</f>
        <v>972</v>
      </c>
      <c r="C124" s="38" t="str" cm="1">
        <f t="array" ref="C124">IFERROR(IF(INDEX($D$4:$H$1000,MATCH(VALUE(LEFT($A124,LEN($A124)-1)),$A$4:$A$1000,0),VALUE(RIGHT($A124,1)))= 0,"",INDEX($D$4:$H$1000,MATCH(VALUE(LEFT($A124,LEN($A124)-1)),$A$4:$A$1000,0),VALUE(RIGHT($A124,1)))),"")</f>
        <v>鋼管</v>
      </c>
      <c r="D124" s="23" t="str">
        <f>IFERROR(IF(INDEX(使用レシピ!F:F,MATCH(テンプレート!$C124,使用レシピ!$E:$E,0))&lt;&gt;0,INDEX(使用レシピ!F:F,MATCH(テンプレート!$C124,使用レシピ!$E:$E,0)),""),"")</f>
        <v>鋼鉄のインゴット</v>
      </c>
      <c r="E124" t="str">
        <f>IFERROR(IF(INDEX(使用レシピ!G:G,MATCH(テンプレート!$C124,使用レシピ!$E:$E,0))&lt;&gt;0,INDEX(使用レシピ!G:G,MATCH(テンプレート!$C124,使用レシピ!$E:$E,0)),""),"")</f>
        <v>コンクリート</v>
      </c>
      <c r="F124" t="str">
        <f>IFERROR(IF(INDEX(使用レシピ!H:H,MATCH(テンプレート!$C124,使用レシピ!$E:$E,0))&lt;&gt;0,INDEX(使用レシピ!H:H,MATCH(テンプレート!$C124,使用レシピ!$E:$E,0)),""),"")</f>
        <v/>
      </c>
      <c r="G124" t="str">
        <f>IFERROR(IF(INDEX(使用レシピ!I:I,MATCH(テンプレート!$C124,使用レシピ!$E:$E,0))&lt;&gt;0,INDEX(使用レシピ!I:I,MATCH(テンプレート!$C124,使用レシピ!$E:$E,0)),""),"")</f>
        <v/>
      </c>
      <c r="H124" s="24" t="str">
        <f>IFERROR(IF(INDEX(使用レシピ!J:J,MATCH(テンプレート!$C124,使用レシピ!$E:$E,0))&lt;&gt;0,INDEX(使用レシピ!J:J,MATCH(テンプレート!$C124,使用レシピ!$E:$E,0)),""),"")</f>
        <v/>
      </c>
      <c r="I124" s="36">
        <f>IFERROR(IF(INDEX(使用レシピ!P:P,MATCH(テンプレート!$C124,使用レシピ!$E:$E,0))&lt;&gt;0,INDEX(使用レシピ!P:P,MATCH(テンプレート!$C124,使用レシピ!$E:$E,0)),""),"")</f>
        <v>5</v>
      </c>
      <c r="J124">
        <f>IFERROR(IF(INDEX(使用レシピ!K:K,MATCH(テンプレート!$C124,使用レシピ!$E:$E,0))&lt;&gt;0,INDEX(使用レシピ!K:K,MATCH(テンプレート!$C124,使用レシピ!$E:$E,0)),""),"")</f>
        <v>5</v>
      </c>
      <c r="K124">
        <f>IFERROR(IF(INDEX(使用レシピ!L:L,MATCH(テンプレート!$C124,使用レシピ!$E:$E,0))&lt;&gt;0,INDEX(使用レシピ!L:L,MATCH(テンプレート!$C124,使用レシピ!$E:$E,0)),""),"")</f>
        <v>3</v>
      </c>
      <c r="L124" t="str">
        <f>IFERROR(IF(INDEX(使用レシピ!M:M,MATCH(テンプレート!$C124,使用レシピ!$E:$E,0))&lt;&gt;0,INDEX(使用レシピ!M:M,MATCH(テンプレート!$C124,使用レシピ!$E:$E,0)),""),"")</f>
        <v/>
      </c>
      <c r="M124" t="str">
        <f>IFERROR(IF(INDEX(使用レシピ!N:N,MATCH(テンプレート!$C124,使用レシピ!$E:$E,0))&lt;&gt;0,INDEX(使用レシピ!N:N,MATCH(テンプレート!$C124,使用レシピ!$E:$E,0)),""),"")</f>
        <v/>
      </c>
      <c r="N124" s="24" t="str">
        <f>IFERROR(IF(INDEX(使用レシピ!O:O,MATCH(テンプレート!$C124,使用レシピ!$E:$E,0))&lt;&gt;0,INDEX(使用レシピ!O:O,MATCH(テンプレート!$C124,使用レシピ!$E:$E,0)),""),"")</f>
        <v/>
      </c>
      <c r="O124" s="42">
        <f>IFERROR(IF(INDEX(使用レシピ!P:P,MATCH(テンプレート!$C124,使用レシピ!$E:$E,0))&lt;&gt;0,INDEX(使用レシピ!P:P,MATCH(テンプレート!$C124,使用レシピ!$E:$E,0)),""),"")</f>
        <v>5</v>
      </c>
      <c r="P124" s="25">
        <f t="shared" si="10"/>
        <v>5</v>
      </c>
      <c r="Q124" s="26">
        <f t="shared" si="11"/>
        <v>3</v>
      </c>
      <c r="R124" s="26" t="str">
        <f t="shared" si="12"/>
        <v/>
      </c>
      <c r="S124" s="26" t="str">
        <f t="shared" si="13"/>
        <v/>
      </c>
      <c r="T124" s="43" t="str">
        <f t="shared" si="13"/>
        <v/>
      </c>
    </row>
    <row r="125" spans="1:20" x14ac:dyDescent="0.4">
      <c r="A125">
        <v>11111122</v>
      </c>
      <c r="B125" s="47" cm="1">
        <f t="array" ref="B125">IFERROR((INDEX($P$4:$T$1000,MATCH(VALUE(LEFT($A125,LEN($A125)-1)),$A$4:$A$1000,0),VALUE(RIGHT($A125,1)))/ INDEX($O$4:$O$1000,MATCH(VALUE(LEFT($A125,LEN($A125)-1)),$A$4:$A$1000))) * INDEX($B$4:$B$1000,MATCH(VALUE(LEFT($A125,LEN($A125)-1)),$A$4:$A$1000)),"")</f>
        <v>810</v>
      </c>
      <c r="C125" s="38" t="str" cm="1">
        <f t="array" ref="C125">IFERROR(IF(INDEX($D$4:$H$1000,MATCH(VALUE(LEFT($A125,LEN($A125)-1)),$A$4:$A$1000,0),VALUE(RIGHT($A125,1)))= 0,"",INDEX($D$4:$H$1000,MATCH(VALUE(LEFT($A125,LEN($A125)-1)),$A$4:$A$1000,0),VALUE(RIGHT($A125,1)))),"")</f>
        <v>コンクリート</v>
      </c>
      <c r="D125" s="23" t="str">
        <f>IFERROR(IF(INDEX(使用レシピ!F:F,MATCH(テンプレート!$C125,使用レシピ!$E:$E,0))&lt;&gt;0,INDEX(使用レシピ!F:F,MATCH(テンプレート!$C125,使用レシピ!$E:$E,0)),""),"")</f>
        <v>石灰岩</v>
      </c>
      <c r="E125" t="str">
        <f>IFERROR(IF(INDEX(使用レシピ!G:G,MATCH(テンプレート!$C125,使用レシピ!$E:$E,0))&lt;&gt;0,INDEX(使用レシピ!G:G,MATCH(テンプレート!$C125,使用レシピ!$E:$E,0)),""),"")</f>
        <v>水</v>
      </c>
      <c r="F125" t="str">
        <f>IFERROR(IF(INDEX(使用レシピ!H:H,MATCH(テンプレート!$C125,使用レシピ!$E:$E,0))&lt;&gt;0,INDEX(使用レシピ!H:H,MATCH(テンプレート!$C125,使用レシピ!$E:$E,0)),""),"")</f>
        <v/>
      </c>
      <c r="G125" t="str">
        <f>IFERROR(IF(INDEX(使用レシピ!I:I,MATCH(テンプレート!$C125,使用レシピ!$E:$E,0))&lt;&gt;0,INDEX(使用レシピ!I:I,MATCH(テンプレート!$C125,使用レシピ!$E:$E,0)),""),"")</f>
        <v/>
      </c>
      <c r="H125" s="24" t="str">
        <f>IFERROR(IF(INDEX(使用レシピ!J:J,MATCH(テンプレート!$C125,使用レシピ!$E:$E,0))&lt;&gt;0,INDEX(使用レシピ!J:J,MATCH(テンプレート!$C125,使用レシピ!$E:$E,0)),""),"")</f>
        <v/>
      </c>
      <c r="I125" s="36">
        <f>IFERROR(IF(INDEX(使用レシピ!P:P,MATCH(テンプレート!$C125,使用レシピ!$E:$E,0))&lt;&gt;0,INDEX(使用レシピ!P:P,MATCH(テンプレート!$C125,使用レシピ!$E:$E,0)),""),"")</f>
        <v>4</v>
      </c>
      <c r="J125">
        <f>IFERROR(IF(INDEX(使用レシピ!K:K,MATCH(テンプレート!$C125,使用レシピ!$E:$E,0))&lt;&gt;0,INDEX(使用レシピ!K:K,MATCH(テンプレート!$C125,使用レシピ!$E:$E,0)),""),"")</f>
        <v>6</v>
      </c>
      <c r="K125">
        <f>IFERROR(IF(INDEX(使用レシピ!L:L,MATCH(テンプレート!$C125,使用レシピ!$E:$E,0))&lt;&gt;0,INDEX(使用レシピ!L:L,MATCH(テンプレート!$C125,使用レシピ!$E:$E,0)),""),"")</f>
        <v>5</v>
      </c>
      <c r="L125" t="str">
        <f>IFERROR(IF(INDEX(使用レシピ!M:M,MATCH(テンプレート!$C125,使用レシピ!$E:$E,0))&lt;&gt;0,INDEX(使用レシピ!M:M,MATCH(テンプレート!$C125,使用レシピ!$E:$E,0)),""),"")</f>
        <v/>
      </c>
      <c r="M125" t="str">
        <f>IFERROR(IF(INDEX(使用レシピ!N:N,MATCH(テンプレート!$C125,使用レシピ!$E:$E,0))&lt;&gt;0,INDEX(使用レシピ!N:N,MATCH(テンプレート!$C125,使用レシピ!$E:$E,0)),""),"")</f>
        <v/>
      </c>
      <c r="N125" s="24" t="str">
        <f>IFERROR(IF(INDEX(使用レシピ!O:O,MATCH(テンプレート!$C125,使用レシピ!$E:$E,0))&lt;&gt;0,INDEX(使用レシピ!O:O,MATCH(テンプレート!$C125,使用レシピ!$E:$E,0)),""),"")</f>
        <v/>
      </c>
      <c r="O125" s="42">
        <f>IFERROR(IF(INDEX(使用レシピ!P:P,MATCH(テンプレート!$C125,使用レシピ!$E:$E,0))&lt;&gt;0,INDEX(使用レシピ!P:P,MATCH(テンプレート!$C125,使用レシピ!$E:$E,0)),""),"")</f>
        <v>4</v>
      </c>
      <c r="P125" s="25">
        <f t="shared" si="10"/>
        <v>6</v>
      </c>
      <c r="Q125" s="26">
        <f t="shared" si="11"/>
        <v>5</v>
      </c>
      <c r="R125" s="26" t="str">
        <f t="shared" si="12"/>
        <v/>
      </c>
      <c r="S125" s="26" t="str">
        <f t="shared" si="13"/>
        <v/>
      </c>
      <c r="T125" s="43" t="str">
        <f t="shared" si="13"/>
        <v/>
      </c>
    </row>
    <row r="126" spans="1:20" x14ac:dyDescent="0.4">
      <c r="A126">
        <v>11111131</v>
      </c>
      <c r="B126" s="47" cm="1">
        <f t="array" ref="B126">IFERROR((INDEX($P$4:$T$1000,MATCH(VALUE(LEFT($A126,LEN($A126)-1)),$A$4:$A$1000,0),VALUE(RIGHT($A126,1)))/ INDEX($O$4:$O$1000,MATCH(VALUE(LEFT($A126,LEN($A126)-1)),$A$4:$A$1000))) * INDEX($B$4:$B$1000,MATCH(VALUE(LEFT($A126,LEN($A126)-1)),$A$4:$A$1000)),"")</f>
        <v>405</v>
      </c>
      <c r="C126" s="38" t="str" cm="1">
        <f t="array" ref="C126">IFERROR(IF(INDEX($D$4:$H$1000,MATCH(VALUE(LEFT($A126,LEN($A126)-1)),$A$4:$A$1000,0),VALUE(RIGHT($A126,1)))= 0,"",INDEX($D$4:$H$1000,MATCH(VALUE(LEFT($A126,LEN($A126)-1)),$A$4:$A$1000,0),VALUE(RIGHT($A126,1)))),"")</f>
        <v>固定子</v>
      </c>
      <c r="D126" s="23" t="str">
        <f>IFERROR(IF(INDEX(使用レシピ!F:F,MATCH(テンプレート!$C126,使用レシピ!$E:$E,0))&lt;&gt;0,INDEX(使用レシピ!F:F,MATCH(テンプレート!$C126,使用レシピ!$E:$E,0)),""),"")</f>
        <v>鋼管</v>
      </c>
      <c r="E126" t="str">
        <f>IFERROR(IF(INDEX(使用レシピ!G:G,MATCH(テンプレート!$C126,使用レシピ!$E:$E,0))&lt;&gt;0,INDEX(使用レシピ!G:G,MATCH(テンプレート!$C126,使用レシピ!$E:$E,0)),""),"")</f>
        <v>ワイヤー</v>
      </c>
      <c r="F126" t="str">
        <f>IFERROR(IF(INDEX(使用レシピ!H:H,MATCH(テンプレート!$C126,使用レシピ!$E:$E,0))&lt;&gt;0,INDEX(使用レシピ!H:H,MATCH(テンプレート!$C126,使用レシピ!$E:$E,0)),""),"")</f>
        <v/>
      </c>
      <c r="G126" t="str">
        <f>IFERROR(IF(INDEX(使用レシピ!I:I,MATCH(テンプレート!$C126,使用レシピ!$E:$E,0))&lt;&gt;0,INDEX(使用レシピ!I:I,MATCH(テンプレート!$C126,使用レシピ!$E:$E,0)),""),"")</f>
        <v/>
      </c>
      <c r="H126" s="24" t="str">
        <f>IFERROR(IF(INDEX(使用レシピ!J:J,MATCH(テンプレート!$C126,使用レシピ!$E:$E,0))&lt;&gt;0,INDEX(使用レシピ!J:J,MATCH(テンプレート!$C126,使用レシピ!$E:$E,0)),""),"")</f>
        <v/>
      </c>
      <c r="I126" s="36">
        <f>IFERROR(IF(INDEX(使用レシピ!P:P,MATCH(テンプレート!$C126,使用レシピ!$E:$E,0))&lt;&gt;0,INDEX(使用レシピ!P:P,MATCH(テンプレート!$C126,使用レシピ!$E:$E,0)),""),"")</f>
        <v>1</v>
      </c>
      <c r="J126">
        <f>IFERROR(IF(INDEX(使用レシピ!K:K,MATCH(テンプレート!$C126,使用レシピ!$E:$E,0))&lt;&gt;0,INDEX(使用レシピ!K:K,MATCH(テンプレート!$C126,使用レシピ!$E:$E,0)),""),"")</f>
        <v>3</v>
      </c>
      <c r="K126">
        <f>IFERROR(IF(INDEX(使用レシピ!L:L,MATCH(テンプレート!$C126,使用レシピ!$E:$E,0))&lt;&gt;0,INDEX(使用レシピ!L:L,MATCH(テンプレート!$C126,使用レシピ!$E:$E,0)),""),"")</f>
        <v>8</v>
      </c>
      <c r="L126" t="str">
        <f>IFERROR(IF(INDEX(使用レシピ!M:M,MATCH(テンプレート!$C126,使用レシピ!$E:$E,0))&lt;&gt;0,INDEX(使用レシピ!M:M,MATCH(テンプレート!$C126,使用レシピ!$E:$E,0)),""),"")</f>
        <v/>
      </c>
      <c r="M126" t="str">
        <f>IFERROR(IF(INDEX(使用レシピ!N:N,MATCH(テンプレート!$C126,使用レシピ!$E:$E,0))&lt;&gt;0,INDEX(使用レシピ!N:N,MATCH(テンプレート!$C126,使用レシピ!$E:$E,0)),""),"")</f>
        <v/>
      </c>
      <c r="N126" s="24" t="str">
        <f>IFERROR(IF(INDEX(使用レシピ!O:O,MATCH(テンプレート!$C126,使用レシピ!$E:$E,0))&lt;&gt;0,INDEX(使用レシピ!O:O,MATCH(テンプレート!$C126,使用レシピ!$E:$E,0)),""),"")</f>
        <v/>
      </c>
      <c r="O126" s="42">
        <f>IFERROR(IF(INDEX(使用レシピ!P:P,MATCH(テンプレート!$C126,使用レシピ!$E:$E,0))&lt;&gt;0,INDEX(使用レシピ!P:P,MATCH(テンプレート!$C126,使用レシピ!$E:$E,0)),""),"")</f>
        <v>1</v>
      </c>
      <c r="P126" s="25">
        <f t="shared" si="10"/>
        <v>3</v>
      </c>
      <c r="Q126" s="26">
        <f t="shared" si="11"/>
        <v>8</v>
      </c>
      <c r="R126" s="26" t="str">
        <f t="shared" si="12"/>
        <v/>
      </c>
      <c r="S126" s="26" t="str">
        <f t="shared" si="13"/>
        <v/>
      </c>
      <c r="T126" s="43" t="str">
        <f t="shared" si="13"/>
        <v/>
      </c>
    </row>
    <row r="127" spans="1:20" x14ac:dyDescent="0.4">
      <c r="A127">
        <v>11111132</v>
      </c>
      <c r="B127" s="47" cm="1">
        <f t="array" ref="B127">IFERROR((INDEX($P$4:$T$1000,MATCH(VALUE(LEFT($A127,LEN($A127)-1)),$A$4:$A$1000,0),VALUE(RIGHT($A127,1)))/ INDEX($O$4:$O$1000,MATCH(VALUE(LEFT($A127,LEN($A127)-1)),$A$4:$A$1000))) * INDEX($B$4:$B$1000,MATCH(VALUE(LEFT($A127,LEN($A127)-1)),$A$4:$A$1000)),"")</f>
        <v>270</v>
      </c>
      <c r="C127" s="38" t="str" cm="1">
        <f t="array" ref="C127">IFERROR(IF(INDEX($D$4:$H$1000,MATCH(VALUE(LEFT($A127,LEN($A127)-1)),$A$4:$A$1000,0),VALUE(RIGHT($A127,1)))= 0,"",INDEX($D$4:$H$1000,MATCH(VALUE(LEFT($A127,LEN($A127)-1)),$A$4:$A$1000,0),VALUE(RIGHT($A127,1)))),"")</f>
        <v>AIリミッター</v>
      </c>
      <c r="D127" s="23" t="str">
        <f>IFERROR(IF(INDEX(使用レシピ!F:F,MATCH(テンプレート!$C127,使用レシピ!$E:$E,0))&lt;&gt;0,INDEX(使用レシピ!F:F,MATCH(テンプレート!$C127,使用レシピ!$E:$E,0)),""),"")</f>
        <v>銅板</v>
      </c>
      <c r="E127" t="str">
        <f>IFERROR(IF(INDEX(使用レシピ!G:G,MATCH(テンプレート!$C127,使用レシピ!$E:$E,0))&lt;&gt;0,INDEX(使用レシピ!G:G,MATCH(テンプレート!$C127,使用レシピ!$E:$E,0)),""),"")</f>
        <v>クイックワイヤー</v>
      </c>
      <c r="F127" t="str">
        <f>IFERROR(IF(INDEX(使用レシピ!H:H,MATCH(テンプレート!$C127,使用レシピ!$E:$E,0))&lt;&gt;0,INDEX(使用レシピ!H:H,MATCH(テンプレート!$C127,使用レシピ!$E:$E,0)),""),"")</f>
        <v/>
      </c>
      <c r="G127" t="str">
        <f>IFERROR(IF(INDEX(使用レシピ!I:I,MATCH(テンプレート!$C127,使用レシピ!$E:$E,0))&lt;&gt;0,INDEX(使用レシピ!I:I,MATCH(テンプレート!$C127,使用レシピ!$E:$E,0)),""),"")</f>
        <v/>
      </c>
      <c r="H127" s="24" t="str">
        <f>IFERROR(IF(INDEX(使用レシピ!J:J,MATCH(テンプレート!$C127,使用レシピ!$E:$E,0))&lt;&gt;0,INDEX(使用レシピ!J:J,MATCH(テンプレート!$C127,使用レシピ!$E:$E,0)),""),"")</f>
        <v/>
      </c>
      <c r="I127" s="36">
        <f>IFERROR(IF(INDEX(使用レシピ!P:P,MATCH(テンプレート!$C127,使用レシピ!$E:$E,0))&lt;&gt;0,INDEX(使用レシピ!P:P,MATCH(テンプレート!$C127,使用レシピ!$E:$E,0)),""),"")</f>
        <v>1</v>
      </c>
      <c r="J127">
        <f>IFERROR(IF(INDEX(使用レシピ!K:K,MATCH(テンプレート!$C127,使用レシピ!$E:$E,0))&lt;&gt;0,INDEX(使用レシピ!K:K,MATCH(テンプレート!$C127,使用レシピ!$E:$E,0)),""),"")</f>
        <v>5</v>
      </c>
      <c r="K127">
        <f>IFERROR(IF(INDEX(使用レシピ!L:L,MATCH(テンプレート!$C127,使用レシピ!$E:$E,0))&lt;&gt;0,INDEX(使用レシピ!L:L,MATCH(テンプレート!$C127,使用レシピ!$E:$E,0)),""),"")</f>
        <v>20</v>
      </c>
      <c r="L127" t="str">
        <f>IFERROR(IF(INDEX(使用レシピ!M:M,MATCH(テンプレート!$C127,使用レシピ!$E:$E,0))&lt;&gt;0,INDEX(使用レシピ!M:M,MATCH(テンプレート!$C127,使用レシピ!$E:$E,0)),""),"")</f>
        <v/>
      </c>
      <c r="M127" t="str">
        <f>IFERROR(IF(INDEX(使用レシピ!N:N,MATCH(テンプレート!$C127,使用レシピ!$E:$E,0))&lt;&gt;0,INDEX(使用レシピ!N:N,MATCH(テンプレート!$C127,使用レシピ!$E:$E,0)),""),"")</f>
        <v/>
      </c>
      <c r="N127" s="24" t="str">
        <f>IFERROR(IF(INDEX(使用レシピ!O:O,MATCH(テンプレート!$C127,使用レシピ!$E:$E,0))&lt;&gt;0,INDEX(使用レシピ!O:O,MATCH(テンプレート!$C127,使用レシピ!$E:$E,0)),""),"")</f>
        <v/>
      </c>
      <c r="O127" s="42">
        <f>IFERROR(IF(INDEX(使用レシピ!P:P,MATCH(テンプレート!$C127,使用レシピ!$E:$E,0))&lt;&gt;0,INDEX(使用レシピ!P:P,MATCH(テンプレート!$C127,使用レシピ!$E:$E,0)),""),"")</f>
        <v>1</v>
      </c>
      <c r="P127" s="25">
        <f t="shared" si="10"/>
        <v>5</v>
      </c>
      <c r="Q127" s="26">
        <f t="shared" si="11"/>
        <v>20</v>
      </c>
      <c r="R127" s="26" t="str">
        <f t="shared" si="12"/>
        <v/>
      </c>
      <c r="S127" s="26" t="str">
        <f t="shared" si="13"/>
        <v/>
      </c>
      <c r="T127" s="43" t="str">
        <f t="shared" si="13"/>
        <v/>
      </c>
    </row>
    <row r="128" spans="1:20" x14ac:dyDescent="0.4">
      <c r="A128">
        <v>11111133</v>
      </c>
      <c r="B128" s="47" t="str" cm="1">
        <f t="array" ref="B128">IFERROR((INDEX($P$4:$T$1000,MATCH(VALUE(LEFT($A128,LEN($A128)-1)),$A$4:$A$1000,0),VALUE(RIGHT($A128,1)))/ INDEX($O$4:$O$1000,MATCH(VALUE(LEFT($A128,LEN($A128)-1)),$A$4:$A$1000))) * INDEX($B$4:$B$1000,MATCH(VALUE(LEFT($A128,LEN($A128)-1)),$A$4:$A$1000)),"")</f>
        <v/>
      </c>
      <c r="C128" s="38" t="str" cm="1">
        <f t="array" ref="C128">IFERROR(IF(INDEX($D$4:$H$1000,MATCH(VALUE(LEFT($A128,LEN($A128)-1)),$A$4:$A$1000,0),VALUE(RIGHT($A128,1)))= 0,"",INDEX($D$4:$H$1000,MATCH(VALUE(LEFT($A128,LEN($A128)-1)),$A$4:$A$1000,0),VALUE(RIGHT($A128,1)))),"")</f>
        <v/>
      </c>
      <c r="D128" s="23" t="str">
        <f>IFERROR(IF(INDEX(使用レシピ!F:F,MATCH(テンプレート!$C128,使用レシピ!$E:$E,0))&lt;&gt;0,INDEX(使用レシピ!F:F,MATCH(テンプレート!$C128,使用レシピ!$E:$E,0)),""),"")</f>
        <v/>
      </c>
      <c r="E128" t="str">
        <f>IFERROR(IF(INDEX(使用レシピ!G:G,MATCH(テンプレート!$C128,使用レシピ!$E:$E,0))&lt;&gt;0,INDEX(使用レシピ!G:G,MATCH(テンプレート!$C128,使用レシピ!$E:$E,0)),""),"")</f>
        <v/>
      </c>
      <c r="F128" t="str">
        <f>IFERROR(IF(INDEX(使用レシピ!H:H,MATCH(テンプレート!$C128,使用レシピ!$E:$E,0))&lt;&gt;0,INDEX(使用レシピ!H:H,MATCH(テンプレート!$C128,使用レシピ!$E:$E,0)),""),"")</f>
        <v/>
      </c>
      <c r="G128" t="str">
        <f>IFERROR(IF(INDEX(使用レシピ!I:I,MATCH(テンプレート!$C128,使用レシピ!$E:$E,0))&lt;&gt;0,INDEX(使用レシピ!I:I,MATCH(テンプレート!$C128,使用レシピ!$E:$E,0)),""),"")</f>
        <v/>
      </c>
      <c r="H128" s="24" t="str">
        <f>IFERROR(IF(INDEX(使用レシピ!J:J,MATCH(テンプレート!$C128,使用レシピ!$E:$E,0))&lt;&gt;0,INDEX(使用レシピ!J:J,MATCH(テンプレート!$C128,使用レシピ!$E:$E,0)),""),"")</f>
        <v/>
      </c>
      <c r="I128" s="36" t="str">
        <f>IFERROR(IF(INDEX(使用レシピ!P:P,MATCH(テンプレート!$C128,使用レシピ!$E:$E,0))&lt;&gt;0,INDEX(使用レシピ!P:P,MATCH(テンプレート!$C128,使用レシピ!$E:$E,0)),""),"")</f>
        <v/>
      </c>
      <c r="J128" t="str">
        <f>IFERROR(IF(INDEX(使用レシピ!K:K,MATCH(テンプレート!$C128,使用レシピ!$E:$E,0))&lt;&gt;0,INDEX(使用レシピ!K:K,MATCH(テンプレート!$C128,使用レシピ!$E:$E,0)),""),"")</f>
        <v/>
      </c>
      <c r="K128" t="str">
        <f>IFERROR(IF(INDEX(使用レシピ!L:L,MATCH(テンプレート!$C128,使用レシピ!$E:$E,0))&lt;&gt;0,INDEX(使用レシピ!L:L,MATCH(テンプレート!$C128,使用レシピ!$E:$E,0)),""),"")</f>
        <v/>
      </c>
      <c r="L128" t="str">
        <f>IFERROR(IF(INDEX(使用レシピ!M:M,MATCH(テンプレート!$C128,使用レシピ!$E:$E,0))&lt;&gt;0,INDEX(使用レシピ!M:M,MATCH(テンプレート!$C128,使用レシピ!$E:$E,0)),""),"")</f>
        <v/>
      </c>
      <c r="M128" t="str">
        <f>IFERROR(IF(INDEX(使用レシピ!N:N,MATCH(テンプレート!$C128,使用レシピ!$E:$E,0))&lt;&gt;0,INDEX(使用レシピ!N:N,MATCH(テンプレート!$C128,使用レシピ!$E:$E,0)),""),"")</f>
        <v/>
      </c>
      <c r="N128" s="24" t="str">
        <f>IFERROR(IF(INDEX(使用レシピ!O:O,MATCH(テンプレート!$C128,使用レシピ!$E:$E,0))&lt;&gt;0,INDEX(使用レシピ!O:O,MATCH(テンプレート!$C128,使用レシピ!$E:$E,0)),""),"")</f>
        <v/>
      </c>
      <c r="O128" s="42" t="str">
        <f>IFERROR(IF(INDEX(使用レシピ!P:P,MATCH(テンプレート!$C128,使用レシピ!$E:$E,0))&lt;&gt;0,INDEX(使用レシピ!P:P,MATCH(テンプレート!$C128,使用レシピ!$E:$E,0)),""),"")</f>
        <v/>
      </c>
      <c r="P128" s="25" t="str">
        <f t="shared" si="10"/>
        <v/>
      </c>
      <c r="Q128" s="26" t="str">
        <f t="shared" si="11"/>
        <v/>
      </c>
      <c r="R128" s="26" t="str">
        <f t="shared" si="12"/>
        <v/>
      </c>
      <c r="S128" s="26" t="str">
        <f t="shared" si="13"/>
        <v/>
      </c>
      <c r="T128" s="43" t="str">
        <f t="shared" si="13"/>
        <v/>
      </c>
    </row>
    <row r="129" spans="1:20" x14ac:dyDescent="0.4">
      <c r="A129">
        <v>11111141</v>
      </c>
      <c r="B129" s="47" t="str" cm="1">
        <f t="array" ref="B129">IFERROR((INDEX($P$4:$T$1000,MATCH(VALUE(LEFT($A129,LEN($A129)-1)),$A$4:$A$1000,0),VALUE(RIGHT($A129,1)))/ INDEX($O$4:$O$1000,MATCH(VALUE(LEFT($A129,LEN($A129)-1)),$A$4:$A$1000))) * INDEX($B$4:$B$1000,MATCH(VALUE(LEFT($A129,LEN($A129)-1)),$A$4:$A$1000)),"")</f>
        <v/>
      </c>
      <c r="C129" s="38" t="str" cm="1">
        <f t="array" ref="C129">IFERROR(IF(INDEX($D$4:$H$1000,MATCH(VALUE(LEFT($A129,LEN($A129)-1)),$A$4:$A$1000,0),VALUE(RIGHT($A129,1)))= 0,"",INDEX($D$4:$H$1000,MATCH(VALUE(LEFT($A129,LEN($A129)-1)),$A$4:$A$1000,0),VALUE(RIGHT($A129,1)))),"")</f>
        <v/>
      </c>
      <c r="D129" s="23" t="str">
        <f>IFERROR(IF(INDEX(使用レシピ!F:F,MATCH(テンプレート!$C129,使用レシピ!$E:$E,0))&lt;&gt;0,INDEX(使用レシピ!F:F,MATCH(テンプレート!$C129,使用レシピ!$E:$E,0)),""),"")</f>
        <v/>
      </c>
      <c r="E129" t="str">
        <f>IFERROR(IF(INDEX(使用レシピ!G:G,MATCH(テンプレート!$C129,使用レシピ!$E:$E,0))&lt;&gt;0,INDEX(使用レシピ!G:G,MATCH(テンプレート!$C129,使用レシピ!$E:$E,0)),""),"")</f>
        <v/>
      </c>
      <c r="F129" t="str">
        <f>IFERROR(IF(INDEX(使用レシピ!H:H,MATCH(テンプレート!$C129,使用レシピ!$E:$E,0))&lt;&gt;0,INDEX(使用レシピ!H:H,MATCH(テンプレート!$C129,使用レシピ!$E:$E,0)),""),"")</f>
        <v/>
      </c>
      <c r="G129" t="str">
        <f>IFERROR(IF(INDEX(使用レシピ!I:I,MATCH(テンプレート!$C129,使用レシピ!$E:$E,0))&lt;&gt;0,INDEX(使用レシピ!I:I,MATCH(テンプレート!$C129,使用レシピ!$E:$E,0)),""),"")</f>
        <v/>
      </c>
      <c r="H129" s="24" t="str">
        <f>IFERROR(IF(INDEX(使用レシピ!J:J,MATCH(テンプレート!$C129,使用レシピ!$E:$E,0))&lt;&gt;0,INDEX(使用レシピ!J:J,MATCH(テンプレート!$C129,使用レシピ!$E:$E,0)),""),"")</f>
        <v/>
      </c>
      <c r="I129" s="36" t="str">
        <f>IFERROR(IF(INDEX(使用レシピ!P:P,MATCH(テンプレート!$C129,使用レシピ!$E:$E,0))&lt;&gt;0,INDEX(使用レシピ!P:P,MATCH(テンプレート!$C129,使用レシピ!$E:$E,0)),""),"")</f>
        <v/>
      </c>
      <c r="J129" t="str">
        <f>IFERROR(IF(INDEX(使用レシピ!K:K,MATCH(テンプレート!$C129,使用レシピ!$E:$E,0))&lt;&gt;0,INDEX(使用レシピ!K:K,MATCH(テンプレート!$C129,使用レシピ!$E:$E,0)),""),"")</f>
        <v/>
      </c>
      <c r="K129" t="str">
        <f>IFERROR(IF(INDEX(使用レシピ!L:L,MATCH(テンプレート!$C129,使用レシピ!$E:$E,0))&lt;&gt;0,INDEX(使用レシピ!L:L,MATCH(テンプレート!$C129,使用レシピ!$E:$E,0)),""),"")</f>
        <v/>
      </c>
      <c r="L129" t="str">
        <f>IFERROR(IF(INDEX(使用レシピ!M:M,MATCH(テンプレート!$C129,使用レシピ!$E:$E,0))&lt;&gt;0,INDEX(使用レシピ!M:M,MATCH(テンプレート!$C129,使用レシピ!$E:$E,0)),""),"")</f>
        <v/>
      </c>
      <c r="M129" t="str">
        <f>IFERROR(IF(INDEX(使用レシピ!N:N,MATCH(テンプレート!$C129,使用レシピ!$E:$E,0))&lt;&gt;0,INDEX(使用レシピ!N:N,MATCH(テンプレート!$C129,使用レシピ!$E:$E,0)),""),"")</f>
        <v/>
      </c>
      <c r="N129" s="24" t="str">
        <f>IFERROR(IF(INDEX(使用レシピ!O:O,MATCH(テンプレート!$C129,使用レシピ!$E:$E,0))&lt;&gt;0,INDEX(使用レシピ!O:O,MATCH(テンプレート!$C129,使用レシピ!$E:$E,0)),""),"")</f>
        <v/>
      </c>
      <c r="O129" s="42" t="str">
        <f>IFERROR(IF(INDEX(使用レシピ!P:P,MATCH(テンプレート!$C129,使用レシピ!$E:$E,0))&lt;&gt;0,INDEX(使用レシピ!P:P,MATCH(テンプレート!$C129,使用レシピ!$E:$E,0)),""),"")</f>
        <v/>
      </c>
      <c r="P129" s="25" t="str">
        <f t="shared" si="10"/>
        <v/>
      </c>
      <c r="Q129" s="26" t="str">
        <f t="shared" si="11"/>
        <v/>
      </c>
      <c r="R129" s="26" t="str">
        <f t="shared" si="12"/>
        <v/>
      </c>
      <c r="S129" s="26" t="str">
        <f t="shared" si="13"/>
        <v/>
      </c>
      <c r="T129" s="43" t="str">
        <f t="shared" si="13"/>
        <v/>
      </c>
    </row>
    <row r="130" spans="1:20" x14ac:dyDescent="0.4">
      <c r="A130">
        <v>11111142</v>
      </c>
      <c r="B130" s="47" t="str" cm="1">
        <f t="array" ref="B130">IFERROR((INDEX($P$4:$T$1000,MATCH(VALUE(LEFT($A130,LEN($A130)-1)),$A$4:$A$1000,0),VALUE(RIGHT($A130,1)))/ INDEX($O$4:$O$1000,MATCH(VALUE(LEFT($A130,LEN($A130)-1)),$A$4:$A$1000))) * INDEX($B$4:$B$1000,MATCH(VALUE(LEFT($A130,LEN($A130)-1)),$A$4:$A$1000)),"")</f>
        <v/>
      </c>
      <c r="C130" s="38" t="str" cm="1">
        <f t="array" ref="C130">IFERROR(IF(INDEX($D$4:$H$1000,MATCH(VALUE(LEFT($A130,LEN($A130)-1)),$A$4:$A$1000,0),VALUE(RIGHT($A130,1)))= 0,"",INDEX($D$4:$H$1000,MATCH(VALUE(LEFT($A130,LEN($A130)-1)),$A$4:$A$1000,0),VALUE(RIGHT($A130,1)))),"")</f>
        <v/>
      </c>
      <c r="D130" s="23" t="str">
        <f>IFERROR(IF(INDEX(使用レシピ!F:F,MATCH(テンプレート!$C130,使用レシピ!$E:$E,0))&lt;&gt;0,INDEX(使用レシピ!F:F,MATCH(テンプレート!$C130,使用レシピ!$E:$E,0)),""),"")</f>
        <v/>
      </c>
      <c r="E130" t="str">
        <f>IFERROR(IF(INDEX(使用レシピ!G:G,MATCH(テンプレート!$C130,使用レシピ!$E:$E,0))&lt;&gt;0,INDEX(使用レシピ!G:G,MATCH(テンプレート!$C130,使用レシピ!$E:$E,0)),""),"")</f>
        <v/>
      </c>
      <c r="F130" t="str">
        <f>IFERROR(IF(INDEX(使用レシピ!H:H,MATCH(テンプレート!$C130,使用レシピ!$E:$E,0))&lt;&gt;0,INDEX(使用レシピ!H:H,MATCH(テンプレート!$C130,使用レシピ!$E:$E,0)),""),"")</f>
        <v/>
      </c>
      <c r="G130" t="str">
        <f>IFERROR(IF(INDEX(使用レシピ!I:I,MATCH(テンプレート!$C130,使用レシピ!$E:$E,0))&lt;&gt;0,INDEX(使用レシピ!I:I,MATCH(テンプレート!$C130,使用レシピ!$E:$E,0)),""),"")</f>
        <v/>
      </c>
      <c r="H130" s="24" t="str">
        <f>IFERROR(IF(INDEX(使用レシピ!J:J,MATCH(テンプレート!$C130,使用レシピ!$E:$E,0))&lt;&gt;0,INDEX(使用レシピ!J:J,MATCH(テンプレート!$C130,使用レシピ!$E:$E,0)),""),"")</f>
        <v/>
      </c>
      <c r="I130" s="36" t="str">
        <f>IFERROR(IF(INDEX(使用レシピ!P:P,MATCH(テンプレート!$C130,使用レシピ!$E:$E,0))&lt;&gt;0,INDEX(使用レシピ!P:P,MATCH(テンプレート!$C130,使用レシピ!$E:$E,0)),""),"")</f>
        <v/>
      </c>
      <c r="J130" t="str">
        <f>IFERROR(IF(INDEX(使用レシピ!K:K,MATCH(テンプレート!$C130,使用レシピ!$E:$E,0))&lt;&gt;0,INDEX(使用レシピ!K:K,MATCH(テンプレート!$C130,使用レシピ!$E:$E,0)),""),"")</f>
        <v/>
      </c>
      <c r="K130" t="str">
        <f>IFERROR(IF(INDEX(使用レシピ!L:L,MATCH(テンプレート!$C130,使用レシピ!$E:$E,0))&lt;&gt;0,INDEX(使用レシピ!L:L,MATCH(テンプレート!$C130,使用レシピ!$E:$E,0)),""),"")</f>
        <v/>
      </c>
      <c r="L130" t="str">
        <f>IFERROR(IF(INDEX(使用レシピ!M:M,MATCH(テンプレート!$C130,使用レシピ!$E:$E,0))&lt;&gt;0,INDEX(使用レシピ!M:M,MATCH(テンプレート!$C130,使用レシピ!$E:$E,0)),""),"")</f>
        <v/>
      </c>
      <c r="M130" t="str">
        <f>IFERROR(IF(INDEX(使用レシピ!N:N,MATCH(テンプレート!$C130,使用レシピ!$E:$E,0))&lt;&gt;0,INDEX(使用レシピ!N:N,MATCH(テンプレート!$C130,使用レシピ!$E:$E,0)),""),"")</f>
        <v/>
      </c>
      <c r="N130" s="24" t="str">
        <f>IFERROR(IF(INDEX(使用レシピ!O:O,MATCH(テンプレート!$C130,使用レシピ!$E:$E,0))&lt;&gt;0,INDEX(使用レシピ!O:O,MATCH(テンプレート!$C130,使用レシピ!$E:$E,0)),""),"")</f>
        <v/>
      </c>
      <c r="O130" s="42" t="str">
        <f>IFERROR(IF(INDEX(使用レシピ!P:P,MATCH(テンプレート!$C130,使用レシピ!$E:$E,0))&lt;&gt;0,INDEX(使用レシピ!P:P,MATCH(テンプレート!$C130,使用レシピ!$E:$E,0)),""),"")</f>
        <v/>
      </c>
      <c r="P130" s="25" t="str">
        <f t="shared" si="10"/>
        <v/>
      </c>
      <c r="Q130" s="26" t="str">
        <f t="shared" si="11"/>
        <v/>
      </c>
      <c r="R130" s="26" t="str">
        <f t="shared" si="12"/>
        <v/>
      </c>
      <c r="S130" s="26" t="str">
        <f t="shared" si="13"/>
        <v/>
      </c>
      <c r="T130" s="43" t="str">
        <f t="shared" si="13"/>
        <v/>
      </c>
    </row>
    <row r="131" spans="1:20" x14ac:dyDescent="0.4">
      <c r="A131">
        <v>11113311</v>
      </c>
      <c r="B131" s="47" cm="1">
        <f t="array" ref="B131">IFERROR((INDEX($P$4:$T$1000,MATCH(VALUE(LEFT($A131,LEN($A131)-1)),$A$4:$A$1000,0),VALUE(RIGHT($A131,1)))/ INDEX($O$4:$O$1000,MATCH(VALUE(LEFT($A131,LEN($A131)-1)),$A$4:$A$1000))) * INDEX($B$4:$B$1000,MATCH(VALUE(LEFT($A131,LEN($A131)-1)),$A$4:$A$1000)),"")</f>
        <v>290.76923076923077</v>
      </c>
      <c r="C131" s="38" t="str" cm="1">
        <f t="array" ref="C131">IFERROR(IF(INDEX($D$4:$H$1000,MATCH(VALUE(LEFT($A131,LEN($A131)-1)),$A$4:$A$1000,0),VALUE(RIGHT($A131,1)))= 0,"",INDEX($D$4:$H$1000,MATCH(VALUE(LEFT($A131,LEN($A131)-1)),$A$4:$A$1000,0),VALUE(RIGHT($A131,1)))),"")</f>
        <v>鉄鉱石</v>
      </c>
      <c r="D131" s="23" t="str">
        <f>IFERROR(IF(INDEX(使用レシピ!F:F,MATCH(テンプレート!$C131,使用レシピ!$E:$E,0))&lt;&gt;0,INDEX(使用レシピ!F:F,MATCH(テンプレート!$C131,使用レシピ!$E:$E,0)),""),"")</f>
        <v/>
      </c>
      <c r="E131" t="str">
        <f>IFERROR(IF(INDEX(使用レシピ!G:G,MATCH(テンプレート!$C131,使用レシピ!$E:$E,0))&lt;&gt;0,INDEX(使用レシピ!G:G,MATCH(テンプレート!$C131,使用レシピ!$E:$E,0)),""),"")</f>
        <v/>
      </c>
      <c r="F131" t="str">
        <f>IFERROR(IF(INDEX(使用レシピ!H:H,MATCH(テンプレート!$C131,使用レシピ!$E:$E,0))&lt;&gt;0,INDEX(使用レシピ!H:H,MATCH(テンプレート!$C131,使用レシピ!$E:$E,0)),""),"")</f>
        <v/>
      </c>
      <c r="G131" t="str">
        <f>IFERROR(IF(INDEX(使用レシピ!I:I,MATCH(テンプレート!$C131,使用レシピ!$E:$E,0))&lt;&gt;0,INDEX(使用レシピ!I:I,MATCH(テンプレート!$C131,使用レシピ!$E:$E,0)),""),"")</f>
        <v/>
      </c>
      <c r="H131" s="24" t="str">
        <f>IFERROR(IF(INDEX(使用レシピ!J:J,MATCH(テンプレート!$C131,使用レシピ!$E:$E,0))&lt;&gt;0,INDEX(使用レシピ!J:J,MATCH(テンプレート!$C131,使用レシピ!$E:$E,0)),""),"")</f>
        <v/>
      </c>
      <c r="I131" s="36">
        <f>IFERROR(IF(INDEX(使用レシピ!P:P,MATCH(テンプレート!$C131,使用レシピ!$E:$E,0))&lt;&gt;0,INDEX(使用レシピ!P:P,MATCH(テンプレート!$C131,使用レシピ!$E:$E,0)),""),"")</f>
        <v>1</v>
      </c>
      <c r="J131" t="str">
        <f>IFERROR(IF(INDEX(使用レシピ!K:K,MATCH(テンプレート!$C131,使用レシピ!$E:$E,0))&lt;&gt;0,INDEX(使用レシピ!K:K,MATCH(テンプレート!$C131,使用レシピ!$E:$E,0)),""),"")</f>
        <v/>
      </c>
      <c r="K131" t="str">
        <f>IFERROR(IF(INDEX(使用レシピ!L:L,MATCH(テンプレート!$C131,使用レシピ!$E:$E,0))&lt;&gt;0,INDEX(使用レシピ!L:L,MATCH(テンプレート!$C131,使用レシピ!$E:$E,0)),""),"")</f>
        <v/>
      </c>
      <c r="L131" t="str">
        <f>IFERROR(IF(INDEX(使用レシピ!M:M,MATCH(テンプレート!$C131,使用レシピ!$E:$E,0))&lt;&gt;0,INDEX(使用レシピ!M:M,MATCH(テンプレート!$C131,使用レシピ!$E:$E,0)),""),"")</f>
        <v/>
      </c>
      <c r="M131" t="str">
        <f>IFERROR(IF(INDEX(使用レシピ!N:N,MATCH(テンプレート!$C131,使用レシピ!$E:$E,0))&lt;&gt;0,INDEX(使用レシピ!N:N,MATCH(テンプレート!$C131,使用レシピ!$E:$E,0)),""),"")</f>
        <v/>
      </c>
      <c r="N131" s="24" t="str">
        <f>IFERROR(IF(INDEX(使用レシピ!O:O,MATCH(テンプレート!$C131,使用レシピ!$E:$E,0))&lt;&gt;0,INDEX(使用レシピ!O:O,MATCH(テンプレート!$C131,使用レシピ!$E:$E,0)),""),"")</f>
        <v/>
      </c>
      <c r="O131" s="42">
        <f>IFERROR(IF(INDEX(使用レシピ!P:P,MATCH(テンプレート!$C131,使用レシピ!$E:$E,0))&lt;&gt;0,INDEX(使用レシピ!P:P,MATCH(テンプレート!$C131,使用レシピ!$E:$E,0)),""),"")</f>
        <v>1</v>
      </c>
      <c r="P131" s="25" t="str">
        <f t="shared" si="10"/>
        <v/>
      </c>
      <c r="Q131" s="26" t="str">
        <f t="shared" si="11"/>
        <v/>
      </c>
      <c r="R131" s="26" t="str">
        <f t="shared" si="12"/>
        <v/>
      </c>
      <c r="S131" s="26" t="str">
        <f t="shared" si="13"/>
        <v/>
      </c>
      <c r="T131" s="43" t="str">
        <f t="shared" si="13"/>
        <v/>
      </c>
    </row>
    <row r="132" spans="1:20" x14ac:dyDescent="0.4">
      <c r="A132">
        <v>11113312</v>
      </c>
      <c r="B132" s="47" cm="1">
        <f t="array" ref="B132">IFERROR((INDEX($P$4:$T$1000,MATCH(VALUE(LEFT($A132,LEN($A132)-1)),$A$4:$A$1000,0),VALUE(RIGHT($A132,1)))/ INDEX($O$4:$O$1000,MATCH(VALUE(LEFT($A132,LEN($A132)-1)),$A$4:$A$1000))) * INDEX($B$4:$B$1000,MATCH(VALUE(LEFT($A132,LEN($A132)-1)),$A$4:$A$1000)),"")</f>
        <v>166.15384615384616</v>
      </c>
      <c r="C132" s="38" t="str" cm="1">
        <f t="array" ref="C132">IFERROR(IF(INDEX($D$4:$H$1000,MATCH(VALUE(LEFT($A132,LEN($A132)-1)),$A$4:$A$1000,0),VALUE(RIGHT($A132,1)))= 0,"",INDEX($D$4:$H$1000,MATCH(VALUE(LEFT($A132,LEN($A132)-1)),$A$4:$A$1000,0),VALUE(RIGHT($A132,1)))),"")</f>
        <v>水</v>
      </c>
      <c r="D132" s="23" t="str">
        <f>IFERROR(IF(INDEX(使用レシピ!F:F,MATCH(テンプレート!$C132,使用レシピ!$E:$E,0))&lt;&gt;0,INDEX(使用レシピ!F:F,MATCH(テンプレート!$C132,使用レシピ!$E:$E,0)),""),"")</f>
        <v/>
      </c>
      <c r="E132" t="str">
        <f>IFERROR(IF(INDEX(使用レシピ!G:G,MATCH(テンプレート!$C132,使用レシピ!$E:$E,0))&lt;&gt;0,INDEX(使用レシピ!G:G,MATCH(テンプレート!$C132,使用レシピ!$E:$E,0)),""),"")</f>
        <v/>
      </c>
      <c r="F132" t="str">
        <f>IFERROR(IF(INDEX(使用レシピ!H:H,MATCH(テンプレート!$C132,使用レシピ!$E:$E,0))&lt;&gt;0,INDEX(使用レシピ!H:H,MATCH(テンプレート!$C132,使用レシピ!$E:$E,0)),""),"")</f>
        <v/>
      </c>
      <c r="G132" t="str">
        <f>IFERROR(IF(INDEX(使用レシピ!I:I,MATCH(テンプレート!$C132,使用レシピ!$E:$E,0))&lt;&gt;0,INDEX(使用レシピ!I:I,MATCH(テンプレート!$C132,使用レシピ!$E:$E,0)),""),"")</f>
        <v/>
      </c>
      <c r="H132" s="24" t="str">
        <f>IFERROR(IF(INDEX(使用レシピ!J:J,MATCH(テンプレート!$C132,使用レシピ!$E:$E,0))&lt;&gt;0,INDEX(使用レシピ!J:J,MATCH(テンプレート!$C132,使用レシピ!$E:$E,0)),""),"")</f>
        <v/>
      </c>
      <c r="I132" s="36">
        <f>IFERROR(IF(INDEX(使用レシピ!P:P,MATCH(テンプレート!$C132,使用レシピ!$E:$E,0))&lt;&gt;0,INDEX(使用レシピ!P:P,MATCH(テンプレート!$C132,使用レシピ!$E:$E,0)),""),"")</f>
        <v>1</v>
      </c>
      <c r="J132" t="str">
        <f>IFERROR(IF(INDEX(使用レシピ!K:K,MATCH(テンプレート!$C132,使用レシピ!$E:$E,0))&lt;&gt;0,INDEX(使用レシピ!K:K,MATCH(テンプレート!$C132,使用レシピ!$E:$E,0)),""),"")</f>
        <v/>
      </c>
      <c r="K132" t="str">
        <f>IFERROR(IF(INDEX(使用レシピ!L:L,MATCH(テンプレート!$C132,使用レシピ!$E:$E,0))&lt;&gt;0,INDEX(使用レシピ!L:L,MATCH(テンプレート!$C132,使用レシピ!$E:$E,0)),""),"")</f>
        <v/>
      </c>
      <c r="L132" t="str">
        <f>IFERROR(IF(INDEX(使用レシピ!M:M,MATCH(テンプレート!$C132,使用レシピ!$E:$E,0))&lt;&gt;0,INDEX(使用レシピ!M:M,MATCH(テンプレート!$C132,使用レシピ!$E:$E,0)),""),"")</f>
        <v/>
      </c>
      <c r="M132" t="str">
        <f>IFERROR(IF(INDEX(使用レシピ!N:N,MATCH(テンプレート!$C132,使用レシピ!$E:$E,0))&lt;&gt;0,INDEX(使用レシピ!N:N,MATCH(テンプレート!$C132,使用レシピ!$E:$E,0)),""),"")</f>
        <v/>
      </c>
      <c r="N132" s="24" t="str">
        <f>IFERROR(IF(INDEX(使用レシピ!O:O,MATCH(テンプレート!$C132,使用レシピ!$E:$E,0))&lt;&gt;0,INDEX(使用レシピ!O:O,MATCH(テンプレート!$C132,使用レシピ!$E:$E,0)),""),"")</f>
        <v/>
      </c>
      <c r="O132" s="42">
        <f>IFERROR(IF(INDEX(使用レシピ!P:P,MATCH(テンプレート!$C132,使用レシピ!$E:$E,0))&lt;&gt;0,INDEX(使用レシピ!P:P,MATCH(テンプレート!$C132,使用レシピ!$E:$E,0)),""),"")</f>
        <v>1</v>
      </c>
      <c r="P132" s="25" t="str">
        <f t="shared" si="10"/>
        <v/>
      </c>
      <c r="Q132" s="26" t="str">
        <f t="shared" si="11"/>
        <v/>
      </c>
      <c r="R132" s="26" t="str">
        <f t="shared" si="12"/>
        <v/>
      </c>
      <c r="S132" s="26" t="str">
        <f t="shared" si="13"/>
        <v/>
      </c>
      <c r="T132" s="43" t="str">
        <f t="shared" si="13"/>
        <v/>
      </c>
    </row>
    <row r="133" spans="1:20" x14ac:dyDescent="0.4">
      <c r="A133">
        <v>11121121</v>
      </c>
      <c r="B133" s="47" cm="1">
        <f t="array" ref="B133">IFERROR((INDEX($P$4:$T$1000,MATCH(VALUE(LEFT($A133,LEN($A133)-1)),$A$4:$A$1000,0),VALUE(RIGHT($A133,1)))/ INDEX($O$4:$O$1000,MATCH(VALUE(LEFT($A133,LEN($A133)-1)),$A$4:$A$1000))) * INDEX($B$4:$B$1000,MATCH(VALUE(LEFT($A133,LEN($A133)-1)),$A$4:$A$1000)),"")</f>
        <v>810</v>
      </c>
      <c r="C133" s="38" t="str" cm="1">
        <f t="array" ref="C133">IFERROR(IF(INDEX($D$4:$H$1000,MATCH(VALUE(LEFT($A133,LEN($A133)-1)),$A$4:$A$1000,0),VALUE(RIGHT($A133,1)))= 0,"",INDEX($D$4:$H$1000,MATCH(VALUE(LEFT($A133,LEN($A133)-1)),$A$4:$A$1000,0),VALUE(RIGHT($A133,1)))),"")</f>
        <v>石灰岩</v>
      </c>
      <c r="D133" s="23" t="str">
        <f>IFERROR(IF(INDEX(使用レシピ!F:F,MATCH(テンプレート!$C133,使用レシピ!$E:$E,0))&lt;&gt;0,INDEX(使用レシピ!F:F,MATCH(テンプレート!$C133,使用レシピ!$E:$E,0)),""),"")</f>
        <v/>
      </c>
      <c r="E133" t="str">
        <f>IFERROR(IF(INDEX(使用レシピ!G:G,MATCH(テンプレート!$C133,使用レシピ!$E:$E,0))&lt;&gt;0,INDEX(使用レシピ!G:G,MATCH(テンプレート!$C133,使用レシピ!$E:$E,0)),""),"")</f>
        <v/>
      </c>
      <c r="F133" t="str">
        <f>IFERROR(IF(INDEX(使用レシピ!H:H,MATCH(テンプレート!$C133,使用レシピ!$E:$E,0))&lt;&gt;0,INDEX(使用レシピ!H:H,MATCH(テンプレート!$C133,使用レシピ!$E:$E,0)),""),"")</f>
        <v/>
      </c>
      <c r="G133" t="str">
        <f>IFERROR(IF(INDEX(使用レシピ!I:I,MATCH(テンプレート!$C133,使用レシピ!$E:$E,0))&lt;&gt;0,INDEX(使用レシピ!I:I,MATCH(テンプレート!$C133,使用レシピ!$E:$E,0)),""),"")</f>
        <v/>
      </c>
      <c r="H133" s="24" t="str">
        <f>IFERROR(IF(INDEX(使用レシピ!J:J,MATCH(テンプレート!$C133,使用レシピ!$E:$E,0))&lt;&gt;0,INDEX(使用レシピ!J:J,MATCH(テンプレート!$C133,使用レシピ!$E:$E,0)),""),"")</f>
        <v/>
      </c>
      <c r="I133" s="36">
        <f>IFERROR(IF(INDEX(使用レシピ!P:P,MATCH(テンプレート!$C133,使用レシピ!$E:$E,0))&lt;&gt;0,INDEX(使用レシピ!P:P,MATCH(テンプレート!$C133,使用レシピ!$E:$E,0)),""),"")</f>
        <v>1</v>
      </c>
      <c r="J133" t="str">
        <f>IFERROR(IF(INDEX(使用レシピ!K:K,MATCH(テンプレート!$C133,使用レシピ!$E:$E,0))&lt;&gt;0,INDEX(使用レシピ!K:K,MATCH(テンプレート!$C133,使用レシピ!$E:$E,0)),""),"")</f>
        <v/>
      </c>
      <c r="K133" t="str">
        <f>IFERROR(IF(INDEX(使用レシピ!L:L,MATCH(テンプレート!$C133,使用レシピ!$E:$E,0))&lt;&gt;0,INDEX(使用レシピ!L:L,MATCH(テンプレート!$C133,使用レシピ!$E:$E,0)),""),"")</f>
        <v/>
      </c>
      <c r="L133" t="str">
        <f>IFERROR(IF(INDEX(使用レシピ!M:M,MATCH(テンプレート!$C133,使用レシピ!$E:$E,0))&lt;&gt;0,INDEX(使用レシピ!M:M,MATCH(テンプレート!$C133,使用レシピ!$E:$E,0)),""),"")</f>
        <v/>
      </c>
      <c r="M133" t="str">
        <f>IFERROR(IF(INDEX(使用レシピ!N:N,MATCH(テンプレート!$C133,使用レシピ!$E:$E,0))&lt;&gt;0,INDEX(使用レシピ!N:N,MATCH(テンプレート!$C133,使用レシピ!$E:$E,0)),""),"")</f>
        <v/>
      </c>
      <c r="N133" s="24" t="str">
        <f>IFERROR(IF(INDEX(使用レシピ!O:O,MATCH(テンプレート!$C133,使用レシピ!$E:$E,0))&lt;&gt;0,INDEX(使用レシピ!O:O,MATCH(テンプレート!$C133,使用レシピ!$E:$E,0)),""),"")</f>
        <v/>
      </c>
      <c r="O133" s="42">
        <f>IFERROR(IF(INDEX(使用レシピ!P:P,MATCH(テンプレート!$C133,使用レシピ!$E:$E,0))&lt;&gt;0,INDEX(使用レシピ!P:P,MATCH(テンプレート!$C133,使用レシピ!$E:$E,0)),""),"")</f>
        <v>1</v>
      </c>
      <c r="P133" s="25" t="str">
        <f t="shared" ref="P133:P196" si="14">IFERROR(IF($O133/$I133*J133 &gt; 0,$O133/$I133*J133,""),"")</f>
        <v/>
      </c>
      <c r="Q133" s="26" t="str">
        <f t="shared" ref="Q133:Q196" si="15">IFERROR(IF($O133/$I133*K133 &gt; 0,$O133/$I133*K133,""),"")</f>
        <v/>
      </c>
      <c r="R133" s="26" t="str">
        <f t="shared" ref="R133:R196" si="16">IFERROR(IF($O133/$I133*L133 &gt; 0,$O133/$I133*L133,""),"")</f>
        <v/>
      </c>
      <c r="S133" s="26" t="str">
        <f t="shared" ref="S133:T196" si="17">IFERROR(IF($O133/$I133*M133 &gt; 0,$O133/$I133*M133,""),"")</f>
        <v/>
      </c>
      <c r="T133" s="43" t="str">
        <f t="shared" si="17"/>
        <v/>
      </c>
    </row>
    <row r="134" spans="1:20" x14ac:dyDescent="0.4">
      <c r="A134">
        <v>11121141</v>
      </c>
      <c r="B134" s="47" t="str" cm="1">
        <f t="array" ref="B134">IFERROR((INDEX($P$4:$T$1000,MATCH(VALUE(LEFT($A134,LEN($A134)-1)),$A$4:$A$1000,0),VALUE(RIGHT($A134,1)))/ INDEX($O$4:$O$1000,MATCH(VALUE(LEFT($A134,LEN($A134)-1)),$A$4:$A$1000))) * INDEX($B$4:$B$1000,MATCH(VALUE(LEFT($A134,LEN($A134)-1)),$A$4:$A$1000)),"")</f>
        <v/>
      </c>
      <c r="C134" s="38" t="str" cm="1">
        <f t="array" ref="C134">IFERROR(IF(INDEX($D$4:$H$1000,MATCH(VALUE(LEFT($A134,LEN($A134)-1)),$A$4:$A$1000,0),VALUE(RIGHT($A134,1)))= 0,"",INDEX($D$4:$H$1000,MATCH(VALUE(LEFT($A134,LEN($A134)-1)),$A$4:$A$1000,0),VALUE(RIGHT($A134,1)))),"")</f>
        <v/>
      </c>
      <c r="D134" s="23" t="str">
        <f>IFERROR(IF(INDEX(使用レシピ!F:F,MATCH(テンプレート!$C134,使用レシピ!$E:$E,0))&lt;&gt;0,INDEX(使用レシピ!F:F,MATCH(テンプレート!$C134,使用レシピ!$E:$E,0)),""),"")</f>
        <v/>
      </c>
      <c r="E134" t="str">
        <f>IFERROR(IF(INDEX(使用レシピ!G:G,MATCH(テンプレート!$C134,使用レシピ!$E:$E,0))&lt;&gt;0,INDEX(使用レシピ!G:G,MATCH(テンプレート!$C134,使用レシピ!$E:$E,0)),""),"")</f>
        <v/>
      </c>
      <c r="F134" t="str">
        <f>IFERROR(IF(INDEX(使用レシピ!H:H,MATCH(テンプレート!$C134,使用レシピ!$E:$E,0))&lt;&gt;0,INDEX(使用レシピ!H:H,MATCH(テンプレート!$C134,使用レシピ!$E:$E,0)),""),"")</f>
        <v/>
      </c>
      <c r="G134" t="str">
        <f>IFERROR(IF(INDEX(使用レシピ!I:I,MATCH(テンプレート!$C134,使用レシピ!$E:$E,0))&lt;&gt;0,INDEX(使用レシピ!I:I,MATCH(テンプレート!$C134,使用レシピ!$E:$E,0)),""),"")</f>
        <v/>
      </c>
      <c r="H134" s="24" t="str">
        <f>IFERROR(IF(INDEX(使用レシピ!J:J,MATCH(テンプレート!$C134,使用レシピ!$E:$E,0))&lt;&gt;0,INDEX(使用レシピ!J:J,MATCH(テンプレート!$C134,使用レシピ!$E:$E,0)),""),"")</f>
        <v/>
      </c>
      <c r="I134" s="36" t="str">
        <f>IFERROR(IF(INDEX(使用レシピ!P:P,MATCH(テンプレート!$C134,使用レシピ!$E:$E,0))&lt;&gt;0,INDEX(使用レシピ!P:P,MATCH(テンプレート!$C134,使用レシピ!$E:$E,0)),""),"")</f>
        <v/>
      </c>
      <c r="J134" t="str">
        <f>IFERROR(IF(INDEX(使用レシピ!K:K,MATCH(テンプレート!$C134,使用レシピ!$E:$E,0))&lt;&gt;0,INDEX(使用レシピ!K:K,MATCH(テンプレート!$C134,使用レシピ!$E:$E,0)),""),"")</f>
        <v/>
      </c>
      <c r="K134" t="str">
        <f>IFERROR(IF(INDEX(使用レシピ!L:L,MATCH(テンプレート!$C134,使用レシピ!$E:$E,0))&lt;&gt;0,INDEX(使用レシピ!L:L,MATCH(テンプレート!$C134,使用レシピ!$E:$E,0)),""),"")</f>
        <v/>
      </c>
      <c r="L134" t="str">
        <f>IFERROR(IF(INDEX(使用レシピ!M:M,MATCH(テンプレート!$C134,使用レシピ!$E:$E,0))&lt;&gt;0,INDEX(使用レシピ!M:M,MATCH(テンプレート!$C134,使用レシピ!$E:$E,0)),""),"")</f>
        <v/>
      </c>
      <c r="M134" t="str">
        <f>IFERROR(IF(INDEX(使用レシピ!N:N,MATCH(テンプレート!$C134,使用レシピ!$E:$E,0))&lt;&gt;0,INDEX(使用レシピ!N:N,MATCH(テンプレート!$C134,使用レシピ!$E:$E,0)),""),"")</f>
        <v/>
      </c>
      <c r="N134" s="24" t="str">
        <f>IFERROR(IF(INDEX(使用レシピ!O:O,MATCH(テンプレート!$C134,使用レシピ!$E:$E,0))&lt;&gt;0,INDEX(使用レシピ!O:O,MATCH(テンプレート!$C134,使用レシピ!$E:$E,0)),""),"")</f>
        <v/>
      </c>
      <c r="O134" s="42" t="str">
        <f>IFERROR(IF(INDEX(使用レシピ!P:P,MATCH(テンプレート!$C134,使用レシピ!$E:$E,0))&lt;&gt;0,INDEX(使用レシピ!P:P,MATCH(テンプレート!$C134,使用レシピ!$E:$E,0)),""),"")</f>
        <v/>
      </c>
      <c r="P134" s="25" t="str">
        <f t="shared" si="14"/>
        <v/>
      </c>
      <c r="Q134" s="26" t="str">
        <f t="shared" si="15"/>
        <v/>
      </c>
      <c r="R134" s="26" t="str">
        <f t="shared" si="16"/>
        <v/>
      </c>
      <c r="S134" s="26" t="str">
        <f t="shared" si="17"/>
        <v/>
      </c>
      <c r="T134" s="43" t="str">
        <f t="shared" si="17"/>
        <v/>
      </c>
    </row>
    <row r="135" spans="1:20" x14ac:dyDescent="0.4">
      <c r="A135">
        <v>11121211</v>
      </c>
      <c r="B135" s="47" cm="1">
        <f t="array" ref="B135">IFERROR((INDEX($P$4:$T$1000,MATCH(VALUE(LEFT($A135,LEN($A135)-1)),$A$4:$A$1000,0),VALUE(RIGHT($A135,1)))/ INDEX($O$4:$O$1000,MATCH(VALUE(LEFT($A135,LEN($A135)-1)),$A$4:$A$1000))) * INDEX($B$4:$B$1000,MATCH(VALUE(LEFT($A135,LEN($A135)-1)),$A$4:$A$1000)),"")</f>
        <v>324</v>
      </c>
      <c r="C135" s="38" t="str" cm="1">
        <f t="array" ref="C135">IFERROR(IF(INDEX($D$4:$H$1000,MATCH(VALUE(LEFT($A135,LEN($A135)-1)),$A$4:$A$1000,0),VALUE(RIGHT($A135,1)))= 0,"",INDEX($D$4:$H$1000,MATCH(VALUE(LEFT($A135,LEN($A135)-1)),$A$4:$A$1000,0),VALUE(RIGHT($A135,1)))),"")</f>
        <v>鋼鉄のインゴット</v>
      </c>
      <c r="D135" s="23" t="str">
        <f>IFERROR(IF(INDEX(使用レシピ!F:F,MATCH(テンプレート!$C135,使用レシピ!$E:$E,0))&lt;&gt;0,INDEX(使用レシピ!F:F,MATCH(テンプレート!$C135,使用レシピ!$E:$E,0)),""),"")</f>
        <v>鉄のインゴット</v>
      </c>
      <c r="E135" t="str">
        <f>IFERROR(IF(INDEX(使用レシピ!G:G,MATCH(テンプレート!$C135,使用レシピ!$E:$E,0))&lt;&gt;0,INDEX(使用レシピ!G:G,MATCH(テンプレート!$C135,使用レシピ!$E:$E,0)),""),"")</f>
        <v>石炭</v>
      </c>
      <c r="F135" t="str">
        <f>IFERROR(IF(INDEX(使用レシピ!H:H,MATCH(テンプレート!$C135,使用レシピ!$E:$E,0))&lt;&gt;0,INDEX(使用レシピ!H:H,MATCH(テンプレート!$C135,使用レシピ!$E:$E,0)),""),"")</f>
        <v/>
      </c>
      <c r="G135" t="str">
        <f>IFERROR(IF(INDEX(使用レシピ!I:I,MATCH(テンプレート!$C135,使用レシピ!$E:$E,0))&lt;&gt;0,INDEX(使用レシピ!I:I,MATCH(テンプレート!$C135,使用レシピ!$E:$E,0)),""),"")</f>
        <v/>
      </c>
      <c r="H135" s="24" t="str">
        <f>IFERROR(IF(INDEX(使用レシピ!J:J,MATCH(テンプレート!$C135,使用レシピ!$E:$E,0))&lt;&gt;0,INDEX(使用レシピ!J:J,MATCH(テンプレート!$C135,使用レシピ!$E:$E,0)),""),"")</f>
        <v/>
      </c>
      <c r="I135" s="36">
        <f>IFERROR(IF(INDEX(使用レシピ!P:P,MATCH(テンプレート!$C135,使用レシピ!$E:$E,0))&lt;&gt;0,INDEX(使用レシピ!P:P,MATCH(テンプレート!$C135,使用レシピ!$E:$E,0)),""),"")</f>
        <v>3</v>
      </c>
      <c r="J135">
        <f>IFERROR(IF(INDEX(使用レシピ!K:K,MATCH(テンプレート!$C135,使用レシピ!$E:$E,0))&lt;&gt;0,INDEX(使用レシピ!K:K,MATCH(テンプレート!$C135,使用レシピ!$E:$E,0)),""),"")</f>
        <v>2</v>
      </c>
      <c r="K135">
        <f>IFERROR(IF(INDEX(使用レシピ!L:L,MATCH(テンプレート!$C135,使用レシピ!$E:$E,0))&lt;&gt;0,INDEX(使用レシピ!L:L,MATCH(テンプレート!$C135,使用レシピ!$E:$E,0)),""),"")</f>
        <v>2</v>
      </c>
      <c r="L135" t="str">
        <f>IFERROR(IF(INDEX(使用レシピ!M:M,MATCH(テンプレート!$C135,使用レシピ!$E:$E,0))&lt;&gt;0,INDEX(使用レシピ!M:M,MATCH(テンプレート!$C135,使用レシピ!$E:$E,0)),""),"")</f>
        <v/>
      </c>
      <c r="M135" t="str">
        <f>IFERROR(IF(INDEX(使用レシピ!N:N,MATCH(テンプレート!$C135,使用レシピ!$E:$E,0))&lt;&gt;0,INDEX(使用レシピ!N:N,MATCH(テンプレート!$C135,使用レシピ!$E:$E,0)),""),"")</f>
        <v/>
      </c>
      <c r="N135" s="24" t="str">
        <f>IFERROR(IF(INDEX(使用レシピ!O:O,MATCH(テンプレート!$C135,使用レシピ!$E:$E,0))&lt;&gt;0,INDEX(使用レシピ!O:O,MATCH(テンプレート!$C135,使用レシピ!$E:$E,0)),""),"")</f>
        <v/>
      </c>
      <c r="O135" s="42">
        <f>IFERROR(IF(INDEX(使用レシピ!P:P,MATCH(テンプレート!$C135,使用レシピ!$E:$E,0))&lt;&gt;0,INDEX(使用レシピ!P:P,MATCH(テンプレート!$C135,使用レシピ!$E:$E,0)),""),"")</f>
        <v>3</v>
      </c>
      <c r="P135" s="25">
        <f t="shared" si="14"/>
        <v>2</v>
      </c>
      <c r="Q135" s="26">
        <f t="shared" si="15"/>
        <v>2</v>
      </c>
      <c r="R135" s="26" t="str">
        <f t="shared" si="16"/>
        <v/>
      </c>
      <c r="S135" s="26" t="str">
        <f t="shared" si="17"/>
        <v/>
      </c>
      <c r="T135" s="43" t="str">
        <f t="shared" si="17"/>
        <v/>
      </c>
    </row>
    <row r="136" spans="1:20" x14ac:dyDescent="0.4">
      <c r="A136">
        <v>11121212</v>
      </c>
      <c r="B136" s="47" cm="1">
        <f t="array" ref="B136">IFERROR((INDEX($P$4:$T$1000,MATCH(VALUE(LEFT($A136,LEN($A136)-1)),$A$4:$A$1000,0),VALUE(RIGHT($A136,1)))/ INDEX($O$4:$O$1000,MATCH(VALUE(LEFT($A136,LEN($A136)-1)),$A$4:$A$1000))) * INDEX($B$4:$B$1000,MATCH(VALUE(LEFT($A136,LEN($A136)-1)),$A$4:$A$1000)),"")</f>
        <v>194.4</v>
      </c>
      <c r="C136" s="38" t="str" cm="1">
        <f t="array" ref="C136">IFERROR(IF(INDEX($D$4:$H$1000,MATCH(VALUE(LEFT($A136,LEN($A136)-1)),$A$4:$A$1000,0),VALUE(RIGHT($A136,1)))= 0,"",INDEX($D$4:$H$1000,MATCH(VALUE(LEFT($A136,LEN($A136)-1)),$A$4:$A$1000,0),VALUE(RIGHT($A136,1)))),"")</f>
        <v>コンクリート</v>
      </c>
      <c r="D136" s="23" t="str">
        <f>IFERROR(IF(INDEX(使用レシピ!F:F,MATCH(テンプレート!$C136,使用レシピ!$E:$E,0))&lt;&gt;0,INDEX(使用レシピ!F:F,MATCH(テンプレート!$C136,使用レシピ!$E:$E,0)),""),"")</f>
        <v>石灰岩</v>
      </c>
      <c r="E136" t="str">
        <f>IFERROR(IF(INDEX(使用レシピ!G:G,MATCH(テンプレート!$C136,使用レシピ!$E:$E,0))&lt;&gt;0,INDEX(使用レシピ!G:G,MATCH(テンプレート!$C136,使用レシピ!$E:$E,0)),""),"")</f>
        <v>水</v>
      </c>
      <c r="F136" t="str">
        <f>IFERROR(IF(INDEX(使用レシピ!H:H,MATCH(テンプレート!$C136,使用レシピ!$E:$E,0))&lt;&gt;0,INDEX(使用レシピ!H:H,MATCH(テンプレート!$C136,使用レシピ!$E:$E,0)),""),"")</f>
        <v/>
      </c>
      <c r="G136" t="str">
        <f>IFERROR(IF(INDEX(使用レシピ!I:I,MATCH(テンプレート!$C136,使用レシピ!$E:$E,0))&lt;&gt;0,INDEX(使用レシピ!I:I,MATCH(テンプレート!$C136,使用レシピ!$E:$E,0)),""),"")</f>
        <v/>
      </c>
      <c r="H136" s="24" t="str">
        <f>IFERROR(IF(INDEX(使用レシピ!J:J,MATCH(テンプレート!$C136,使用レシピ!$E:$E,0))&lt;&gt;0,INDEX(使用レシピ!J:J,MATCH(テンプレート!$C136,使用レシピ!$E:$E,0)),""),"")</f>
        <v/>
      </c>
      <c r="I136" s="36">
        <f>IFERROR(IF(INDEX(使用レシピ!P:P,MATCH(テンプレート!$C136,使用レシピ!$E:$E,0))&lt;&gt;0,INDEX(使用レシピ!P:P,MATCH(テンプレート!$C136,使用レシピ!$E:$E,0)),""),"")</f>
        <v>4</v>
      </c>
      <c r="J136">
        <f>IFERROR(IF(INDEX(使用レシピ!K:K,MATCH(テンプレート!$C136,使用レシピ!$E:$E,0))&lt;&gt;0,INDEX(使用レシピ!K:K,MATCH(テンプレート!$C136,使用レシピ!$E:$E,0)),""),"")</f>
        <v>6</v>
      </c>
      <c r="K136">
        <f>IFERROR(IF(INDEX(使用レシピ!L:L,MATCH(テンプレート!$C136,使用レシピ!$E:$E,0))&lt;&gt;0,INDEX(使用レシピ!L:L,MATCH(テンプレート!$C136,使用レシピ!$E:$E,0)),""),"")</f>
        <v>5</v>
      </c>
      <c r="L136" t="str">
        <f>IFERROR(IF(INDEX(使用レシピ!M:M,MATCH(テンプレート!$C136,使用レシピ!$E:$E,0))&lt;&gt;0,INDEX(使用レシピ!M:M,MATCH(テンプレート!$C136,使用レシピ!$E:$E,0)),""),"")</f>
        <v/>
      </c>
      <c r="M136" t="str">
        <f>IFERROR(IF(INDEX(使用レシピ!N:N,MATCH(テンプレート!$C136,使用レシピ!$E:$E,0))&lt;&gt;0,INDEX(使用レシピ!N:N,MATCH(テンプレート!$C136,使用レシピ!$E:$E,0)),""),"")</f>
        <v/>
      </c>
      <c r="N136" s="24" t="str">
        <f>IFERROR(IF(INDEX(使用レシピ!O:O,MATCH(テンプレート!$C136,使用レシピ!$E:$E,0))&lt;&gt;0,INDEX(使用レシピ!O:O,MATCH(テンプレート!$C136,使用レシピ!$E:$E,0)),""),"")</f>
        <v/>
      </c>
      <c r="O136" s="42">
        <f>IFERROR(IF(INDEX(使用レシピ!P:P,MATCH(テンプレート!$C136,使用レシピ!$E:$E,0))&lt;&gt;0,INDEX(使用レシピ!P:P,MATCH(テンプレート!$C136,使用レシピ!$E:$E,0)),""),"")</f>
        <v>4</v>
      </c>
      <c r="P136" s="25">
        <f t="shared" si="14"/>
        <v>6</v>
      </c>
      <c r="Q136" s="26">
        <f t="shared" si="15"/>
        <v>5</v>
      </c>
      <c r="R136" s="26" t="str">
        <f t="shared" si="16"/>
        <v/>
      </c>
      <c r="S136" s="26" t="str">
        <f t="shared" si="17"/>
        <v/>
      </c>
      <c r="T136" s="43" t="str">
        <f t="shared" si="17"/>
        <v/>
      </c>
    </row>
    <row r="137" spans="1:20" x14ac:dyDescent="0.4">
      <c r="A137">
        <v>11121221</v>
      </c>
      <c r="B137" s="47" cm="1">
        <f t="array" ref="B137">IFERROR((INDEX($P$4:$T$1000,MATCH(VALUE(LEFT($A137,LEN($A137)-1)),$A$4:$A$1000,0),VALUE(RIGHT($A137,1)))/ INDEX($O$4:$O$1000,MATCH(VALUE(LEFT($A137,LEN($A137)-1)),$A$4:$A$1000))) * INDEX($B$4:$B$1000,MATCH(VALUE(LEFT($A137,LEN($A137)-1)),$A$4:$A$1000)),"")</f>
        <v>405</v>
      </c>
      <c r="C137" s="38" t="str" cm="1">
        <f t="array" ref="C137">IFERROR(IF(INDEX($D$4:$H$1000,MATCH(VALUE(LEFT($A137,LEN($A137)-1)),$A$4:$A$1000,0),VALUE(RIGHT($A137,1)))= 0,"",INDEX($D$4:$H$1000,MATCH(VALUE(LEFT($A137,LEN($A137)-1)),$A$4:$A$1000,0),VALUE(RIGHT($A137,1)))),"")</f>
        <v>石灰岩</v>
      </c>
      <c r="D137" s="23" t="str">
        <f>IFERROR(IF(INDEX(使用レシピ!F:F,MATCH(テンプレート!$C137,使用レシピ!$E:$E,0))&lt;&gt;0,INDEX(使用レシピ!F:F,MATCH(テンプレート!$C137,使用レシピ!$E:$E,0)),""),"")</f>
        <v/>
      </c>
      <c r="E137" t="str">
        <f>IFERROR(IF(INDEX(使用レシピ!G:G,MATCH(テンプレート!$C137,使用レシピ!$E:$E,0))&lt;&gt;0,INDEX(使用レシピ!G:G,MATCH(テンプレート!$C137,使用レシピ!$E:$E,0)),""),"")</f>
        <v/>
      </c>
      <c r="F137" t="str">
        <f>IFERROR(IF(INDEX(使用レシピ!H:H,MATCH(テンプレート!$C137,使用レシピ!$E:$E,0))&lt;&gt;0,INDEX(使用レシピ!H:H,MATCH(テンプレート!$C137,使用レシピ!$E:$E,0)),""),"")</f>
        <v/>
      </c>
      <c r="G137" t="str">
        <f>IFERROR(IF(INDEX(使用レシピ!I:I,MATCH(テンプレート!$C137,使用レシピ!$E:$E,0))&lt;&gt;0,INDEX(使用レシピ!I:I,MATCH(テンプレート!$C137,使用レシピ!$E:$E,0)),""),"")</f>
        <v/>
      </c>
      <c r="H137" s="24" t="str">
        <f>IFERROR(IF(INDEX(使用レシピ!J:J,MATCH(テンプレート!$C137,使用レシピ!$E:$E,0))&lt;&gt;0,INDEX(使用レシピ!J:J,MATCH(テンプレート!$C137,使用レシピ!$E:$E,0)),""),"")</f>
        <v/>
      </c>
      <c r="I137" s="36">
        <f>IFERROR(IF(INDEX(使用レシピ!P:P,MATCH(テンプレート!$C137,使用レシピ!$E:$E,0))&lt;&gt;0,INDEX(使用レシピ!P:P,MATCH(テンプレート!$C137,使用レシピ!$E:$E,0)),""),"")</f>
        <v>1</v>
      </c>
      <c r="J137" t="str">
        <f>IFERROR(IF(INDEX(使用レシピ!K:K,MATCH(テンプレート!$C137,使用レシピ!$E:$E,0))&lt;&gt;0,INDEX(使用レシピ!K:K,MATCH(テンプレート!$C137,使用レシピ!$E:$E,0)),""),"")</f>
        <v/>
      </c>
      <c r="K137" t="str">
        <f>IFERROR(IF(INDEX(使用レシピ!L:L,MATCH(テンプレート!$C137,使用レシピ!$E:$E,0))&lt;&gt;0,INDEX(使用レシピ!L:L,MATCH(テンプレート!$C137,使用レシピ!$E:$E,0)),""),"")</f>
        <v/>
      </c>
      <c r="L137" t="str">
        <f>IFERROR(IF(INDEX(使用レシピ!M:M,MATCH(テンプレート!$C137,使用レシピ!$E:$E,0))&lt;&gt;0,INDEX(使用レシピ!M:M,MATCH(テンプレート!$C137,使用レシピ!$E:$E,0)),""),"")</f>
        <v/>
      </c>
      <c r="M137" t="str">
        <f>IFERROR(IF(INDEX(使用レシピ!N:N,MATCH(テンプレート!$C137,使用レシピ!$E:$E,0))&lt;&gt;0,INDEX(使用レシピ!N:N,MATCH(テンプレート!$C137,使用レシピ!$E:$E,0)),""),"")</f>
        <v/>
      </c>
      <c r="N137" s="24" t="str">
        <f>IFERROR(IF(INDEX(使用レシピ!O:O,MATCH(テンプレート!$C137,使用レシピ!$E:$E,0))&lt;&gt;0,INDEX(使用レシピ!O:O,MATCH(テンプレート!$C137,使用レシピ!$E:$E,0)),""),"")</f>
        <v/>
      </c>
      <c r="O137" s="42">
        <f>IFERROR(IF(INDEX(使用レシピ!P:P,MATCH(テンプレート!$C137,使用レシピ!$E:$E,0))&lt;&gt;0,INDEX(使用レシピ!P:P,MATCH(テンプレート!$C137,使用レシピ!$E:$E,0)),""),"")</f>
        <v>1</v>
      </c>
      <c r="P137" s="25" t="str">
        <f t="shared" si="14"/>
        <v/>
      </c>
      <c r="Q137" s="26" t="str">
        <f t="shared" si="15"/>
        <v/>
      </c>
      <c r="R137" s="26" t="str">
        <f t="shared" si="16"/>
        <v/>
      </c>
      <c r="S137" s="26" t="str">
        <f t="shared" si="17"/>
        <v/>
      </c>
      <c r="T137" s="43" t="str">
        <f t="shared" si="17"/>
        <v/>
      </c>
    </row>
    <row r="138" spans="1:20" x14ac:dyDescent="0.4">
      <c r="A138">
        <v>11121222</v>
      </c>
      <c r="B138" s="47" cm="1">
        <f t="array" ref="B138">IFERROR((INDEX($P$4:$T$1000,MATCH(VALUE(LEFT($A138,LEN($A138)-1)),$A$4:$A$1000,0),VALUE(RIGHT($A138,1)))/ INDEX($O$4:$O$1000,MATCH(VALUE(LEFT($A138,LEN($A138)-1)),$A$4:$A$1000))) * INDEX($B$4:$B$1000,MATCH(VALUE(LEFT($A138,LEN($A138)-1)),$A$4:$A$1000)),"")</f>
        <v>337.5</v>
      </c>
      <c r="C138" s="38" t="str" cm="1">
        <f t="array" ref="C138">IFERROR(IF(INDEX($D$4:$H$1000,MATCH(VALUE(LEFT($A138,LEN($A138)-1)),$A$4:$A$1000,0),VALUE(RIGHT($A138,1)))= 0,"",INDEX($D$4:$H$1000,MATCH(VALUE(LEFT($A138,LEN($A138)-1)),$A$4:$A$1000,0),VALUE(RIGHT($A138,1)))),"")</f>
        <v>水</v>
      </c>
      <c r="D138" s="23" t="str">
        <f>IFERROR(IF(INDEX(使用レシピ!F:F,MATCH(テンプレート!$C138,使用レシピ!$E:$E,0))&lt;&gt;0,INDEX(使用レシピ!F:F,MATCH(テンプレート!$C138,使用レシピ!$E:$E,0)),""),"")</f>
        <v/>
      </c>
      <c r="E138" t="str">
        <f>IFERROR(IF(INDEX(使用レシピ!G:G,MATCH(テンプレート!$C138,使用レシピ!$E:$E,0))&lt;&gt;0,INDEX(使用レシピ!G:G,MATCH(テンプレート!$C138,使用レシピ!$E:$E,0)),""),"")</f>
        <v/>
      </c>
      <c r="F138" t="str">
        <f>IFERROR(IF(INDEX(使用レシピ!H:H,MATCH(テンプレート!$C138,使用レシピ!$E:$E,0))&lt;&gt;0,INDEX(使用レシピ!H:H,MATCH(テンプレート!$C138,使用レシピ!$E:$E,0)),""),"")</f>
        <v/>
      </c>
      <c r="G138" t="str">
        <f>IFERROR(IF(INDEX(使用レシピ!I:I,MATCH(テンプレート!$C138,使用レシピ!$E:$E,0))&lt;&gt;0,INDEX(使用レシピ!I:I,MATCH(テンプレート!$C138,使用レシピ!$E:$E,0)),""),"")</f>
        <v/>
      </c>
      <c r="H138" s="24" t="str">
        <f>IFERROR(IF(INDEX(使用レシピ!J:J,MATCH(テンプレート!$C138,使用レシピ!$E:$E,0))&lt;&gt;0,INDEX(使用レシピ!J:J,MATCH(テンプレート!$C138,使用レシピ!$E:$E,0)),""),"")</f>
        <v/>
      </c>
      <c r="I138" s="36">
        <f>IFERROR(IF(INDEX(使用レシピ!P:P,MATCH(テンプレート!$C138,使用レシピ!$E:$E,0))&lt;&gt;0,INDEX(使用レシピ!P:P,MATCH(テンプレート!$C138,使用レシピ!$E:$E,0)),""),"")</f>
        <v>1</v>
      </c>
      <c r="J138" t="str">
        <f>IFERROR(IF(INDEX(使用レシピ!K:K,MATCH(テンプレート!$C138,使用レシピ!$E:$E,0))&lt;&gt;0,INDEX(使用レシピ!K:K,MATCH(テンプレート!$C138,使用レシピ!$E:$E,0)),""),"")</f>
        <v/>
      </c>
      <c r="K138" t="str">
        <f>IFERROR(IF(INDEX(使用レシピ!L:L,MATCH(テンプレート!$C138,使用レシピ!$E:$E,0))&lt;&gt;0,INDEX(使用レシピ!L:L,MATCH(テンプレート!$C138,使用レシピ!$E:$E,0)),""),"")</f>
        <v/>
      </c>
      <c r="L138" t="str">
        <f>IFERROR(IF(INDEX(使用レシピ!M:M,MATCH(テンプレート!$C138,使用レシピ!$E:$E,0))&lt;&gt;0,INDEX(使用レシピ!M:M,MATCH(テンプレート!$C138,使用レシピ!$E:$E,0)),""),"")</f>
        <v/>
      </c>
      <c r="M138" t="str">
        <f>IFERROR(IF(INDEX(使用レシピ!N:N,MATCH(テンプレート!$C138,使用レシピ!$E:$E,0))&lt;&gt;0,INDEX(使用レシピ!N:N,MATCH(テンプレート!$C138,使用レシピ!$E:$E,0)),""),"")</f>
        <v/>
      </c>
      <c r="N138" s="24" t="str">
        <f>IFERROR(IF(INDEX(使用レシピ!O:O,MATCH(テンプレート!$C138,使用レシピ!$E:$E,0))&lt;&gt;0,INDEX(使用レシピ!O:O,MATCH(テンプレート!$C138,使用レシピ!$E:$E,0)),""),"")</f>
        <v/>
      </c>
      <c r="O138" s="42">
        <f>IFERROR(IF(INDEX(使用レシピ!P:P,MATCH(テンプレート!$C138,使用レシピ!$E:$E,0))&lt;&gt;0,INDEX(使用レシピ!P:P,MATCH(テンプレート!$C138,使用レシピ!$E:$E,0)),""),"")</f>
        <v>1</v>
      </c>
      <c r="P138" s="25" t="str">
        <f t="shared" si="14"/>
        <v/>
      </c>
      <c r="Q138" s="26" t="str">
        <f t="shared" si="15"/>
        <v/>
      </c>
      <c r="R138" s="26" t="str">
        <f t="shared" si="16"/>
        <v/>
      </c>
      <c r="S138" s="26" t="str">
        <f t="shared" si="17"/>
        <v/>
      </c>
      <c r="T138" s="43" t="str">
        <f t="shared" si="17"/>
        <v/>
      </c>
    </row>
    <row r="139" spans="1:20" x14ac:dyDescent="0.4">
      <c r="A139">
        <v>11121311</v>
      </c>
      <c r="B139" s="47" cm="1">
        <f t="array" ref="B139">IFERROR((INDEX($P$4:$T$1000,MATCH(VALUE(LEFT($A139,LEN($A139)-1)),$A$4:$A$1000,0),VALUE(RIGHT($A139,1)))/ INDEX($O$4:$O$1000,MATCH(VALUE(LEFT($A139,LEN($A139)-1)),$A$4:$A$1000))) * INDEX($B$4:$B$1000,MATCH(VALUE(LEFT($A139,LEN($A139)-1)),$A$4:$A$1000)),"")</f>
        <v>405</v>
      </c>
      <c r="C139" s="38" t="str" cm="1">
        <f t="array" ref="C139">IFERROR(IF(INDEX($D$4:$H$1000,MATCH(VALUE(LEFT($A139,LEN($A139)-1)),$A$4:$A$1000,0),VALUE(RIGHT($A139,1)))= 0,"",INDEX($D$4:$H$1000,MATCH(VALUE(LEFT($A139,LEN($A139)-1)),$A$4:$A$1000,0),VALUE(RIGHT($A139,1)))),"")</f>
        <v>鋼管</v>
      </c>
      <c r="D139" s="23" t="str">
        <f>IFERROR(IF(INDEX(使用レシピ!F:F,MATCH(テンプレート!$C139,使用レシピ!$E:$E,0))&lt;&gt;0,INDEX(使用レシピ!F:F,MATCH(テンプレート!$C139,使用レシピ!$E:$E,0)),""),"")</f>
        <v>鋼鉄のインゴット</v>
      </c>
      <c r="E139" t="str">
        <f>IFERROR(IF(INDEX(使用レシピ!G:G,MATCH(テンプレート!$C139,使用レシピ!$E:$E,0))&lt;&gt;0,INDEX(使用レシピ!G:G,MATCH(テンプレート!$C139,使用レシピ!$E:$E,0)),""),"")</f>
        <v>コンクリート</v>
      </c>
      <c r="F139" t="str">
        <f>IFERROR(IF(INDEX(使用レシピ!H:H,MATCH(テンプレート!$C139,使用レシピ!$E:$E,0))&lt;&gt;0,INDEX(使用レシピ!H:H,MATCH(テンプレート!$C139,使用レシピ!$E:$E,0)),""),"")</f>
        <v/>
      </c>
      <c r="G139" t="str">
        <f>IFERROR(IF(INDEX(使用レシピ!I:I,MATCH(テンプレート!$C139,使用レシピ!$E:$E,0))&lt;&gt;0,INDEX(使用レシピ!I:I,MATCH(テンプレート!$C139,使用レシピ!$E:$E,0)),""),"")</f>
        <v/>
      </c>
      <c r="H139" s="24" t="str">
        <f>IFERROR(IF(INDEX(使用レシピ!J:J,MATCH(テンプレート!$C139,使用レシピ!$E:$E,0))&lt;&gt;0,INDEX(使用レシピ!J:J,MATCH(テンプレート!$C139,使用レシピ!$E:$E,0)),""),"")</f>
        <v/>
      </c>
      <c r="I139" s="36">
        <f>IFERROR(IF(INDEX(使用レシピ!P:P,MATCH(テンプレート!$C139,使用レシピ!$E:$E,0))&lt;&gt;0,INDEX(使用レシピ!P:P,MATCH(テンプレート!$C139,使用レシピ!$E:$E,0)),""),"")</f>
        <v>5</v>
      </c>
      <c r="J139">
        <f>IFERROR(IF(INDEX(使用レシピ!K:K,MATCH(テンプレート!$C139,使用レシピ!$E:$E,0))&lt;&gt;0,INDEX(使用レシピ!K:K,MATCH(テンプレート!$C139,使用レシピ!$E:$E,0)),""),"")</f>
        <v>5</v>
      </c>
      <c r="K139">
        <f>IFERROR(IF(INDEX(使用レシピ!L:L,MATCH(テンプレート!$C139,使用レシピ!$E:$E,0))&lt;&gt;0,INDEX(使用レシピ!L:L,MATCH(テンプレート!$C139,使用レシピ!$E:$E,0)),""),"")</f>
        <v>3</v>
      </c>
      <c r="L139" t="str">
        <f>IFERROR(IF(INDEX(使用レシピ!M:M,MATCH(テンプレート!$C139,使用レシピ!$E:$E,0))&lt;&gt;0,INDEX(使用レシピ!M:M,MATCH(テンプレート!$C139,使用レシピ!$E:$E,0)),""),"")</f>
        <v/>
      </c>
      <c r="M139" t="str">
        <f>IFERROR(IF(INDEX(使用レシピ!N:N,MATCH(テンプレート!$C139,使用レシピ!$E:$E,0))&lt;&gt;0,INDEX(使用レシピ!N:N,MATCH(テンプレート!$C139,使用レシピ!$E:$E,0)),""),"")</f>
        <v/>
      </c>
      <c r="N139" s="24" t="str">
        <f>IFERROR(IF(INDEX(使用レシピ!O:O,MATCH(テンプレート!$C139,使用レシピ!$E:$E,0))&lt;&gt;0,INDEX(使用レシピ!O:O,MATCH(テンプレート!$C139,使用レシピ!$E:$E,0)),""),"")</f>
        <v/>
      </c>
      <c r="O139" s="42">
        <f>IFERROR(IF(INDEX(使用レシピ!P:P,MATCH(テンプレート!$C139,使用レシピ!$E:$E,0))&lt;&gt;0,INDEX(使用レシピ!P:P,MATCH(テンプレート!$C139,使用レシピ!$E:$E,0)),""),"")</f>
        <v>5</v>
      </c>
      <c r="P139" s="25">
        <f t="shared" si="14"/>
        <v>5</v>
      </c>
      <c r="Q139" s="26">
        <f t="shared" si="15"/>
        <v>3</v>
      </c>
      <c r="R139" s="26" t="str">
        <f t="shared" si="16"/>
        <v/>
      </c>
      <c r="S139" s="26" t="str">
        <f t="shared" si="17"/>
        <v/>
      </c>
      <c r="T139" s="43" t="str">
        <f t="shared" si="17"/>
        <v/>
      </c>
    </row>
    <row r="140" spans="1:20" x14ac:dyDescent="0.4">
      <c r="A140">
        <v>11121312</v>
      </c>
      <c r="B140" s="47" cm="1">
        <f t="array" ref="B140">IFERROR((INDEX($P$4:$T$1000,MATCH(VALUE(LEFT($A140,LEN($A140)-1)),$A$4:$A$1000,0),VALUE(RIGHT($A140,1)))/ INDEX($O$4:$O$1000,MATCH(VALUE(LEFT($A140,LEN($A140)-1)),$A$4:$A$1000))) * INDEX($B$4:$B$1000,MATCH(VALUE(LEFT($A140,LEN($A140)-1)),$A$4:$A$1000)),"")</f>
        <v>1080</v>
      </c>
      <c r="C140" s="38" t="str" cm="1">
        <f t="array" ref="C140">IFERROR(IF(INDEX($D$4:$H$1000,MATCH(VALUE(LEFT($A140,LEN($A140)-1)),$A$4:$A$1000,0),VALUE(RIGHT($A140,1)))= 0,"",INDEX($D$4:$H$1000,MATCH(VALUE(LEFT($A140,LEN($A140)-1)),$A$4:$A$1000,0),VALUE(RIGHT($A140,1)))),"")</f>
        <v>ワイヤー</v>
      </c>
      <c r="D140" s="23" t="str">
        <f>IFERROR(IF(INDEX(使用レシピ!F:F,MATCH(テンプレート!$C140,使用レシピ!$E:$E,0))&lt;&gt;0,INDEX(使用レシピ!F:F,MATCH(テンプレート!$C140,使用レシピ!$E:$E,0)),""),"")</f>
        <v>銅のインゴット</v>
      </c>
      <c r="E140" t="str">
        <f>IFERROR(IF(INDEX(使用レシピ!G:G,MATCH(テンプレート!$C140,使用レシピ!$E:$E,0))&lt;&gt;0,INDEX(使用レシピ!G:G,MATCH(テンプレート!$C140,使用レシピ!$E:$E,0)),""),"")</f>
        <v/>
      </c>
      <c r="F140" t="str">
        <f>IFERROR(IF(INDEX(使用レシピ!H:H,MATCH(テンプレート!$C140,使用レシピ!$E:$E,0))&lt;&gt;0,INDEX(使用レシピ!H:H,MATCH(テンプレート!$C140,使用レシピ!$E:$E,0)),""),"")</f>
        <v/>
      </c>
      <c r="G140" t="str">
        <f>IFERROR(IF(INDEX(使用レシピ!I:I,MATCH(テンプレート!$C140,使用レシピ!$E:$E,0))&lt;&gt;0,INDEX(使用レシピ!I:I,MATCH(テンプレート!$C140,使用レシピ!$E:$E,0)),""),"")</f>
        <v/>
      </c>
      <c r="H140" s="24" t="str">
        <f>IFERROR(IF(INDEX(使用レシピ!J:J,MATCH(テンプレート!$C140,使用レシピ!$E:$E,0))&lt;&gt;0,INDEX(使用レシピ!J:J,MATCH(テンプレート!$C140,使用レシピ!$E:$E,0)),""),"")</f>
        <v/>
      </c>
      <c r="I140" s="36">
        <f>IFERROR(IF(INDEX(使用レシピ!P:P,MATCH(テンプレート!$C140,使用レシピ!$E:$E,0))&lt;&gt;0,INDEX(使用レシピ!P:P,MATCH(テンプレート!$C140,使用レシピ!$E:$E,0)),""),"")</f>
        <v>2</v>
      </c>
      <c r="J140">
        <f>IFERROR(IF(INDEX(使用レシピ!K:K,MATCH(テンプレート!$C140,使用レシピ!$E:$E,0))&lt;&gt;0,INDEX(使用レシピ!K:K,MATCH(テンプレート!$C140,使用レシピ!$E:$E,0)),""),"")</f>
        <v>1</v>
      </c>
      <c r="K140" t="str">
        <f>IFERROR(IF(INDEX(使用レシピ!L:L,MATCH(テンプレート!$C140,使用レシピ!$E:$E,0))&lt;&gt;0,INDEX(使用レシピ!L:L,MATCH(テンプレート!$C140,使用レシピ!$E:$E,0)),""),"")</f>
        <v/>
      </c>
      <c r="L140" t="str">
        <f>IFERROR(IF(INDEX(使用レシピ!M:M,MATCH(テンプレート!$C140,使用レシピ!$E:$E,0))&lt;&gt;0,INDEX(使用レシピ!M:M,MATCH(テンプレート!$C140,使用レシピ!$E:$E,0)),""),"")</f>
        <v/>
      </c>
      <c r="M140" t="str">
        <f>IFERROR(IF(INDEX(使用レシピ!N:N,MATCH(テンプレート!$C140,使用レシピ!$E:$E,0))&lt;&gt;0,INDEX(使用レシピ!N:N,MATCH(テンプレート!$C140,使用レシピ!$E:$E,0)),""),"")</f>
        <v/>
      </c>
      <c r="N140" s="24" t="str">
        <f>IFERROR(IF(INDEX(使用レシピ!O:O,MATCH(テンプレート!$C140,使用レシピ!$E:$E,0))&lt;&gt;0,INDEX(使用レシピ!O:O,MATCH(テンプレート!$C140,使用レシピ!$E:$E,0)),""),"")</f>
        <v/>
      </c>
      <c r="O140" s="42">
        <f>IFERROR(IF(INDEX(使用レシピ!P:P,MATCH(テンプレート!$C140,使用レシピ!$E:$E,0))&lt;&gt;0,INDEX(使用レシピ!P:P,MATCH(テンプレート!$C140,使用レシピ!$E:$E,0)),""),"")</f>
        <v>2</v>
      </c>
      <c r="P140" s="25">
        <f t="shared" si="14"/>
        <v>1</v>
      </c>
      <c r="Q140" s="26" t="str">
        <f t="shared" si="15"/>
        <v/>
      </c>
      <c r="R140" s="26" t="str">
        <f t="shared" si="16"/>
        <v/>
      </c>
      <c r="S140" s="26" t="str">
        <f t="shared" si="17"/>
        <v/>
      </c>
      <c r="T140" s="43" t="str">
        <f t="shared" si="17"/>
        <v/>
      </c>
    </row>
    <row r="141" spans="1:20" x14ac:dyDescent="0.4">
      <c r="A141">
        <v>11121321</v>
      </c>
      <c r="B141" s="47" cm="1">
        <f t="array" ref="B141">IFERROR((INDEX($P$4:$T$1000,MATCH(VALUE(LEFT($A141,LEN($A141)-1)),$A$4:$A$1000,0),VALUE(RIGHT($A141,1)))/ INDEX($O$4:$O$1000,MATCH(VALUE(LEFT($A141,LEN($A141)-1)),$A$4:$A$1000))) * INDEX($B$4:$B$1000,MATCH(VALUE(LEFT($A141,LEN($A141)-1)),$A$4:$A$1000)),"")</f>
        <v>450</v>
      </c>
      <c r="C141" s="38" t="str" cm="1">
        <f t="array" ref="C141">IFERROR(IF(INDEX($D$4:$H$1000,MATCH(VALUE(LEFT($A141,LEN($A141)-1)),$A$4:$A$1000,0),VALUE(RIGHT($A141,1)))= 0,"",INDEX($D$4:$H$1000,MATCH(VALUE(LEFT($A141,LEN($A141)-1)),$A$4:$A$1000,0),VALUE(RIGHT($A141,1)))),"")</f>
        <v>銅板</v>
      </c>
      <c r="D141" s="23" t="str">
        <f>IFERROR(IF(INDEX(使用レシピ!F:F,MATCH(テンプレート!$C141,使用レシピ!$E:$E,0))&lt;&gt;0,INDEX(使用レシピ!F:F,MATCH(テンプレート!$C141,使用レシピ!$E:$E,0)),""),"")</f>
        <v>銅のインゴット</v>
      </c>
      <c r="E141" t="str">
        <f>IFERROR(IF(INDEX(使用レシピ!G:G,MATCH(テンプレート!$C141,使用レシピ!$E:$E,0))&lt;&gt;0,INDEX(使用レシピ!G:G,MATCH(テンプレート!$C141,使用レシピ!$E:$E,0)),""),"")</f>
        <v>水</v>
      </c>
      <c r="F141" t="str">
        <f>IFERROR(IF(INDEX(使用レシピ!H:H,MATCH(テンプレート!$C141,使用レシピ!$E:$E,0))&lt;&gt;0,INDEX(使用レシピ!H:H,MATCH(テンプレート!$C141,使用レシピ!$E:$E,0)),""),"")</f>
        <v/>
      </c>
      <c r="G141" t="str">
        <f>IFERROR(IF(INDEX(使用レシピ!I:I,MATCH(テンプレート!$C141,使用レシピ!$E:$E,0))&lt;&gt;0,INDEX(使用レシピ!I:I,MATCH(テンプレート!$C141,使用レシピ!$E:$E,0)),""),"")</f>
        <v/>
      </c>
      <c r="H141" s="24" t="str">
        <f>IFERROR(IF(INDEX(使用レシピ!J:J,MATCH(テンプレート!$C141,使用レシピ!$E:$E,0))&lt;&gt;0,INDEX(使用レシピ!J:J,MATCH(テンプレート!$C141,使用レシピ!$E:$E,0)),""),"")</f>
        <v/>
      </c>
      <c r="I141" s="36">
        <f>IFERROR(IF(INDEX(使用レシピ!P:P,MATCH(テンプレート!$C141,使用レシピ!$E:$E,0))&lt;&gt;0,INDEX(使用レシピ!P:P,MATCH(テンプレート!$C141,使用レシピ!$E:$E,0)),""),"")</f>
        <v>3</v>
      </c>
      <c r="J141">
        <f>IFERROR(IF(INDEX(使用レシピ!K:K,MATCH(テンプレート!$C141,使用レシピ!$E:$E,0))&lt;&gt;0,INDEX(使用レシピ!K:K,MATCH(テンプレート!$C141,使用レシピ!$E:$E,0)),""),"")</f>
        <v>3</v>
      </c>
      <c r="K141">
        <f>IFERROR(IF(INDEX(使用レシピ!L:L,MATCH(テンプレート!$C141,使用レシピ!$E:$E,0))&lt;&gt;0,INDEX(使用レシピ!L:L,MATCH(テンプレート!$C141,使用レシピ!$E:$E,0)),""),"")</f>
        <v>3</v>
      </c>
      <c r="L141" t="str">
        <f>IFERROR(IF(INDEX(使用レシピ!M:M,MATCH(テンプレート!$C141,使用レシピ!$E:$E,0))&lt;&gt;0,INDEX(使用レシピ!M:M,MATCH(テンプレート!$C141,使用レシピ!$E:$E,0)),""),"")</f>
        <v/>
      </c>
      <c r="M141" t="str">
        <f>IFERROR(IF(INDEX(使用レシピ!N:N,MATCH(テンプレート!$C141,使用レシピ!$E:$E,0))&lt;&gt;0,INDEX(使用レシピ!N:N,MATCH(テンプレート!$C141,使用レシピ!$E:$E,0)),""),"")</f>
        <v/>
      </c>
      <c r="N141" s="24" t="str">
        <f>IFERROR(IF(INDEX(使用レシピ!O:O,MATCH(テンプレート!$C141,使用レシピ!$E:$E,0))&lt;&gt;0,INDEX(使用レシピ!O:O,MATCH(テンプレート!$C141,使用レシピ!$E:$E,0)),""),"")</f>
        <v/>
      </c>
      <c r="O141" s="42">
        <f>IFERROR(IF(INDEX(使用レシピ!P:P,MATCH(テンプレート!$C141,使用レシピ!$E:$E,0))&lt;&gt;0,INDEX(使用レシピ!P:P,MATCH(テンプレート!$C141,使用レシピ!$E:$E,0)),""),"")</f>
        <v>3</v>
      </c>
      <c r="P141" s="25">
        <f t="shared" si="14"/>
        <v>3</v>
      </c>
      <c r="Q141" s="26">
        <f t="shared" si="15"/>
        <v>3</v>
      </c>
      <c r="R141" s="26" t="str">
        <f t="shared" si="16"/>
        <v/>
      </c>
      <c r="S141" s="26" t="str">
        <f t="shared" si="17"/>
        <v/>
      </c>
      <c r="T141" s="43" t="str">
        <f t="shared" si="17"/>
        <v/>
      </c>
    </row>
    <row r="142" spans="1:20" x14ac:dyDescent="0.4">
      <c r="A142">
        <v>11121331</v>
      </c>
      <c r="B142" s="47" t="str" cm="1">
        <f t="array" ref="B142">IFERROR((INDEX($P$4:$T$1000,MATCH(VALUE(LEFT($A142,LEN($A142)-1)),$A$4:$A$1000,0),VALUE(RIGHT($A142,1)))/ INDEX($O$4:$O$1000,MATCH(VALUE(LEFT($A142,LEN($A142)-1)),$A$4:$A$1000))) * INDEX($B$4:$B$1000,MATCH(VALUE(LEFT($A142,LEN($A142)-1)),$A$4:$A$1000)),"")</f>
        <v/>
      </c>
      <c r="C142" s="38" t="str" cm="1">
        <f t="array" ref="C142">IFERROR(IF(INDEX($D$4:$H$1000,MATCH(VALUE(LEFT($A142,LEN($A142)-1)),$A$4:$A$1000,0),VALUE(RIGHT($A142,1)))= 0,"",INDEX($D$4:$H$1000,MATCH(VALUE(LEFT($A142,LEN($A142)-1)),$A$4:$A$1000,0),VALUE(RIGHT($A142,1)))),"")</f>
        <v/>
      </c>
      <c r="D142" s="23" t="str">
        <f>IFERROR(IF(INDEX(使用レシピ!F:F,MATCH(テンプレート!$C142,使用レシピ!$E:$E,0))&lt;&gt;0,INDEX(使用レシピ!F:F,MATCH(テンプレート!$C142,使用レシピ!$E:$E,0)),""),"")</f>
        <v/>
      </c>
      <c r="E142" t="str">
        <f>IFERROR(IF(INDEX(使用レシピ!G:G,MATCH(テンプレート!$C142,使用レシピ!$E:$E,0))&lt;&gt;0,INDEX(使用レシピ!G:G,MATCH(テンプレート!$C142,使用レシピ!$E:$E,0)),""),"")</f>
        <v/>
      </c>
      <c r="F142" t="str">
        <f>IFERROR(IF(INDEX(使用レシピ!H:H,MATCH(テンプレート!$C142,使用レシピ!$E:$E,0))&lt;&gt;0,INDEX(使用レシピ!H:H,MATCH(テンプレート!$C142,使用レシピ!$E:$E,0)),""),"")</f>
        <v/>
      </c>
      <c r="G142" t="str">
        <f>IFERROR(IF(INDEX(使用レシピ!I:I,MATCH(テンプレート!$C142,使用レシピ!$E:$E,0))&lt;&gt;0,INDEX(使用レシピ!I:I,MATCH(テンプレート!$C142,使用レシピ!$E:$E,0)),""),"")</f>
        <v/>
      </c>
      <c r="H142" s="24" t="str">
        <f>IFERROR(IF(INDEX(使用レシピ!J:J,MATCH(テンプレート!$C142,使用レシピ!$E:$E,0))&lt;&gt;0,INDEX(使用レシピ!J:J,MATCH(テンプレート!$C142,使用レシピ!$E:$E,0)),""),"")</f>
        <v/>
      </c>
      <c r="I142" s="36" t="str">
        <f>IFERROR(IF(INDEX(使用レシピ!P:P,MATCH(テンプレート!$C142,使用レシピ!$E:$E,0))&lt;&gt;0,INDEX(使用レシピ!P:P,MATCH(テンプレート!$C142,使用レシピ!$E:$E,0)),""),"")</f>
        <v/>
      </c>
      <c r="J142" t="str">
        <f>IFERROR(IF(INDEX(使用レシピ!K:K,MATCH(テンプレート!$C142,使用レシピ!$E:$E,0))&lt;&gt;0,INDEX(使用レシピ!K:K,MATCH(テンプレート!$C142,使用レシピ!$E:$E,0)),""),"")</f>
        <v/>
      </c>
      <c r="K142" t="str">
        <f>IFERROR(IF(INDEX(使用レシピ!L:L,MATCH(テンプレート!$C142,使用レシピ!$E:$E,0))&lt;&gt;0,INDEX(使用レシピ!L:L,MATCH(テンプレート!$C142,使用レシピ!$E:$E,0)),""),"")</f>
        <v/>
      </c>
      <c r="L142" t="str">
        <f>IFERROR(IF(INDEX(使用レシピ!M:M,MATCH(テンプレート!$C142,使用レシピ!$E:$E,0))&lt;&gt;0,INDEX(使用レシピ!M:M,MATCH(テンプレート!$C142,使用レシピ!$E:$E,0)),""),"")</f>
        <v/>
      </c>
      <c r="M142" t="str">
        <f>IFERROR(IF(INDEX(使用レシピ!N:N,MATCH(テンプレート!$C142,使用レシピ!$E:$E,0))&lt;&gt;0,INDEX(使用レシピ!N:N,MATCH(テンプレート!$C142,使用レシピ!$E:$E,0)),""),"")</f>
        <v/>
      </c>
      <c r="N142" s="24" t="str">
        <f>IFERROR(IF(INDEX(使用レシピ!O:O,MATCH(テンプレート!$C142,使用レシピ!$E:$E,0))&lt;&gt;0,INDEX(使用レシピ!O:O,MATCH(テンプレート!$C142,使用レシピ!$E:$E,0)),""),"")</f>
        <v/>
      </c>
      <c r="O142" s="42" t="str">
        <f>IFERROR(IF(INDEX(使用レシピ!P:P,MATCH(テンプレート!$C142,使用レシピ!$E:$E,0))&lt;&gt;0,INDEX(使用レシピ!P:P,MATCH(テンプレート!$C142,使用レシピ!$E:$E,0)),""),"")</f>
        <v/>
      </c>
      <c r="P142" s="25" t="str">
        <f t="shared" si="14"/>
        <v/>
      </c>
      <c r="Q142" s="26" t="str">
        <f t="shared" si="15"/>
        <v/>
      </c>
      <c r="R142" s="26" t="str">
        <f t="shared" si="16"/>
        <v/>
      </c>
      <c r="S142" s="26" t="str">
        <f t="shared" si="17"/>
        <v/>
      </c>
      <c r="T142" s="43" t="str">
        <f t="shared" si="17"/>
        <v/>
      </c>
    </row>
    <row r="143" spans="1:20" x14ac:dyDescent="0.4">
      <c r="A143">
        <v>11121332</v>
      </c>
      <c r="B143" s="47" t="str" cm="1">
        <f t="array" ref="B143">IFERROR((INDEX($P$4:$T$1000,MATCH(VALUE(LEFT($A143,LEN($A143)-1)),$A$4:$A$1000,0),VALUE(RIGHT($A143,1)))/ INDEX($O$4:$O$1000,MATCH(VALUE(LEFT($A143,LEN($A143)-1)),$A$4:$A$1000))) * INDEX($B$4:$B$1000,MATCH(VALUE(LEFT($A143,LEN($A143)-1)),$A$4:$A$1000)),"")</f>
        <v/>
      </c>
      <c r="C143" s="38" t="str" cm="1">
        <f t="array" ref="C143">IFERROR(IF(INDEX($D$4:$H$1000,MATCH(VALUE(LEFT($A143,LEN($A143)-1)),$A$4:$A$1000,0),VALUE(RIGHT($A143,1)))= 0,"",INDEX($D$4:$H$1000,MATCH(VALUE(LEFT($A143,LEN($A143)-1)),$A$4:$A$1000,0),VALUE(RIGHT($A143,1)))),"")</f>
        <v/>
      </c>
      <c r="D143" s="23" t="str">
        <f>IFERROR(IF(INDEX(使用レシピ!F:F,MATCH(テンプレート!$C143,使用レシピ!$E:$E,0))&lt;&gt;0,INDEX(使用レシピ!F:F,MATCH(テンプレート!$C143,使用レシピ!$E:$E,0)),""),"")</f>
        <v/>
      </c>
      <c r="E143" t="str">
        <f>IFERROR(IF(INDEX(使用レシピ!G:G,MATCH(テンプレート!$C143,使用レシピ!$E:$E,0))&lt;&gt;0,INDEX(使用レシピ!G:G,MATCH(テンプレート!$C143,使用レシピ!$E:$E,0)),""),"")</f>
        <v/>
      </c>
      <c r="F143" t="str">
        <f>IFERROR(IF(INDEX(使用レシピ!H:H,MATCH(テンプレート!$C143,使用レシピ!$E:$E,0))&lt;&gt;0,INDEX(使用レシピ!H:H,MATCH(テンプレート!$C143,使用レシピ!$E:$E,0)),""),"")</f>
        <v/>
      </c>
      <c r="G143" t="str">
        <f>IFERROR(IF(INDEX(使用レシピ!I:I,MATCH(テンプレート!$C143,使用レシピ!$E:$E,0))&lt;&gt;0,INDEX(使用レシピ!I:I,MATCH(テンプレート!$C143,使用レシピ!$E:$E,0)),""),"")</f>
        <v/>
      </c>
      <c r="H143" s="24" t="str">
        <f>IFERROR(IF(INDEX(使用レシピ!J:J,MATCH(テンプレート!$C143,使用レシピ!$E:$E,0))&lt;&gt;0,INDEX(使用レシピ!J:J,MATCH(テンプレート!$C143,使用レシピ!$E:$E,0)),""),"")</f>
        <v/>
      </c>
      <c r="I143" s="36" t="str">
        <f>IFERROR(IF(INDEX(使用レシピ!P:P,MATCH(テンプレート!$C143,使用レシピ!$E:$E,0))&lt;&gt;0,INDEX(使用レシピ!P:P,MATCH(テンプレート!$C143,使用レシピ!$E:$E,0)),""),"")</f>
        <v/>
      </c>
      <c r="J143" t="str">
        <f>IFERROR(IF(INDEX(使用レシピ!K:K,MATCH(テンプレート!$C143,使用レシピ!$E:$E,0))&lt;&gt;0,INDEX(使用レシピ!K:K,MATCH(テンプレート!$C143,使用レシピ!$E:$E,0)),""),"")</f>
        <v/>
      </c>
      <c r="K143" t="str">
        <f>IFERROR(IF(INDEX(使用レシピ!L:L,MATCH(テンプレート!$C143,使用レシピ!$E:$E,0))&lt;&gt;0,INDEX(使用レシピ!L:L,MATCH(テンプレート!$C143,使用レシピ!$E:$E,0)),""),"")</f>
        <v/>
      </c>
      <c r="L143" t="str">
        <f>IFERROR(IF(INDEX(使用レシピ!M:M,MATCH(テンプレート!$C143,使用レシピ!$E:$E,0))&lt;&gt;0,INDEX(使用レシピ!M:M,MATCH(テンプレート!$C143,使用レシピ!$E:$E,0)),""),"")</f>
        <v/>
      </c>
      <c r="M143" t="str">
        <f>IFERROR(IF(INDEX(使用レシピ!N:N,MATCH(テンプレート!$C143,使用レシピ!$E:$E,0))&lt;&gt;0,INDEX(使用レシピ!N:N,MATCH(テンプレート!$C143,使用レシピ!$E:$E,0)),""),"")</f>
        <v/>
      </c>
      <c r="N143" s="24" t="str">
        <f>IFERROR(IF(INDEX(使用レシピ!O:O,MATCH(テンプレート!$C143,使用レシピ!$E:$E,0))&lt;&gt;0,INDEX(使用レシピ!O:O,MATCH(テンプレート!$C143,使用レシピ!$E:$E,0)),""),"")</f>
        <v/>
      </c>
      <c r="O143" s="42" t="str">
        <f>IFERROR(IF(INDEX(使用レシピ!P:P,MATCH(テンプレート!$C143,使用レシピ!$E:$E,0))&lt;&gt;0,INDEX(使用レシピ!P:P,MATCH(テンプレート!$C143,使用レシピ!$E:$E,0)),""),"")</f>
        <v/>
      </c>
      <c r="P143" s="25" t="str">
        <f t="shared" si="14"/>
        <v/>
      </c>
      <c r="Q143" s="26" t="str">
        <f t="shared" si="15"/>
        <v/>
      </c>
      <c r="R143" s="26" t="str">
        <f t="shared" si="16"/>
        <v/>
      </c>
      <c r="S143" s="26" t="str">
        <f t="shared" si="17"/>
        <v/>
      </c>
      <c r="T143" s="43" t="str">
        <f t="shared" si="17"/>
        <v/>
      </c>
    </row>
    <row r="144" spans="1:20" x14ac:dyDescent="0.4">
      <c r="A144">
        <v>11121411</v>
      </c>
      <c r="B144" s="47" t="str" cm="1">
        <f t="array" ref="B144">IFERROR((INDEX($P$4:$T$1000,MATCH(VALUE(LEFT($A144,LEN($A144)-1)),$A$4:$A$1000,0),VALUE(RIGHT($A144,1)))/ INDEX($O$4:$O$1000,MATCH(VALUE(LEFT($A144,LEN($A144)-1)),$A$4:$A$1000))) * INDEX($B$4:$B$1000,MATCH(VALUE(LEFT($A144,LEN($A144)-1)),$A$4:$A$1000)),"")</f>
        <v/>
      </c>
      <c r="C144" s="38" t="str" cm="1">
        <f t="array" ref="C144">IFERROR(IF(INDEX($D$4:$H$1000,MATCH(VALUE(LEFT($A144,LEN($A144)-1)),$A$4:$A$1000,0),VALUE(RIGHT($A144,1)))= 0,"",INDEX($D$4:$H$1000,MATCH(VALUE(LEFT($A144,LEN($A144)-1)),$A$4:$A$1000,0),VALUE(RIGHT($A144,1)))),"")</f>
        <v/>
      </c>
      <c r="D144" s="23" t="str">
        <f>IFERROR(IF(INDEX(使用レシピ!F:F,MATCH(テンプレート!$C144,使用レシピ!$E:$E,0))&lt;&gt;0,INDEX(使用レシピ!F:F,MATCH(テンプレート!$C144,使用レシピ!$E:$E,0)),""),"")</f>
        <v/>
      </c>
      <c r="E144" t="str">
        <f>IFERROR(IF(INDEX(使用レシピ!G:G,MATCH(テンプレート!$C144,使用レシピ!$E:$E,0))&lt;&gt;0,INDEX(使用レシピ!G:G,MATCH(テンプレート!$C144,使用レシピ!$E:$E,0)),""),"")</f>
        <v/>
      </c>
      <c r="F144" t="str">
        <f>IFERROR(IF(INDEX(使用レシピ!H:H,MATCH(テンプレート!$C144,使用レシピ!$E:$E,0))&lt;&gt;0,INDEX(使用レシピ!H:H,MATCH(テンプレート!$C144,使用レシピ!$E:$E,0)),""),"")</f>
        <v/>
      </c>
      <c r="G144" t="str">
        <f>IFERROR(IF(INDEX(使用レシピ!I:I,MATCH(テンプレート!$C144,使用レシピ!$E:$E,0))&lt;&gt;0,INDEX(使用レシピ!I:I,MATCH(テンプレート!$C144,使用レシピ!$E:$E,0)),""),"")</f>
        <v/>
      </c>
      <c r="H144" s="24" t="str">
        <f>IFERROR(IF(INDEX(使用レシピ!J:J,MATCH(テンプレート!$C144,使用レシピ!$E:$E,0))&lt;&gt;0,INDEX(使用レシピ!J:J,MATCH(テンプレート!$C144,使用レシピ!$E:$E,0)),""),"")</f>
        <v/>
      </c>
      <c r="I144" s="36" t="str">
        <f>IFERROR(IF(INDEX(使用レシピ!P:P,MATCH(テンプレート!$C144,使用レシピ!$E:$E,0))&lt;&gt;0,INDEX(使用レシピ!P:P,MATCH(テンプレート!$C144,使用レシピ!$E:$E,0)),""),"")</f>
        <v/>
      </c>
      <c r="J144" t="str">
        <f>IFERROR(IF(INDEX(使用レシピ!K:K,MATCH(テンプレート!$C144,使用レシピ!$E:$E,0))&lt;&gt;0,INDEX(使用レシピ!K:K,MATCH(テンプレート!$C144,使用レシピ!$E:$E,0)),""),"")</f>
        <v/>
      </c>
      <c r="K144" t="str">
        <f>IFERROR(IF(INDEX(使用レシピ!L:L,MATCH(テンプレート!$C144,使用レシピ!$E:$E,0))&lt;&gt;0,INDEX(使用レシピ!L:L,MATCH(テンプレート!$C144,使用レシピ!$E:$E,0)),""),"")</f>
        <v/>
      </c>
      <c r="L144" t="str">
        <f>IFERROR(IF(INDEX(使用レシピ!M:M,MATCH(テンプレート!$C144,使用レシピ!$E:$E,0))&lt;&gt;0,INDEX(使用レシピ!M:M,MATCH(テンプレート!$C144,使用レシピ!$E:$E,0)),""),"")</f>
        <v/>
      </c>
      <c r="M144" t="str">
        <f>IFERROR(IF(INDEX(使用レシピ!N:N,MATCH(テンプレート!$C144,使用レシピ!$E:$E,0))&lt;&gt;0,INDEX(使用レシピ!N:N,MATCH(テンプレート!$C144,使用レシピ!$E:$E,0)),""),"")</f>
        <v/>
      </c>
      <c r="N144" s="24" t="str">
        <f>IFERROR(IF(INDEX(使用レシピ!O:O,MATCH(テンプレート!$C144,使用レシピ!$E:$E,0))&lt;&gt;0,INDEX(使用レシピ!O:O,MATCH(テンプレート!$C144,使用レシピ!$E:$E,0)),""),"")</f>
        <v/>
      </c>
      <c r="O144" s="42" t="str">
        <f>IFERROR(IF(INDEX(使用レシピ!P:P,MATCH(テンプレート!$C144,使用レシピ!$E:$E,0))&lt;&gt;0,INDEX(使用レシピ!P:P,MATCH(テンプレート!$C144,使用レシピ!$E:$E,0)),""),"")</f>
        <v/>
      </c>
      <c r="P144" s="25" t="str">
        <f t="shared" si="14"/>
        <v/>
      </c>
      <c r="Q144" s="26" t="str">
        <f t="shared" si="15"/>
        <v/>
      </c>
      <c r="R144" s="26" t="str">
        <f t="shared" si="16"/>
        <v/>
      </c>
      <c r="S144" s="26" t="str">
        <f t="shared" si="17"/>
        <v/>
      </c>
      <c r="T144" s="43" t="str">
        <f t="shared" si="17"/>
        <v/>
      </c>
    </row>
    <row r="145" spans="1:20" x14ac:dyDescent="0.4">
      <c r="A145">
        <v>11121421</v>
      </c>
      <c r="B145" s="47" t="str" cm="1">
        <f t="array" ref="B145">IFERROR((INDEX($P$4:$T$1000,MATCH(VALUE(LEFT($A145,LEN($A145)-1)),$A$4:$A$1000,0),VALUE(RIGHT($A145,1)))/ INDEX($O$4:$O$1000,MATCH(VALUE(LEFT($A145,LEN($A145)-1)),$A$4:$A$1000))) * INDEX($B$4:$B$1000,MATCH(VALUE(LEFT($A145,LEN($A145)-1)),$A$4:$A$1000)),"")</f>
        <v/>
      </c>
      <c r="C145" s="38" t="str" cm="1">
        <f t="array" ref="C145">IFERROR(IF(INDEX($D$4:$H$1000,MATCH(VALUE(LEFT($A145,LEN($A145)-1)),$A$4:$A$1000,0),VALUE(RIGHT($A145,1)))= 0,"",INDEX($D$4:$H$1000,MATCH(VALUE(LEFT($A145,LEN($A145)-1)),$A$4:$A$1000,0),VALUE(RIGHT($A145,1)))),"")</f>
        <v/>
      </c>
      <c r="D145" s="23" t="str">
        <f>IFERROR(IF(INDEX(使用レシピ!F:F,MATCH(テンプレート!$C145,使用レシピ!$E:$E,0))&lt;&gt;0,INDEX(使用レシピ!F:F,MATCH(テンプレート!$C145,使用レシピ!$E:$E,0)),""),"")</f>
        <v/>
      </c>
      <c r="E145" t="str">
        <f>IFERROR(IF(INDEX(使用レシピ!G:G,MATCH(テンプレート!$C145,使用レシピ!$E:$E,0))&lt;&gt;0,INDEX(使用レシピ!G:G,MATCH(テンプレート!$C145,使用レシピ!$E:$E,0)),""),"")</f>
        <v/>
      </c>
      <c r="F145" t="str">
        <f>IFERROR(IF(INDEX(使用レシピ!H:H,MATCH(テンプレート!$C145,使用レシピ!$E:$E,0))&lt;&gt;0,INDEX(使用レシピ!H:H,MATCH(テンプレート!$C145,使用レシピ!$E:$E,0)),""),"")</f>
        <v/>
      </c>
      <c r="G145" t="str">
        <f>IFERROR(IF(INDEX(使用レシピ!I:I,MATCH(テンプレート!$C145,使用レシピ!$E:$E,0))&lt;&gt;0,INDEX(使用レシピ!I:I,MATCH(テンプレート!$C145,使用レシピ!$E:$E,0)),""),"")</f>
        <v/>
      </c>
      <c r="H145" s="24" t="str">
        <f>IFERROR(IF(INDEX(使用レシピ!J:J,MATCH(テンプレート!$C145,使用レシピ!$E:$E,0))&lt;&gt;0,INDEX(使用レシピ!J:J,MATCH(テンプレート!$C145,使用レシピ!$E:$E,0)),""),"")</f>
        <v/>
      </c>
      <c r="I145" s="36" t="str">
        <f>IFERROR(IF(INDEX(使用レシピ!P:P,MATCH(テンプレート!$C145,使用レシピ!$E:$E,0))&lt;&gt;0,INDEX(使用レシピ!P:P,MATCH(テンプレート!$C145,使用レシピ!$E:$E,0)),""),"")</f>
        <v/>
      </c>
      <c r="J145" t="str">
        <f>IFERROR(IF(INDEX(使用レシピ!K:K,MATCH(テンプレート!$C145,使用レシピ!$E:$E,0))&lt;&gt;0,INDEX(使用レシピ!K:K,MATCH(テンプレート!$C145,使用レシピ!$E:$E,0)),""),"")</f>
        <v/>
      </c>
      <c r="K145" t="str">
        <f>IFERROR(IF(INDEX(使用レシピ!L:L,MATCH(テンプレート!$C145,使用レシピ!$E:$E,0))&lt;&gt;0,INDEX(使用レシピ!L:L,MATCH(テンプレート!$C145,使用レシピ!$E:$E,0)),""),"")</f>
        <v/>
      </c>
      <c r="L145" t="str">
        <f>IFERROR(IF(INDEX(使用レシピ!M:M,MATCH(テンプレート!$C145,使用レシピ!$E:$E,0))&lt;&gt;0,INDEX(使用レシピ!M:M,MATCH(テンプレート!$C145,使用レシピ!$E:$E,0)),""),"")</f>
        <v/>
      </c>
      <c r="M145" t="str">
        <f>IFERROR(IF(INDEX(使用レシピ!N:N,MATCH(テンプレート!$C145,使用レシピ!$E:$E,0))&lt;&gt;0,INDEX(使用レシピ!N:N,MATCH(テンプレート!$C145,使用レシピ!$E:$E,0)),""),"")</f>
        <v/>
      </c>
      <c r="N145" s="24" t="str">
        <f>IFERROR(IF(INDEX(使用レシピ!O:O,MATCH(テンプレート!$C145,使用レシピ!$E:$E,0))&lt;&gt;0,INDEX(使用レシピ!O:O,MATCH(テンプレート!$C145,使用レシピ!$E:$E,0)),""),"")</f>
        <v/>
      </c>
      <c r="O145" s="42" t="str">
        <f>IFERROR(IF(INDEX(使用レシピ!P:P,MATCH(テンプレート!$C145,使用レシピ!$E:$E,0))&lt;&gt;0,INDEX(使用レシピ!P:P,MATCH(テンプレート!$C145,使用レシピ!$E:$E,0)),""),"")</f>
        <v/>
      </c>
      <c r="P145" s="25" t="str">
        <f t="shared" si="14"/>
        <v/>
      </c>
      <c r="Q145" s="26" t="str">
        <f t="shared" si="15"/>
        <v/>
      </c>
      <c r="R145" s="26" t="str">
        <f t="shared" si="16"/>
        <v/>
      </c>
      <c r="S145" s="26" t="str">
        <f t="shared" si="17"/>
        <v/>
      </c>
      <c r="T145" s="43" t="str">
        <f t="shared" si="17"/>
        <v/>
      </c>
    </row>
    <row r="146" spans="1:20" x14ac:dyDescent="0.4">
      <c r="A146">
        <v>12111111</v>
      </c>
      <c r="B146" s="47" t="str" cm="1">
        <f t="array" ref="B146">IFERROR((INDEX($P$4:$T$1000,MATCH(VALUE(LEFT($A146,LEN($A146)-1)),$A$4:$A$1000,0),VALUE(RIGHT($A146,1)))/ INDEX($O$4:$O$1000,MATCH(VALUE(LEFT($A146,LEN($A146)-1)),$A$4:$A$1000))) * INDEX($B$4:$B$1000,MATCH(VALUE(LEFT($A146,LEN($A146)-1)),$A$4:$A$1000)),"")</f>
        <v/>
      </c>
      <c r="C146" s="38" t="str" cm="1">
        <f t="array" ref="C146">IFERROR(IF(INDEX($D$4:$H$1000,MATCH(VALUE(LEFT($A146,LEN($A146)-1)),$A$4:$A$1000,0),VALUE(RIGHT($A146,1)))= 0,"",INDEX($D$4:$H$1000,MATCH(VALUE(LEFT($A146,LEN($A146)-1)),$A$4:$A$1000,0),VALUE(RIGHT($A146,1)))),"")</f>
        <v/>
      </c>
      <c r="D146" s="23" t="str">
        <f>IFERROR(IF(INDEX(使用レシピ!F:F,MATCH(テンプレート!$C146,使用レシピ!$E:$E,0))&lt;&gt;0,INDEX(使用レシピ!F:F,MATCH(テンプレート!$C146,使用レシピ!$E:$E,0)),""),"")</f>
        <v/>
      </c>
      <c r="E146" t="str">
        <f>IFERROR(IF(INDEX(使用レシピ!G:G,MATCH(テンプレート!$C146,使用レシピ!$E:$E,0))&lt;&gt;0,INDEX(使用レシピ!G:G,MATCH(テンプレート!$C146,使用レシピ!$E:$E,0)),""),"")</f>
        <v/>
      </c>
      <c r="F146" t="str">
        <f>IFERROR(IF(INDEX(使用レシピ!H:H,MATCH(テンプレート!$C146,使用レシピ!$E:$E,0))&lt;&gt;0,INDEX(使用レシピ!H:H,MATCH(テンプレート!$C146,使用レシピ!$E:$E,0)),""),"")</f>
        <v/>
      </c>
      <c r="G146" t="str">
        <f>IFERROR(IF(INDEX(使用レシピ!I:I,MATCH(テンプレート!$C146,使用レシピ!$E:$E,0))&lt;&gt;0,INDEX(使用レシピ!I:I,MATCH(テンプレート!$C146,使用レシピ!$E:$E,0)),""),"")</f>
        <v/>
      </c>
      <c r="H146" s="24" t="str">
        <f>IFERROR(IF(INDEX(使用レシピ!J:J,MATCH(テンプレート!$C146,使用レシピ!$E:$E,0))&lt;&gt;0,INDEX(使用レシピ!J:J,MATCH(テンプレート!$C146,使用レシピ!$E:$E,0)),""),"")</f>
        <v/>
      </c>
      <c r="I146" s="36" t="str">
        <f>IFERROR(IF(INDEX(使用レシピ!P:P,MATCH(テンプレート!$C146,使用レシピ!$E:$E,0))&lt;&gt;0,INDEX(使用レシピ!P:P,MATCH(テンプレート!$C146,使用レシピ!$E:$E,0)),""),"")</f>
        <v/>
      </c>
      <c r="J146" t="str">
        <f>IFERROR(IF(INDEX(使用レシピ!K:K,MATCH(テンプレート!$C146,使用レシピ!$E:$E,0))&lt;&gt;0,INDEX(使用レシピ!K:K,MATCH(テンプレート!$C146,使用レシピ!$E:$E,0)),""),"")</f>
        <v/>
      </c>
      <c r="K146" t="str">
        <f>IFERROR(IF(INDEX(使用レシピ!L:L,MATCH(テンプレート!$C146,使用レシピ!$E:$E,0))&lt;&gt;0,INDEX(使用レシピ!L:L,MATCH(テンプレート!$C146,使用レシピ!$E:$E,0)),""),"")</f>
        <v/>
      </c>
      <c r="L146" t="str">
        <f>IFERROR(IF(INDEX(使用レシピ!M:M,MATCH(テンプレート!$C146,使用レシピ!$E:$E,0))&lt;&gt;0,INDEX(使用レシピ!M:M,MATCH(テンプレート!$C146,使用レシピ!$E:$E,0)),""),"")</f>
        <v/>
      </c>
      <c r="M146" t="str">
        <f>IFERROR(IF(INDEX(使用レシピ!N:N,MATCH(テンプレート!$C146,使用レシピ!$E:$E,0))&lt;&gt;0,INDEX(使用レシピ!N:N,MATCH(テンプレート!$C146,使用レシピ!$E:$E,0)),""),"")</f>
        <v/>
      </c>
      <c r="N146" s="24" t="str">
        <f>IFERROR(IF(INDEX(使用レシピ!O:O,MATCH(テンプレート!$C146,使用レシピ!$E:$E,0))&lt;&gt;0,INDEX(使用レシピ!O:O,MATCH(テンプレート!$C146,使用レシピ!$E:$E,0)),""),"")</f>
        <v/>
      </c>
      <c r="O146" s="42" t="str">
        <f>IFERROR(IF(INDEX(使用レシピ!P:P,MATCH(テンプレート!$C146,使用レシピ!$E:$E,0))&lt;&gt;0,INDEX(使用レシピ!P:P,MATCH(テンプレート!$C146,使用レシピ!$E:$E,0)),""),"")</f>
        <v/>
      </c>
      <c r="P146" s="25" t="str">
        <f t="shared" si="14"/>
        <v/>
      </c>
      <c r="Q146" s="26" t="str">
        <f t="shared" si="15"/>
        <v/>
      </c>
      <c r="R146" s="26" t="str">
        <f t="shared" si="16"/>
        <v/>
      </c>
      <c r="S146" s="26" t="str">
        <f t="shared" si="17"/>
        <v/>
      </c>
      <c r="T146" s="43" t="str">
        <f t="shared" si="17"/>
        <v/>
      </c>
    </row>
    <row r="147" spans="1:20" x14ac:dyDescent="0.4">
      <c r="A147">
        <v>12111121</v>
      </c>
      <c r="B147" s="47" t="str" cm="1">
        <f t="array" ref="B147">IFERROR((INDEX($P$4:$T$1000,MATCH(VALUE(LEFT($A147,LEN($A147)-1)),$A$4:$A$1000,0),VALUE(RIGHT($A147,1)))/ INDEX($O$4:$O$1000,MATCH(VALUE(LEFT($A147,LEN($A147)-1)),$A$4:$A$1000))) * INDEX($B$4:$B$1000,MATCH(VALUE(LEFT($A147,LEN($A147)-1)),$A$4:$A$1000)),"")</f>
        <v/>
      </c>
      <c r="C147" s="38" t="str" cm="1">
        <f t="array" ref="C147">IFERROR(IF(INDEX($D$4:$H$1000,MATCH(VALUE(LEFT($A147,LEN($A147)-1)),$A$4:$A$1000,0),VALUE(RIGHT($A147,1)))= 0,"",INDEX($D$4:$H$1000,MATCH(VALUE(LEFT($A147,LEN($A147)-1)),$A$4:$A$1000,0),VALUE(RIGHT($A147,1)))),"")</f>
        <v/>
      </c>
      <c r="D147" s="23" t="str">
        <f>IFERROR(IF(INDEX(使用レシピ!F:F,MATCH(テンプレート!$C147,使用レシピ!$E:$E,0))&lt;&gt;0,INDEX(使用レシピ!F:F,MATCH(テンプレート!$C147,使用レシピ!$E:$E,0)),""),"")</f>
        <v/>
      </c>
      <c r="E147" t="str">
        <f>IFERROR(IF(INDEX(使用レシピ!G:G,MATCH(テンプレート!$C147,使用レシピ!$E:$E,0))&lt;&gt;0,INDEX(使用レシピ!G:G,MATCH(テンプレート!$C147,使用レシピ!$E:$E,0)),""),"")</f>
        <v/>
      </c>
      <c r="F147" t="str">
        <f>IFERROR(IF(INDEX(使用レシピ!H:H,MATCH(テンプレート!$C147,使用レシピ!$E:$E,0))&lt;&gt;0,INDEX(使用レシピ!H:H,MATCH(テンプレート!$C147,使用レシピ!$E:$E,0)),""),"")</f>
        <v/>
      </c>
      <c r="G147" t="str">
        <f>IFERROR(IF(INDEX(使用レシピ!I:I,MATCH(テンプレート!$C147,使用レシピ!$E:$E,0))&lt;&gt;0,INDEX(使用レシピ!I:I,MATCH(テンプレート!$C147,使用レシピ!$E:$E,0)),""),"")</f>
        <v/>
      </c>
      <c r="H147" s="24" t="str">
        <f>IFERROR(IF(INDEX(使用レシピ!J:J,MATCH(テンプレート!$C147,使用レシピ!$E:$E,0))&lt;&gt;0,INDEX(使用レシピ!J:J,MATCH(テンプレート!$C147,使用レシピ!$E:$E,0)),""),"")</f>
        <v/>
      </c>
      <c r="I147" s="36" t="str">
        <f>IFERROR(IF(INDEX(使用レシピ!P:P,MATCH(テンプレート!$C147,使用レシピ!$E:$E,0))&lt;&gt;0,INDEX(使用レシピ!P:P,MATCH(テンプレート!$C147,使用レシピ!$E:$E,0)),""),"")</f>
        <v/>
      </c>
      <c r="J147" t="str">
        <f>IFERROR(IF(INDEX(使用レシピ!K:K,MATCH(テンプレート!$C147,使用レシピ!$E:$E,0))&lt;&gt;0,INDEX(使用レシピ!K:K,MATCH(テンプレート!$C147,使用レシピ!$E:$E,0)),""),"")</f>
        <v/>
      </c>
      <c r="K147" t="str">
        <f>IFERROR(IF(INDEX(使用レシピ!L:L,MATCH(テンプレート!$C147,使用レシピ!$E:$E,0))&lt;&gt;0,INDEX(使用レシピ!L:L,MATCH(テンプレート!$C147,使用レシピ!$E:$E,0)),""),"")</f>
        <v/>
      </c>
      <c r="L147" t="str">
        <f>IFERROR(IF(INDEX(使用レシピ!M:M,MATCH(テンプレート!$C147,使用レシピ!$E:$E,0))&lt;&gt;0,INDEX(使用レシピ!M:M,MATCH(テンプレート!$C147,使用レシピ!$E:$E,0)),""),"")</f>
        <v/>
      </c>
      <c r="M147" t="str">
        <f>IFERROR(IF(INDEX(使用レシピ!N:N,MATCH(テンプレート!$C147,使用レシピ!$E:$E,0))&lt;&gt;0,INDEX(使用レシピ!N:N,MATCH(テンプレート!$C147,使用レシピ!$E:$E,0)),""),"")</f>
        <v/>
      </c>
      <c r="N147" s="24" t="str">
        <f>IFERROR(IF(INDEX(使用レシピ!O:O,MATCH(テンプレート!$C147,使用レシピ!$E:$E,0))&lt;&gt;0,INDEX(使用レシピ!O:O,MATCH(テンプレート!$C147,使用レシピ!$E:$E,0)),""),"")</f>
        <v/>
      </c>
      <c r="O147" s="42" t="str">
        <f>IFERROR(IF(INDEX(使用レシピ!P:P,MATCH(テンプレート!$C147,使用レシピ!$E:$E,0))&lt;&gt;0,INDEX(使用レシピ!P:P,MATCH(テンプレート!$C147,使用レシピ!$E:$E,0)),""),"")</f>
        <v/>
      </c>
      <c r="P147" s="25" t="str">
        <f t="shared" si="14"/>
        <v/>
      </c>
      <c r="Q147" s="26" t="str">
        <f t="shared" si="15"/>
        <v/>
      </c>
      <c r="R147" s="26" t="str">
        <f t="shared" si="16"/>
        <v/>
      </c>
      <c r="S147" s="26" t="str">
        <f t="shared" si="17"/>
        <v/>
      </c>
      <c r="T147" s="43" t="str">
        <f t="shared" si="17"/>
        <v/>
      </c>
    </row>
    <row r="148" spans="1:20" x14ac:dyDescent="0.4">
      <c r="A148">
        <v>12111211</v>
      </c>
      <c r="B148" s="47" t="str" cm="1">
        <f t="array" ref="B148">IFERROR((INDEX($P$4:$T$1000,MATCH(VALUE(LEFT($A148,LEN($A148)-1)),$A$4:$A$1000,0),VALUE(RIGHT($A148,1)))/ INDEX($O$4:$O$1000,MATCH(VALUE(LEFT($A148,LEN($A148)-1)),$A$4:$A$1000))) * INDEX($B$4:$B$1000,MATCH(VALUE(LEFT($A148,LEN($A148)-1)),$A$4:$A$1000)),"")</f>
        <v/>
      </c>
      <c r="C148" s="38" t="str" cm="1">
        <f t="array" ref="C148">IFERROR(IF(INDEX($D$4:$H$1000,MATCH(VALUE(LEFT($A148,LEN($A148)-1)),$A$4:$A$1000,0),VALUE(RIGHT($A148,1)))= 0,"",INDEX($D$4:$H$1000,MATCH(VALUE(LEFT($A148,LEN($A148)-1)),$A$4:$A$1000,0),VALUE(RIGHT($A148,1)))),"")</f>
        <v/>
      </c>
      <c r="D148" s="23" t="str">
        <f>IFERROR(IF(INDEX(使用レシピ!F:F,MATCH(テンプレート!$C148,使用レシピ!$E:$E,0))&lt;&gt;0,INDEX(使用レシピ!F:F,MATCH(テンプレート!$C148,使用レシピ!$E:$E,0)),""),"")</f>
        <v/>
      </c>
      <c r="E148" t="str">
        <f>IFERROR(IF(INDEX(使用レシピ!G:G,MATCH(テンプレート!$C148,使用レシピ!$E:$E,0))&lt;&gt;0,INDEX(使用レシピ!G:G,MATCH(テンプレート!$C148,使用レシピ!$E:$E,0)),""),"")</f>
        <v/>
      </c>
      <c r="F148" t="str">
        <f>IFERROR(IF(INDEX(使用レシピ!H:H,MATCH(テンプレート!$C148,使用レシピ!$E:$E,0))&lt;&gt;0,INDEX(使用レシピ!H:H,MATCH(テンプレート!$C148,使用レシピ!$E:$E,0)),""),"")</f>
        <v/>
      </c>
      <c r="G148" t="str">
        <f>IFERROR(IF(INDEX(使用レシピ!I:I,MATCH(テンプレート!$C148,使用レシピ!$E:$E,0))&lt;&gt;0,INDEX(使用レシピ!I:I,MATCH(テンプレート!$C148,使用レシピ!$E:$E,0)),""),"")</f>
        <v/>
      </c>
      <c r="H148" s="24" t="str">
        <f>IFERROR(IF(INDEX(使用レシピ!J:J,MATCH(テンプレート!$C148,使用レシピ!$E:$E,0))&lt;&gt;0,INDEX(使用レシピ!J:J,MATCH(テンプレート!$C148,使用レシピ!$E:$E,0)),""),"")</f>
        <v/>
      </c>
      <c r="I148" s="36" t="str">
        <f>IFERROR(IF(INDEX(使用レシピ!P:P,MATCH(テンプレート!$C148,使用レシピ!$E:$E,0))&lt;&gt;0,INDEX(使用レシピ!P:P,MATCH(テンプレート!$C148,使用レシピ!$E:$E,0)),""),"")</f>
        <v/>
      </c>
      <c r="J148" t="str">
        <f>IFERROR(IF(INDEX(使用レシピ!K:K,MATCH(テンプレート!$C148,使用レシピ!$E:$E,0))&lt;&gt;0,INDEX(使用レシピ!K:K,MATCH(テンプレート!$C148,使用レシピ!$E:$E,0)),""),"")</f>
        <v/>
      </c>
      <c r="K148" t="str">
        <f>IFERROR(IF(INDEX(使用レシピ!L:L,MATCH(テンプレート!$C148,使用レシピ!$E:$E,0))&lt;&gt;0,INDEX(使用レシピ!L:L,MATCH(テンプレート!$C148,使用レシピ!$E:$E,0)),""),"")</f>
        <v/>
      </c>
      <c r="L148" t="str">
        <f>IFERROR(IF(INDEX(使用レシピ!M:M,MATCH(テンプレート!$C148,使用レシピ!$E:$E,0))&lt;&gt;0,INDEX(使用レシピ!M:M,MATCH(テンプレート!$C148,使用レシピ!$E:$E,0)),""),"")</f>
        <v/>
      </c>
      <c r="M148" t="str">
        <f>IFERROR(IF(INDEX(使用レシピ!N:N,MATCH(テンプレート!$C148,使用レシピ!$E:$E,0))&lt;&gt;0,INDEX(使用レシピ!N:N,MATCH(テンプレート!$C148,使用レシピ!$E:$E,0)),""),"")</f>
        <v/>
      </c>
      <c r="N148" s="24" t="str">
        <f>IFERROR(IF(INDEX(使用レシピ!O:O,MATCH(テンプレート!$C148,使用レシピ!$E:$E,0))&lt;&gt;0,INDEX(使用レシピ!O:O,MATCH(テンプレート!$C148,使用レシピ!$E:$E,0)),""),"")</f>
        <v/>
      </c>
      <c r="O148" s="42" t="str">
        <f>IFERROR(IF(INDEX(使用レシピ!P:P,MATCH(テンプレート!$C148,使用レシピ!$E:$E,0))&lt;&gt;0,INDEX(使用レシピ!P:P,MATCH(テンプレート!$C148,使用レシピ!$E:$E,0)),""),"")</f>
        <v/>
      </c>
      <c r="P148" s="25" t="str">
        <f t="shared" si="14"/>
        <v/>
      </c>
      <c r="Q148" s="26" t="str">
        <f t="shared" si="15"/>
        <v/>
      </c>
      <c r="R148" s="26" t="str">
        <f t="shared" si="16"/>
        <v/>
      </c>
      <c r="S148" s="26" t="str">
        <f t="shared" si="17"/>
        <v/>
      </c>
      <c r="T148" s="43" t="str">
        <f t="shared" si="17"/>
        <v/>
      </c>
    </row>
    <row r="149" spans="1:20" x14ac:dyDescent="0.4">
      <c r="A149">
        <v>12111212</v>
      </c>
      <c r="B149" s="47" t="str" cm="1">
        <f t="array" ref="B149">IFERROR((INDEX($P$4:$T$1000,MATCH(VALUE(LEFT($A149,LEN($A149)-1)),$A$4:$A$1000,0),VALUE(RIGHT($A149,1)))/ INDEX($O$4:$O$1000,MATCH(VALUE(LEFT($A149,LEN($A149)-1)),$A$4:$A$1000))) * INDEX($B$4:$B$1000,MATCH(VALUE(LEFT($A149,LEN($A149)-1)),$A$4:$A$1000)),"")</f>
        <v/>
      </c>
      <c r="C149" s="38" t="str" cm="1">
        <f t="array" ref="C149">IFERROR(IF(INDEX($D$4:$H$1000,MATCH(VALUE(LEFT($A149,LEN($A149)-1)),$A$4:$A$1000,0),VALUE(RIGHT($A149,1)))= 0,"",INDEX($D$4:$H$1000,MATCH(VALUE(LEFT($A149,LEN($A149)-1)),$A$4:$A$1000,0),VALUE(RIGHT($A149,1)))),"")</f>
        <v/>
      </c>
      <c r="D149" s="23" t="str">
        <f>IFERROR(IF(INDEX(使用レシピ!F:F,MATCH(テンプレート!$C149,使用レシピ!$E:$E,0))&lt;&gt;0,INDEX(使用レシピ!F:F,MATCH(テンプレート!$C149,使用レシピ!$E:$E,0)),""),"")</f>
        <v/>
      </c>
      <c r="E149" t="str">
        <f>IFERROR(IF(INDEX(使用レシピ!G:G,MATCH(テンプレート!$C149,使用レシピ!$E:$E,0))&lt;&gt;0,INDEX(使用レシピ!G:G,MATCH(テンプレート!$C149,使用レシピ!$E:$E,0)),""),"")</f>
        <v/>
      </c>
      <c r="F149" t="str">
        <f>IFERROR(IF(INDEX(使用レシピ!H:H,MATCH(テンプレート!$C149,使用レシピ!$E:$E,0))&lt;&gt;0,INDEX(使用レシピ!H:H,MATCH(テンプレート!$C149,使用レシピ!$E:$E,0)),""),"")</f>
        <v/>
      </c>
      <c r="G149" t="str">
        <f>IFERROR(IF(INDEX(使用レシピ!I:I,MATCH(テンプレート!$C149,使用レシピ!$E:$E,0))&lt;&gt;0,INDEX(使用レシピ!I:I,MATCH(テンプレート!$C149,使用レシピ!$E:$E,0)),""),"")</f>
        <v/>
      </c>
      <c r="H149" s="24" t="str">
        <f>IFERROR(IF(INDEX(使用レシピ!J:J,MATCH(テンプレート!$C149,使用レシピ!$E:$E,0))&lt;&gt;0,INDEX(使用レシピ!J:J,MATCH(テンプレート!$C149,使用レシピ!$E:$E,0)),""),"")</f>
        <v/>
      </c>
      <c r="I149" s="36" t="str">
        <f>IFERROR(IF(INDEX(使用レシピ!P:P,MATCH(テンプレート!$C149,使用レシピ!$E:$E,0))&lt;&gt;0,INDEX(使用レシピ!P:P,MATCH(テンプレート!$C149,使用レシピ!$E:$E,0)),""),"")</f>
        <v/>
      </c>
      <c r="J149" t="str">
        <f>IFERROR(IF(INDEX(使用レシピ!K:K,MATCH(テンプレート!$C149,使用レシピ!$E:$E,0))&lt;&gt;0,INDEX(使用レシピ!K:K,MATCH(テンプレート!$C149,使用レシピ!$E:$E,0)),""),"")</f>
        <v/>
      </c>
      <c r="K149" t="str">
        <f>IFERROR(IF(INDEX(使用レシピ!L:L,MATCH(テンプレート!$C149,使用レシピ!$E:$E,0))&lt;&gt;0,INDEX(使用レシピ!L:L,MATCH(テンプレート!$C149,使用レシピ!$E:$E,0)),""),"")</f>
        <v/>
      </c>
      <c r="L149" t="str">
        <f>IFERROR(IF(INDEX(使用レシピ!M:M,MATCH(テンプレート!$C149,使用レシピ!$E:$E,0))&lt;&gt;0,INDEX(使用レシピ!M:M,MATCH(テンプレート!$C149,使用レシピ!$E:$E,0)),""),"")</f>
        <v/>
      </c>
      <c r="M149" t="str">
        <f>IFERROR(IF(INDEX(使用レシピ!N:N,MATCH(テンプレート!$C149,使用レシピ!$E:$E,0))&lt;&gt;0,INDEX(使用レシピ!N:N,MATCH(テンプレート!$C149,使用レシピ!$E:$E,0)),""),"")</f>
        <v/>
      </c>
      <c r="N149" s="24" t="str">
        <f>IFERROR(IF(INDEX(使用レシピ!O:O,MATCH(テンプレート!$C149,使用レシピ!$E:$E,0))&lt;&gt;0,INDEX(使用レシピ!O:O,MATCH(テンプレート!$C149,使用レシピ!$E:$E,0)),""),"")</f>
        <v/>
      </c>
      <c r="O149" s="42" t="str">
        <f>IFERROR(IF(INDEX(使用レシピ!P:P,MATCH(テンプレート!$C149,使用レシピ!$E:$E,0))&lt;&gt;0,INDEX(使用レシピ!P:P,MATCH(テンプレート!$C149,使用レシピ!$E:$E,0)),""),"")</f>
        <v/>
      </c>
      <c r="P149" s="25" t="str">
        <f t="shared" si="14"/>
        <v/>
      </c>
      <c r="Q149" s="26" t="str">
        <f t="shared" si="15"/>
        <v/>
      </c>
      <c r="R149" s="26" t="str">
        <f t="shared" si="16"/>
        <v/>
      </c>
      <c r="S149" s="26" t="str">
        <f t="shared" si="17"/>
        <v/>
      </c>
      <c r="T149" s="43" t="str">
        <f t="shared" si="17"/>
        <v/>
      </c>
    </row>
    <row r="150" spans="1:20" x14ac:dyDescent="0.4">
      <c r="A150">
        <v>12112111</v>
      </c>
      <c r="B150" s="47" t="str" cm="1">
        <f t="array" ref="B150">IFERROR((INDEX($P$4:$T$1000,MATCH(VALUE(LEFT($A150,LEN($A150)-1)),$A$4:$A$1000,0),VALUE(RIGHT($A150,1)))/ INDEX($O$4:$O$1000,MATCH(VALUE(LEFT($A150,LEN($A150)-1)),$A$4:$A$1000))) * INDEX($B$4:$B$1000,MATCH(VALUE(LEFT($A150,LEN($A150)-1)),$A$4:$A$1000)),"")</f>
        <v/>
      </c>
      <c r="C150" s="38" t="str" cm="1">
        <f t="array" ref="C150">IFERROR(IF(INDEX($D$4:$H$1000,MATCH(VALUE(LEFT($A150,LEN($A150)-1)),$A$4:$A$1000,0),VALUE(RIGHT($A150,1)))= 0,"",INDEX($D$4:$H$1000,MATCH(VALUE(LEFT($A150,LEN($A150)-1)),$A$4:$A$1000,0),VALUE(RIGHT($A150,1)))),"")</f>
        <v/>
      </c>
      <c r="D150" s="23" t="str">
        <f>IFERROR(IF(INDEX(使用レシピ!F:F,MATCH(テンプレート!$C150,使用レシピ!$E:$E,0))&lt;&gt;0,INDEX(使用レシピ!F:F,MATCH(テンプレート!$C150,使用レシピ!$E:$E,0)),""),"")</f>
        <v/>
      </c>
      <c r="E150" t="str">
        <f>IFERROR(IF(INDEX(使用レシピ!G:G,MATCH(テンプレート!$C150,使用レシピ!$E:$E,0))&lt;&gt;0,INDEX(使用レシピ!G:G,MATCH(テンプレート!$C150,使用レシピ!$E:$E,0)),""),"")</f>
        <v/>
      </c>
      <c r="F150" t="str">
        <f>IFERROR(IF(INDEX(使用レシピ!H:H,MATCH(テンプレート!$C150,使用レシピ!$E:$E,0))&lt;&gt;0,INDEX(使用レシピ!H:H,MATCH(テンプレート!$C150,使用レシピ!$E:$E,0)),""),"")</f>
        <v/>
      </c>
      <c r="G150" t="str">
        <f>IFERROR(IF(INDEX(使用レシピ!I:I,MATCH(テンプレート!$C150,使用レシピ!$E:$E,0))&lt;&gt;0,INDEX(使用レシピ!I:I,MATCH(テンプレート!$C150,使用レシピ!$E:$E,0)),""),"")</f>
        <v/>
      </c>
      <c r="H150" s="24" t="str">
        <f>IFERROR(IF(INDEX(使用レシピ!J:J,MATCH(テンプレート!$C150,使用レシピ!$E:$E,0))&lt;&gt;0,INDEX(使用レシピ!J:J,MATCH(テンプレート!$C150,使用レシピ!$E:$E,0)),""),"")</f>
        <v/>
      </c>
      <c r="I150" s="36" t="str">
        <f>IFERROR(IF(INDEX(使用レシピ!P:P,MATCH(テンプレート!$C150,使用レシピ!$E:$E,0))&lt;&gt;0,INDEX(使用レシピ!P:P,MATCH(テンプレート!$C150,使用レシピ!$E:$E,0)),""),"")</f>
        <v/>
      </c>
      <c r="J150" t="str">
        <f>IFERROR(IF(INDEX(使用レシピ!K:K,MATCH(テンプレート!$C150,使用レシピ!$E:$E,0))&lt;&gt;0,INDEX(使用レシピ!K:K,MATCH(テンプレート!$C150,使用レシピ!$E:$E,0)),""),"")</f>
        <v/>
      </c>
      <c r="K150" t="str">
        <f>IFERROR(IF(INDEX(使用レシピ!L:L,MATCH(テンプレート!$C150,使用レシピ!$E:$E,0))&lt;&gt;0,INDEX(使用レシピ!L:L,MATCH(テンプレート!$C150,使用レシピ!$E:$E,0)),""),"")</f>
        <v/>
      </c>
      <c r="L150" t="str">
        <f>IFERROR(IF(INDEX(使用レシピ!M:M,MATCH(テンプレート!$C150,使用レシピ!$E:$E,0))&lt;&gt;0,INDEX(使用レシピ!M:M,MATCH(テンプレート!$C150,使用レシピ!$E:$E,0)),""),"")</f>
        <v/>
      </c>
      <c r="M150" t="str">
        <f>IFERROR(IF(INDEX(使用レシピ!N:N,MATCH(テンプレート!$C150,使用レシピ!$E:$E,0))&lt;&gt;0,INDEX(使用レシピ!N:N,MATCH(テンプレート!$C150,使用レシピ!$E:$E,0)),""),"")</f>
        <v/>
      </c>
      <c r="N150" s="24" t="str">
        <f>IFERROR(IF(INDEX(使用レシピ!O:O,MATCH(テンプレート!$C150,使用レシピ!$E:$E,0))&lt;&gt;0,INDEX(使用レシピ!O:O,MATCH(テンプレート!$C150,使用レシピ!$E:$E,0)),""),"")</f>
        <v/>
      </c>
      <c r="O150" s="42" t="str">
        <f>IFERROR(IF(INDEX(使用レシピ!P:P,MATCH(テンプレート!$C150,使用レシピ!$E:$E,0))&lt;&gt;0,INDEX(使用レシピ!P:P,MATCH(テンプレート!$C150,使用レシピ!$E:$E,0)),""),"")</f>
        <v/>
      </c>
      <c r="P150" s="25" t="str">
        <f t="shared" si="14"/>
        <v/>
      </c>
      <c r="Q150" s="26" t="str">
        <f t="shared" si="15"/>
        <v/>
      </c>
      <c r="R150" s="26" t="str">
        <f t="shared" si="16"/>
        <v/>
      </c>
      <c r="S150" s="26" t="str">
        <f t="shared" si="17"/>
        <v/>
      </c>
      <c r="T150" s="43" t="str">
        <f t="shared" si="17"/>
        <v/>
      </c>
    </row>
    <row r="151" spans="1:20" x14ac:dyDescent="0.4">
      <c r="A151">
        <v>12112112</v>
      </c>
      <c r="B151" s="47" t="str" cm="1">
        <f t="array" ref="B151">IFERROR((INDEX($P$4:$T$1000,MATCH(VALUE(LEFT($A151,LEN($A151)-1)),$A$4:$A$1000,0),VALUE(RIGHT($A151,1)))/ INDEX($O$4:$O$1000,MATCH(VALUE(LEFT($A151,LEN($A151)-1)),$A$4:$A$1000))) * INDEX($B$4:$B$1000,MATCH(VALUE(LEFT($A151,LEN($A151)-1)),$A$4:$A$1000)),"")</f>
        <v/>
      </c>
      <c r="C151" s="38" t="str" cm="1">
        <f t="array" ref="C151">IFERROR(IF(INDEX($D$4:$H$1000,MATCH(VALUE(LEFT($A151,LEN($A151)-1)),$A$4:$A$1000,0),VALUE(RIGHT($A151,1)))= 0,"",INDEX($D$4:$H$1000,MATCH(VALUE(LEFT($A151,LEN($A151)-1)),$A$4:$A$1000,0),VALUE(RIGHT($A151,1)))),"")</f>
        <v/>
      </c>
      <c r="D151" s="23" t="str">
        <f>IFERROR(IF(INDEX(使用レシピ!F:F,MATCH(テンプレート!$C151,使用レシピ!$E:$E,0))&lt;&gt;0,INDEX(使用レシピ!F:F,MATCH(テンプレート!$C151,使用レシピ!$E:$E,0)),""),"")</f>
        <v/>
      </c>
      <c r="E151" t="str">
        <f>IFERROR(IF(INDEX(使用レシピ!G:G,MATCH(テンプレート!$C151,使用レシピ!$E:$E,0))&lt;&gt;0,INDEX(使用レシピ!G:G,MATCH(テンプレート!$C151,使用レシピ!$E:$E,0)),""),"")</f>
        <v/>
      </c>
      <c r="F151" t="str">
        <f>IFERROR(IF(INDEX(使用レシピ!H:H,MATCH(テンプレート!$C151,使用レシピ!$E:$E,0))&lt;&gt;0,INDEX(使用レシピ!H:H,MATCH(テンプレート!$C151,使用レシピ!$E:$E,0)),""),"")</f>
        <v/>
      </c>
      <c r="G151" t="str">
        <f>IFERROR(IF(INDEX(使用レシピ!I:I,MATCH(テンプレート!$C151,使用レシピ!$E:$E,0))&lt;&gt;0,INDEX(使用レシピ!I:I,MATCH(テンプレート!$C151,使用レシピ!$E:$E,0)),""),"")</f>
        <v/>
      </c>
      <c r="H151" s="24" t="str">
        <f>IFERROR(IF(INDEX(使用レシピ!J:J,MATCH(テンプレート!$C151,使用レシピ!$E:$E,0))&lt;&gt;0,INDEX(使用レシピ!J:J,MATCH(テンプレート!$C151,使用レシピ!$E:$E,0)),""),"")</f>
        <v/>
      </c>
      <c r="I151" s="36" t="str">
        <f>IFERROR(IF(INDEX(使用レシピ!P:P,MATCH(テンプレート!$C151,使用レシピ!$E:$E,0))&lt;&gt;0,INDEX(使用レシピ!P:P,MATCH(テンプレート!$C151,使用レシピ!$E:$E,0)),""),"")</f>
        <v/>
      </c>
      <c r="J151" t="str">
        <f>IFERROR(IF(INDEX(使用レシピ!K:K,MATCH(テンプレート!$C151,使用レシピ!$E:$E,0))&lt;&gt;0,INDEX(使用レシピ!K:K,MATCH(テンプレート!$C151,使用レシピ!$E:$E,0)),""),"")</f>
        <v/>
      </c>
      <c r="K151" t="str">
        <f>IFERROR(IF(INDEX(使用レシピ!L:L,MATCH(テンプレート!$C151,使用レシピ!$E:$E,0))&lt;&gt;0,INDEX(使用レシピ!L:L,MATCH(テンプレート!$C151,使用レシピ!$E:$E,0)),""),"")</f>
        <v/>
      </c>
      <c r="L151" t="str">
        <f>IFERROR(IF(INDEX(使用レシピ!M:M,MATCH(テンプレート!$C151,使用レシピ!$E:$E,0))&lt;&gt;0,INDEX(使用レシピ!M:M,MATCH(テンプレート!$C151,使用レシピ!$E:$E,0)),""),"")</f>
        <v/>
      </c>
      <c r="M151" t="str">
        <f>IFERROR(IF(INDEX(使用レシピ!N:N,MATCH(テンプレート!$C151,使用レシピ!$E:$E,0))&lt;&gt;0,INDEX(使用レシピ!N:N,MATCH(テンプレート!$C151,使用レシピ!$E:$E,0)),""),"")</f>
        <v/>
      </c>
      <c r="N151" s="24" t="str">
        <f>IFERROR(IF(INDEX(使用レシピ!O:O,MATCH(テンプレート!$C151,使用レシピ!$E:$E,0))&lt;&gt;0,INDEX(使用レシピ!O:O,MATCH(テンプレート!$C151,使用レシピ!$E:$E,0)),""),"")</f>
        <v/>
      </c>
      <c r="O151" s="42" t="str">
        <f>IFERROR(IF(INDEX(使用レシピ!P:P,MATCH(テンプレート!$C151,使用レシピ!$E:$E,0))&lt;&gt;0,INDEX(使用レシピ!P:P,MATCH(テンプレート!$C151,使用レシピ!$E:$E,0)),""),"")</f>
        <v/>
      </c>
      <c r="P151" s="25" t="str">
        <f t="shared" si="14"/>
        <v/>
      </c>
      <c r="Q151" s="26" t="str">
        <f t="shared" si="15"/>
        <v/>
      </c>
      <c r="R151" s="26" t="str">
        <f t="shared" si="16"/>
        <v/>
      </c>
      <c r="S151" s="26" t="str">
        <f t="shared" si="17"/>
        <v/>
      </c>
      <c r="T151" s="43" t="str">
        <f t="shared" si="17"/>
        <v/>
      </c>
    </row>
    <row r="152" spans="1:20" x14ac:dyDescent="0.4">
      <c r="A152">
        <v>12112121</v>
      </c>
      <c r="B152" s="47" t="str" cm="1">
        <f t="array" ref="B152">IFERROR((INDEX($P$4:$T$1000,MATCH(VALUE(LEFT($A152,LEN($A152)-1)),$A$4:$A$1000,0),VALUE(RIGHT($A152,1)))/ INDEX($O$4:$O$1000,MATCH(VALUE(LEFT($A152,LEN($A152)-1)),$A$4:$A$1000))) * INDEX($B$4:$B$1000,MATCH(VALUE(LEFT($A152,LEN($A152)-1)),$A$4:$A$1000)),"")</f>
        <v/>
      </c>
      <c r="C152" s="38" t="str" cm="1">
        <f t="array" ref="C152">IFERROR(IF(INDEX($D$4:$H$1000,MATCH(VALUE(LEFT($A152,LEN($A152)-1)),$A$4:$A$1000,0),VALUE(RIGHT($A152,1)))= 0,"",INDEX($D$4:$H$1000,MATCH(VALUE(LEFT($A152,LEN($A152)-1)),$A$4:$A$1000,0),VALUE(RIGHT($A152,1)))),"")</f>
        <v/>
      </c>
      <c r="D152" s="23" t="str">
        <f>IFERROR(IF(INDEX(使用レシピ!F:F,MATCH(テンプレート!$C152,使用レシピ!$E:$E,0))&lt;&gt;0,INDEX(使用レシピ!F:F,MATCH(テンプレート!$C152,使用レシピ!$E:$E,0)),""),"")</f>
        <v/>
      </c>
      <c r="E152" t="str">
        <f>IFERROR(IF(INDEX(使用レシピ!G:G,MATCH(テンプレート!$C152,使用レシピ!$E:$E,0))&lt;&gt;0,INDEX(使用レシピ!G:G,MATCH(テンプレート!$C152,使用レシピ!$E:$E,0)),""),"")</f>
        <v/>
      </c>
      <c r="F152" t="str">
        <f>IFERROR(IF(INDEX(使用レシピ!H:H,MATCH(テンプレート!$C152,使用レシピ!$E:$E,0))&lt;&gt;0,INDEX(使用レシピ!H:H,MATCH(テンプレート!$C152,使用レシピ!$E:$E,0)),""),"")</f>
        <v/>
      </c>
      <c r="G152" t="str">
        <f>IFERROR(IF(INDEX(使用レシピ!I:I,MATCH(テンプレート!$C152,使用レシピ!$E:$E,0))&lt;&gt;0,INDEX(使用レシピ!I:I,MATCH(テンプレート!$C152,使用レシピ!$E:$E,0)),""),"")</f>
        <v/>
      </c>
      <c r="H152" s="24" t="str">
        <f>IFERROR(IF(INDEX(使用レシピ!J:J,MATCH(テンプレート!$C152,使用レシピ!$E:$E,0))&lt;&gt;0,INDEX(使用レシピ!J:J,MATCH(テンプレート!$C152,使用レシピ!$E:$E,0)),""),"")</f>
        <v/>
      </c>
      <c r="I152" s="36" t="str">
        <f>IFERROR(IF(INDEX(使用レシピ!P:P,MATCH(テンプレート!$C152,使用レシピ!$E:$E,0))&lt;&gt;0,INDEX(使用レシピ!P:P,MATCH(テンプレート!$C152,使用レシピ!$E:$E,0)),""),"")</f>
        <v/>
      </c>
      <c r="J152" t="str">
        <f>IFERROR(IF(INDEX(使用レシピ!K:K,MATCH(テンプレート!$C152,使用レシピ!$E:$E,0))&lt;&gt;0,INDEX(使用レシピ!K:K,MATCH(テンプレート!$C152,使用レシピ!$E:$E,0)),""),"")</f>
        <v/>
      </c>
      <c r="K152" t="str">
        <f>IFERROR(IF(INDEX(使用レシピ!L:L,MATCH(テンプレート!$C152,使用レシピ!$E:$E,0))&lt;&gt;0,INDEX(使用レシピ!L:L,MATCH(テンプレート!$C152,使用レシピ!$E:$E,0)),""),"")</f>
        <v/>
      </c>
      <c r="L152" t="str">
        <f>IFERROR(IF(INDEX(使用レシピ!M:M,MATCH(テンプレート!$C152,使用レシピ!$E:$E,0))&lt;&gt;0,INDEX(使用レシピ!M:M,MATCH(テンプレート!$C152,使用レシピ!$E:$E,0)),""),"")</f>
        <v/>
      </c>
      <c r="M152" t="str">
        <f>IFERROR(IF(INDEX(使用レシピ!N:N,MATCH(テンプレート!$C152,使用レシピ!$E:$E,0))&lt;&gt;0,INDEX(使用レシピ!N:N,MATCH(テンプレート!$C152,使用レシピ!$E:$E,0)),""),"")</f>
        <v/>
      </c>
      <c r="N152" s="24" t="str">
        <f>IFERROR(IF(INDEX(使用レシピ!O:O,MATCH(テンプレート!$C152,使用レシピ!$E:$E,0))&lt;&gt;0,INDEX(使用レシピ!O:O,MATCH(テンプレート!$C152,使用レシピ!$E:$E,0)),""),"")</f>
        <v/>
      </c>
      <c r="O152" s="42" t="str">
        <f>IFERROR(IF(INDEX(使用レシピ!P:P,MATCH(テンプレート!$C152,使用レシピ!$E:$E,0))&lt;&gt;0,INDEX(使用レシピ!P:P,MATCH(テンプレート!$C152,使用レシピ!$E:$E,0)),""),"")</f>
        <v/>
      </c>
      <c r="P152" s="25" t="str">
        <f t="shared" si="14"/>
        <v/>
      </c>
      <c r="Q152" s="26" t="str">
        <f t="shared" si="15"/>
        <v/>
      </c>
      <c r="R152" s="26" t="str">
        <f t="shared" si="16"/>
        <v/>
      </c>
      <c r="S152" s="26" t="str">
        <f t="shared" si="17"/>
        <v/>
      </c>
      <c r="T152" s="43" t="str">
        <f t="shared" si="17"/>
        <v/>
      </c>
    </row>
    <row r="153" spans="1:20" x14ac:dyDescent="0.4">
      <c r="A153">
        <v>12112122</v>
      </c>
      <c r="B153" s="47" t="str" cm="1">
        <f t="array" ref="B153">IFERROR((INDEX($P$4:$T$1000,MATCH(VALUE(LEFT($A153,LEN($A153)-1)),$A$4:$A$1000,0),VALUE(RIGHT($A153,1)))/ INDEX($O$4:$O$1000,MATCH(VALUE(LEFT($A153,LEN($A153)-1)),$A$4:$A$1000))) * INDEX($B$4:$B$1000,MATCH(VALUE(LEFT($A153,LEN($A153)-1)),$A$4:$A$1000)),"")</f>
        <v/>
      </c>
      <c r="C153" s="38" t="str" cm="1">
        <f t="array" ref="C153">IFERROR(IF(INDEX($D$4:$H$1000,MATCH(VALUE(LEFT($A153,LEN($A153)-1)),$A$4:$A$1000,0),VALUE(RIGHT($A153,1)))= 0,"",INDEX($D$4:$H$1000,MATCH(VALUE(LEFT($A153,LEN($A153)-1)),$A$4:$A$1000,0),VALUE(RIGHT($A153,1)))),"")</f>
        <v/>
      </c>
      <c r="D153" s="23" t="str">
        <f>IFERROR(IF(INDEX(使用レシピ!F:F,MATCH(テンプレート!$C153,使用レシピ!$E:$E,0))&lt;&gt;0,INDEX(使用レシピ!F:F,MATCH(テンプレート!$C153,使用レシピ!$E:$E,0)),""),"")</f>
        <v/>
      </c>
      <c r="E153" t="str">
        <f>IFERROR(IF(INDEX(使用レシピ!G:G,MATCH(テンプレート!$C153,使用レシピ!$E:$E,0))&lt;&gt;0,INDEX(使用レシピ!G:G,MATCH(テンプレート!$C153,使用レシピ!$E:$E,0)),""),"")</f>
        <v/>
      </c>
      <c r="F153" t="str">
        <f>IFERROR(IF(INDEX(使用レシピ!H:H,MATCH(テンプレート!$C153,使用レシピ!$E:$E,0))&lt;&gt;0,INDEX(使用レシピ!H:H,MATCH(テンプレート!$C153,使用レシピ!$E:$E,0)),""),"")</f>
        <v/>
      </c>
      <c r="G153" t="str">
        <f>IFERROR(IF(INDEX(使用レシピ!I:I,MATCH(テンプレート!$C153,使用レシピ!$E:$E,0))&lt;&gt;0,INDEX(使用レシピ!I:I,MATCH(テンプレート!$C153,使用レシピ!$E:$E,0)),""),"")</f>
        <v/>
      </c>
      <c r="H153" s="24" t="str">
        <f>IFERROR(IF(INDEX(使用レシピ!J:J,MATCH(テンプレート!$C153,使用レシピ!$E:$E,0))&lt;&gt;0,INDEX(使用レシピ!J:J,MATCH(テンプレート!$C153,使用レシピ!$E:$E,0)),""),"")</f>
        <v/>
      </c>
      <c r="I153" s="36" t="str">
        <f>IFERROR(IF(INDEX(使用レシピ!P:P,MATCH(テンプレート!$C153,使用レシピ!$E:$E,0))&lt;&gt;0,INDEX(使用レシピ!P:P,MATCH(テンプレート!$C153,使用レシピ!$E:$E,0)),""),"")</f>
        <v/>
      </c>
      <c r="J153" t="str">
        <f>IFERROR(IF(INDEX(使用レシピ!K:K,MATCH(テンプレート!$C153,使用レシピ!$E:$E,0))&lt;&gt;0,INDEX(使用レシピ!K:K,MATCH(テンプレート!$C153,使用レシピ!$E:$E,0)),""),"")</f>
        <v/>
      </c>
      <c r="K153" t="str">
        <f>IFERROR(IF(INDEX(使用レシピ!L:L,MATCH(テンプレート!$C153,使用レシピ!$E:$E,0))&lt;&gt;0,INDEX(使用レシピ!L:L,MATCH(テンプレート!$C153,使用レシピ!$E:$E,0)),""),"")</f>
        <v/>
      </c>
      <c r="L153" t="str">
        <f>IFERROR(IF(INDEX(使用レシピ!M:M,MATCH(テンプレート!$C153,使用レシピ!$E:$E,0))&lt;&gt;0,INDEX(使用レシピ!M:M,MATCH(テンプレート!$C153,使用レシピ!$E:$E,0)),""),"")</f>
        <v/>
      </c>
      <c r="M153" t="str">
        <f>IFERROR(IF(INDEX(使用レシピ!N:N,MATCH(テンプレート!$C153,使用レシピ!$E:$E,0))&lt;&gt;0,INDEX(使用レシピ!N:N,MATCH(テンプレート!$C153,使用レシピ!$E:$E,0)),""),"")</f>
        <v/>
      </c>
      <c r="N153" s="24" t="str">
        <f>IFERROR(IF(INDEX(使用レシピ!O:O,MATCH(テンプレート!$C153,使用レシピ!$E:$E,0))&lt;&gt;0,INDEX(使用レシピ!O:O,MATCH(テンプレート!$C153,使用レシピ!$E:$E,0)),""),"")</f>
        <v/>
      </c>
      <c r="O153" s="42" t="str">
        <f>IFERROR(IF(INDEX(使用レシピ!P:P,MATCH(テンプレート!$C153,使用レシピ!$E:$E,0))&lt;&gt;0,INDEX(使用レシピ!P:P,MATCH(テンプレート!$C153,使用レシピ!$E:$E,0)),""),"")</f>
        <v/>
      </c>
      <c r="P153" s="25" t="str">
        <f t="shared" si="14"/>
        <v/>
      </c>
      <c r="Q153" s="26" t="str">
        <f t="shared" si="15"/>
        <v/>
      </c>
      <c r="R153" s="26" t="str">
        <f t="shared" si="16"/>
        <v/>
      </c>
      <c r="S153" s="26" t="str">
        <f t="shared" si="17"/>
        <v/>
      </c>
      <c r="T153" s="43" t="str">
        <f t="shared" si="17"/>
        <v/>
      </c>
    </row>
    <row r="154" spans="1:20" x14ac:dyDescent="0.4">
      <c r="A154">
        <v>12113111</v>
      </c>
      <c r="B154" s="47" t="str" cm="1">
        <f t="array" ref="B154">IFERROR((INDEX($P$4:$T$1000,MATCH(VALUE(LEFT($A154,LEN($A154)-1)),$A$4:$A$1000,0),VALUE(RIGHT($A154,1)))/ INDEX($O$4:$O$1000,MATCH(VALUE(LEFT($A154,LEN($A154)-1)),$A$4:$A$1000))) * INDEX($B$4:$B$1000,MATCH(VALUE(LEFT($A154,LEN($A154)-1)),$A$4:$A$1000)),"")</f>
        <v/>
      </c>
      <c r="C154" s="38" t="str" cm="1">
        <f t="array" ref="C154">IFERROR(IF(INDEX($D$4:$H$1000,MATCH(VALUE(LEFT($A154,LEN($A154)-1)),$A$4:$A$1000,0),VALUE(RIGHT($A154,1)))= 0,"",INDEX($D$4:$H$1000,MATCH(VALUE(LEFT($A154,LEN($A154)-1)),$A$4:$A$1000,0),VALUE(RIGHT($A154,1)))),"")</f>
        <v/>
      </c>
      <c r="D154" s="23" t="str">
        <f>IFERROR(IF(INDEX(使用レシピ!F:F,MATCH(テンプレート!$C154,使用レシピ!$E:$E,0))&lt;&gt;0,INDEX(使用レシピ!F:F,MATCH(テンプレート!$C154,使用レシピ!$E:$E,0)),""),"")</f>
        <v/>
      </c>
      <c r="E154" t="str">
        <f>IFERROR(IF(INDEX(使用レシピ!G:G,MATCH(テンプレート!$C154,使用レシピ!$E:$E,0))&lt;&gt;0,INDEX(使用レシピ!G:G,MATCH(テンプレート!$C154,使用レシピ!$E:$E,0)),""),"")</f>
        <v/>
      </c>
      <c r="F154" t="str">
        <f>IFERROR(IF(INDEX(使用レシピ!H:H,MATCH(テンプレート!$C154,使用レシピ!$E:$E,0))&lt;&gt;0,INDEX(使用レシピ!H:H,MATCH(テンプレート!$C154,使用レシピ!$E:$E,0)),""),"")</f>
        <v/>
      </c>
      <c r="G154" t="str">
        <f>IFERROR(IF(INDEX(使用レシピ!I:I,MATCH(テンプレート!$C154,使用レシピ!$E:$E,0))&lt;&gt;0,INDEX(使用レシピ!I:I,MATCH(テンプレート!$C154,使用レシピ!$E:$E,0)),""),"")</f>
        <v/>
      </c>
      <c r="H154" s="24" t="str">
        <f>IFERROR(IF(INDEX(使用レシピ!J:J,MATCH(テンプレート!$C154,使用レシピ!$E:$E,0))&lt;&gt;0,INDEX(使用レシピ!J:J,MATCH(テンプレート!$C154,使用レシピ!$E:$E,0)),""),"")</f>
        <v/>
      </c>
      <c r="I154" s="36" t="str">
        <f>IFERROR(IF(INDEX(使用レシピ!P:P,MATCH(テンプレート!$C154,使用レシピ!$E:$E,0))&lt;&gt;0,INDEX(使用レシピ!P:P,MATCH(テンプレート!$C154,使用レシピ!$E:$E,0)),""),"")</f>
        <v/>
      </c>
      <c r="J154" t="str">
        <f>IFERROR(IF(INDEX(使用レシピ!K:K,MATCH(テンプレート!$C154,使用レシピ!$E:$E,0))&lt;&gt;0,INDEX(使用レシピ!K:K,MATCH(テンプレート!$C154,使用レシピ!$E:$E,0)),""),"")</f>
        <v/>
      </c>
      <c r="K154" t="str">
        <f>IFERROR(IF(INDEX(使用レシピ!L:L,MATCH(テンプレート!$C154,使用レシピ!$E:$E,0))&lt;&gt;0,INDEX(使用レシピ!L:L,MATCH(テンプレート!$C154,使用レシピ!$E:$E,0)),""),"")</f>
        <v/>
      </c>
      <c r="L154" t="str">
        <f>IFERROR(IF(INDEX(使用レシピ!M:M,MATCH(テンプレート!$C154,使用レシピ!$E:$E,0))&lt;&gt;0,INDEX(使用レシピ!M:M,MATCH(テンプレート!$C154,使用レシピ!$E:$E,0)),""),"")</f>
        <v/>
      </c>
      <c r="M154" t="str">
        <f>IFERROR(IF(INDEX(使用レシピ!N:N,MATCH(テンプレート!$C154,使用レシピ!$E:$E,0))&lt;&gt;0,INDEX(使用レシピ!N:N,MATCH(テンプレート!$C154,使用レシピ!$E:$E,0)),""),"")</f>
        <v/>
      </c>
      <c r="N154" s="24" t="str">
        <f>IFERROR(IF(INDEX(使用レシピ!O:O,MATCH(テンプレート!$C154,使用レシピ!$E:$E,0))&lt;&gt;0,INDEX(使用レシピ!O:O,MATCH(テンプレート!$C154,使用レシピ!$E:$E,0)),""),"")</f>
        <v/>
      </c>
      <c r="O154" s="42" t="str">
        <f>IFERROR(IF(INDEX(使用レシピ!P:P,MATCH(テンプレート!$C154,使用レシピ!$E:$E,0))&lt;&gt;0,INDEX(使用レシピ!P:P,MATCH(テンプレート!$C154,使用レシピ!$E:$E,0)),""),"")</f>
        <v/>
      </c>
      <c r="P154" s="25" t="str">
        <f t="shared" si="14"/>
        <v/>
      </c>
      <c r="Q154" s="26" t="str">
        <f t="shared" si="15"/>
        <v/>
      </c>
      <c r="R154" s="26" t="str">
        <f t="shared" si="16"/>
        <v/>
      </c>
      <c r="S154" s="26" t="str">
        <f t="shared" si="17"/>
        <v/>
      </c>
      <c r="T154" s="43" t="str">
        <f t="shared" si="17"/>
        <v/>
      </c>
    </row>
    <row r="155" spans="1:20" x14ac:dyDescent="0.4">
      <c r="A155">
        <v>12113112</v>
      </c>
      <c r="B155" s="47" t="str" cm="1">
        <f t="array" ref="B155">IFERROR((INDEX($P$4:$T$1000,MATCH(VALUE(LEFT($A155,LEN($A155)-1)),$A$4:$A$1000,0),VALUE(RIGHT($A155,1)))/ INDEX($O$4:$O$1000,MATCH(VALUE(LEFT($A155,LEN($A155)-1)),$A$4:$A$1000))) * INDEX($B$4:$B$1000,MATCH(VALUE(LEFT($A155,LEN($A155)-1)),$A$4:$A$1000)),"")</f>
        <v/>
      </c>
      <c r="C155" s="38" t="str" cm="1">
        <f t="array" ref="C155">IFERROR(IF(INDEX($D$4:$H$1000,MATCH(VALUE(LEFT($A155,LEN($A155)-1)),$A$4:$A$1000,0),VALUE(RIGHT($A155,1)))= 0,"",INDEX($D$4:$H$1000,MATCH(VALUE(LEFT($A155,LEN($A155)-1)),$A$4:$A$1000,0),VALUE(RIGHT($A155,1)))),"")</f>
        <v/>
      </c>
      <c r="D155" s="23" t="str">
        <f>IFERROR(IF(INDEX(使用レシピ!F:F,MATCH(テンプレート!$C155,使用レシピ!$E:$E,0))&lt;&gt;0,INDEX(使用レシピ!F:F,MATCH(テンプレート!$C155,使用レシピ!$E:$E,0)),""),"")</f>
        <v/>
      </c>
      <c r="E155" t="str">
        <f>IFERROR(IF(INDEX(使用レシピ!G:G,MATCH(テンプレート!$C155,使用レシピ!$E:$E,0))&lt;&gt;0,INDEX(使用レシピ!G:G,MATCH(テンプレート!$C155,使用レシピ!$E:$E,0)),""),"")</f>
        <v/>
      </c>
      <c r="F155" t="str">
        <f>IFERROR(IF(INDEX(使用レシピ!H:H,MATCH(テンプレート!$C155,使用レシピ!$E:$E,0))&lt;&gt;0,INDEX(使用レシピ!H:H,MATCH(テンプレート!$C155,使用レシピ!$E:$E,0)),""),"")</f>
        <v/>
      </c>
      <c r="G155" t="str">
        <f>IFERROR(IF(INDEX(使用レシピ!I:I,MATCH(テンプレート!$C155,使用レシピ!$E:$E,0))&lt;&gt;0,INDEX(使用レシピ!I:I,MATCH(テンプレート!$C155,使用レシピ!$E:$E,0)),""),"")</f>
        <v/>
      </c>
      <c r="H155" s="24" t="str">
        <f>IFERROR(IF(INDEX(使用レシピ!J:J,MATCH(テンプレート!$C155,使用レシピ!$E:$E,0))&lt;&gt;0,INDEX(使用レシピ!J:J,MATCH(テンプレート!$C155,使用レシピ!$E:$E,0)),""),"")</f>
        <v/>
      </c>
      <c r="I155" s="36" t="str">
        <f>IFERROR(IF(INDEX(使用レシピ!P:P,MATCH(テンプレート!$C155,使用レシピ!$E:$E,0))&lt;&gt;0,INDEX(使用レシピ!P:P,MATCH(テンプレート!$C155,使用レシピ!$E:$E,0)),""),"")</f>
        <v/>
      </c>
      <c r="J155" t="str">
        <f>IFERROR(IF(INDEX(使用レシピ!K:K,MATCH(テンプレート!$C155,使用レシピ!$E:$E,0))&lt;&gt;0,INDEX(使用レシピ!K:K,MATCH(テンプレート!$C155,使用レシピ!$E:$E,0)),""),"")</f>
        <v/>
      </c>
      <c r="K155" t="str">
        <f>IFERROR(IF(INDEX(使用レシピ!L:L,MATCH(テンプレート!$C155,使用レシピ!$E:$E,0))&lt;&gt;0,INDEX(使用レシピ!L:L,MATCH(テンプレート!$C155,使用レシピ!$E:$E,0)),""),"")</f>
        <v/>
      </c>
      <c r="L155" t="str">
        <f>IFERROR(IF(INDEX(使用レシピ!M:M,MATCH(テンプレート!$C155,使用レシピ!$E:$E,0))&lt;&gt;0,INDEX(使用レシピ!M:M,MATCH(テンプレート!$C155,使用レシピ!$E:$E,0)),""),"")</f>
        <v/>
      </c>
      <c r="M155" t="str">
        <f>IFERROR(IF(INDEX(使用レシピ!N:N,MATCH(テンプレート!$C155,使用レシピ!$E:$E,0))&lt;&gt;0,INDEX(使用レシピ!N:N,MATCH(テンプレート!$C155,使用レシピ!$E:$E,0)),""),"")</f>
        <v/>
      </c>
      <c r="N155" s="24" t="str">
        <f>IFERROR(IF(INDEX(使用レシピ!O:O,MATCH(テンプレート!$C155,使用レシピ!$E:$E,0))&lt;&gt;0,INDEX(使用レシピ!O:O,MATCH(テンプレート!$C155,使用レシピ!$E:$E,0)),""),"")</f>
        <v/>
      </c>
      <c r="O155" s="42" t="str">
        <f>IFERROR(IF(INDEX(使用レシピ!P:P,MATCH(テンプレート!$C155,使用レシピ!$E:$E,0))&lt;&gt;0,INDEX(使用レシピ!P:P,MATCH(テンプレート!$C155,使用レシピ!$E:$E,0)),""),"")</f>
        <v/>
      </c>
      <c r="P155" s="25" t="str">
        <f t="shared" si="14"/>
        <v/>
      </c>
      <c r="Q155" s="26" t="str">
        <f t="shared" si="15"/>
        <v/>
      </c>
      <c r="R155" s="26" t="str">
        <f t="shared" si="16"/>
        <v/>
      </c>
      <c r="S155" s="26" t="str">
        <f t="shared" si="17"/>
        <v/>
      </c>
      <c r="T155" s="43" t="str">
        <f t="shared" si="17"/>
        <v/>
      </c>
    </row>
    <row r="156" spans="1:20" x14ac:dyDescent="0.4">
      <c r="A156">
        <v>12211111</v>
      </c>
      <c r="B156" s="47" t="str" cm="1">
        <f t="array" ref="B156">IFERROR((INDEX($P$4:$T$1000,MATCH(VALUE(LEFT($A156,LEN($A156)-1)),$A$4:$A$1000,0),VALUE(RIGHT($A156,1)))/ INDEX($O$4:$O$1000,MATCH(VALUE(LEFT($A156,LEN($A156)-1)),$A$4:$A$1000))) * INDEX($B$4:$B$1000,MATCH(VALUE(LEFT($A156,LEN($A156)-1)),$A$4:$A$1000)),"")</f>
        <v/>
      </c>
      <c r="C156" s="38" t="str" cm="1">
        <f t="array" ref="C156">IFERROR(IF(INDEX($D$4:$H$1000,MATCH(VALUE(LEFT($A156,LEN($A156)-1)),$A$4:$A$1000,0),VALUE(RIGHT($A156,1)))= 0,"",INDEX($D$4:$H$1000,MATCH(VALUE(LEFT($A156,LEN($A156)-1)),$A$4:$A$1000,0),VALUE(RIGHT($A156,1)))),"")</f>
        <v/>
      </c>
      <c r="D156" s="23" t="str">
        <f>IFERROR(IF(INDEX(使用レシピ!F:F,MATCH(テンプレート!$C156,使用レシピ!$E:$E,0))&lt;&gt;0,INDEX(使用レシピ!F:F,MATCH(テンプレート!$C156,使用レシピ!$E:$E,0)),""),"")</f>
        <v/>
      </c>
      <c r="E156" t="str">
        <f>IFERROR(IF(INDEX(使用レシピ!G:G,MATCH(テンプレート!$C156,使用レシピ!$E:$E,0))&lt;&gt;0,INDEX(使用レシピ!G:G,MATCH(テンプレート!$C156,使用レシピ!$E:$E,0)),""),"")</f>
        <v/>
      </c>
      <c r="F156" t="str">
        <f>IFERROR(IF(INDEX(使用レシピ!H:H,MATCH(テンプレート!$C156,使用レシピ!$E:$E,0))&lt;&gt;0,INDEX(使用レシピ!H:H,MATCH(テンプレート!$C156,使用レシピ!$E:$E,0)),""),"")</f>
        <v/>
      </c>
      <c r="G156" t="str">
        <f>IFERROR(IF(INDEX(使用レシピ!I:I,MATCH(テンプレート!$C156,使用レシピ!$E:$E,0))&lt;&gt;0,INDEX(使用レシピ!I:I,MATCH(テンプレート!$C156,使用レシピ!$E:$E,0)),""),"")</f>
        <v/>
      </c>
      <c r="H156" s="24" t="str">
        <f>IFERROR(IF(INDEX(使用レシピ!J:J,MATCH(テンプレート!$C156,使用レシピ!$E:$E,0))&lt;&gt;0,INDEX(使用レシピ!J:J,MATCH(テンプレート!$C156,使用レシピ!$E:$E,0)),""),"")</f>
        <v/>
      </c>
      <c r="I156" s="36" t="str">
        <f>IFERROR(IF(INDEX(使用レシピ!P:P,MATCH(テンプレート!$C156,使用レシピ!$E:$E,0))&lt;&gt;0,INDEX(使用レシピ!P:P,MATCH(テンプレート!$C156,使用レシピ!$E:$E,0)),""),"")</f>
        <v/>
      </c>
      <c r="J156" t="str">
        <f>IFERROR(IF(INDEX(使用レシピ!K:K,MATCH(テンプレート!$C156,使用レシピ!$E:$E,0))&lt;&gt;0,INDEX(使用レシピ!K:K,MATCH(テンプレート!$C156,使用レシピ!$E:$E,0)),""),"")</f>
        <v/>
      </c>
      <c r="K156" t="str">
        <f>IFERROR(IF(INDEX(使用レシピ!L:L,MATCH(テンプレート!$C156,使用レシピ!$E:$E,0))&lt;&gt;0,INDEX(使用レシピ!L:L,MATCH(テンプレート!$C156,使用レシピ!$E:$E,0)),""),"")</f>
        <v/>
      </c>
      <c r="L156" t="str">
        <f>IFERROR(IF(INDEX(使用レシピ!M:M,MATCH(テンプレート!$C156,使用レシピ!$E:$E,0))&lt;&gt;0,INDEX(使用レシピ!M:M,MATCH(テンプレート!$C156,使用レシピ!$E:$E,0)),""),"")</f>
        <v/>
      </c>
      <c r="M156" t="str">
        <f>IFERROR(IF(INDEX(使用レシピ!N:N,MATCH(テンプレート!$C156,使用レシピ!$E:$E,0))&lt;&gt;0,INDEX(使用レシピ!N:N,MATCH(テンプレート!$C156,使用レシピ!$E:$E,0)),""),"")</f>
        <v/>
      </c>
      <c r="N156" s="24" t="str">
        <f>IFERROR(IF(INDEX(使用レシピ!O:O,MATCH(テンプレート!$C156,使用レシピ!$E:$E,0))&lt;&gt;0,INDEX(使用レシピ!O:O,MATCH(テンプレート!$C156,使用レシピ!$E:$E,0)),""),"")</f>
        <v/>
      </c>
      <c r="O156" s="42" t="str">
        <f>IFERROR(IF(INDEX(使用レシピ!P:P,MATCH(テンプレート!$C156,使用レシピ!$E:$E,0))&lt;&gt;0,INDEX(使用レシピ!P:P,MATCH(テンプレート!$C156,使用レシピ!$E:$E,0)),""),"")</f>
        <v/>
      </c>
      <c r="P156" s="25" t="str">
        <f t="shared" si="14"/>
        <v/>
      </c>
      <c r="Q156" s="26" t="str">
        <f t="shared" si="15"/>
        <v/>
      </c>
      <c r="R156" s="26" t="str">
        <f t="shared" si="16"/>
        <v/>
      </c>
      <c r="S156" s="26" t="str">
        <f t="shared" si="17"/>
        <v/>
      </c>
      <c r="T156" s="43" t="str">
        <f t="shared" si="17"/>
        <v/>
      </c>
    </row>
    <row r="157" spans="1:20" x14ac:dyDescent="0.4">
      <c r="A157">
        <v>12211112</v>
      </c>
      <c r="B157" s="47" t="str" cm="1">
        <f t="array" ref="B157">IFERROR((INDEX($P$4:$T$1000,MATCH(VALUE(LEFT($A157,LEN($A157)-1)),$A$4:$A$1000,0),VALUE(RIGHT($A157,1)))/ INDEX($O$4:$O$1000,MATCH(VALUE(LEFT($A157,LEN($A157)-1)),$A$4:$A$1000))) * INDEX($B$4:$B$1000,MATCH(VALUE(LEFT($A157,LEN($A157)-1)),$A$4:$A$1000)),"")</f>
        <v/>
      </c>
      <c r="C157" s="38" t="str" cm="1">
        <f t="array" ref="C157">IFERROR(IF(INDEX($D$4:$H$1000,MATCH(VALUE(LEFT($A157,LEN($A157)-1)),$A$4:$A$1000,0),VALUE(RIGHT($A157,1)))= 0,"",INDEX($D$4:$H$1000,MATCH(VALUE(LEFT($A157,LEN($A157)-1)),$A$4:$A$1000,0),VALUE(RIGHT($A157,1)))),"")</f>
        <v/>
      </c>
      <c r="D157" s="23" t="str">
        <f>IFERROR(IF(INDEX(使用レシピ!F:F,MATCH(テンプレート!$C157,使用レシピ!$E:$E,0))&lt;&gt;0,INDEX(使用レシピ!F:F,MATCH(テンプレート!$C157,使用レシピ!$E:$E,0)),""),"")</f>
        <v/>
      </c>
      <c r="E157" t="str">
        <f>IFERROR(IF(INDEX(使用レシピ!G:G,MATCH(テンプレート!$C157,使用レシピ!$E:$E,0))&lt;&gt;0,INDEX(使用レシピ!G:G,MATCH(テンプレート!$C157,使用レシピ!$E:$E,0)),""),"")</f>
        <v/>
      </c>
      <c r="F157" t="str">
        <f>IFERROR(IF(INDEX(使用レシピ!H:H,MATCH(テンプレート!$C157,使用レシピ!$E:$E,0))&lt;&gt;0,INDEX(使用レシピ!H:H,MATCH(テンプレート!$C157,使用レシピ!$E:$E,0)),""),"")</f>
        <v/>
      </c>
      <c r="G157" t="str">
        <f>IFERROR(IF(INDEX(使用レシピ!I:I,MATCH(テンプレート!$C157,使用レシピ!$E:$E,0))&lt;&gt;0,INDEX(使用レシピ!I:I,MATCH(テンプレート!$C157,使用レシピ!$E:$E,0)),""),"")</f>
        <v/>
      </c>
      <c r="H157" s="24" t="str">
        <f>IFERROR(IF(INDEX(使用レシピ!J:J,MATCH(テンプレート!$C157,使用レシピ!$E:$E,0))&lt;&gt;0,INDEX(使用レシピ!J:J,MATCH(テンプレート!$C157,使用レシピ!$E:$E,0)),""),"")</f>
        <v/>
      </c>
      <c r="I157" s="36" t="str">
        <f>IFERROR(IF(INDEX(使用レシピ!P:P,MATCH(テンプレート!$C157,使用レシピ!$E:$E,0))&lt;&gt;0,INDEX(使用レシピ!P:P,MATCH(テンプレート!$C157,使用レシピ!$E:$E,0)),""),"")</f>
        <v/>
      </c>
      <c r="J157" t="str">
        <f>IFERROR(IF(INDEX(使用レシピ!K:K,MATCH(テンプレート!$C157,使用レシピ!$E:$E,0))&lt;&gt;0,INDEX(使用レシピ!K:K,MATCH(テンプレート!$C157,使用レシピ!$E:$E,0)),""),"")</f>
        <v/>
      </c>
      <c r="K157" t="str">
        <f>IFERROR(IF(INDEX(使用レシピ!L:L,MATCH(テンプレート!$C157,使用レシピ!$E:$E,0))&lt;&gt;0,INDEX(使用レシピ!L:L,MATCH(テンプレート!$C157,使用レシピ!$E:$E,0)),""),"")</f>
        <v/>
      </c>
      <c r="L157" t="str">
        <f>IFERROR(IF(INDEX(使用レシピ!M:M,MATCH(テンプレート!$C157,使用レシピ!$E:$E,0))&lt;&gt;0,INDEX(使用レシピ!M:M,MATCH(テンプレート!$C157,使用レシピ!$E:$E,0)),""),"")</f>
        <v/>
      </c>
      <c r="M157" t="str">
        <f>IFERROR(IF(INDEX(使用レシピ!N:N,MATCH(テンプレート!$C157,使用レシピ!$E:$E,0))&lt;&gt;0,INDEX(使用レシピ!N:N,MATCH(テンプレート!$C157,使用レシピ!$E:$E,0)),""),"")</f>
        <v/>
      </c>
      <c r="N157" s="24" t="str">
        <f>IFERROR(IF(INDEX(使用レシピ!O:O,MATCH(テンプレート!$C157,使用レシピ!$E:$E,0))&lt;&gt;0,INDEX(使用レシピ!O:O,MATCH(テンプレート!$C157,使用レシピ!$E:$E,0)),""),"")</f>
        <v/>
      </c>
      <c r="O157" s="42" t="str">
        <f>IFERROR(IF(INDEX(使用レシピ!P:P,MATCH(テンプレート!$C157,使用レシピ!$E:$E,0))&lt;&gt;0,INDEX(使用レシピ!P:P,MATCH(テンプレート!$C157,使用レシピ!$E:$E,0)),""),"")</f>
        <v/>
      </c>
      <c r="P157" s="25" t="str">
        <f t="shared" si="14"/>
        <v/>
      </c>
      <c r="Q157" s="26" t="str">
        <f t="shared" si="15"/>
        <v/>
      </c>
      <c r="R157" s="26" t="str">
        <f t="shared" si="16"/>
        <v/>
      </c>
      <c r="S157" s="26" t="str">
        <f t="shared" si="17"/>
        <v/>
      </c>
      <c r="T157" s="43" t="str">
        <f t="shared" si="17"/>
        <v/>
      </c>
    </row>
    <row r="158" spans="1:20" x14ac:dyDescent="0.4">
      <c r="A158">
        <v>12222111</v>
      </c>
      <c r="B158" s="47" t="str" cm="1">
        <f t="array" ref="B158">IFERROR((INDEX($P$4:$T$1000,MATCH(VALUE(LEFT($A158,LEN($A158)-1)),$A$4:$A$1000,0),VALUE(RIGHT($A158,1)))/ INDEX($O$4:$O$1000,MATCH(VALUE(LEFT($A158,LEN($A158)-1)),$A$4:$A$1000))) * INDEX($B$4:$B$1000,MATCH(VALUE(LEFT($A158,LEN($A158)-1)),$A$4:$A$1000)),"")</f>
        <v/>
      </c>
      <c r="C158" s="38" t="str" cm="1">
        <f t="array" ref="C158">IFERROR(IF(INDEX($D$4:$H$1000,MATCH(VALUE(LEFT($A158,LEN($A158)-1)),$A$4:$A$1000,0),VALUE(RIGHT($A158,1)))= 0,"",INDEX($D$4:$H$1000,MATCH(VALUE(LEFT($A158,LEN($A158)-1)),$A$4:$A$1000,0),VALUE(RIGHT($A158,1)))),"")</f>
        <v/>
      </c>
      <c r="D158" s="23" t="str">
        <f>IFERROR(IF(INDEX(使用レシピ!F:F,MATCH(テンプレート!$C158,使用レシピ!$E:$E,0))&lt;&gt;0,INDEX(使用レシピ!F:F,MATCH(テンプレート!$C158,使用レシピ!$E:$E,0)),""),"")</f>
        <v/>
      </c>
      <c r="E158" t="str">
        <f>IFERROR(IF(INDEX(使用レシピ!G:G,MATCH(テンプレート!$C158,使用レシピ!$E:$E,0))&lt;&gt;0,INDEX(使用レシピ!G:G,MATCH(テンプレート!$C158,使用レシピ!$E:$E,0)),""),"")</f>
        <v/>
      </c>
      <c r="F158" t="str">
        <f>IFERROR(IF(INDEX(使用レシピ!H:H,MATCH(テンプレート!$C158,使用レシピ!$E:$E,0))&lt;&gt;0,INDEX(使用レシピ!H:H,MATCH(テンプレート!$C158,使用レシピ!$E:$E,0)),""),"")</f>
        <v/>
      </c>
      <c r="G158" t="str">
        <f>IFERROR(IF(INDEX(使用レシピ!I:I,MATCH(テンプレート!$C158,使用レシピ!$E:$E,0))&lt;&gt;0,INDEX(使用レシピ!I:I,MATCH(テンプレート!$C158,使用レシピ!$E:$E,0)),""),"")</f>
        <v/>
      </c>
      <c r="H158" s="24" t="str">
        <f>IFERROR(IF(INDEX(使用レシピ!J:J,MATCH(テンプレート!$C158,使用レシピ!$E:$E,0))&lt;&gt;0,INDEX(使用レシピ!J:J,MATCH(テンプレート!$C158,使用レシピ!$E:$E,0)),""),"")</f>
        <v/>
      </c>
      <c r="I158" s="36" t="str">
        <f>IFERROR(IF(INDEX(使用レシピ!P:P,MATCH(テンプレート!$C158,使用レシピ!$E:$E,0))&lt;&gt;0,INDEX(使用レシピ!P:P,MATCH(テンプレート!$C158,使用レシピ!$E:$E,0)),""),"")</f>
        <v/>
      </c>
      <c r="J158" t="str">
        <f>IFERROR(IF(INDEX(使用レシピ!K:K,MATCH(テンプレート!$C158,使用レシピ!$E:$E,0))&lt;&gt;0,INDEX(使用レシピ!K:K,MATCH(テンプレート!$C158,使用レシピ!$E:$E,0)),""),"")</f>
        <v/>
      </c>
      <c r="K158" t="str">
        <f>IFERROR(IF(INDEX(使用レシピ!L:L,MATCH(テンプレート!$C158,使用レシピ!$E:$E,0))&lt;&gt;0,INDEX(使用レシピ!L:L,MATCH(テンプレート!$C158,使用レシピ!$E:$E,0)),""),"")</f>
        <v/>
      </c>
      <c r="L158" t="str">
        <f>IFERROR(IF(INDEX(使用レシピ!M:M,MATCH(テンプレート!$C158,使用レシピ!$E:$E,0))&lt;&gt;0,INDEX(使用レシピ!M:M,MATCH(テンプレート!$C158,使用レシピ!$E:$E,0)),""),"")</f>
        <v/>
      </c>
      <c r="M158" t="str">
        <f>IFERROR(IF(INDEX(使用レシピ!N:N,MATCH(テンプレート!$C158,使用レシピ!$E:$E,0))&lt;&gt;0,INDEX(使用レシピ!N:N,MATCH(テンプレート!$C158,使用レシピ!$E:$E,0)),""),"")</f>
        <v/>
      </c>
      <c r="N158" s="24" t="str">
        <f>IFERROR(IF(INDEX(使用レシピ!O:O,MATCH(テンプレート!$C158,使用レシピ!$E:$E,0))&lt;&gt;0,INDEX(使用レシピ!O:O,MATCH(テンプレート!$C158,使用レシピ!$E:$E,0)),""),"")</f>
        <v/>
      </c>
      <c r="O158" s="42" t="str">
        <f>IFERROR(IF(INDEX(使用レシピ!P:P,MATCH(テンプレート!$C158,使用レシピ!$E:$E,0))&lt;&gt;0,INDEX(使用レシピ!P:P,MATCH(テンプレート!$C158,使用レシピ!$E:$E,0)),""),"")</f>
        <v/>
      </c>
      <c r="P158" s="25" t="str">
        <f t="shared" si="14"/>
        <v/>
      </c>
      <c r="Q158" s="26" t="str">
        <f t="shared" si="15"/>
        <v/>
      </c>
      <c r="R158" s="26" t="str">
        <f t="shared" si="16"/>
        <v/>
      </c>
      <c r="S158" s="26" t="str">
        <f t="shared" si="17"/>
        <v/>
      </c>
      <c r="T158" s="43" t="str">
        <f t="shared" si="17"/>
        <v/>
      </c>
    </row>
    <row r="159" spans="1:20" x14ac:dyDescent="0.4">
      <c r="A159">
        <v>12222112</v>
      </c>
      <c r="B159" s="47" t="str" cm="1">
        <f t="array" ref="B159">IFERROR((INDEX($P$4:$T$1000,MATCH(VALUE(LEFT($A159,LEN($A159)-1)),$A$4:$A$1000,0),VALUE(RIGHT($A159,1)))/ INDEX($O$4:$O$1000,MATCH(VALUE(LEFT($A159,LEN($A159)-1)),$A$4:$A$1000))) * INDEX($B$4:$B$1000,MATCH(VALUE(LEFT($A159,LEN($A159)-1)),$A$4:$A$1000)),"")</f>
        <v/>
      </c>
      <c r="C159" s="38" t="str" cm="1">
        <f t="array" ref="C159">IFERROR(IF(INDEX($D$4:$H$1000,MATCH(VALUE(LEFT($A159,LEN($A159)-1)),$A$4:$A$1000,0),VALUE(RIGHT($A159,1)))= 0,"",INDEX($D$4:$H$1000,MATCH(VALUE(LEFT($A159,LEN($A159)-1)),$A$4:$A$1000,0),VALUE(RIGHT($A159,1)))),"")</f>
        <v/>
      </c>
      <c r="D159" s="23" t="str">
        <f>IFERROR(IF(INDEX(使用レシピ!F:F,MATCH(テンプレート!$C159,使用レシピ!$E:$E,0))&lt;&gt;0,INDEX(使用レシピ!F:F,MATCH(テンプレート!$C159,使用レシピ!$E:$E,0)),""),"")</f>
        <v/>
      </c>
      <c r="E159" t="str">
        <f>IFERROR(IF(INDEX(使用レシピ!G:G,MATCH(テンプレート!$C159,使用レシピ!$E:$E,0))&lt;&gt;0,INDEX(使用レシピ!G:G,MATCH(テンプレート!$C159,使用レシピ!$E:$E,0)),""),"")</f>
        <v/>
      </c>
      <c r="F159" t="str">
        <f>IFERROR(IF(INDEX(使用レシピ!H:H,MATCH(テンプレート!$C159,使用レシピ!$E:$E,0))&lt;&gt;0,INDEX(使用レシピ!H:H,MATCH(テンプレート!$C159,使用レシピ!$E:$E,0)),""),"")</f>
        <v/>
      </c>
      <c r="G159" t="str">
        <f>IFERROR(IF(INDEX(使用レシピ!I:I,MATCH(テンプレート!$C159,使用レシピ!$E:$E,0))&lt;&gt;0,INDEX(使用レシピ!I:I,MATCH(テンプレート!$C159,使用レシピ!$E:$E,0)),""),"")</f>
        <v/>
      </c>
      <c r="H159" s="24" t="str">
        <f>IFERROR(IF(INDEX(使用レシピ!J:J,MATCH(テンプレート!$C159,使用レシピ!$E:$E,0))&lt;&gt;0,INDEX(使用レシピ!J:J,MATCH(テンプレート!$C159,使用レシピ!$E:$E,0)),""),"")</f>
        <v/>
      </c>
      <c r="I159" s="36" t="str">
        <f>IFERROR(IF(INDEX(使用レシピ!P:P,MATCH(テンプレート!$C159,使用レシピ!$E:$E,0))&lt;&gt;0,INDEX(使用レシピ!P:P,MATCH(テンプレート!$C159,使用レシピ!$E:$E,0)),""),"")</f>
        <v/>
      </c>
      <c r="J159" t="str">
        <f>IFERROR(IF(INDEX(使用レシピ!K:K,MATCH(テンプレート!$C159,使用レシピ!$E:$E,0))&lt;&gt;0,INDEX(使用レシピ!K:K,MATCH(テンプレート!$C159,使用レシピ!$E:$E,0)),""),"")</f>
        <v/>
      </c>
      <c r="K159" t="str">
        <f>IFERROR(IF(INDEX(使用レシピ!L:L,MATCH(テンプレート!$C159,使用レシピ!$E:$E,0))&lt;&gt;0,INDEX(使用レシピ!L:L,MATCH(テンプレート!$C159,使用レシピ!$E:$E,0)),""),"")</f>
        <v/>
      </c>
      <c r="L159" t="str">
        <f>IFERROR(IF(INDEX(使用レシピ!M:M,MATCH(テンプレート!$C159,使用レシピ!$E:$E,0))&lt;&gt;0,INDEX(使用レシピ!M:M,MATCH(テンプレート!$C159,使用レシピ!$E:$E,0)),""),"")</f>
        <v/>
      </c>
      <c r="M159" t="str">
        <f>IFERROR(IF(INDEX(使用レシピ!N:N,MATCH(テンプレート!$C159,使用レシピ!$E:$E,0))&lt;&gt;0,INDEX(使用レシピ!N:N,MATCH(テンプレート!$C159,使用レシピ!$E:$E,0)),""),"")</f>
        <v/>
      </c>
      <c r="N159" s="24" t="str">
        <f>IFERROR(IF(INDEX(使用レシピ!O:O,MATCH(テンプレート!$C159,使用レシピ!$E:$E,0))&lt;&gt;0,INDEX(使用レシピ!O:O,MATCH(テンプレート!$C159,使用レシピ!$E:$E,0)),""),"")</f>
        <v/>
      </c>
      <c r="O159" s="42" t="str">
        <f>IFERROR(IF(INDEX(使用レシピ!P:P,MATCH(テンプレート!$C159,使用レシピ!$E:$E,0))&lt;&gt;0,INDEX(使用レシピ!P:P,MATCH(テンプレート!$C159,使用レシピ!$E:$E,0)),""),"")</f>
        <v/>
      </c>
      <c r="P159" s="25" t="str">
        <f t="shared" si="14"/>
        <v/>
      </c>
      <c r="Q159" s="26" t="str">
        <f t="shared" si="15"/>
        <v/>
      </c>
      <c r="R159" s="26" t="str">
        <f t="shared" si="16"/>
        <v/>
      </c>
      <c r="S159" s="26" t="str">
        <f t="shared" si="17"/>
        <v/>
      </c>
      <c r="T159" s="43" t="str">
        <f t="shared" si="17"/>
        <v/>
      </c>
    </row>
    <row r="160" spans="1:20" x14ac:dyDescent="0.4">
      <c r="A160">
        <v>12223111</v>
      </c>
      <c r="B160" s="47" t="str" cm="1">
        <f t="array" ref="B160">IFERROR((INDEX($P$4:$T$1000,MATCH(VALUE(LEFT($A160,LEN($A160)-1)),$A$4:$A$1000,0),VALUE(RIGHT($A160,1)))/ INDEX($O$4:$O$1000,MATCH(VALUE(LEFT($A160,LEN($A160)-1)),$A$4:$A$1000))) * INDEX($B$4:$B$1000,MATCH(VALUE(LEFT($A160,LEN($A160)-1)),$A$4:$A$1000)),"")</f>
        <v/>
      </c>
      <c r="C160" s="38" t="str" cm="1">
        <f t="array" ref="C160">IFERROR(IF(INDEX($D$4:$H$1000,MATCH(VALUE(LEFT($A160,LEN($A160)-1)),$A$4:$A$1000,0),VALUE(RIGHT($A160,1)))= 0,"",INDEX($D$4:$H$1000,MATCH(VALUE(LEFT($A160,LEN($A160)-1)),$A$4:$A$1000,0),VALUE(RIGHT($A160,1)))),"")</f>
        <v/>
      </c>
      <c r="D160" s="23" t="str">
        <f>IFERROR(IF(INDEX(使用レシピ!F:F,MATCH(テンプレート!$C160,使用レシピ!$E:$E,0))&lt;&gt;0,INDEX(使用レシピ!F:F,MATCH(テンプレート!$C160,使用レシピ!$E:$E,0)),""),"")</f>
        <v/>
      </c>
      <c r="E160" t="str">
        <f>IFERROR(IF(INDEX(使用レシピ!G:G,MATCH(テンプレート!$C160,使用レシピ!$E:$E,0))&lt;&gt;0,INDEX(使用レシピ!G:G,MATCH(テンプレート!$C160,使用レシピ!$E:$E,0)),""),"")</f>
        <v/>
      </c>
      <c r="F160" t="str">
        <f>IFERROR(IF(INDEX(使用レシピ!H:H,MATCH(テンプレート!$C160,使用レシピ!$E:$E,0))&lt;&gt;0,INDEX(使用レシピ!H:H,MATCH(テンプレート!$C160,使用レシピ!$E:$E,0)),""),"")</f>
        <v/>
      </c>
      <c r="G160" t="str">
        <f>IFERROR(IF(INDEX(使用レシピ!I:I,MATCH(テンプレート!$C160,使用レシピ!$E:$E,0))&lt;&gt;0,INDEX(使用レシピ!I:I,MATCH(テンプレート!$C160,使用レシピ!$E:$E,0)),""),"")</f>
        <v/>
      </c>
      <c r="H160" s="24" t="str">
        <f>IFERROR(IF(INDEX(使用レシピ!J:J,MATCH(テンプレート!$C160,使用レシピ!$E:$E,0))&lt;&gt;0,INDEX(使用レシピ!J:J,MATCH(テンプレート!$C160,使用レシピ!$E:$E,0)),""),"")</f>
        <v/>
      </c>
      <c r="I160" s="36" t="str">
        <f>IFERROR(IF(INDEX(使用レシピ!P:P,MATCH(テンプレート!$C160,使用レシピ!$E:$E,0))&lt;&gt;0,INDEX(使用レシピ!P:P,MATCH(テンプレート!$C160,使用レシピ!$E:$E,0)),""),"")</f>
        <v/>
      </c>
      <c r="J160" t="str">
        <f>IFERROR(IF(INDEX(使用レシピ!K:K,MATCH(テンプレート!$C160,使用レシピ!$E:$E,0))&lt;&gt;0,INDEX(使用レシピ!K:K,MATCH(テンプレート!$C160,使用レシピ!$E:$E,0)),""),"")</f>
        <v/>
      </c>
      <c r="K160" t="str">
        <f>IFERROR(IF(INDEX(使用レシピ!L:L,MATCH(テンプレート!$C160,使用レシピ!$E:$E,0))&lt;&gt;0,INDEX(使用レシピ!L:L,MATCH(テンプレート!$C160,使用レシピ!$E:$E,0)),""),"")</f>
        <v/>
      </c>
      <c r="L160" t="str">
        <f>IFERROR(IF(INDEX(使用レシピ!M:M,MATCH(テンプレート!$C160,使用レシピ!$E:$E,0))&lt;&gt;0,INDEX(使用レシピ!M:M,MATCH(テンプレート!$C160,使用レシピ!$E:$E,0)),""),"")</f>
        <v/>
      </c>
      <c r="M160" t="str">
        <f>IFERROR(IF(INDEX(使用レシピ!N:N,MATCH(テンプレート!$C160,使用レシピ!$E:$E,0))&lt;&gt;0,INDEX(使用レシピ!N:N,MATCH(テンプレート!$C160,使用レシピ!$E:$E,0)),""),"")</f>
        <v/>
      </c>
      <c r="N160" s="24" t="str">
        <f>IFERROR(IF(INDEX(使用レシピ!O:O,MATCH(テンプレート!$C160,使用レシピ!$E:$E,0))&lt;&gt;0,INDEX(使用レシピ!O:O,MATCH(テンプレート!$C160,使用レシピ!$E:$E,0)),""),"")</f>
        <v/>
      </c>
      <c r="O160" s="42" t="str">
        <f>IFERROR(IF(INDEX(使用レシピ!P:P,MATCH(テンプレート!$C160,使用レシピ!$E:$E,0))&lt;&gt;0,INDEX(使用レシピ!P:P,MATCH(テンプレート!$C160,使用レシピ!$E:$E,0)),""),"")</f>
        <v/>
      </c>
      <c r="P160" s="25" t="str">
        <f t="shared" si="14"/>
        <v/>
      </c>
      <c r="Q160" s="26" t="str">
        <f t="shared" si="15"/>
        <v/>
      </c>
      <c r="R160" s="26" t="str">
        <f t="shared" si="16"/>
        <v/>
      </c>
      <c r="S160" s="26" t="str">
        <f t="shared" si="17"/>
        <v/>
      </c>
      <c r="T160" s="43" t="str">
        <f t="shared" si="17"/>
        <v/>
      </c>
    </row>
    <row r="161" spans="1:20" x14ac:dyDescent="0.4">
      <c r="A161">
        <v>12223112</v>
      </c>
      <c r="B161" s="47" t="str" cm="1">
        <f t="array" ref="B161">IFERROR((INDEX($P$4:$T$1000,MATCH(VALUE(LEFT($A161,LEN($A161)-1)),$A$4:$A$1000,0),VALUE(RIGHT($A161,1)))/ INDEX($O$4:$O$1000,MATCH(VALUE(LEFT($A161,LEN($A161)-1)),$A$4:$A$1000))) * INDEX($B$4:$B$1000,MATCH(VALUE(LEFT($A161,LEN($A161)-1)),$A$4:$A$1000)),"")</f>
        <v/>
      </c>
      <c r="C161" s="38" t="str" cm="1">
        <f t="array" ref="C161">IFERROR(IF(INDEX($D$4:$H$1000,MATCH(VALUE(LEFT($A161,LEN($A161)-1)),$A$4:$A$1000,0),VALUE(RIGHT($A161,1)))= 0,"",INDEX($D$4:$H$1000,MATCH(VALUE(LEFT($A161,LEN($A161)-1)),$A$4:$A$1000,0),VALUE(RIGHT($A161,1)))),"")</f>
        <v/>
      </c>
      <c r="D161" s="23" t="str">
        <f>IFERROR(IF(INDEX(使用レシピ!F:F,MATCH(テンプレート!$C161,使用レシピ!$E:$E,0))&lt;&gt;0,INDEX(使用レシピ!F:F,MATCH(テンプレート!$C161,使用レシピ!$E:$E,0)),""),"")</f>
        <v/>
      </c>
      <c r="E161" t="str">
        <f>IFERROR(IF(INDEX(使用レシピ!G:G,MATCH(テンプレート!$C161,使用レシピ!$E:$E,0))&lt;&gt;0,INDEX(使用レシピ!G:G,MATCH(テンプレート!$C161,使用レシピ!$E:$E,0)),""),"")</f>
        <v/>
      </c>
      <c r="F161" t="str">
        <f>IFERROR(IF(INDEX(使用レシピ!H:H,MATCH(テンプレート!$C161,使用レシピ!$E:$E,0))&lt;&gt;0,INDEX(使用レシピ!H:H,MATCH(テンプレート!$C161,使用レシピ!$E:$E,0)),""),"")</f>
        <v/>
      </c>
      <c r="G161" t="str">
        <f>IFERROR(IF(INDEX(使用レシピ!I:I,MATCH(テンプレート!$C161,使用レシピ!$E:$E,0))&lt;&gt;0,INDEX(使用レシピ!I:I,MATCH(テンプレート!$C161,使用レシピ!$E:$E,0)),""),"")</f>
        <v/>
      </c>
      <c r="H161" s="24" t="str">
        <f>IFERROR(IF(INDEX(使用レシピ!J:J,MATCH(テンプレート!$C161,使用レシピ!$E:$E,0))&lt;&gt;0,INDEX(使用レシピ!J:J,MATCH(テンプレート!$C161,使用レシピ!$E:$E,0)),""),"")</f>
        <v/>
      </c>
      <c r="I161" s="36" t="str">
        <f>IFERROR(IF(INDEX(使用レシピ!P:P,MATCH(テンプレート!$C161,使用レシピ!$E:$E,0))&lt;&gt;0,INDEX(使用レシピ!P:P,MATCH(テンプレート!$C161,使用レシピ!$E:$E,0)),""),"")</f>
        <v/>
      </c>
      <c r="J161" t="str">
        <f>IFERROR(IF(INDEX(使用レシピ!K:K,MATCH(テンプレート!$C161,使用レシピ!$E:$E,0))&lt;&gt;0,INDEX(使用レシピ!K:K,MATCH(テンプレート!$C161,使用レシピ!$E:$E,0)),""),"")</f>
        <v/>
      </c>
      <c r="K161" t="str">
        <f>IFERROR(IF(INDEX(使用レシピ!L:L,MATCH(テンプレート!$C161,使用レシピ!$E:$E,0))&lt;&gt;0,INDEX(使用レシピ!L:L,MATCH(テンプレート!$C161,使用レシピ!$E:$E,0)),""),"")</f>
        <v/>
      </c>
      <c r="L161" t="str">
        <f>IFERROR(IF(INDEX(使用レシピ!M:M,MATCH(テンプレート!$C161,使用レシピ!$E:$E,0))&lt;&gt;0,INDEX(使用レシピ!M:M,MATCH(テンプレート!$C161,使用レシピ!$E:$E,0)),""),"")</f>
        <v/>
      </c>
      <c r="M161" t="str">
        <f>IFERROR(IF(INDEX(使用レシピ!N:N,MATCH(テンプレート!$C161,使用レシピ!$E:$E,0))&lt;&gt;0,INDEX(使用レシピ!N:N,MATCH(テンプレート!$C161,使用レシピ!$E:$E,0)),""),"")</f>
        <v/>
      </c>
      <c r="N161" s="24" t="str">
        <f>IFERROR(IF(INDEX(使用レシピ!O:O,MATCH(テンプレート!$C161,使用レシピ!$E:$E,0))&lt;&gt;0,INDEX(使用レシピ!O:O,MATCH(テンプレート!$C161,使用レシピ!$E:$E,0)),""),"")</f>
        <v/>
      </c>
      <c r="O161" s="42" t="str">
        <f>IFERROR(IF(INDEX(使用レシピ!P:P,MATCH(テンプレート!$C161,使用レシピ!$E:$E,0))&lt;&gt;0,INDEX(使用レシピ!P:P,MATCH(テンプレート!$C161,使用レシピ!$E:$E,0)),""),"")</f>
        <v/>
      </c>
      <c r="P161" s="25" t="str">
        <f t="shared" si="14"/>
        <v/>
      </c>
      <c r="Q161" s="26" t="str">
        <f t="shared" si="15"/>
        <v/>
      </c>
      <c r="R161" s="26" t="str">
        <f t="shared" si="16"/>
        <v/>
      </c>
      <c r="S161" s="26" t="str">
        <f t="shared" si="17"/>
        <v/>
      </c>
      <c r="T161" s="43" t="str">
        <f t="shared" si="17"/>
        <v/>
      </c>
    </row>
    <row r="162" spans="1:20" x14ac:dyDescent="0.4">
      <c r="A162">
        <v>12231111</v>
      </c>
      <c r="B162" s="47" t="str" cm="1">
        <f t="array" ref="B162">IFERROR((INDEX($P$4:$T$1000,MATCH(VALUE(LEFT($A162,LEN($A162)-1)),$A$4:$A$1000,0),VALUE(RIGHT($A162,1)))/ INDEX($O$4:$O$1000,MATCH(VALUE(LEFT($A162,LEN($A162)-1)),$A$4:$A$1000))) * INDEX($B$4:$B$1000,MATCH(VALUE(LEFT($A162,LEN($A162)-1)),$A$4:$A$1000)),"")</f>
        <v/>
      </c>
      <c r="C162" s="38" t="str" cm="1">
        <f t="array" ref="C162">IFERROR(IF(INDEX($D$4:$H$1000,MATCH(VALUE(LEFT($A162,LEN($A162)-1)),$A$4:$A$1000,0),VALUE(RIGHT($A162,1)))= 0,"",INDEX($D$4:$H$1000,MATCH(VALUE(LEFT($A162,LEN($A162)-1)),$A$4:$A$1000,0),VALUE(RIGHT($A162,1)))),"")</f>
        <v/>
      </c>
      <c r="D162" s="23" t="str">
        <f>IFERROR(IF(INDEX(使用レシピ!F:F,MATCH(テンプレート!$C162,使用レシピ!$E:$E,0))&lt;&gt;0,INDEX(使用レシピ!F:F,MATCH(テンプレート!$C162,使用レシピ!$E:$E,0)),""),"")</f>
        <v/>
      </c>
      <c r="E162" t="str">
        <f>IFERROR(IF(INDEX(使用レシピ!G:G,MATCH(テンプレート!$C162,使用レシピ!$E:$E,0))&lt;&gt;0,INDEX(使用レシピ!G:G,MATCH(テンプレート!$C162,使用レシピ!$E:$E,0)),""),"")</f>
        <v/>
      </c>
      <c r="F162" t="str">
        <f>IFERROR(IF(INDEX(使用レシピ!H:H,MATCH(テンプレート!$C162,使用レシピ!$E:$E,0))&lt;&gt;0,INDEX(使用レシピ!H:H,MATCH(テンプレート!$C162,使用レシピ!$E:$E,0)),""),"")</f>
        <v/>
      </c>
      <c r="G162" t="str">
        <f>IFERROR(IF(INDEX(使用レシピ!I:I,MATCH(テンプレート!$C162,使用レシピ!$E:$E,0))&lt;&gt;0,INDEX(使用レシピ!I:I,MATCH(テンプレート!$C162,使用レシピ!$E:$E,0)),""),"")</f>
        <v/>
      </c>
      <c r="H162" s="24" t="str">
        <f>IFERROR(IF(INDEX(使用レシピ!J:J,MATCH(テンプレート!$C162,使用レシピ!$E:$E,0))&lt;&gt;0,INDEX(使用レシピ!J:J,MATCH(テンプレート!$C162,使用レシピ!$E:$E,0)),""),"")</f>
        <v/>
      </c>
      <c r="I162" s="36" t="str">
        <f>IFERROR(IF(INDEX(使用レシピ!P:P,MATCH(テンプレート!$C162,使用レシピ!$E:$E,0))&lt;&gt;0,INDEX(使用レシピ!P:P,MATCH(テンプレート!$C162,使用レシピ!$E:$E,0)),""),"")</f>
        <v/>
      </c>
      <c r="J162" t="str">
        <f>IFERROR(IF(INDEX(使用レシピ!K:K,MATCH(テンプレート!$C162,使用レシピ!$E:$E,0))&lt;&gt;0,INDEX(使用レシピ!K:K,MATCH(テンプレート!$C162,使用レシピ!$E:$E,0)),""),"")</f>
        <v/>
      </c>
      <c r="K162" t="str">
        <f>IFERROR(IF(INDEX(使用レシピ!L:L,MATCH(テンプレート!$C162,使用レシピ!$E:$E,0))&lt;&gt;0,INDEX(使用レシピ!L:L,MATCH(テンプレート!$C162,使用レシピ!$E:$E,0)),""),"")</f>
        <v/>
      </c>
      <c r="L162" t="str">
        <f>IFERROR(IF(INDEX(使用レシピ!M:M,MATCH(テンプレート!$C162,使用レシピ!$E:$E,0))&lt;&gt;0,INDEX(使用レシピ!M:M,MATCH(テンプレート!$C162,使用レシピ!$E:$E,0)),""),"")</f>
        <v/>
      </c>
      <c r="M162" t="str">
        <f>IFERROR(IF(INDEX(使用レシピ!N:N,MATCH(テンプレート!$C162,使用レシピ!$E:$E,0))&lt;&gt;0,INDEX(使用レシピ!N:N,MATCH(テンプレート!$C162,使用レシピ!$E:$E,0)),""),"")</f>
        <v/>
      </c>
      <c r="N162" s="24" t="str">
        <f>IFERROR(IF(INDEX(使用レシピ!O:O,MATCH(テンプレート!$C162,使用レシピ!$E:$E,0))&lt;&gt;0,INDEX(使用レシピ!O:O,MATCH(テンプレート!$C162,使用レシピ!$E:$E,0)),""),"")</f>
        <v/>
      </c>
      <c r="O162" s="42" t="str">
        <f>IFERROR(IF(INDEX(使用レシピ!P:P,MATCH(テンプレート!$C162,使用レシピ!$E:$E,0))&lt;&gt;0,INDEX(使用レシピ!P:P,MATCH(テンプレート!$C162,使用レシピ!$E:$E,0)),""),"")</f>
        <v/>
      </c>
      <c r="P162" s="25" t="str">
        <f t="shared" si="14"/>
        <v/>
      </c>
      <c r="Q162" s="26" t="str">
        <f t="shared" si="15"/>
        <v/>
      </c>
      <c r="R162" s="26" t="str">
        <f t="shared" si="16"/>
        <v/>
      </c>
      <c r="S162" s="26" t="str">
        <f t="shared" si="17"/>
        <v/>
      </c>
      <c r="T162" s="43" t="str">
        <f t="shared" si="17"/>
        <v/>
      </c>
    </row>
    <row r="163" spans="1:20" x14ac:dyDescent="0.4">
      <c r="A163">
        <v>12231112</v>
      </c>
      <c r="B163" s="47" t="str" cm="1">
        <f t="array" ref="B163">IFERROR((INDEX($P$4:$T$1000,MATCH(VALUE(LEFT($A163,LEN($A163)-1)),$A$4:$A$1000,0),VALUE(RIGHT($A163,1)))/ INDEX($O$4:$O$1000,MATCH(VALUE(LEFT($A163,LEN($A163)-1)),$A$4:$A$1000))) * INDEX($B$4:$B$1000,MATCH(VALUE(LEFT($A163,LEN($A163)-1)),$A$4:$A$1000)),"")</f>
        <v/>
      </c>
      <c r="C163" s="38" t="str" cm="1">
        <f t="array" ref="C163">IFERROR(IF(INDEX($D$4:$H$1000,MATCH(VALUE(LEFT($A163,LEN($A163)-1)),$A$4:$A$1000,0),VALUE(RIGHT($A163,1)))= 0,"",INDEX($D$4:$H$1000,MATCH(VALUE(LEFT($A163,LEN($A163)-1)),$A$4:$A$1000,0),VALUE(RIGHT($A163,1)))),"")</f>
        <v/>
      </c>
      <c r="D163" s="23" t="str">
        <f>IFERROR(IF(INDEX(使用レシピ!F:F,MATCH(テンプレート!$C163,使用レシピ!$E:$E,0))&lt;&gt;0,INDEX(使用レシピ!F:F,MATCH(テンプレート!$C163,使用レシピ!$E:$E,0)),""),"")</f>
        <v/>
      </c>
      <c r="E163" t="str">
        <f>IFERROR(IF(INDEX(使用レシピ!G:G,MATCH(テンプレート!$C163,使用レシピ!$E:$E,0))&lt;&gt;0,INDEX(使用レシピ!G:G,MATCH(テンプレート!$C163,使用レシピ!$E:$E,0)),""),"")</f>
        <v/>
      </c>
      <c r="F163" t="str">
        <f>IFERROR(IF(INDEX(使用レシピ!H:H,MATCH(テンプレート!$C163,使用レシピ!$E:$E,0))&lt;&gt;0,INDEX(使用レシピ!H:H,MATCH(テンプレート!$C163,使用レシピ!$E:$E,0)),""),"")</f>
        <v/>
      </c>
      <c r="G163" t="str">
        <f>IFERROR(IF(INDEX(使用レシピ!I:I,MATCH(テンプレート!$C163,使用レシピ!$E:$E,0))&lt;&gt;0,INDEX(使用レシピ!I:I,MATCH(テンプレート!$C163,使用レシピ!$E:$E,0)),""),"")</f>
        <v/>
      </c>
      <c r="H163" s="24" t="str">
        <f>IFERROR(IF(INDEX(使用レシピ!J:J,MATCH(テンプレート!$C163,使用レシピ!$E:$E,0))&lt;&gt;0,INDEX(使用レシピ!J:J,MATCH(テンプレート!$C163,使用レシピ!$E:$E,0)),""),"")</f>
        <v/>
      </c>
      <c r="I163" s="36" t="str">
        <f>IFERROR(IF(INDEX(使用レシピ!P:P,MATCH(テンプレート!$C163,使用レシピ!$E:$E,0))&lt;&gt;0,INDEX(使用レシピ!P:P,MATCH(テンプレート!$C163,使用レシピ!$E:$E,0)),""),"")</f>
        <v/>
      </c>
      <c r="J163" t="str">
        <f>IFERROR(IF(INDEX(使用レシピ!K:K,MATCH(テンプレート!$C163,使用レシピ!$E:$E,0))&lt;&gt;0,INDEX(使用レシピ!K:K,MATCH(テンプレート!$C163,使用レシピ!$E:$E,0)),""),"")</f>
        <v/>
      </c>
      <c r="K163" t="str">
        <f>IFERROR(IF(INDEX(使用レシピ!L:L,MATCH(テンプレート!$C163,使用レシピ!$E:$E,0))&lt;&gt;0,INDEX(使用レシピ!L:L,MATCH(テンプレート!$C163,使用レシピ!$E:$E,0)),""),"")</f>
        <v/>
      </c>
      <c r="L163" t="str">
        <f>IFERROR(IF(INDEX(使用レシピ!M:M,MATCH(テンプレート!$C163,使用レシピ!$E:$E,0))&lt;&gt;0,INDEX(使用レシピ!M:M,MATCH(テンプレート!$C163,使用レシピ!$E:$E,0)),""),"")</f>
        <v/>
      </c>
      <c r="M163" t="str">
        <f>IFERROR(IF(INDEX(使用レシピ!N:N,MATCH(テンプレート!$C163,使用レシピ!$E:$E,0))&lt;&gt;0,INDEX(使用レシピ!N:N,MATCH(テンプレート!$C163,使用レシピ!$E:$E,0)),""),"")</f>
        <v/>
      </c>
      <c r="N163" s="24" t="str">
        <f>IFERROR(IF(INDEX(使用レシピ!O:O,MATCH(テンプレート!$C163,使用レシピ!$E:$E,0))&lt;&gt;0,INDEX(使用レシピ!O:O,MATCH(テンプレート!$C163,使用レシピ!$E:$E,0)),""),"")</f>
        <v/>
      </c>
      <c r="O163" s="42" t="str">
        <f>IFERROR(IF(INDEX(使用レシピ!P:P,MATCH(テンプレート!$C163,使用レシピ!$E:$E,0))&lt;&gt;0,INDEX(使用レシピ!P:P,MATCH(テンプレート!$C163,使用レシピ!$E:$E,0)),""),"")</f>
        <v/>
      </c>
      <c r="P163" s="25" t="str">
        <f t="shared" si="14"/>
        <v/>
      </c>
      <c r="Q163" s="26" t="str">
        <f t="shared" si="15"/>
        <v/>
      </c>
      <c r="R163" s="26" t="str">
        <f t="shared" si="16"/>
        <v/>
      </c>
      <c r="S163" s="26" t="str">
        <f t="shared" si="17"/>
        <v/>
      </c>
      <c r="T163" s="43" t="str">
        <f t="shared" si="17"/>
        <v/>
      </c>
    </row>
    <row r="164" spans="1:20" x14ac:dyDescent="0.4">
      <c r="A164">
        <v>111111121</v>
      </c>
      <c r="B164" s="47" cm="1">
        <f t="array" ref="B164">IFERROR((INDEX($P$4:$T$1000,MATCH(VALUE(LEFT($A164,LEN($A164)-1)),$A$4:$A$1000,0),VALUE(RIGHT($A164,1)))/ INDEX($O$4:$O$1000,MATCH(VALUE(LEFT($A164,LEN($A164)-1)),$A$4:$A$1000))) * INDEX($B$4:$B$1000,MATCH(VALUE(LEFT($A164,LEN($A164)-1)),$A$4:$A$1000)),"")</f>
        <v>2430</v>
      </c>
      <c r="C164" s="38" t="str" cm="1">
        <f t="array" ref="C164">IFERROR(IF(INDEX($D$4:$H$1000,MATCH(VALUE(LEFT($A164,LEN($A164)-1)),$A$4:$A$1000,0),VALUE(RIGHT($A164,1)))= 0,"",INDEX($D$4:$H$1000,MATCH(VALUE(LEFT($A164,LEN($A164)-1)),$A$4:$A$1000,0),VALUE(RIGHT($A164,1)))),"")</f>
        <v>石灰岩</v>
      </c>
      <c r="D164" s="23" t="str">
        <f>IFERROR(IF(INDEX(使用レシピ!F:F,MATCH(テンプレート!$C164,使用レシピ!$E:$E,0))&lt;&gt;0,INDEX(使用レシピ!F:F,MATCH(テンプレート!$C164,使用レシピ!$E:$E,0)),""),"")</f>
        <v/>
      </c>
      <c r="E164" t="str">
        <f>IFERROR(IF(INDEX(使用レシピ!G:G,MATCH(テンプレート!$C164,使用レシピ!$E:$E,0))&lt;&gt;0,INDEX(使用レシピ!G:G,MATCH(テンプレート!$C164,使用レシピ!$E:$E,0)),""),"")</f>
        <v/>
      </c>
      <c r="F164" t="str">
        <f>IFERROR(IF(INDEX(使用レシピ!H:H,MATCH(テンプレート!$C164,使用レシピ!$E:$E,0))&lt;&gt;0,INDEX(使用レシピ!H:H,MATCH(テンプレート!$C164,使用レシピ!$E:$E,0)),""),"")</f>
        <v/>
      </c>
      <c r="G164" t="str">
        <f>IFERROR(IF(INDEX(使用レシピ!I:I,MATCH(テンプレート!$C164,使用レシピ!$E:$E,0))&lt;&gt;0,INDEX(使用レシピ!I:I,MATCH(テンプレート!$C164,使用レシピ!$E:$E,0)),""),"")</f>
        <v/>
      </c>
      <c r="H164" s="24" t="str">
        <f>IFERROR(IF(INDEX(使用レシピ!J:J,MATCH(テンプレート!$C164,使用レシピ!$E:$E,0))&lt;&gt;0,INDEX(使用レシピ!J:J,MATCH(テンプレート!$C164,使用レシピ!$E:$E,0)),""),"")</f>
        <v/>
      </c>
      <c r="I164" s="36">
        <f>IFERROR(IF(INDEX(使用レシピ!P:P,MATCH(テンプレート!$C164,使用レシピ!$E:$E,0))&lt;&gt;0,INDEX(使用レシピ!P:P,MATCH(テンプレート!$C164,使用レシピ!$E:$E,0)),""),"")</f>
        <v>1</v>
      </c>
      <c r="J164" t="str">
        <f>IFERROR(IF(INDEX(使用レシピ!K:K,MATCH(テンプレート!$C164,使用レシピ!$E:$E,0))&lt;&gt;0,INDEX(使用レシピ!K:K,MATCH(テンプレート!$C164,使用レシピ!$E:$E,0)),""),"")</f>
        <v/>
      </c>
      <c r="K164" t="str">
        <f>IFERROR(IF(INDEX(使用レシピ!L:L,MATCH(テンプレート!$C164,使用レシピ!$E:$E,0))&lt;&gt;0,INDEX(使用レシピ!L:L,MATCH(テンプレート!$C164,使用レシピ!$E:$E,0)),""),"")</f>
        <v/>
      </c>
      <c r="L164" t="str">
        <f>IFERROR(IF(INDEX(使用レシピ!M:M,MATCH(テンプレート!$C164,使用レシピ!$E:$E,0))&lt;&gt;0,INDEX(使用レシピ!M:M,MATCH(テンプレート!$C164,使用レシピ!$E:$E,0)),""),"")</f>
        <v/>
      </c>
      <c r="M164" t="str">
        <f>IFERROR(IF(INDEX(使用レシピ!N:N,MATCH(テンプレート!$C164,使用レシピ!$E:$E,0))&lt;&gt;0,INDEX(使用レシピ!N:N,MATCH(テンプレート!$C164,使用レシピ!$E:$E,0)),""),"")</f>
        <v/>
      </c>
      <c r="N164" s="24" t="str">
        <f>IFERROR(IF(INDEX(使用レシピ!O:O,MATCH(テンプレート!$C164,使用レシピ!$E:$E,0))&lt;&gt;0,INDEX(使用レシピ!O:O,MATCH(テンプレート!$C164,使用レシピ!$E:$E,0)),""),"")</f>
        <v/>
      </c>
      <c r="O164" s="42">
        <f>IFERROR(IF(INDEX(使用レシピ!P:P,MATCH(テンプレート!$C164,使用レシピ!$E:$E,0))&lt;&gt;0,INDEX(使用レシピ!P:P,MATCH(テンプレート!$C164,使用レシピ!$E:$E,0)),""),"")</f>
        <v>1</v>
      </c>
      <c r="P164" s="25" t="str">
        <f t="shared" si="14"/>
        <v/>
      </c>
      <c r="Q164" s="26" t="str">
        <f t="shared" si="15"/>
        <v/>
      </c>
      <c r="R164" s="26" t="str">
        <f t="shared" si="16"/>
        <v/>
      </c>
      <c r="S164" s="26" t="str">
        <f t="shared" si="17"/>
        <v/>
      </c>
      <c r="T164" s="43" t="str">
        <f t="shared" si="17"/>
        <v/>
      </c>
    </row>
    <row r="165" spans="1:20" x14ac:dyDescent="0.4">
      <c r="A165">
        <v>111111141</v>
      </c>
      <c r="B165" s="47" t="str" cm="1">
        <f t="array" ref="B165">IFERROR((INDEX($P$4:$T$1000,MATCH(VALUE(LEFT($A165,LEN($A165)-1)),$A$4:$A$1000,0),VALUE(RIGHT($A165,1)))/ INDEX($O$4:$O$1000,MATCH(VALUE(LEFT($A165,LEN($A165)-1)),$A$4:$A$1000))) * INDEX($B$4:$B$1000,MATCH(VALUE(LEFT($A165,LEN($A165)-1)),$A$4:$A$1000)),"")</f>
        <v/>
      </c>
      <c r="C165" s="38" t="str" cm="1">
        <f t="array" ref="C165">IFERROR(IF(INDEX($D$4:$H$1000,MATCH(VALUE(LEFT($A165,LEN($A165)-1)),$A$4:$A$1000,0),VALUE(RIGHT($A165,1)))= 0,"",INDEX($D$4:$H$1000,MATCH(VALUE(LEFT($A165,LEN($A165)-1)),$A$4:$A$1000,0),VALUE(RIGHT($A165,1)))),"")</f>
        <v/>
      </c>
      <c r="D165" s="23" t="str">
        <f>IFERROR(IF(INDEX(使用レシピ!F:F,MATCH(テンプレート!$C165,使用レシピ!$E:$E,0))&lt;&gt;0,INDEX(使用レシピ!F:F,MATCH(テンプレート!$C165,使用レシピ!$E:$E,0)),""),"")</f>
        <v/>
      </c>
      <c r="E165" t="str">
        <f>IFERROR(IF(INDEX(使用レシピ!G:G,MATCH(テンプレート!$C165,使用レシピ!$E:$E,0))&lt;&gt;0,INDEX(使用レシピ!G:G,MATCH(テンプレート!$C165,使用レシピ!$E:$E,0)),""),"")</f>
        <v/>
      </c>
      <c r="F165" t="str">
        <f>IFERROR(IF(INDEX(使用レシピ!H:H,MATCH(テンプレート!$C165,使用レシピ!$E:$E,0))&lt;&gt;0,INDEX(使用レシピ!H:H,MATCH(テンプレート!$C165,使用レシピ!$E:$E,0)),""),"")</f>
        <v/>
      </c>
      <c r="G165" t="str">
        <f>IFERROR(IF(INDEX(使用レシピ!I:I,MATCH(テンプレート!$C165,使用レシピ!$E:$E,0))&lt;&gt;0,INDEX(使用レシピ!I:I,MATCH(テンプレート!$C165,使用レシピ!$E:$E,0)),""),"")</f>
        <v/>
      </c>
      <c r="H165" s="24" t="str">
        <f>IFERROR(IF(INDEX(使用レシピ!J:J,MATCH(テンプレート!$C165,使用レシピ!$E:$E,0))&lt;&gt;0,INDEX(使用レシピ!J:J,MATCH(テンプレート!$C165,使用レシピ!$E:$E,0)),""),"")</f>
        <v/>
      </c>
      <c r="I165" s="36" t="str">
        <f>IFERROR(IF(INDEX(使用レシピ!P:P,MATCH(テンプレート!$C165,使用レシピ!$E:$E,0))&lt;&gt;0,INDEX(使用レシピ!P:P,MATCH(テンプレート!$C165,使用レシピ!$E:$E,0)),""),"")</f>
        <v/>
      </c>
      <c r="J165" t="str">
        <f>IFERROR(IF(INDEX(使用レシピ!K:K,MATCH(テンプレート!$C165,使用レシピ!$E:$E,0))&lt;&gt;0,INDEX(使用レシピ!K:K,MATCH(テンプレート!$C165,使用レシピ!$E:$E,0)),""),"")</f>
        <v/>
      </c>
      <c r="K165" t="str">
        <f>IFERROR(IF(INDEX(使用レシピ!L:L,MATCH(テンプレート!$C165,使用レシピ!$E:$E,0))&lt;&gt;0,INDEX(使用レシピ!L:L,MATCH(テンプレート!$C165,使用レシピ!$E:$E,0)),""),"")</f>
        <v/>
      </c>
      <c r="L165" t="str">
        <f>IFERROR(IF(INDEX(使用レシピ!M:M,MATCH(テンプレート!$C165,使用レシピ!$E:$E,0))&lt;&gt;0,INDEX(使用レシピ!M:M,MATCH(テンプレート!$C165,使用レシピ!$E:$E,0)),""),"")</f>
        <v/>
      </c>
      <c r="M165" t="str">
        <f>IFERROR(IF(INDEX(使用レシピ!N:N,MATCH(テンプレート!$C165,使用レシピ!$E:$E,0))&lt;&gt;0,INDEX(使用レシピ!N:N,MATCH(テンプレート!$C165,使用レシピ!$E:$E,0)),""),"")</f>
        <v/>
      </c>
      <c r="N165" s="24" t="str">
        <f>IFERROR(IF(INDEX(使用レシピ!O:O,MATCH(テンプレート!$C165,使用レシピ!$E:$E,0))&lt;&gt;0,INDEX(使用レシピ!O:O,MATCH(テンプレート!$C165,使用レシピ!$E:$E,0)),""),"")</f>
        <v/>
      </c>
      <c r="O165" s="42" t="str">
        <f>IFERROR(IF(INDEX(使用レシピ!P:P,MATCH(テンプレート!$C165,使用レシピ!$E:$E,0))&lt;&gt;0,INDEX(使用レシピ!P:P,MATCH(テンプレート!$C165,使用レシピ!$E:$E,0)),""),"")</f>
        <v/>
      </c>
      <c r="P165" s="25" t="str">
        <f t="shared" si="14"/>
        <v/>
      </c>
      <c r="Q165" s="26" t="str">
        <f t="shared" si="15"/>
        <v/>
      </c>
      <c r="R165" s="26" t="str">
        <f t="shared" si="16"/>
        <v/>
      </c>
      <c r="S165" s="26" t="str">
        <f t="shared" si="17"/>
        <v/>
      </c>
      <c r="T165" s="43" t="str">
        <f t="shared" si="17"/>
        <v/>
      </c>
    </row>
    <row r="166" spans="1:20" x14ac:dyDescent="0.4">
      <c r="A166">
        <v>111111211</v>
      </c>
      <c r="B166" s="47" cm="1">
        <f t="array" ref="B166">IFERROR((INDEX($P$4:$T$1000,MATCH(VALUE(LEFT($A166,LEN($A166)-1)),$A$4:$A$1000,0),VALUE(RIGHT($A166,1)))/ INDEX($O$4:$O$1000,MATCH(VALUE(LEFT($A166,LEN($A166)-1)),$A$4:$A$1000))) * INDEX($B$4:$B$1000,MATCH(VALUE(LEFT($A166,LEN($A166)-1)),$A$4:$A$1000)),"")</f>
        <v>972</v>
      </c>
      <c r="C166" s="38" t="str" cm="1">
        <f t="array" ref="C166">IFERROR(IF(INDEX($D$4:$H$1000,MATCH(VALUE(LEFT($A166,LEN($A166)-1)),$A$4:$A$1000,0),VALUE(RIGHT($A166,1)))= 0,"",INDEX($D$4:$H$1000,MATCH(VALUE(LEFT($A166,LEN($A166)-1)),$A$4:$A$1000,0),VALUE(RIGHT($A166,1)))),"")</f>
        <v>鋼鉄のインゴット</v>
      </c>
      <c r="D166" s="23" t="str">
        <f>IFERROR(IF(INDEX(使用レシピ!F:F,MATCH(テンプレート!$C166,使用レシピ!$E:$E,0))&lt;&gt;0,INDEX(使用レシピ!F:F,MATCH(テンプレート!$C166,使用レシピ!$E:$E,0)),""),"")</f>
        <v>鉄のインゴット</v>
      </c>
      <c r="E166" t="str">
        <f>IFERROR(IF(INDEX(使用レシピ!G:G,MATCH(テンプレート!$C166,使用レシピ!$E:$E,0))&lt;&gt;0,INDEX(使用レシピ!G:G,MATCH(テンプレート!$C166,使用レシピ!$E:$E,0)),""),"")</f>
        <v>石炭</v>
      </c>
      <c r="F166" t="str">
        <f>IFERROR(IF(INDEX(使用レシピ!H:H,MATCH(テンプレート!$C166,使用レシピ!$E:$E,0))&lt;&gt;0,INDEX(使用レシピ!H:H,MATCH(テンプレート!$C166,使用レシピ!$E:$E,0)),""),"")</f>
        <v/>
      </c>
      <c r="G166" t="str">
        <f>IFERROR(IF(INDEX(使用レシピ!I:I,MATCH(テンプレート!$C166,使用レシピ!$E:$E,0))&lt;&gt;0,INDEX(使用レシピ!I:I,MATCH(テンプレート!$C166,使用レシピ!$E:$E,0)),""),"")</f>
        <v/>
      </c>
      <c r="H166" s="24" t="str">
        <f>IFERROR(IF(INDEX(使用レシピ!J:J,MATCH(テンプレート!$C166,使用レシピ!$E:$E,0))&lt;&gt;0,INDEX(使用レシピ!J:J,MATCH(テンプレート!$C166,使用レシピ!$E:$E,0)),""),"")</f>
        <v/>
      </c>
      <c r="I166" s="36">
        <f>IFERROR(IF(INDEX(使用レシピ!P:P,MATCH(テンプレート!$C166,使用レシピ!$E:$E,0))&lt;&gt;0,INDEX(使用レシピ!P:P,MATCH(テンプレート!$C166,使用レシピ!$E:$E,0)),""),"")</f>
        <v>3</v>
      </c>
      <c r="J166">
        <f>IFERROR(IF(INDEX(使用レシピ!K:K,MATCH(テンプレート!$C166,使用レシピ!$E:$E,0))&lt;&gt;0,INDEX(使用レシピ!K:K,MATCH(テンプレート!$C166,使用レシピ!$E:$E,0)),""),"")</f>
        <v>2</v>
      </c>
      <c r="K166">
        <f>IFERROR(IF(INDEX(使用レシピ!L:L,MATCH(テンプレート!$C166,使用レシピ!$E:$E,0))&lt;&gt;0,INDEX(使用レシピ!L:L,MATCH(テンプレート!$C166,使用レシピ!$E:$E,0)),""),"")</f>
        <v>2</v>
      </c>
      <c r="L166" t="str">
        <f>IFERROR(IF(INDEX(使用レシピ!M:M,MATCH(テンプレート!$C166,使用レシピ!$E:$E,0))&lt;&gt;0,INDEX(使用レシピ!M:M,MATCH(テンプレート!$C166,使用レシピ!$E:$E,0)),""),"")</f>
        <v/>
      </c>
      <c r="M166" t="str">
        <f>IFERROR(IF(INDEX(使用レシピ!N:N,MATCH(テンプレート!$C166,使用レシピ!$E:$E,0))&lt;&gt;0,INDEX(使用レシピ!N:N,MATCH(テンプレート!$C166,使用レシピ!$E:$E,0)),""),"")</f>
        <v/>
      </c>
      <c r="N166" s="24" t="str">
        <f>IFERROR(IF(INDEX(使用レシピ!O:O,MATCH(テンプレート!$C166,使用レシピ!$E:$E,0))&lt;&gt;0,INDEX(使用レシピ!O:O,MATCH(テンプレート!$C166,使用レシピ!$E:$E,0)),""),"")</f>
        <v/>
      </c>
      <c r="O166" s="42">
        <f>IFERROR(IF(INDEX(使用レシピ!P:P,MATCH(テンプレート!$C166,使用レシピ!$E:$E,0))&lt;&gt;0,INDEX(使用レシピ!P:P,MATCH(テンプレート!$C166,使用レシピ!$E:$E,0)),""),"")</f>
        <v>3</v>
      </c>
      <c r="P166" s="25">
        <f t="shared" si="14"/>
        <v>2</v>
      </c>
      <c r="Q166" s="26">
        <f t="shared" si="15"/>
        <v>2</v>
      </c>
      <c r="R166" s="26" t="str">
        <f t="shared" si="16"/>
        <v/>
      </c>
      <c r="S166" s="26" t="str">
        <f t="shared" si="17"/>
        <v/>
      </c>
      <c r="T166" s="43" t="str">
        <f t="shared" si="17"/>
        <v/>
      </c>
    </row>
    <row r="167" spans="1:20" x14ac:dyDescent="0.4">
      <c r="A167">
        <v>111111212</v>
      </c>
      <c r="B167" s="47" cm="1">
        <f t="array" ref="B167">IFERROR((INDEX($P$4:$T$1000,MATCH(VALUE(LEFT($A167,LEN($A167)-1)),$A$4:$A$1000,0),VALUE(RIGHT($A167,1)))/ INDEX($O$4:$O$1000,MATCH(VALUE(LEFT($A167,LEN($A167)-1)),$A$4:$A$1000))) * INDEX($B$4:$B$1000,MATCH(VALUE(LEFT($A167,LEN($A167)-1)),$A$4:$A$1000)),"")</f>
        <v>583.19999999999993</v>
      </c>
      <c r="C167" s="38" t="str" cm="1">
        <f t="array" ref="C167">IFERROR(IF(INDEX($D$4:$H$1000,MATCH(VALUE(LEFT($A167,LEN($A167)-1)),$A$4:$A$1000,0),VALUE(RIGHT($A167,1)))= 0,"",INDEX($D$4:$H$1000,MATCH(VALUE(LEFT($A167,LEN($A167)-1)),$A$4:$A$1000,0),VALUE(RIGHT($A167,1)))),"")</f>
        <v>コンクリート</v>
      </c>
      <c r="D167" s="23" t="str">
        <f>IFERROR(IF(INDEX(使用レシピ!F:F,MATCH(テンプレート!$C167,使用レシピ!$E:$E,0))&lt;&gt;0,INDEX(使用レシピ!F:F,MATCH(テンプレート!$C167,使用レシピ!$E:$E,0)),""),"")</f>
        <v>石灰岩</v>
      </c>
      <c r="E167" t="str">
        <f>IFERROR(IF(INDEX(使用レシピ!G:G,MATCH(テンプレート!$C167,使用レシピ!$E:$E,0))&lt;&gt;0,INDEX(使用レシピ!G:G,MATCH(テンプレート!$C167,使用レシピ!$E:$E,0)),""),"")</f>
        <v>水</v>
      </c>
      <c r="F167" t="str">
        <f>IFERROR(IF(INDEX(使用レシピ!H:H,MATCH(テンプレート!$C167,使用レシピ!$E:$E,0))&lt;&gt;0,INDEX(使用レシピ!H:H,MATCH(テンプレート!$C167,使用レシピ!$E:$E,0)),""),"")</f>
        <v/>
      </c>
      <c r="G167" t="str">
        <f>IFERROR(IF(INDEX(使用レシピ!I:I,MATCH(テンプレート!$C167,使用レシピ!$E:$E,0))&lt;&gt;0,INDEX(使用レシピ!I:I,MATCH(テンプレート!$C167,使用レシピ!$E:$E,0)),""),"")</f>
        <v/>
      </c>
      <c r="H167" s="24" t="str">
        <f>IFERROR(IF(INDEX(使用レシピ!J:J,MATCH(テンプレート!$C167,使用レシピ!$E:$E,0))&lt;&gt;0,INDEX(使用レシピ!J:J,MATCH(テンプレート!$C167,使用レシピ!$E:$E,0)),""),"")</f>
        <v/>
      </c>
      <c r="I167" s="36">
        <f>IFERROR(IF(INDEX(使用レシピ!P:P,MATCH(テンプレート!$C167,使用レシピ!$E:$E,0))&lt;&gt;0,INDEX(使用レシピ!P:P,MATCH(テンプレート!$C167,使用レシピ!$E:$E,0)),""),"")</f>
        <v>4</v>
      </c>
      <c r="J167">
        <f>IFERROR(IF(INDEX(使用レシピ!K:K,MATCH(テンプレート!$C167,使用レシピ!$E:$E,0))&lt;&gt;0,INDEX(使用レシピ!K:K,MATCH(テンプレート!$C167,使用レシピ!$E:$E,0)),""),"")</f>
        <v>6</v>
      </c>
      <c r="K167">
        <f>IFERROR(IF(INDEX(使用レシピ!L:L,MATCH(テンプレート!$C167,使用レシピ!$E:$E,0))&lt;&gt;0,INDEX(使用レシピ!L:L,MATCH(テンプレート!$C167,使用レシピ!$E:$E,0)),""),"")</f>
        <v>5</v>
      </c>
      <c r="L167" t="str">
        <f>IFERROR(IF(INDEX(使用レシピ!M:M,MATCH(テンプレート!$C167,使用レシピ!$E:$E,0))&lt;&gt;0,INDEX(使用レシピ!M:M,MATCH(テンプレート!$C167,使用レシピ!$E:$E,0)),""),"")</f>
        <v/>
      </c>
      <c r="M167" t="str">
        <f>IFERROR(IF(INDEX(使用レシピ!N:N,MATCH(テンプレート!$C167,使用レシピ!$E:$E,0))&lt;&gt;0,INDEX(使用レシピ!N:N,MATCH(テンプレート!$C167,使用レシピ!$E:$E,0)),""),"")</f>
        <v/>
      </c>
      <c r="N167" s="24" t="str">
        <f>IFERROR(IF(INDEX(使用レシピ!O:O,MATCH(テンプレート!$C167,使用レシピ!$E:$E,0))&lt;&gt;0,INDEX(使用レシピ!O:O,MATCH(テンプレート!$C167,使用レシピ!$E:$E,0)),""),"")</f>
        <v/>
      </c>
      <c r="O167" s="42">
        <f>IFERROR(IF(INDEX(使用レシピ!P:P,MATCH(テンプレート!$C167,使用レシピ!$E:$E,0))&lt;&gt;0,INDEX(使用レシピ!P:P,MATCH(テンプレート!$C167,使用レシピ!$E:$E,0)),""),"")</f>
        <v>4</v>
      </c>
      <c r="P167" s="25">
        <f t="shared" si="14"/>
        <v>6</v>
      </c>
      <c r="Q167" s="26">
        <f t="shared" si="15"/>
        <v>5</v>
      </c>
      <c r="R167" s="26" t="str">
        <f t="shared" si="16"/>
        <v/>
      </c>
      <c r="S167" s="26" t="str">
        <f t="shared" si="17"/>
        <v/>
      </c>
      <c r="T167" s="43" t="str">
        <f t="shared" si="17"/>
        <v/>
      </c>
    </row>
    <row r="168" spans="1:20" x14ac:dyDescent="0.4">
      <c r="A168">
        <v>111111221</v>
      </c>
      <c r="B168" s="47" cm="1">
        <f t="array" ref="B168">IFERROR((INDEX($P$4:$T$1000,MATCH(VALUE(LEFT($A168,LEN($A168)-1)),$A$4:$A$1000,0),VALUE(RIGHT($A168,1)))/ INDEX($O$4:$O$1000,MATCH(VALUE(LEFT($A168,LEN($A168)-1)),$A$4:$A$1000))) * INDEX($B$4:$B$1000,MATCH(VALUE(LEFT($A168,LEN($A168)-1)),$A$4:$A$1000)),"")</f>
        <v>1215</v>
      </c>
      <c r="C168" s="38" t="str" cm="1">
        <f t="array" ref="C168">IFERROR(IF(INDEX($D$4:$H$1000,MATCH(VALUE(LEFT($A168,LEN($A168)-1)),$A$4:$A$1000,0),VALUE(RIGHT($A168,1)))= 0,"",INDEX($D$4:$H$1000,MATCH(VALUE(LEFT($A168,LEN($A168)-1)),$A$4:$A$1000,0),VALUE(RIGHT($A168,1)))),"")</f>
        <v>石灰岩</v>
      </c>
      <c r="D168" s="23" t="str">
        <f>IFERROR(IF(INDEX(使用レシピ!F:F,MATCH(テンプレート!$C168,使用レシピ!$E:$E,0))&lt;&gt;0,INDEX(使用レシピ!F:F,MATCH(テンプレート!$C168,使用レシピ!$E:$E,0)),""),"")</f>
        <v/>
      </c>
      <c r="E168" t="str">
        <f>IFERROR(IF(INDEX(使用レシピ!G:G,MATCH(テンプレート!$C168,使用レシピ!$E:$E,0))&lt;&gt;0,INDEX(使用レシピ!G:G,MATCH(テンプレート!$C168,使用レシピ!$E:$E,0)),""),"")</f>
        <v/>
      </c>
      <c r="F168" t="str">
        <f>IFERROR(IF(INDEX(使用レシピ!H:H,MATCH(テンプレート!$C168,使用レシピ!$E:$E,0))&lt;&gt;0,INDEX(使用レシピ!H:H,MATCH(テンプレート!$C168,使用レシピ!$E:$E,0)),""),"")</f>
        <v/>
      </c>
      <c r="G168" t="str">
        <f>IFERROR(IF(INDEX(使用レシピ!I:I,MATCH(テンプレート!$C168,使用レシピ!$E:$E,0))&lt;&gt;0,INDEX(使用レシピ!I:I,MATCH(テンプレート!$C168,使用レシピ!$E:$E,0)),""),"")</f>
        <v/>
      </c>
      <c r="H168" s="24" t="str">
        <f>IFERROR(IF(INDEX(使用レシピ!J:J,MATCH(テンプレート!$C168,使用レシピ!$E:$E,0))&lt;&gt;0,INDEX(使用レシピ!J:J,MATCH(テンプレート!$C168,使用レシピ!$E:$E,0)),""),"")</f>
        <v/>
      </c>
      <c r="I168" s="36">
        <f>IFERROR(IF(INDEX(使用レシピ!P:P,MATCH(テンプレート!$C168,使用レシピ!$E:$E,0))&lt;&gt;0,INDEX(使用レシピ!P:P,MATCH(テンプレート!$C168,使用レシピ!$E:$E,0)),""),"")</f>
        <v>1</v>
      </c>
      <c r="J168" t="str">
        <f>IFERROR(IF(INDEX(使用レシピ!K:K,MATCH(テンプレート!$C168,使用レシピ!$E:$E,0))&lt;&gt;0,INDEX(使用レシピ!K:K,MATCH(テンプレート!$C168,使用レシピ!$E:$E,0)),""),"")</f>
        <v/>
      </c>
      <c r="K168" t="str">
        <f>IFERROR(IF(INDEX(使用レシピ!L:L,MATCH(テンプレート!$C168,使用レシピ!$E:$E,0))&lt;&gt;0,INDEX(使用レシピ!L:L,MATCH(テンプレート!$C168,使用レシピ!$E:$E,0)),""),"")</f>
        <v/>
      </c>
      <c r="L168" t="str">
        <f>IFERROR(IF(INDEX(使用レシピ!M:M,MATCH(テンプレート!$C168,使用レシピ!$E:$E,0))&lt;&gt;0,INDEX(使用レシピ!M:M,MATCH(テンプレート!$C168,使用レシピ!$E:$E,0)),""),"")</f>
        <v/>
      </c>
      <c r="M168" t="str">
        <f>IFERROR(IF(INDEX(使用レシピ!N:N,MATCH(テンプレート!$C168,使用レシピ!$E:$E,0))&lt;&gt;0,INDEX(使用レシピ!N:N,MATCH(テンプレート!$C168,使用レシピ!$E:$E,0)),""),"")</f>
        <v/>
      </c>
      <c r="N168" s="24" t="str">
        <f>IFERROR(IF(INDEX(使用レシピ!O:O,MATCH(テンプレート!$C168,使用レシピ!$E:$E,0))&lt;&gt;0,INDEX(使用レシピ!O:O,MATCH(テンプレート!$C168,使用レシピ!$E:$E,0)),""),"")</f>
        <v/>
      </c>
      <c r="O168" s="42">
        <f>IFERROR(IF(INDEX(使用レシピ!P:P,MATCH(テンプレート!$C168,使用レシピ!$E:$E,0))&lt;&gt;0,INDEX(使用レシピ!P:P,MATCH(テンプレート!$C168,使用レシピ!$E:$E,0)),""),"")</f>
        <v>1</v>
      </c>
      <c r="P168" s="25" t="str">
        <f t="shared" si="14"/>
        <v/>
      </c>
      <c r="Q168" s="26" t="str">
        <f t="shared" si="15"/>
        <v/>
      </c>
      <c r="R168" s="26" t="str">
        <f t="shared" si="16"/>
        <v/>
      </c>
      <c r="S168" s="26" t="str">
        <f t="shared" si="17"/>
        <v/>
      </c>
      <c r="T168" s="43" t="str">
        <f t="shared" si="17"/>
        <v/>
      </c>
    </row>
    <row r="169" spans="1:20" x14ac:dyDescent="0.4">
      <c r="A169">
        <v>111111222</v>
      </c>
      <c r="B169" s="47" cm="1">
        <f t="array" ref="B169">IFERROR((INDEX($P$4:$T$1000,MATCH(VALUE(LEFT($A169,LEN($A169)-1)),$A$4:$A$1000,0),VALUE(RIGHT($A169,1)))/ INDEX($O$4:$O$1000,MATCH(VALUE(LEFT($A169,LEN($A169)-1)),$A$4:$A$1000))) * INDEX($B$4:$B$1000,MATCH(VALUE(LEFT($A169,LEN($A169)-1)),$A$4:$A$1000)),"")</f>
        <v>1012.5</v>
      </c>
      <c r="C169" s="38" t="str" cm="1">
        <f t="array" ref="C169">IFERROR(IF(INDEX($D$4:$H$1000,MATCH(VALUE(LEFT($A169,LEN($A169)-1)),$A$4:$A$1000,0),VALUE(RIGHT($A169,1)))= 0,"",INDEX($D$4:$H$1000,MATCH(VALUE(LEFT($A169,LEN($A169)-1)),$A$4:$A$1000,0),VALUE(RIGHT($A169,1)))),"")</f>
        <v>水</v>
      </c>
      <c r="D169" s="23" t="str">
        <f>IFERROR(IF(INDEX(使用レシピ!F:F,MATCH(テンプレート!$C169,使用レシピ!$E:$E,0))&lt;&gt;0,INDEX(使用レシピ!F:F,MATCH(テンプレート!$C169,使用レシピ!$E:$E,0)),""),"")</f>
        <v/>
      </c>
      <c r="E169" t="str">
        <f>IFERROR(IF(INDEX(使用レシピ!G:G,MATCH(テンプレート!$C169,使用レシピ!$E:$E,0))&lt;&gt;0,INDEX(使用レシピ!G:G,MATCH(テンプレート!$C169,使用レシピ!$E:$E,0)),""),"")</f>
        <v/>
      </c>
      <c r="F169" t="str">
        <f>IFERROR(IF(INDEX(使用レシピ!H:H,MATCH(テンプレート!$C169,使用レシピ!$E:$E,0))&lt;&gt;0,INDEX(使用レシピ!H:H,MATCH(テンプレート!$C169,使用レシピ!$E:$E,0)),""),"")</f>
        <v/>
      </c>
      <c r="G169" t="str">
        <f>IFERROR(IF(INDEX(使用レシピ!I:I,MATCH(テンプレート!$C169,使用レシピ!$E:$E,0))&lt;&gt;0,INDEX(使用レシピ!I:I,MATCH(テンプレート!$C169,使用レシピ!$E:$E,0)),""),"")</f>
        <v/>
      </c>
      <c r="H169" s="24" t="str">
        <f>IFERROR(IF(INDEX(使用レシピ!J:J,MATCH(テンプレート!$C169,使用レシピ!$E:$E,0))&lt;&gt;0,INDEX(使用レシピ!J:J,MATCH(テンプレート!$C169,使用レシピ!$E:$E,0)),""),"")</f>
        <v/>
      </c>
      <c r="I169" s="36">
        <f>IFERROR(IF(INDEX(使用レシピ!P:P,MATCH(テンプレート!$C169,使用レシピ!$E:$E,0))&lt;&gt;0,INDEX(使用レシピ!P:P,MATCH(テンプレート!$C169,使用レシピ!$E:$E,0)),""),"")</f>
        <v>1</v>
      </c>
      <c r="J169" t="str">
        <f>IFERROR(IF(INDEX(使用レシピ!K:K,MATCH(テンプレート!$C169,使用レシピ!$E:$E,0))&lt;&gt;0,INDEX(使用レシピ!K:K,MATCH(テンプレート!$C169,使用レシピ!$E:$E,0)),""),"")</f>
        <v/>
      </c>
      <c r="K169" t="str">
        <f>IFERROR(IF(INDEX(使用レシピ!L:L,MATCH(テンプレート!$C169,使用レシピ!$E:$E,0))&lt;&gt;0,INDEX(使用レシピ!L:L,MATCH(テンプレート!$C169,使用レシピ!$E:$E,0)),""),"")</f>
        <v/>
      </c>
      <c r="L169" t="str">
        <f>IFERROR(IF(INDEX(使用レシピ!M:M,MATCH(テンプレート!$C169,使用レシピ!$E:$E,0))&lt;&gt;0,INDEX(使用レシピ!M:M,MATCH(テンプレート!$C169,使用レシピ!$E:$E,0)),""),"")</f>
        <v/>
      </c>
      <c r="M169" t="str">
        <f>IFERROR(IF(INDEX(使用レシピ!N:N,MATCH(テンプレート!$C169,使用レシピ!$E:$E,0))&lt;&gt;0,INDEX(使用レシピ!N:N,MATCH(テンプレート!$C169,使用レシピ!$E:$E,0)),""),"")</f>
        <v/>
      </c>
      <c r="N169" s="24" t="str">
        <f>IFERROR(IF(INDEX(使用レシピ!O:O,MATCH(テンプレート!$C169,使用レシピ!$E:$E,0))&lt;&gt;0,INDEX(使用レシピ!O:O,MATCH(テンプレート!$C169,使用レシピ!$E:$E,0)),""),"")</f>
        <v/>
      </c>
      <c r="O169" s="42">
        <f>IFERROR(IF(INDEX(使用レシピ!P:P,MATCH(テンプレート!$C169,使用レシピ!$E:$E,0))&lt;&gt;0,INDEX(使用レシピ!P:P,MATCH(テンプレート!$C169,使用レシピ!$E:$E,0)),""),"")</f>
        <v>1</v>
      </c>
      <c r="P169" s="25" t="str">
        <f t="shared" si="14"/>
        <v/>
      </c>
      <c r="Q169" s="26" t="str">
        <f t="shared" si="15"/>
        <v/>
      </c>
      <c r="R169" s="26" t="str">
        <f t="shared" si="16"/>
        <v/>
      </c>
      <c r="S169" s="26" t="str">
        <f t="shared" si="17"/>
        <v/>
      </c>
      <c r="T169" s="43" t="str">
        <f t="shared" si="17"/>
        <v/>
      </c>
    </row>
    <row r="170" spans="1:20" x14ac:dyDescent="0.4">
      <c r="A170">
        <v>111111311</v>
      </c>
      <c r="B170" s="47" cm="1">
        <f t="array" ref="B170">IFERROR((INDEX($P$4:$T$1000,MATCH(VALUE(LEFT($A170,LEN($A170)-1)),$A$4:$A$1000,0),VALUE(RIGHT($A170,1)))/ INDEX($O$4:$O$1000,MATCH(VALUE(LEFT($A170,LEN($A170)-1)),$A$4:$A$1000))) * INDEX($B$4:$B$1000,MATCH(VALUE(LEFT($A170,LEN($A170)-1)),$A$4:$A$1000)),"")</f>
        <v>1215</v>
      </c>
      <c r="C170" s="38" t="str" cm="1">
        <f t="array" ref="C170">IFERROR(IF(INDEX($D$4:$H$1000,MATCH(VALUE(LEFT($A170,LEN($A170)-1)),$A$4:$A$1000,0),VALUE(RIGHT($A170,1)))= 0,"",INDEX($D$4:$H$1000,MATCH(VALUE(LEFT($A170,LEN($A170)-1)),$A$4:$A$1000,0),VALUE(RIGHT($A170,1)))),"")</f>
        <v>鋼管</v>
      </c>
      <c r="D170" s="23" t="str">
        <f>IFERROR(IF(INDEX(使用レシピ!F:F,MATCH(テンプレート!$C170,使用レシピ!$E:$E,0))&lt;&gt;0,INDEX(使用レシピ!F:F,MATCH(テンプレート!$C170,使用レシピ!$E:$E,0)),""),"")</f>
        <v>鋼鉄のインゴット</v>
      </c>
      <c r="E170" t="str">
        <f>IFERROR(IF(INDEX(使用レシピ!G:G,MATCH(テンプレート!$C170,使用レシピ!$E:$E,0))&lt;&gt;0,INDEX(使用レシピ!G:G,MATCH(テンプレート!$C170,使用レシピ!$E:$E,0)),""),"")</f>
        <v>コンクリート</v>
      </c>
      <c r="F170" t="str">
        <f>IFERROR(IF(INDEX(使用レシピ!H:H,MATCH(テンプレート!$C170,使用レシピ!$E:$E,0))&lt;&gt;0,INDEX(使用レシピ!H:H,MATCH(テンプレート!$C170,使用レシピ!$E:$E,0)),""),"")</f>
        <v/>
      </c>
      <c r="G170" t="str">
        <f>IFERROR(IF(INDEX(使用レシピ!I:I,MATCH(テンプレート!$C170,使用レシピ!$E:$E,0))&lt;&gt;0,INDEX(使用レシピ!I:I,MATCH(テンプレート!$C170,使用レシピ!$E:$E,0)),""),"")</f>
        <v/>
      </c>
      <c r="H170" s="24" t="str">
        <f>IFERROR(IF(INDEX(使用レシピ!J:J,MATCH(テンプレート!$C170,使用レシピ!$E:$E,0))&lt;&gt;0,INDEX(使用レシピ!J:J,MATCH(テンプレート!$C170,使用レシピ!$E:$E,0)),""),"")</f>
        <v/>
      </c>
      <c r="I170" s="36">
        <f>IFERROR(IF(INDEX(使用レシピ!P:P,MATCH(テンプレート!$C170,使用レシピ!$E:$E,0))&lt;&gt;0,INDEX(使用レシピ!P:P,MATCH(テンプレート!$C170,使用レシピ!$E:$E,0)),""),"")</f>
        <v>5</v>
      </c>
      <c r="J170">
        <f>IFERROR(IF(INDEX(使用レシピ!K:K,MATCH(テンプレート!$C170,使用レシピ!$E:$E,0))&lt;&gt;0,INDEX(使用レシピ!K:K,MATCH(テンプレート!$C170,使用レシピ!$E:$E,0)),""),"")</f>
        <v>5</v>
      </c>
      <c r="K170">
        <f>IFERROR(IF(INDEX(使用レシピ!L:L,MATCH(テンプレート!$C170,使用レシピ!$E:$E,0))&lt;&gt;0,INDEX(使用レシピ!L:L,MATCH(テンプレート!$C170,使用レシピ!$E:$E,0)),""),"")</f>
        <v>3</v>
      </c>
      <c r="L170" t="str">
        <f>IFERROR(IF(INDEX(使用レシピ!M:M,MATCH(テンプレート!$C170,使用レシピ!$E:$E,0))&lt;&gt;0,INDEX(使用レシピ!M:M,MATCH(テンプレート!$C170,使用レシピ!$E:$E,0)),""),"")</f>
        <v/>
      </c>
      <c r="M170" t="str">
        <f>IFERROR(IF(INDEX(使用レシピ!N:N,MATCH(テンプレート!$C170,使用レシピ!$E:$E,0))&lt;&gt;0,INDEX(使用レシピ!N:N,MATCH(テンプレート!$C170,使用レシピ!$E:$E,0)),""),"")</f>
        <v/>
      </c>
      <c r="N170" s="24" t="str">
        <f>IFERROR(IF(INDEX(使用レシピ!O:O,MATCH(テンプレート!$C170,使用レシピ!$E:$E,0))&lt;&gt;0,INDEX(使用レシピ!O:O,MATCH(テンプレート!$C170,使用レシピ!$E:$E,0)),""),"")</f>
        <v/>
      </c>
      <c r="O170" s="42">
        <f>IFERROR(IF(INDEX(使用レシピ!P:P,MATCH(テンプレート!$C170,使用レシピ!$E:$E,0))&lt;&gt;0,INDEX(使用レシピ!P:P,MATCH(テンプレート!$C170,使用レシピ!$E:$E,0)),""),"")</f>
        <v>5</v>
      </c>
      <c r="P170" s="25">
        <f t="shared" si="14"/>
        <v>5</v>
      </c>
      <c r="Q170" s="26">
        <f t="shared" si="15"/>
        <v>3</v>
      </c>
      <c r="R170" s="26" t="str">
        <f t="shared" si="16"/>
        <v/>
      </c>
      <c r="S170" s="26" t="str">
        <f t="shared" si="17"/>
        <v/>
      </c>
      <c r="T170" s="43" t="str">
        <f t="shared" si="17"/>
        <v/>
      </c>
    </row>
    <row r="171" spans="1:20" x14ac:dyDescent="0.4">
      <c r="A171">
        <v>111111312</v>
      </c>
      <c r="B171" s="47" cm="1">
        <f t="array" ref="B171">IFERROR((INDEX($P$4:$T$1000,MATCH(VALUE(LEFT($A171,LEN($A171)-1)),$A$4:$A$1000,0),VALUE(RIGHT($A171,1)))/ INDEX($O$4:$O$1000,MATCH(VALUE(LEFT($A171,LEN($A171)-1)),$A$4:$A$1000))) * INDEX($B$4:$B$1000,MATCH(VALUE(LEFT($A171,LEN($A171)-1)),$A$4:$A$1000)),"")</f>
        <v>3240</v>
      </c>
      <c r="C171" s="38" t="str" cm="1">
        <f t="array" ref="C171">IFERROR(IF(INDEX($D$4:$H$1000,MATCH(VALUE(LEFT($A171,LEN($A171)-1)),$A$4:$A$1000,0),VALUE(RIGHT($A171,1)))= 0,"",INDEX($D$4:$H$1000,MATCH(VALUE(LEFT($A171,LEN($A171)-1)),$A$4:$A$1000,0),VALUE(RIGHT($A171,1)))),"")</f>
        <v>ワイヤー</v>
      </c>
      <c r="D171" s="23" t="str">
        <f>IFERROR(IF(INDEX(使用レシピ!F:F,MATCH(テンプレート!$C171,使用レシピ!$E:$E,0))&lt;&gt;0,INDEX(使用レシピ!F:F,MATCH(テンプレート!$C171,使用レシピ!$E:$E,0)),""),"")</f>
        <v>銅のインゴット</v>
      </c>
      <c r="E171" t="str">
        <f>IFERROR(IF(INDEX(使用レシピ!G:G,MATCH(テンプレート!$C171,使用レシピ!$E:$E,0))&lt;&gt;0,INDEX(使用レシピ!G:G,MATCH(テンプレート!$C171,使用レシピ!$E:$E,0)),""),"")</f>
        <v/>
      </c>
      <c r="F171" t="str">
        <f>IFERROR(IF(INDEX(使用レシピ!H:H,MATCH(テンプレート!$C171,使用レシピ!$E:$E,0))&lt;&gt;0,INDEX(使用レシピ!H:H,MATCH(テンプレート!$C171,使用レシピ!$E:$E,0)),""),"")</f>
        <v/>
      </c>
      <c r="G171" t="str">
        <f>IFERROR(IF(INDEX(使用レシピ!I:I,MATCH(テンプレート!$C171,使用レシピ!$E:$E,0))&lt;&gt;0,INDEX(使用レシピ!I:I,MATCH(テンプレート!$C171,使用レシピ!$E:$E,0)),""),"")</f>
        <v/>
      </c>
      <c r="H171" s="24" t="str">
        <f>IFERROR(IF(INDEX(使用レシピ!J:J,MATCH(テンプレート!$C171,使用レシピ!$E:$E,0))&lt;&gt;0,INDEX(使用レシピ!J:J,MATCH(テンプレート!$C171,使用レシピ!$E:$E,0)),""),"")</f>
        <v/>
      </c>
      <c r="I171" s="36">
        <f>IFERROR(IF(INDEX(使用レシピ!P:P,MATCH(テンプレート!$C171,使用レシピ!$E:$E,0))&lt;&gt;0,INDEX(使用レシピ!P:P,MATCH(テンプレート!$C171,使用レシピ!$E:$E,0)),""),"")</f>
        <v>2</v>
      </c>
      <c r="J171">
        <f>IFERROR(IF(INDEX(使用レシピ!K:K,MATCH(テンプレート!$C171,使用レシピ!$E:$E,0))&lt;&gt;0,INDEX(使用レシピ!K:K,MATCH(テンプレート!$C171,使用レシピ!$E:$E,0)),""),"")</f>
        <v>1</v>
      </c>
      <c r="K171" t="str">
        <f>IFERROR(IF(INDEX(使用レシピ!L:L,MATCH(テンプレート!$C171,使用レシピ!$E:$E,0))&lt;&gt;0,INDEX(使用レシピ!L:L,MATCH(テンプレート!$C171,使用レシピ!$E:$E,0)),""),"")</f>
        <v/>
      </c>
      <c r="L171" t="str">
        <f>IFERROR(IF(INDEX(使用レシピ!M:M,MATCH(テンプレート!$C171,使用レシピ!$E:$E,0))&lt;&gt;0,INDEX(使用レシピ!M:M,MATCH(テンプレート!$C171,使用レシピ!$E:$E,0)),""),"")</f>
        <v/>
      </c>
      <c r="M171" t="str">
        <f>IFERROR(IF(INDEX(使用レシピ!N:N,MATCH(テンプレート!$C171,使用レシピ!$E:$E,0))&lt;&gt;0,INDEX(使用レシピ!N:N,MATCH(テンプレート!$C171,使用レシピ!$E:$E,0)),""),"")</f>
        <v/>
      </c>
      <c r="N171" s="24" t="str">
        <f>IFERROR(IF(INDEX(使用レシピ!O:O,MATCH(テンプレート!$C171,使用レシピ!$E:$E,0))&lt;&gt;0,INDEX(使用レシピ!O:O,MATCH(テンプレート!$C171,使用レシピ!$E:$E,0)),""),"")</f>
        <v/>
      </c>
      <c r="O171" s="42">
        <f>IFERROR(IF(INDEX(使用レシピ!P:P,MATCH(テンプレート!$C171,使用レシピ!$E:$E,0))&lt;&gt;0,INDEX(使用レシピ!P:P,MATCH(テンプレート!$C171,使用レシピ!$E:$E,0)),""),"")</f>
        <v>2</v>
      </c>
      <c r="P171" s="25">
        <f t="shared" si="14"/>
        <v>1</v>
      </c>
      <c r="Q171" s="26" t="str">
        <f t="shared" si="15"/>
        <v/>
      </c>
      <c r="R171" s="26" t="str">
        <f t="shared" si="16"/>
        <v/>
      </c>
      <c r="S171" s="26" t="str">
        <f t="shared" si="17"/>
        <v/>
      </c>
      <c r="T171" s="43" t="str">
        <f t="shared" si="17"/>
        <v/>
      </c>
    </row>
    <row r="172" spans="1:20" x14ac:dyDescent="0.4">
      <c r="A172">
        <v>111111321</v>
      </c>
      <c r="B172" s="47" cm="1">
        <f t="array" ref="B172">IFERROR((INDEX($P$4:$T$1000,MATCH(VALUE(LEFT($A172,LEN($A172)-1)),$A$4:$A$1000,0),VALUE(RIGHT($A172,1)))/ INDEX($O$4:$O$1000,MATCH(VALUE(LEFT($A172,LEN($A172)-1)),$A$4:$A$1000))) * INDEX($B$4:$B$1000,MATCH(VALUE(LEFT($A172,LEN($A172)-1)),$A$4:$A$1000)),"")</f>
        <v>1350</v>
      </c>
      <c r="C172" s="38" t="str" cm="1">
        <f t="array" ref="C172">IFERROR(IF(INDEX($D$4:$H$1000,MATCH(VALUE(LEFT($A172,LEN($A172)-1)),$A$4:$A$1000,0),VALUE(RIGHT($A172,1)))= 0,"",INDEX($D$4:$H$1000,MATCH(VALUE(LEFT($A172,LEN($A172)-1)),$A$4:$A$1000,0),VALUE(RIGHT($A172,1)))),"")</f>
        <v>銅板</v>
      </c>
      <c r="D172" s="23" t="str">
        <f>IFERROR(IF(INDEX(使用レシピ!F:F,MATCH(テンプレート!$C172,使用レシピ!$E:$E,0))&lt;&gt;0,INDEX(使用レシピ!F:F,MATCH(テンプレート!$C172,使用レシピ!$E:$E,0)),""),"")</f>
        <v>銅のインゴット</v>
      </c>
      <c r="E172" t="str">
        <f>IFERROR(IF(INDEX(使用レシピ!G:G,MATCH(テンプレート!$C172,使用レシピ!$E:$E,0))&lt;&gt;0,INDEX(使用レシピ!G:G,MATCH(テンプレート!$C172,使用レシピ!$E:$E,0)),""),"")</f>
        <v>水</v>
      </c>
      <c r="F172" t="str">
        <f>IFERROR(IF(INDEX(使用レシピ!H:H,MATCH(テンプレート!$C172,使用レシピ!$E:$E,0))&lt;&gt;0,INDEX(使用レシピ!H:H,MATCH(テンプレート!$C172,使用レシピ!$E:$E,0)),""),"")</f>
        <v/>
      </c>
      <c r="G172" t="str">
        <f>IFERROR(IF(INDEX(使用レシピ!I:I,MATCH(テンプレート!$C172,使用レシピ!$E:$E,0))&lt;&gt;0,INDEX(使用レシピ!I:I,MATCH(テンプレート!$C172,使用レシピ!$E:$E,0)),""),"")</f>
        <v/>
      </c>
      <c r="H172" s="24" t="str">
        <f>IFERROR(IF(INDEX(使用レシピ!J:J,MATCH(テンプレート!$C172,使用レシピ!$E:$E,0))&lt;&gt;0,INDEX(使用レシピ!J:J,MATCH(テンプレート!$C172,使用レシピ!$E:$E,0)),""),"")</f>
        <v/>
      </c>
      <c r="I172" s="36">
        <f>IFERROR(IF(INDEX(使用レシピ!P:P,MATCH(テンプレート!$C172,使用レシピ!$E:$E,0))&lt;&gt;0,INDEX(使用レシピ!P:P,MATCH(テンプレート!$C172,使用レシピ!$E:$E,0)),""),"")</f>
        <v>3</v>
      </c>
      <c r="J172">
        <f>IFERROR(IF(INDEX(使用レシピ!K:K,MATCH(テンプレート!$C172,使用レシピ!$E:$E,0))&lt;&gt;0,INDEX(使用レシピ!K:K,MATCH(テンプレート!$C172,使用レシピ!$E:$E,0)),""),"")</f>
        <v>3</v>
      </c>
      <c r="K172">
        <f>IFERROR(IF(INDEX(使用レシピ!L:L,MATCH(テンプレート!$C172,使用レシピ!$E:$E,0))&lt;&gt;0,INDEX(使用レシピ!L:L,MATCH(テンプレート!$C172,使用レシピ!$E:$E,0)),""),"")</f>
        <v>3</v>
      </c>
      <c r="L172" t="str">
        <f>IFERROR(IF(INDEX(使用レシピ!M:M,MATCH(テンプレート!$C172,使用レシピ!$E:$E,0))&lt;&gt;0,INDEX(使用レシピ!M:M,MATCH(テンプレート!$C172,使用レシピ!$E:$E,0)),""),"")</f>
        <v/>
      </c>
      <c r="M172" t="str">
        <f>IFERROR(IF(INDEX(使用レシピ!N:N,MATCH(テンプレート!$C172,使用レシピ!$E:$E,0))&lt;&gt;0,INDEX(使用レシピ!N:N,MATCH(テンプレート!$C172,使用レシピ!$E:$E,0)),""),"")</f>
        <v/>
      </c>
      <c r="N172" s="24" t="str">
        <f>IFERROR(IF(INDEX(使用レシピ!O:O,MATCH(テンプレート!$C172,使用レシピ!$E:$E,0))&lt;&gt;0,INDEX(使用レシピ!O:O,MATCH(テンプレート!$C172,使用レシピ!$E:$E,0)),""),"")</f>
        <v/>
      </c>
      <c r="O172" s="42">
        <f>IFERROR(IF(INDEX(使用レシピ!P:P,MATCH(テンプレート!$C172,使用レシピ!$E:$E,0))&lt;&gt;0,INDEX(使用レシピ!P:P,MATCH(テンプレート!$C172,使用レシピ!$E:$E,0)),""),"")</f>
        <v>3</v>
      </c>
      <c r="P172" s="25">
        <f t="shared" si="14"/>
        <v>3</v>
      </c>
      <c r="Q172" s="26">
        <f t="shared" si="15"/>
        <v>3</v>
      </c>
      <c r="R172" s="26" t="str">
        <f t="shared" si="16"/>
        <v/>
      </c>
      <c r="S172" s="26" t="str">
        <f t="shared" si="17"/>
        <v/>
      </c>
      <c r="T172" s="43" t="str">
        <f t="shared" si="17"/>
        <v/>
      </c>
    </row>
    <row r="173" spans="1:20" x14ac:dyDescent="0.4">
      <c r="A173">
        <v>111111331</v>
      </c>
      <c r="B173" s="47" t="str" cm="1">
        <f t="array" ref="B173">IFERROR((INDEX($P$4:$T$1000,MATCH(VALUE(LEFT($A173,LEN($A173)-1)),$A$4:$A$1000,0),VALUE(RIGHT($A173,1)))/ INDEX($O$4:$O$1000,MATCH(VALUE(LEFT($A173,LEN($A173)-1)),$A$4:$A$1000))) * INDEX($B$4:$B$1000,MATCH(VALUE(LEFT($A173,LEN($A173)-1)),$A$4:$A$1000)),"")</f>
        <v/>
      </c>
      <c r="C173" s="38" t="str" cm="1">
        <f t="array" ref="C173">IFERROR(IF(INDEX($D$4:$H$1000,MATCH(VALUE(LEFT($A173,LEN($A173)-1)),$A$4:$A$1000,0),VALUE(RIGHT($A173,1)))= 0,"",INDEX($D$4:$H$1000,MATCH(VALUE(LEFT($A173,LEN($A173)-1)),$A$4:$A$1000,0),VALUE(RIGHT($A173,1)))),"")</f>
        <v/>
      </c>
      <c r="D173" s="23" t="str">
        <f>IFERROR(IF(INDEX(使用レシピ!F:F,MATCH(テンプレート!$C173,使用レシピ!$E:$E,0))&lt;&gt;0,INDEX(使用レシピ!F:F,MATCH(テンプレート!$C173,使用レシピ!$E:$E,0)),""),"")</f>
        <v/>
      </c>
      <c r="E173" t="str">
        <f>IFERROR(IF(INDEX(使用レシピ!G:G,MATCH(テンプレート!$C173,使用レシピ!$E:$E,0))&lt;&gt;0,INDEX(使用レシピ!G:G,MATCH(テンプレート!$C173,使用レシピ!$E:$E,0)),""),"")</f>
        <v/>
      </c>
      <c r="F173" t="str">
        <f>IFERROR(IF(INDEX(使用レシピ!H:H,MATCH(テンプレート!$C173,使用レシピ!$E:$E,0))&lt;&gt;0,INDEX(使用レシピ!H:H,MATCH(テンプレート!$C173,使用レシピ!$E:$E,0)),""),"")</f>
        <v/>
      </c>
      <c r="G173" t="str">
        <f>IFERROR(IF(INDEX(使用レシピ!I:I,MATCH(テンプレート!$C173,使用レシピ!$E:$E,0))&lt;&gt;0,INDEX(使用レシピ!I:I,MATCH(テンプレート!$C173,使用レシピ!$E:$E,0)),""),"")</f>
        <v/>
      </c>
      <c r="H173" s="24" t="str">
        <f>IFERROR(IF(INDEX(使用レシピ!J:J,MATCH(テンプレート!$C173,使用レシピ!$E:$E,0))&lt;&gt;0,INDEX(使用レシピ!J:J,MATCH(テンプレート!$C173,使用レシピ!$E:$E,0)),""),"")</f>
        <v/>
      </c>
      <c r="I173" s="36" t="str">
        <f>IFERROR(IF(INDEX(使用レシピ!P:P,MATCH(テンプレート!$C173,使用レシピ!$E:$E,0))&lt;&gt;0,INDEX(使用レシピ!P:P,MATCH(テンプレート!$C173,使用レシピ!$E:$E,0)),""),"")</f>
        <v/>
      </c>
      <c r="J173" t="str">
        <f>IFERROR(IF(INDEX(使用レシピ!K:K,MATCH(テンプレート!$C173,使用レシピ!$E:$E,0))&lt;&gt;0,INDEX(使用レシピ!K:K,MATCH(テンプレート!$C173,使用レシピ!$E:$E,0)),""),"")</f>
        <v/>
      </c>
      <c r="K173" t="str">
        <f>IFERROR(IF(INDEX(使用レシピ!L:L,MATCH(テンプレート!$C173,使用レシピ!$E:$E,0))&lt;&gt;0,INDEX(使用レシピ!L:L,MATCH(テンプレート!$C173,使用レシピ!$E:$E,0)),""),"")</f>
        <v/>
      </c>
      <c r="L173" t="str">
        <f>IFERROR(IF(INDEX(使用レシピ!M:M,MATCH(テンプレート!$C173,使用レシピ!$E:$E,0))&lt;&gt;0,INDEX(使用レシピ!M:M,MATCH(テンプレート!$C173,使用レシピ!$E:$E,0)),""),"")</f>
        <v/>
      </c>
      <c r="M173" t="str">
        <f>IFERROR(IF(INDEX(使用レシピ!N:N,MATCH(テンプレート!$C173,使用レシピ!$E:$E,0))&lt;&gt;0,INDEX(使用レシピ!N:N,MATCH(テンプレート!$C173,使用レシピ!$E:$E,0)),""),"")</f>
        <v/>
      </c>
      <c r="N173" s="24" t="str">
        <f>IFERROR(IF(INDEX(使用レシピ!O:O,MATCH(テンプレート!$C173,使用レシピ!$E:$E,0))&lt;&gt;0,INDEX(使用レシピ!O:O,MATCH(テンプレート!$C173,使用レシピ!$E:$E,0)),""),"")</f>
        <v/>
      </c>
      <c r="O173" s="42" t="str">
        <f>IFERROR(IF(INDEX(使用レシピ!P:P,MATCH(テンプレート!$C173,使用レシピ!$E:$E,0))&lt;&gt;0,INDEX(使用レシピ!P:P,MATCH(テンプレート!$C173,使用レシピ!$E:$E,0)),""),"")</f>
        <v/>
      </c>
      <c r="P173" s="25" t="str">
        <f t="shared" si="14"/>
        <v/>
      </c>
      <c r="Q173" s="26" t="str">
        <f t="shared" si="15"/>
        <v/>
      </c>
      <c r="R173" s="26" t="str">
        <f t="shared" si="16"/>
        <v/>
      </c>
      <c r="S173" s="26" t="str">
        <f t="shared" si="17"/>
        <v/>
      </c>
      <c r="T173" s="43" t="str">
        <f t="shared" si="17"/>
        <v/>
      </c>
    </row>
    <row r="174" spans="1:20" x14ac:dyDescent="0.4">
      <c r="A174">
        <v>111111332</v>
      </c>
      <c r="B174" s="47" t="str" cm="1">
        <f t="array" ref="B174">IFERROR((INDEX($P$4:$T$1000,MATCH(VALUE(LEFT($A174,LEN($A174)-1)),$A$4:$A$1000,0),VALUE(RIGHT($A174,1)))/ INDEX($O$4:$O$1000,MATCH(VALUE(LEFT($A174,LEN($A174)-1)),$A$4:$A$1000))) * INDEX($B$4:$B$1000,MATCH(VALUE(LEFT($A174,LEN($A174)-1)),$A$4:$A$1000)),"")</f>
        <v/>
      </c>
      <c r="C174" s="38" t="str" cm="1">
        <f t="array" ref="C174">IFERROR(IF(INDEX($D$4:$H$1000,MATCH(VALUE(LEFT($A174,LEN($A174)-1)),$A$4:$A$1000,0),VALUE(RIGHT($A174,1)))= 0,"",INDEX($D$4:$H$1000,MATCH(VALUE(LEFT($A174,LEN($A174)-1)),$A$4:$A$1000,0),VALUE(RIGHT($A174,1)))),"")</f>
        <v/>
      </c>
      <c r="D174" s="23" t="str">
        <f>IFERROR(IF(INDEX(使用レシピ!F:F,MATCH(テンプレート!$C174,使用レシピ!$E:$E,0))&lt;&gt;0,INDEX(使用レシピ!F:F,MATCH(テンプレート!$C174,使用レシピ!$E:$E,0)),""),"")</f>
        <v/>
      </c>
      <c r="E174" t="str">
        <f>IFERROR(IF(INDEX(使用レシピ!G:G,MATCH(テンプレート!$C174,使用レシピ!$E:$E,0))&lt;&gt;0,INDEX(使用レシピ!G:G,MATCH(テンプレート!$C174,使用レシピ!$E:$E,0)),""),"")</f>
        <v/>
      </c>
      <c r="F174" t="str">
        <f>IFERROR(IF(INDEX(使用レシピ!H:H,MATCH(テンプレート!$C174,使用レシピ!$E:$E,0))&lt;&gt;0,INDEX(使用レシピ!H:H,MATCH(テンプレート!$C174,使用レシピ!$E:$E,0)),""),"")</f>
        <v/>
      </c>
      <c r="G174" t="str">
        <f>IFERROR(IF(INDEX(使用レシピ!I:I,MATCH(テンプレート!$C174,使用レシピ!$E:$E,0))&lt;&gt;0,INDEX(使用レシピ!I:I,MATCH(テンプレート!$C174,使用レシピ!$E:$E,0)),""),"")</f>
        <v/>
      </c>
      <c r="H174" s="24" t="str">
        <f>IFERROR(IF(INDEX(使用レシピ!J:J,MATCH(テンプレート!$C174,使用レシピ!$E:$E,0))&lt;&gt;0,INDEX(使用レシピ!J:J,MATCH(テンプレート!$C174,使用レシピ!$E:$E,0)),""),"")</f>
        <v/>
      </c>
      <c r="I174" s="36" t="str">
        <f>IFERROR(IF(INDEX(使用レシピ!P:P,MATCH(テンプレート!$C174,使用レシピ!$E:$E,0))&lt;&gt;0,INDEX(使用レシピ!P:P,MATCH(テンプレート!$C174,使用レシピ!$E:$E,0)),""),"")</f>
        <v/>
      </c>
      <c r="J174" t="str">
        <f>IFERROR(IF(INDEX(使用レシピ!K:K,MATCH(テンプレート!$C174,使用レシピ!$E:$E,0))&lt;&gt;0,INDEX(使用レシピ!K:K,MATCH(テンプレート!$C174,使用レシピ!$E:$E,0)),""),"")</f>
        <v/>
      </c>
      <c r="K174" t="str">
        <f>IFERROR(IF(INDEX(使用レシピ!L:L,MATCH(テンプレート!$C174,使用レシピ!$E:$E,0))&lt;&gt;0,INDEX(使用レシピ!L:L,MATCH(テンプレート!$C174,使用レシピ!$E:$E,0)),""),"")</f>
        <v/>
      </c>
      <c r="L174" t="str">
        <f>IFERROR(IF(INDEX(使用レシピ!M:M,MATCH(テンプレート!$C174,使用レシピ!$E:$E,0))&lt;&gt;0,INDEX(使用レシピ!M:M,MATCH(テンプレート!$C174,使用レシピ!$E:$E,0)),""),"")</f>
        <v/>
      </c>
      <c r="M174" t="str">
        <f>IFERROR(IF(INDEX(使用レシピ!N:N,MATCH(テンプレート!$C174,使用レシピ!$E:$E,0))&lt;&gt;0,INDEX(使用レシピ!N:N,MATCH(テンプレート!$C174,使用レシピ!$E:$E,0)),""),"")</f>
        <v/>
      </c>
      <c r="N174" s="24" t="str">
        <f>IFERROR(IF(INDEX(使用レシピ!O:O,MATCH(テンプレート!$C174,使用レシピ!$E:$E,0))&lt;&gt;0,INDEX(使用レシピ!O:O,MATCH(テンプレート!$C174,使用レシピ!$E:$E,0)),""),"")</f>
        <v/>
      </c>
      <c r="O174" s="42" t="str">
        <f>IFERROR(IF(INDEX(使用レシピ!P:P,MATCH(テンプレート!$C174,使用レシピ!$E:$E,0))&lt;&gt;0,INDEX(使用レシピ!P:P,MATCH(テンプレート!$C174,使用レシピ!$E:$E,0)),""),"")</f>
        <v/>
      </c>
      <c r="P174" s="25" t="str">
        <f t="shared" si="14"/>
        <v/>
      </c>
      <c r="Q174" s="26" t="str">
        <f t="shared" si="15"/>
        <v/>
      </c>
      <c r="R174" s="26" t="str">
        <f t="shared" si="16"/>
        <v/>
      </c>
      <c r="S174" s="26" t="str">
        <f t="shared" si="17"/>
        <v/>
      </c>
      <c r="T174" s="43" t="str">
        <f t="shared" si="17"/>
        <v/>
      </c>
    </row>
    <row r="175" spans="1:20" x14ac:dyDescent="0.4">
      <c r="A175">
        <v>111111411</v>
      </c>
      <c r="B175" s="47" t="str" cm="1">
        <f t="array" ref="B175">IFERROR((INDEX($P$4:$T$1000,MATCH(VALUE(LEFT($A175,LEN($A175)-1)),$A$4:$A$1000,0),VALUE(RIGHT($A175,1)))/ INDEX($O$4:$O$1000,MATCH(VALUE(LEFT($A175,LEN($A175)-1)),$A$4:$A$1000))) * INDEX($B$4:$B$1000,MATCH(VALUE(LEFT($A175,LEN($A175)-1)),$A$4:$A$1000)),"")</f>
        <v/>
      </c>
      <c r="C175" s="38" t="str" cm="1">
        <f t="array" ref="C175">IFERROR(IF(INDEX($D$4:$H$1000,MATCH(VALUE(LEFT($A175,LEN($A175)-1)),$A$4:$A$1000,0),VALUE(RIGHT($A175,1)))= 0,"",INDEX($D$4:$H$1000,MATCH(VALUE(LEFT($A175,LEN($A175)-1)),$A$4:$A$1000,0),VALUE(RIGHT($A175,1)))),"")</f>
        <v/>
      </c>
      <c r="D175" s="23" t="str">
        <f>IFERROR(IF(INDEX(使用レシピ!F:F,MATCH(テンプレート!$C175,使用レシピ!$E:$E,0))&lt;&gt;0,INDEX(使用レシピ!F:F,MATCH(テンプレート!$C175,使用レシピ!$E:$E,0)),""),"")</f>
        <v/>
      </c>
      <c r="E175" t="str">
        <f>IFERROR(IF(INDEX(使用レシピ!G:G,MATCH(テンプレート!$C175,使用レシピ!$E:$E,0))&lt;&gt;0,INDEX(使用レシピ!G:G,MATCH(テンプレート!$C175,使用レシピ!$E:$E,0)),""),"")</f>
        <v/>
      </c>
      <c r="F175" t="str">
        <f>IFERROR(IF(INDEX(使用レシピ!H:H,MATCH(テンプレート!$C175,使用レシピ!$E:$E,0))&lt;&gt;0,INDEX(使用レシピ!H:H,MATCH(テンプレート!$C175,使用レシピ!$E:$E,0)),""),"")</f>
        <v/>
      </c>
      <c r="G175" t="str">
        <f>IFERROR(IF(INDEX(使用レシピ!I:I,MATCH(テンプレート!$C175,使用レシピ!$E:$E,0))&lt;&gt;0,INDEX(使用レシピ!I:I,MATCH(テンプレート!$C175,使用レシピ!$E:$E,0)),""),"")</f>
        <v/>
      </c>
      <c r="H175" s="24" t="str">
        <f>IFERROR(IF(INDEX(使用レシピ!J:J,MATCH(テンプレート!$C175,使用レシピ!$E:$E,0))&lt;&gt;0,INDEX(使用レシピ!J:J,MATCH(テンプレート!$C175,使用レシピ!$E:$E,0)),""),"")</f>
        <v/>
      </c>
      <c r="I175" s="36" t="str">
        <f>IFERROR(IF(INDEX(使用レシピ!P:P,MATCH(テンプレート!$C175,使用レシピ!$E:$E,0))&lt;&gt;0,INDEX(使用レシピ!P:P,MATCH(テンプレート!$C175,使用レシピ!$E:$E,0)),""),"")</f>
        <v/>
      </c>
      <c r="J175" t="str">
        <f>IFERROR(IF(INDEX(使用レシピ!K:K,MATCH(テンプレート!$C175,使用レシピ!$E:$E,0))&lt;&gt;0,INDEX(使用レシピ!K:K,MATCH(テンプレート!$C175,使用レシピ!$E:$E,0)),""),"")</f>
        <v/>
      </c>
      <c r="K175" t="str">
        <f>IFERROR(IF(INDEX(使用レシピ!L:L,MATCH(テンプレート!$C175,使用レシピ!$E:$E,0))&lt;&gt;0,INDEX(使用レシピ!L:L,MATCH(テンプレート!$C175,使用レシピ!$E:$E,0)),""),"")</f>
        <v/>
      </c>
      <c r="L175" t="str">
        <f>IFERROR(IF(INDEX(使用レシピ!M:M,MATCH(テンプレート!$C175,使用レシピ!$E:$E,0))&lt;&gt;0,INDEX(使用レシピ!M:M,MATCH(テンプレート!$C175,使用レシピ!$E:$E,0)),""),"")</f>
        <v/>
      </c>
      <c r="M175" t="str">
        <f>IFERROR(IF(INDEX(使用レシピ!N:N,MATCH(テンプレート!$C175,使用レシピ!$E:$E,0))&lt;&gt;0,INDEX(使用レシピ!N:N,MATCH(テンプレート!$C175,使用レシピ!$E:$E,0)),""),"")</f>
        <v/>
      </c>
      <c r="N175" s="24" t="str">
        <f>IFERROR(IF(INDEX(使用レシピ!O:O,MATCH(テンプレート!$C175,使用レシピ!$E:$E,0))&lt;&gt;0,INDEX(使用レシピ!O:O,MATCH(テンプレート!$C175,使用レシピ!$E:$E,0)),""),"")</f>
        <v/>
      </c>
      <c r="O175" s="42" t="str">
        <f>IFERROR(IF(INDEX(使用レシピ!P:P,MATCH(テンプレート!$C175,使用レシピ!$E:$E,0))&lt;&gt;0,INDEX(使用レシピ!P:P,MATCH(テンプレート!$C175,使用レシピ!$E:$E,0)),""),"")</f>
        <v/>
      </c>
      <c r="P175" s="25" t="str">
        <f t="shared" si="14"/>
        <v/>
      </c>
      <c r="Q175" s="26" t="str">
        <f t="shared" si="15"/>
        <v/>
      </c>
      <c r="R175" s="26" t="str">
        <f t="shared" si="16"/>
        <v/>
      </c>
      <c r="S175" s="26" t="str">
        <f t="shared" si="17"/>
        <v/>
      </c>
      <c r="T175" s="43" t="str">
        <f t="shared" si="17"/>
        <v/>
      </c>
    </row>
    <row r="176" spans="1:20" x14ac:dyDescent="0.4">
      <c r="A176">
        <v>111111421</v>
      </c>
      <c r="B176" s="47" t="str" cm="1">
        <f t="array" ref="B176">IFERROR((INDEX($P$4:$T$1000,MATCH(VALUE(LEFT($A176,LEN($A176)-1)),$A$4:$A$1000,0),VALUE(RIGHT($A176,1)))/ INDEX($O$4:$O$1000,MATCH(VALUE(LEFT($A176,LEN($A176)-1)),$A$4:$A$1000))) * INDEX($B$4:$B$1000,MATCH(VALUE(LEFT($A176,LEN($A176)-1)),$A$4:$A$1000)),"")</f>
        <v/>
      </c>
      <c r="C176" s="38" t="str" cm="1">
        <f t="array" ref="C176">IFERROR(IF(INDEX($D$4:$H$1000,MATCH(VALUE(LEFT($A176,LEN($A176)-1)),$A$4:$A$1000,0),VALUE(RIGHT($A176,1)))= 0,"",INDEX($D$4:$H$1000,MATCH(VALUE(LEFT($A176,LEN($A176)-1)),$A$4:$A$1000,0),VALUE(RIGHT($A176,1)))),"")</f>
        <v/>
      </c>
      <c r="D176" s="23" t="str">
        <f>IFERROR(IF(INDEX(使用レシピ!F:F,MATCH(テンプレート!$C176,使用レシピ!$E:$E,0))&lt;&gt;0,INDEX(使用レシピ!F:F,MATCH(テンプレート!$C176,使用レシピ!$E:$E,0)),""),"")</f>
        <v/>
      </c>
      <c r="E176" t="str">
        <f>IFERROR(IF(INDEX(使用レシピ!G:G,MATCH(テンプレート!$C176,使用レシピ!$E:$E,0))&lt;&gt;0,INDEX(使用レシピ!G:G,MATCH(テンプレート!$C176,使用レシピ!$E:$E,0)),""),"")</f>
        <v/>
      </c>
      <c r="F176" t="str">
        <f>IFERROR(IF(INDEX(使用レシピ!H:H,MATCH(テンプレート!$C176,使用レシピ!$E:$E,0))&lt;&gt;0,INDEX(使用レシピ!H:H,MATCH(テンプレート!$C176,使用レシピ!$E:$E,0)),""),"")</f>
        <v/>
      </c>
      <c r="G176" t="str">
        <f>IFERROR(IF(INDEX(使用レシピ!I:I,MATCH(テンプレート!$C176,使用レシピ!$E:$E,0))&lt;&gt;0,INDEX(使用レシピ!I:I,MATCH(テンプレート!$C176,使用レシピ!$E:$E,0)),""),"")</f>
        <v/>
      </c>
      <c r="H176" s="24" t="str">
        <f>IFERROR(IF(INDEX(使用レシピ!J:J,MATCH(テンプレート!$C176,使用レシピ!$E:$E,0))&lt;&gt;0,INDEX(使用レシピ!J:J,MATCH(テンプレート!$C176,使用レシピ!$E:$E,0)),""),"")</f>
        <v/>
      </c>
      <c r="I176" s="36" t="str">
        <f>IFERROR(IF(INDEX(使用レシピ!P:P,MATCH(テンプレート!$C176,使用レシピ!$E:$E,0))&lt;&gt;0,INDEX(使用レシピ!P:P,MATCH(テンプレート!$C176,使用レシピ!$E:$E,0)),""),"")</f>
        <v/>
      </c>
      <c r="J176" t="str">
        <f>IFERROR(IF(INDEX(使用レシピ!K:K,MATCH(テンプレート!$C176,使用レシピ!$E:$E,0))&lt;&gt;0,INDEX(使用レシピ!K:K,MATCH(テンプレート!$C176,使用レシピ!$E:$E,0)),""),"")</f>
        <v/>
      </c>
      <c r="K176" t="str">
        <f>IFERROR(IF(INDEX(使用レシピ!L:L,MATCH(テンプレート!$C176,使用レシピ!$E:$E,0))&lt;&gt;0,INDEX(使用レシピ!L:L,MATCH(テンプレート!$C176,使用レシピ!$E:$E,0)),""),"")</f>
        <v/>
      </c>
      <c r="L176" t="str">
        <f>IFERROR(IF(INDEX(使用レシピ!M:M,MATCH(テンプレート!$C176,使用レシピ!$E:$E,0))&lt;&gt;0,INDEX(使用レシピ!M:M,MATCH(テンプレート!$C176,使用レシピ!$E:$E,0)),""),"")</f>
        <v/>
      </c>
      <c r="M176" t="str">
        <f>IFERROR(IF(INDEX(使用レシピ!N:N,MATCH(テンプレート!$C176,使用レシピ!$E:$E,0))&lt;&gt;0,INDEX(使用レシピ!N:N,MATCH(テンプレート!$C176,使用レシピ!$E:$E,0)),""),"")</f>
        <v/>
      </c>
      <c r="N176" s="24" t="str">
        <f>IFERROR(IF(INDEX(使用レシピ!O:O,MATCH(テンプレート!$C176,使用レシピ!$E:$E,0))&lt;&gt;0,INDEX(使用レシピ!O:O,MATCH(テンプレート!$C176,使用レシピ!$E:$E,0)),""),"")</f>
        <v/>
      </c>
      <c r="O176" s="42" t="str">
        <f>IFERROR(IF(INDEX(使用レシピ!P:P,MATCH(テンプレート!$C176,使用レシピ!$E:$E,0))&lt;&gt;0,INDEX(使用レシピ!P:P,MATCH(テンプレート!$C176,使用レシピ!$E:$E,0)),""),"")</f>
        <v/>
      </c>
      <c r="P176" s="25" t="str">
        <f t="shared" si="14"/>
        <v/>
      </c>
      <c r="Q176" s="26" t="str">
        <f t="shared" si="15"/>
        <v/>
      </c>
      <c r="R176" s="26" t="str">
        <f t="shared" si="16"/>
        <v/>
      </c>
      <c r="S176" s="26" t="str">
        <f t="shared" si="17"/>
        <v/>
      </c>
      <c r="T176" s="43" t="str">
        <f t="shared" si="17"/>
        <v/>
      </c>
    </row>
    <row r="177" spans="1:20" x14ac:dyDescent="0.4">
      <c r="A177">
        <v>111211411</v>
      </c>
      <c r="B177" s="47" t="str" cm="1">
        <f t="array" ref="B177">IFERROR((INDEX($P$4:$T$1000,MATCH(VALUE(LEFT($A177,LEN($A177)-1)),$A$4:$A$1000,0),VALUE(RIGHT($A177,1)))/ INDEX($O$4:$O$1000,MATCH(VALUE(LEFT($A177,LEN($A177)-1)),$A$4:$A$1000))) * INDEX($B$4:$B$1000,MATCH(VALUE(LEFT($A177,LEN($A177)-1)),$A$4:$A$1000)),"")</f>
        <v/>
      </c>
      <c r="C177" s="38" t="str" cm="1">
        <f t="array" ref="C177">IFERROR(IF(INDEX($D$4:$H$1000,MATCH(VALUE(LEFT($A177,LEN($A177)-1)),$A$4:$A$1000,0),VALUE(RIGHT($A177,1)))= 0,"",INDEX($D$4:$H$1000,MATCH(VALUE(LEFT($A177,LEN($A177)-1)),$A$4:$A$1000,0),VALUE(RIGHT($A177,1)))),"")</f>
        <v/>
      </c>
      <c r="D177" s="23" t="str">
        <f>IFERROR(IF(INDEX(使用レシピ!F:F,MATCH(テンプレート!$C177,使用レシピ!$E:$E,0))&lt;&gt;0,INDEX(使用レシピ!F:F,MATCH(テンプレート!$C177,使用レシピ!$E:$E,0)),""),"")</f>
        <v/>
      </c>
      <c r="E177" t="str">
        <f>IFERROR(IF(INDEX(使用レシピ!G:G,MATCH(テンプレート!$C177,使用レシピ!$E:$E,0))&lt;&gt;0,INDEX(使用レシピ!G:G,MATCH(テンプレート!$C177,使用レシピ!$E:$E,0)),""),"")</f>
        <v/>
      </c>
      <c r="F177" t="str">
        <f>IFERROR(IF(INDEX(使用レシピ!H:H,MATCH(テンプレート!$C177,使用レシピ!$E:$E,0))&lt;&gt;0,INDEX(使用レシピ!H:H,MATCH(テンプレート!$C177,使用レシピ!$E:$E,0)),""),"")</f>
        <v/>
      </c>
      <c r="G177" t="str">
        <f>IFERROR(IF(INDEX(使用レシピ!I:I,MATCH(テンプレート!$C177,使用レシピ!$E:$E,0))&lt;&gt;0,INDEX(使用レシピ!I:I,MATCH(テンプレート!$C177,使用レシピ!$E:$E,0)),""),"")</f>
        <v/>
      </c>
      <c r="H177" s="24" t="str">
        <f>IFERROR(IF(INDEX(使用レシピ!J:J,MATCH(テンプレート!$C177,使用レシピ!$E:$E,0))&lt;&gt;0,INDEX(使用レシピ!J:J,MATCH(テンプレート!$C177,使用レシピ!$E:$E,0)),""),"")</f>
        <v/>
      </c>
      <c r="I177" s="36" t="str">
        <f>IFERROR(IF(INDEX(使用レシピ!P:P,MATCH(テンプレート!$C177,使用レシピ!$E:$E,0))&lt;&gt;0,INDEX(使用レシピ!P:P,MATCH(テンプレート!$C177,使用レシピ!$E:$E,0)),""),"")</f>
        <v/>
      </c>
      <c r="J177" t="str">
        <f>IFERROR(IF(INDEX(使用レシピ!K:K,MATCH(テンプレート!$C177,使用レシピ!$E:$E,0))&lt;&gt;0,INDEX(使用レシピ!K:K,MATCH(テンプレート!$C177,使用レシピ!$E:$E,0)),""),"")</f>
        <v/>
      </c>
      <c r="K177" t="str">
        <f>IFERROR(IF(INDEX(使用レシピ!L:L,MATCH(テンプレート!$C177,使用レシピ!$E:$E,0))&lt;&gt;0,INDEX(使用レシピ!L:L,MATCH(テンプレート!$C177,使用レシピ!$E:$E,0)),""),"")</f>
        <v/>
      </c>
      <c r="L177" t="str">
        <f>IFERROR(IF(INDEX(使用レシピ!M:M,MATCH(テンプレート!$C177,使用レシピ!$E:$E,0))&lt;&gt;0,INDEX(使用レシピ!M:M,MATCH(テンプレート!$C177,使用レシピ!$E:$E,0)),""),"")</f>
        <v/>
      </c>
      <c r="M177" t="str">
        <f>IFERROR(IF(INDEX(使用レシピ!N:N,MATCH(テンプレート!$C177,使用レシピ!$E:$E,0))&lt;&gt;0,INDEX(使用レシピ!N:N,MATCH(テンプレート!$C177,使用レシピ!$E:$E,0)),""),"")</f>
        <v/>
      </c>
      <c r="N177" s="24" t="str">
        <f>IFERROR(IF(INDEX(使用レシピ!O:O,MATCH(テンプレート!$C177,使用レシピ!$E:$E,0))&lt;&gt;0,INDEX(使用レシピ!O:O,MATCH(テンプレート!$C177,使用レシピ!$E:$E,0)),""),"")</f>
        <v/>
      </c>
      <c r="O177" s="42" t="str">
        <f>IFERROR(IF(INDEX(使用レシピ!P:P,MATCH(テンプレート!$C177,使用レシピ!$E:$E,0))&lt;&gt;0,INDEX(使用レシピ!P:P,MATCH(テンプレート!$C177,使用レシピ!$E:$E,0)),""),"")</f>
        <v/>
      </c>
      <c r="P177" s="25" t="str">
        <f t="shared" si="14"/>
        <v/>
      </c>
      <c r="Q177" s="26" t="str">
        <f t="shared" si="15"/>
        <v/>
      </c>
      <c r="R177" s="26" t="str">
        <f t="shared" si="16"/>
        <v/>
      </c>
      <c r="S177" s="26" t="str">
        <f t="shared" si="17"/>
        <v/>
      </c>
      <c r="T177" s="43" t="str">
        <f t="shared" si="17"/>
        <v/>
      </c>
    </row>
    <row r="178" spans="1:20" x14ac:dyDescent="0.4">
      <c r="A178">
        <v>111211412</v>
      </c>
      <c r="B178" s="47" t="str" cm="1">
        <f t="array" ref="B178">IFERROR((INDEX($P$4:$T$1000,MATCH(VALUE(LEFT($A178,LEN($A178)-1)),$A$4:$A$1000,0),VALUE(RIGHT($A178,1)))/ INDEX($O$4:$O$1000,MATCH(VALUE(LEFT($A178,LEN($A178)-1)),$A$4:$A$1000))) * INDEX($B$4:$B$1000,MATCH(VALUE(LEFT($A178,LEN($A178)-1)),$A$4:$A$1000)),"")</f>
        <v/>
      </c>
      <c r="C178" s="38" t="str" cm="1">
        <f t="array" ref="C178">IFERROR(IF(INDEX($D$4:$H$1000,MATCH(VALUE(LEFT($A178,LEN($A178)-1)),$A$4:$A$1000,0),VALUE(RIGHT($A178,1)))= 0,"",INDEX($D$4:$H$1000,MATCH(VALUE(LEFT($A178,LEN($A178)-1)),$A$4:$A$1000,0),VALUE(RIGHT($A178,1)))),"")</f>
        <v/>
      </c>
      <c r="D178" s="23" t="str">
        <f>IFERROR(IF(INDEX(使用レシピ!F:F,MATCH(テンプレート!$C178,使用レシピ!$E:$E,0))&lt;&gt;0,INDEX(使用レシピ!F:F,MATCH(テンプレート!$C178,使用レシピ!$E:$E,0)),""),"")</f>
        <v/>
      </c>
      <c r="E178" t="str">
        <f>IFERROR(IF(INDEX(使用レシピ!G:G,MATCH(テンプレート!$C178,使用レシピ!$E:$E,0))&lt;&gt;0,INDEX(使用レシピ!G:G,MATCH(テンプレート!$C178,使用レシピ!$E:$E,0)),""),"")</f>
        <v/>
      </c>
      <c r="F178" t="str">
        <f>IFERROR(IF(INDEX(使用レシピ!H:H,MATCH(テンプレート!$C178,使用レシピ!$E:$E,0))&lt;&gt;0,INDEX(使用レシピ!H:H,MATCH(テンプレート!$C178,使用レシピ!$E:$E,0)),""),"")</f>
        <v/>
      </c>
      <c r="G178" t="str">
        <f>IFERROR(IF(INDEX(使用レシピ!I:I,MATCH(テンプレート!$C178,使用レシピ!$E:$E,0))&lt;&gt;0,INDEX(使用レシピ!I:I,MATCH(テンプレート!$C178,使用レシピ!$E:$E,0)),""),"")</f>
        <v/>
      </c>
      <c r="H178" s="24" t="str">
        <f>IFERROR(IF(INDEX(使用レシピ!J:J,MATCH(テンプレート!$C178,使用レシピ!$E:$E,0))&lt;&gt;0,INDEX(使用レシピ!J:J,MATCH(テンプレート!$C178,使用レシピ!$E:$E,0)),""),"")</f>
        <v/>
      </c>
      <c r="I178" s="36" t="str">
        <f>IFERROR(IF(INDEX(使用レシピ!P:P,MATCH(テンプレート!$C178,使用レシピ!$E:$E,0))&lt;&gt;0,INDEX(使用レシピ!P:P,MATCH(テンプレート!$C178,使用レシピ!$E:$E,0)),""),"")</f>
        <v/>
      </c>
      <c r="J178" t="str">
        <f>IFERROR(IF(INDEX(使用レシピ!K:K,MATCH(テンプレート!$C178,使用レシピ!$E:$E,0))&lt;&gt;0,INDEX(使用レシピ!K:K,MATCH(テンプレート!$C178,使用レシピ!$E:$E,0)),""),"")</f>
        <v/>
      </c>
      <c r="K178" t="str">
        <f>IFERROR(IF(INDEX(使用レシピ!L:L,MATCH(テンプレート!$C178,使用レシピ!$E:$E,0))&lt;&gt;0,INDEX(使用レシピ!L:L,MATCH(テンプレート!$C178,使用レシピ!$E:$E,0)),""),"")</f>
        <v/>
      </c>
      <c r="L178" t="str">
        <f>IFERROR(IF(INDEX(使用レシピ!M:M,MATCH(テンプレート!$C178,使用レシピ!$E:$E,0))&lt;&gt;0,INDEX(使用レシピ!M:M,MATCH(テンプレート!$C178,使用レシピ!$E:$E,0)),""),"")</f>
        <v/>
      </c>
      <c r="M178" t="str">
        <f>IFERROR(IF(INDEX(使用レシピ!N:N,MATCH(テンプレート!$C178,使用レシピ!$E:$E,0))&lt;&gt;0,INDEX(使用レシピ!N:N,MATCH(テンプレート!$C178,使用レシピ!$E:$E,0)),""),"")</f>
        <v/>
      </c>
      <c r="N178" s="24" t="str">
        <f>IFERROR(IF(INDEX(使用レシピ!O:O,MATCH(テンプレート!$C178,使用レシピ!$E:$E,0))&lt;&gt;0,INDEX(使用レシピ!O:O,MATCH(テンプレート!$C178,使用レシピ!$E:$E,0)),""),"")</f>
        <v/>
      </c>
      <c r="O178" s="42" t="str">
        <f>IFERROR(IF(INDEX(使用レシピ!P:P,MATCH(テンプレート!$C178,使用レシピ!$E:$E,0))&lt;&gt;0,INDEX(使用レシピ!P:P,MATCH(テンプレート!$C178,使用レシピ!$E:$E,0)),""),"")</f>
        <v/>
      </c>
      <c r="P178" s="25" t="str">
        <f t="shared" si="14"/>
        <v/>
      </c>
      <c r="Q178" s="26" t="str">
        <f t="shared" si="15"/>
        <v/>
      </c>
      <c r="R178" s="26" t="str">
        <f t="shared" si="16"/>
        <v/>
      </c>
      <c r="S178" s="26" t="str">
        <f t="shared" si="17"/>
        <v/>
      </c>
      <c r="T178" s="43" t="str">
        <f t="shared" si="17"/>
        <v/>
      </c>
    </row>
    <row r="179" spans="1:20" x14ac:dyDescent="0.4">
      <c r="A179">
        <v>111212111</v>
      </c>
      <c r="B179" s="47" cm="1">
        <f t="array" ref="B179">IFERROR((INDEX($P$4:$T$1000,MATCH(VALUE(LEFT($A179,LEN($A179)-1)),$A$4:$A$1000,0),VALUE(RIGHT($A179,1)))/ INDEX($O$4:$O$1000,MATCH(VALUE(LEFT($A179,LEN($A179)-1)),$A$4:$A$1000))) * INDEX($B$4:$B$1000,MATCH(VALUE(LEFT($A179,LEN($A179)-1)),$A$4:$A$1000)),"")</f>
        <v>216</v>
      </c>
      <c r="C179" s="38" t="str" cm="1">
        <f t="array" ref="C179">IFERROR(IF(INDEX($D$4:$H$1000,MATCH(VALUE(LEFT($A179,LEN($A179)-1)),$A$4:$A$1000,0),VALUE(RIGHT($A179,1)))= 0,"",INDEX($D$4:$H$1000,MATCH(VALUE(LEFT($A179,LEN($A179)-1)),$A$4:$A$1000,0),VALUE(RIGHT($A179,1)))),"")</f>
        <v>鉄のインゴット</v>
      </c>
      <c r="D179" s="23" t="str">
        <f>IFERROR(IF(INDEX(使用レシピ!F:F,MATCH(テンプレート!$C179,使用レシピ!$E:$E,0))&lt;&gt;0,INDEX(使用レシピ!F:F,MATCH(テンプレート!$C179,使用レシピ!$E:$E,0)),""),"")</f>
        <v>鉄鉱石</v>
      </c>
      <c r="E179" t="str">
        <f>IFERROR(IF(INDEX(使用レシピ!G:G,MATCH(テンプレート!$C179,使用レシピ!$E:$E,0))&lt;&gt;0,INDEX(使用レシピ!G:G,MATCH(テンプレート!$C179,使用レシピ!$E:$E,0)),""),"")</f>
        <v>水</v>
      </c>
      <c r="F179" t="str">
        <f>IFERROR(IF(INDEX(使用レシピ!H:H,MATCH(テンプレート!$C179,使用レシピ!$E:$E,0))&lt;&gt;0,INDEX(使用レシピ!H:H,MATCH(テンプレート!$C179,使用レシピ!$E:$E,0)),""),"")</f>
        <v/>
      </c>
      <c r="G179" t="str">
        <f>IFERROR(IF(INDEX(使用レシピ!I:I,MATCH(テンプレート!$C179,使用レシピ!$E:$E,0))&lt;&gt;0,INDEX(使用レシピ!I:I,MATCH(テンプレート!$C179,使用レシピ!$E:$E,0)),""),"")</f>
        <v/>
      </c>
      <c r="H179" s="24" t="str">
        <f>IFERROR(IF(INDEX(使用レシピ!J:J,MATCH(テンプレート!$C179,使用レシピ!$E:$E,0))&lt;&gt;0,INDEX(使用レシピ!J:J,MATCH(テンプレート!$C179,使用レシピ!$E:$E,0)),""),"")</f>
        <v/>
      </c>
      <c r="I179" s="36">
        <f>IFERROR(IF(INDEX(使用レシピ!P:P,MATCH(テンプレート!$C179,使用レシピ!$E:$E,0))&lt;&gt;0,INDEX(使用レシピ!P:P,MATCH(テンプレート!$C179,使用レシピ!$E:$E,0)),""),"")</f>
        <v>13</v>
      </c>
      <c r="J179">
        <f>IFERROR(IF(INDEX(使用レシピ!K:K,MATCH(テンプレート!$C179,使用レシピ!$E:$E,0))&lt;&gt;0,INDEX(使用レシピ!K:K,MATCH(テンプレート!$C179,使用レシピ!$E:$E,0)),""),"")</f>
        <v>7</v>
      </c>
      <c r="K179">
        <f>IFERROR(IF(INDEX(使用レシピ!L:L,MATCH(テンプレート!$C179,使用レシピ!$E:$E,0))&lt;&gt;0,INDEX(使用レシピ!L:L,MATCH(テンプレート!$C179,使用レシピ!$E:$E,0)),""),"")</f>
        <v>4</v>
      </c>
      <c r="L179" t="str">
        <f>IFERROR(IF(INDEX(使用レシピ!M:M,MATCH(テンプレート!$C179,使用レシピ!$E:$E,0))&lt;&gt;0,INDEX(使用レシピ!M:M,MATCH(テンプレート!$C179,使用レシピ!$E:$E,0)),""),"")</f>
        <v/>
      </c>
      <c r="M179" t="str">
        <f>IFERROR(IF(INDEX(使用レシピ!N:N,MATCH(テンプレート!$C179,使用レシピ!$E:$E,0))&lt;&gt;0,INDEX(使用レシピ!N:N,MATCH(テンプレート!$C179,使用レシピ!$E:$E,0)),""),"")</f>
        <v/>
      </c>
      <c r="N179" s="24" t="str">
        <f>IFERROR(IF(INDEX(使用レシピ!O:O,MATCH(テンプレート!$C179,使用レシピ!$E:$E,0))&lt;&gt;0,INDEX(使用レシピ!O:O,MATCH(テンプレート!$C179,使用レシピ!$E:$E,0)),""),"")</f>
        <v/>
      </c>
      <c r="O179" s="42">
        <f>IFERROR(IF(INDEX(使用レシピ!P:P,MATCH(テンプレート!$C179,使用レシピ!$E:$E,0))&lt;&gt;0,INDEX(使用レシピ!P:P,MATCH(テンプレート!$C179,使用レシピ!$E:$E,0)),""),"")</f>
        <v>13</v>
      </c>
      <c r="P179" s="25">
        <f t="shared" si="14"/>
        <v>7</v>
      </c>
      <c r="Q179" s="26">
        <f t="shared" si="15"/>
        <v>4</v>
      </c>
      <c r="R179" s="26" t="str">
        <f t="shared" si="16"/>
        <v/>
      </c>
      <c r="S179" s="26" t="str">
        <f t="shared" si="17"/>
        <v/>
      </c>
      <c r="T179" s="43" t="str">
        <f t="shared" si="17"/>
        <v/>
      </c>
    </row>
    <row r="180" spans="1:20" x14ac:dyDescent="0.4">
      <c r="A180">
        <v>111212112</v>
      </c>
      <c r="B180" s="47" cm="1">
        <f t="array" ref="B180">IFERROR((INDEX($P$4:$T$1000,MATCH(VALUE(LEFT($A180,LEN($A180)-1)),$A$4:$A$1000,0),VALUE(RIGHT($A180,1)))/ INDEX($O$4:$O$1000,MATCH(VALUE(LEFT($A180,LEN($A180)-1)),$A$4:$A$1000))) * INDEX($B$4:$B$1000,MATCH(VALUE(LEFT($A180,LEN($A180)-1)),$A$4:$A$1000)),"")</f>
        <v>216</v>
      </c>
      <c r="C180" s="38" t="str" cm="1">
        <f t="array" ref="C180">IFERROR(IF(INDEX($D$4:$H$1000,MATCH(VALUE(LEFT($A180,LEN($A180)-1)),$A$4:$A$1000,0),VALUE(RIGHT($A180,1)))= 0,"",INDEX($D$4:$H$1000,MATCH(VALUE(LEFT($A180,LEN($A180)-1)),$A$4:$A$1000,0),VALUE(RIGHT($A180,1)))),"")</f>
        <v>石炭</v>
      </c>
      <c r="D180" s="23" t="str">
        <f>IFERROR(IF(INDEX(使用レシピ!F:F,MATCH(テンプレート!$C180,使用レシピ!$E:$E,0))&lt;&gt;0,INDEX(使用レシピ!F:F,MATCH(テンプレート!$C180,使用レシピ!$E:$E,0)),""),"")</f>
        <v/>
      </c>
      <c r="E180" t="str">
        <f>IFERROR(IF(INDEX(使用レシピ!G:G,MATCH(テンプレート!$C180,使用レシピ!$E:$E,0))&lt;&gt;0,INDEX(使用レシピ!G:G,MATCH(テンプレート!$C180,使用レシピ!$E:$E,0)),""),"")</f>
        <v/>
      </c>
      <c r="F180" t="str">
        <f>IFERROR(IF(INDEX(使用レシピ!H:H,MATCH(テンプレート!$C180,使用レシピ!$E:$E,0))&lt;&gt;0,INDEX(使用レシピ!H:H,MATCH(テンプレート!$C180,使用レシピ!$E:$E,0)),""),"")</f>
        <v/>
      </c>
      <c r="G180" t="str">
        <f>IFERROR(IF(INDEX(使用レシピ!I:I,MATCH(テンプレート!$C180,使用レシピ!$E:$E,0))&lt;&gt;0,INDEX(使用レシピ!I:I,MATCH(テンプレート!$C180,使用レシピ!$E:$E,0)),""),"")</f>
        <v/>
      </c>
      <c r="H180" s="24" t="str">
        <f>IFERROR(IF(INDEX(使用レシピ!J:J,MATCH(テンプレート!$C180,使用レシピ!$E:$E,0))&lt;&gt;0,INDEX(使用レシピ!J:J,MATCH(テンプレート!$C180,使用レシピ!$E:$E,0)),""),"")</f>
        <v/>
      </c>
      <c r="I180" s="36">
        <f>IFERROR(IF(INDEX(使用レシピ!P:P,MATCH(テンプレート!$C180,使用レシピ!$E:$E,0))&lt;&gt;0,INDEX(使用レシピ!P:P,MATCH(テンプレート!$C180,使用レシピ!$E:$E,0)),""),"")</f>
        <v>1</v>
      </c>
      <c r="J180" t="str">
        <f>IFERROR(IF(INDEX(使用レシピ!K:K,MATCH(テンプレート!$C180,使用レシピ!$E:$E,0))&lt;&gt;0,INDEX(使用レシピ!K:K,MATCH(テンプレート!$C180,使用レシピ!$E:$E,0)),""),"")</f>
        <v/>
      </c>
      <c r="K180" t="str">
        <f>IFERROR(IF(INDEX(使用レシピ!L:L,MATCH(テンプレート!$C180,使用レシピ!$E:$E,0))&lt;&gt;0,INDEX(使用レシピ!L:L,MATCH(テンプレート!$C180,使用レシピ!$E:$E,0)),""),"")</f>
        <v/>
      </c>
      <c r="L180" t="str">
        <f>IFERROR(IF(INDEX(使用レシピ!M:M,MATCH(テンプレート!$C180,使用レシピ!$E:$E,0))&lt;&gt;0,INDEX(使用レシピ!M:M,MATCH(テンプレート!$C180,使用レシピ!$E:$E,0)),""),"")</f>
        <v/>
      </c>
      <c r="M180" t="str">
        <f>IFERROR(IF(INDEX(使用レシピ!N:N,MATCH(テンプレート!$C180,使用レシピ!$E:$E,0))&lt;&gt;0,INDEX(使用レシピ!N:N,MATCH(テンプレート!$C180,使用レシピ!$E:$E,0)),""),"")</f>
        <v/>
      </c>
      <c r="N180" s="24" t="str">
        <f>IFERROR(IF(INDEX(使用レシピ!O:O,MATCH(テンプレート!$C180,使用レシピ!$E:$E,0))&lt;&gt;0,INDEX(使用レシピ!O:O,MATCH(テンプレート!$C180,使用レシピ!$E:$E,0)),""),"")</f>
        <v/>
      </c>
      <c r="O180" s="42">
        <f>IFERROR(IF(INDEX(使用レシピ!P:P,MATCH(テンプレート!$C180,使用レシピ!$E:$E,0))&lt;&gt;0,INDEX(使用レシピ!P:P,MATCH(テンプレート!$C180,使用レシピ!$E:$E,0)),""),"")</f>
        <v>1</v>
      </c>
      <c r="P180" s="25" t="str">
        <f t="shared" si="14"/>
        <v/>
      </c>
      <c r="Q180" s="26" t="str">
        <f t="shared" si="15"/>
        <v/>
      </c>
      <c r="R180" s="26" t="str">
        <f t="shared" si="16"/>
        <v/>
      </c>
      <c r="S180" s="26" t="str">
        <f t="shared" si="17"/>
        <v/>
      </c>
      <c r="T180" s="43" t="str">
        <f t="shared" si="17"/>
        <v/>
      </c>
    </row>
    <row r="181" spans="1:20" x14ac:dyDescent="0.4">
      <c r="A181">
        <v>111212121</v>
      </c>
      <c r="B181" s="47" cm="1">
        <f t="array" ref="B181">IFERROR((INDEX($P$4:$T$1000,MATCH(VALUE(LEFT($A181,LEN($A181)-1)),$A$4:$A$1000,0),VALUE(RIGHT($A181,1)))/ INDEX($O$4:$O$1000,MATCH(VALUE(LEFT($A181,LEN($A181)-1)),$A$4:$A$1000))) * INDEX($B$4:$B$1000,MATCH(VALUE(LEFT($A181,LEN($A181)-1)),$A$4:$A$1000)),"")</f>
        <v>291.60000000000002</v>
      </c>
      <c r="C181" s="38" t="str" cm="1">
        <f t="array" ref="C181">IFERROR(IF(INDEX($D$4:$H$1000,MATCH(VALUE(LEFT($A181,LEN($A181)-1)),$A$4:$A$1000,0),VALUE(RIGHT($A181,1)))= 0,"",INDEX($D$4:$H$1000,MATCH(VALUE(LEFT($A181,LEN($A181)-1)),$A$4:$A$1000,0),VALUE(RIGHT($A181,1)))),"")</f>
        <v>石灰岩</v>
      </c>
      <c r="D181" s="23" t="str">
        <f>IFERROR(IF(INDEX(使用レシピ!F:F,MATCH(テンプレート!$C181,使用レシピ!$E:$E,0))&lt;&gt;0,INDEX(使用レシピ!F:F,MATCH(テンプレート!$C181,使用レシピ!$E:$E,0)),""),"")</f>
        <v/>
      </c>
      <c r="E181" t="str">
        <f>IFERROR(IF(INDEX(使用レシピ!G:G,MATCH(テンプレート!$C181,使用レシピ!$E:$E,0))&lt;&gt;0,INDEX(使用レシピ!G:G,MATCH(テンプレート!$C181,使用レシピ!$E:$E,0)),""),"")</f>
        <v/>
      </c>
      <c r="F181" t="str">
        <f>IFERROR(IF(INDEX(使用レシピ!H:H,MATCH(テンプレート!$C181,使用レシピ!$E:$E,0))&lt;&gt;0,INDEX(使用レシピ!H:H,MATCH(テンプレート!$C181,使用レシピ!$E:$E,0)),""),"")</f>
        <v/>
      </c>
      <c r="G181" t="str">
        <f>IFERROR(IF(INDEX(使用レシピ!I:I,MATCH(テンプレート!$C181,使用レシピ!$E:$E,0))&lt;&gt;0,INDEX(使用レシピ!I:I,MATCH(テンプレート!$C181,使用レシピ!$E:$E,0)),""),"")</f>
        <v/>
      </c>
      <c r="H181" s="24" t="str">
        <f>IFERROR(IF(INDEX(使用レシピ!J:J,MATCH(テンプレート!$C181,使用レシピ!$E:$E,0))&lt;&gt;0,INDEX(使用レシピ!J:J,MATCH(テンプレート!$C181,使用レシピ!$E:$E,0)),""),"")</f>
        <v/>
      </c>
      <c r="I181" s="36">
        <f>IFERROR(IF(INDEX(使用レシピ!P:P,MATCH(テンプレート!$C181,使用レシピ!$E:$E,0))&lt;&gt;0,INDEX(使用レシピ!P:P,MATCH(テンプレート!$C181,使用レシピ!$E:$E,0)),""),"")</f>
        <v>1</v>
      </c>
      <c r="J181" t="str">
        <f>IFERROR(IF(INDEX(使用レシピ!K:K,MATCH(テンプレート!$C181,使用レシピ!$E:$E,0))&lt;&gt;0,INDEX(使用レシピ!K:K,MATCH(テンプレート!$C181,使用レシピ!$E:$E,0)),""),"")</f>
        <v/>
      </c>
      <c r="K181" t="str">
        <f>IFERROR(IF(INDEX(使用レシピ!L:L,MATCH(テンプレート!$C181,使用レシピ!$E:$E,0))&lt;&gt;0,INDEX(使用レシピ!L:L,MATCH(テンプレート!$C181,使用レシピ!$E:$E,0)),""),"")</f>
        <v/>
      </c>
      <c r="L181" t="str">
        <f>IFERROR(IF(INDEX(使用レシピ!M:M,MATCH(テンプレート!$C181,使用レシピ!$E:$E,0))&lt;&gt;0,INDEX(使用レシピ!M:M,MATCH(テンプレート!$C181,使用レシピ!$E:$E,0)),""),"")</f>
        <v/>
      </c>
      <c r="M181" t="str">
        <f>IFERROR(IF(INDEX(使用レシピ!N:N,MATCH(テンプレート!$C181,使用レシピ!$E:$E,0))&lt;&gt;0,INDEX(使用レシピ!N:N,MATCH(テンプレート!$C181,使用レシピ!$E:$E,0)),""),"")</f>
        <v/>
      </c>
      <c r="N181" s="24" t="str">
        <f>IFERROR(IF(INDEX(使用レシピ!O:O,MATCH(テンプレート!$C181,使用レシピ!$E:$E,0))&lt;&gt;0,INDEX(使用レシピ!O:O,MATCH(テンプレート!$C181,使用レシピ!$E:$E,0)),""),"")</f>
        <v/>
      </c>
      <c r="O181" s="42">
        <f>IFERROR(IF(INDEX(使用レシピ!P:P,MATCH(テンプレート!$C181,使用レシピ!$E:$E,0))&lt;&gt;0,INDEX(使用レシピ!P:P,MATCH(テンプレート!$C181,使用レシピ!$E:$E,0)),""),"")</f>
        <v>1</v>
      </c>
      <c r="P181" s="25" t="str">
        <f t="shared" si="14"/>
        <v/>
      </c>
      <c r="Q181" s="26" t="str">
        <f t="shared" si="15"/>
        <v/>
      </c>
      <c r="R181" s="26" t="str">
        <f t="shared" si="16"/>
        <v/>
      </c>
      <c r="S181" s="26" t="str">
        <f t="shared" si="17"/>
        <v/>
      </c>
      <c r="T181" s="43" t="str">
        <f t="shared" si="17"/>
        <v/>
      </c>
    </row>
    <row r="182" spans="1:20" x14ac:dyDescent="0.4">
      <c r="A182">
        <v>111212211</v>
      </c>
      <c r="B182" s="47" t="str" cm="1">
        <f t="array" ref="B182">IFERROR((INDEX($P$4:$T$1000,MATCH(VALUE(LEFT($A182,LEN($A182)-1)),$A$4:$A$1000,0),VALUE(RIGHT($A182,1)))/ INDEX($O$4:$O$1000,MATCH(VALUE(LEFT($A182,LEN($A182)-1)),$A$4:$A$1000))) * INDEX($B$4:$B$1000,MATCH(VALUE(LEFT($A182,LEN($A182)-1)),$A$4:$A$1000)),"")</f>
        <v/>
      </c>
      <c r="C182" s="38" t="str" cm="1">
        <f t="array" ref="C182">IFERROR(IF(INDEX($D$4:$H$1000,MATCH(VALUE(LEFT($A182,LEN($A182)-1)),$A$4:$A$1000,0),VALUE(RIGHT($A182,1)))= 0,"",INDEX($D$4:$H$1000,MATCH(VALUE(LEFT($A182,LEN($A182)-1)),$A$4:$A$1000,0),VALUE(RIGHT($A182,1)))),"")</f>
        <v/>
      </c>
      <c r="D182" s="23" t="str">
        <f>IFERROR(IF(INDEX(使用レシピ!F:F,MATCH(テンプレート!$C182,使用レシピ!$E:$E,0))&lt;&gt;0,INDEX(使用レシピ!F:F,MATCH(テンプレート!$C182,使用レシピ!$E:$E,0)),""),"")</f>
        <v/>
      </c>
      <c r="E182" t="str">
        <f>IFERROR(IF(INDEX(使用レシピ!G:G,MATCH(テンプレート!$C182,使用レシピ!$E:$E,0))&lt;&gt;0,INDEX(使用レシピ!G:G,MATCH(テンプレート!$C182,使用レシピ!$E:$E,0)),""),"")</f>
        <v/>
      </c>
      <c r="F182" t="str">
        <f>IFERROR(IF(INDEX(使用レシピ!H:H,MATCH(テンプレート!$C182,使用レシピ!$E:$E,0))&lt;&gt;0,INDEX(使用レシピ!H:H,MATCH(テンプレート!$C182,使用レシピ!$E:$E,0)),""),"")</f>
        <v/>
      </c>
      <c r="G182" t="str">
        <f>IFERROR(IF(INDEX(使用レシピ!I:I,MATCH(テンプレート!$C182,使用レシピ!$E:$E,0))&lt;&gt;0,INDEX(使用レシピ!I:I,MATCH(テンプレート!$C182,使用レシピ!$E:$E,0)),""),"")</f>
        <v/>
      </c>
      <c r="H182" s="24" t="str">
        <f>IFERROR(IF(INDEX(使用レシピ!J:J,MATCH(テンプレート!$C182,使用レシピ!$E:$E,0))&lt;&gt;0,INDEX(使用レシピ!J:J,MATCH(テンプレート!$C182,使用レシピ!$E:$E,0)),""),"")</f>
        <v/>
      </c>
      <c r="I182" s="36" t="str">
        <f>IFERROR(IF(INDEX(使用レシピ!P:P,MATCH(テンプレート!$C182,使用レシピ!$E:$E,0))&lt;&gt;0,INDEX(使用レシピ!P:P,MATCH(テンプレート!$C182,使用レシピ!$E:$E,0)),""),"")</f>
        <v/>
      </c>
      <c r="J182" t="str">
        <f>IFERROR(IF(INDEX(使用レシピ!K:K,MATCH(テンプレート!$C182,使用レシピ!$E:$E,0))&lt;&gt;0,INDEX(使用レシピ!K:K,MATCH(テンプレート!$C182,使用レシピ!$E:$E,0)),""),"")</f>
        <v/>
      </c>
      <c r="K182" t="str">
        <f>IFERROR(IF(INDEX(使用レシピ!L:L,MATCH(テンプレート!$C182,使用レシピ!$E:$E,0))&lt;&gt;0,INDEX(使用レシピ!L:L,MATCH(テンプレート!$C182,使用レシピ!$E:$E,0)),""),"")</f>
        <v/>
      </c>
      <c r="L182" t="str">
        <f>IFERROR(IF(INDEX(使用レシピ!M:M,MATCH(テンプレート!$C182,使用レシピ!$E:$E,0))&lt;&gt;0,INDEX(使用レシピ!M:M,MATCH(テンプレート!$C182,使用レシピ!$E:$E,0)),""),"")</f>
        <v/>
      </c>
      <c r="M182" t="str">
        <f>IFERROR(IF(INDEX(使用レシピ!N:N,MATCH(テンプレート!$C182,使用レシピ!$E:$E,0))&lt;&gt;0,INDEX(使用レシピ!N:N,MATCH(テンプレート!$C182,使用レシピ!$E:$E,0)),""),"")</f>
        <v/>
      </c>
      <c r="N182" s="24" t="str">
        <f>IFERROR(IF(INDEX(使用レシピ!O:O,MATCH(テンプレート!$C182,使用レシピ!$E:$E,0))&lt;&gt;0,INDEX(使用レシピ!O:O,MATCH(テンプレート!$C182,使用レシピ!$E:$E,0)),""),"")</f>
        <v/>
      </c>
      <c r="O182" s="42" t="str">
        <f>IFERROR(IF(INDEX(使用レシピ!P:P,MATCH(テンプレート!$C182,使用レシピ!$E:$E,0))&lt;&gt;0,INDEX(使用レシピ!P:P,MATCH(テンプレート!$C182,使用レシピ!$E:$E,0)),""),"")</f>
        <v/>
      </c>
      <c r="P182" s="25" t="str">
        <f t="shared" si="14"/>
        <v/>
      </c>
      <c r="Q182" s="26" t="str">
        <f t="shared" si="15"/>
        <v/>
      </c>
      <c r="R182" s="26" t="str">
        <f t="shared" si="16"/>
        <v/>
      </c>
      <c r="S182" s="26" t="str">
        <f t="shared" si="17"/>
        <v/>
      </c>
      <c r="T182" s="43" t="str">
        <f t="shared" si="17"/>
        <v/>
      </c>
    </row>
    <row r="183" spans="1:20" x14ac:dyDescent="0.4">
      <c r="A183">
        <v>111212212</v>
      </c>
      <c r="B183" s="47" t="str" cm="1">
        <f t="array" ref="B183">IFERROR((INDEX($P$4:$T$1000,MATCH(VALUE(LEFT($A183,LEN($A183)-1)),$A$4:$A$1000,0),VALUE(RIGHT($A183,1)))/ INDEX($O$4:$O$1000,MATCH(VALUE(LEFT($A183,LEN($A183)-1)),$A$4:$A$1000))) * INDEX($B$4:$B$1000,MATCH(VALUE(LEFT($A183,LEN($A183)-1)),$A$4:$A$1000)),"")</f>
        <v/>
      </c>
      <c r="C183" s="38" t="str" cm="1">
        <f t="array" ref="C183">IFERROR(IF(INDEX($D$4:$H$1000,MATCH(VALUE(LEFT($A183,LEN($A183)-1)),$A$4:$A$1000,0),VALUE(RIGHT($A183,1)))= 0,"",INDEX($D$4:$H$1000,MATCH(VALUE(LEFT($A183,LEN($A183)-1)),$A$4:$A$1000,0),VALUE(RIGHT($A183,1)))),"")</f>
        <v/>
      </c>
      <c r="D183" s="23" t="str">
        <f>IFERROR(IF(INDEX(使用レシピ!F:F,MATCH(テンプレート!$C183,使用レシピ!$E:$E,0))&lt;&gt;0,INDEX(使用レシピ!F:F,MATCH(テンプレート!$C183,使用レシピ!$E:$E,0)),""),"")</f>
        <v/>
      </c>
      <c r="E183" t="str">
        <f>IFERROR(IF(INDEX(使用レシピ!G:G,MATCH(テンプレート!$C183,使用レシピ!$E:$E,0))&lt;&gt;0,INDEX(使用レシピ!G:G,MATCH(テンプレート!$C183,使用レシピ!$E:$E,0)),""),"")</f>
        <v/>
      </c>
      <c r="F183" t="str">
        <f>IFERROR(IF(INDEX(使用レシピ!H:H,MATCH(テンプレート!$C183,使用レシピ!$E:$E,0))&lt;&gt;0,INDEX(使用レシピ!H:H,MATCH(テンプレート!$C183,使用レシピ!$E:$E,0)),""),"")</f>
        <v/>
      </c>
      <c r="G183" t="str">
        <f>IFERROR(IF(INDEX(使用レシピ!I:I,MATCH(テンプレート!$C183,使用レシピ!$E:$E,0))&lt;&gt;0,INDEX(使用レシピ!I:I,MATCH(テンプレート!$C183,使用レシピ!$E:$E,0)),""),"")</f>
        <v/>
      </c>
      <c r="H183" s="24" t="str">
        <f>IFERROR(IF(INDEX(使用レシピ!J:J,MATCH(テンプレート!$C183,使用レシピ!$E:$E,0))&lt;&gt;0,INDEX(使用レシピ!J:J,MATCH(テンプレート!$C183,使用レシピ!$E:$E,0)),""),"")</f>
        <v/>
      </c>
      <c r="I183" s="36" t="str">
        <f>IFERROR(IF(INDEX(使用レシピ!P:P,MATCH(テンプレート!$C183,使用レシピ!$E:$E,0))&lt;&gt;0,INDEX(使用レシピ!P:P,MATCH(テンプレート!$C183,使用レシピ!$E:$E,0)),""),"")</f>
        <v/>
      </c>
      <c r="J183" t="str">
        <f>IFERROR(IF(INDEX(使用レシピ!K:K,MATCH(テンプレート!$C183,使用レシピ!$E:$E,0))&lt;&gt;0,INDEX(使用レシピ!K:K,MATCH(テンプレート!$C183,使用レシピ!$E:$E,0)),""),"")</f>
        <v/>
      </c>
      <c r="K183" t="str">
        <f>IFERROR(IF(INDEX(使用レシピ!L:L,MATCH(テンプレート!$C183,使用レシピ!$E:$E,0))&lt;&gt;0,INDEX(使用レシピ!L:L,MATCH(テンプレート!$C183,使用レシピ!$E:$E,0)),""),"")</f>
        <v/>
      </c>
      <c r="L183" t="str">
        <f>IFERROR(IF(INDEX(使用レシピ!M:M,MATCH(テンプレート!$C183,使用レシピ!$E:$E,0))&lt;&gt;0,INDEX(使用レシピ!M:M,MATCH(テンプレート!$C183,使用レシピ!$E:$E,0)),""),"")</f>
        <v/>
      </c>
      <c r="M183" t="str">
        <f>IFERROR(IF(INDEX(使用レシピ!N:N,MATCH(テンプレート!$C183,使用レシピ!$E:$E,0))&lt;&gt;0,INDEX(使用レシピ!N:N,MATCH(テンプレート!$C183,使用レシピ!$E:$E,0)),""),"")</f>
        <v/>
      </c>
      <c r="N183" s="24" t="str">
        <f>IFERROR(IF(INDEX(使用レシピ!O:O,MATCH(テンプレート!$C183,使用レシピ!$E:$E,0))&lt;&gt;0,INDEX(使用レシピ!O:O,MATCH(テンプレート!$C183,使用レシピ!$E:$E,0)),""),"")</f>
        <v/>
      </c>
      <c r="O183" s="42" t="str">
        <f>IFERROR(IF(INDEX(使用レシピ!P:P,MATCH(テンプレート!$C183,使用レシピ!$E:$E,0))&lt;&gt;0,INDEX(使用レシピ!P:P,MATCH(テンプレート!$C183,使用レシピ!$E:$E,0)),""),"")</f>
        <v/>
      </c>
      <c r="P183" s="25" t="str">
        <f t="shared" si="14"/>
        <v/>
      </c>
      <c r="Q183" s="26" t="str">
        <f t="shared" si="15"/>
        <v/>
      </c>
      <c r="R183" s="26" t="str">
        <f t="shared" si="16"/>
        <v/>
      </c>
      <c r="S183" s="26" t="str">
        <f t="shared" si="17"/>
        <v/>
      </c>
      <c r="T183" s="43" t="str">
        <f t="shared" si="17"/>
        <v/>
      </c>
    </row>
    <row r="184" spans="1:20" x14ac:dyDescent="0.4">
      <c r="A184">
        <v>111212221</v>
      </c>
      <c r="B184" s="47" t="str" cm="1">
        <f t="array" ref="B184">IFERROR((INDEX($P$4:$T$1000,MATCH(VALUE(LEFT($A184,LEN($A184)-1)),$A$4:$A$1000,0),VALUE(RIGHT($A184,1)))/ INDEX($O$4:$O$1000,MATCH(VALUE(LEFT($A184,LEN($A184)-1)),$A$4:$A$1000))) * INDEX($B$4:$B$1000,MATCH(VALUE(LEFT($A184,LEN($A184)-1)),$A$4:$A$1000)),"")</f>
        <v/>
      </c>
      <c r="C184" s="38" t="str" cm="1">
        <f t="array" ref="C184">IFERROR(IF(INDEX($D$4:$H$1000,MATCH(VALUE(LEFT($A184,LEN($A184)-1)),$A$4:$A$1000,0),VALUE(RIGHT($A184,1)))= 0,"",INDEX($D$4:$H$1000,MATCH(VALUE(LEFT($A184,LEN($A184)-1)),$A$4:$A$1000,0),VALUE(RIGHT($A184,1)))),"")</f>
        <v/>
      </c>
      <c r="D184" s="23" t="str">
        <f>IFERROR(IF(INDEX(使用レシピ!F:F,MATCH(テンプレート!$C184,使用レシピ!$E:$E,0))&lt;&gt;0,INDEX(使用レシピ!F:F,MATCH(テンプレート!$C184,使用レシピ!$E:$E,0)),""),"")</f>
        <v/>
      </c>
      <c r="E184" t="str">
        <f>IFERROR(IF(INDEX(使用レシピ!G:G,MATCH(テンプレート!$C184,使用レシピ!$E:$E,0))&lt;&gt;0,INDEX(使用レシピ!G:G,MATCH(テンプレート!$C184,使用レシピ!$E:$E,0)),""),"")</f>
        <v/>
      </c>
      <c r="F184" t="str">
        <f>IFERROR(IF(INDEX(使用レシピ!H:H,MATCH(テンプレート!$C184,使用レシピ!$E:$E,0))&lt;&gt;0,INDEX(使用レシピ!H:H,MATCH(テンプレート!$C184,使用レシピ!$E:$E,0)),""),"")</f>
        <v/>
      </c>
      <c r="G184" t="str">
        <f>IFERROR(IF(INDEX(使用レシピ!I:I,MATCH(テンプレート!$C184,使用レシピ!$E:$E,0))&lt;&gt;0,INDEX(使用レシピ!I:I,MATCH(テンプレート!$C184,使用レシピ!$E:$E,0)),""),"")</f>
        <v/>
      </c>
      <c r="H184" s="24" t="str">
        <f>IFERROR(IF(INDEX(使用レシピ!J:J,MATCH(テンプレート!$C184,使用レシピ!$E:$E,0))&lt;&gt;0,INDEX(使用レシピ!J:J,MATCH(テンプレート!$C184,使用レシピ!$E:$E,0)),""),"")</f>
        <v/>
      </c>
      <c r="I184" s="36" t="str">
        <f>IFERROR(IF(INDEX(使用レシピ!P:P,MATCH(テンプレート!$C184,使用レシピ!$E:$E,0))&lt;&gt;0,INDEX(使用レシピ!P:P,MATCH(テンプレート!$C184,使用レシピ!$E:$E,0)),""),"")</f>
        <v/>
      </c>
      <c r="J184" t="str">
        <f>IFERROR(IF(INDEX(使用レシピ!K:K,MATCH(テンプレート!$C184,使用レシピ!$E:$E,0))&lt;&gt;0,INDEX(使用レシピ!K:K,MATCH(テンプレート!$C184,使用レシピ!$E:$E,0)),""),"")</f>
        <v/>
      </c>
      <c r="K184" t="str">
        <f>IFERROR(IF(INDEX(使用レシピ!L:L,MATCH(テンプレート!$C184,使用レシピ!$E:$E,0))&lt;&gt;0,INDEX(使用レシピ!L:L,MATCH(テンプレート!$C184,使用レシピ!$E:$E,0)),""),"")</f>
        <v/>
      </c>
      <c r="L184" t="str">
        <f>IFERROR(IF(INDEX(使用レシピ!M:M,MATCH(テンプレート!$C184,使用レシピ!$E:$E,0))&lt;&gt;0,INDEX(使用レシピ!M:M,MATCH(テンプレート!$C184,使用レシピ!$E:$E,0)),""),"")</f>
        <v/>
      </c>
      <c r="M184" t="str">
        <f>IFERROR(IF(INDEX(使用レシピ!N:N,MATCH(テンプレート!$C184,使用レシピ!$E:$E,0))&lt;&gt;0,INDEX(使用レシピ!N:N,MATCH(テンプレート!$C184,使用レシピ!$E:$E,0)),""),"")</f>
        <v/>
      </c>
      <c r="N184" s="24" t="str">
        <f>IFERROR(IF(INDEX(使用レシピ!O:O,MATCH(テンプレート!$C184,使用レシピ!$E:$E,0))&lt;&gt;0,INDEX(使用レシピ!O:O,MATCH(テンプレート!$C184,使用レシピ!$E:$E,0)),""),"")</f>
        <v/>
      </c>
      <c r="O184" s="42" t="str">
        <f>IFERROR(IF(INDEX(使用レシピ!P:P,MATCH(テンプレート!$C184,使用レシピ!$E:$E,0))&lt;&gt;0,INDEX(使用レシピ!P:P,MATCH(テンプレート!$C184,使用レシピ!$E:$E,0)),""),"")</f>
        <v/>
      </c>
      <c r="P184" s="25" t="str">
        <f t="shared" si="14"/>
        <v/>
      </c>
      <c r="Q184" s="26" t="str">
        <f t="shared" si="15"/>
        <v/>
      </c>
      <c r="R184" s="26" t="str">
        <f t="shared" si="16"/>
        <v/>
      </c>
      <c r="S184" s="26" t="str">
        <f t="shared" si="17"/>
        <v/>
      </c>
      <c r="T184" s="43" t="str">
        <f t="shared" si="17"/>
        <v/>
      </c>
    </row>
    <row r="185" spans="1:20" x14ac:dyDescent="0.4">
      <c r="A185">
        <v>111213211</v>
      </c>
      <c r="B185" s="47" cm="1">
        <f t="array" ref="B185">IFERROR((INDEX($P$4:$T$1000,MATCH(VALUE(LEFT($A185,LEN($A185)-1)),$A$4:$A$1000,0),VALUE(RIGHT($A185,1)))/ INDEX($O$4:$O$1000,MATCH(VALUE(LEFT($A185,LEN($A185)-1)),$A$4:$A$1000))) * INDEX($B$4:$B$1000,MATCH(VALUE(LEFT($A185,LEN($A185)-1)),$A$4:$A$1000)),"")</f>
        <v>450</v>
      </c>
      <c r="C185" s="38" t="str" cm="1">
        <f t="array" ref="C185">IFERROR(IF(INDEX($D$4:$H$1000,MATCH(VALUE(LEFT($A185,LEN($A185)-1)),$A$4:$A$1000,0),VALUE(RIGHT($A185,1)))= 0,"",INDEX($D$4:$H$1000,MATCH(VALUE(LEFT($A185,LEN($A185)-1)),$A$4:$A$1000,0),VALUE(RIGHT($A185,1)))),"")</f>
        <v>銅のインゴット</v>
      </c>
      <c r="D185" s="23" t="str">
        <f>IFERROR(IF(INDEX(使用レシピ!F:F,MATCH(テンプレート!$C185,使用レシピ!$E:$E,0))&lt;&gt;0,INDEX(使用レシピ!F:F,MATCH(テンプレート!$C185,使用レシピ!$E:$E,0)),""),"")</f>
        <v>銅鉱石</v>
      </c>
      <c r="E185" t="str">
        <f>IFERROR(IF(INDEX(使用レシピ!G:G,MATCH(テンプレート!$C185,使用レシピ!$E:$E,0))&lt;&gt;0,INDEX(使用レシピ!G:G,MATCH(テンプレート!$C185,使用レシピ!$E:$E,0)),""),"")</f>
        <v>水</v>
      </c>
      <c r="F185" t="str">
        <f>IFERROR(IF(INDEX(使用レシピ!H:H,MATCH(テンプレート!$C185,使用レシピ!$E:$E,0))&lt;&gt;0,INDEX(使用レシピ!H:H,MATCH(テンプレート!$C185,使用レシピ!$E:$E,0)),""),"")</f>
        <v/>
      </c>
      <c r="G185" t="str">
        <f>IFERROR(IF(INDEX(使用レシピ!I:I,MATCH(テンプレート!$C185,使用レシピ!$E:$E,0))&lt;&gt;0,INDEX(使用レシピ!I:I,MATCH(テンプレート!$C185,使用レシピ!$E:$E,0)),""),"")</f>
        <v/>
      </c>
      <c r="H185" s="24" t="str">
        <f>IFERROR(IF(INDEX(使用レシピ!J:J,MATCH(テンプレート!$C185,使用レシピ!$E:$E,0))&lt;&gt;0,INDEX(使用レシピ!J:J,MATCH(テンプレート!$C185,使用レシピ!$E:$E,0)),""),"")</f>
        <v/>
      </c>
      <c r="I185" s="36">
        <f>IFERROR(IF(INDEX(使用レシピ!P:P,MATCH(テンプレート!$C185,使用レシピ!$E:$E,0))&lt;&gt;0,INDEX(使用レシピ!P:P,MATCH(テンプレート!$C185,使用レシピ!$E:$E,0)),""),"")</f>
        <v>15</v>
      </c>
      <c r="J185">
        <f>IFERROR(IF(INDEX(使用レシピ!K:K,MATCH(テンプレート!$C185,使用レシピ!$E:$E,0))&lt;&gt;0,INDEX(使用レシピ!K:K,MATCH(テンプレート!$C185,使用レシピ!$E:$E,0)),""),"")</f>
        <v>6</v>
      </c>
      <c r="K185">
        <f>IFERROR(IF(INDEX(使用レシピ!L:L,MATCH(テンプレート!$C185,使用レシピ!$E:$E,0))&lt;&gt;0,INDEX(使用レシピ!L:L,MATCH(テンプレート!$C185,使用レシピ!$E:$E,0)),""),"")</f>
        <v>4</v>
      </c>
      <c r="L185" t="str">
        <f>IFERROR(IF(INDEX(使用レシピ!M:M,MATCH(テンプレート!$C185,使用レシピ!$E:$E,0))&lt;&gt;0,INDEX(使用レシピ!M:M,MATCH(テンプレート!$C185,使用レシピ!$E:$E,0)),""),"")</f>
        <v/>
      </c>
      <c r="M185" t="str">
        <f>IFERROR(IF(INDEX(使用レシピ!N:N,MATCH(テンプレート!$C185,使用レシピ!$E:$E,0))&lt;&gt;0,INDEX(使用レシピ!N:N,MATCH(テンプレート!$C185,使用レシピ!$E:$E,0)),""),"")</f>
        <v/>
      </c>
      <c r="N185" s="24" t="str">
        <f>IFERROR(IF(INDEX(使用レシピ!O:O,MATCH(テンプレート!$C185,使用レシピ!$E:$E,0))&lt;&gt;0,INDEX(使用レシピ!O:O,MATCH(テンプレート!$C185,使用レシピ!$E:$E,0)),""),"")</f>
        <v/>
      </c>
      <c r="O185" s="42">
        <f>IFERROR(IF(INDEX(使用レシピ!P:P,MATCH(テンプレート!$C185,使用レシピ!$E:$E,0))&lt;&gt;0,INDEX(使用レシピ!P:P,MATCH(テンプレート!$C185,使用レシピ!$E:$E,0)),""),"")</f>
        <v>15</v>
      </c>
      <c r="P185" s="25">
        <f t="shared" si="14"/>
        <v>6</v>
      </c>
      <c r="Q185" s="26">
        <f t="shared" si="15"/>
        <v>4</v>
      </c>
      <c r="R185" s="26" t="str">
        <f t="shared" si="16"/>
        <v/>
      </c>
      <c r="S185" s="26" t="str">
        <f t="shared" si="17"/>
        <v/>
      </c>
      <c r="T185" s="43" t="str">
        <f t="shared" si="17"/>
        <v/>
      </c>
    </row>
    <row r="186" spans="1:20" x14ac:dyDescent="0.4">
      <c r="A186">
        <v>111213311</v>
      </c>
      <c r="B186" s="47" t="str" cm="1">
        <f t="array" ref="B186">IFERROR((INDEX($P$4:$T$1000,MATCH(VALUE(LEFT($A186,LEN($A186)-1)),$A$4:$A$1000,0),VALUE(RIGHT($A186,1)))/ INDEX($O$4:$O$1000,MATCH(VALUE(LEFT($A186,LEN($A186)-1)),$A$4:$A$1000))) * INDEX($B$4:$B$1000,MATCH(VALUE(LEFT($A186,LEN($A186)-1)),$A$4:$A$1000)),"")</f>
        <v/>
      </c>
      <c r="C186" s="38" t="str" cm="1">
        <f t="array" ref="C186">IFERROR(IF(INDEX($D$4:$H$1000,MATCH(VALUE(LEFT($A186,LEN($A186)-1)),$A$4:$A$1000,0),VALUE(RIGHT($A186,1)))= 0,"",INDEX($D$4:$H$1000,MATCH(VALUE(LEFT($A186,LEN($A186)-1)),$A$4:$A$1000,0),VALUE(RIGHT($A186,1)))),"")</f>
        <v/>
      </c>
      <c r="D186" s="23" t="str">
        <f>IFERROR(IF(INDEX(使用レシピ!F:F,MATCH(テンプレート!$C186,使用レシピ!$E:$E,0))&lt;&gt;0,INDEX(使用レシピ!F:F,MATCH(テンプレート!$C186,使用レシピ!$E:$E,0)),""),"")</f>
        <v/>
      </c>
      <c r="E186" t="str">
        <f>IFERROR(IF(INDEX(使用レシピ!G:G,MATCH(テンプレート!$C186,使用レシピ!$E:$E,0))&lt;&gt;0,INDEX(使用レシピ!G:G,MATCH(テンプレート!$C186,使用レシピ!$E:$E,0)),""),"")</f>
        <v/>
      </c>
      <c r="F186" t="str">
        <f>IFERROR(IF(INDEX(使用レシピ!H:H,MATCH(テンプレート!$C186,使用レシピ!$E:$E,0))&lt;&gt;0,INDEX(使用レシピ!H:H,MATCH(テンプレート!$C186,使用レシピ!$E:$E,0)),""),"")</f>
        <v/>
      </c>
      <c r="G186" t="str">
        <f>IFERROR(IF(INDEX(使用レシピ!I:I,MATCH(テンプレート!$C186,使用レシピ!$E:$E,0))&lt;&gt;0,INDEX(使用レシピ!I:I,MATCH(テンプレート!$C186,使用レシピ!$E:$E,0)),""),"")</f>
        <v/>
      </c>
      <c r="H186" s="24" t="str">
        <f>IFERROR(IF(INDEX(使用レシピ!J:J,MATCH(テンプレート!$C186,使用レシピ!$E:$E,0))&lt;&gt;0,INDEX(使用レシピ!J:J,MATCH(テンプレート!$C186,使用レシピ!$E:$E,0)),""),"")</f>
        <v/>
      </c>
      <c r="I186" s="36" t="str">
        <f>IFERROR(IF(INDEX(使用レシピ!P:P,MATCH(テンプレート!$C186,使用レシピ!$E:$E,0))&lt;&gt;0,INDEX(使用レシピ!P:P,MATCH(テンプレート!$C186,使用レシピ!$E:$E,0)),""),"")</f>
        <v/>
      </c>
      <c r="J186" t="str">
        <f>IFERROR(IF(INDEX(使用レシピ!K:K,MATCH(テンプレート!$C186,使用レシピ!$E:$E,0))&lt;&gt;0,INDEX(使用レシピ!K:K,MATCH(テンプレート!$C186,使用レシピ!$E:$E,0)),""),"")</f>
        <v/>
      </c>
      <c r="K186" t="str">
        <f>IFERROR(IF(INDEX(使用レシピ!L:L,MATCH(テンプレート!$C186,使用レシピ!$E:$E,0))&lt;&gt;0,INDEX(使用レシピ!L:L,MATCH(テンプレート!$C186,使用レシピ!$E:$E,0)),""),"")</f>
        <v/>
      </c>
      <c r="L186" t="str">
        <f>IFERROR(IF(INDEX(使用レシピ!M:M,MATCH(テンプレート!$C186,使用レシピ!$E:$E,0))&lt;&gt;0,INDEX(使用レシピ!M:M,MATCH(テンプレート!$C186,使用レシピ!$E:$E,0)),""),"")</f>
        <v/>
      </c>
      <c r="M186" t="str">
        <f>IFERROR(IF(INDEX(使用レシピ!N:N,MATCH(テンプレート!$C186,使用レシピ!$E:$E,0))&lt;&gt;0,INDEX(使用レシピ!N:N,MATCH(テンプレート!$C186,使用レシピ!$E:$E,0)),""),"")</f>
        <v/>
      </c>
      <c r="N186" s="24" t="str">
        <f>IFERROR(IF(INDEX(使用レシピ!O:O,MATCH(テンプレート!$C186,使用レシピ!$E:$E,0))&lt;&gt;0,INDEX(使用レシピ!O:O,MATCH(テンプレート!$C186,使用レシピ!$E:$E,0)),""),"")</f>
        <v/>
      </c>
      <c r="O186" s="42" t="str">
        <f>IFERROR(IF(INDEX(使用レシピ!P:P,MATCH(テンプレート!$C186,使用レシピ!$E:$E,0))&lt;&gt;0,INDEX(使用レシピ!P:P,MATCH(テンプレート!$C186,使用レシピ!$E:$E,0)),""),"")</f>
        <v/>
      </c>
      <c r="P186" s="25" t="str">
        <f t="shared" si="14"/>
        <v/>
      </c>
      <c r="Q186" s="26" t="str">
        <f t="shared" si="15"/>
        <v/>
      </c>
      <c r="R186" s="26" t="str">
        <f t="shared" si="16"/>
        <v/>
      </c>
      <c r="S186" s="26" t="str">
        <f t="shared" si="17"/>
        <v/>
      </c>
      <c r="T186" s="43" t="str">
        <f t="shared" si="17"/>
        <v/>
      </c>
    </row>
    <row r="187" spans="1:20" x14ac:dyDescent="0.4">
      <c r="A187">
        <v>111213321</v>
      </c>
      <c r="B187" s="47" t="str" cm="1">
        <f t="array" ref="B187">IFERROR((INDEX($P$4:$T$1000,MATCH(VALUE(LEFT($A187,LEN($A187)-1)),$A$4:$A$1000,0),VALUE(RIGHT($A187,1)))/ INDEX($O$4:$O$1000,MATCH(VALUE(LEFT($A187,LEN($A187)-1)),$A$4:$A$1000))) * INDEX($B$4:$B$1000,MATCH(VALUE(LEFT($A187,LEN($A187)-1)),$A$4:$A$1000)),"")</f>
        <v/>
      </c>
      <c r="C187" s="38" t="str" cm="1">
        <f t="array" ref="C187">IFERROR(IF(INDEX($D$4:$H$1000,MATCH(VALUE(LEFT($A187,LEN($A187)-1)),$A$4:$A$1000,0),VALUE(RIGHT($A187,1)))= 0,"",INDEX($D$4:$H$1000,MATCH(VALUE(LEFT($A187,LEN($A187)-1)),$A$4:$A$1000,0),VALUE(RIGHT($A187,1)))),"")</f>
        <v/>
      </c>
      <c r="D187" s="23" t="str">
        <f>IFERROR(IF(INDEX(使用レシピ!F:F,MATCH(テンプレート!$C187,使用レシピ!$E:$E,0))&lt;&gt;0,INDEX(使用レシピ!F:F,MATCH(テンプレート!$C187,使用レシピ!$E:$E,0)),""),"")</f>
        <v/>
      </c>
      <c r="E187" t="str">
        <f>IFERROR(IF(INDEX(使用レシピ!G:G,MATCH(テンプレート!$C187,使用レシピ!$E:$E,0))&lt;&gt;0,INDEX(使用レシピ!G:G,MATCH(テンプレート!$C187,使用レシピ!$E:$E,0)),""),"")</f>
        <v/>
      </c>
      <c r="F187" t="str">
        <f>IFERROR(IF(INDEX(使用レシピ!H:H,MATCH(テンプレート!$C187,使用レシピ!$E:$E,0))&lt;&gt;0,INDEX(使用レシピ!H:H,MATCH(テンプレート!$C187,使用レシピ!$E:$E,0)),""),"")</f>
        <v/>
      </c>
      <c r="G187" t="str">
        <f>IFERROR(IF(INDEX(使用レシピ!I:I,MATCH(テンプレート!$C187,使用レシピ!$E:$E,0))&lt;&gt;0,INDEX(使用レシピ!I:I,MATCH(テンプレート!$C187,使用レシピ!$E:$E,0)),""),"")</f>
        <v/>
      </c>
      <c r="H187" s="24" t="str">
        <f>IFERROR(IF(INDEX(使用レシピ!J:J,MATCH(テンプレート!$C187,使用レシピ!$E:$E,0))&lt;&gt;0,INDEX(使用レシピ!J:J,MATCH(テンプレート!$C187,使用レシピ!$E:$E,0)),""),"")</f>
        <v/>
      </c>
      <c r="I187" s="36" t="str">
        <f>IFERROR(IF(INDEX(使用レシピ!P:P,MATCH(テンプレート!$C187,使用レシピ!$E:$E,0))&lt;&gt;0,INDEX(使用レシピ!P:P,MATCH(テンプレート!$C187,使用レシピ!$E:$E,0)),""),"")</f>
        <v/>
      </c>
      <c r="J187" t="str">
        <f>IFERROR(IF(INDEX(使用レシピ!K:K,MATCH(テンプレート!$C187,使用レシピ!$E:$E,0))&lt;&gt;0,INDEX(使用レシピ!K:K,MATCH(テンプレート!$C187,使用レシピ!$E:$E,0)),""),"")</f>
        <v/>
      </c>
      <c r="K187" t="str">
        <f>IFERROR(IF(INDEX(使用レシピ!L:L,MATCH(テンプレート!$C187,使用レシピ!$E:$E,0))&lt;&gt;0,INDEX(使用レシピ!L:L,MATCH(テンプレート!$C187,使用レシピ!$E:$E,0)),""),"")</f>
        <v/>
      </c>
      <c r="L187" t="str">
        <f>IFERROR(IF(INDEX(使用レシピ!M:M,MATCH(テンプレート!$C187,使用レシピ!$E:$E,0))&lt;&gt;0,INDEX(使用レシピ!M:M,MATCH(テンプレート!$C187,使用レシピ!$E:$E,0)),""),"")</f>
        <v/>
      </c>
      <c r="M187" t="str">
        <f>IFERROR(IF(INDEX(使用レシピ!N:N,MATCH(テンプレート!$C187,使用レシピ!$E:$E,0))&lt;&gt;0,INDEX(使用レシピ!N:N,MATCH(テンプレート!$C187,使用レシピ!$E:$E,0)),""),"")</f>
        <v/>
      </c>
      <c r="N187" s="24" t="str">
        <f>IFERROR(IF(INDEX(使用レシピ!O:O,MATCH(テンプレート!$C187,使用レシピ!$E:$E,0))&lt;&gt;0,INDEX(使用レシピ!O:O,MATCH(テンプレート!$C187,使用レシピ!$E:$E,0)),""),"")</f>
        <v/>
      </c>
      <c r="O187" s="42" t="str">
        <f>IFERROR(IF(INDEX(使用レシピ!P:P,MATCH(テンプレート!$C187,使用レシピ!$E:$E,0))&lt;&gt;0,INDEX(使用レシピ!P:P,MATCH(テンプレート!$C187,使用レシピ!$E:$E,0)),""),"")</f>
        <v/>
      </c>
      <c r="P187" s="25" t="str">
        <f t="shared" si="14"/>
        <v/>
      </c>
      <c r="Q187" s="26" t="str">
        <f t="shared" si="15"/>
        <v/>
      </c>
      <c r="R187" s="26" t="str">
        <f t="shared" si="16"/>
        <v/>
      </c>
      <c r="S187" s="26" t="str">
        <f t="shared" si="17"/>
        <v/>
      </c>
      <c r="T187" s="43" t="str">
        <f t="shared" si="17"/>
        <v/>
      </c>
    </row>
    <row r="188" spans="1:20" x14ac:dyDescent="0.4">
      <c r="A188">
        <v>111214111</v>
      </c>
      <c r="B188" s="47" t="str" cm="1">
        <f t="array" ref="B188">IFERROR((INDEX($P$4:$T$1000,MATCH(VALUE(LEFT($A188,LEN($A188)-1)),$A$4:$A$1000,0),VALUE(RIGHT($A188,1)))/ INDEX($O$4:$O$1000,MATCH(VALUE(LEFT($A188,LEN($A188)-1)),$A$4:$A$1000))) * INDEX($B$4:$B$1000,MATCH(VALUE(LEFT($A188,LEN($A188)-1)),$A$4:$A$1000)),"")</f>
        <v/>
      </c>
      <c r="C188" s="38" t="str" cm="1">
        <f t="array" ref="C188">IFERROR(IF(INDEX($D$4:$H$1000,MATCH(VALUE(LEFT($A188,LEN($A188)-1)),$A$4:$A$1000,0),VALUE(RIGHT($A188,1)))= 0,"",INDEX($D$4:$H$1000,MATCH(VALUE(LEFT($A188,LEN($A188)-1)),$A$4:$A$1000,0),VALUE(RIGHT($A188,1)))),"")</f>
        <v/>
      </c>
      <c r="D188" s="23" t="str">
        <f>IFERROR(IF(INDEX(使用レシピ!F:F,MATCH(テンプレート!$C188,使用レシピ!$E:$E,0))&lt;&gt;0,INDEX(使用レシピ!F:F,MATCH(テンプレート!$C188,使用レシピ!$E:$E,0)),""),"")</f>
        <v/>
      </c>
      <c r="E188" t="str">
        <f>IFERROR(IF(INDEX(使用レシピ!G:G,MATCH(テンプレート!$C188,使用レシピ!$E:$E,0))&lt;&gt;0,INDEX(使用レシピ!G:G,MATCH(テンプレート!$C188,使用レシピ!$E:$E,0)),""),"")</f>
        <v/>
      </c>
      <c r="F188" t="str">
        <f>IFERROR(IF(INDEX(使用レシピ!H:H,MATCH(テンプレート!$C188,使用レシピ!$E:$E,0))&lt;&gt;0,INDEX(使用レシピ!H:H,MATCH(テンプレート!$C188,使用レシピ!$E:$E,0)),""),"")</f>
        <v/>
      </c>
      <c r="G188" t="str">
        <f>IFERROR(IF(INDEX(使用レシピ!I:I,MATCH(テンプレート!$C188,使用レシピ!$E:$E,0))&lt;&gt;0,INDEX(使用レシピ!I:I,MATCH(テンプレート!$C188,使用レシピ!$E:$E,0)),""),"")</f>
        <v/>
      </c>
      <c r="H188" s="24" t="str">
        <f>IFERROR(IF(INDEX(使用レシピ!J:J,MATCH(テンプレート!$C188,使用レシピ!$E:$E,0))&lt;&gt;0,INDEX(使用レシピ!J:J,MATCH(テンプレート!$C188,使用レシピ!$E:$E,0)),""),"")</f>
        <v/>
      </c>
      <c r="I188" s="36" t="str">
        <f>IFERROR(IF(INDEX(使用レシピ!P:P,MATCH(テンプレート!$C188,使用レシピ!$E:$E,0))&lt;&gt;0,INDEX(使用レシピ!P:P,MATCH(テンプレート!$C188,使用レシピ!$E:$E,0)),""),"")</f>
        <v/>
      </c>
      <c r="J188" t="str">
        <f>IFERROR(IF(INDEX(使用レシピ!K:K,MATCH(テンプレート!$C188,使用レシピ!$E:$E,0))&lt;&gt;0,INDEX(使用レシピ!K:K,MATCH(テンプレート!$C188,使用レシピ!$E:$E,0)),""),"")</f>
        <v/>
      </c>
      <c r="K188" t="str">
        <f>IFERROR(IF(INDEX(使用レシピ!L:L,MATCH(テンプレート!$C188,使用レシピ!$E:$E,0))&lt;&gt;0,INDEX(使用レシピ!L:L,MATCH(テンプレート!$C188,使用レシピ!$E:$E,0)),""),"")</f>
        <v/>
      </c>
      <c r="L188" t="str">
        <f>IFERROR(IF(INDEX(使用レシピ!M:M,MATCH(テンプレート!$C188,使用レシピ!$E:$E,0))&lt;&gt;0,INDEX(使用レシピ!M:M,MATCH(テンプレート!$C188,使用レシピ!$E:$E,0)),""),"")</f>
        <v/>
      </c>
      <c r="M188" t="str">
        <f>IFERROR(IF(INDEX(使用レシピ!N:N,MATCH(テンプレート!$C188,使用レシピ!$E:$E,0))&lt;&gt;0,INDEX(使用レシピ!N:N,MATCH(テンプレート!$C188,使用レシピ!$E:$E,0)),""),"")</f>
        <v/>
      </c>
      <c r="N188" s="24" t="str">
        <f>IFERROR(IF(INDEX(使用レシピ!O:O,MATCH(テンプレート!$C188,使用レシピ!$E:$E,0))&lt;&gt;0,INDEX(使用レシピ!O:O,MATCH(テンプレート!$C188,使用レシピ!$E:$E,0)),""),"")</f>
        <v/>
      </c>
      <c r="O188" s="42" t="str">
        <f>IFERROR(IF(INDEX(使用レシピ!P:P,MATCH(テンプレート!$C188,使用レシピ!$E:$E,0))&lt;&gt;0,INDEX(使用レシピ!P:P,MATCH(テンプレート!$C188,使用レシピ!$E:$E,0)),""),"")</f>
        <v/>
      </c>
      <c r="P188" s="25" t="str">
        <f t="shared" si="14"/>
        <v/>
      </c>
      <c r="Q188" s="26" t="str">
        <f t="shared" si="15"/>
        <v/>
      </c>
      <c r="R188" s="26" t="str">
        <f t="shared" si="16"/>
        <v/>
      </c>
      <c r="S188" s="26" t="str">
        <f t="shared" si="17"/>
        <v/>
      </c>
      <c r="T188" s="43" t="str">
        <f t="shared" si="17"/>
        <v/>
      </c>
    </row>
    <row r="189" spans="1:20" x14ac:dyDescent="0.4">
      <c r="A189">
        <v>111214112</v>
      </c>
      <c r="B189" s="47" t="str" cm="1">
        <f t="array" ref="B189">IFERROR((INDEX($P$4:$T$1000,MATCH(VALUE(LEFT($A189,LEN($A189)-1)),$A$4:$A$1000,0),VALUE(RIGHT($A189,1)))/ INDEX($O$4:$O$1000,MATCH(VALUE(LEFT($A189,LEN($A189)-1)),$A$4:$A$1000))) * INDEX($B$4:$B$1000,MATCH(VALUE(LEFT($A189,LEN($A189)-1)),$A$4:$A$1000)),"")</f>
        <v/>
      </c>
      <c r="C189" s="38" t="str" cm="1">
        <f t="array" ref="C189">IFERROR(IF(INDEX($D$4:$H$1000,MATCH(VALUE(LEFT($A189,LEN($A189)-1)),$A$4:$A$1000,0),VALUE(RIGHT($A189,1)))= 0,"",INDEX($D$4:$H$1000,MATCH(VALUE(LEFT($A189,LEN($A189)-1)),$A$4:$A$1000,0),VALUE(RIGHT($A189,1)))),"")</f>
        <v/>
      </c>
      <c r="D189" s="23" t="str">
        <f>IFERROR(IF(INDEX(使用レシピ!F:F,MATCH(テンプレート!$C189,使用レシピ!$E:$E,0))&lt;&gt;0,INDEX(使用レシピ!F:F,MATCH(テンプレート!$C189,使用レシピ!$E:$E,0)),""),"")</f>
        <v/>
      </c>
      <c r="E189" t="str">
        <f>IFERROR(IF(INDEX(使用レシピ!G:G,MATCH(テンプレート!$C189,使用レシピ!$E:$E,0))&lt;&gt;0,INDEX(使用レシピ!G:G,MATCH(テンプレート!$C189,使用レシピ!$E:$E,0)),""),"")</f>
        <v/>
      </c>
      <c r="F189" t="str">
        <f>IFERROR(IF(INDEX(使用レシピ!H:H,MATCH(テンプレート!$C189,使用レシピ!$E:$E,0))&lt;&gt;0,INDEX(使用レシピ!H:H,MATCH(テンプレート!$C189,使用レシピ!$E:$E,0)),""),"")</f>
        <v/>
      </c>
      <c r="G189" t="str">
        <f>IFERROR(IF(INDEX(使用レシピ!I:I,MATCH(テンプレート!$C189,使用レシピ!$E:$E,0))&lt;&gt;0,INDEX(使用レシピ!I:I,MATCH(テンプレート!$C189,使用レシピ!$E:$E,0)),""),"")</f>
        <v/>
      </c>
      <c r="H189" s="24" t="str">
        <f>IFERROR(IF(INDEX(使用レシピ!J:J,MATCH(テンプレート!$C189,使用レシピ!$E:$E,0))&lt;&gt;0,INDEX(使用レシピ!J:J,MATCH(テンプレート!$C189,使用レシピ!$E:$E,0)),""),"")</f>
        <v/>
      </c>
      <c r="I189" s="36" t="str">
        <f>IFERROR(IF(INDEX(使用レシピ!P:P,MATCH(テンプレート!$C189,使用レシピ!$E:$E,0))&lt;&gt;0,INDEX(使用レシピ!P:P,MATCH(テンプレート!$C189,使用レシピ!$E:$E,0)),""),"")</f>
        <v/>
      </c>
      <c r="J189" t="str">
        <f>IFERROR(IF(INDEX(使用レシピ!K:K,MATCH(テンプレート!$C189,使用レシピ!$E:$E,0))&lt;&gt;0,INDEX(使用レシピ!K:K,MATCH(テンプレート!$C189,使用レシピ!$E:$E,0)),""),"")</f>
        <v/>
      </c>
      <c r="K189" t="str">
        <f>IFERROR(IF(INDEX(使用レシピ!L:L,MATCH(テンプレート!$C189,使用レシピ!$E:$E,0))&lt;&gt;0,INDEX(使用レシピ!L:L,MATCH(テンプレート!$C189,使用レシピ!$E:$E,0)),""),"")</f>
        <v/>
      </c>
      <c r="L189" t="str">
        <f>IFERROR(IF(INDEX(使用レシピ!M:M,MATCH(テンプレート!$C189,使用レシピ!$E:$E,0))&lt;&gt;0,INDEX(使用レシピ!M:M,MATCH(テンプレート!$C189,使用レシピ!$E:$E,0)),""),"")</f>
        <v/>
      </c>
      <c r="M189" t="str">
        <f>IFERROR(IF(INDEX(使用レシピ!N:N,MATCH(テンプレート!$C189,使用レシピ!$E:$E,0))&lt;&gt;0,INDEX(使用レシピ!N:N,MATCH(テンプレート!$C189,使用レシピ!$E:$E,0)),""),"")</f>
        <v/>
      </c>
      <c r="N189" s="24" t="str">
        <f>IFERROR(IF(INDEX(使用レシピ!O:O,MATCH(テンプレート!$C189,使用レシピ!$E:$E,0))&lt;&gt;0,INDEX(使用レシピ!O:O,MATCH(テンプレート!$C189,使用レシピ!$E:$E,0)),""),"")</f>
        <v/>
      </c>
      <c r="O189" s="42" t="str">
        <f>IFERROR(IF(INDEX(使用レシピ!P:P,MATCH(テンプレート!$C189,使用レシピ!$E:$E,0))&lt;&gt;0,INDEX(使用レシピ!P:P,MATCH(テンプレート!$C189,使用レシピ!$E:$E,0)),""),"")</f>
        <v/>
      </c>
      <c r="P189" s="25" t="str">
        <f t="shared" si="14"/>
        <v/>
      </c>
      <c r="Q189" s="26" t="str">
        <f t="shared" si="15"/>
        <v/>
      </c>
      <c r="R189" s="26" t="str">
        <f t="shared" si="16"/>
        <v/>
      </c>
      <c r="S189" s="26" t="str">
        <f t="shared" si="17"/>
        <v/>
      </c>
      <c r="T189" s="43" t="str">
        <f t="shared" si="17"/>
        <v/>
      </c>
    </row>
    <row r="190" spans="1:20" x14ac:dyDescent="0.4">
      <c r="A190">
        <v>121111111</v>
      </c>
      <c r="B190" s="47" t="str" cm="1">
        <f t="array" ref="B190">IFERROR((INDEX($P$4:$T$1000,MATCH(VALUE(LEFT($A190,LEN($A190)-1)),$A$4:$A$1000,0),VALUE(RIGHT($A190,1)))/ INDEX($O$4:$O$1000,MATCH(VALUE(LEFT($A190,LEN($A190)-1)),$A$4:$A$1000))) * INDEX($B$4:$B$1000,MATCH(VALUE(LEFT($A190,LEN($A190)-1)),$A$4:$A$1000)),"")</f>
        <v/>
      </c>
      <c r="C190" s="38" t="str" cm="1">
        <f t="array" ref="C190">IFERROR(IF(INDEX($D$4:$H$1000,MATCH(VALUE(LEFT($A190,LEN($A190)-1)),$A$4:$A$1000,0),VALUE(RIGHT($A190,1)))= 0,"",INDEX($D$4:$H$1000,MATCH(VALUE(LEFT($A190,LEN($A190)-1)),$A$4:$A$1000,0),VALUE(RIGHT($A190,1)))),"")</f>
        <v/>
      </c>
      <c r="D190" s="23" t="str">
        <f>IFERROR(IF(INDEX(使用レシピ!F:F,MATCH(テンプレート!$C190,使用レシピ!$E:$E,0))&lt;&gt;0,INDEX(使用レシピ!F:F,MATCH(テンプレート!$C190,使用レシピ!$E:$E,0)),""),"")</f>
        <v/>
      </c>
      <c r="E190" t="str">
        <f>IFERROR(IF(INDEX(使用レシピ!G:G,MATCH(テンプレート!$C190,使用レシピ!$E:$E,0))&lt;&gt;0,INDEX(使用レシピ!G:G,MATCH(テンプレート!$C190,使用レシピ!$E:$E,0)),""),"")</f>
        <v/>
      </c>
      <c r="F190" t="str">
        <f>IFERROR(IF(INDEX(使用レシピ!H:H,MATCH(テンプレート!$C190,使用レシピ!$E:$E,0))&lt;&gt;0,INDEX(使用レシピ!H:H,MATCH(テンプレート!$C190,使用レシピ!$E:$E,0)),""),"")</f>
        <v/>
      </c>
      <c r="G190" t="str">
        <f>IFERROR(IF(INDEX(使用レシピ!I:I,MATCH(テンプレート!$C190,使用レシピ!$E:$E,0))&lt;&gt;0,INDEX(使用レシピ!I:I,MATCH(テンプレート!$C190,使用レシピ!$E:$E,0)),""),"")</f>
        <v/>
      </c>
      <c r="H190" s="24" t="str">
        <f>IFERROR(IF(INDEX(使用レシピ!J:J,MATCH(テンプレート!$C190,使用レシピ!$E:$E,0))&lt;&gt;0,INDEX(使用レシピ!J:J,MATCH(テンプレート!$C190,使用レシピ!$E:$E,0)),""),"")</f>
        <v/>
      </c>
      <c r="I190" s="36" t="str">
        <f>IFERROR(IF(INDEX(使用レシピ!P:P,MATCH(テンプレート!$C190,使用レシピ!$E:$E,0))&lt;&gt;0,INDEX(使用レシピ!P:P,MATCH(テンプレート!$C190,使用レシピ!$E:$E,0)),""),"")</f>
        <v/>
      </c>
      <c r="J190" t="str">
        <f>IFERROR(IF(INDEX(使用レシピ!K:K,MATCH(テンプレート!$C190,使用レシピ!$E:$E,0))&lt;&gt;0,INDEX(使用レシピ!K:K,MATCH(テンプレート!$C190,使用レシピ!$E:$E,0)),""),"")</f>
        <v/>
      </c>
      <c r="K190" t="str">
        <f>IFERROR(IF(INDEX(使用レシピ!L:L,MATCH(テンプレート!$C190,使用レシピ!$E:$E,0))&lt;&gt;0,INDEX(使用レシピ!L:L,MATCH(テンプレート!$C190,使用レシピ!$E:$E,0)),""),"")</f>
        <v/>
      </c>
      <c r="L190" t="str">
        <f>IFERROR(IF(INDEX(使用レシピ!M:M,MATCH(テンプレート!$C190,使用レシピ!$E:$E,0))&lt;&gt;0,INDEX(使用レシピ!M:M,MATCH(テンプレート!$C190,使用レシピ!$E:$E,0)),""),"")</f>
        <v/>
      </c>
      <c r="M190" t="str">
        <f>IFERROR(IF(INDEX(使用レシピ!N:N,MATCH(テンプレート!$C190,使用レシピ!$E:$E,0))&lt;&gt;0,INDEX(使用レシピ!N:N,MATCH(テンプレート!$C190,使用レシピ!$E:$E,0)),""),"")</f>
        <v/>
      </c>
      <c r="N190" s="24" t="str">
        <f>IFERROR(IF(INDEX(使用レシピ!O:O,MATCH(テンプレート!$C190,使用レシピ!$E:$E,0))&lt;&gt;0,INDEX(使用レシピ!O:O,MATCH(テンプレート!$C190,使用レシピ!$E:$E,0)),""),"")</f>
        <v/>
      </c>
      <c r="O190" s="42" t="str">
        <f>IFERROR(IF(INDEX(使用レシピ!P:P,MATCH(テンプレート!$C190,使用レシピ!$E:$E,0))&lt;&gt;0,INDEX(使用レシピ!P:P,MATCH(テンプレート!$C190,使用レシピ!$E:$E,0)),""),"")</f>
        <v/>
      </c>
      <c r="P190" s="25" t="str">
        <f t="shared" si="14"/>
        <v/>
      </c>
      <c r="Q190" s="26" t="str">
        <f t="shared" si="15"/>
        <v/>
      </c>
      <c r="R190" s="26" t="str">
        <f t="shared" si="16"/>
        <v/>
      </c>
      <c r="S190" s="26" t="str">
        <f t="shared" si="17"/>
        <v/>
      </c>
      <c r="T190" s="43" t="str">
        <f t="shared" si="17"/>
        <v/>
      </c>
    </row>
    <row r="191" spans="1:20" x14ac:dyDescent="0.4">
      <c r="A191">
        <v>121111112</v>
      </c>
      <c r="B191" s="47" t="str" cm="1">
        <f t="array" ref="B191">IFERROR((INDEX($P$4:$T$1000,MATCH(VALUE(LEFT($A191,LEN($A191)-1)),$A$4:$A$1000,0),VALUE(RIGHT($A191,1)))/ INDEX($O$4:$O$1000,MATCH(VALUE(LEFT($A191,LEN($A191)-1)),$A$4:$A$1000))) * INDEX($B$4:$B$1000,MATCH(VALUE(LEFT($A191,LEN($A191)-1)),$A$4:$A$1000)),"")</f>
        <v/>
      </c>
      <c r="C191" s="38" t="str" cm="1">
        <f t="array" ref="C191">IFERROR(IF(INDEX($D$4:$H$1000,MATCH(VALUE(LEFT($A191,LEN($A191)-1)),$A$4:$A$1000,0),VALUE(RIGHT($A191,1)))= 0,"",INDEX($D$4:$H$1000,MATCH(VALUE(LEFT($A191,LEN($A191)-1)),$A$4:$A$1000,0),VALUE(RIGHT($A191,1)))),"")</f>
        <v/>
      </c>
      <c r="D191" s="23" t="str">
        <f>IFERROR(IF(INDEX(使用レシピ!F:F,MATCH(テンプレート!$C191,使用レシピ!$E:$E,0))&lt;&gt;0,INDEX(使用レシピ!F:F,MATCH(テンプレート!$C191,使用レシピ!$E:$E,0)),""),"")</f>
        <v/>
      </c>
      <c r="E191" t="str">
        <f>IFERROR(IF(INDEX(使用レシピ!G:G,MATCH(テンプレート!$C191,使用レシピ!$E:$E,0))&lt;&gt;0,INDEX(使用レシピ!G:G,MATCH(テンプレート!$C191,使用レシピ!$E:$E,0)),""),"")</f>
        <v/>
      </c>
      <c r="F191" t="str">
        <f>IFERROR(IF(INDEX(使用レシピ!H:H,MATCH(テンプレート!$C191,使用レシピ!$E:$E,0))&lt;&gt;0,INDEX(使用レシピ!H:H,MATCH(テンプレート!$C191,使用レシピ!$E:$E,0)),""),"")</f>
        <v/>
      </c>
      <c r="G191" t="str">
        <f>IFERROR(IF(INDEX(使用レシピ!I:I,MATCH(テンプレート!$C191,使用レシピ!$E:$E,0))&lt;&gt;0,INDEX(使用レシピ!I:I,MATCH(テンプレート!$C191,使用レシピ!$E:$E,0)),""),"")</f>
        <v/>
      </c>
      <c r="H191" s="24" t="str">
        <f>IFERROR(IF(INDEX(使用レシピ!J:J,MATCH(テンプレート!$C191,使用レシピ!$E:$E,0))&lt;&gt;0,INDEX(使用レシピ!J:J,MATCH(テンプレート!$C191,使用レシピ!$E:$E,0)),""),"")</f>
        <v/>
      </c>
      <c r="I191" s="36" t="str">
        <f>IFERROR(IF(INDEX(使用レシピ!P:P,MATCH(テンプレート!$C191,使用レシピ!$E:$E,0))&lt;&gt;0,INDEX(使用レシピ!P:P,MATCH(テンプレート!$C191,使用レシピ!$E:$E,0)),""),"")</f>
        <v/>
      </c>
      <c r="J191" t="str">
        <f>IFERROR(IF(INDEX(使用レシピ!K:K,MATCH(テンプレート!$C191,使用レシピ!$E:$E,0))&lt;&gt;0,INDEX(使用レシピ!K:K,MATCH(テンプレート!$C191,使用レシピ!$E:$E,0)),""),"")</f>
        <v/>
      </c>
      <c r="K191" t="str">
        <f>IFERROR(IF(INDEX(使用レシピ!L:L,MATCH(テンプレート!$C191,使用レシピ!$E:$E,0))&lt;&gt;0,INDEX(使用レシピ!L:L,MATCH(テンプレート!$C191,使用レシピ!$E:$E,0)),""),"")</f>
        <v/>
      </c>
      <c r="L191" t="str">
        <f>IFERROR(IF(INDEX(使用レシピ!M:M,MATCH(テンプレート!$C191,使用レシピ!$E:$E,0))&lt;&gt;0,INDEX(使用レシピ!M:M,MATCH(テンプレート!$C191,使用レシピ!$E:$E,0)),""),"")</f>
        <v/>
      </c>
      <c r="M191" t="str">
        <f>IFERROR(IF(INDEX(使用レシピ!N:N,MATCH(テンプレート!$C191,使用レシピ!$E:$E,0))&lt;&gt;0,INDEX(使用レシピ!N:N,MATCH(テンプレート!$C191,使用レシピ!$E:$E,0)),""),"")</f>
        <v/>
      </c>
      <c r="N191" s="24" t="str">
        <f>IFERROR(IF(INDEX(使用レシピ!O:O,MATCH(テンプレート!$C191,使用レシピ!$E:$E,0))&lt;&gt;0,INDEX(使用レシピ!O:O,MATCH(テンプレート!$C191,使用レシピ!$E:$E,0)),""),"")</f>
        <v/>
      </c>
      <c r="O191" s="42" t="str">
        <f>IFERROR(IF(INDEX(使用レシピ!P:P,MATCH(テンプレート!$C191,使用レシピ!$E:$E,0))&lt;&gt;0,INDEX(使用レシピ!P:P,MATCH(テンプレート!$C191,使用レシピ!$E:$E,0)),""),"")</f>
        <v/>
      </c>
      <c r="P191" s="25" t="str">
        <f t="shared" si="14"/>
        <v/>
      </c>
      <c r="Q191" s="26" t="str">
        <f t="shared" si="15"/>
        <v/>
      </c>
      <c r="R191" s="26" t="str">
        <f t="shared" si="16"/>
        <v/>
      </c>
      <c r="S191" s="26" t="str">
        <f t="shared" si="17"/>
        <v/>
      </c>
      <c r="T191" s="43" t="str">
        <f t="shared" si="17"/>
        <v/>
      </c>
    </row>
    <row r="192" spans="1:20" x14ac:dyDescent="0.4">
      <c r="A192">
        <v>121121111</v>
      </c>
      <c r="B192" s="47" t="str" cm="1">
        <f t="array" ref="B192">IFERROR((INDEX($P$4:$T$1000,MATCH(VALUE(LEFT($A192,LEN($A192)-1)),$A$4:$A$1000,0),VALUE(RIGHT($A192,1)))/ INDEX($O$4:$O$1000,MATCH(VALUE(LEFT($A192,LEN($A192)-1)),$A$4:$A$1000))) * INDEX($B$4:$B$1000,MATCH(VALUE(LEFT($A192,LEN($A192)-1)),$A$4:$A$1000)),"")</f>
        <v/>
      </c>
      <c r="C192" s="38" t="str" cm="1">
        <f t="array" ref="C192">IFERROR(IF(INDEX($D$4:$H$1000,MATCH(VALUE(LEFT($A192,LEN($A192)-1)),$A$4:$A$1000,0),VALUE(RIGHT($A192,1)))= 0,"",INDEX($D$4:$H$1000,MATCH(VALUE(LEFT($A192,LEN($A192)-1)),$A$4:$A$1000,0),VALUE(RIGHT($A192,1)))),"")</f>
        <v/>
      </c>
      <c r="D192" s="23" t="str">
        <f>IFERROR(IF(INDEX(使用レシピ!F:F,MATCH(テンプレート!$C192,使用レシピ!$E:$E,0))&lt;&gt;0,INDEX(使用レシピ!F:F,MATCH(テンプレート!$C192,使用レシピ!$E:$E,0)),""),"")</f>
        <v/>
      </c>
      <c r="E192" t="str">
        <f>IFERROR(IF(INDEX(使用レシピ!G:G,MATCH(テンプレート!$C192,使用レシピ!$E:$E,0))&lt;&gt;0,INDEX(使用レシピ!G:G,MATCH(テンプレート!$C192,使用レシピ!$E:$E,0)),""),"")</f>
        <v/>
      </c>
      <c r="F192" t="str">
        <f>IFERROR(IF(INDEX(使用レシピ!H:H,MATCH(テンプレート!$C192,使用レシピ!$E:$E,0))&lt;&gt;0,INDEX(使用レシピ!H:H,MATCH(テンプレート!$C192,使用レシピ!$E:$E,0)),""),"")</f>
        <v/>
      </c>
      <c r="G192" t="str">
        <f>IFERROR(IF(INDEX(使用レシピ!I:I,MATCH(テンプレート!$C192,使用レシピ!$E:$E,0))&lt;&gt;0,INDEX(使用レシピ!I:I,MATCH(テンプレート!$C192,使用レシピ!$E:$E,0)),""),"")</f>
        <v/>
      </c>
      <c r="H192" s="24" t="str">
        <f>IFERROR(IF(INDEX(使用レシピ!J:J,MATCH(テンプレート!$C192,使用レシピ!$E:$E,0))&lt;&gt;0,INDEX(使用レシピ!J:J,MATCH(テンプレート!$C192,使用レシピ!$E:$E,0)),""),"")</f>
        <v/>
      </c>
      <c r="I192" s="36" t="str">
        <f>IFERROR(IF(INDEX(使用レシピ!P:P,MATCH(テンプレート!$C192,使用レシピ!$E:$E,0))&lt;&gt;0,INDEX(使用レシピ!P:P,MATCH(テンプレート!$C192,使用レシピ!$E:$E,0)),""),"")</f>
        <v/>
      </c>
      <c r="J192" t="str">
        <f>IFERROR(IF(INDEX(使用レシピ!K:K,MATCH(テンプレート!$C192,使用レシピ!$E:$E,0))&lt;&gt;0,INDEX(使用レシピ!K:K,MATCH(テンプレート!$C192,使用レシピ!$E:$E,0)),""),"")</f>
        <v/>
      </c>
      <c r="K192" t="str">
        <f>IFERROR(IF(INDEX(使用レシピ!L:L,MATCH(テンプレート!$C192,使用レシピ!$E:$E,0))&lt;&gt;0,INDEX(使用レシピ!L:L,MATCH(テンプレート!$C192,使用レシピ!$E:$E,0)),""),"")</f>
        <v/>
      </c>
      <c r="L192" t="str">
        <f>IFERROR(IF(INDEX(使用レシピ!M:M,MATCH(テンプレート!$C192,使用レシピ!$E:$E,0))&lt;&gt;0,INDEX(使用レシピ!M:M,MATCH(テンプレート!$C192,使用レシピ!$E:$E,0)),""),"")</f>
        <v/>
      </c>
      <c r="M192" t="str">
        <f>IFERROR(IF(INDEX(使用レシピ!N:N,MATCH(テンプレート!$C192,使用レシピ!$E:$E,0))&lt;&gt;0,INDEX(使用レシピ!N:N,MATCH(テンプレート!$C192,使用レシピ!$E:$E,0)),""),"")</f>
        <v/>
      </c>
      <c r="N192" s="24" t="str">
        <f>IFERROR(IF(INDEX(使用レシピ!O:O,MATCH(テンプレート!$C192,使用レシピ!$E:$E,0))&lt;&gt;0,INDEX(使用レシピ!O:O,MATCH(テンプレート!$C192,使用レシピ!$E:$E,0)),""),"")</f>
        <v/>
      </c>
      <c r="O192" s="42" t="str">
        <f>IFERROR(IF(INDEX(使用レシピ!P:P,MATCH(テンプレート!$C192,使用レシピ!$E:$E,0))&lt;&gt;0,INDEX(使用レシピ!P:P,MATCH(テンプレート!$C192,使用レシピ!$E:$E,0)),""),"")</f>
        <v/>
      </c>
      <c r="P192" s="25" t="str">
        <f t="shared" si="14"/>
        <v/>
      </c>
      <c r="Q192" s="26" t="str">
        <f t="shared" si="15"/>
        <v/>
      </c>
      <c r="R192" s="26" t="str">
        <f t="shared" si="16"/>
        <v/>
      </c>
      <c r="S192" s="26" t="str">
        <f t="shared" si="17"/>
        <v/>
      </c>
      <c r="T192" s="43" t="str">
        <f t="shared" si="17"/>
        <v/>
      </c>
    </row>
    <row r="193" spans="1:20" x14ac:dyDescent="0.4">
      <c r="A193">
        <v>121121112</v>
      </c>
      <c r="B193" s="47" t="str" cm="1">
        <f t="array" ref="B193">IFERROR((INDEX($P$4:$T$1000,MATCH(VALUE(LEFT($A193,LEN($A193)-1)),$A$4:$A$1000,0),VALUE(RIGHT($A193,1)))/ INDEX($O$4:$O$1000,MATCH(VALUE(LEFT($A193,LEN($A193)-1)),$A$4:$A$1000))) * INDEX($B$4:$B$1000,MATCH(VALUE(LEFT($A193,LEN($A193)-1)),$A$4:$A$1000)),"")</f>
        <v/>
      </c>
      <c r="C193" s="38" t="str" cm="1">
        <f t="array" ref="C193">IFERROR(IF(INDEX($D$4:$H$1000,MATCH(VALUE(LEFT($A193,LEN($A193)-1)),$A$4:$A$1000,0),VALUE(RIGHT($A193,1)))= 0,"",INDEX($D$4:$H$1000,MATCH(VALUE(LEFT($A193,LEN($A193)-1)),$A$4:$A$1000,0),VALUE(RIGHT($A193,1)))),"")</f>
        <v/>
      </c>
      <c r="D193" s="23" t="str">
        <f>IFERROR(IF(INDEX(使用レシピ!F:F,MATCH(テンプレート!$C193,使用レシピ!$E:$E,0))&lt;&gt;0,INDEX(使用レシピ!F:F,MATCH(テンプレート!$C193,使用レシピ!$E:$E,0)),""),"")</f>
        <v/>
      </c>
      <c r="E193" t="str">
        <f>IFERROR(IF(INDEX(使用レシピ!G:G,MATCH(テンプレート!$C193,使用レシピ!$E:$E,0))&lt;&gt;0,INDEX(使用レシピ!G:G,MATCH(テンプレート!$C193,使用レシピ!$E:$E,0)),""),"")</f>
        <v/>
      </c>
      <c r="F193" t="str">
        <f>IFERROR(IF(INDEX(使用レシピ!H:H,MATCH(テンプレート!$C193,使用レシピ!$E:$E,0))&lt;&gt;0,INDEX(使用レシピ!H:H,MATCH(テンプレート!$C193,使用レシピ!$E:$E,0)),""),"")</f>
        <v/>
      </c>
      <c r="G193" t="str">
        <f>IFERROR(IF(INDEX(使用レシピ!I:I,MATCH(テンプレート!$C193,使用レシピ!$E:$E,0))&lt;&gt;0,INDEX(使用レシピ!I:I,MATCH(テンプレート!$C193,使用レシピ!$E:$E,0)),""),"")</f>
        <v/>
      </c>
      <c r="H193" s="24" t="str">
        <f>IFERROR(IF(INDEX(使用レシピ!J:J,MATCH(テンプレート!$C193,使用レシピ!$E:$E,0))&lt;&gt;0,INDEX(使用レシピ!J:J,MATCH(テンプレート!$C193,使用レシピ!$E:$E,0)),""),"")</f>
        <v/>
      </c>
      <c r="I193" s="36" t="str">
        <f>IFERROR(IF(INDEX(使用レシピ!P:P,MATCH(テンプレート!$C193,使用レシピ!$E:$E,0))&lt;&gt;0,INDEX(使用レシピ!P:P,MATCH(テンプレート!$C193,使用レシピ!$E:$E,0)),""),"")</f>
        <v/>
      </c>
      <c r="J193" t="str">
        <f>IFERROR(IF(INDEX(使用レシピ!K:K,MATCH(テンプレート!$C193,使用レシピ!$E:$E,0))&lt;&gt;0,INDEX(使用レシピ!K:K,MATCH(テンプレート!$C193,使用レシピ!$E:$E,0)),""),"")</f>
        <v/>
      </c>
      <c r="K193" t="str">
        <f>IFERROR(IF(INDEX(使用レシピ!L:L,MATCH(テンプレート!$C193,使用レシピ!$E:$E,0))&lt;&gt;0,INDEX(使用レシピ!L:L,MATCH(テンプレート!$C193,使用レシピ!$E:$E,0)),""),"")</f>
        <v/>
      </c>
      <c r="L193" t="str">
        <f>IFERROR(IF(INDEX(使用レシピ!M:M,MATCH(テンプレート!$C193,使用レシピ!$E:$E,0))&lt;&gt;0,INDEX(使用レシピ!M:M,MATCH(テンプレート!$C193,使用レシピ!$E:$E,0)),""),"")</f>
        <v/>
      </c>
      <c r="M193" t="str">
        <f>IFERROR(IF(INDEX(使用レシピ!N:N,MATCH(テンプレート!$C193,使用レシピ!$E:$E,0))&lt;&gt;0,INDEX(使用レシピ!N:N,MATCH(テンプレート!$C193,使用レシピ!$E:$E,0)),""),"")</f>
        <v/>
      </c>
      <c r="N193" s="24" t="str">
        <f>IFERROR(IF(INDEX(使用レシピ!O:O,MATCH(テンプレート!$C193,使用レシピ!$E:$E,0))&lt;&gt;0,INDEX(使用レシピ!O:O,MATCH(テンプレート!$C193,使用レシピ!$E:$E,0)),""),"")</f>
        <v/>
      </c>
      <c r="O193" s="42" t="str">
        <f>IFERROR(IF(INDEX(使用レシピ!P:P,MATCH(テンプレート!$C193,使用レシピ!$E:$E,0))&lt;&gt;0,INDEX(使用レシピ!P:P,MATCH(テンプレート!$C193,使用レシピ!$E:$E,0)),""),"")</f>
        <v/>
      </c>
      <c r="P193" s="25" t="str">
        <f t="shared" si="14"/>
        <v/>
      </c>
      <c r="Q193" s="26" t="str">
        <f t="shared" si="15"/>
        <v/>
      </c>
      <c r="R193" s="26" t="str">
        <f t="shared" si="16"/>
        <v/>
      </c>
      <c r="S193" s="26" t="str">
        <f t="shared" si="17"/>
        <v/>
      </c>
      <c r="T193" s="43" t="str">
        <f t="shared" si="17"/>
        <v/>
      </c>
    </row>
    <row r="194" spans="1:20" x14ac:dyDescent="0.4">
      <c r="A194">
        <v>1111111411</v>
      </c>
      <c r="B194" s="47" t="str" cm="1">
        <f t="array" ref="B194">IFERROR((INDEX($P$4:$T$1000,MATCH(VALUE(LEFT($A194,LEN($A194)-1)),$A$4:$A$1000,0),VALUE(RIGHT($A194,1)))/ INDEX($O$4:$O$1000,MATCH(VALUE(LEFT($A194,LEN($A194)-1)),$A$4:$A$1000))) * INDEX($B$4:$B$1000,MATCH(VALUE(LEFT($A194,LEN($A194)-1)),$A$4:$A$1000)),"")</f>
        <v/>
      </c>
      <c r="C194" s="38" t="str" cm="1">
        <f t="array" ref="C194">IFERROR(IF(INDEX($D$4:$H$1000,MATCH(VALUE(LEFT($A194,LEN($A194)-1)),$A$4:$A$1000,0),VALUE(RIGHT($A194,1)))= 0,"",INDEX($D$4:$H$1000,MATCH(VALUE(LEFT($A194,LEN($A194)-1)),$A$4:$A$1000,0),VALUE(RIGHT($A194,1)))),"")</f>
        <v/>
      </c>
      <c r="D194" s="23" t="str">
        <f>IFERROR(IF(INDEX(使用レシピ!F:F,MATCH(テンプレート!$C194,使用レシピ!$E:$E,0))&lt;&gt;0,INDEX(使用レシピ!F:F,MATCH(テンプレート!$C194,使用レシピ!$E:$E,0)),""),"")</f>
        <v/>
      </c>
      <c r="E194" t="str">
        <f>IFERROR(IF(INDEX(使用レシピ!G:G,MATCH(テンプレート!$C194,使用レシピ!$E:$E,0))&lt;&gt;0,INDEX(使用レシピ!G:G,MATCH(テンプレート!$C194,使用レシピ!$E:$E,0)),""),"")</f>
        <v/>
      </c>
      <c r="F194" t="str">
        <f>IFERROR(IF(INDEX(使用レシピ!H:H,MATCH(テンプレート!$C194,使用レシピ!$E:$E,0))&lt;&gt;0,INDEX(使用レシピ!H:H,MATCH(テンプレート!$C194,使用レシピ!$E:$E,0)),""),"")</f>
        <v/>
      </c>
      <c r="G194" t="str">
        <f>IFERROR(IF(INDEX(使用レシピ!I:I,MATCH(テンプレート!$C194,使用レシピ!$E:$E,0))&lt;&gt;0,INDEX(使用レシピ!I:I,MATCH(テンプレート!$C194,使用レシピ!$E:$E,0)),""),"")</f>
        <v/>
      </c>
      <c r="H194" s="24" t="str">
        <f>IFERROR(IF(INDEX(使用レシピ!J:J,MATCH(テンプレート!$C194,使用レシピ!$E:$E,0))&lt;&gt;0,INDEX(使用レシピ!J:J,MATCH(テンプレート!$C194,使用レシピ!$E:$E,0)),""),"")</f>
        <v/>
      </c>
      <c r="I194" s="36" t="str">
        <f>IFERROR(IF(INDEX(使用レシピ!P:P,MATCH(テンプレート!$C194,使用レシピ!$E:$E,0))&lt;&gt;0,INDEX(使用レシピ!P:P,MATCH(テンプレート!$C194,使用レシピ!$E:$E,0)),""),"")</f>
        <v/>
      </c>
      <c r="J194" t="str">
        <f>IFERROR(IF(INDEX(使用レシピ!K:K,MATCH(テンプレート!$C194,使用レシピ!$E:$E,0))&lt;&gt;0,INDEX(使用レシピ!K:K,MATCH(テンプレート!$C194,使用レシピ!$E:$E,0)),""),"")</f>
        <v/>
      </c>
      <c r="K194" t="str">
        <f>IFERROR(IF(INDEX(使用レシピ!L:L,MATCH(テンプレート!$C194,使用レシピ!$E:$E,0))&lt;&gt;0,INDEX(使用レシピ!L:L,MATCH(テンプレート!$C194,使用レシピ!$E:$E,0)),""),"")</f>
        <v/>
      </c>
      <c r="L194" t="str">
        <f>IFERROR(IF(INDEX(使用レシピ!M:M,MATCH(テンプレート!$C194,使用レシピ!$E:$E,0))&lt;&gt;0,INDEX(使用レシピ!M:M,MATCH(テンプレート!$C194,使用レシピ!$E:$E,0)),""),"")</f>
        <v/>
      </c>
      <c r="M194" t="str">
        <f>IFERROR(IF(INDEX(使用レシピ!N:N,MATCH(テンプレート!$C194,使用レシピ!$E:$E,0))&lt;&gt;0,INDEX(使用レシピ!N:N,MATCH(テンプレート!$C194,使用レシピ!$E:$E,0)),""),"")</f>
        <v/>
      </c>
      <c r="N194" s="24" t="str">
        <f>IFERROR(IF(INDEX(使用レシピ!O:O,MATCH(テンプレート!$C194,使用レシピ!$E:$E,0))&lt;&gt;0,INDEX(使用レシピ!O:O,MATCH(テンプレート!$C194,使用レシピ!$E:$E,0)),""),"")</f>
        <v/>
      </c>
      <c r="O194" s="42" t="str">
        <f>IFERROR(IF(INDEX(使用レシピ!P:P,MATCH(テンプレート!$C194,使用レシピ!$E:$E,0))&lt;&gt;0,INDEX(使用レシピ!P:P,MATCH(テンプレート!$C194,使用レシピ!$E:$E,0)),""),"")</f>
        <v/>
      </c>
      <c r="P194" s="25" t="str">
        <f t="shared" si="14"/>
        <v/>
      </c>
      <c r="Q194" s="26" t="str">
        <f t="shared" si="15"/>
        <v/>
      </c>
      <c r="R194" s="26" t="str">
        <f t="shared" si="16"/>
        <v/>
      </c>
      <c r="S194" s="26" t="str">
        <f t="shared" si="17"/>
        <v/>
      </c>
      <c r="T194" s="43" t="str">
        <f t="shared" si="17"/>
        <v/>
      </c>
    </row>
    <row r="195" spans="1:20" x14ac:dyDescent="0.4">
      <c r="A195">
        <v>1111111412</v>
      </c>
      <c r="B195" s="47" t="str" cm="1">
        <f t="array" ref="B195">IFERROR((INDEX($P$4:$T$1000,MATCH(VALUE(LEFT($A195,LEN($A195)-1)),$A$4:$A$1000,0),VALUE(RIGHT($A195,1)))/ INDEX($O$4:$O$1000,MATCH(VALUE(LEFT($A195,LEN($A195)-1)),$A$4:$A$1000))) * INDEX($B$4:$B$1000,MATCH(VALUE(LEFT($A195,LEN($A195)-1)),$A$4:$A$1000)),"")</f>
        <v/>
      </c>
      <c r="C195" s="38" t="str" cm="1">
        <f t="array" ref="C195">IFERROR(IF(INDEX($D$4:$H$1000,MATCH(VALUE(LEFT($A195,LEN($A195)-1)),$A$4:$A$1000,0),VALUE(RIGHT($A195,1)))= 0,"",INDEX($D$4:$H$1000,MATCH(VALUE(LEFT($A195,LEN($A195)-1)),$A$4:$A$1000,0),VALUE(RIGHT($A195,1)))),"")</f>
        <v/>
      </c>
      <c r="D195" s="23" t="str">
        <f>IFERROR(IF(INDEX(使用レシピ!F:F,MATCH(テンプレート!$C195,使用レシピ!$E:$E,0))&lt;&gt;0,INDEX(使用レシピ!F:F,MATCH(テンプレート!$C195,使用レシピ!$E:$E,0)),""),"")</f>
        <v/>
      </c>
      <c r="E195" t="str">
        <f>IFERROR(IF(INDEX(使用レシピ!G:G,MATCH(テンプレート!$C195,使用レシピ!$E:$E,0))&lt;&gt;0,INDEX(使用レシピ!G:G,MATCH(テンプレート!$C195,使用レシピ!$E:$E,0)),""),"")</f>
        <v/>
      </c>
      <c r="F195" t="str">
        <f>IFERROR(IF(INDEX(使用レシピ!H:H,MATCH(テンプレート!$C195,使用レシピ!$E:$E,0))&lt;&gt;0,INDEX(使用レシピ!H:H,MATCH(テンプレート!$C195,使用レシピ!$E:$E,0)),""),"")</f>
        <v/>
      </c>
      <c r="G195" t="str">
        <f>IFERROR(IF(INDEX(使用レシピ!I:I,MATCH(テンプレート!$C195,使用レシピ!$E:$E,0))&lt;&gt;0,INDEX(使用レシピ!I:I,MATCH(テンプレート!$C195,使用レシピ!$E:$E,0)),""),"")</f>
        <v/>
      </c>
      <c r="H195" s="24" t="str">
        <f>IFERROR(IF(INDEX(使用レシピ!J:J,MATCH(テンプレート!$C195,使用レシピ!$E:$E,0))&lt;&gt;0,INDEX(使用レシピ!J:J,MATCH(テンプレート!$C195,使用レシピ!$E:$E,0)),""),"")</f>
        <v/>
      </c>
      <c r="I195" s="36" t="str">
        <f>IFERROR(IF(INDEX(使用レシピ!P:P,MATCH(テンプレート!$C195,使用レシピ!$E:$E,0))&lt;&gt;0,INDEX(使用レシピ!P:P,MATCH(テンプレート!$C195,使用レシピ!$E:$E,0)),""),"")</f>
        <v/>
      </c>
      <c r="J195" t="str">
        <f>IFERROR(IF(INDEX(使用レシピ!K:K,MATCH(テンプレート!$C195,使用レシピ!$E:$E,0))&lt;&gt;0,INDEX(使用レシピ!K:K,MATCH(テンプレート!$C195,使用レシピ!$E:$E,0)),""),"")</f>
        <v/>
      </c>
      <c r="K195" t="str">
        <f>IFERROR(IF(INDEX(使用レシピ!L:L,MATCH(テンプレート!$C195,使用レシピ!$E:$E,0))&lt;&gt;0,INDEX(使用レシピ!L:L,MATCH(テンプレート!$C195,使用レシピ!$E:$E,0)),""),"")</f>
        <v/>
      </c>
      <c r="L195" t="str">
        <f>IFERROR(IF(INDEX(使用レシピ!M:M,MATCH(テンプレート!$C195,使用レシピ!$E:$E,0))&lt;&gt;0,INDEX(使用レシピ!M:M,MATCH(テンプレート!$C195,使用レシピ!$E:$E,0)),""),"")</f>
        <v/>
      </c>
      <c r="M195" t="str">
        <f>IFERROR(IF(INDEX(使用レシピ!N:N,MATCH(テンプレート!$C195,使用レシピ!$E:$E,0))&lt;&gt;0,INDEX(使用レシピ!N:N,MATCH(テンプレート!$C195,使用レシピ!$E:$E,0)),""),"")</f>
        <v/>
      </c>
      <c r="N195" s="24" t="str">
        <f>IFERROR(IF(INDEX(使用レシピ!O:O,MATCH(テンプレート!$C195,使用レシピ!$E:$E,0))&lt;&gt;0,INDEX(使用レシピ!O:O,MATCH(テンプレート!$C195,使用レシピ!$E:$E,0)),""),"")</f>
        <v/>
      </c>
      <c r="O195" s="42" t="str">
        <f>IFERROR(IF(INDEX(使用レシピ!P:P,MATCH(テンプレート!$C195,使用レシピ!$E:$E,0))&lt;&gt;0,INDEX(使用レシピ!P:P,MATCH(テンプレート!$C195,使用レシピ!$E:$E,0)),""),"")</f>
        <v/>
      </c>
      <c r="P195" s="25" t="str">
        <f t="shared" si="14"/>
        <v/>
      </c>
      <c r="Q195" s="26" t="str">
        <f t="shared" si="15"/>
        <v/>
      </c>
      <c r="R195" s="26" t="str">
        <f t="shared" si="16"/>
        <v/>
      </c>
      <c r="S195" s="26" t="str">
        <f t="shared" si="17"/>
        <v/>
      </c>
      <c r="T195" s="43" t="str">
        <f t="shared" si="17"/>
        <v/>
      </c>
    </row>
    <row r="196" spans="1:20" x14ac:dyDescent="0.4">
      <c r="A196">
        <v>1111112111</v>
      </c>
      <c r="B196" s="47" cm="1">
        <f t="array" ref="B196">IFERROR((INDEX($P$4:$T$1000,MATCH(VALUE(LEFT($A196,LEN($A196)-1)),$A$4:$A$1000,0),VALUE(RIGHT($A196,1)))/ INDEX($O$4:$O$1000,MATCH(VALUE(LEFT($A196,LEN($A196)-1)),$A$4:$A$1000))) * INDEX($B$4:$B$1000,MATCH(VALUE(LEFT($A196,LEN($A196)-1)),$A$4:$A$1000)),"")</f>
        <v>648</v>
      </c>
      <c r="C196" s="38" t="str" cm="1">
        <f t="array" ref="C196">IFERROR(IF(INDEX($D$4:$H$1000,MATCH(VALUE(LEFT($A196,LEN($A196)-1)),$A$4:$A$1000,0),VALUE(RIGHT($A196,1)))= 0,"",INDEX($D$4:$H$1000,MATCH(VALUE(LEFT($A196,LEN($A196)-1)),$A$4:$A$1000,0),VALUE(RIGHT($A196,1)))),"")</f>
        <v>鉄のインゴット</v>
      </c>
      <c r="D196" s="23" t="str">
        <f>IFERROR(IF(INDEX(使用レシピ!F:F,MATCH(テンプレート!$C196,使用レシピ!$E:$E,0))&lt;&gt;0,INDEX(使用レシピ!F:F,MATCH(テンプレート!$C196,使用レシピ!$E:$E,0)),""),"")</f>
        <v>鉄鉱石</v>
      </c>
      <c r="E196" t="str">
        <f>IFERROR(IF(INDEX(使用レシピ!G:G,MATCH(テンプレート!$C196,使用レシピ!$E:$E,0))&lt;&gt;0,INDEX(使用レシピ!G:G,MATCH(テンプレート!$C196,使用レシピ!$E:$E,0)),""),"")</f>
        <v>水</v>
      </c>
      <c r="F196" t="str">
        <f>IFERROR(IF(INDEX(使用レシピ!H:H,MATCH(テンプレート!$C196,使用レシピ!$E:$E,0))&lt;&gt;0,INDEX(使用レシピ!H:H,MATCH(テンプレート!$C196,使用レシピ!$E:$E,0)),""),"")</f>
        <v/>
      </c>
      <c r="G196" t="str">
        <f>IFERROR(IF(INDEX(使用レシピ!I:I,MATCH(テンプレート!$C196,使用レシピ!$E:$E,0))&lt;&gt;0,INDEX(使用レシピ!I:I,MATCH(テンプレート!$C196,使用レシピ!$E:$E,0)),""),"")</f>
        <v/>
      </c>
      <c r="H196" s="24" t="str">
        <f>IFERROR(IF(INDEX(使用レシピ!J:J,MATCH(テンプレート!$C196,使用レシピ!$E:$E,0))&lt;&gt;0,INDEX(使用レシピ!J:J,MATCH(テンプレート!$C196,使用レシピ!$E:$E,0)),""),"")</f>
        <v/>
      </c>
      <c r="I196" s="36">
        <f>IFERROR(IF(INDEX(使用レシピ!P:P,MATCH(テンプレート!$C196,使用レシピ!$E:$E,0))&lt;&gt;0,INDEX(使用レシピ!P:P,MATCH(テンプレート!$C196,使用レシピ!$E:$E,0)),""),"")</f>
        <v>13</v>
      </c>
      <c r="J196">
        <f>IFERROR(IF(INDEX(使用レシピ!K:K,MATCH(テンプレート!$C196,使用レシピ!$E:$E,0))&lt;&gt;0,INDEX(使用レシピ!K:K,MATCH(テンプレート!$C196,使用レシピ!$E:$E,0)),""),"")</f>
        <v>7</v>
      </c>
      <c r="K196">
        <f>IFERROR(IF(INDEX(使用レシピ!L:L,MATCH(テンプレート!$C196,使用レシピ!$E:$E,0))&lt;&gt;0,INDEX(使用レシピ!L:L,MATCH(テンプレート!$C196,使用レシピ!$E:$E,0)),""),"")</f>
        <v>4</v>
      </c>
      <c r="L196" t="str">
        <f>IFERROR(IF(INDEX(使用レシピ!M:M,MATCH(テンプレート!$C196,使用レシピ!$E:$E,0))&lt;&gt;0,INDEX(使用レシピ!M:M,MATCH(テンプレート!$C196,使用レシピ!$E:$E,0)),""),"")</f>
        <v/>
      </c>
      <c r="M196" t="str">
        <f>IFERROR(IF(INDEX(使用レシピ!N:N,MATCH(テンプレート!$C196,使用レシピ!$E:$E,0))&lt;&gt;0,INDEX(使用レシピ!N:N,MATCH(テンプレート!$C196,使用レシピ!$E:$E,0)),""),"")</f>
        <v/>
      </c>
      <c r="N196" s="24" t="str">
        <f>IFERROR(IF(INDEX(使用レシピ!O:O,MATCH(テンプレート!$C196,使用レシピ!$E:$E,0))&lt;&gt;0,INDEX(使用レシピ!O:O,MATCH(テンプレート!$C196,使用レシピ!$E:$E,0)),""),"")</f>
        <v/>
      </c>
      <c r="O196" s="42">
        <f>IFERROR(IF(INDEX(使用レシピ!P:P,MATCH(テンプレート!$C196,使用レシピ!$E:$E,0))&lt;&gt;0,INDEX(使用レシピ!P:P,MATCH(テンプレート!$C196,使用レシピ!$E:$E,0)),""),"")</f>
        <v>13</v>
      </c>
      <c r="P196" s="25">
        <f t="shared" si="14"/>
        <v>7</v>
      </c>
      <c r="Q196" s="26">
        <f t="shared" si="15"/>
        <v>4</v>
      </c>
      <c r="R196" s="26" t="str">
        <f t="shared" si="16"/>
        <v/>
      </c>
      <c r="S196" s="26" t="str">
        <f t="shared" si="17"/>
        <v/>
      </c>
      <c r="T196" s="43" t="str">
        <f t="shared" si="17"/>
        <v/>
      </c>
    </row>
    <row r="197" spans="1:20" x14ac:dyDescent="0.4">
      <c r="A197">
        <v>1111112112</v>
      </c>
      <c r="B197" s="47" cm="1">
        <f t="array" ref="B197">IFERROR((INDEX($P$4:$T$1000,MATCH(VALUE(LEFT($A197,LEN($A197)-1)),$A$4:$A$1000,0),VALUE(RIGHT($A197,1)))/ INDEX($O$4:$O$1000,MATCH(VALUE(LEFT($A197,LEN($A197)-1)),$A$4:$A$1000))) * INDEX($B$4:$B$1000,MATCH(VALUE(LEFT($A197,LEN($A197)-1)),$A$4:$A$1000)),"")</f>
        <v>648</v>
      </c>
      <c r="C197" s="38" t="str" cm="1">
        <f t="array" ref="C197">IFERROR(IF(INDEX($D$4:$H$1000,MATCH(VALUE(LEFT($A197,LEN($A197)-1)),$A$4:$A$1000,0),VALUE(RIGHT($A197,1)))= 0,"",INDEX($D$4:$H$1000,MATCH(VALUE(LEFT($A197,LEN($A197)-1)),$A$4:$A$1000,0),VALUE(RIGHT($A197,1)))),"")</f>
        <v>石炭</v>
      </c>
      <c r="D197" s="23" t="str">
        <f>IFERROR(IF(INDEX(使用レシピ!F:F,MATCH(テンプレート!$C197,使用レシピ!$E:$E,0))&lt;&gt;0,INDEX(使用レシピ!F:F,MATCH(テンプレート!$C197,使用レシピ!$E:$E,0)),""),"")</f>
        <v/>
      </c>
      <c r="E197" t="str">
        <f>IFERROR(IF(INDEX(使用レシピ!G:G,MATCH(テンプレート!$C197,使用レシピ!$E:$E,0))&lt;&gt;0,INDEX(使用レシピ!G:G,MATCH(テンプレート!$C197,使用レシピ!$E:$E,0)),""),"")</f>
        <v/>
      </c>
      <c r="F197" t="str">
        <f>IFERROR(IF(INDEX(使用レシピ!H:H,MATCH(テンプレート!$C197,使用レシピ!$E:$E,0))&lt;&gt;0,INDEX(使用レシピ!H:H,MATCH(テンプレート!$C197,使用レシピ!$E:$E,0)),""),"")</f>
        <v/>
      </c>
      <c r="G197" t="str">
        <f>IFERROR(IF(INDEX(使用レシピ!I:I,MATCH(テンプレート!$C197,使用レシピ!$E:$E,0))&lt;&gt;0,INDEX(使用レシピ!I:I,MATCH(テンプレート!$C197,使用レシピ!$E:$E,0)),""),"")</f>
        <v/>
      </c>
      <c r="H197" s="24" t="str">
        <f>IFERROR(IF(INDEX(使用レシピ!J:J,MATCH(テンプレート!$C197,使用レシピ!$E:$E,0))&lt;&gt;0,INDEX(使用レシピ!J:J,MATCH(テンプレート!$C197,使用レシピ!$E:$E,0)),""),"")</f>
        <v/>
      </c>
      <c r="I197" s="36">
        <f>IFERROR(IF(INDEX(使用レシピ!P:P,MATCH(テンプレート!$C197,使用レシピ!$E:$E,0))&lt;&gt;0,INDEX(使用レシピ!P:P,MATCH(テンプレート!$C197,使用レシピ!$E:$E,0)),""),"")</f>
        <v>1</v>
      </c>
      <c r="J197" t="str">
        <f>IFERROR(IF(INDEX(使用レシピ!K:K,MATCH(テンプレート!$C197,使用レシピ!$E:$E,0))&lt;&gt;0,INDEX(使用レシピ!K:K,MATCH(テンプレート!$C197,使用レシピ!$E:$E,0)),""),"")</f>
        <v/>
      </c>
      <c r="K197" t="str">
        <f>IFERROR(IF(INDEX(使用レシピ!L:L,MATCH(テンプレート!$C197,使用レシピ!$E:$E,0))&lt;&gt;0,INDEX(使用レシピ!L:L,MATCH(テンプレート!$C197,使用レシピ!$E:$E,0)),""),"")</f>
        <v/>
      </c>
      <c r="L197" t="str">
        <f>IFERROR(IF(INDEX(使用レシピ!M:M,MATCH(テンプレート!$C197,使用レシピ!$E:$E,0))&lt;&gt;0,INDEX(使用レシピ!M:M,MATCH(テンプレート!$C197,使用レシピ!$E:$E,0)),""),"")</f>
        <v/>
      </c>
      <c r="M197" t="str">
        <f>IFERROR(IF(INDEX(使用レシピ!N:N,MATCH(テンプレート!$C197,使用レシピ!$E:$E,0))&lt;&gt;0,INDEX(使用レシピ!N:N,MATCH(テンプレート!$C197,使用レシピ!$E:$E,0)),""),"")</f>
        <v/>
      </c>
      <c r="N197" s="24" t="str">
        <f>IFERROR(IF(INDEX(使用レシピ!O:O,MATCH(テンプレート!$C197,使用レシピ!$E:$E,0))&lt;&gt;0,INDEX(使用レシピ!O:O,MATCH(テンプレート!$C197,使用レシピ!$E:$E,0)),""),"")</f>
        <v/>
      </c>
      <c r="O197" s="42">
        <f>IFERROR(IF(INDEX(使用レシピ!P:P,MATCH(テンプレート!$C197,使用レシピ!$E:$E,0))&lt;&gt;0,INDEX(使用レシピ!P:P,MATCH(テンプレート!$C197,使用レシピ!$E:$E,0)),""),"")</f>
        <v>1</v>
      </c>
      <c r="P197" s="25" t="str">
        <f t="shared" ref="P197:P260" si="18">IFERROR(IF($O197/$I197*J197 &gt; 0,$O197/$I197*J197,""),"")</f>
        <v/>
      </c>
      <c r="Q197" s="26" t="str">
        <f t="shared" ref="Q197:Q260" si="19">IFERROR(IF($O197/$I197*K197 &gt; 0,$O197/$I197*K197,""),"")</f>
        <v/>
      </c>
      <c r="R197" s="26" t="str">
        <f t="shared" ref="R197:R260" si="20">IFERROR(IF($O197/$I197*L197 &gt; 0,$O197/$I197*L197,""),"")</f>
        <v/>
      </c>
      <c r="S197" s="26" t="str">
        <f t="shared" ref="S197:T260" si="21">IFERROR(IF($O197/$I197*M197 &gt; 0,$O197/$I197*M197,""),"")</f>
        <v/>
      </c>
      <c r="T197" s="43" t="str">
        <f t="shared" si="21"/>
        <v/>
      </c>
    </row>
    <row r="198" spans="1:20" x14ac:dyDescent="0.4">
      <c r="A198">
        <v>1111112121</v>
      </c>
      <c r="B198" s="47" cm="1">
        <f t="array" ref="B198">IFERROR((INDEX($P$4:$T$1000,MATCH(VALUE(LEFT($A198,LEN($A198)-1)),$A$4:$A$1000,0),VALUE(RIGHT($A198,1)))/ INDEX($O$4:$O$1000,MATCH(VALUE(LEFT($A198,LEN($A198)-1)),$A$4:$A$1000))) * INDEX($B$4:$B$1000,MATCH(VALUE(LEFT($A198,LEN($A198)-1)),$A$4:$A$1000)),"")</f>
        <v>874.8</v>
      </c>
      <c r="C198" s="38" t="str" cm="1">
        <f t="array" ref="C198">IFERROR(IF(INDEX($D$4:$H$1000,MATCH(VALUE(LEFT($A198,LEN($A198)-1)),$A$4:$A$1000,0),VALUE(RIGHT($A198,1)))= 0,"",INDEX($D$4:$H$1000,MATCH(VALUE(LEFT($A198,LEN($A198)-1)),$A$4:$A$1000,0),VALUE(RIGHT($A198,1)))),"")</f>
        <v>石灰岩</v>
      </c>
      <c r="D198" s="23" t="str">
        <f>IFERROR(IF(INDEX(使用レシピ!F:F,MATCH(テンプレート!$C198,使用レシピ!$E:$E,0))&lt;&gt;0,INDEX(使用レシピ!F:F,MATCH(テンプレート!$C198,使用レシピ!$E:$E,0)),""),"")</f>
        <v/>
      </c>
      <c r="E198" t="str">
        <f>IFERROR(IF(INDEX(使用レシピ!G:G,MATCH(テンプレート!$C198,使用レシピ!$E:$E,0))&lt;&gt;0,INDEX(使用レシピ!G:G,MATCH(テンプレート!$C198,使用レシピ!$E:$E,0)),""),"")</f>
        <v/>
      </c>
      <c r="F198" t="str">
        <f>IFERROR(IF(INDEX(使用レシピ!H:H,MATCH(テンプレート!$C198,使用レシピ!$E:$E,0))&lt;&gt;0,INDEX(使用レシピ!H:H,MATCH(テンプレート!$C198,使用レシピ!$E:$E,0)),""),"")</f>
        <v/>
      </c>
      <c r="G198" t="str">
        <f>IFERROR(IF(INDEX(使用レシピ!I:I,MATCH(テンプレート!$C198,使用レシピ!$E:$E,0))&lt;&gt;0,INDEX(使用レシピ!I:I,MATCH(テンプレート!$C198,使用レシピ!$E:$E,0)),""),"")</f>
        <v/>
      </c>
      <c r="H198" s="24" t="str">
        <f>IFERROR(IF(INDEX(使用レシピ!J:J,MATCH(テンプレート!$C198,使用レシピ!$E:$E,0))&lt;&gt;0,INDEX(使用レシピ!J:J,MATCH(テンプレート!$C198,使用レシピ!$E:$E,0)),""),"")</f>
        <v/>
      </c>
      <c r="I198" s="36">
        <f>IFERROR(IF(INDEX(使用レシピ!P:P,MATCH(テンプレート!$C198,使用レシピ!$E:$E,0))&lt;&gt;0,INDEX(使用レシピ!P:P,MATCH(テンプレート!$C198,使用レシピ!$E:$E,0)),""),"")</f>
        <v>1</v>
      </c>
      <c r="J198" t="str">
        <f>IFERROR(IF(INDEX(使用レシピ!K:K,MATCH(テンプレート!$C198,使用レシピ!$E:$E,0))&lt;&gt;0,INDEX(使用レシピ!K:K,MATCH(テンプレート!$C198,使用レシピ!$E:$E,0)),""),"")</f>
        <v/>
      </c>
      <c r="K198" t="str">
        <f>IFERROR(IF(INDEX(使用レシピ!L:L,MATCH(テンプレート!$C198,使用レシピ!$E:$E,0))&lt;&gt;0,INDEX(使用レシピ!L:L,MATCH(テンプレート!$C198,使用レシピ!$E:$E,0)),""),"")</f>
        <v/>
      </c>
      <c r="L198" t="str">
        <f>IFERROR(IF(INDEX(使用レシピ!M:M,MATCH(テンプレート!$C198,使用レシピ!$E:$E,0))&lt;&gt;0,INDEX(使用レシピ!M:M,MATCH(テンプレート!$C198,使用レシピ!$E:$E,0)),""),"")</f>
        <v/>
      </c>
      <c r="M198" t="str">
        <f>IFERROR(IF(INDEX(使用レシピ!N:N,MATCH(テンプレート!$C198,使用レシピ!$E:$E,0))&lt;&gt;0,INDEX(使用レシピ!N:N,MATCH(テンプレート!$C198,使用レシピ!$E:$E,0)),""),"")</f>
        <v/>
      </c>
      <c r="N198" s="24" t="str">
        <f>IFERROR(IF(INDEX(使用レシピ!O:O,MATCH(テンプレート!$C198,使用レシピ!$E:$E,0))&lt;&gt;0,INDEX(使用レシピ!O:O,MATCH(テンプレート!$C198,使用レシピ!$E:$E,0)),""),"")</f>
        <v/>
      </c>
      <c r="O198" s="42">
        <f>IFERROR(IF(INDEX(使用レシピ!P:P,MATCH(テンプレート!$C198,使用レシピ!$E:$E,0))&lt;&gt;0,INDEX(使用レシピ!P:P,MATCH(テンプレート!$C198,使用レシピ!$E:$E,0)),""),"")</f>
        <v>1</v>
      </c>
      <c r="P198" s="25" t="str">
        <f t="shared" si="18"/>
        <v/>
      </c>
      <c r="Q198" s="26" t="str">
        <f t="shared" si="19"/>
        <v/>
      </c>
      <c r="R198" s="26" t="str">
        <f t="shared" si="20"/>
        <v/>
      </c>
      <c r="S198" s="26" t="str">
        <f t="shared" si="21"/>
        <v/>
      </c>
      <c r="T198" s="43" t="str">
        <f t="shared" si="21"/>
        <v/>
      </c>
    </row>
    <row r="199" spans="1:20" x14ac:dyDescent="0.4">
      <c r="A199">
        <v>1111112211</v>
      </c>
      <c r="B199" s="47" t="str" cm="1">
        <f t="array" ref="B199">IFERROR((INDEX($P$4:$T$1000,MATCH(VALUE(LEFT($A199,LEN($A199)-1)),$A$4:$A$1000,0),VALUE(RIGHT($A199,1)))/ INDEX($O$4:$O$1000,MATCH(VALUE(LEFT($A199,LEN($A199)-1)),$A$4:$A$1000))) * INDEX($B$4:$B$1000,MATCH(VALUE(LEFT($A199,LEN($A199)-1)),$A$4:$A$1000)),"")</f>
        <v/>
      </c>
      <c r="C199" s="38" t="str" cm="1">
        <f t="array" ref="C199">IFERROR(IF(INDEX($D$4:$H$1000,MATCH(VALUE(LEFT($A199,LEN($A199)-1)),$A$4:$A$1000,0),VALUE(RIGHT($A199,1)))= 0,"",INDEX($D$4:$H$1000,MATCH(VALUE(LEFT($A199,LEN($A199)-1)),$A$4:$A$1000,0),VALUE(RIGHT($A199,1)))),"")</f>
        <v/>
      </c>
      <c r="D199" s="23" t="str">
        <f>IFERROR(IF(INDEX(使用レシピ!F:F,MATCH(テンプレート!$C199,使用レシピ!$E:$E,0))&lt;&gt;0,INDEX(使用レシピ!F:F,MATCH(テンプレート!$C199,使用レシピ!$E:$E,0)),""),"")</f>
        <v/>
      </c>
      <c r="E199" t="str">
        <f>IFERROR(IF(INDEX(使用レシピ!G:G,MATCH(テンプレート!$C199,使用レシピ!$E:$E,0))&lt;&gt;0,INDEX(使用レシピ!G:G,MATCH(テンプレート!$C199,使用レシピ!$E:$E,0)),""),"")</f>
        <v/>
      </c>
      <c r="F199" t="str">
        <f>IFERROR(IF(INDEX(使用レシピ!H:H,MATCH(テンプレート!$C199,使用レシピ!$E:$E,0))&lt;&gt;0,INDEX(使用レシピ!H:H,MATCH(テンプレート!$C199,使用レシピ!$E:$E,0)),""),"")</f>
        <v/>
      </c>
      <c r="G199" t="str">
        <f>IFERROR(IF(INDEX(使用レシピ!I:I,MATCH(テンプレート!$C199,使用レシピ!$E:$E,0))&lt;&gt;0,INDEX(使用レシピ!I:I,MATCH(テンプレート!$C199,使用レシピ!$E:$E,0)),""),"")</f>
        <v/>
      </c>
      <c r="H199" s="24" t="str">
        <f>IFERROR(IF(INDEX(使用レシピ!J:J,MATCH(テンプレート!$C199,使用レシピ!$E:$E,0))&lt;&gt;0,INDEX(使用レシピ!J:J,MATCH(テンプレート!$C199,使用レシピ!$E:$E,0)),""),"")</f>
        <v/>
      </c>
      <c r="I199" s="36" t="str">
        <f>IFERROR(IF(INDEX(使用レシピ!P:P,MATCH(テンプレート!$C199,使用レシピ!$E:$E,0))&lt;&gt;0,INDEX(使用レシピ!P:P,MATCH(テンプレート!$C199,使用レシピ!$E:$E,0)),""),"")</f>
        <v/>
      </c>
      <c r="J199" t="str">
        <f>IFERROR(IF(INDEX(使用レシピ!K:K,MATCH(テンプレート!$C199,使用レシピ!$E:$E,0))&lt;&gt;0,INDEX(使用レシピ!K:K,MATCH(テンプレート!$C199,使用レシピ!$E:$E,0)),""),"")</f>
        <v/>
      </c>
      <c r="K199" t="str">
        <f>IFERROR(IF(INDEX(使用レシピ!L:L,MATCH(テンプレート!$C199,使用レシピ!$E:$E,0))&lt;&gt;0,INDEX(使用レシピ!L:L,MATCH(テンプレート!$C199,使用レシピ!$E:$E,0)),""),"")</f>
        <v/>
      </c>
      <c r="L199" t="str">
        <f>IFERROR(IF(INDEX(使用レシピ!M:M,MATCH(テンプレート!$C199,使用レシピ!$E:$E,0))&lt;&gt;0,INDEX(使用レシピ!M:M,MATCH(テンプレート!$C199,使用レシピ!$E:$E,0)),""),"")</f>
        <v/>
      </c>
      <c r="M199" t="str">
        <f>IFERROR(IF(INDEX(使用レシピ!N:N,MATCH(テンプレート!$C199,使用レシピ!$E:$E,0))&lt;&gt;0,INDEX(使用レシピ!N:N,MATCH(テンプレート!$C199,使用レシピ!$E:$E,0)),""),"")</f>
        <v/>
      </c>
      <c r="N199" s="24" t="str">
        <f>IFERROR(IF(INDEX(使用レシピ!O:O,MATCH(テンプレート!$C199,使用レシピ!$E:$E,0))&lt;&gt;0,INDEX(使用レシピ!O:O,MATCH(テンプレート!$C199,使用レシピ!$E:$E,0)),""),"")</f>
        <v/>
      </c>
      <c r="O199" s="42" t="str">
        <f>IFERROR(IF(INDEX(使用レシピ!P:P,MATCH(テンプレート!$C199,使用レシピ!$E:$E,0))&lt;&gt;0,INDEX(使用レシピ!P:P,MATCH(テンプレート!$C199,使用レシピ!$E:$E,0)),""),"")</f>
        <v/>
      </c>
      <c r="P199" s="25" t="str">
        <f t="shared" si="18"/>
        <v/>
      </c>
      <c r="Q199" s="26" t="str">
        <f t="shared" si="19"/>
        <v/>
      </c>
      <c r="R199" s="26" t="str">
        <f t="shared" si="20"/>
        <v/>
      </c>
      <c r="S199" s="26" t="str">
        <f t="shared" si="21"/>
        <v/>
      </c>
      <c r="T199" s="43" t="str">
        <f t="shared" si="21"/>
        <v/>
      </c>
    </row>
    <row r="200" spans="1:20" x14ac:dyDescent="0.4">
      <c r="A200">
        <v>1111112212</v>
      </c>
      <c r="B200" s="47" t="str" cm="1">
        <f t="array" ref="B200">IFERROR((INDEX($P$4:$T$1000,MATCH(VALUE(LEFT($A200,LEN($A200)-1)),$A$4:$A$1000,0),VALUE(RIGHT($A200,1)))/ INDEX($O$4:$O$1000,MATCH(VALUE(LEFT($A200,LEN($A200)-1)),$A$4:$A$1000))) * INDEX($B$4:$B$1000,MATCH(VALUE(LEFT($A200,LEN($A200)-1)),$A$4:$A$1000)),"")</f>
        <v/>
      </c>
      <c r="C200" s="38" t="str" cm="1">
        <f t="array" ref="C200">IFERROR(IF(INDEX($D$4:$H$1000,MATCH(VALUE(LEFT($A200,LEN($A200)-1)),$A$4:$A$1000,0),VALUE(RIGHT($A200,1)))= 0,"",INDEX($D$4:$H$1000,MATCH(VALUE(LEFT($A200,LEN($A200)-1)),$A$4:$A$1000,0),VALUE(RIGHT($A200,1)))),"")</f>
        <v/>
      </c>
      <c r="D200" s="23" t="str">
        <f>IFERROR(IF(INDEX(使用レシピ!F:F,MATCH(テンプレート!$C200,使用レシピ!$E:$E,0))&lt;&gt;0,INDEX(使用レシピ!F:F,MATCH(テンプレート!$C200,使用レシピ!$E:$E,0)),""),"")</f>
        <v/>
      </c>
      <c r="E200" t="str">
        <f>IFERROR(IF(INDEX(使用レシピ!G:G,MATCH(テンプレート!$C200,使用レシピ!$E:$E,0))&lt;&gt;0,INDEX(使用レシピ!G:G,MATCH(テンプレート!$C200,使用レシピ!$E:$E,0)),""),"")</f>
        <v/>
      </c>
      <c r="F200" t="str">
        <f>IFERROR(IF(INDEX(使用レシピ!H:H,MATCH(テンプレート!$C200,使用レシピ!$E:$E,0))&lt;&gt;0,INDEX(使用レシピ!H:H,MATCH(テンプレート!$C200,使用レシピ!$E:$E,0)),""),"")</f>
        <v/>
      </c>
      <c r="G200" t="str">
        <f>IFERROR(IF(INDEX(使用レシピ!I:I,MATCH(テンプレート!$C200,使用レシピ!$E:$E,0))&lt;&gt;0,INDEX(使用レシピ!I:I,MATCH(テンプレート!$C200,使用レシピ!$E:$E,0)),""),"")</f>
        <v/>
      </c>
      <c r="H200" s="24" t="str">
        <f>IFERROR(IF(INDEX(使用レシピ!J:J,MATCH(テンプレート!$C200,使用レシピ!$E:$E,0))&lt;&gt;0,INDEX(使用レシピ!J:J,MATCH(テンプレート!$C200,使用レシピ!$E:$E,0)),""),"")</f>
        <v/>
      </c>
      <c r="I200" s="36" t="str">
        <f>IFERROR(IF(INDEX(使用レシピ!P:P,MATCH(テンプレート!$C200,使用レシピ!$E:$E,0))&lt;&gt;0,INDEX(使用レシピ!P:P,MATCH(テンプレート!$C200,使用レシピ!$E:$E,0)),""),"")</f>
        <v/>
      </c>
      <c r="J200" t="str">
        <f>IFERROR(IF(INDEX(使用レシピ!K:K,MATCH(テンプレート!$C200,使用レシピ!$E:$E,0))&lt;&gt;0,INDEX(使用レシピ!K:K,MATCH(テンプレート!$C200,使用レシピ!$E:$E,0)),""),"")</f>
        <v/>
      </c>
      <c r="K200" t="str">
        <f>IFERROR(IF(INDEX(使用レシピ!L:L,MATCH(テンプレート!$C200,使用レシピ!$E:$E,0))&lt;&gt;0,INDEX(使用レシピ!L:L,MATCH(テンプレート!$C200,使用レシピ!$E:$E,0)),""),"")</f>
        <v/>
      </c>
      <c r="L200" t="str">
        <f>IFERROR(IF(INDEX(使用レシピ!M:M,MATCH(テンプレート!$C200,使用レシピ!$E:$E,0))&lt;&gt;0,INDEX(使用レシピ!M:M,MATCH(テンプレート!$C200,使用レシピ!$E:$E,0)),""),"")</f>
        <v/>
      </c>
      <c r="M200" t="str">
        <f>IFERROR(IF(INDEX(使用レシピ!N:N,MATCH(テンプレート!$C200,使用レシピ!$E:$E,0))&lt;&gt;0,INDEX(使用レシピ!N:N,MATCH(テンプレート!$C200,使用レシピ!$E:$E,0)),""),"")</f>
        <v/>
      </c>
      <c r="N200" s="24" t="str">
        <f>IFERROR(IF(INDEX(使用レシピ!O:O,MATCH(テンプレート!$C200,使用レシピ!$E:$E,0))&lt;&gt;0,INDEX(使用レシピ!O:O,MATCH(テンプレート!$C200,使用レシピ!$E:$E,0)),""),"")</f>
        <v/>
      </c>
      <c r="O200" s="42" t="str">
        <f>IFERROR(IF(INDEX(使用レシピ!P:P,MATCH(テンプレート!$C200,使用レシピ!$E:$E,0))&lt;&gt;0,INDEX(使用レシピ!P:P,MATCH(テンプレート!$C200,使用レシピ!$E:$E,0)),""),"")</f>
        <v/>
      </c>
      <c r="P200" s="25" t="str">
        <f t="shared" si="18"/>
        <v/>
      </c>
      <c r="Q200" s="26" t="str">
        <f t="shared" si="19"/>
        <v/>
      </c>
      <c r="R200" s="26" t="str">
        <f t="shared" si="20"/>
        <v/>
      </c>
      <c r="S200" s="26" t="str">
        <f t="shared" si="21"/>
        <v/>
      </c>
      <c r="T200" s="43" t="str">
        <f t="shared" si="21"/>
        <v/>
      </c>
    </row>
    <row r="201" spans="1:20" x14ac:dyDescent="0.4">
      <c r="A201">
        <v>1111112221</v>
      </c>
      <c r="B201" s="47" t="str" cm="1">
        <f t="array" ref="B201">IFERROR((INDEX($P$4:$T$1000,MATCH(VALUE(LEFT($A201,LEN($A201)-1)),$A$4:$A$1000,0),VALUE(RIGHT($A201,1)))/ INDEX($O$4:$O$1000,MATCH(VALUE(LEFT($A201,LEN($A201)-1)),$A$4:$A$1000))) * INDEX($B$4:$B$1000,MATCH(VALUE(LEFT($A201,LEN($A201)-1)),$A$4:$A$1000)),"")</f>
        <v/>
      </c>
      <c r="C201" s="38" t="str" cm="1">
        <f t="array" ref="C201">IFERROR(IF(INDEX($D$4:$H$1000,MATCH(VALUE(LEFT($A201,LEN($A201)-1)),$A$4:$A$1000,0),VALUE(RIGHT($A201,1)))= 0,"",INDEX($D$4:$H$1000,MATCH(VALUE(LEFT($A201,LEN($A201)-1)),$A$4:$A$1000,0),VALUE(RIGHT($A201,1)))),"")</f>
        <v/>
      </c>
      <c r="D201" s="23" t="str">
        <f>IFERROR(IF(INDEX(使用レシピ!F:F,MATCH(テンプレート!$C201,使用レシピ!$E:$E,0))&lt;&gt;0,INDEX(使用レシピ!F:F,MATCH(テンプレート!$C201,使用レシピ!$E:$E,0)),""),"")</f>
        <v/>
      </c>
      <c r="E201" t="str">
        <f>IFERROR(IF(INDEX(使用レシピ!G:G,MATCH(テンプレート!$C201,使用レシピ!$E:$E,0))&lt;&gt;0,INDEX(使用レシピ!G:G,MATCH(テンプレート!$C201,使用レシピ!$E:$E,0)),""),"")</f>
        <v/>
      </c>
      <c r="F201" t="str">
        <f>IFERROR(IF(INDEX(使用レシピ!H:H,MATCH(テンプレート!$C201,使用レシピ!$E:$E,0))&lt;&gt;0,INDEX(使用レシピ!H:H,MATCH(テンプレート!$C201,使用レシピ!$E:$E,0)),""),"")</f>
        <v/>
      </c>
      <c r="G201" t="str">
        <f>IFERROR(IF(INDEX(使用レシピ!I:I,MATCH(テンプレート!$C201,使用レシピ!$E:$E,0))&lt;&gt;0,INDEX(使用レシピ!I:I,MATCH(テンプレート!$C201,使用レシピ!$E:$E,0)),""),"")</f>
        <v/>
      </c>
      <c r="H201" s="24" t="str">
        <f>IFERROR(IF(INDEX(使用レシピ!J:J,MATCH(テンプレート!$C201,使用レシピ!$E:$E,0))&lt;&gt;0,INDEX(使用レシピ!J:J,MATCH(テンプレート!$C201,使用レシピ!$E:$E,0)),""),"")</f>
        <v/>
      </c>
      <c r="I201" s="36" t="str">
        <f>IFERROR(IF(INDEX(使用レシピ!P:P,MATCH(テンプレート!$C201,使用レシピ!$E:$E,0))&lt;&gt;0,INDEX(使用レシピ!P:P,MATCH(テンプレート!$C201,使用レシピ!$E:$E,0)),""),"")</f>
        <v/>
      </c>
      <c r="J201" t="str">
        <f>IFERROR(IF(INDEX(使用レシピ!K:K,MATCH(テンプレート!$C201,使用レシピ!$E:$E,0))&lt;&gt;0,INDEX(使用レシピ!K:K,MATCH(テンプレート!$C201,使用レシピ!$E:$E,0)),""),"")</f>
        <v/>
      </c>
      <c r="K201" t="str">
        <f>IFERROR(IF(INDEX(使用レシピ!L:L,MATCH(テンプレート!$C201,使用レシピ!$E:$E,0))&lt;&gt;0,INDEX(使用レシピ!L:L,MATCH(テンプレート!$C201,使用レシピ!$E:$E,0)),""),"")</f>
        <v/>
      </c>
      <c r="L201" t="str">
        <f>IFERROR(IF(INDEX(使用レシピ!M:M,MATCH(テンプレート!$C201,使用レシピ!$E:$E,0))&lt;&gt;0,INDEX(使用レシピ!M:M,MATCH(テンプレート!$C201,使用レシピ!$E:$E,0)),""),"")</f>
        <v/>
      </c>
      <c r="M201" t="str">
        <f>IFERROR(IF(INDEX(使用レシピ!N:N,MATCH(テンプレート!$C201,使用レシピ!$E:$E,0))&lt;&gt;0,INDEX(使用レシピ!N:N,MATCH(テンプレート!$C201,使用レシピ!$E:$E,0)),""),"")</f>
        <v/>
      </c>
      <c r="N201" s="24" t="str">
        <f>IFERROR(IF(INDEX(使用レシピ!O:O,MATCH(テンプレート!$C201,使用レシピ!$E:$E,0))&lt;&gt;0,INDEX(使用レシピ!O:O,MATCH(テンプレート!$C201,使用レシピ!$E:$E,0)),""),"")</f>
        <v/>
      </c>
      <c r="O201" s="42" t="str">
        <f>IFERROR(IF(INDEX(使用レシピ!P:P,MATCH(テンプレート!$C201,使用レシピ!$E:$E,0))&lt;&gt;0,INDEX(使用レシピ!P:P,MATCH(テンプレート!$C201,使用レシピ!$E:$E,0)),""),"")</f>
        <v/>
      </c>
      <c r="P201" s="25" t="str">
        <f t="shared" si="18"/>
        <v/>
      </c>
      <c r="Q201" s="26" t="str">
        <f t="shared" si="19"/>
        <v/>
      </c>
      <c r="R201" s="26" t="str">
        <f t="shared" si="20"/>
        <v/>
      </c>
      <c r="S201" s="26" t="str">
        <f t="shared" si="21"/>
        <v/>
      </c>
      <c r="T201" s="43" t="str">
        <f t="shared" si="21"/>
        <v/>
      </c>
    </row>
    <row r="202" spans="1:20" x14ac:dyDescent="0.4">
      <c r="A202">
        <v>1111113211</v>
      </c>
      <c r="B202" s="47" cm="1">
        <f t="array" ref="B202">IFERROR((INDEX($P$4:$T$1000,MATCH(VALUE(LEFT($A202,LEN($A202)-1)),$A$4:$A$1000,0),VALUE(RIGHT($A202,1)))/ INDEX($O$4:$O$1000,MATCH(VALUE(LEFT($A202,LEN($A202)-1)),$A$4:$A$1000))) * INDEX($B$4:$B$1000,MATCH(VALUE(LEFT($A202,LEN($A202)-1)),$A$4:$A$1000)),"")</f>
        <v>1350</v>
      </c>
      <c r="C202" s="38" t="str" cm="1">
        <f t="array" ref="C202">IFERROR(IF(INDEX($D$4:$H$1000,MATCH(VALUE(LEFT($A202,LEN($A202)-1)),$A$4:$A$1000,0),VALUE(RIGHT($A202,1)))= 0,"",INDEX($D$4:$H$1000,MATCH(VALUE(LEFT($A202,LEN($A202)-1)),$A$4:$A$1000,0),VALUE(RIGHT($A202,1)))),"")</f>
        <v>銅のインゴット</v>
      </c>
      <c r="D202" s="23" t="str">
        <f>IFERROR(IF(INDEX(使用レシピ!F:F,MATCH(テンプレート!$C202,使用レシピ!$E:$E,0))&lt;&gt;0,INDEX(使用レシピ!F:F,MATCH(テンプレート!$C202,使用レシピ!$E:$E,0)),""),"")</f>
        <v>銅鉱石</v>
      </c>
      <c r="E202" t="str">
        <f>IFERROR(IF(INDEX(使用レシピ!G:G,MATCH(テンプレート!$C202,使用レシピ!$E:$E,0))&lt;&gt;0,INDEX(使用レシピ!G:G,MATCH(テンプレート!$C202,使用レシピ!$E:$E,0)),""),"")</f>
        <v>水</v>
      </c>
      <c r="F202" t="str">
        <f>IFERROR(IF(INDEX(使用レシピ!H:H,MATCH(テンプレート!$C202,使用レシピ!$E:$E,0))&lt;&gt;0,INDEX(使用レシピ!H:H,MATCH(テンプレート!$C202,使用レシピ!$E:$E,0)),""),"")</f>
        <v/>
      </c>
      <c r="G202" t="str">
        <f>IFERROR(IF(INDEX(使用レシピ!I:I,MATCH(テンプレート!$C202,使用レシピ!$E:$E,0))&lt;&gt;0,INDEX(使用レシピ!I:I,MATCH(テンプレート!$C202,使用レシピ!$E:$E,0)),""),"")</f>
        <v/>
      </c>
      <c r="H202" s="24" t="str">
        <f>IFERROR(IF(INDEX(使用レシピ!J:J,MATCH(テンプレート!$C202,使用レシピ!$E:$E,0))&lt;&gt;0,INDEX(使用レシピ!J:J,MATCH(テンプレート!$C202,使用レシピ!$E:$E,0)),""),"")</f>
        <v/>
      </c>
      <c r="I202" s="36">
        <f>IFERROR(IF(INDEX(使用レシピ!P:P,MATCH(テンプレート!$C202,使用レシピ!$E:$E,0))&lt;&gt;0,INDEX(使用レシピ!P:P,MATCH(テンプレート!$C202,使用レシピ!$E:$E,0)),""),"")</f>
        <v>15</v>
      </c>
      <c r="J202">
        <f>IFERROR(IF(INDEX(使用レシピ!K:K,MATCH(テンプレート!$C202,使用レシピ!$E:$E,0))&lt;&gt;0,INDEX(使用レシピ!K:K,MATCH(テンプレート!$C202,使用レシピ!$E:$E,0)),""),"")</f>
        <v>6</v>
      </c>
      <c r="K202">
        <f>IFERROR(IF(INDEX(使用レシピ!L:L,MATCH(テンプレート!$C202,使用レシピ!$E:$E,0))&lt;&gt;0,INDEX(使用レシピ!L:L,MATCH(テンプレート!$C202,使用レシピ!$E:$E,0)),""),"")</f>
        <v>4</v>
      </c>
      <c r="L202" t="str">
        <f>IFERROR(IF(INDEX(使用レシピ!M:M,MATCH(テンプレート!$C202,使用レシピ!$E:$E,0))&lt;&gt;0,INDEX(使用レシピ!M:M,MATCH(テンプレート!$C202,使用レシピ!$E:$E,0)),""),"")</f>
        <v/>
      </c>
      <c r="M202" t="str">
        <f>IFERROR(IF(INDEX(使用レシピ!N:N,MATCH(テンプレート!$C202,使用レシピ!$E:$E,0))&lt;&gt;0,INDEX(使用レシピ!N:N,MATCH(テンプレート!$C202,使用レシピ!$E:$E,0)),""),"")</f>
        <v/>
      </c>
      <c r="N202" s="24" t="str">
        <f>IFERROR(IF(INDEX(使用レシピ!O:O,MATCH(テンプレート!$C202,使用レシピ!$E:$E,0))&lt;&gt;0,INDEX(使用レシピ!O:O,MATCH(テンプレート!$C202,使用レシピ!$E:$E,0)),""),"")</f>
        <v/>
      </c>
      <c r="O202" s="42">
        <f>IFERROR(IF(INDEX(使用レシピ!P:P,MATCH(テンプレート!$C202,使用レシピ!$E:$E,0))&lt;&gt;0,INDEX(使用レシピ!P:P,MATCH(テンプレート!$C202,使用レシピ!$E:$E,0)),""),"")</f>
        <v>15</v>
      </c>
      <c r="P202" s="25">
        <f t="shared" si="18"/>
        <v>6</v>
      </c>
      <c r="Q202" s="26">
        <f t="shared" si="19"/>
        <v>4</v>
      </c>
      <c r="R202" s="26" t="str">
        <f t="shared" si="20"/>
        <v/>
      </c>
      <c r="S202" s="26" t="str">
        <f t="shared" si="21"/>
        <v/>
      </c>
      <c r="T202" s="43" t="str">
        <f t="shared" si="21"/>
        <v/>
      </c>
    </row>
    <row r="203" spans="1:20" x14ac:dyDescent="0.4">
      <c r="A203">
        <v>1111113311</v>
      </c>
      <c r="B203" s="47" t="str" cm="1">
        <f t="array" ref="B203">IFERROR((INDEX($P$4:$T$1000,MATCH(VALUE(LEFT($A203,LEN($A203)-1)),$A$4:$A$1000,0),VALUE(RIGHT($A203,1)))/ INDEX($O$4:$O$1000,MATCH(VALUE(LEFT($A203,LEN($A203)-1)),$A$4:$A$1000))) * INDEX($B$4:$B$1000,MATCH(VALUE(LEFT($A203,LEN($A203)-1)),$A$4:$A$1000)),"")</f>
        <v/>
      </c>
      <c r="C203" s="38" t="str" cm="1">
        <f t="array" ref="C203">IFERROR(IF(INDEX($D$4:$H$1000,MATCH(VALUE(LEFT($A203,LEN($A203)-1)),$A$4:$A$1000,0),VALUE(RIGHT($A203,1)))= 0,"",INDEX($D$4:$H$1000,MATCH(VALUE(LEFT($A203,LEN($A203)-1)),$A$4:$A$1000,0),VALUE(RIGHT($A203,1)))),"")</f>
        <v/>
      </c>
      <c r="D203" s="23" t="str">
        <f>IFERROR(IF(INDEX(使用レシピ!F:F,MATCH(テンプレート!$C203,使用レシピ!$E:$E,0))&lt;&gt;0,INDEX(使用レシピ!F:F,MATCH(テンプレート!$C203,使用レシピ!$E:$E,0)),""),"")</f>
        <v/>
      </c>
      <c r="E203" t="str">
        <f>IFERROR(IF(INDEX(使用レシピ!G:G,MATCH(テンプレート!$C203,使用レシピ!$E:$E,0))&lt;&gt;0,INDEX(使用レシピ!G:G,MATCH(テンプレート!$C203,使用レシピ!$E:$E,0)),""),"")</f>
        <v/>
      </c>
      <c r="F203" t="str">
        <f>IFERROR(IF(INDEX(使用レシピ!H:H,MATCH(テンプレート!$C203,使用レシピ!$E:$E,0))&lt;&gt;0,INDEX(使用レシピ!H:H,MATCH(テンプレート!$C203,使用レシピ!$E:$E,0)),""),"")</f>
        <v/>
      </c>
      <c r="G203" t="str">
        <f>IFERROR(IF(INDEX(使用レシピ!I:I,MATCH(テンプレート!$C203,使用レシピ!$E:$E,0))&lt;&gt;0,INDEX(使用レシピ!I:I,MATCH(テンプレート!$C203,使用レシピ!$E:$E,0)),""),"")</f>
        <v/>
      </c>
      <c r="H203" s="24" t="str">
        <f>IFERROR(IF(INDEX(使用レシピ!J:J,MATCH(テンプレート!$C203,使用レシピ!$E:$E,0))&lt;&gt;0,INDEX(使用レシピ!J:J,MATCH(テンプレート!$C203,使用レシピ!$E:$E,0)),""),"")</f>
        <v/>
      </c>
      <c r="I203" s="36" t="str">
        <f>IFERROR(IF(INDEX(使用レシピ!P:P,MATCH(テンプレート!$C203,使用レシピ!$E:$E,0))&lt;&gt;0,INDEX(使用レシピ!P:P,MATCH(テンプレート!$C203,使用レシピ!$E:$E,0)),""),"")</f>
        <v/>
      </c>
      <c r="J203" t="str">
        <f>IFERROR(IF(INDEX(使用レシピ!K:K,MATCH(テンプレート!$C203,使用レシピ!$E:$E,0))&lt;&gt;0,INDEX(使用レシピ!K:K,MATCH(テンプレート!$C203,使用レシピ!$E:$E,0)),""),"")</f>
        <v/>
      </c>
      <c r="K203" t="str">
        <f>IFERROR(IF(INDEX(使用レシピ!L:L,MATCH(テンプレート!$C203,使用レシピ!$E:$E,0))&lt;&gt;0,INDEX(使用レシピ!L:L,MATCH(テンプレート!$C203,使用レシピ!$E:$E,0)),""),"")</f>
        <v/>
      </c>
      <c r="L203" t="str">
        <f>IFERROR(IF(INDEX(使用レシピ!M:M,MATCH(テンプレート!$C203,使用レシピ!$E:$E,0))&lt;&gt;0,INDEX(使用レシピ!M:M,MATCH(テンプレート!$C203,使用レシピ!$E:$E,0)),""),"")</f>
        <v/>
      </c>
      <c r="M203" t="str">
        <f>IFERROR(IF(INDEX(使用レシピ!N:N,MATCH(テンプレート!$C203,使用レシピ!$E:$E,0))&lt;&gt;0,INDEX(使用レシピ!N:N,MATCH(テンプレート!$C203,使用レシピ!$E:$E,0)),""),"")</f>
        <v/>
      </c>
      <c r="N203" s="24" t="str">
        <f>IFERROR(IF(INDEX(使用レシピ!O:O,MATCH(テンプレート!$C203,使用レシピ!$E:$E,0))&lt;&gt;0,INDEX(使用レシピ!O:O,MATCH(テンプレート!$C203,使用レシピ!$E:$E,0)),""),"")</f>
        <v/>
      </c>
      <c r="O203" s="42" t="str">
        <f>IFERROR(IF(INDEX(使用レシピ!P:P,MATCH(テンプレート!$C203,使用レシピ!$E:$E,0))&lt;&gt;0,INDEX(使用レシピ!P:P,MATCH(テンプレート!$C203,使用レシピ!$E:$E,0)),""),"")</f>
        <v/>
      </c>
      <c r="P203" s="25" t="str">
        <f t="shared" si="18"/>
        <v/>
      </c>
      <c r="Q203" s="26" t="str">
        <f t="shared" si="19"/>
        <v/>
      </c>
      <c r="R203" s="26" t="str">
        <f t="shared" si="20"/>
        <v/>
      </c>
      <c r="S203" s="26" t="str">
        <f t="shared" si="21"/>
        <v/>
      </c>
      <c r="T203" s="43" t="str">
        <f t="shared" si="21"/>
        <v/>
      </c>
    </row>
    <row r="204" spans="1:20" x14ac:dyDescent="0.4">
      <c r="A204">
        <v>1111113321</v>
      </c>
      <c r="B204" s="47" t="str" cm="1">
        <f t="array" ref="B204">IFERROR((INDEX($P$4:$T$1000,MATCH(VALUE(LEFT($A204,LEN($A204)-1)),$A$4:$A$1000,0),VALUE(RIGHT($A204,1)))/ INDEX($O$4:$O$1000,MATCH(VALUE(LEFT($A204,LEN($A204)-1)),$A$4:$A$1000))) * INDEX($B$4:$B$1000,MATCH(VALUE(LEFT($A204,LEN($A204)-1)),$A$4:$A$1000)),"")</f>
        <v/>
      </c>
      <c r="C204" s="38" t="str" cm="1">
        <f t="array" ref="C204">IFERROR(IF(INDEX($D$4:$H$1000,MATCH(VALUE(LEFT($A204,LEN($A204)-1)),$A$4:$A$1000,0),VALUE(RIGHT($A204,1)))= 0,"",INDEX($D$4:$H$1000,MATCH(VALUE(LEFT($A204,LEN($A204)-1)),$A$4:$A$1000,0),VALUE(RIGHT($A204,1)))),"")</f>
        <v/>
      </c>
      <c r="D204" s="23" t="str">
        <f>IFERROR(IF(INDEX(使用レシピ!F:F,MATCH(テンプレート!$C204,使用レシピ!$E:$E,0))&lt;&gt;0,INDEX(使用レシピ!F:F,MATCH(テンプレート!$C204,使用レシピ!$E:$E,0)),""),"")</f>
        <v/>
      </c>
      <c r="E204" t="str">
        <f>IFERROR(IF(INDEX(使用レシピ!G:G,MATCH(テンプレート!$C204,使用レシピ!$E:$E,0))&lt;&gt;0,INDEX(使用レシピ!G:G,MATCH(テンプレート!$C204,使用レシピ!$E:$E,0)),""),"")</f>
        <v/>
      </c>
      <c r="F204" t="str">
        <f>IFERROR(IF(INDEX(使用レシピ!H:H,MATCH(テンプレート!$C204,使用レシピ!$E:$E,0))&lt;&gt;0,INDEX(使用レシピ!H:H,MATCH(テンプレート!$C204,使用レシピ!$E:$E,0)),""),"")</f>
        <v/>
      </c>
      <c r="G204" t="str">
        <f>IFERROR(IF(INDEX(使用レシピ!I:I,MATCH(テンプレート!$C204,使用レシピ!$E:$E,0))&lt;&gt;0,INDEX(使用レシピ!I:I,MATCH(テンプレート!$C204,使用レシピ!$E:$E,0)),""),"")</f>
        <v/>
      </c>
      <c r="H204" s="24" t="str">
        <f>IFERROR(IF(INDEX(使用レシピ!J:J,MATCH(テンプレート!$C204,使用レシピ!$E:$E,0))&lt;&gt;0,INDEX(使用レシピ!J:J,MATCH(テンプレート!$C204,使用レシピ!$E:$E,0)),""),"")</f>
        <v/>
      </c>
      <c r="I204" s="36" t="str">
        <f>IFERROR(IF(INDEX(使用レシピ!P:P,MATCH(テンプレート!$C204,使用レシピ!$E:$E,0))&lt;&gt;0,INDEX(使用レシピ!P:P,MATCH(テンプレート!$C204,使用レシピ!$E:$E,0)),""),"")</f>
        <v/>
      </c>
      <c r="J204" t="str">
        <f>IFERROR(IF(INDEX(使用レシピ!K:K,MATCH(テンプレート!$C204,使用レシピ!$E:$E,0))&lt;&gt;0,INDEX(使用レシピ!K:K,MATCH(テンプレート!$C204,使用レシピ!$E:$E,0)),""),"")</f>
        <v/>
      </c>
      <c r="K204" t="str">
        <f>IFERROR(IF(INDEX(使用レシピ!L:L,MATCH(テンプレート!$C204,使用レシピ!$E:$E,0))&lt;&gt;0,INDEX(使用レシピ!L:L,MATCH(テンプレート!$C204,使用レシピ!$E:$E,0)),""),"")</f>
        <v/>
      </c>
      <c r="L204" t="str">
        <f>IFERROR(IF(INDEX(使用レシピ!M:M,MATCH(テンプレート!$C204,使用レシピ!$E:$E,0))&lt;&gt;0,INDEX(使用レシピ!M:M,MATCH(テンプレート!$C204,使用レシピ!$E:$E,0)),""),"")</f>
        <v/>
      </c>
      <c r="M204" t="str">
        <f>IFERROR(IF(INDEX(使用レシピ!N:N,MATCH(テンプレート!$C204,使用レシピ!$E:$E,0))&lt;&gt;0,INDEX(使用レシピ!N:N,MATCH(テンプレート!$C204,使用レシピ!$E:$E,0)),""),"")</f>
        <v/>
      </c>
      <c r="N204" s="24" t="str">
        <f>IFERROR(IF(INDEX(使用レシピ!O:O,MATCH(テンプレート!$C204,使用レシピ!$E:$E,0))&lt;&gt;0,INDEX(使用レシピ!O:O,MATCH(テンプレート!$C204,使用レシピ!$E:$E,0)),""),"")</f>
        <v/>
      </c>
      <c r="O204" s="42" t="str">
        <f>IFERROR(IF(INDEX(使用レシピ!P:P,MATCH(テンプレート!$C204,使用レシピ!$E:$E,0))&lt;&gt;0,INDEX(使用レシピ!P:P,MATCH(テンプレート!$C204,使用レシピ!$E:$E,0)),""),"")</f>
        <v/>
      </c>
      <c r="P204" s="25" t="str">
        <f t="shared" si="18"/>
        <v/>
      </c>
      <c r="Q204" s="26" t="str">
        <f t="shared" si="19"/>
        <v/>
      </c>
      <c r="R204" s="26" t="str">
        <f t="shared" si="20"/>
        <v/>
      </c>
      <c r="S204" s="26" t="str">
        <f t="shared" si="21"/>
        <v/>
      </c>
      <c r="T204" s="43" t="str">
        <f t="shared" si="21"/>
        <v/>
      </c>
    </row>
    <row r="205" spans="1:20" x14ac:dyDescent="0.4">
      <c r="A205">
        <v>1111114111</v>
      </c>
      <c r="B205" s="47" t="str" cm="1">
        <f t="array" ref="B205">IFERROR((INDEX($P$4:$T$1000,MATCH(VALUE(LEFT($A205,LEN($A205)-1)),$A$4:$A$1000,0),VALUE(RIGHT($A205,1)))/ INDEX($O$4:$O$1000,MATCH(VALUE(LEFT($A205,LEN($A205)-1)),$A$4:$A$1000))) * INDEX($B$4:$B$1000,MATCH(VALUE(LEFT($A205,LEN($A205)-1)),$A$4:$A$1000)),"")</f>
        <v/>
      </c>
      <c r="C205" s="38" t="str" cm="1">
        <f t="array" ref="C205">IFERROR(IF(INDEX($D$4:$H$1000,MATCH(VALUE(LEFT($A205,LEN($A205)-1)),$A$4:$A$1000,0),VALUE(RIGHT($A205,1)))= 0,"",INDEX($D$4:$H$1000,MATCH(VALUE(LEFT($A205,LEN($A205)-1)),$A$4:$A$1000,0),VALUE(RIGHT($A205,1)))),"")</f>
        <v/>
      </c>
      <c r="D205" s="23" t="str">
        <f>IFERROR(IF(INDEX(使用レシピ!F:F,MATCH(テンプレート!$C205,使用レシピ!$E:$E,0))&lt;&gt;0,INDEX(使用レシピ!F:F,MATCH(テンプレート!$C205,使用レシピ!$E:$E,0)),""),"")</f>
        <v/>
      </c>
      <c r="E205" t="str">
        <f>IFERROR(IF(INDEX(使用レシピ!G:G,MATCH(テンプレート!$C205,使用レシピ!$E:$E,0))&lt;&gt;0,INDEX(使用レシピ!G:G,MATCH(テンプレート!$C205,使用レシピ!$E:$E,0)),""),"")</f>
        <v/>
      </c>
      <c r="F205" t="str">
        <f>IFERROR(IF(INDEX(使用レシピ!H:H,MATCH(テンプレート!$C205,使用レシピ!$E:$E,0))&lt;&gt;0,INDEX(使用レシピ!H:H,MATCH(テンプレート!$C205,使用レシピ!$E:$E,0)),""),"")</f>
        <v/>
      </c>
      <c r="G205" t="str">
        <f>IFERROR(IF(INDEX(使用レシピ!I:I,MATCH(テンプレート!$C205,使用レシピ!$E:$E,0))&lt;&gt;0,INDEX(使用レシピ!I:I,MATCH(テンプレート!$C205,使用レシピ!$E:$E,0)),""),"")</f>
        <v/>
      </c>
      <c r="H205" s="24" t="str">
        <f>IFERROR(IF(INDEX(使用レシピ!J:J,MATCH(テンプレート!$C205,使用レシピ!$E:$E,0))&lt;&gt;0,INDEX(使用レシピ!J:J,MATCH(テンプレート!$C205,使用レシピ!$E:$E,0)),""),"")</f>
        <v/>
      </c>
      <c r="I205" s="36" t="str">
        <f>IFERROR(IF(INDEX(使用レシピ!P:P,MATCH(テンプレート!$C205,使用レシピ!$E:$E,0))&lt;&gt;0,INDEX(使用レシピ!P:P,MATCH(テンプレート!$C205,使用レシピ!$E:$E,0)),""),"")</f>
        <v/>
      </c>
      <c r="J205" t="str">
        <f>IFERROR(IF(INDEX(使用レシピ!K:K,MATCH(テンプレート!$C205,使用レシピ!$E:$E,0))&lt;&gt;0,INDEX(使用レシピ!K:K,MATCH(テンプレート!$C205,使用レシピ!$E:$E,0)),""),"")</f>
        <v/>
      </c>
      <c r="K205" t="str">
        <f>IFERROR(IF(INDEX(使用レシピ!L:L,MATCH(テンプレート!$C205,使用レシピ!$E:$E,0))&lt;&gt;0,INDEX(使用レシピ!L:L,MATCH(テンプレート!$C205,使用レシピ!$E:$E,0)),""),"")</f>
        <v/>
      </c>
      <c r="L205" t="str">
        <f>IFERROR(IF(INDEX(使用レシピ!M:M,MATCH(テンプレート!$C205,使用レシピ!$E:$E,0))&lt;&gt;0,INDEX(使用レシピ!M:M,MATCH(テンプレート!$C205,使用レシピ!$E:$E,0)),""),"")</f>
        <v/>
      </c>
      <c r="M205" t="str">
        <f>IFERROR(IF(INDEX(使用レシピ!N:N,MATCH(テンプレート!$C205,使用レシピ!$E:$E,0))&lt;&gt;0,INDEX(使用レシピ!N:N,MATCH(テンプレート!$C205,使用レシピ!$E:$E,0)),""),"")</f>
        <v/>
      </c>
      <c r="N205" s="24" t="str">
        <f>IFERROR(IF(INDEX(使用レシピ!O:O,MATCH(テンプレート!$C205,使用レシピ!$E:$E,0))&lt;&gt;0,INDEX(使用レシピ!O:O,MATCH(テンプレート!$C205,使用レシピ!$E:$E,0)),""),"")</f>
        <v/>
      </c>
      <c r="O205" s="42" t="str">
        <f>IFERROR(IF(INDEX(使用レシピ!P:P,MATCH(テンプレート!$C205,使用レシピ!$E:$E,0))&lt;&gt;0,INDEX(使用レシピ!P:P,MATCH(テンプレート!$C205,使用レシピ!$E:$E,0)),""),"")</f>
        <v/>
      </c>
      <c r="P205" s="25" t="str">
        <f t="shared" si="18"/>
        <v/>
      </c>
      <c r="Q205" s="26" t="str">
        <f t="shared" si="19"/>
        <v/>
      </c>
      <c r="R205" s="26" t="str">
        <f t="shared" si="20"/>
        <v/>
      </c>
      <c r="S205" s="26" t="str">
        <f t="shared" si="21"/>
        <v/>
      </c>
      <c r="T205" s="43" t="str">
        <f t="shared" si="21"/>
        <v/>
      </c>
    </row>
    <row r="206" spans="1:20" x14ac:dyDescent="0.4">
      <c r="A206">
        <v>1111114112</v>
      </c>
      <c r="B206" s="47" t="str" cm="1">
        <f t="array" ref="B206">IFERROR((INDEX($P$4:$T$1000,MATCH(VALUE(LEFT($A206,LEN($A206)-1)),$A$4:$A$1000,0),VALUE(RIGHT($A206,1)))/ INDEX($O$4:$O$1000,MATCH(VALUE(LEFT($A206,LEN($A206)-1)),$A$4:$A$1000))) * INDEX($B$4:$B$1000,MATCH(VALUE(LEFT($A206,LEN($A206)-1)),$A$4:$A$1000)),"")</f>
        <v/>
      </c>
      <c r="C206" s="38" t="str" cm="1">
        <f t="array" ref="C206">IFERROR(IF(INDEX($D$4:$H$1000,MATCH(VALUE(LEFT($A206,LEN($A206)-1)),$A$4:$A$1000,0),VALUE(RIGHT($A206,1)))= 0,"",INDEX($D$4:$H$1000,MATCH(VALUE(LEFT($A206,LEN($A206)-1)),$A$4:$A$1000,0),VALUE(RIGHT($A206,1)))),"")</f>
        <v/>
      </c>
      <c r="D206" s="23" t="str">
        <f>IFERROR(IF(INDEX(使用レシピ!F:F,MATCH(テンプレート!$C206,使用レシピ!$E:$E,0))&lt;&gt;0,INDEX(使用レシピ!F:F,MATCH(テンプレート!$C206,使用レシピ!$E:$E,0)),""),"")</f>
        <v/>
      </c>
      <c r="E206" t="str">
        <f>IFERROR(IF(INDEX(使用レシピ!G:G,MATCH(テンプレート!$C206,使用レシピ!$E:$E,0))&lt;&gt;0,INDEX(使用レシピ!G:G,MATCH(テンプレート!$C206,使用レシピ!$E:$E,0)),""),"")</f>
        <v/>
      </c>
      <c r="F206" t="str">
        <f>IFERROR(IF(INDEX(使用レシピ!H:H,MATCH(テンプレート!$C206,使用レシピ!$E:$E,0))&lt;&gt;0,INDEX(使用レシピ!H:H,MATCH(テンプレート!$C206,使用レシピ!$E:$E,0)),""),"")</f>
        <v/>
      </c>
      <c r="G206" t="str">
        <f>IFERROR(IF(INDEX(使用レシピ!I:I,MATCH(テンプレート!$C206,使用レシピ!$E:$E,0))&lt;&gt;0,INDEX(使用レシピ!I:I,MATCH(テンプレート!$C206,使用レシピ!$E:$E,0)),""),"")</f>
        <v/>
      </c>
      <c r="H206" s="24" t="str">
        <f>IFERROR(IF(INDEX(使用レシピ!J:J,MATCH(テンプレート!$C206,使用レシピ!$E:$E,0))&lt;&gt;0,INDEX(使用レシピ!J:J,MATCH(テンプレート!$C206,使用レシピ!$E:$E,0)),""),"")</f>
        <v/>
      </c>
      <c r="I206" s="36" t="str">
        <f>IFERROR(IF(INDEX(使用レシピ!P:P,MATCH(テンプレート!$C206,使用レシピ!$E:$E,0))&lt;&gt;0,INDEX(使用レシピ!P:P,MATCH(テンプレート!$C206,使用レシピ!$E:$E,0)),""),"")</f>
        <v/>
      </c>
      <c r="J206" t="str">
        <f>IFERROR(IF(INDEX(使用レシピ!K:K,MATCH(テンプレート!$C206,使用レシピ!$E:$E,0))&lt;&gt;0,INDEX(使用レシピ!K:K,MATCH(テンプレート!$C206,使用レシピ!$E:$E,0)),""),"")</f>
        <v/>
      </c>
      <c r="K206" t="str">
        <f>IFERROR(IF(INDEX(使用レシピ!L:L,MATCH(テンプレート!$C206,使用レシピ!$E:$E,0))&lt;&gt;0,INDEX(使用レシピ!L:L,MATCH(テンプレート!$C206,使用レシピ!$E:$E,0)),""),"")</f>
        <v/>
      </c>
      <c r="L206" t="str">
        <f>IFERROR(IF(INDEX(使用レシピ!M:M,MATCH(テンプレート!$C206,使用レシピ!$E:$E,0))&lt;&gt;0,INDEX(使用レシピ!M:M,MATCH(テンプレート!$C206,使用レシピ!$E:$E,0)),""),"")</f>
        <v/>
      </c>
      <c r="M206" t="str">
        <f>IFERROR(IF(INDEX(使用レシピ!N:N,MATCH(テンプレート!$C206,使用レシピ!$E:$E,0))&lt;&gt;0,INDEX(使用レシピ!N:N,MATCH(テンプレート!$C206,使用レシピ!$E:$E,0)),""),"")</f>
        <v/>
      </c>
      <c r="N206" s="24" t="str">
        <f>IFERROR(IF(INDEX(使用レシピ!O:O,MATCH(テンプレート!$C206,使用レシピ!$E:$E,0))&lt;&gt;0,INDEX(使用レシピ!O:O,MATCH(テンプレート!$C206,使用レシピ!$E:$E,0)),""),"")</f>
        <v/>
      </c>
      <c r="O206" s="42" t="str">
        <f>IFERROR(IF(INDEX(使用レシピ!P:P,MATCH(テンプレート!$C206,使用レシピ!$E:$E,0))&lt;&gt;0,INDEX(使用レシピ!P:P,MATCH(テンプレート!$C206,使用レシピ!$E:$E,0)),""),"")</f>
        <v/>
      </c>
      <c r="P206" s="25" t="str">
        <f t="shared" si="18"/>
        <v/>
      </c>
      <c r="Q206" s="26" t="str">
        <f t="shared" si="19"/>
        <v/>
      </c>
      <c r="R206" s="26" t="str">
        <f t="shared" si="20"/>
        <v/>
      </c>
      <c r="S206" s="26" t="str">
        <f t="shared" si="21"/>
        <v/>
      </c>
      <c r="T206" s="43" t="str">
        <f t="shared" si="21"/>
        <v/>
      </c>
    </row>
    <row r="207" spans="1:20" x14ac:dyDescent="0.4">
      <c r="A207">
        <v>1112121111</v>
      </c>
      <c r="B207" s="47" cm="1">
        <f t="array" ref="B207">IFERROR((INDEX($P$4:$T$1000,MATCH(VALUE(LEFT($A207,LEN($A207)-1)),$A$4:$A$1000,0),VALUE(RIGHT($A207,1)))/ INDEX($O$4:$O$1000,MATCH(VALUE(LEFT($A207,LEN($A207)-1)),$A$4:$A$1000))) * INDEX($B$4:$B$1000,MATCH(VALUE(LEFT($A207,LEN($A207)-1)),$A$4:$A$1000)),"")</f>
        <v>116.30769230769231</v>
      </c>
      <c r="C207" s="38" t="str" cm="1">
        <f t="array" ref="C207">IFERROR(IF(INDEX($D$4:$H$1000,MATCH(VALUE(LEFT($A207,LEN($A207)-1)),$A$4:$A$1000,0),VALUE(RIGHT($A207,1)))= 0,"",INDEX($D$4:$H$1000,MATCH(VALUE(LEFT($A207,LEN($A207)-1)),$A$4:$A$1000,0),VALUE(RIGHT($A207,1)))),"")</f>
        <v>鉄鉱石</v>
      </c>
      <c r="D207" s="23" t="str">
        <f>IFERROR(IF(INDEX(使用レシピ!F:F,MATCH(テンプレート!$C207,使用レシピ!$E:$E,0))&lt;&gt;0,INDEX(使用レシピ!F:F,MATCH(テンプレート!$C207,使用レシピ!$E:$E,0)),""),"")</f>
        <v/>
      </c>
      <c r="E207" t="str">
        <f>IFERROR(IF(INDEX(使用レシピ!G:G,MATCH(テンプレート!$C207,使用レシピ!$E:$E,0))&lt;&gt;0,INDEX(使用レシピ!G:G,MATCH(テンプレート!$C207,使用レシピ!$E:$E,0)),""),"")</f>
        <v/>
      </c>
      <c r="F207" t="str">
        <f>IFERROR(IF(INDEX(使用レシピ!H:H,MATCH(テンプレート!$C207,使用レシピ!$E:$E,0))&lt;&gt;0,INDEX(使用レシピ!H:H,MATCH(テンプレート!$C207,使用レシピ!$E:$E,0)),""),"")</f>
        <v/>
      </c>
      <c r="G207" t="str">
        <f>IFERROR(IF(INDEX(使用レシピ!I:I,MATCH(テンプレート!$C207,使用レシピ!$E:$E,0))&lt;&gt;0,INDEX(使用レシピ!I:I,MATCH(テンプレート!$C207,使用レシピ!$E:$E,0)),""),"")</f>
        <v/>
      </c>
      <c r="H207" s="24" t="str">
        <f>IFERROR(IF(INDEX(使用レシピ!J:J,MATCH(テンプレート!$C207,使用レシピ!$E:$E,0))&lt;&gt;0,INDEX(使用レシピ!J:J,MATCH(テンプレート!$C207,使用レシピ!$E:$E,0)),""),"")</f>
        <v/>
      </c>
      <c r="I207" s="36">
        <f>IFERROR(IF(INDEX(使用レシピ!P:P,MATCH(テンプレート!$C207,使用レシピ!$E:$E,0))&lt;&gt;0,INDEX(使用レシピ!P:P,MATCH(テンプレート!$C207,使用レシピ!$E:$E,0)),""),"")</f>
        <v>1</v>
      </c>
      <c r="J207" t="str">
        <f>IFERROR(IF(INDEX(使用レシピ!K:K,MATCH(テンプレート!$C207,使用レシピ!$E:$E,0))&lt;&gt;0,INDEX(使用レシピ!K:K,MATCH(テンプレート!$C207,使用レシピ!$E:$E,0)),""),"")</f>
        <v/>
      </c>
      <c r="K207" t="str">
        <f>IFERROR(IF(INDEX(使用レシピ!L:L,MATCH(テンプレート!$C207,使用レシピ!$E:$E,0))&lt;&gt;0,INDEX(使用レシピ!L:L,MATCH(テンプレート!$C207,使用レシピ!$E:$E,0)),""),"")</f>
        <v/>
      </c>
      <c r="L207" t="str">
        <f>IFERROR(IF(INDEX(使用レシピ!M:M,MATCH(テンプレート!$C207,使用レシピ!$E:$E,0))&lt;&gt;0,INDEX(使用レシピ!M:M,MATCH(テンプレート!$C207,使用レシピ!$E:$E,0)),""),"")</f>
        <v/>
      </c>
      <c r="M207" t="str">
        <f>IFERROR(IF(INDEX(使用レシピ!N:N,MATCH(テンプレート!$C207,使用レシピ!$E:$E,0))&lt;&gt;0,INDEX(使用レシピ!N:N,MATCH(テンプレート!$C207,使用レシピ!$E:$E,0)),""),"")</f>
        <v/>
      </c>
      <c r="N207" s="24" t="str">
        <f>IFERROR(IF(INDEX(使用レシピ!O:O,MATCH(テンプレート!$C207,使用レシピ!$E:$E,0))&lt;&gt;0,INDEX(使用レシピ!O:O,MATCH(テンプレート!$C207,使用レシピ!$E:$E,0)),""),"")</f>
        <v/>
      </c>
      <c r="O207" s="42">
        <f>IFERROR(IF(INDEX(使用レシピ!P:P,MATCH(テンプレート!$C207,使用レシピ!$E:$E,0))&lt;&gt;0,INDEX(使用レシピ!P:P,MATCH(テンプレート!$C207,使用レシピ!$E:$E,0)),""),"")</f>
        <v>1</v>
      </c>
      <c r="P207" s="25" t="str">
        <f t="shared" si="18"/>
        <v/>
      </c>
      <c r="Q207" s="26" t="str">
        <f t="shared" si="19"/>
        <v/>
      </c>
      <c r="R207" s="26" t="str">
        <f t="shared" si="20"/>
        <v/>
      </c>
      <c r="S207" s="26" t="str">
        <f t="shared" si="21"/>
        <v/>
      </c>
      <c r="T207" s="43" t="str">
        <f t="shared" si="21"/>
        <v/>
      </c>
    </row>
    <row r="208" spans="1:20" x14ac:dyDescent="0.4">
      <c r="A208">
        <v>1112121112</v>
      </c>
      <c r="B208" s="47" cm="1">
        <f t="array" ref="B208">IFERROR((INDEX($P$4:$T$1000,MATCH(VALUE(LEFT($A208,LEN($A208)-1)),$A$4:$A$1000,0),VALUE(RIGHT($A208,1)))/ INDEX($O$4:$O$1000,MATCH(VALUE(LEFT($A208,LEN($A208)-1)),$A$4:$A$1000))) * INDEX($B$4:$B$1000,MATCH(VALUE(LEFT($A208,LEN($A208)-1)),$A$4:$A$1000)),"")</f>
        <v>66.461538461538467</v>
      </c>
      <c r="C208" s="38" t="str" cm="1">
        <f t="array" ref="C208">IFERROR(IF(INDEX($D$4:$H$1000,MATCH(VALUE(LEFT($A208,LEN($A208)-1)),$A$4:$A$1000,0),VALUE(RIGHT($A208,1)))= 0,"",INDEX($D$4:$H$1000,MATCH(VALUE(LEFT($A208,LEN($A208)-1)),$A$4:$A$1000,0),VALUE(RIGHT($A208,1)))),"")</f>
        <v>水</v>
      </c>
      <c r="D208" s="23" t="str">
        <f>IFERROR(IF(INDEX(使用レシピ!F:F,MATCH(テンプレート!$C208,使用レシピ!$E:$E,0))&lt;&gt;0,INDEX(使用レシピ!F:F,MATCH(テンプレート!$C208,使用レシピ!$E:$E,0)),""),"")</f>
        <v/>
      </c>
      <c r="E208" t="str">
        <f>IFERROR(IF(INDEX(使用レシピ!G:G,MATCH(テンプレート!$C208,使用レシピ!$E:$E,0))&lt;&gt;0,INDEX(使用レシピ!G:G,MATCH(テンプレート!$C208,使用レシピ!$E:$E,0)),""),"")</f>
        <v/>
      </c>
      <c r="F208" t="str">
        <f>IFERROR(IF(INDEX(使用レシピ!H:H,MATCH(テンプレート!$C208,使用レシピ!$E:$E,0))&lt;&gt;0,INDEX(使用レシピ!H:H,MATCH(テンプレート!$C208,使用レシピ!$E:$E,0)),""),"")</f>
        <v/>
      </c>
      <c r="G208" t="str">
        <f>IFERROR(IF(INDEX(使用レシピ!I:I,MATCH(テンプレート!$C208,使用レシピ!$E:$E,0))&lt;&gt;0,INDEX(使用レシピ!I:I,MATCH(テンプレート!$C208,使用レシピ!$E:$E,0)),""),"")</f>
        <v/>
      </c>
      <c r="H208" s="24" t="str">
        <f>IFERROR(IF(INDEX(使用レシピ!J:J,MATCH(テンプレート!$C208,使用レシピ!$E:$E,0))&lt;&gt;0,INDEX(使用レシピ!J:J,MATCH(テンプレート!$C208,使用レシピ!$E:$E,0)),""),"")</f>
        <v/>
      </c>
      <c r="I208" s="36">
        <f>IFERROR(IF(INDEX(使用レシピ!P:P,MATCH(テンプレート!$C208,使用レシピ!$E:$E,0))&lt;&gt;0,INDEX(使用レシピ!P:P,MATCH(テンプレート!$C208,使用レシピ!$E:$E,0)),""),"")</f>
        <v>1</v>
      </c>
      <c r="J208" t="str">
        <f>IFERROR(IF(INDEX(使用レシピ!K:K,MATCH(テンプレート!$C208,使用レシピ!$E:$E,0))&lt;&gt;0,INDEX(使用レシピ!K:K,MATCH(テンプレート!$C208,使用レシピ!$E:$E,0)),""),"")</f>
        <v/>
      </c>
      <c r="K208" t="str">
        <f>IFERROR(IF(INDEX(使用レシピ!L:L,MATCH(テンプレート!$C208,使用レシピ!$E:$E,0))&lt;&gt;0,INDEX(使用レシピ!L:L,MATCH(テンプレート!$C208,使用レシピ!$E:$E,0)),""),"")</f>
        <v/>
      </c>
      <c r="L208" t="str">
        <f>IFERROR(IF(INDEX(使用レシピ!M:M,MATCH(テンプレート!$C208,使用レシピ!$E:$E,0))&lt;&gt;0,INDEX(使用レシピ!M:M,MATCH(テンプレート!$C208,使用レシピ!$E:$E,0)),""),"")</f>
        <v/>
      </c>
      <c r="M208" t="str">
        <f>IFERROR(IF(INDEX(使用レシピ!N:N,MATCH(テンプレート!$C208,使用レシピ!$E:$E,0))&lt;&gt;0,INDEX(使用レシピ!N:N,MATCH(テンプレート!$C208,使用レシピ!$E:$E,0)),""),"")</f>
        <v/>
      </c>
      <c r="N208" s="24" t="str">
        <f>IFERROR(IF(INDEX(使用レシピ!O:O,MATCH(テンプレート!$C208,使用レシピ!$E:$E,0))&lt;&gt;0,INDEX(使用レシピ!O:O,MATCH(テンプレート!$C208,使用レシピ!$E:$E,0)),""),"")</f>
        <v/>
      </c>
      <c r="O208" s="42">
        <f>IFERROR(IF(INDEX(使用レシピ!P:P,MATCH(テンプレート!$C208,使用レシピ!$E:$E,0))&lt;&gt;0,INDEX(使用レシピ!P:P,MATCH(テンプレート!$C208,使用レシピ!$E:$E,0)),""),"")</f>
        <v>1</v>
      </c>
      <c r="P208" s="25" t="str">
        <f t="shared" si="18"/>
        <v/>
      </c>
      <c r="Q208" s="26" t="str">
        <f t="shared" si="19"/>
        <v/>
      </c>
      <c r="R208" s="26" t="str">
        <f t="shared" si="20"/>
        <v/>
      </c>
      <c r="S208" s="26" t="str">
        <f t="shared" si="21"/>
        <v/>
      </c>
      <c r="T208" s="43" t="str">
        <f t="shared" si="21"/>
        <v/>
      </c>
    </row>
    <row r="209" spans="1:20" x14ac:dyDescent="0.4">
      <c r="A209">
        <v>1112121121</v>
      </c>
      <c r="B209" s="47" t="str" cm="1">
        <f t="array" ref="B209">IFERROR((INDEX($P$4:$T$1000,MATCH(VALUE(LEFT($A209,LEN($A209)-1)),$A$4:$A$1000,0),VALUE(RIGHT($A209,1)))/ INDEX($O$4:$O$1000,MATCH(VALUE(LEFT($A209,LEN($A209)-1)),$A$4:$A$1000))) * INDEX($B$4:$B$1000,MATCH(VALUE(LEFT($A209,LEN($A209)-1)),$A$4:$A$1000)),"")</f>
        <v/>
      </c>
      <c r="C209" s="38" t="str" cm="1">
        <f t="array" ref="C209">IFERROR(IF(INDEX($D$4:$H$1000,MATCH(VALUE(LEFT($A209,LEN($A209)-1)),$A$4:$A$1000,0),VALUE(RIGHT($A209,1)))= 0,"",INDEX($D$4:$H$1000,MATCH(VALUE(LEFT($A209,LEN($A209)-1)),$A$4:$A$1000,0),VALUE(RIGHT($A209,1)))),"")</f>
        <v/>
      </c>
      <c r="D209" s="23" t="str">
        <f>IFERROR(IF(INDEX(使用レシピ!F:F,MATCH(テンプレート!$C209,使用レシピ!$E:$E,0))&lt;&gt;0,INDEX(使用レシピ!F:F,MATCH(テンプレート!$C209,使用レシピ!$E:$E,0)),""),"")</f>
        <v/>
      </c>
      <c r="E209" t="str">
        <f>IFERROR(IF(INDEX(使用レシピ!G:G,MATCH(テンプレート!$C209,使用レシピ!$E:$E,0))&lt;&gt;0,INDEX(使用レシピ!G:G,MATCH(テンプレート!$C209,使用レシピ!$E:$E,0)),""),"")</f>
        <v/>
      </c>
      <c r="F209" t="str">
        <f>IFERROR(IF(INDEX(使用レシピ!H:H,MATCH(テンプレート!$C209,使用レシピ!$E:$E,0))&lt;&gt;0,INDEX(使用レシピ!H:H,MATCH(テンプレート!$C209,使用レシピ!$E:$E,0)),""),"")</f>
        <v/>
      </c>
      <c r="G209" t="str">
        <f>IFERROR(IF(INDEX(使用レシピ!I:I,MATCH(テンプレート!$C209,使用レシピ!$E:$E,0))&lt;&gt;0,INDEX(使用レシピ!I:I,MATCH(テンプレート!$C209,使用レシピ!$E:$E,0)),""),"")</f>
        <v/>
      </c>
      <c r="H209" s="24" t="str">
        <f>IFERROR(IF(INDEX(使用レシピ!J:J,MATCH(テンプレート!$C209,使用レシピ!$E:$E,0))&lt;&gt;0,INDEX(使用レシピ!J:J,MATCH(テンプレート!$C209,使用レシピ!$E:$E,0)),""),"")</f>
        <v/>
      </c>
      <c r="I209" s="36" t="str">
        <f>IFERROR(IF(INDEX(使用レシピ!P:P,MATCH(テンプレート!$C209,使用レシピ!$E:$E,0))&lt;&gt;0,INDEX(使用レシピ!P:P,MATCH(テンプレート!$C209,使用レシピ!$E:$E,0)),""),"")</f>
        <v/>
      </c>
      <c r="J209" t="str">
        <f>IFERROR(IF(INDEX(使用レシピ!K:K,MATCH(テンプレート!$C209,使用レシピ!$E:$E,0))&lt;&gt;0,INDEX(使用レシピ!K:K,MATCH(テンプレート!$C209,使用レシピ!$E:$E,0)),""),"")</f>
        <v/>
      </c>
      <c r="K209" t="str">
        <f>IFERROR(IF(INDEX(使用レシピ!L:L,MATCH(テンプレート!$C209,使用レシピ!$E:$E,0))&lt;&gt;0,INDEX(使用レシピ!L:L,MATCH(テンプレート!$C209,使用レシピ!$E:$E,0)),""),"")</f>
        <v/>
      </c>
      <c r="L209" t="str">
        <f>IFERROR(IF(INDEX(使用レシピ!M:M,MATCH(テンプレート!$C209,使用レシピ!$E:$E,0))&lt;&gt;0,INDEX(使用レシピ!M:M,MATCH(テンプレート!$C209,使用レシピ!$E:$E,0)),""),"")</f>
        <v/>
      </c>
      <c r="M209" t="str">
        <f>IFERROR(IF(INDEX(使用レシピ!N:N,MATCH(テンプレート!$C209,使用レシピ!$E:$E,0))&lt;&gt;0,INDEX(使用レシピ!N:N,MATCH(テンプレート!$C209,使用レシピ!$E:$E,0)),""),"")</f>
        <v/>
      </c>
      <c r="N209" s="24" t="str">
        <f>IFERROR(IF(INDEX(使用レシピ!O:O,MATCH(テンプレート!$C209,使用レシピ!$E:$E,0))&lt;&gt;0,INDEX(使用レシピ!O:O,MATCH(テンプレート!$C209,使用レシピ!$E:$E,0)),""),"")</f>
        <v/>
      </c>
      <c r="O209" s="42" t="str">
        <f>IFERROR(IF(INDEX(使用レシピ!P:P,MATCH(テンプレート!$C209,使用レシピ!$E:$E,0))&lt;&gt;0,INDEX(使用レシピ!P:P,MATCH(テンプレート!$C209,使用レシピ!$E:$E,0)),""),"")</f>
        <v/>
      </c>
      <c r="P209" s="25" t="str">
        <f t="shared" si="18"/>
        <v/>
      </c>
      <c r="Q209" s="26" t="str">
        <f t="shared" si="19"/>
        <v/>
      </c>
      <c r="R209" s="26" t="str">
        <f t="shared" si="20"/>
        <v/>
      </c>
      <c r="S209" s="26" t="str">
        <f t="shared" si="21"/>
        <v/>
      </c>
      <c r="T209" s="43" t="str">
        <f t="shared" si="21"/>
        <v/>
      </c>
    </row>
    <row r="210" spans="1:20" x14ac:dyDescent="0.4">
      <c r="A210">
        <v>1112121122</v>
      </c>
      <c r="B210" s="47" t="str" cm="1">
        <f t="array" ref="B210">IFERROR((INDEX($P$4:$T$1000,MATCH(VALUE(LEFT($A210,LEN($A210)-1)),$A$4:$A$1000,0),VALUE(RIGHT($A210,1)))/ INDEX($O$4:$O$1000,MATCH(VALUE(LEFT($A210,LEN($A210)-1)),$A$4:$A$1000))) * INDEX($B$4:$B$1000,MATCH(VALUE(LEFT($A210,LEN($A210)-1)),$A$4:$A$1000)),"")</f>
        <v/>
      </c>
      <c r="C210" s="38" t="str" cm="1">
        <f t="array" ref="C210">IFERROR(IF(INDEX($D$4:$H$1000,MATCH(VALUE(LEFT($A210,LEN($A210)-1)),$A$4:$A$1000,0),VALUE(RIGHT($A210,1)))= 0,"",INDEX($D$4:$H$1000,MATCH(VALUE(LEFT($A210,LEN($A210)-1)),$A$4:$A$1000,0),VALUE(RIGHT($A210,1)))),"")</f>
        <v/>
      </c>
      <c r="D210" s="23" t="str">
        <f>IFERROR(IF(INDEX(使用レシピ!F:F,MATCH(テンプレート!$C210,使用レシピ!$E:$E,0))&lt;&gt;0,INDEX(使用レシピ!F:F,MATCH(テンプレート!$C210,使用レシピ!$E:$E,0)),""),"")</f>
        <v/>
      </c>
      <c r="E210" t="str">
        <f>IFERROR(IF(INDEX(使用レシピ!G:G,MATCH(テンプレート!$C210,使用レシピ!$E:$E,0))&lt;&gt;0,INDEX(使用レシピ!G:G,MATCH(テンプレート!$C210,使用レシピ!$E:$E,0)),""),"")</f>
        <v/>
      </c>
      <c r="F210" t="str">
        <f>IFERROR(IF(INDEX(使用レシピ!H:H,MATCH(テンプレート!$C210,使用レシピ!$E:$E,0))&lt;&gt;0,INDEX(使用レシピ!H:H,MATCH(テンプレート!$C210,使用レシピ!$E:$E,0)),""),"")</f>
        <v/>
      </c>
      <c r="G210" t="str">
        <f>IFERROR(IF(INDEX(使用レシピ!I:I,MATCH(テンプレート!$C210,使用レシピ!$E:$E,0))&lt;&gt;0,INDEX(使用レシピ!I:I,MATCH(テンプレート!$C210,使用レシピ!$E:$E,0)),""),"")</f>
        <v/>
      </c>
      <c r="H210" s="24" t="str">
        <f>IFERROR(IF(INDEX(使用レシピ!J:J,MATCH(テンプレート!$C210,使用レシピ!$E:$E,0))&lt;&gt;0,INDEX(使用レシピ!J:J,MATCH(テンプレート!$C210,使用レシピ!$E:$E,0)),""),"")</f>
        <v/>
      </c>
      <c r="I210" s="36" t="str">
        <f>IFERROR(IF(INDEX(使用レシピ!P:P,MATCH(テンプレート!$C210,使用レシピ!$E:$E,0))&lt;&gt;0,INDEX(使用レシピ!P:P,MATCH(テンプレート!$C210,使用レシピ!$E:$E,0)),""),"")</f>
        <v/>
      </c>
      <c r="J210" t="str">
        <f>IFERROR(IF(INDEX(使用レシピ!K:K,MATCH(テンプレート!$C210,使用レシピ!$E:$E,0))&lt;&gt;0,INDEX(使用レシピ!K:K,MATCH(テンプレート!$C210,使用レシピ!$E:$E,0)),""),"")</f>
        <v/>
      </c>
      <c r="K210" t="str">
        <f>IFERROR(IF(INDEX(使用レシピ!L:L,MATCH(テンプレート!$C210,使用レシピ!$E:$E,0))&lt;&gt;0,INDEX(使用レシピ!L:L,MATCH(テンプレート!$C210,使用レシピ!$E:$E,0)),""),"")</f>
        <v/>
      </c>
      <c r="L210" t="str">
        <f>IFERROR(IF(INDEX(使用レシピ!M:M,MATCH(テンプレート!$C210,使用レシピ!$E:$E,0))&lt;&gt;0,INDEX(使用レシピ!M:M,MATCH(テンプレート!$C210,使用レシピ!$E:$E,0)),""),"")</f>
        <v/>
      </c>
      <c r="M210" t="str">
        <f>IFERROR(IF(INDEX(使用レシピ!N:N,MATCH(テンプレート!$C210,使用レシピ!$E:$E,0))&lt;&gt;0,INDEX(使用レシピ!N:N,MATCH(テンプレート!$C210,使用レシピ!$E:$E,0)),""),"")</f>
        <v/>
      </c>
      <c r="N210" s="24" t="str">
        <f>IFERROR(IF(INDEX(使用レシピ!O:O,MATCH(テンプレート!$C210,使用レシピ!$E:$E,0))&lt;&gt;0,INDEX(使用レシピ!O:O,MATCH(テンプレート!$C210,使用レシピ!$E:$E,0)),""),"")</f>
        <v/>
      </c>
      <c r="O210" s="42" t="str">
        <f>IFERROR(IF(INDEX(使用レシピ!P:P,MATCH(テンプレート!$C210,使用レシピ!$E:$E,0))&lt;&gt;0,INDEX(使用レシピ!P:P,MATCH(テンプレート!$C210,使用レシピ!$E:$E,0)),""),"")</f>
        <v/>
      </c>
      <c r="P210" s="25" t="str">
        <f t="shared" si="18"/>
        <v/>
      </c>
      <c r="Q210" s="26" t="str">
        <f t="shared" si="19"/>
        <v/>
      </c>
      <c r="R210" s="26" t="str">
        <f t="shared" si="20"/>
        <v/>
      </c>
      <c r="S210" s="26" t="str">
        <f t="shared" si="21"/>
        <v/>
      </c>
      <c r="T210" s="43" t="str">
        <f t="shared" si="21"/>
        <v/>
      </c>
    </row>
    <row r="211" spans="1:20" x14ac:dyDescent="0.4">
      <c r="A211">
        <v>1112121211</v>
      </c>
      <c r="B211" s="47" t="str" cm="1">
        <f t="array" ref="B211">IFERROR((INDEX($P$4:$T$1000,MATCH(VALUE(LEFT($A211,LEN($A211)-1)),$A$4:$A$1000,0),VALUE(RIGHT($A211,1)))/ INDEX($O$4:$O$1000,MATCH(VALUE(LEFT($A211,LEN($A211)-1)),$A$4:$A$1000))) * INDEX($B$4:$B$1000,MATCH(VALUE(LEFT($A211,LEN($A211)-1)),$A$4:$A$1000)),"")</f>
        <v/>
      </c>
      <c r="C211" s="38" t="str" cm="1">
        <f t="array" ref="C211">IFERROR(IF(INDEX($D$4:$H$1000,MATCH(VALUE(LEFT($A211,LEN($A211)-1)),$A$4:$A$1000,0),VALUE(RIGHT($A211,1)))= 0,"",INDEX($D$4:$H$1000,MATCH(VALUE(LEFT($A211,LEN($A211)-1)),$A$4:$A$1000,0),VALUE(RIGHT($A211,1)))),"")</f>
        <v/>
      </c>
      <c r="D211" s="23" t="str">
        <f>IFERROR(IF(INDEX(使用レシピ!F:F,MATCH(テンプレート!$C211,使用レシピ!$E:$E,0))&lt;&gt;0,INDEX(使用レシピ!F:F,MATCH(テンプレート!$C211,使用レシピ!$E:$E,0)),""),"")</f>
        <v/>
      </c>
      <c r="E211" t="str">
        <f>IFERROR(IF(INDEX(使用レシピ!G:G,MATCH(テンプレート!$C211,使用レシピ!$E:$E,0))&lt;&gt;0,INDEX(使用レシピ!G:G,MATCH(テンプレート!$C211,使用レシピ!$E:$E,0)),""),"")</f>
        <v/>
      </c>
      <c r="F211" t="str">
        <f>IFERROR(IF(INDEX(使用レシピ!H:H,MATCH(テンプレート!$C211,使用レシピ!$E:$E,0))&lt;&gt;0,INDEX(使用レシピ!H:H,MATCH(テンプレート!$C211,使用レシピ!$E:$E,0)),""),"")</f>
        <v/>
      </c>
      <c r="G211" t="str">
        <f>IFERROR(IF(INDEX(使用レシピ!I:I,MATCH(テンプレート!$C211,使用レシピ!$E:$E,0))&lt;&gt;0,INDEX(使用レシピ!I:I,MATCH(テンプレート!$C211,使用レシピ!$E:$E,0)),""),"")</f>
        <v/>
      </c>
      <c r="H211" s="24" t="str">
        <f>IFERROR(IF(INDEX(使用レシピ!J:J,MATCH(テンプレート!$C211,使用レシピ!$E:$E,0))&lt;&gt;0,INDEX(使用レシピ!J:J,MATCH(テンプレート!$C211,使用レシピ!$E:$E,0)),""),"")</f>
        <v/>
      </c>
      <c r="I211" s="36" t="str">
        <f>IFERROR(IF(INDEX(使用レシピ!P:P,MATCH(テンプレート!$C211,使用レシピ!$E:$E,0))&lt;&gt;0,INDEX(使用レシピ!P:P,MATCH(テンプレート!$C211,使用レシピ!$E:$E,0)),""),"")</f>
        <v/>
      </c>
      <c r="J211" t="str">
        <f>IFERROR(IF(INDEX(使用レシピ!K:K,MATCH(テンプレート!$C211,使用レシピ!$E:$E,0))&lt;&gt;0,INDEX(使用レシピ!K:K,MATCH(テンプレート!$C211,使用レシピ!$E:$E,0)),""),"")</f>
        <v/>
      </c>
      <c r="K211" t="str">
        <f>IFERROR(IF(INDEX(使用レシピ!L:L,MATCH(テンプレート!$C211,使用レシピ!$E:$E,0))&lt;&gt;0,INDEX(使用レシピ!L:L,MATCH(テンプレート!$C211,使用レシピ!$E:$E,0)),""),"")</f>
        <v/>
      </c>
      <c r="L211" t="str">
        <f>IFERROR(IF(INDEX(使用レシピ!M:M,MATCH(テンプレート!$C211,使用レシピ!$E:$E,0))&lt;&gt;0,INDEX(使用レシピ!M:M,MATCH(テンプレート!$C211,使用レシピ!$E:$E,0)),""),"")</f>
        <v/>
      </c>
      <c r="M211" t="str">
        <f>IFERROR(IF(INDEX(使用レシピ!N:N,MATCH(テンプレート!$C211,使用レシピ!$E:$E,0))&lt;&gt;0,INDEX(使用レシピ!N:N,MATCH(テンプレート!$C211,使用レシピ!$E:$E,0)),""),"")</f>
        <v/>
      </c>
      <c r="N211" s="24" t="str">
        <f>IFERROR(IF(INDEX(使用レシピ!O:O,MATCH(テンプレート!$C211,使用レシピ!$E:$E,0))&lt;&gt;0,INDEX(使用レシピ!O:O,MATCH(テンプレート!$C211,使用レシピ!$E:$E,0)),""),"")</f>
        <v/>
      </c>
      <c r="O211" s="42" t="str">
        <f>IFERROR(IF(INDEX(使用レシピ!P:P,MATCH(テンプレート!$C211,使用レシピ!$E:$E,0))&lt;&gt;0,INDEX(使用レシピ!P:P,MATCH(テンプレート!$C211,使用レシピ!$E:$E,0)),""),"")</f>
        <v/>
      </c>
      <c r="P211" s="25" t="str">
        <f t="shared" si="18"/>
        <v/>
      </c>
      <c r="Q211" s="26" t="str">
        <f t="shared" si="19"/>
        <v/>
      </c>
      <c r="R211" s="26" t="str">
        <f t="shared" si="20"/>
        <v/>
      </c>
      <c r="S211" s="26" t="str">
        <f t="shared" si="21"/>
        <v/>
      </c>
      <c r="T211" s="43" t="str">
        <f t="shared" si="21"/>
        <v/>
      </c>
    </row>
    <row r="212" spans="1:20" x14ac:dyDescent="0.4">
      <c r="A212">
        <v>1112121212</v>
      </c>
      <c r="B212" s="47" t="str" cm="1">
        <f t="array" ref="B212">IFERROR((INDEX($P$4:$T$1000,MATCH(VALUE(LEFT($A212,LEN($A212)-1)),$A$4:$A$1000,0),VALUE(RIGHT($A212,1)))/ INDEX($O$4:$O$1000,MATCH(VALUE(LEFT($A212,LEN($A212)-1)),$A$4:$A$1000))) * INDEX($B$4:$B$1000,MATCH(VALUE(LEFT($A212,LEN($A212)-1)),$A$4:$A$1000)),"")</f>
        <v/>
      </c>
      <c r="C212" s="38" t="str" cm="1">
        <f t="array" ref="C212">IFERROR(IF(INDEX($D$4:$H$1000,MATCH(VALUE(LEFT($A212,LEN($A212)-1)),$A$4:$A$1000,0),VALUE(RIGHT($A212,1)))= 0,"",INDEX($D$4:$H$1000,MATCH(VALUE(LEFT($A212,LEN($A212)-1)),$A$4:$A$1000,0),VALUE(RIGHT($A212,1)))),"")</f>
        <v/>
      </c>
      <c r="D212" s="23" t="str">
        <f>IFERROR(IF(INDEX(使用レシピ!F:F,MATCH(テンプレート!$C212,使用レシピ!$E:$E,0))&lt;&gt;0,INDEX(使用レシピ!F:F,MATCH(テンプレート!$C212,使用レシピ!$E:$E,0)),""),"")</f>
        <v/>
      </c>
      <c r="E212" t="str">
        <f>IFERROR(IF(INDEX(使用レシピ!G:G,MATCH(テンプレート!$C212,使用レシピ!$E:$E,0))&lt;&gt;0,INDEX(使用レシピ!G:G,MATCH(テンプレート!$C212,使用レシピ!$E:$E,0)),""),"")</f>
        <v/>
      </c>
      <c r="F212" t="str">
        <f>IFERROR(IF(INDEX(使用レシピ!H:H,MATCH(テンプレート!$C212,使用レシピ!$E:$E,0))&lt;&gt;0,INDEX(使用レシピ!H:H,MATCH(テンプレート!$C212,使用レシピ!$E:$E,0)),""),"")</f>
        <v/>
      </c>
      <c r="G212" t="str">
        <f>IFERROR(IF(INDEX(使用レシピ!I:I,MATCH(テンプレート!$C212,使用レシピ!$E:$E,0))&lt;&gt;0,INDEX(使用レシピ!I:I,MATCH(テンプレート!$C212,使用レシピ!$E:$E,0)),""),"")</f>
        <v/>
      </c>
      <c r="H212" s="24" t="str">
        <f>IFERROR(IF(INDEX(使用レシピ!J:J,MATCH(テンプレート!$C212,使用レシピ!$E:$E,0))&lt;&gt;0,INDEX(使用レシピ!J:J,MATCH(テンプレート!$C212,使用レシピ!$E:$E,0)),""),"")</f>
        <v/>
      </c>
      <c r="I212" s="36" t="str">
        <f>IFERROR(IF(INDEX(使用レシピ!P:P,MATCH(テンプレート!$C212,使用レシピ!$E:$E,0))&lt;&gt;0,INDEX(使用レシピ!P:P,MATCH(テンプレート!$C212,使用レシピ!$E:$E,0)),""),"")</f>
        <v/>
      </c>
      <c r="J212" t="str">
        <f>IFERROR(IF(INDEX(使用レシピ!K:K,MATCH(テンプレート!$C212,使用レシピ!$E:$E,0))&lt;&gt;0,INDEX(使用レシピ!K:K,MATCH(テンプレート!$C212,使用レシピ!$E:$E,0)),""),"")</f>
        <v/>
      </c>
      <c r="K212" t="str">
        <f>IFERROR(IF(INDEX(使用レシピ!L:L,MATCH(テンプレート!$C212,使用レシピ!$E:$E,0))&lt;&gt;0,INDEX(使用レシピ!L:L,MATCH(テンプレート!$C212,使用レシピ!$E:$E,0)),""),"")</f>
        <v/>
      </c>
      <c r="L212" t="str">
        <f>IFERROR(IF(INDEX(使用レシピ!M:M,MATCH(テンプレート!$C212,使用レシピ!$E:$E,0))&lt;&gt;0,INDEX(使用レシピ!M:M,MATCH(テンプレート!$C212,使用レシピ!$E:$E,0)),""),"")</f>
        <v/>
      </c>
      <c r="M212" t="str">
        <f>IFERROR(IF(INDEX(使用レシピ!N:N,MATCH(テンプレート!$C212,使用レシピ!$E:$E,0))&lt;&gt;0,INDEX(使用レシピ!N:N,MATCH(テンプレート!$C212,使用レシピ!$E:$E,0)),""),"")</f>
        <v/>
      </c>
      <c r="N212" s="24" t="str">
        <f>IFERROR(IF(INDEX(使用レシピ!O:O,MATCH(テンプレート!$C212,使用レシピ!$E:$E,0))&lt;&gt;0,INDEX(使用レシピ!O:O,MATCH(テンプレート!$C212,使用レシピ!$E:$E,0)),""),"")</f>
        <v/>
      </c>
      <c r="O212" s="42" t="str">
        <f>IFERROR(IF(INDEX(使用レシピ!P:P,MATCH(テンプレート!$C212,使用レシピ!$E:$E,0))&lt;&gt;0,INDEX(使用レシピ!P:P,MATCH(テンプレート!$C212,使用レシピ!$E:$E,0)),""),"")</f>
        <v/>
      </c>
      <c r="P212" s="25" t="str">
        <f t="shared" si="18"/>
        <v/>
      </c>
      <c r="Q212" s="26" t="str">
        <f t="shared" si="19"/>
        <v/>
      </c>
      <c r="R212" s="26" t="str">
        <f t="shared" si="20"/>
        <v/>
      </c>
      <c r="S212" s="26" t="str">
        <f t="shared" si="21"/>
        <v/>
      </c>
      <c r="T212" s="43" t="str">
        <f t="shared" si="21"/>
        <v/>
      </c>
    </row>
    <row r="213" spans="1:20" x14ac:dyDescent="0.4">
      <c r="A213">
        <v>1112122111</v>
      </c>
      <c r="B213" s="47" t="str" cm="1">
        <f t="array" ref="B213">IFERROR((INDEX($P$4:$T$1000,MATCH(VALUE(LEFT($A213,LEN($A213)-1)),$A$4:$A$1000,0),VALUE(RIGHT($A213,1)))/ INDEX($O$4:$O$1000,MATCH(VALUE(LEFT($A213,LEN($A213)-1)),$A$4:$A$1000))) * INDEX($B$4:$B$1000,MATCH(VALUE(LEFT($A213,LEN($A213)-1)),$A$4:$A$1000)),"")</f>
        <v/>
      </c>
      <c r="C213" s="38" t="str" cm="1">
        <f t="array" ref="C213">IFERROR(IF(INDEX($D$4:$H$1000,MATCH(VALUE(LEFT($A213,LEN($A213)-1)),$A$4:$A$1000,0),VALUE(RIGHT($A213,1)))= 0,"",INDEX($D$4:$H$1000,MATCH(VALUE(LEFT($A213,LEN($A213)-1)),$A$4:$A$1000,0),VALUE(RIGHT($A213,1)))),"")</f>
        <v/>
      </c>
      <c r="D213" s="23" t="str">
        <f>IFERROR(IF(INDEX(使用レシピ!F:F,MATCH(テンプレート!$C213,使用レシピ!$E:$E,0))&lt;&gt;0,INDEX(使用レシピ!F:F,MATCH(テンプレート!$C213,使用レシピ!$E:$E,0)),""),"")</f>
        <v/>
      </c>
      <c r="E213" t="str">
        <f>IFERROR(IF(INDEX(使用レシピ!G:G,MATCH(テンプレート!$C213,使用レシピ!$E:$E,0))&lt;&gt;0,INDEX(使用レシピ!G:G,MATCH(テンプレート!$C213,使用レシピ!$E:$E,0)),""),"")</f>
        <v/>
      </c>
      <c r="F213" t="str">
        <f>IFERROR(IF(INDEX(使用レシピ!H:H,MATCH(テンプレート!$C213,使用レシピ!$E:$E,0))&lt;&gt;0,INDEX(使用レシピ!H:H,MATCH(テンプレート!$C213,使用レシピ!$E:$E,0)),""),"")</f>
        <v/>
      </c>
      <c r="G213" t="str">
        <f>IFERROR(IF(INDEX(使用レシピ!I:I,MATCH(テンプレート!$C213,使用レシピ!$E:$E,0))&lt;&gt;0,INDEX(使用レシピ!I:I,MATCH(テンプレート!$C213,使用レシピ!$E:$E,0)),""),"")</f>
        <v/>
      </c>
      <c r="H213" s="24" t="str">
        <f>IFERROR(IF(INDEX(使用レシピ!J:J,MATCH(テンプレート!$C213,使用レシピ!$E:$E,0))&lt;&gt;0,INDEX(使用レシピ!J:J,MATCH(テンプレート!$C213,使用レシピ!$E:$E,0)),""),"")</f>
        <v/>
      </c>
      <c r="I213" s="36" t="str">
        <f>IFERROR(IF(INDEX(使用レシピ!P:P,MATCH(テンプレート!$C213,使用レシピ!$E:$E,0))&lt;&gt;0,INDEX(使用レシピ!P:P,MATCH(テンプレート!$C213,使用レシピ!$E:$E,0)),""),"")</f>
        <v/>
      </c>
      <c r="J213" t="str">
        <f>IFERROR(IF(INDEX(使用レシピ!K:K,MATCH(テンプレート!$C213,使用レシピ!$E:$E,0))&lt;&gt;0,INDEX(使用レシピ!K:K,MATCH(テンプレート!$C213,使用レシピ!$E:$E,0)),""),"")</f>
        <v/>
      </c>
      <c r="K213" t="str">
        <f>IFERROR(IF(INDEX(使用レシピ!L:L,MATCH(テンプレート!$C213,使用レシピ!$E:$E,0))&lt;&gt;0,INDEX(使用レシピ!L:L,MATCH(テンプレート!$C213,使用レシピ!$E:$E,0)),""),"")</f>
        <v/>
      </c>
      <c r="L213" t="str">
        <f>IFERROR(IF(INDEX(使用レシピ!M:M,MATCH(テンプレート!$C213,使用レシピ!$E:$E,0))&lt;&gt;0,INDEX(使用レシピ!M:M,MATCH(テンプレート!$C213,使用レシピ!$E:$E,0)),""),"")</f>
        <v/>
      </c>
      <c r="M213" t="str">
        <f>IFERROR(IF(INDEX(使用レシピ!N:N,MATCH(テンプレート!$C213,使用レシピ!$E:$E,0))&lt;&gt;0,INDEX(使用レシピ!N:N,MATCH(テンプレート!$C213,使用レシピ!$E:$E,0)),""),"")</f>
        <v/>
      </c>
      <c r="N213" s="24" t="str">
        <f>IFERROR(IF(INDEX(使用レシピ!O:O,MATCH(テンプレート!$C213,使用レシピ!$E:$E,0))&lt;&gt;0,INDEX(使用レシピ!O:O,MATCH(テンプレート!$C213,使用レシピ!$E:$E,0)),""),"")</f>
        <v/>
      </c>
      <c r="O213" s="42" t="str">
        <f>IFERROR(IF(INDEX(使用レシピ!P:P,MATCH(テンプレート!$C213,使用レシピ!$E:$E,0))&lt;&gt;0,INDEX(使用レシピ!P:P,MATCH(テンプレート!$C213,使用レシピ!$E:$E,0)),""),"")</f>
        <v/>
      </c>
      <c r="P213" s="25" t="str">
        <f t="shared" si="18"/>
        <v/>
      </c>
      <c r="Q213" s="26" t="str">
        <f t="shared" si="19"/>
        <v/>
      </c>
      <c r="R213" s="26" t="str">
        <f t="shared" si="20"/>
        <v/>
      </c>
      <c r="S213" s="26" t="str">
        <f t="shared" si="21"/>
        <v/>
      </c>
      <c r="T213" s="43" t="str">
        <f t="shared" si="21"/>
        <v/>
      </c>
    </row>
    <row r="214" spans="1:20" x14ac:dyDescent="0.4">
      <c r="A214">
        <v>1112122112</v>
      </c>
      <c r="B214" s="47" t="str" cm="1">
        <f t="array" ref="B214">IFERROR((INDEX($P$4:$T$1000,MATCH(VALUE(LEFT($A214,LEN($A214)-1)),$A$4:$A$1000,0),VALUE(RIGHT($A214,1)))/ INDEX($O$4:$O$1000,MATCH(VALUE(LEFT($A214,LEN($A214)-1)),$A$4:$A$1000))) * INDEX($B$4:$B$1000,MATCH(VALUE(LEFT($A214,LEN($A214)-1)),$A$4:$A$1000)),"")</f>
        <v/>
      </c>
      <c r="C214" s="38" t="str" cm="1">
        <f t="array" ref="C214">IFERROR(IF(INDEX($D$4:$H$1000,MATCH(VALUE(LEFT($A214,LEN($A214)-1)),$A$4:$A$1000,0),VALUE(RIGHT($A214,1)))= 0,"",INDEX($D$4:$H$1000,MATCH(VALUE(LEFT($A214,LEN($A214)-1)),$A$4:$A$1000,0),VALUE(RIGHT($A214,1)))),"")</f>
        <v/>
      </c>
      <c r="D214" s="23" t="str">
        <f>IFERROR(IF(INDEX(使用レシピ!F:F,MATCH(テンプレート!$C214,使用レシピ!$E:$E,0))&lt;&gt;0,INDEX(使用レシピ!F:F,MATCH(テンプレート!$C214,使用レシピ!$E:$E,0)),""),"")</f>
        <v/>
      </c>
      <c r="E214" t="str">
        <f>IFERROR(IF(INDEX(使用レシピ!G:G,MATCH(テンプレート!$C214,使用レシピ!$E:$E,0))&lt;&gt;0,INDEX(使用レシピ!G:G,MATCH(テンプレート!$C214,使用レシピ!$E:$E,0)),""),"")</f>
        <v/>
      </c>
      <c r="F214" t="str">
        <f>IFERROR(IF(INDEX(使用レシピ!H:H,MATCH(テンプレート!$C214,使用レシピ!$E:$E,0))&lt;&gt;0,INDEX(使用レシピ!H:H,MATCH(テンプレート!$C214,使用レシピ!$E:$E,0)),""),"")</f>
        <v/>
      </c>
      <c r="G214" t="str">
        <f>IFERROR(IF(INDEX(使用レシピ!I:I,MATCH(テンプレート!$C214,使用レシピ!$E:$E,0))&lt;&gt;0,INDEX(使用レシピ!I:I,MATCH(テンプレート!$C214,使用レシピ!$E:$E,0)),""),"")</f>
        <v/>
      </c>
      <c r="H214" s="24" t="str">
        <f>IFERROR(IF(INDEX(使用レシピ!J:J,MATCH(テンプレート!$C214,使用レシピ!$E:$E,0))&lt;&gt;0,INDEX(使用レシピ!J:J,MATCH(テンプレート!$C214,使用レシピ!$E:$E,0)),""),"")</f>
        <v/>
      </c>
      <c r="I214" s="36" t="str">
        <f>IFERROR(IF(INDEX(使用レシピ!P:P,MATCH(テンプレート!$C214,使用レシピ!$E:$E,0))&lt;&gt;0,INDEX(使用レシピ!P:P,MATCH(テンプレート!$C214,使用レシピ!$E:$E,0)),""),"")</f>
        <v/>
      </c>
      <c r="J214" t="str">
        <f>IFERROR(IF(INDEX(使用レシピ!K:K,MATCH(テンプレート!$C214,使用レシピ!$E:$E,0))&lt;&gt;0,INDEX(使用レシピ!K:K,MATCH(テンプレート!$C214,使用レシピ!$E:$E,0)),""),"")</f>
        <v/>
      </c>
      <c r="K214" t="str">
        <f>IFERROR(IF(INDEX(使用レシピ!L:L,MATCH(テンプレート!$C214,使用レシピ!$E:$E,0))&lt;&gt;0,INDEX(使用レシピ!L:L,MATCH(テンプレート!$C214,使用レシピ!$E:$E,0)),""),"")</f>
        <v/>
      </c>
      <c r="L214" t="str">
        <f>IFERROR(IF(INDEX(使用レシピ!M:M,MATCH(テンプレート!$C214,使用レシピ!$E:$E,0))&lt;&gt;0,INDEX(使用レシピ!M:M,MATCH(テンプレート!$C214,使用レシピ!$E:$E,0)),""),"")</f>
        <v/>
      </c>
      <c r="M214" t="str">
        <f>IFERROR(IF(INDEX(使用レシピ!N:N,MATCH(テンプレート!$C214,使用レシピ!$E:$E,0))&lt;&gt;0,INDEX(使用レシピ!N:N,MATCH(テンプレート!$C214,使用レシピ!$E:$E,0)),""),"")</f>
        <v/>
      </c>
      <c r="N214" s="24" t="str">
        <f>IFERROR(IF(INDEX(使用レシピ!O:O,MATCH(テンプレート!$C214,使用レシピ!$E:$E,0))&lt;&gt;0,INDEX(使用レシピ!O:O,MATCH(テンプレート!$C214,使用レシピ!$E:$E,0)),""),"")</f>
        <v/>
      </c>
      <c r="O214" s="42" t="str">
        <f>IFERROR(IF(INDEX(使用レシピ!P:P,MATCH(テンプレート!$C214,使用レシピ!$E:$E,0))&lt;&gt;0,INDEX(使用レシピ!P:P,MATCH(テンプレート!$C214,使用レシピ!$E:$E,0)),""),"")</f>
        <v/>
      </c>
      <c r="P214" s="25" t="str">
        <f t="shared" si="18"/>
        <v/>
      </c>
      <c r="Q214" s="26" t="str">
        <f t="shared" si="19"/>
        <v/>
      </c>
      <c r="R214" s="26" t="str">
        <f t="shared" si="20"/>
        <v/>
      </c>
      <c r="S214" s="26" t="str">
        <f t="shared" si="21"/>
        <v/>
      </c>
      <c r="T214" s="43" t="str">
        <f t="shared" si="21"/>
        <v/>
      </c>
    </row>
    <row r="215" spans="1:20" x14ac:dyDescent="0.4">
      <c r="A215">
        <v>1112122211</v>
      </c>
      <c r="B215" s="47" t="str" cm="1">
        <f t="array" ref="B215">IFERROR((INDEX($P$4:$T$1000,MATCH(VALUE(LEFT($A215,LEN($A215)-1)),$A$4:$A$1000,0),VALUE(RIGHT($A215,1)))/ INDEX($O$4:$O$1000,MATCH(VALUE(LEFT($A215,LEN($A215)-1)),$A$4:$A$1000))) * INDEX($B$4:$B$1000,MATCH(VALUE(LEFT($A215,LEN($A215)-1)),$A$4:$A$1000)),"")</f>
        <v/>
      </c>
      <c r="C215" s="38" t="str" cm="1">
        <f t="array" ref="C215">IFERROR(IF(INDEX($D$4:$H$1000,MATCH(VALUE(LEFT($A215,LEN($A215)-1)),$A$4:$A$1000,0),VALUE(RIGHT($A215,1)))= 0,"",INDEX($D$4:$H$1000,MATCH(VALUE(LEFT($A215,LEN($A215)-1)),$A$4:$A$1000,0),VALUE(RIGHT($A215,1)))),"")</f>
        <v/>
      </c>
      <c r="D215" s="23" t="str">
        <f>IFERROR(IF(INDEX(使用レシピ!F:F,MATCH(テンプレート!$C215,使用レシピ!$E:$E,0))&lt;&gt;0,INDEX(使用レシピ!F:F,MATCH(テンプレート!$C215,使用レシピ!$E:$E,0)),""),"")</f>
        <v/>
      </c>
      <c r="E215" t="str">
        <f>IFERROR(IF(INDEX(使用レシピ!G:G,MATCH(テンプレート!$C215,使用レシピ!$E:$E,0))&lt;&gt;0,INDEX(使用レシピ!G:G,MATCH(テンプレート!$C215,使用レシピ!$E:$E,0)),""),"")</f>
        <v/>
      </c>
      <c r="F215" t="str">
        <f>IFERROR(IF(INDEX(使用レシピ!H:H,MATCH(テンプレート!$C215,使用レシピ!$E:$E,0))&lt;&gt;0,INDEX(使用レシピ!H:H,MATCH(テンプレート!$C215,使用レシピ!$E:$E,0)),""),"")</f>
        <v/>
      </c>
      <c r="G215" t="str">
        <f>IFERROR(IF(INDEX(使用レシピ!I:I,MATCH(テンプレート!$C215,使用レシピ!$E:$E,0))&lt;&gt;0,INDEX(使用レシピ!I:I,MATCH(テンプレート!$C215,使用レシピ!$E:$E,0)),""),"")</f>
        <v/>
      </c>
      <c r="H215" s="24" t="str">
        <f>IFERROR(IF(INDEX(使用レシピ!J:J,MATCH(テンプレート!$C215,使用レシピ!$E:$E,0))&lt;&gt;0,INDEX(使用レシピ!J:J,MATCH(テンプレート!$C215,使用レシピ!$E:$E,0)),""),"")</f>
        <v/>
      </c>
      <c r="I215" s="36" t="str">
        <f>IFERROR(IF(INDEX(使用レシピ!P:P,MATCH(テンプレート!$C215,使用レシピ!$E:$E,0))&lt;&gt;0,INDEX(使用レシピ!P:P,MATCH(テンプレート!$C215,使用レシピ!$E:$E,0)),""),"")</f>
        <v/>
      </c>
      <c r="J215" t="str">
        <f>IFERROR(IF(INDEX(使用レシピ!K:K,MATCH(テンプレート!$C215,使用レシピ!$E:$E,0))&lt;&gt;0,INDEX(使用レシピ!K:K,MATCH(テンプレート!$C215,使用レシピ!$E:$E,0)),""),"")</f>
        <v/>
      </c>
      <c r="K215" t="str">
        <f>IFERROR(IF(INDEX(使用レシピ!L:L,MATCH(テンプレート!$C215,使用レシピ!$E:$E,0))&lt;&gt;0,INDEX(使用レシピ!L:L,MATCH(テンプレート!$C215,使用レシピ!$E:$E,0)),""),"")</f>
        <v/>
      </c>
      <c r="L215" t="str">
        <f>IFERROR(IF(INDEX(使用レシピ!M:M,MATCH(テンプレート!$C215,使用レシピ!$E:$E,0))&lt;&gt;0,INDEX(使用レシピ!M:M,MATCH(テンプレート!$C215,使用レシピ!$E:$E,0)),""),"")</f>
        <v/>
      </c>
      <c r="M215" t="str">
        <f>IFERROR(IF(INDEX(使用レシピ!N:N,MATCH(テンプレート!$C215,使用レシピ!$E:$E,0))&lt;&gt;0,INDEX(使用レシピ!N:N,MATCH(テンプレート!$C215,使用レシピ!$E:$E,0)),""),"")</f>
        <v/>
      </c>
      <c r="N215" s="24" t="str">
        <f>IFERROR(IF(INDEX(使用レシピ!O:O,MATCH(テンプレート!$C215,使用レシピ!$E:$E,0))&lt;&gt;0,INDEX(使用レシピ!O:O,MATCH(テンプレート!$C215,使用レシピ!$E:$E,0)),""),"")</f>
        <v/>
      </c>
      <c r="O215" s="42" t="str">
        <f>IFERROR(IF(INDEX(使用レシピ!P:P,MATCH(テンプレート!$C215,使用レシピ!$E:$E,0))&lt;&gt;0,INDEX(使用レシピ!P:P,MATCH(テンプレート!$C215,使用レシピ!$E:$E,0)),""),"")</f>
        <v/>
      </c>
      <c r="P215" s="25" t="str">
        <f t="shared" si="18"/>
        <v/>
      </c>
      <c r="Q215" s="26" t="str">
        <f t="shared" si="19"/>
        <v/>
      </c>
      <c r="R215" s="26" t="str">
        <f t="shared" si="20"/>
        <v/>
      </c>
      <c r="S215" s="26" t="str">
        <f t="shared" si="21"/>
        <v/>
      </c>
      <c r="T215" s="43" t="str">
        <f t="shared" si="21"/>
        <v/>
      </c>
    </row>
    <row r="216" spans="1:20" x14ac:dyDescent="0.4">
      <c r="A216">
        <v>1112122212</v>
      </c>
      <c r="B216" s="47" t="str" cm="1">
        <f t="array" ref="B216">IFERROR((INDEX($P$4:$T$1000,MATCH(VALUE(LEFT($A216,LEN($A216)-1)),$A$4:$A$1000,0),VALUE(RIGHT($A216,1)))/ INDEX($O$4:$O$1000,MATCH(VALUE(LEFT($A216,LEN($A216)-1)),$A$4:$A$1000))) * INDEX($B$4:$B$1000,MATCH(VALUE(LEFT($A216,LEN($A216)-1)),$A$4:$A$1000)),"")</f>
        <v/>
      </c>
      <c r="C216" s="38" t="str" cm="1">
        <f t="array" ref="C216">IFERROR(IF(INDEX($D$4:$H$1000,MATCH(VALUE(LEFT($A216,LEN($A216)-1)),$A$4:$A$1000,0),VALUE(RIGHT($A216,1)))= 0,"",INDEX($D$4:$H$1000,MATCH(VALUE(LEFT($A216,LEN($A216)-1)),$A$4:$A$1000,0),VALUE(RIGHT($A216,1)))),"")</f>
        <v/>
      </c>
      <c r="D216" s="23" t="str">
        <f>IFERROR(IF(INDEX(使用レシピ!F:F,MATCH(テンプレート!$C216,使用レシピ!$E:$E,0))&lt;&gt;0,INDEX(使用レシピ!F:F,MATCH(テンプレート!$C216,使用レシピ!$E:$E,0)),""),"")</f>
        <v/>
      </c>
      <c r="E216" t="str">
        <f>IFERROR(IF(INDEX(使用レシピ!G:G,MATCH(テンプレート!$C216,使用レシピ!$E:$E,0))&lt;&gt;0,INDEX(使用レシピ!G:G,MATCH(テンプレート!$C216,使用レシピ!$E:$E,0)),""),"")</f>
        <v/>
      </c>
      <c r="F216" t="str">
        <f>IFERROR(IF(INDEX(使用レシピ!H:H,MATCH(テンプレート!$C216,使用レシピ!$E:$E,0))&lt;&gt;0,INDEX(使用レシピ!H:H,MATCH(テンプレート!$C216,使用レシピ!$E:$E,0)),""),"")</f>
        <v/>
      </c>
      <c r="G216" t="str">
        <f>IFERROR(IF(INDEX(使用レシピ!I:I,MATCH(テンプレート!$C216,使用レシピ!$E:$E,0))&lt;&gt;0,INDEX(使用レシピ!I:I,MATCH(テンプレート!$C216,使用レシピ!$E:$E,0)),""),"")</f>
        <v/>
      </c>
      <c r="H216" s="24" t="str">
        <f>IFERROR(IF(INDEX(使用レシピ!J:J,MATCH(テンプレート!$C216,使用レシピ!$E:$E,0))&lt;&gt;0,INDEX(使用レシピ!J:J,MATCH(テンプレート!$C216,使用レシピ!$E:$E,0)),""),"")</f>
        <v/>
      </c>
      <c r="I216" s="36" t="str">
        <f>IFERROR(IF(INDEX(使用レシピ!P:P,MATCH(テンプレート!$C216,使用レシピ!$E:$E,0))&lt;&gt;0,INDEX(使用レシピ!P:P,MATCH(テンプレート!$C216,使用レシピ!$E:$E,0)),""),"")</f>
        <v/>
      </c>
      <c r="J216" t="str">
        <f>IFERROR(IF(INDEX(使用レシピ!K:K,MATCH(テンプレート!$C216,使用レシピ!$E:$E,0))&lt;&gt;0,INDEX(使用レシピ!K:K,MATCH(テンプレート!$C216,使用レシピ!$E:$E,0)),""),"")</f>
        <v/>
      </c>
      <c r="K216" t="str">
        <f>IFERROR(IF(INDEX(使用レシピ!L:L,MATCH(テンプレート!$C216,使用レシピ!$E:$E,0))&lt;&gt;0,INDEX(使用レシピ!L:L,MATCH(テンプレート!$C216,使用レシピ!$E:$E,0)),""),"")</f>
        <v/>
      </c>
      <c r="L216" t="str">
        <f>IFERROR(IF(INDEX(使用レシピ!M:M,MATCH(テンプレート!$C216,使用レシピ!$E:$E,0))&lt;&gt;0,INDEX(使用レシピ!M:M,MATCH(テンプレート!$C216,使用レシピ!$E:$E,0)),""),"")</f>
        <v/>
      </c>
      <c r="M216" t="str">
        <f>IFERROR(IF(INDEX(使用レシピ!N:N,MATCH(テンプレート!$C216,使用レシピ!$E:$E,0))&lt;&gt;0,INDEX(使用レシピ!N:N,MATCH(テンプレート!$C216,使用レシピ!$E:$E,0)),""),"")</f>
        <v/>
      </c>
      <c r="N216" s="24" t="str">
        <f>IFERROR(IF(INDEX(使用レシピ!O:O,MATCH(テンプレート!$C216,使用レシピ!$E:$E,0))&lt;&gt;0,INDEX(使用レシピ!O:O,MATCH(テンプレート!$C216,使用レシピ!$E:$E,0)),""),"")</f>
        <v/>
      </c>
      <c r="O216" s="42" t="str">
        <f>IFERROR(IF(INDEX(使用レシピ!P:P,MATCH(テンプレート!$C216,使用レシピ!$E:$E,0))&lt;&gt;0,INDEX(使用レシピ!P:P,MATCH(テンプレート!$C216,使用レシピ!$E:$E,0)),""),"")</f>
        <v/>
      </c>
      <c r="P216" s="25" t="str">
        <f t="shared" si="18"/>
        <v/>
      </c>
      <c r="Q216" s="26" t="str">
        <f t="shared" si="19"/>
        <v/>
      </c>
      <c r="R216" s="26" t="str">
        <f t="shared" si="20"/>
        <v/>
      </c>
      <c r="S216" s="26" t="str">
        <f t="shared" si="21"/>
        <v/>
      </c>
      <c r="T216" s="43" t="str">
        <f t="shared" si="21"/>
        <v/>
      </c>
    </row>
    <row r="217" spans="1:20" x14ac:dyDescent="0.4">
      <c r="A217">
        <v>1112132111</v>
      </c>
      <c r="B217" s="47" cm="1">
        <f t="array" ref="B217">IFERROR((INDEX($P$4:$T$1000,MATCH(VALUE(LEFT($A217,LEN($A217)-1)),$A$4:$A$1000,0),VALUE(RIGHT($A217,1)))/ INDEX($O$4:$O$1000,MATCH(VALUE(LEFT($A217,LEN($A217)-1)),$A$4:$A$1000))) * INDEX($B$4:$B$1000,MATCH(VALUE(LEFT($A217,LEN($A217)-1)),$A$4:$A$1000)),"")</f>
        <v>180</v>
      </c>
      <c r="C217" s="38" t="str" cm="1">
        <f t="array" ref="C217">IFERROR(IF(INDEX($D$4:$H$1000,MATCH(VALUE(LEFT($A217,LEN($A217)-1)),$A$4:$A$1000,0),VALUE(RIGHT($A217,1)))= 0,"",INDEX($D$4:$H$1000,MATCH(VALUE(LEFT($A217,LEN($A217)-1)),$A$4:$A$1000,0),VALUE(RIGHT($A217,1)))),"")</f>
        <v>銅鉱石</v>
      </c>
      <c r="D217" s="23" t="str">
        <f>IFERROR(IF(INDEX(使用レシピ!F:F,MATCH(テンプレート!$C217,使用レシピ!$E:$E,0))&lt;&gt;0,INDEX(使用レシピ!F:F,MATCH(テンプレート!$C217,使用レシピ!$E:$E,0)),""),"")</f>
        <v/>
      </c>
      <c r="E217" t="str">
        <f>IFERROR(IF(INDEX(使用レシピ!G:G,MATCH(テンプレート!$C217,使用レシピ!$E:$E,0))&lt;&gt;0,INDEX(使用レシピ!G:G,MATCH(テンプレート!$C217,使用レシピ!$E:$E,0)),""),"")</f>
        <v/>
      </c>
      <c r="F217" t="str">
        <f>IFERROR(IF(INDEX(使用レシピ!H:H,MATCH(テンプレート!$C217,使用レシピ!$E:$E,0))&lt;&gt;0,INDEX(使用レシピ!H:H,MATCH(テンプレート!$C217,使用レシピ!$E:$E,0)),""),"")</f>
        <v/>
      </c>
      <c r="G217" t="str">
        <f>IFERROR(IF(INDEX(使用レシピ!I:I,MATCH(テンプレート!$C217,使用レシピ!$E:$E,0))&lt;&gt;0,INDEX(使用レシピ!I:I,MATCH(テンプレート!$C217,使用レシピ!$E:$E,0)),""),"")</f>
        <v/>
      </c>
      <c r="H217" s="24" t="str">
        <f>IFERROR(IF(INDEX(使用レシピ!J:J,MATCH(テンプレート!$C217,使用レシピ!$E:$E,0))&lt;&gt;0,INDEX(使用レシピ!J:J,MATCH(テンプレート!$C217,使用レシピ!$E:$E,0)),""),"")</f>
        <v/>
      </c>
      <c r="I217" s="36">
        <f>IFERROR(IF(INDEX(使用レシピ!P:P,MATCH(テンプレート!$C217,使用レシピ!$E:$E,0))&lt;&gt;0,INDEX(使用レシピ!P:P,MATCH(テンプレート!$C217,使用レシピ!$E:$E,0)),""),"")</f>
        <v>1</v>
      </c>
      <c r="J217" t="str">
        <f>IFERROR(IF(INDEX(使用レシピ!K:K,MATCH(テンプレート!$C217,使用レシピ!$E:$E,0))&lt;&gt;0,INDEX(使用レシピ!K:K,MATCH(テンプレート!$C217,使用レシピ!$E:$E,0)),""),"")</f>
        <v/>
      </c>
      <c r="K217" t="str">
        <f>IFERROR(IF(INDEX(使用レシピ!L:L,MATCH(テンプレート!$C217,使用レシピ!$E:$E,0))&lt;&gt;0,INDEX(使用レシピ!L:L,MATCH(テンプレート!$C217,使用レシピ!$E:$E,0)),""),"")</f>
        <v/>
      </c>
      <c r="L217" t="str">
        <f>IFERROR(IF(INDEX(使用レシピ!M:M,MATCH(テンプレート!$C217,使用レシピ!$E:$E,0))&lt;&gt;0,INDEX(使用レシピ!M:M,MATCH(テンプレート!$C217,使用レシピ!$E:$E,0)),""),"")</f>
        <v/>
      </c>
      <c r="M217" t="str">
        <f>IFERROR(IF(INDEX(使用レシピ!N:N,MATCH(テンプレート!$C217,使用レシピ!$E:$E,0))&lt;&gt;0,INDEX(使用レシピ!N:N,MATCH(テンプレート!$C217,使用レシピ!$E:$E,0)),""),"")</f>
        <v/>
      </c>
      <c r="N217" s="24" t="str">
        <f>IFERROR(IF(INDEX(使用レシピ!O:O,MATCH(テンプレート!$C217,使用レシピ!$E:$E,0))&lt;&gt;0,INDEX(使用レシピ!O:O,MATCH(テンプレート!$C217,使用レシピ!$E:$E,0)),""),"")</f>
        <v/>
      </c>
      <c r="O217" s="42">
        <f>IFERROR(IF(INDEX(使用レシピ!P:P,MATCH(テンプレート!$C217,使用レシピ!$E:$E,0))&lt;&gt;0,INDEX(使用レシピ!P:P,MATCH(テンプレート!$C217,使用レシピ!$E:$E,0)),""),"")</f>
        <v>1</v>
      </c>
      <c r="P217" s="25" t="str">
        <f t="shared" si="18"/>
        <v/>
      </c>
      <c r="Q217" s="26" t="str">
        <f t="shared" si="19"/>
        <v/>
      </c>
      <c r="R217" s="26" t="str">
        <f t="shared" si="20"/>
        <v/>
      </c>
      <c r="S217" s="26" t="str">
        <f t="shared" si="21"/>
        <v/>
      </c>
      <c r="T217" s="43" t="str">
        <f t="shared" si="21"/>
        <v/>
      </c>
    </row>
    <row r="218" spans="1:20" x14ac:dyDescent="0.4">
      <c r="A218">
        <v>1112132112</v>
      </c>
      <c r="B218" s="47" cm="1">
        <f t="array" ref="B218">IFERROR((INDEX($P$4:$T$1000,MATCH(VALUE(LEFT($A218,LEN($A218)-1)),$A$4:$A$1000,0),VALUE(RIGHT($A218,1)))/ INDEX($O$4:$O$1000,MATCH(VALUE(LEFT($A218,LEN($A218)-1)),$A$4:$A$1000))) * INDEX($B$4:$B$1000,MATCH(VALUE(LEFT($A218,LEN($A218)-1)),$A$4:$A$1000)),"")</f>
        <v>120</v>
      </c>
      <c r="C218" s="38" t="str" cm="1">
        <f t="array" ref="C218">IFERROR(IF(INDEX($D$4:$H$1000,MATCH(VALUE(LEFT($A218,LEN($A218)-1)),$A$4:$A$1000,0),VALUE(RIGHT($A218,1)))= 0,"",INDEX($D$4:$H$1000,MATCH(VALUE(LEFT($A218,LEN($A218)-1)),$A$4:$A$1000,0),VALUE(RIGHT($A218,1)))),"")</f>
        <v>水</v>
      </c>
      <c r="D218" s="23" t="str">
        <f>IFERROR(IF(INDEX(使用レシピ!F:F,MATCH(テンプレート!$C218,使用レシピ!$E:$E,0))&lt;&gt;0,INDEX(使用レシピ!F:F,MATCH(テンプレート!$C218,使用レシピ!$E:$E,0)),""),"")</f>
        <v/>
      </c>
      <c r="E218" t="str">
        <f>IFERROR(IF(INDEX(使用レシピ!G:G,MATCH(テンプレート!$C218,使用レシピ!$E:$E,0))&lt;&gt;0,INDEX(使用レシピ!G:G,MATCH(テンプレート!$C218,使用レシピ!$E:$E,0)),""),"")</f>
        <v/>
      </c>
      <c r="F218" t="str">
        <f>IFERROR(IF(INDEX(使用レシピ!H:H,MATCH(テンプレート!$C218,使用レシピ!$E:$E,0))&lt;&gt;0,INDEX(使用レシピ!H:H,MATCH(テンプレート!$C218,使用レシピ!$E:$E,0)),""),"")</f>
        <v/>
      </c>
      <c r="G218" t="str">
        <f>IFERROR(IF(INDEX(使用レシピ!I:I,MATCH(テンプレート!$C218,使用レシピ!$E:$E,0))&lt;&gt;0,INDEX(使用レシピ!I:I,MATCH(テンプレート!$C218,使用レシピ!$E:$E,0)),""),"")</f>
        <v/>
      </c>
      <c r="H218" s="24" t="str">
        <f>IFERROR(IF(INDEX(使用レシピ!J:J,MATCH(テンプレート!$C218,使用レシピ!$E:$E,0))&lt;&gt;0,INDEX(使用レシピ!J:J,MATCH(テンプレート!$C218,使用レシピ!$E:$E,0)),""),"")</f>
        <v/>
      </c>
      <c r="I218" s="36">
        <f>IFERROR(IF(INDEX(使用レシピ!P:P,MATCH(テンプレート!$C218,使用レシピ!$E:$E,0))&lt;&gt;0,INDEX(使用レシピ!P:P,MATCH(テンプレート!$C218,使用レシピ!$E:$E,0)),""),"")</f>
        <v>1</v>
      </c>
      <c r="J218" t="str">
        <f>IFERROR(IF(INDEX(使用レシピ!K:K,MATCH(テンプレート!$C218,使用レシピ!$E:$E,0))&lt;&gt;0,INDEX(使用レシピ!K:K,MATCH(テンプレート!$C218,使用レシピ!$E:$E,0)),""),"")</f>
        <v/>
      </c>
      <c r="K218" t="str">
        <f>IFERROR(IF(INDEX(使用レシピ!L:L,MATCH(テンプレート!$C218,使用レシピ!$E:$E,0))&lt;&gt;0,INDEX(使用レシピ!L:L,MATCH(テンプレート!$C218,使用レシピ!$E:$E,0)),""),"")</f>
        <v/>
      </c>
      <c r="L218" t="str">
        <f>IFERROR(IF(INDEX(使用レシピ!M:M,MATCH(テンプレート!$C218,使用レシピ!$E:$E,0))&lt;&gt;0,INDEX(使用レシピ!M:M,MATCH(テンプレート!$C218,使用レシピ!$E:$E,0)),""),"")</f>
        <v/>
      </c>
      <c r="M218" t="str">
        <f>IFERROR(IF(INDEX(使用レシピ!N:N,MATCH(テンプレート!$C218,使用レシピ!$E:$E,0))&lt;&gt;0,INDEX(使用レシピ!N:N,MATCH(テンプレート!$C218,使用レシピ!$E:$E,0)),""),"")</f>
        <v/>
      </c>
      <c r="N218" s="24" t="str">
        <f>IFERROR(IF(INDEX(使用レシピ!O:O,MATCH(テンプレート!$C218,使用レシピ!$E:$E,0))&lt;&gt;0,INDEX(使用レシピ!O:O,MATCH(テンプレート!$C218,使用レシピ!$E:$E,0)),""),"")</f>
        <v/>
      </c>
      <c r="O218" s="42">
        <f>IFERROR(IF(INDEX(使用レシピ!P:P,MATCH(テンプレート!$C218,使用レシピ!$E:$E,0))&lt;&gt;0,INDEX(使用レシピ!P:P,MATCH(テンプレート!$C218,使用レシピ!$E:$E,0)),""),"")</f>
        <v>1</v>
      </c>
      <c r="P218" s="25" t="str">
        <f t="shared" si="18"/>
        <v/>
      </c>
      <c r="Q218" s="26" t="str">
        <f t="shared" si="19"/>
        <v/>
      </c>
      <c r="R218" s="26" t="str">
        <f t="shared" si="20"/>
        <v/>
      </c>
      <c r="S218" s="26" t="str">
        <f t="shared" si="21"/>
        <v/>
      </c>
      <c r="T218" s="43" t="str">
        <f t="shared" si="21"/>
        <v/>
      </c>
    </row>
    <row r="219" spans="1:20" x14ac:dyDescent="0.4">
      <c r="A219">
        <v>1112133111</v>
      </c>
      <c r="B219" s="47" t="str" cm="1">
        <f t="array" ref="B219">IFERROR((INDEX($P$4:$T$1000,MATCH(VALUE(LEFT($A219,LEN($A219)-1)),$A$4:$A$1000,0),VALUE(RIGHT($A219,1)))/ INDEX($O$4:$O$1000,MATCH(VALUE(LEFT($A219,LEN($A219)-1)),$A$4:$A$1000))) * INDEX($B$4:$B$1000,MATCH(VALUE(LEFT($A219,LEN($A219)-1)),$A$4:$A$1000)),"")</f>
        <v/>
      </c>
      <c r="C219" s="38" t="str" cm="1">
        <f t="array" ref="C219">IFERROR(IF(INDEX($D$4:$H$1000,MATCH(VALUE(LEFT($A219,LEN($A219)-1)),$A$4:$A$1000,0),VALUE(RIGHT($A219,1)))= 0,"",INDEX($D$4:$H$1000,MATCH(VALUE(LEFT($A219,LEN($A219)-1)),$A$4:$A$1000,0),VALUE(RIGHT($A219,1)))),"")</f>
        <v/>
      </c>
      <c r="D219" s="23" t="str">
        <f>IFERROR(IF(INDEX(使用レシピ!F:F,MATCH(テンプレート!$C219,使用レシピ!$E:$E,0))&lt;&gt;0,INDEX(使用レシピ!F:F,MATCH(テンプレート!$C219,使用レシピ!$E:$E,0)),""),"")</f>
        <v/>
      </c>
      <c r="E219" t="str">
        <f>IFERROR(IF(INDEX(使用レシピ!G:G,MATCH(テンプレート!$C219,使用レシピ!$E:$E,0))&lt;&gt;0,INDEX(使用レシピ!G:G,MATCH(テンプレート!$C219,使用レシピ!$E:$E,0)),""),"")</f>
        <v/>
      </c>
      <c r="F219" t="str">
        <f>IFERROR(IF(INDEX(使用レシピ!H:H,MATCH(テンプレート!$C219,使用レシピ!$E:$E,0))&lt;&gt;0,INDEX(使用レシピ!H:H,MATCH(テンプレート!$C219,使用レシピ!$E:$E,0)),""),"")</f>
        <v/>
      </c>
      <c r="G219" t="str">
        <f>IFERROR(IF(INDEX(使用レシピ!I:I,MATCH(テンプレート!$C219,使用レシピ!$E:$E,0))&lt;&gt;0,INDEX(使用レシピ!I:I,MATCH(テンプレート!$C219,使用レシピ!$E:$E,0)),""),"")</f>
        <v/>
      </c>
      <c r="H219" s="24" t="str">
        <f>IFERROR(IF(INDEX(使用レシピ!J:J,MATCH(テンプレート!$C219,使用レシピ!$E:$E,0))&lt;&gt;0,INDEX(使用レシピ!J:J,MATCH(テンプレート!$C219,使用レシピ!$E:$E,0)),""),"")</f>
        <v/>
      </c>
      <c r="I219" s="36" t="str">
        <f>IFERROR(IF(INDEX(使用レシピ!P:P,MATCH(テンプレート!$C219,使用レシピ!$E:$E,0))&lt;&gt;0,INDEX(使用レシピ!P:P,MATCH(テンプレート!$C219,使用レシピ!$E:$E,0)),""),"")</f>
        <v/>
      </c>
      <c r="J219" t="str">
        <f>IFERROR(IF(INDEX(使用レシピ!K:K,MATCH(テンプレート!$C219,使用レシピ!$E:$E,0))&lt;&gt;0,INDEX(使用レシピ!K:K,MATCH(テンプレート!$C219,使用レシピ!$E:$E,0)),""),"")</f>
        <v/>
      </c>
      <c r="K219" t="str">
        <f>IFERROR(IF(INDEX(使用レシピ!L:L,MATCH(テンプレート!$C219,使用レシピ!$E:$E,0))&lt;&gt;0,INDEX(使用レシピ!L:L,MATCH(テンプレート!$C219,使用レシピ!$E:$E,0)),""),"")</f>
        <v/>
      </c>
      <c r="L219" t="str">
        <f>IFERROR(IF(INDEX(使用レシピ!M:M,MATCH(テンプレート!$C219,使用レシピ!$E:$E,0))&lt;&gt;0,INDEX(使用レシピ!M:M,MATCH(テンプレート!$C219,使用レシピ!$E:$E,0)),""),"")</f>
        <v/>
      </c>
      <c r="M219" t="str">
        <f>IFERROR(IF(INDEX(使用レシピ!N:N,MATCH(テンプレート!$C219,使用レシピ!$E:$E,0))&lt;&gt;0,INDEX(使用レシピ!N:N,MATCH(テンプレート!$C219,使用レシピ!$E:$E,0)),""),"")</f>
        <v/>
      </c>
      <c r="N219" s="24" t="str">
        <f>IFERROR(IF(INDEX(使用レシピ!O:O,MATCH(テンプレート!$C219,使用レシピ!$E:$E,0))&lt;&gt;0,INDEX(使用レシピ!O:O,MATCH(テンプレート!$C219,使用レシピ!$E:$E,0)),""),"")</f>
        <v/>
      </c>
      <c r="O219" s="42" t="str">
        <f>IFERROR(IF(INDEX(使用レシピ!P:P,MATCH(テンプレート!$C219,使用レシピ!$E:$E,0))&lt;&gt;0,INDEX(使用レシピ!P:P,MATCH(テンプレート!$C219,使用レシピ!$E:$E,0)),""),"")</f>
        <v/>
      </c>
      <c r="P219" s="25" t="str">
        <f t="shared" si="18"/>
        <v/>
      </c>
      <c r="Q219" s="26" t="str">
        <f t="shared" si="19"/>
        <v/>
      </c>
      <c r="R219" s="26" t="str">
        <f t="shared" si="20"/>
        <v/>
      </c>
      <c r="S219" s="26" t="str">
        <f t="shared" si="21"/>
        <v/>
      </c>
      <c r="T219" s="43" t="str">
        <f t="shared" si="21"/>
        <v/>
      </c>
    </row>
    <row r="220" spans="1:20" x14ac:dyDescent="0.4">
      <c r="A220">
        <v>1112133112</v>
      </c>
      <c r="B220" s="47" t="str" cm="1">
        <f t="array" ref="B220">IFERROR((INDEX($P$4:$T$1000,MATCH(VALUE(LEFT($A220,LEN($A220)-1)),$A$4:$A$1000,0),VALUE(RIGHT($A220,1)))/ INDEX($O$4:$O$1000,MATCH(VALUE(LEFT($A220,LEN($A220)-1)),$A$4:$A$1000))) * INDEX($B$4:$B$1000,MATCH(VALUE(LEFT($A220,LEN($A220)-1)),$A$4:$A$1000)),"")</f>
        <v/>
      </c>
      <c r="C220" s="38" t="str" cm="1">
        <f t="array" ref="C220">IFERROR(IF(INDEX($D$4:$H$1000,MATCH(VALUE(LEFT($A220,LEN($A220)-1)),$A$4:$A$1000,0),VALUE(RIGHT($A220,1)))= 0,"",INDEX($D$4:$H$1000,MATCH(VALUE(LEFT($A220,LEN($A220)-1)),$A$4:$A$1000,0),VALUE(RIGHT($A220,1)))),"")</f>
        <v/>
      </c>
      <c r="D220" s="23" t="str">
        <f>IFERROR(IF(INDEX(使用レシピ!F:F,MATCH(テンプレート!$C220,使用レシピ!$E:$E,0))&lt;&gt;0,INDEX(使用レシピ!F:F,MATCH(テンプレート!$C220,使用レシピ!$E:$E,0)),""),"")</f>
        <v/>
      </c>
      <c r="E220" t="str">
        <f>IFERROR(IF(INDEX(使用レシピ!G:G,MATCH(テンプレート!$C220,使用レシピ!$E:$E,0))&lt;&gt;0,INDEX(使用レシピ!G:G,MATCH(テンプレート!$C220,使用レシピ!$E:$E,0)),""),"")</f>
        <v/>
      </c>
      <c r="F220" t="str">
        <f>IFERROR(IF(INDEX(使用レシピ!H:H,MATCH(テンプレート!$C220,使用レシピ!$E:$E,0))&lt;&gt;0,INDEX(使用レシピ!H:H,MATCH(テンプレート!$C220,使用レシピ!$E:$E,0)),""),"")</f>
        <v/>
      </c>
      <c r="G220" t="str">
        <f>IFERROR(IF(INDEX(使用レシピ!I:I,MATCH(テンプレート!$C220,使用レシピ!$E:$E,0))&lt;&gt;0,INDEX(使用レシピ!I:I,MATCH(テンプレート!$C220,使用レシピ!$E:$E,0)),""),"")</f>
        <v/>
      </c>
      <c r="H220" s="24" t="str">
        <f>IFERROR(IF(INDEX(使用レシピ!J:J,MATCH(テンプレート!$C220,使用レシピ!$E:$E,0))&lt;&gt;0,INDEX(使用レシピ!J:J,MATCH(テンプレート!$C220,使用レシピ!$E:$E,0)),""),"")</f>
        <v/>
      </c>
      <c r="I220" s="36" t="str">
        <f>IFERROR(IF(INDEX(使用レシピ!P:P,MATCH(テンプレート!$C220,使用レシピ!$E:$E,0))&lt;&gt;0,INDEX(使用レシピ!P:P,MATCH(テンプレート!$C220,使用レシピ!$E:$E,0)),""),"")</f>
        <v/>
      </c>
      <c r="J220" t="str">
        <f>IFERROR(IF(INDEX(使用レシピ!K:K,MATCH(テンプレート!$C220,使用レシピ!$E:$E,0))&lt;&gt;0,INDEX(使用レシピ!K:K,MATCH(テンプレート!$C220,使用レシピ!$E:$E,0)),""),"")</f>
        <v/>
      </c>
      <c r="K220" t="str">
        <f>IFERROR(IF(INDEX(使用レシピ!L:L,MATCH(テンプレート!$C220,使用レシピ!$E:$E,0))&lt;&gt;0,INDEX(使用レシピ!L:L,MATCH(テンプレート!$C220,使用レシピ!$E:$E,0)),""),"")</f>
        <v/>
      </c>
      <c r="L220" t="str">
        <f>IFERROR(IF(INDEX(使用レシピ!M:M,MATCH(テンプレート!$C220,使用レシピ!$E:$E,0))&lt;&gt;0,INDEX(使用レシピ!M:M,MATCH(テンプレート!$C220,使用レシピ!$E:$E,0)),""),"")</f>
        <v/>
      </c>
      <c r="M220" t="str">
        <f>IFERROR(IF(INDEX(使用レシピ!N:N,MATCH(テンプレート!$C220,使用レシピ!$E:$E,0))&lt;&gt;0,INDEX(使用レシピ!N:N,MATCH(テンプレート!$C220,使用レシピ!$E:$E,0)),""),"")</f>
        <v/>
      </c>
      <c r="N220" s="24" t="str">
        <f>IFERROR(IF(INDEX(使用レシピ!O:O,MATCH(テンプレート!$C220,使用レシピ!$E:$E,0))&lt;&gt;0,INDEX(使用レシピ!O:O,MATCH(テンプレート!$C220,使用レシピ!$E:$E,0)),""),"")</f>
        <v/>
      </c>
      <c r="O220" s="42" t="str">
        <f>IFERROR(IF(INDEX(使用レシピ!P:P,MATCH(テンプレート!$C220,使用レシピ!$E:$E,0))&lt;&gt;0,INDEX(使用レシピ!P:P,MATCH(テンプレート!$C220,使用レシピ!$E:$E,0)),""),"")</f>
        <v/>
      </c>
      <c r="P220" s="25" t="str">
        <f t="shared" si="18"/>
        <v/>
      </c>
      <c r="Q220" s="26" t="str">
        <f t="shared" si="19"/>
        <v/>
      </c>
      <c r="R220" s="26" t="str">
        <f t="shared" si="20"/>
        <v/>
      </c>
      <c r="S220" s="26" t="str">
        <f t="shared" si="21"/>
        <v/>
      </c>
      <c r="T220" s="43" t="str">
        <f t="shared" si="21"/>
        <v/>
      </c>
    </row>
    <row r="221" spans="1:20" x14ac:dyDescent="0.4">
      <c r="A221">
        <v>11111121111</v>
      </c>
      <c r="B221" s="47" cm="1">
        <f t="array" ref="B221">IFERROR((INDEX($P$4:$T$1000,MATCH(VALUE(LEFT($A221,LEN($A221)-1)),$A$4:$A$1000,0),VALUE(RIGHT($A221,1)))/ INDEX($O$4:$O$1000,MATCH(VALUE(LEFT($A221,LEN($A221)-1)),$A$4:$A$1000))) * INDEX($B$4:$B$1000,MATCH(VALUE(LEFT($A221,LEN($A221)-1)),$A$4:$A$1000)),"")</f>
        <v>348.92307692307691</v>
      </c>
      <c r="C221" s="38" t="str" cm="1">
        <f t="array" ref="C221">IFERROR(IF(INDEX($D$4:$H$1000,MATCH(VALUE(LEFT($A221,LEN($A221)-1)),$A$4:$A$1000,0),VALUE(RIGHT($A221,1)))= 0,"",INDEX($D$4:$H$1000,MATCH(VALUE(LEFT($A221,LEN($A221)-1)),$A$4:$A$1000,0),VALUE(RIGHT($A221,1)))),"")</f>
        <v>鉄鉱石</v>
      </c>
      <c r="D221" s="23" t="str">
        <f>IFERROR(IF(INDEX(使用レシピ!F:F,MATCH(テンプレート!$C221,使用レシピ!$E:$E,0))&lt;&gt;0,INDEX(使用レシピ!F:F,MATCH(テンプレート!$C221,使用レシピ!$E:$E,0)),""),"")</f>
        <v/>
      </c>
      <c r="E221" t="str">
        <f>IFERROR(IF(INDEX(使用レシピ!G:G,MATCH(テンプレート!$C221,使用レシピ!$E:$E,0))&lt;&gt;0,INDEX(使用レシピ!G:G,MATCH(テンプレート!$C221,使用レシピ!$E:$E,0)),""),"")</f>
        <v/>
      </c>
      <c r="F221" t="str">
        <f>IFERROR(IF(INDEX(使用レシピ!H:H,MATCH(テンプレート!$C221,使用レシピ!$E:$E,0))&lt;&gt;0,INDEX(使用レシピ!H:H,MATCH(テンプレート!$C221,使用レシピ!$E:$E,0)),""),"")</f>
        <v/>
      </c>
      <c r="G221" t="str">
        <f>IFERROR(IF(INDEX(使用レシピ!I:I,MATCH(テンプレート!$C221,使用レシピ!$E:$E,0))&lt;&gt;0,INDEX(使用レシピ!I:I,MATCH(テンプレート!$C221,使用レシピ!$E:$E,0)),""),"")</f>
        <v/>
      </c>
      <c r="H221" s="24" t="str">
        <f>IFERROR(IF(INDEX(使用レシピ!J:J,MATCH(テンプレート!$C221,使用レシピ!$E:$E,0))&lt;&gt;0,INDEX(使用レシピ!J:J,MATCH(テンプレート!$C221,使用レシピ!$E:$E,0)),""),"")</f>
        <v/>
      </c>
      <c r="I221" s="36">
        <f>IFERROR(IF(INDEX(使用レシピ!P:P,MATCH(テンプレート!$C221,使用レシピ!$E:$E,0))&lt;&gt;0,INDEX(使用レシピ!P:P,MATCH(テンプレート!$C221,使用レシピ!$E:$E,0)),""),"")</f>
        <v>1</v>
      </c>
      <c r="J221" t="str">
        <f>IFERROR(IF(INDEX(使用レシピ!K:K,MATCH(テンプレート!$C221,使用レシピ!$E:$E,0))&lt;&gt;0,INDEX(使用レシピ!K:K,MATCH(テンプレート!$C221,使用レシピ!$E:$E,0)),""),"")</f>
        <v/>
      </c>
      <c r="K221" t="str">
        <f>IFERROR(IF(INDEX(使用レシピ!L:L,MATCH(テンプレート!$C221,使用レシピ!$E:$E,0))&lt;&gt;0,INDEX(使用レシピ!L:L,MATCH(テンプレート!$C221,使用レシピ!$E:$E,0)),""),"")</f>
        <v/>
      </c>
      <c r="L221" t="str">
        <f>IFERROR(IF(INDEX(使用レシピ!M:M,MATCH(テンプレート!$C221,使用レシピ!$E:$E,0))&lt;&gt;0,INDEX(使用レシピ!M:M,MATCH(テンプレート!$C221,使用レシピ!$E:$E,0)),""),"")</f>
        <v/>
      </c>
      <c r="M221" t="str">
        <f>IFERROR(IF(INDEX(使用レシピ!N:N,MATCH(テンプレート!$C221,使用レシピ!$E:$E,0))&lt;&gt;0,INDEX(使用レシピ!N:N,MATCH(テンプレート!$C221,使用レシピ!$E:$E,0)),""),"")</f>
        <v/>
      </c>
      <c r="N221" s="24" t="str">
        <f>IFERROR(IF(INDEX(使用レシピ!O:O,MATCH(テンプレート!$C221,使用レシピ!$E:$E,0))&lt;&gt;0,INDEX(使用レシピ!O:O,MATCH(テンプレート!$C221,使用レシピ!$E:$E,0)),""),"")</f>
        <v/>
      </c>
      <c r="O221" s="42">
        <f>IFERROR(IF(INDEX(使用レシピ!P:P,MATCH(テンプレート!$C221,使用レシピ!$E:$E,0))&lt;&gt;0,INDEX(使用レシピ!P:P,MATCH(テンプレート!$C221,使用レシピ!$E:$E,0)),""),"")</f>
        <v>1</v>
      </c>
      <c r="P221" s="25" t="str">
        <f t="shared" si="18"/>
        <v/>
      </c>
      <c r="Q221" s="26" t="str">
        <f t="shared" si="19"/>
        <v/>
      </c>
      <c r="R221" s="26" t="str">
        <f t="shared" si="20"/>
        <v/>
      </c>
      <c r="S221" s="26" t="str">
        <f t="shared" si="21"/>
        <v/>
      </c>
      <c r="T221" s="43" t="str">
        <f t="shared" si="21"/>
        <v/>
      </c>
    </row>
    <row r="222" spans="1:20" x14ac:dyDescent="0.4">
      <c r="A222">
        <v>11111121112</v>
      </c>
      <c r="B222" s="47" cm="1">
        <f t="array" ref="B222">IFERROR((INDEX($P$4:$T$1000,MATCH(VALUE(LEFT($A222,LEN($A222)-1)),$A$4:$A$1000,0),VALUE(RIGHT($A222,1)))/ INDEX($O$4:$O$1000,MATCH(VALUE(LEFT($A222,LEN($A222)-1)),$A$4:$A$1000))) * INDEX($B$4:$B$1000,MATCH(VALUE(LEFT($A222,LEN($A222)-1)),$A$4:$A$1000)),"")</f>
        <v>199.38461538461539</v>
      </c>
      <c r="C222" s="38" t="str" cm="1">
        <f t="array" ref="C222">IFERROR(IF(INDEX($D$4:$H$1000,MATCH(VALUE(LEFT($A222,LEN($A222)-1)),$A$4:$A$1000,0),VALUE(RIGHT($A222,1)))= 0,"",INDEX($D$4:$H$1000,MATCH(VALUE(LEFT($A222,LEN($A222)-1)),$A$4:$A$1000,0),VALUE(RIGHT($A222,1)))),"")</f>
        <v>水</v>
      </c>
      <c r="D222" s="23" t="str">
        <f>IFERROR(IF(INDEX(使用レシピ!F:F,MATCH(テンプレート!$C222,使用レシピ!$E:$E,0))&lt;&gt;0,INDEX(使用レシピ!F:F,MATCH(テンプレート!$C222,使用レシピ!$E:$E,0)),""),"")</f>
        <v/>
      </c>
      <c r="E222" t="str">
        <f>IFERROR(IF(INDEX(使用レシピ!G:G,MATCH(テンプレート!$C222,使用レシピ!$E:$E,0))&lt;&gt;0,INDEX(使用レシピ!G:G,MATCH(テンプレート!$C222,使用レシピ!$E:$E,0)),""),"")</f>
        <v/>
      </c>
      <c r="F222" t="str">
        <f>IFERROR(IF(INDEX(使用レシピ!H:H,MATCH(テンプレート!$C222,使用レシピ!$E:$E,0))&lt;&gt;0,INDEX(使用レシピ!H:H,MATCH(テンプレート!$C222,使用レシピ!$E:$E,0)),""),"")</f>
        <v/>
      </c>
      <c r="G222" t="str">
        <f>IFERROR(IF(INDEX(使用レシピ!I:I,MATCH(テンプレート!$C222,使用レシピ!$E:$E,0))&lt;&gt;0,INDEX(使用レシピ!I:I,MATCH(テンプレート!$C222,使用レシピ!$E:$E,0)),""),"")</f>
        <v/>
      </c>
      <c r="H222" s="24" t="str">
        <f>IFERROR(IF(INDEX(使用レシピ!J:J,MATCH(テンプレート!$C222,使用レシピ!$E:$E,0))&lt;&gt;0,INDEX(使用レシピ!J:J,MATCH(テンプレート!$C222,使用レシピ!$E:$E,0)),""),"")</f>
        <v/>
      </c>
      <c r="I222" s="36">
        <f>IFERROR(IF(INDEX(使用レシピ!P:P,MATCH(テンプレート!$C222,使用レシピ!$E:$E,0))&lt;&gt;0,INDEX(使用レシピ!P:P,MATCH(テンプレート!$C222,使用レシピ!$E:$E,0)),""),"")</f>
        <v>1</v>
      </c>
      <c r="J222" t="str">
        <f>IFERROR(IF(INDEX(使用レシピ!K:K,MATCH(テンプレート!$C222,使用レシピ!$E:$E,0))&lt;&gt;0,INDEX(使用レシピ!K:K,MATCH(テンプレート!$C222,使用レシピ!$E:$E,0)),""),"")</f>
        <v/>
      </c>
      <c r="K222" t="str">
        <f>IFERROR(IF(INDEX(使用レシピ!L:L,MATCH(テンプレート!$C222,使用レシピ!$E:$E,0))&lt;&gt;0,INDEX(使用レシピ!L:L,MATCH(テンプレート!$C222,使用レシピ!$E:$E,0)),""),"")</f>
        <v/>
      </c>
      <c r="L222" t="str">
        <f>IFERROR(IF(INDEX(使用レシピ!M:M,MATCH(テンプレート!$C222,使用レシピ!$E:$E,0))&lt;&gt;0,INDEX(使用レシピ!M:M,MATCH(テンプレート!$C222,使用レシピ!$E:$E,0)),""),"")</f>
        <v/>
      </c>
      <c r="M222" t="str">
        <f>IFERROR(IF(INDEX(使用レシピ!N:N,MATCH(テンプレート!$C222,使用レシピ!$E:$E,0))&lt;&gt;0,INDEX(使用レシピ!N:N,MATCH(テンプレート!$C222,使用レシピ!$E:$E,0)),""),"")</f>
        <v/>
      </c>
      <c r="N222" s="24" t="str">
        <f>IFERROR(IF(INDEX(使用レシピ!O:O,MATCH(テンプレート!$C222,使用レシピ!$E:$E,0))&lt;&gt;0,INDEX(使用レシピ!O:O,MATCH(テンプレート!$C222,使用レシピ!$E:$E,0)),""),"")</f>
        <v/>
      </c>
      <c r="O222" s="42">
        <f>IFERROR(IF(INDEX(使用レシピ!P:P,MATCH(テンプレート!$C222,使用レシピ!$E:$E,0))&lt;&gt;0,INDEX(使用レシピ!P:P,MATCH(テンプレート!$C222,使用レシピ!$E:$E,0)),""),"")</f>
        <v>1</v>
      </c>
      <c r="P222" s="25" t="str">
        <f t="shared" si="18"/>
        <v/>
      </c>
      <c r="Q222" s="26" t="str">
        <f t="shared" si="19"/>
        <v/>
      </c>
      <c r="R222" s="26" t="str">
        <f t="shared" si="20"/>
        <v/>
      </c>
      <c r="S222" s="26" t="str">
        <f t="shared" si="21"/>
        <v/>
      </c>
      <c r="T222" s="43" t="str">
        <f t="shared" si="21"/>
        <v/>
      </c>
    </row>
    <row r="223" spans="1:20" x14ac:dyDescent="0.4">
      <c r="A223">
        <v>11111121121</v>
      </c>
      <c r="B223" s="47" t="str" cm="1">
        <f t="array" ref="B223">IFERROR((INDEX($P$4:$T$1000,MATCH(VALUE(LEFT($A223,LEN($A223)-1)),$A$4:$A$1000,0),VALUE(RIGHT($A223,1)))/ INDEX($O$4:$O$1000,MATCH(VALUE(LEFT($A223,LEN($A223)-1)),$A$4:$A$1000))) * INDEX($B$4:$B$1000,MATCH(VALUE(LEFT($A223,LEN($A223)-1)),$A$4:$A$1000)),"")</f>
        <v/>
      </c>
      <c r="C223" s="38" t="str" cm="1">
        <f t="array" ref="C223">IFERROR(IF(INDEX($D$4:$H$1000,MATCH(VALUE(LEFT($A223,LEN($A223)-1)),$A$4:$A$1000,0),VALUE(RIGHT($A223,1)))= 0,"",INDEX($D$4:$H$1000,MATCH(VALUE(LEFT($A223,LEN($A223)-1)),$A$4:$A$1000,0),VALUE(RIGHT($A223,1)))),"")</f>
        <v/>
      </c>
      <c r="D223" s="23" t="str">
        <f>IFERROR(IF(INDEX(使用レシピ!F:F,MATCH(テンプレート!$C223,使用レシピ!$E:$E,0))&lt;&gt;0,INDEX(使用レシピ!F:F,MATCH(テンプレート!$C223,使用レシピ!$E:$E,0)),""),"")</f>
        <v/>
      </c>
      <c r="E223" t="str">
        <f>IFERROR(IF(INDEX(使用レシピ!G:G,MATCH(テンプレート!$C223,使用レシピ!$E:$E,0))&lt;&gt;0,INDEX(使用レシピ!G:G,MATCH(テンプレート!$C223,使用レシピ!$E:$E,0)),""),"")</f>
        <v/>
      </c>
      <c r="F223" t="str">
        <f>IFERROR(IF(INDEX(使用レシピ!H:H,MATCH(テンプレート!$C223,使用レシピ!$E:$E,0))&lt;&gt;0,INDEX(使用レシピ!H:H,MATCH(テンプレート!$C223,使用レシピ!$E:$E,0)),""),"")</f>
        <v/>
      </c>
      <c r="G223" t="str">
        <f>IFERROR(IF(INDEX(使用レシピ!I:I,MATCH(テンプレート!$C223,使用レシピ!$E:$E,0))&lt;&gt;0,INDEX(使用レシピ!I:I,MATCH(テンプレート!$C223,使用レシピ!$E:$E,0)),""),"")</f>
        <v/>
      </c>
      <c r="H223" s="24" t="str">
        <f>IFERROR(IF(INDEX(使用レシピ!J:J,MATCH(テンプレート!$C223,使用レシピ!$E:$E,0))&lt;&gt;0,INDEX(使用レシピ!J:J,MATCH(テンプレート!$C223,使用レシピ!$E:$E,0)),""),"")</f>
        <v/>
      </c>
      <c r="I223" s="36" t="str">
        <f>IFERROR(IF(INDEX(使用レシピ!P:P,MATCH(テンプレート!$C223,使用レシピ!$E:$E,0))&lt;&gt;0,INDEX(使用レシピ!P:P,MATCH(テンプレート!$C223,使用レシピ!$E:$E,0)),""),"")</f>
        <v/>
      </c>
      <c r="J223" t="str">
        <f>IFERROR(IF(INDEX(使用レシピ!K:K,MATCH(テンプレート!$C223,使用レシピ!$E:$E,0))&lt;&gt;0,INDEX(使用レシピ!K:K,MATCH(テンプレート!$C223,使用レシピ!$E:$E,0)),""),"")</f>
        <v/>
      </c>
      <c r="K223" t="str">
        <f>IFERROR(IF(INDEX(使用レシピ!L:L,MATCH(テンプレート!$C223,使用レシピ!$E:$E,0))&lt;&gt;0,INDEX(使用レシピ!L:L,MATCH(テンプレート!$C223,使用レシピ!$E:$E,0)),""),"")</f>
        <v/>
      </c>
      <c r="L223" t="str">
        <f>IFERROR(IF(INDEX(使用レシピ!M:M,MATCH(テンプレート!$C223,使用レシピ!$E:$E,0))&lt;&gt;0,INDEX(使用レシピ!M:M,MATCH(テンプレート!$C223,使用レシピ!$E:$E,0)),""),"")</f>
        <v/>
      </c>
      <c r="M223" t="str">
        <f>IFERROR(IF(INDEX(使用レシピ!N:N,MATCH(テンプレート!$C223,使用レシピ!$E:$E,0))&lt;&gt;0,INDEX(使用レシピ!N:N,MATCH(テンプレート!$C223,使用レシピ!$E:$E,0)),""),"")</f>
        <v/>
      </c>
      <c r="N223" s="24" t="str">
        <f>IFERROR(IF(INDEX(使用レシピ!O:O,MATCH(テンプレート!$C223,使用レシピ!$E:$E,0))&lt;&gt;0,INDEX(使用レシピ!O:O,MATCH(テンプレート!$C223,使用レシピ!$E:$E,0)),""),"")</f>
        <v/>
      </c>
      <c r="O223" s="42" t="str">
        <f>IFERROR(IF(INDEX(使用レシピ!P:P,MATCH(テンプレート!$C223,使用レシピ!$E:$E,0))&lt;&gt;0,INDEX(使用レシピ!P:P,MATCH(テンプレート!$C223,使用レシピ!$E:$E,0)),""),"")</f>
        <v/>
      </c>
      <c r="P223" s="25" t="str">
        <f t="shared" si="18"/>
        <v/>
      </c>
      <c r="Q223" s="26" t="str">
        <f t="shared" si="19"/>
        <v/>
      </c>
      <c r="R223" s="26" t="str">
        <f t="shared" si="20"/>
        <v/>
      </c>
      <c r="S223" s="26" t="str">
        <f t="shared" si="21"/>
        <v/>
      </c>
      <c r="T223" s="43" t="str">
        <f t="shared" si="21"/>
        <v/>
      </c>
    </row>
    <row r="224" spans="1:20" x14ac:dyDescent="0.4">
      <c r="A224">
        <v>11111121122</v>
      </c>
      <c r="B224" s="47" t="str" cm="1">
        <f t="array" ref="B224">IFERROR((INDEX($P$4:$T$1000,MATCH(VALUE(LEFT($A224,LEN($A224)-1)),$A$4:$A$1000,0),VALUE(RIGHT($A224,1)))/ INDEX($O$4:$O$1000,MATCH(VALUE(LEFT($A224,LEN($A224)-1)),$A$4:$A$1000))) * INDEX($B$4:$B$1000,MATCH(VALUE(LEFT($A224,LEN($A224)-1)),$A$4:$A$1000)),"")</f>
        <v/>
      </c>
      <c r="C224" s="38" t="str" cm="1">
        <f t="array" ref="C224">IFERROR(IF(INDEX($D$4:$H$1000,MATCH(VALUE(LEFT($A224,LEN($A224)-1)),$A$4:$A$1000,0),VALUE(RIGHT($A224,1)))= 0,"",INDEX($D$4:$H$1000,MATCH(VALUE(LEFT($A224,LEN($A224)-1)),$A$4:$A$1000,0),VALUE(RIGHT($A224,1)))),"")</f>
        <v/>
      </c>
      <c r="D224" s="23" t="str">
        <f>IFERROR(IF(INDEX(使用レシピ!F:F,MATCH(テンプレート!$C224,使用レシピ!$E:$E,0))&lt;&gt;0,INDEX(使用レシピ!F:F,MATCH(テンプレート!$C224,使用レシピ!$E:$E,0)),""),"")</f>
        <v/>
      </c>
      <c r="E224" t="str">
        <f>IFERROR(IF(INDEX(使用レシピ!G:G,MATCH(テンプレート!$C224,使用レシピ!$E:$E,0))&lt;&gt;0,INDEX(使用レシピ!G:G,MATCH(テンプレート!$C224,使用レシピ!$E:$E,0)),""),"")</f>
        <v/>
      </c>
      <c r="F224" t="str">
        <f>IFERROR(IF(INDEX(使用レシピ!H:H,MATCH(テンプレート!$C224,使用レシピ!$E:$E,0))&lt;&gt;0,INDEX(使用レシピ!H:H,MATCH(テンプレート!$C224,使用レシピ!$E:$E,0)),""),"")</f>
        <v/>
      </c>
      <c r="G224" t="str">
        <f>IFERROR(IF(INDEX(使用レシピ!I:I,MATCH(テンプレート!$C224,使用レシピ!$E:$E,0))&lt;&gt;0,INDEX(使用レシピ!I:I,MATCH(テンプレート!$C224,使用レシピ!$E:$E,0)),""),"")</f>
        <v/>
      </c>
      <c r="H224" s="24" t="str">
        <f>IFERROR(IF(INDEX(使用レシピ!J:J,MATCH(テンプレート!$C224,使用レシピ!$E:$E,0))&lt;&gt;0,INDEX(使用レシピ!J:J,MATCH(テンプレート!$C224,使用レシピ!$E:$E,0)),""),"")</f>
        <v/>
      </c>
      <c r="I224" s="36" t="str">
        <f>IFERROR(IF(INDEX(使用レシピ!P:P,MATCH(テンプレート!$C224,使用レシピ!$E:$E,0))&lt;&gt;0,INDEX(使用レシピ!P:P,MATCH(テンプレート!$C224,使用レシピ!$E:$E,0)),""),"")</f>
        <v/>
      </c>
      <c r="J224" t="str">
        <f>IFERROR(IF(INDEX(使用レシピ!K:K,MATCH(テンプレート!$C224,使用レシピ!$E:$E,0))&lt;&gt;0,INDEX(使用レシピ!K:K,MATCH(テンプレート!$C224,使用レシピ!$E:$E,0)),""),"")</f>
        <v/>
      </c>
      <c r="K224" t="str">
        <f>IFERROR(IF(INDEX(使用レシピ!L:L,MATCH(テンプレート!$C224,使用レシピ!$E:$E,0))&lt;&gt;0,INDEX(使用レシピ!L:L,MATCH(テンプレート!$C224,使用レシピ!$E:$E,0)),""),"")</f>
        <v/>
      </c>
      <c r="L224" t="str">
        <f>IFERROR(IF(INDEX(使用レシピ!M:M,MATCH(テンプレート!$C224,使用レシピ!$E:$E,0))&lt;&gt;0,INDEX(使用レシピ!M:M,MATCH(テンプレート!$C224,使用レシピ!$E:$E,0)),""),"")</f>
        <v/>
      </c>
      <c r="M224" t="str">
        <f>IFERROR(IF(INDEX(使用レシピ!N:N,MATCH(テンプレート!$C224,使用レシピ!$E:$E,0))&lt;&gt;0,INDEX(使用レシピ!N:N,MATCH(テンプレート!$C224,使用レシピ!$E:$E,0)),""),"")</f>
        <v/>
      </c>
      <c r="N224" s="24" t="str">
        <f>IFERROR(IF(INDEX(使用レシピ!O:O,MATCH(テンプレート!$C224,使用レシピ!$E:$E,0))&lt;&gt;0,INDEX(使用レシピ!O:O,MATCH(テンプレート!$C224,使用レシピ!$E:$E,0)),""),"")</f>
        <v/>
      </c>
      <c r="O224" s="42" t="str">
        <f>IFERROR(IF(INDEX(使用レシピ!P:P,MATCH(テンプレート!$C224,使用レシピ!$E:$E,0))&lt;&gt;0,INDEX(使用レシピ!P:P,MATCH(テンプレート!$C224,使用レシピ!$E:$E,0)),""),"")</f>
        <v/>
      </c>
      <c r="P224" s="25" t="str">
        <f t="shared" si="18"/>
        <v/>
      </c>
      <c r="Q224" s="26" t="str">
        <f t="shared" si="19"/>
        <v/>
      </c>
      <c r="R224" s="26" t="str">
        <f t="shared" si="20"/>
        <v/>
      </c>
      <c r="S224" s="26" t="str">
        <f t="shared" si="21"/>
        <v/>
      </c>
      <c r="T224" s="43" t="str">
        <f t="shared" si="21"/>
        <v/>
      </c>
    </row>
    <row r="225" spans="1:20" x14ac:dyDescent="0.4">
      <c r="A225">
        <v>11111121211</v>
      </c>
      <c r="B225" s="47" t="str" cm="1">
        <f t="array" ref="B225">IFERROR((INDEX($P$4:$T$1000,MATCH(VALUE(LEFT($A225,LEN($A225)-1)),$A$4:$A$1000,0),VALUE(RIGHT($A225,1)))/ INDEX($O$4:$O$1000,MATCH(VALUE(LEFT($A225,LEN($A225)-1)),$A$4:$A$1000))) * INDEX($B$4:$B$1000,MATCH(VALUE(LEFT($A225,LEN($A225)-1)),$A$4:$A$1000)),"")</f>
        <v/>
      </c>
      <c r="C225" s="38" t="str" cm="1">
        <f t="array" ref="C225">IFERROR(IF(INDEX($D$4:$H$1000,MATCH(VALUE(LEFT($A225,LEN($A225)-1)),$A$4:$A$1000,0),VALUE(RIGHT($A225,1)))= 0,"",INDEX($D$4:$H$1000,MATCH(VALUE(LEFT($A225,LEN($A225)-1)),$A$4:$A$1000,0),VALUE(RIGHT($A225,1)))),"")</f>
        <v/>
      </c>
      <c r="D225" s="23" t="str">
        <f>IFERROR(IF(INDEX(使用レシピ!F:F,MATCH(テンプレート!$C225,使用レシピ!$E:$E,0))&lt;&gt;0,INDEX(使用レシピ!F:F,MATCH(テンプレート!$C225,使用レシピ!$E:$E,0)),""),"")</f>
        <v/>
      </c>
      <c r="E225" t="str">
        <f>IFERROR(IF(INDEX(使用レシピ!G:G,MATCH(テンプレート!$C225,使用レシピ!$E:$E,0))&lt;&gt;0,INDEX(使用レシピ!G:G,MATCH(テンプレート!$C225,使用レシピ!$E:$E,0)),""),"")</f>
        <v/>
      </c>
      <c r="F225" t="str">
        <f>IFERROR(IF(INDEX(使用レシピ!H:H,MATCH(テンプレート!$C225,使用レシピ!$E:$E,0))&lt;&gt;0,INDEX(使用レシピ!H:H,MATCH(テンプレート!$C225,使用レシピ!$E:$E,0)),""),"")</f>
        <v/>
      </c>
      <c r="G225" t="str">
        <f>IFERROR(IF(INDEX(使用レシピ!I:I,MATCH(テンプレート!$C225,使用レシピ!$E:$E,0))&lt;&gt;0,INDEX(使用レシピ!I:I,MATCH(テンプレート!$C225,使用レシピ!$E:$E,0)),""),"")</f>
        <v/>
      </c>
      <c r="H225" s="24" t="str">
        <f>IFERROR(IF(INDEX(使用レシピ!J:J,MATCH(テンプレート!$C225,使用レシピ!$E:$E,0))&lt;&gt;0,INDEX(使用レシピ!J:J,MATCH(テンプレート!$C225,使用レシピ!$E:$E,0)),""),"")</f>
        <v/>
      </c>
      <c r="I225" s="36" t="str">
        <f>IFERROR(IF(INDEX(使用レシピ!P:P,MATCH(テンプレート!$C225,使用レシピ!$E:$E,0))&lt;&gt;0,INDEX(使用レシピ!P:P,MATCH(テンプレート!$C225,使用レシピ!$E:$E,0)),""),"")</f>
        <v/>
      </c>
      <c r="J225" t="str">
        <f>IFERROR(IF(INDEX(使用レシピ!K:K,MATCH(テンプレート!$C225,使用レシピ!$E:$E,0))&lt;&gt;0,INDEX(使用レシピ!K:K,MATCH(テンプレート!$C225,使用レシピ!$E:$E,0)),""),"")</f>
        <v/>
      </c>
      <c r="K225" t="str">
        <f>IFERROR(IF(INDEX(使用レシピ!L:L,MATCH(テンプレート!$C225,使用レシピ!$E:$E,0))&lt;&gt;0,INDEX(使用レシピ!L:L,MATCH(テンプレート!$C225,使用レシピ!$E:$E,0)),""),"")</f>
        <v/>
      </c>
      <c r="L225" t="str">
        <f>IFERROR(IF(INDEX(使用レシピ!M:M,MATCH(テンプレート!$C225,使用レシピ!$E:$E,0))&lt;&gt;0,INDEX(使用レシピ!M:M,MATCH(テンプレート!$C225,使用レシピ!$E:$E,0)),""),"")</f>
        <v/>
      </c>
      <c r="M225" t="str">
        <f>IFERROR(IF(INDEX(使用レシピ!N:N,MATCH(テンプレート!$C225,使用レシピ!$E:$E,0))&lt;&gt;0,INDEX(使用レシピ!N:N,MATCH(テンプレート!$C225,使用レシピ!$E:$E,0)),""),"")</f>
        <v/>
      </c>
      <c r="N225" s="24" t="str">
        <f>IFERROR(IF(INDEX(使用レシピ!O:O,MATCH(テンプレート!$C225,使用レシピ!$E:$E,0))&lt;&gt;0,INDEX(使用レシピ!O:O,MATCH(テンプレート!$C225,使用レシピ!$E:$E,0)),""),"")</f>
        <v/>
      </c>
      <c r="O225" s="42" t="str">
        <f>IFERROR(IF(INDEX(使用レシピ!P:P,MATCH(テンプレート!$C225,使用レシピ!$E:$E,0))&lt;&gt;0,INDEX(使用レシピ!P:P,MATCH(テンプレート!$C225,使用レシピ!$E:$E,0)),""),"")</f>
        <v/>
      </c>
      <c r="P225" s="25" t="str">
        <f t="shared" si="18"/>
        <v/>
      </c>
      <c r="Q225" s="26" t="str">
        <f t="shared" si="19"/>
        <v/>
      </c>
      <c r="R225" s="26" t="str">
        <f t="shared" si="20"/>
        <v/>
      </c>
      <c r="S225" s="26" t="str">
        <f t="shared" si="21"/>
        <v/>
      </c>
      <c r="T225" s="43" t="str">
        <f t="shared" si="21"/>
        <v/>
      </c>
    </row>
    <row r="226" spans="1:20" x14ac:dyDescent="0.4">
      <c r="A226">
        <v>11111121212</v>
      </c>
      <c r="B226" s="47" t="str" cm="1">
        <f t="array" ref="B226">IFERROR((INDEX($P$4:$T$1000,MATCH(VALUE(LEFT($A226,LEN($A226)-1)),$A$4:$A$1000,0),VALUE(RIGHT($A226,1)))/ INDEX($O$4:$O$1000,MATCH(VALUE(LEFT($A226,LEN($A226)-1)),$A$4:$A$1000))) * INDEX($B$4:$B$1000,MATCH(VALUE(LEFT($A226,LEN($A226)-1)),$A$4:$A$1000)),"")</f>
        <v/>
      </c>
      <c r="C226" s="38" t="str" cm="1">
        <f t="array" ref="C226">IFERROR(IF(INDEX($D$4:$H$1000,MATCH(VALUE(LEFT($A226,LEN($A226)-1)),$A$4:$A$1000,0),VALUE(RIGHT($A226,1)))= 0,"",INDEX($D$4:$H$1000,MATCH(VALUE(LEFT($A226,LEN($A226)-1)),$A$4:$A$1000,0),VALUE(RIGHT($A226,1)))),"")</f>
        <v/>
      </c>
      <c r="D226" s="23" t="str">
        <f>IFERROR(IF(INDEX(使用レシピ!F:F,MATCH(テンプレート!$C226,使用レシピ!$E:$E,0))&lt;&gt;0,INDEX(使用レシピ!F:F,MATCH(テンプレート!$C226,使用レシピ!$E:$E,0)),""),"")</f>
        <v/>
      </c>
      <c r="E226" t="str">
        <f>IFERROR(IF(INDEX(使用レシピ!G:G,MATCH(テンプレート!$C226,使用レシピ!$E:$E,0))&lt;&gt;0,INDEX(使用レシピ!G:G,MATCH(テンプレート!$C226,使用レシピ!$E:$E,0)),""),"")</f>
        <v/>
      </c>
      <c r="F226" t="str">
        <f>IFERROR(IF(INDEX(使用レシピ!H:H,MATCH(テンプレート!$C226,使用レシピ!$E:$E,0))&lt;&gt;0,INDEX(使用レシピ!H:H,MATCH(テンプレート!$C226,使用レシピ!$E:$E,0)),""),"")</f>
        <v/>
      </c>
      <c r="G226" t="str">
        <f>IFERROR(IF(INDEX(使用レシピ!I:I,MATCH(テンプレート!$C226,使用レシピ!$E:$E,0))&lt;&gt;0,INDEX(使用レシピ!I:I,MATCH(テンプレート!$C226,使用レシピ!$E:$E,0)),""),"")</f>
        <v/>
      </c>
      <c r="H226" s="24" t="str">
        <f>IFERROR(IF(INDEX(使用レシピ!J:J,MATCH(テンプレート!$C226,使用レシピ!$E:$E,0))&lt;&gt;0,INDEX(使用レシピ!J:J,MATCH(テンプレート!$C226,使用レシピ!$E:$E,0)),""),"")</f>
        <v/>
      </c>
      <c r="I226" s="36" t="str">
        <f>IFERROR(IF(INDEX(使用レシピ!P:P,MATCH(テンプレート!$C226,使用レシピ!$E:$E,0))&lt;&gt;0,INDEX(使用レシピ!P:P,MATCH(テンプレート!$C226,使用レシピ!$E:$E,0)),""),"")</f>
        <v/>
      </c>
      <c r="J226" t="str">
        <f>IFERROR(IF(INDEX(使用レシピ!K:K,MATCH(テンプレート!$C226,使用レシピ!$E:$E,0))&lt;&gt;0,INDEX(使用レシピ!K:K,MATCH(テンプレート!$C226,使用レシピ!$E:$E,0)),""),"")</f>
        <v/>
      </c>
      <c r="K226" t="str">
        <f>IFERROR(IF(INDEX(使用レシピ!L:L,MATCH(テンプレート!$C226,使用レシピ!$E:$E,0))&lt;&gt;0,INDEX(使用レシピ!L:L,MATCH(テンプレート!$C226,使用レシピ!$E:$E,0)),""),"")</f>
        <v/>
      </c>
      <c r="L226" t="str">
        <f>IFERROR(IF(INDEX(使用レシピ!M:M,MATCH(テンプレート!$C226,使用レシピ!$E:$E,0))&lt;&gt;0,INDEX(使用レシピ!M:M,MATCH(テンプレート!$C226,使用レシピ!$E:$E,0)),""),"")</f>
        <v/>
      </c>
      <c r="M226" t="str">
        <f>IFERROR(IF(INDEX(使用レシピ!N:N,MATCH(テンプレート!$C226,使用レシピ!$E:$E,0))&lt;&gt;0,INDEX(使用レシピ!N:N,MATCH(テンプレート!$C226,使用レシピ!$E:$E,0)),""),"")</f>
        <v/>
      </c>
      <c r="N226" s="24" t="str">
        <f>IFERROR(IF(INDEX(使用レシピ!O:O,MATCH(テンプレート!$C226,使用レシピ!$E:$E,0))&lt;&gt;0,INDEX(使用レシピ!O:O,MATCH(テンプレート!$C226,使用レシピ!$E:$E,0)),""),"")</f>
        <v/>
      </c>
      <c r="O226" s="42" t="str">
        <f>IFERROR(IF(INDEX(使用レシピ!P:P,MATCH(テンプレート!$C226,使用レシピ!$E:$E,0))&lt;&gt;0,INDEX(使用レシピ!P:P,MATCH(テンプレート!$C226,使用レシピ!$E:$E,0)),""),"")</f>
        <v/>
      </c>
      <c r="P226" s="25" t="str">
        <f t="shared" si="18"/>
        <v/>
      </c>
      <c r="Q226" s="26" t="str">
        <f t="shared" si="19"/>
        <v/>
      </c>
      <c r="R226" s="26" t="str">
        <f t="shared" si="20"/>
        <v/>
      </c>
      <c r="S226" s="26" t="str">
        <f t="shared" si="21"/>
        <v/>
      </c>
      <c r="T226" s="43" t="str">
        <f t="shared" si="21"/>
        <v/>
      </c>
    </row>
    <row r="227" spans="1:20" x14ac:dyDescent="0.4">
      <c r="A227">
        <v>11111122111</v>
      </c>
      <c r="B227" s="47" t="str" cm="1">
        <f t="array" ref="B227">IFERROR((INDEX($P$4:$T$1000,MATCH(VALUE(LEFT($A227,LEN($A227)-1)),$A$4:$A$1000,0),VALUE(RIGHT($A227,1)))/ INDEX($O$4:$O$1000,MATCH(VALUE(LEFT($A227,LEN($A227)-1)),$A$4:$A$1000))) * INDEX($B$4:$B$1000,MATCH(VALUE(LEFT($A227,LEN($A227)-1)),$A$4:$A$1000)),"")</f>
        <v/>
      </c>
      <c r="C227" s="38" t="str" cm="1">
        <f t="array" ref="C227">IFERROR(IF(INDEX($D$4:$H$1000,MATCH(VALUE(LEFT($A227,LEN($A227)-1)),$A$4:$A$1000,0),VALUE(RIGHT($A227,1)))= 0,"",INDEX($D$4:$H$1000,MATCH(VALUE(LEFT($A227,LEN($A227)-1)),$A$4:$A$1000,0),VALUE(RIGHT($A227,1)))),"")</f>
        <v/>
      </c>
      <c r="D227" s="23" t="str">
        <f>IFERROR(IF(INDEX(使用レシピ!F:F,MATCH(テンプレート!$C227,使用レシピ!$E:$E,0))&lt;&gt;0,INDEX(使用レシピ!F:F,MATCH(テンプレート!$C227,使用レシピ!$E:$E,0)),""),"")</f>
        <v/>
      </c>
      <c r="E227" t="str">
        <f>IFERROR(IF(INDEX(使用レシピ!G:G,MATCH(テンプレート!$C227,使用レシピ!$E:$E,0))&lt;&gt;0,INDEX(使用レシピ!G:G,MATCH(テンプレート!$C227,使用レシピ!$E:$E,0)),""),"")</f>
        <v/>
      </c>
      <c r="F227" t="str">
        <f>IFERROR(IF(INDEX(使用レシピ!H:H,MATCH(テンプレート!$C227,使用レシピ!$E:$E,0))&lt;&gt;0,INDEX(使用レシピ!H:H,MATCH(テンプレート!$C227,使用レシピ!$E:$E,0)),""),"")</f>
        <v/>
      </c>
      <c r="G227" t="str">
        <f>IFERROR(IF(INDEX(使用レシピ!I:I,MATCH(テンプレート!$C227,使用レシピ!$E:$E,0))&lt;&gt;0,INDEX(使用レシピ!I:I,MATCH(テンプレート!$C227,使用レシピ!$E:$E,0)),""),"")</f>
        <v/>
      </c>
      <c r="H227" s="24" t="str">
        <f>IFERROR(IF(INDEX(使用レシピ!J:J,MATCH(テンプレート!$C227,使用レシピ!$E:$E,0))&lt;&gt;0,INDEX(使用レシピ!J:J,MATCH(テンプレート!$C227,使用レシピ!$E:$E,0)),""),"")</f>
        <v/>
      </c>
      <c r="I227" s="36" t="str">
        <f>IFERROR(IF(INDEX(使用レシピ!P:P,MATCH(テンプレート!$C227,使用レシピ!$E:$E,0))&lt;&gt;0,INDEX(使用レシピ!P:P,MATCH(テンプレート!$C227,使用レシピ!$E:$E,0)),""),"")</f>
        <v/>
      </c>
      <c r="J227" t="str">
        <f>IFERROR(IF(INDEX(使用レシピ!K:K,MATCH(テンプレート!$C227,使用レシピ!$E:$E,0))&lt;&gt;0,INDEX(使用レシピ!K:K,MATCH(テンプレート!$C227,使用レシピ!$E:$E,0)),""),"")</f>
        <v/>
      </c>
      <c r="K227" t="str">
        <f>IFERROR(IF(INDEX(使用レシピ!L:L,MATCH(テンプレート!$C227,使用レシピ!$E:$E,0))&lt;&gt;0,INDEX(使用レシピ!L:L,MATCH(テンプレート!$C227,使用レシピ!$E:$E,0)),""),"")</f>
        <v/>
      </c>
      <c r="L227" t="str">
        <f>IFERROR(IF(INDEX(使用レシピ!M:M,MATCH(テンプレート!$C227,使用レシピ!$E:$E,0))&lt;&gt;0,INDEX(使用レシピ!M:M,MATCH(テンプレート!$C227,使用レシピ!$E:$E,0)),""),"")</f>
        <v/>
      </c>
      <c r="M227" t="str">
        <f>IFERROR(IF(INDEX(使用レシピ!N:N,MATCH(テンプレート!$C227,使用レシピ!$E:$E,0))&lt;&gt;0,INDEX(使用レシピ!N:N,MATCH(テンプレート!$C227,使用レシピ!$E:$E,0)),""),"")</f>
        <v/>
      </c>
      <c r="N227" s="24" t="str">
        <f>IFERROR(IF(INDEX(使用レシピ!O:O,MATCH(テンプレート!$C227,使用レシピ!$E:$E,0))&lt;&gt;0,INDEX(使用レシピ!O:O,MATCH(テンプレート!$C227,使用レシピ!$E:$E,0)),""),"")</f>
        <v/>
      </c>
      <c r="O227" s="42" t="str">
        <f>IFERROR(IF(INDEX(使用レシピ!P:P,MATCH(テンプレート!$C227,使用レシピ!$E:$E,0))&lt;&gt;0,INDEX(使用レシピ!P:P,MATCH(テンプレート!$C227,使用レシピ!$E:$E,0)),""),"")</f>
        <v/>
      </c>
      <c r="P227" s="25" t="str">
        <f t="shared" si="18"/>
        <v/>
      </c>
      <c r="Q227" s="26" t="str">
        <f t="shared" si="19"/>
        <v/>
      </c>
      <c r="R227" s="26" t="str">
        <f t="shared" si="20"/>
        <v/>
      </c>
      <c r="S227" s="26" t="str">
        <f t="shared" si="21"/>
        <v/>
      </c>
      <c r="T227" s="43" t="str">
        <f t="shared" si="21"/>
        <v/>
      </c>
    </row>
    <row r="228" spans="1:20" x14ac:dyDescent="0.4">
      <c r="A228">
        <v>11111122112</v>
      </c>
      <c r="B228" s="47" t="str" cm="1">
        <f t="array" ref="B228">IFERROR((INDEX($P$4:$T$1000,MATCH(VALUE(LEFT($A228,LEN($A228)-1)),$A$4:$A$1000,0),VALUE(RIGHT($A228,1)))/ INDEX($O$4:$O$1000,MATCH(VALUE(LEFT($A228,LEN($A228)-1)),$A$4:$A$1000))) * INDEX($B$4:$B$1000,MATCH(VALUE(LEFT($A228,LEN($A228)-1)),$A$4:$A$1000)),"")</f>
        <v/>
      </c>
      <c r="C228" s="38" t="str" cm="1">
        <f t="array" ref="C228">IFERROR(IF(INDEX($D$4:$H$1000,MATCH(VALUE(LEFT($A228,LEN($A228)-1)),$A$4:$A$1000,0),VALUE(RIGHT($A228,1)))= 0,"",INDEX($D$4:$H$1000,MATCH(VALUE(LEFT($A228,LEN($A228)-1)),$A$4:$A$1000,0),VALUE(RIGHT($A228,1)))),"")</f>
        <v/>
      </c>
      <c r="D228" s="23" t="str">
        <f>IFERROR(IF(INDEX(使用レシピ!F:F,MATCH(テンプレート!$C228,使用レシピ!$E:$E,0))&lt;&gt;0,INDEX(使用レシピ!F:F,MATCH(テンプレート!$C228,使用レシピ!$E:$E,0)),""),"")</f>
        <v/>
      </c>
      <c r="E228" t="str">
        <f>IFERROR(IF(INDEX(使用レシピ!G:G,MATCH(テンプレート!$C228,使用レシピ!$E:$E,0))&lt;&gt;0,INDEX(使用レシピ!G:G,MATCH(テンプレート!$C228,使用レシピ!$E:$E,0)),""),"")</f>
        <v/>
      </c>
      <c r="F228" t="str">
        <f>IFERROR(IF(INDEX(使用レシピ!H:H,MATCH(テンプレート!$C228,使用レシピ!$E:$E,0))&lt;&gt;0,INDEX(使用レシピ!H:H,MATCH(テンプレート!$C228,使用レシピ!$E:$E,0)),""),"")</f>
        <v/>
      </c>
      <c r="G228" t="str">
        <f>IFERROR(IF(INDEX(使用レシピ!I:I,MATCH(テンプレート!$C228,使用レシピ!$E:$E,0))&lt;&gt;0,INDEX(使用レシピ!I:I,MATCH(テンプレート!$C228,使用レシピ!$E:$E,0)),""),"")</f>
        <v/>
      </c>
      <c r="H228" s="24" t="str">
        <f>IFERROR(IF(INDEX(使用レシピ!J:J,MATCH(テンプレート!$C228,使用レシピ!$E:$E,0))&lt;&gt;0,INDEX(使用レシピ!J:J,MATCH(テンプレート!$C228,使用レシピ!$E:$E,0)),""),"")</f>
        <v/>
      </c>
      <c r="I228" s="36" t="str">
        <f>IFERROR(IF(INDEX(使用レシピ!P:P,MATCH(テンプレート!$C228,使用レシピ!$E:$E,0))&lt;&gt;0,INDEX(使用レシピ!P:P,MATCH(テンプレート!$C228,使用レシピ!$E:$E,0)),""),"")</f>
        <v/>
      </c>
      <c r="J228" t="str">
        <f>IFERROR(IF(INDEX(使用レシピ!K:K,MATCH(テンプレート!$C228,使用レシピ!$E:$E,0))&lt;&gt;0,INDEX(使用レシピ!K:K,MATCH(テンプレート!$C228,使用レシピ!$E:$E,0)),""),"")</f>
        <v/>
      </c>
      <c r="K228" t="str">
        <f>IFERROR(IF(INDEX(使用レシピ!L:L,MATCH(テンプレート!$C228,使用レシピ!$E:$E,0))&lt;&gt;0,INDEX(使用レシピ!L:L,MATCH(テンプレート!$C228,使用レシピ!$E:$E,0)),""),"")</f>
        <v/>
      </c>
      <c r="L228" t="str">
        <f>IFERROR(IF(INDEX(使用レシピ!M:M,MATCH(テンプレート!$C228,使用レシピ!$E:$E,0))&lt;&gt;0,INDEX(使用レシピ!M:M,MATCH(テンプレート!$C228,使用レシピ!$E:$E,0)),""),"")</f>
        <v/>
      </c>
      <c r="M228" t="str">
        <f>IFERROR(IF(INDEX(使用レシピ!N:N,MATCH(テンプレート!$C228,使用レシピ!$E:$E,0))&lt;&gt;0,INDEX(使用レシピ!N:N,MATCH(テンプレート!$C228,使用レシピ!$E:$E,0)),""),"")</f>
        <v/>
      </c>
      <c r="N228" s="24" t="str">
        <f>IFERROR(IF(INDEX(使用レシピ!O:O,MATCH(テンプレート!$C228,使用レシピ!$E:$E,0))&lt;&gt;0,INDEX(使用レシピ!O:O,MATCH(テンプレート!$C228,使用レシピ!$E:$E,0)),""),"")</f>
        <v/>
      </c>
      <c r="O228" s="42" t="str">
        <f>IFERROR(IF(INDEX(使用レシピ!P:P,MATCH(テンプレート!$C228,使用レシピ!$E:$E,0))&lt;&gt;0,INDEX(使用レシピ!P:P,MATCH(テンプレート!$C228,使用レシピ!$E:$E,0)),""),"")</f>
        <v/>
      </c>
      <c r="P228" s="25" t="str">
        <f t="shared" si="18"/>
        <v/>
      </c>
      <c r="Q228" s="26" t="str">
        <f t="shared" si="19"/>
        <v/>
      </c>
      <c r="R228" s="26" t="str">
        <f t="shared" si="20"/>
        <v/>
      </c>
      <c r="S228" s="26" t="str">
        <f t="shared" si="21"/>
        <v/>
      </c>
      <c r="T228" s="43" t="str">
        <f t="shared" si="21"/>
        <v/>
      </c>
    </row>
    <row r="229" spans="1:20" x14ac:dyDescent="0.4">
      <c r="A229">
        <v>11111122211</v>
      </c>
      <c r="B229" s="47" t="str" cm="1">
        <f t="array" ref="B229">IFERROR((INDEX($P$4:$T$1000,MATCH(VALUE(LEFT($A229,LEN($A229)-1)),$A$4:$A$1000,0),VALUE(RIGHT($A229,1)))/ INDEX($O$4:$O$1000,MATCH(VALUE(LEFT($A229,LEN($A229)-1)),$A$4:$A$1000))) * INDEX($B$4:$B$1000,MATCH(VALUE(LEFT($A229,LEN($A229)-1)),$A$4:$A$1000)),"")</f>
        <v/>
      </c>
      <c r="C229" s="38" t="str" cm="1">
        <f t="array" ref="C229">IFERROR(IF(INDEX($D$4:$H$1000,MATCH(VALUE(LEFT($A229,LEN($A229)-1)),$A$4:$A$1000,0),VALUE(RIGHT($A229,1)))= 0,"",INDEX($D$4:$H$1000,MATCH(VALUE(LEFT($A229,LEN($A229)-1)),$A$4:$A$1000,0),VALUE(RIGHT($A229,1)))),"")</f>
        <v/>
      </c>
      <c r="D229" s="23" t="str">
        <f>IFERROR(IF(INDEX(使用レシピ!F:F,MATCH(テンプレート!$C229,使用レシピ!$E:$E,0))&lt;&gt;0,INDEX(使用レシピ!F:F,MATCH(テンプレート!$C229,使用レシピ!$E:$E,0)),""),"")</f>
        <v/>
      </c>
      <c r="E229" t="str">
        <f>IFERROR(IF(INDEX(使用レシピ!G:G,MATCH(テンプレート!$C229,使用レシピ!$E:$E,0))&lt;&gt;0,INDEX(使用レシピ!G:G,MATCH(テンプレート!$C229,使用レシピ!$E:$E,0)),""),"")</f>
        <v/>
      </c>
      <c r="F229" t="str">
        <f>IFERROR(IF(INDEX(使用レシピ!H:H,MATCH(テンプレート!$C229,使用レシピ!$E:$E,0))&lt;&gt;0,INDEX(使用レシピ!H:H,MATCH(テンプレート!$C229,使用レシピ!$E:$E,0)),""),"")</f>
        <v/>
      </c>
      <c r="G229" t="str">
        <f>IFERROR(IF(INDEX(使用レシピ!I:I,MATCH(テンプレート!$C229,使用レシピ!$E:$E,0))&lt;&gt;0,INDEX(使用レシピ!I:I,MATCH(テンプレート!$C229,使用レシピ!$E:$E,0)),""),"")</f>
        <v/>
      </c>
      <c r="H229" s="24" t="str">
        <f>IFERROR(IF(INDEX(使用レシピ!J:J,MATCH(テンプレート!$C229,使用レシピ!$E:$E,0))&lt;&gt;0,INDEX(使用レシピ!J:J,MATCH(テンプレート!$C229,使用レシピ!$E:$E,0)),""),"")</f>
        <v/>
      </c>
      <c r="I229" s="36" t="str">
        <f>IFERROR(IF(INDEX(使用レシピ!P:P,MATCH(テンプレート!$C229,使用レシピ!$E:$E,0))&lt;&gt;0,INDEX(使用レシピ!P:P,MATCH(テンプレート!$C229,使用レシピ!$E:$E,0)),""),"")</f>
        <v/>
      </c>
      <c r="J229" t="str">
        <f>IFERROR(IF(INDEX(使用レシピ!K:K,MATCH(テンプレート!$C229,使用レシピ!$E:$E,0))&lt;&gt;0,INDEX(使用レシピ!K:K,MATCH(テンプレート!$C229,使用レシピ!$E:$E,0)),""),"")</f>
        <v/>
      </c>
      <c r="K229" t="str">
        <f>IFERROR(IF(INDEX(使用レシピ!L:L,MATCH(テンプレート!$C229,使用レシピ!$E:$E,0))&lt;&gt;0,INDEX(使用レシピ!L:L,MATCH(テンプレート!$C229,使用レシピ!$E:$E,0)),""),"")</f>
        <v/>
      </c>
      <c r="L229" t="str">
        <f>IFERROR(IF(INDEX(使用レシピ!M:M,MATCH(テンプレート!$C229,使用レシピ!$E:$E,0))&lt;&gt;0,INDEX(使用レシピ!M:M,MATCH(テンプレート!$C229,使用レシピ!$E:$E,0)),""),"")</f>
        <v/>
      </c>
      <c r="M229" t="str">
        <f>IFERROR(IF(INDEX(使用レシピ!N:N,MATCH(テンプレート!$C229,使用レシピ!$E:$E,0))&lt;&gt;0,INDEX(使用レシピ!N:N,MATCH(テンプレート!$C229,使用レシピ!$E:$E,0)),""),"")</f>
        <v/>
      </c>
      <c r="N229" s="24" t="str">
        <f>IFERROR(IF(INDEX(使用レシピ!O:O,MATCH(テンプレート!$C229,使用レシピ!$E:$E,0))&lt;&gt;0,INDEX(使用レシピ!O:O,MATCH(テンプレート!$C229,使用レシピ!$E:$E,0)),""),"")</f>
        <v/>
      </c>
      <c r="O229" s="42" t="str">
        <f>IFERROR(IF(INDEX(使用レシピ!P:P,MATCH(テンプレート!$C229,使用レシピ!$E:$E,0))&lt;&gt;0,INDEX(使用レシピ!P:P,MATCH(テンプレート!$C229,使用レシピ!$E:$E,0)),""),"")</f>
        <v/>
      </c>
      <c r="P229" s="25" t="str">
        <f t="shared" si="18"/>
        <v/>
      </c>
      <c r="Q229" s="26" t="str">
        <f t="shared" si="19"/>
        <v/>
      </c>
      <c r="R229" s="26" t="str">
        <f t="shared" si="20"/>
        <v/>
      </c>
      <c r="S229" s="26" t="str">
        <f t="shared" si="21"/>
        <v/>
      </c>
      <c r="T229" s="43" t="str">
        <f t="shared" si="21"/>
        <v/>
      </c>
    </row>
    <row r="230" spans="1:20" x14ac:dyDescent="0.4">
      <c r="A230">
        <v>11111122212</v>
      </c>
      <c r="B230" s="47" t="str" cm="1">
        <f t="array" ref="B230">IFERROR((INDEX($P$4:$T$1000,MATCH(VALUE(LEFT($A230,LEN($A230)-1)),$A$4:$A$1000,0),VALUE(RIGHT($A230,1)))/ INDEX($O$4:$O$1000,MATCH(VALUE(LEFT($A230,LEN($A230)-1)),$A$4:$A$1000))) * INDEX($B$4:$B$1000,MATCH(VALUE(LEFT($A230,LEN($A230)-1)),$A$4:$A$1000)),"")</f>
        <v/>
      </c>
      <c r="C230" s="38" t="str" cm="1">
        <f t="array" ref="C230">IFERROR(IF(INDEX($D$4:$H$1000,MATCH(VALUE(LEFT($A230,LEN($A230)-1)),$A$4:$A$1000,0),VALUE(RIGHT($A230,1)))= 0,"",INDEX($D$4:$H$1000,MATCH(VALUE(LEFT($A230,LEN($A230)-1)),$A$4:$A$1000,0),VALUE(RIGHT($A230,1)))),"")</f>
        <v/>
      </c>
      <c r="D230" s="23" t="str">
        <f>IFERROR(IF(INDEX(使用レシピ!F:F,MATCH(テンプレート!$C230,使用レシピ!$E:$E,0))&lt;&gt;0,INDEX(使用レシピ!F:F,MATCH(テンプレート!$C230,使用レシピ!$E:$E,0)),""),"")</f>
        <v/>
      </c>
      <c r="E230" t="str">
        <f>IFERROR(IF(INDEX(使用レシピ!G:G,MATCH(テンプレート!$C230,使用レシピ!$E:$E,0))&lt;&gt;0,INDEX(使用レシピ!G:G,MATCH(テンプレート!$C230,使用レシピ!$E:$E,0)),""),"")</f>
        <v/>
      </c>
      <c r="F230" t="str">
        <f>IFERROR(IF(INDEX(使用レシピ!H:H,MATCH(テンプレート!$C230,使用レシピ!$E:$E,0))&lt;&gt;0,INDEX(使用レシピ!H:H,MATCH(テンプレート!$C230,使用レシピ!$E:$E,0)),""),"")</f>
        <v/>
      </c>
      <c r="G230" t="str">
        <f>IFERROR(IF(INDEX(使用レシピ!I:I,MATCH(テンプレート!$C230,使用レシピ!$E:$E,0))&lt;&gt;0,INDEX(使用レシピ!I:I,MATCH(テンプレート!$C230,使用レシピ!$E:$E,0)),""),"")</f>
        <v/>
      </c>
      <c r="H230" s="24" t="str">
        <f>IFERROR(IF(INDEX(使用レシピ!J:J,MATCH(テンプレート!$C230,使用レシピ!$E:$E,0))&lt;&gt;0,INDEX(使用レシピ!J:J,MATCH(テンプレート!$C230,使用レシピ!$E:$E,0)),""),"")</f>
        <v/>
      </c>
      <c r="I230" s="36" t="str">
        <f>IFERROR(IF(INDEX(使用レシピ!P:P,MATCH(テンプレート!$C230,使用レシピ!$E:$E,0))&lt;&gt;0,INDEX(使用レシピ!P:P,MATCH(テンプレート!$C230,使用レシピ!$E:$E,0)),""),"")</f>
        <v/>
      </c>
      <c r="J230" t="str">
        <f>IFERROR(IF(INDEX(使用レシピ!K:K,MATCH(テンプレート!$C230,使用レシピ!$E:$E,0))&lt;&gt;0,INDEX(使用レシピ!K:K,MATCH(テンプレート!$C230,使用レシピ!$E:$E,0)),""),"")</f>
        <v/>
      </c>
      <c r="K230" t="str">
        <f>IFERROR(IF(INDEX(使用レシピ!L:L,MATCH(テンプレート!$C230,使用レシピ!$E:$E,0))&lt;&gt;0,INDEX(使用レシピ!L:L,MATCH(テンプレート!$C230,使用レシピ!$E:$E,0)),""),"")</f>
        <v/>
      </c>
      <c r="L230" t="str">
        <f>IFERROR(IF(INDEX(使用レシピ!M:M,MATCH(テンプレート!$C230,使用レシピ!$E:$E,0))&lt;&gt;0,INDEX(使用レシピ!M:M,MATCH(テンプレート!$C230,使用レシピ!$E:$E,0)),""),"")</f>
        <v/>
      </c>
      <c r="M230" t="str">
        <f>IFERROR(IF(INDEX(使用レシピ!N:N,MATCH(テンプレート!$C230,使用レシピ!$E:$E,0))&lt;&gt;0,INDEX(使用レシピ!N:N,MATCH(テンプレート!$C230,使用レシピ!$E:$E,0)),""),"")</f>
        <v/>
      </c>
      <c r="N230" s="24" t="str">
        <f>IFERROR(IF(INDEX(使用レシピ!O:O,MATCH(テンプレート!$C230,使用レシピ!$E:$E,0))&lt;&gt;0,INDEX(使用レシピ!O:O,MATCH(テンプレート!$C230,使用レシピ!$E:$E,0)),""),"")</f>
        <v/>
      </c>
      <c r="O230" s="42" t="str">
        <f>IFERROR(IF(INDEX(使用レシピ!P:P,MATCH(テンプレート!$C230,使用レシピ!$E:$E,0))&lt;&gt;0,INDEX(使用レシピ!P:P,MATCH(テンプレート!$C230,使用レシピ!$E:$E,0)),""),"")</f>
        <v/>
      </c>
      <c r="P230" s="25" t="str">
        <f t="shared" si="18"/>
        <v/>
      </c>
      <c r="Q230" s="26" t="str">
        <f t="shared" si="19"/>
        <v/>
      </c>
      <c r="R230" s="26" t="str">
        <f t="shared" si="20"/>
        <v/>
      </c>
      <c r="S230" s="26" t="str">
        <f t="shared" si="21"/>
        <v/>
      </c>
      <c r="T230" s="43" t="str">
        <f t="shared" si="21"/>
        <v/>
      </c>
    </row>
    <row r="231" spans="1:20" x14ac:dyDescent="0.4">
      <c r="A231">
        <v>11111132111</v>
      </c>
      <c r="B231" s="47" cm="1">
        <f t="array" ref="B231">IFERROR((INDEX($P$4:$T$1000,MATCH(VALUE(LEFT($A231,LEN($A231)-1)),$A$4:$A$1000,0),VALUE(RIGHT($A231,1)))/ INDEX($O$4:$O$1000,MATCH(VALUE(LEFT($A231,LEN($A231)-1)),$A$4:$A$1000))) * INDEX($B$4:$B$1000,MATCH(VALUE(LEFT($A231,LEN($A231)-1)),$A$4:$A$1000)),"")</f>
        <v>540</v>
      </c>
      <c r="C231" s="38" t="str" cm="1">
        <f t="array" ref="C231">IFERROR(IF(INDEX($D$4:$H$1000,MATCH(VALUE(LEFT($A231,LEN($A231)-1)),$A$4:$A$1000,0),VALUE(RIGHT($A231,1)))= 0,"",INDEX($D$4:$H$1000,MATCH(VALUE(LEFT($A231,LEN($A231)-1)),$A$4:$A$1000,0),VALUE(RIGHT($A231,1)))),"")</f>
        <v>銅鉱石</v>
      </c>
      <c r="D231" s="23" t="str">
        <f>IFERROR(IF(INDEX(使用レシピ!F:F,MATCH(テンプレート!$C231,使用レシピ!$E:$E,0))&lt;&gt;0,INDEX(使用レシピ!F:F,MATCH(テンプレート!$C231,使用レシピ!$E:$E,0)),""),"")</f>
        <v/>
      </c>
      <c r="E231" t="str">
        <f>IFERROR(IF(INDEX(使用レシピ!G:G,MATCH(テンプレート!$C231,使用レシピ!$E:$E,0))&lt;&gt;0,INDEX(使用レシピ!G:G,MATCH(テンプレート!$C231,使用レシピ!$E:$E,0)),""),"")</f>
        <v/>
      </c>
      <c r="F231" t="str">
        <f>IFERROR(IF(INDEX(使用レシピ!H:H,MATCH(テンプレート!$C231,使用レシピ!$E:$E,0))&lt;&gt;0,INDEX(使用レシピ!H:H,MATCH(テンプレート!$C231,使用レシピ!$E:$E,0)),""),"")</f>
        <v/>
      </c>
      <c r="G231" t="str">
        <f>IFERROR(IF(INDEX(使用レシピ!I:I,MATCH(テンプレート!$C231,使用レシピ!$E:$E,0))&lt;&gt;0,INDEX(使用レシピ!I:I,MATCH(テンプレート!$C231,使用レシピ!$E:$E,0)),""),"")</f>
        <v/>
      </c>
      <c r="H231" s="24" t="str">
        <f>IFERROR(IF(INDEX(使用レシピ!J:J,MATCH(テンプレート!$C231,使用レシピ!$E:$E,0))&lt;&gt;0,INDEX(使用レシピ!J:J,MATCH(テンプレート!$C231,使用レシピ!$E:$E,0)),""),"")</f>
        <v/>
      </c>
      <c r="I231" s="36">
        <f>IFERROR(IF(INDEX(使用レシピ!P:P,MATCH(テンプレート!$C231,使用レシピ!$E:$E,0))&lt;&gt;0,INDEX(使用レシピ!P:P,MATCH(テンプレート!$C231,使用レシピ!$E:$E,0)),""),"")</f>
        <v>1</v>
      </c>
      <c r="J231" t="str">
        <f>IFERROR(IF(INDEX(使用レシピ!K:K,MATCH(テンプレート!$C231,使用レシピ!$E:$E,0))&lt;&gt;0,INDEX(使用レシピ!K:K,MATCH(テンプレート!$C231,使用レシピ!$E:$E,0)),""),"")</f>
        <v/>
      </c>
      <c r="K231" t="str">
        <f>IFERROR(IF(INDEX(使用レシピ!L:L,MATCH(テンプレート!$C231,使用レシピ!$E:$E,0))&lt;&gt;0,INDEX(使用レシピ!L:L,MATCH(テンプレート!$C231,使用レシピ!$E:$E,0)),""),"")</f>
        <v/>
      </c>
      <c r="L231" t="str">
        <f>IFERROR(IF(INDEX(使用レシピ!M:M,MATCH(テンプレート!$C231,使用レシピ!$E:$E,0))&lt;&gt;0,INDEX(使用レシピ!M:M,MATCH(テンプレート!$C231,使用レシピ!$E:$E,0)),""),"")</f>
        <v/>
      </c>
      <c r="M231" t="str">
        <f>IFERROR(IF(INDEX(使用レシピ!N:N,MATCH(テンプレート!$C231,使用レシピ!$E:$E,0))&lt;&gt;0,INDEX(使用レシピ!N:N,MATCH(テンプレート!$C231,使用レシピ!$E:$E,0)),""),"")</f>
        <v/>
      </c>
      <c r="N231" s="24" t="str">
        <f>IFERROR(IF(INDEX(使用レシピ!O:O,MATCH(テンプレート!$C231,使用レシピ!$E:$E,0))&lt;&gt;0,INDEX(使用レシピ!O:O,MATCH(テンプレート!$C231,使用レシピ!$E:$E,0)),""),"")</f>
        <v/>
      </c>
      <c r="O231" s="42">
        <f>IFERROR(IF(INDEX(使用レシピ!P:P,MATCH(テンプレート!$C231,使用レシピ!$E:$E,0))&lt;&gt;0,INDEX(使用レシピ!P:P,MATCH(テンプレート!$C231,使用レシピ!$E:$E,0)),""),"")</f>
        <v>1</v>
      </c>
      <c r="P231" s="25" t="str">
        <f t="shared" si="18"/>
        <v/>
      </c>
      <c r="Q231" s="26" t="str">
        <f t="shared" si="19"/>
        <v/>
      </c>
      <c r="R231" s="26" t="str">
        <f t="shared" si="20"/>
        <v/>
      </c>
      <c r="S231" s="26" t="str">
        <f t="shared" si="21"/>
        <v/>
      </c>
      <c r="T231" s="43" t="str">
        <f t="shared" si="21"/>
        <v/>
      </c>
    </row>
    <row r="232" spans="1:20" x14ac:dyDescent="0.4">
      <c r="A232">
        <v>11111132112</v>
      </c>
      <c r="B232" s="47" cm="1">
        <f t="array" ref="B232">IFERROR((INDEX($P$4:$T$1000,MATCH(VALUE(LEFT($A232,LEN($A232)-1)),$A$4:$A$1000,0),VALUE(RIGHT($A232,1)))/ INDEX($O$4:$O$1000,MATCH(VALUE(LEFT($A232,LEN($A232)-1)),$A$4:$A$1000))) * INDEX($B$4:$B$1000,MATCH(VALUE(LEFT($A232,LEN($A232)-1)),$A$4:$A$1000)),"")</f>
        <v>360</v>
      </c>
      <c r="C232" s="38" t="str" cm="1">
        <f t="array" ref="C232">IFERROR(IF(INDEX($D$4:$H$1000,MATCH(VALUE(LEFT($A232,LEN($A232)-1)),$A$4:$A$1000,0),VALUE(RIGHT($A232,1)))= 0,"",INDEX($D$4:$H$1000,MATCH(VALUE(LEFT($A232,LEN($A232)-1)),$A$4:$A$1000,0),VALUE(RIGHT($A232,1)))),"")</f>
        <v>水</v>
      </c>
      <c r="D232" s="23" t="str">
        <f>IFERROR(IF(INDEX(使用レシピ!F:F,MATCH(テンプレート!$C232,使用レシピ!$E:$E,0))&lt;&gt;0,INDEX(使用レシピ!F:F,MATCH(テンプレート!$C232,使用レシピ!$E:$E,0)),""),"")</f>
        <v/>
      </c>
      <c r="E232" t="str">
        <f>IFERROR(IF(INDEX(使用レシピ!G:G,MATCH(テンプレート!$C232,使用レシピ!$E:$E,0))&lt;&gt;0,INDEX(使用レシピ!G:G,MATCH(テンプレート!$C232,使用レシピ!$E:$E,0)),""),"")</f>
        <v/>
      </c>
      <c r="F232" t="str">
        <f>IFERROR(IF(INDEX(使用レシピ!H:H,MATCH(テンプレート!$C232,使用レシピ!$E:$E,0))&lt;&gt;0,INDEX(使用レシピ!H:H,MATCH(テンプレート!$C232,使用レシピ!$E:$E,0)),""),"")</f>
        <v/>
      </c>
      <c r="G232" t="str">
        <f>IFERROR(IF(INDEX(使用レシピ!I:I,MATCH(テンプレート!$C232,使用レシピ!$E:$E,0))&lt;&gt;0,INDEX(使用レシピ!I:I,MATCH(テンプレート!$C232,使用レシピ!$E:$E,0)),""),"")</f>
        <v/>
      </c>
      <c r="H232" s="24" t="str">
        <f>IFERROR(IF(INDEX(使用レシピ!J:J,MATCH(テンプレート!$C232,使用レシピ!$E:$E,0))&lt;&gt;0,INDEX(使用レシピ!J:J,MATCH(テンプレート!$C232,使用レシピ!$E:$E,0)),""),"")</f>
        <v/>
      </c>
      <c r="I232" s="36">
        <f>IFERROR(IF(INDEX(使用レシピ!P:P,MATCH(テンプレート!$C232,使用レシピ!$E:$E,0))&lt;&gt;0,INDEX(使用レシピ!P:P,MATCH(テンプレート!$C232,使用レシピ!$E:$E,0)),""),"")</f>
        <v>1</v>
      </c>
      <c r="J232" t="str">
        <f>IFERROR(IF(INDEX(使用レシピ!K:K,MATCH(テンプレート!$C232,使用レシピ!$E:$E,0))&lt;&gt;0,INDEX(使用レシピ!K:K,MATCH(テンプレート!$C232,使用レシピ!$E:$E,0)),""),"")</f>
        <v/>
      </c>
      <c r="K232" t="str">
        <f>IFERROR(IF(INDEX(使用レシピ!L:L,MATCH(テンプレート!$C232,使用レシピ!$E:$E,0))&lt;&gt;0,INDEX(使用レシピ!L:L,MATCH(テンプレート!$C232,使用レシピ!$E:$E,0)),""),"")</f>
        <v/>
      </c>
      <c r="L232" t="str">
        <f>IFERROR(IF(INDEX(使用レシピ!M:M,MATCH(テンプレート!$C232,使用レシピ!$E:$E,0))&lt;&gt;0,INDEX(使用レシピ!M:M,MATCH(テンプレート!$C232,使用レシピ!$E:$E,0)),""),"")</f>
        <v/>
      </c>
      <c r="M232" t="str">
        <f>IFERROR(IF(INDEX(使用レシピ!N:N,MATCH(テンプレート!$C232,使用レシピ!$E:$E,0))&lt;&gt;0,INDEX(使用レシピ!N:N,MATCH(テンプレート!$C232,使用レシピ!$E:$E,0)),""),"")</f>
        <v/>
      </c>
      <c r="N232" s="24" t="str">
        <f>IFERROR(IF(INDEX(使用レシピ!O:O,MATCH(テンプレート!$C232,使用レシピ!$E:$E,0))&lt;&gt;0,INDEX(使用レシピ!O:O,MATCH(テンプレート!$C232,使用レシピ!$E:$E,0)),""),"")</f>
        <v/>
      </c>
      <c r="O232" s="42">
        <f>IFERROR(IF(INDEX(使用レシピ!P:P,MATCH(テンプレート!$C232,使用レシピ!$E:$E,0))&lt;&gt;0,INDEX(使用レシピ!P:P,MATCH(テンプレート!$C232,使用レシピ!$E:$E,0)),""),"")</f>
        <v>1</v>
      </c>
      <c r="P232" s="25" t="str">
        <f t="shared" si="18"/>
        <v/>
      </c>
      <c r="Q232" s="26" t="str">
        <f t="shared" si="19"/>
        <v/>
      </c>
      <c r="R232" s="26" t="str">
        <f t="shared" si="20"/>
        <v/>
      </c>
      <c r="S232" s="26" t="str">
        <f t="shared" si="21"/>
        <v/>
      </c>
      <c r="T232" s="43" t="str">
        <f t="shared" si="21"/>
        <v/>
      </c>
    </row>
    <row r="233" spans="1:20" x14ac:dyDescent="0.4">
      <c r="A233">
        <v>11111133111</v>
      </c>
      <c r="B233" s="47" t="str" cm="1">
        <f t="array" ref="B233">IFERROR((INDEX($P$4:$T$1000,MATCH(VALUE(LEFT($A233,LEN($A233)-1)),$A$4:$A$1000,0),VALUE(RIGHT($A233,1)))/ INDEX($O$4:$O$1000,MATCH(VALUE(LEFT($A233,LEN($A233)-1)),$A$4:$A$1000))) * INDEX($B$4:$B$1000,MATCH(VALUE(LEFT($A233,LEN($A233)-1)),$A$4:$A$1000)),"")</f>
        <v/>
      </c>
      <c r="C233" s="38" t="str" cm="1">
        <f t="array" ref="C233">IFERROR(IF(INDEX($D$4:$H$1000,MATCH(VALUE(LEFT($A233,LEN($A233)-1)),$A$4:$A$1000,0),VALUE(RIGHT($A233,1)))= 0,"",INDEX($D$4:$H$1000,MATCH(VALUE(LEFT($A233,LEN($A233)-1)),$A$4:$A$1000,0),VALUE(RIGHT($A233,1)))),"")</f>
        <v/>
      </c>
      <c r="D233" s="23" t="str">
        <f>IFERROR(IF(INDEX(使用レシピ!F:F,MATCH(テンプレート!$C233,使用レシピ!$E:$E,0))&lt;&gt;0,INDEX(使用レシピ!F:F,MATCH(テンプレート!$C233,使用レシピ!$E:$E,0)),""),"")</f>
        <v/>
      </c>
      <c r="E233" t="str">
        <f>IFERROR(IF(INDEX(使用レシピ!G:G,MATCH(テンプレート!$C233,使用レシピ!$E:$E,0))&lt;&gt;0,INDEX(使用レシピ!G:G,MATCH(テンプレート!$C233,使用レシピ!$E:$E,0)),""),"")</f>
        <v/>
      </c>
      <c r="F233" t="str">
        <f>IFERROR(IF(INDEX(使用レシピ!H:H,MATCH(テンプレート!$C233,使用レシピ!$E:$E,0))&lt;&gt;0,INDEX(使用レシピ!H:H,MATCH(テンプレート!$C233,使用レシピ!$E:$E,0)),""),"")</f>
        <v/>
      </c>
      <c r="G233" t="str">
        <f>IFERROR(IF(INDEX(使用レシピ!I:I,MATCH(テンプレート!$C233,使用レシピ!$E:$E,0))&lt;&gt;0,INDEX(使用レシピ!I:I,MATCH(テンプレート!$C233,使用レシピ!$E:$E,0)),""),"")</f>
        <v/>
      </c>
      <c r="H233" s="24" t="str">
        <f>IFERROR(IF(INDEX(使用レシピ!J:J,MATCH(テンプレート!$C233,使用レシピ!$E:$E,0))&lt;&gt;0,INDEX(使用レシピ!J:J,MATCH(テンプレート!$C233,使用レシピ!$E:$E,0)),""),"")</f>
        <v/>
      </c>
      <c r="I233" s="36" t="str">
        <f>IFERROR(IF(INDEX(使用レシピ!P:P,MATCH(テンプレート!$C233,使用レシピ!$E:$E,0))&lt;&gt;0,INDEX(使用レシピ!P:P,MATCH(テンプレート!$C233,使用レシピ!$E:$E,0)),""),"")</f>
        <v/>
      </c>
      <c r="J233" t="str">
        <f>IFERROR(IF(INDEX(使用レシピ!K:K,MATCH(テンプレート!$C233,使用レシピ!$E:$E,0))&lt;&gt;0,INDEX(使用レシピ!K:K,MATCH(テンプレート!$C233,使用レシピ!$E:$E,0)),""),"")</f>
        <v/>
      </c>
      <c r="K233" t="str">
        <f>IFERROR(IF(INDEX(使用レシピ!L:L,MATCH(テンプレート!$C233,使用レシピ!$E:$E,0))&lt;&gt;0,INDEX(使用レシピ!L:L,MATCH(テンプレート!$C233,使用レシピ!$E:$E,0)),""),"")</f>
        <v/>
      </c>
      <c r="L233" t="str">
        <f>IFERROR(IF(INDEX(使用レシピ!M:M,MATCH(テンプレート!$C233,使用レシピ!$E:$E,0))&lt;&gt;0,INDEX(使用レシピ!M:M,MATCH(テンプレート!$C233,使用レシピ!$E:$E,0)),""),"")</f>
        <v/>
      </c>
      <c r="M233" t="str">
        <f>IFERROR(IF(INDEX(使用レシピ!N:N,MATCH(テンプレート!$C233,使用レシピ!$E:$E,0))&lt;&gt;0,INDEX(使用レシピ!N:N,MATCH(テンプレート!$C233,使用レシピ!$E:$E,0)),""),"")</f>
        <v/>
      </c>
      <c r="N233" s="24" t="str">
        <f>IFERROR(IF(INDEX(使用レシピ!O:O,MATCH(テンプレート!$C233,使用レシピ!$E:$E,0))&lt;&gt;0,INDEX(使用レシピ!O:O,MATCH(テンプレート!$C233,使用レシピ!$E:$E,0)),""),"")</f>
        <v/>
      </c>
      <c r="O233" s="42" t="str">
        <f>IFERROR(IF(INDEX(使用レシピ!P:P,MATCH(テンプレート!$C233,使用レシピ!$E:$E,0))&lt;&gt;0,INDEX(使用レシピ!P:P,MATCH(テンプレート!$C233,使用レシピ!$E:$E,0)),""),"")</f>
        <v/>
      </c>
      <c r="P233" s="25" t="str">
        <f t="shared" si="18"/>
        <v/>
      </c>
      <c r="Q233" s="26" t="str">
        <f t="shared" si="19"/>
        <v/>
      </c>
      <c r="R233" s="26" t="str">
        <f t="shared" si="20"/>
        <v/>
      </c>
      <c r="S233" s="26" t="str">
        <f t="shared" si="21"/>
        <v/>
      </c>
      <c r="T233" s="43" t="str">
        <f t="shared" si="21"/>
        <v/>
      </c>
    </row>
    <row r="234" spans="1:20" x14ac:dyDescent="0.4">
      <c r="A234">
        <v>11111133112</v>
      </c>
      <c r="B234" s="47" t="str" cm="1">
        <f t="array" ref="B234">IFERROR((INDEX($P$4:$T$1000,MATCH(VALUE(LEFT($A234,LEN($A234)-1)),$A$4:$A$1000,0),VALUE(RIGHT($A234,1)))/ INDEX($O$4:$O$1000,MATCH(VALUE(LEFT($A234,LEN($A234)-1)),$A$4:$A$1000))) * INDEX($B$4:$B$1000,MATCH(VALUE(LEFT($A234,LEN($A234)-1)),$A$4:$A$1000)),"")</f>
        <v/>
      </c>
      <c r="C234" s="38" t="str" cm="1">
        <f t="array" ref="C234">IFERROR(IF(INDEX($D$4:$H$1000,MATCH(VALUE(LEFT($A234,LEN($A234)-1)),$A$4:$A$1000,0),VALUE(RIGHT($A234,1)))= 0,"",INDEX($D$4:$H$1000,MATCH(VALUE(LEFT($A234,LEN($A234)-1)),$A$4:$A$1000,0),VALUE(RIGHT($A234,1)))),"")</f>
        <v/>
      </c>
      <c r="D234" s="23" t="str">
        <f>IFERROR(IF(INDEX(使用レシピ!F:F,MATCH(テンプレート!$C234,使用レシピ!$E:$E,0))&lt;&gt;0,INDEX(使用レシピ!F:F,MATCH(テンプレート!$C234,使用レシピ!$E:$E,0)),""),"")</f>
        <v/>
      </c>
      <c r="E234" t="str">
        <f>IFERROR(IF(INDEX(使用レシピ!G:G,MATCH(テンプレート!$C234,使用レシピ!$E:$E,0))&lt;&gt;0,INDEX(使用レシピ!G:G,MATCH(テンプレート!$C234,使用レシピ!$E:$E,0)),""),"")</f>
        <v/>
      </c>
      <c r="F234" t="str">
        <f>IFERROR(IF(INDEX(使用レシピ!H:H,MATCH(テンプレート!$C234,使用レシピ!$E:$E,0))&lt;&gt;0,INDEX(使用レシピ!H:H,MATCH(テンプレート!$C234,使用レシピ!$E:$E,0)),""),"")</f>
        <v/>
      </c>
      <c r="G234" t="str">
        <f>IFERROR(IF(INDEX(使用レシピ!I:I,MATCH(テンプレート!$C234,使用レシピ!$E:$E,0))&lt;&gt;0,INDEX(使用レシピ!I:I,MATCH(テンプレート!$C234,使用レシピ!$E:$E,0)),""),"")</f>
        <v/>
      </c>
      <c r="H234" s="24" t="str">
        <f>IFERROR(IF(INDEX(使用レシピ!J:J,MATCH(テンプレート!$C234,使用レシピ!$E:$E,0))&lt;&gt;0,INDEX(使用レシピ!J:J,MATCH(テンプレート!$C234,使用レシピ!$E:$E,0)),""),"")</f>
        <v/>
      </c>
      <c r="I234" s="36" t="str">
        <f>IFERROR(IF(INDEX(使用レシピ!P:P,MATCH(テンプレート!$C234,使用レシピ!$E:$E,0))&lt;&gt;0,INDEX(使用レシピ!P:P,MATCH(テンプレート!$C234,使用レシピ!$E:$E,0)),""),"")</f>
        <v/>
      </c>
      <c r="J234" t="str">
        <f>IFERROR(IF(INDEX(使用レシピ!K:K,MATCH(テンプレート!$C234,使用レシピ!$E:$E,0))&lt;&gt;0,INDEX(使用レシピ!K:K,MATCH(テンプレート!$C234,使用レシピ!$E:$E,0)),""),"")</f>
        <v/>
      </c>
      <c r="K234" t="str">
        <f>IFERROR(IF(INDEX(使用レシピ!L:L,MATCH(テンプレート!$C234,使用レシピ!$E:$E,0))&lt;&gt;0,INDEX(使用レシピ!L:L,MATCH(テンプレート!$C234,使用レシピ!$E:$E,0)),""),"")</f>
        <v/>
      </c>
      <c r="L234" t="str">
        <f>IFERROR(IF(INDEX(使用レシピ!M:M,MATCH(テンプレート!$C234,使用レシピ!$E:$E,0))&lt;&gt;0,INDEX(使用レシピ!M:M,MATCH(テンプレート!$C234,使用レシピ!$E:$E,0)),""),"")</f>
        <v/>
      </c>
      <c r="M234" t="str">
        <f>IFERROR(IF(INDEX(使用レシピ!N:N,MATCH(テンプレート!$C234,使用レシピ!$E:$E,0))&lt;&gt;0,INDEX(使用レシピ!N:N,MATCH(テンプレート!$C234,使用レシピ!$E:$E,0)),""),"")</f>
        <v/>
      </c>
      <c r="N234" s="24" t="str">
        <f>IFERROR(IF(INDEX(使用レシピ!O:O,MATCH(テンプレート!$C234,使用レシピ!$E:$E,0))&lt;&gt;0,INDEX(使用レシピ!O:O,MATCH(テンプレート!$C234,使用レシピ!$E:$E,0)),""),"")</f>
        <v/>
      </c>
      <c r="O234" s="42" t="str">
        <f>IFERROR(IF(INDEX(使用レシピ!P:P,MATCH(テンプレート!$C234,使用レシピ!$E:$E,0))&lt;&gt;0,INDEX(使用レシピ!P:P,MATCH(テンプレート!$C234,使用レシピ!$E:$E,0)),""),"")</f>
        <v/>
      </c>
      <c r="P234" s="25" t="str">
        <f t="shared" si="18"/>
        <v/>
      </c>
      <c r="Q234" s="26" t="str">
        <f t="shared" si="19"/>
        <v/>
      </c>
      <c r="R234" s="26" t="str">
        <f t="shared" si="20"/>
        <v/>
      </c>
      <c r="S234" s="26" t="str">
        <f t="shared" si="21"/>
        <v/>
      </c>
      <c r="T234" s="43" t="str">
        <f t="shared" si="21"/>
        <v/>
      </c>
    </row>
    <row r="235" spans="1:20" x14ac:dyDescent="0.4">
      <c r="A235">
        <v>11121211111</v>
      </c>
      <c r="B235" s="47" t="str" cm="1">
        <f t="array" ref="B235">IFERROR((INDEX($P$4:$T$1000,MATCH(VALUE(LEFT($A235,LEN($A235)-1)),$A$4:$A$1000,0),VALUE(RIGHT($A235,1)))/ INDEX($O$4:$O$1000,MATCH(VALUE(LEFT($A235,LEN($A235)-1)),$A$4:$A$1000))) * INDEX($B$4:$B$1000,MATCH(VALUE(LEFT($A235,LEN($A235)-1)),$A$4:$A$1000)),"")</f>
        <v/>
      </c>
      <c r="C235" s="38" t="str" cm="1">
        <f t="array" ref="C235">IFERROR(IF(INDEX($D$4:$H$1000,MATCH(VALUE(LEFT($A235,LEN($A235)-1)),$A$4:$A$1000,0),VALUE(RIGHT($A235,1)))= 0,"",INDEX($D$4:$H$1000,MATCH(VALUE(LEFT($A235,LEN($A235)-1)),$A$4:$A$1000,0),VALUE(RIGHT($A235,1)))),"")</f>
        <v/>
      </c>
      <c r="D235" s="23" t="str">
        <f>IFERROR(IF(INDEX(使用レシピ!F:F,MATCH(テンプレート!$C235,使用レシピ!$E:$E,0))&lt;&gt;0,INDEX(使用レシピ!F:F,MATCH(テンプレート!$C235,使用レシピ!$E:$E,0)),""),"")</f>
        <v/>
      </c>
      <c r="E235" t="str">
        <f>IFERROR(IF(INDEX(使用レシピ!G:G,MATCH(テンプレート!$C235,使用レシピ!$E:$E,0))&lt;&gt;0,INDEX(使用レシピ!G:G,MATCH(テンプレート!$C235,使用レシピ!$E:$E,0)),""),"")</f>
        <v/>
      </c>
      <c r="F235" t="str">
        <f>IFERROR(IF(INDEX(使用レシピ!H:H,MATCH(テンプレート!$C235,使用レシピ!$E:$E,0))&lt;&gt;0,INDEX(使用レシピ!H:H,MATCH(テンプレート!$C235,使用レシピ!$E:$E,0)),""),"")</f>
        <v/>
      </c>
      <c r="G235" t="str">
        <f>IFERROR(IF(INDEX(使用レシピ!I:I,MATCH(テンプレート!$C235,使用レシピ!$E:$E,0))&lt;&gt;0,INDEX(使用レシピ!I:I,MATCH(テンプレート!$C235,使用レシピ!$E:$E,0)),""),"")</f>
        <v/>
      </c>
      <c r="H235" s="24" t="str">
        <f>IFERROR(IF(INDEX(使用レシピ!J:J,MATCH(テンプレート!$C235,使用レシピ!$E:$E,0))&lt;&gt;0,INDEX(使用レシピ!J:J,MATCH(テンプレート!$C235,使用レシピ!$E:$E,0)),""),"")</f>
        <v/>
      </c>
      <c r="I235" s="36" t="str">
        <f>IFERROR(IF(INDEX(使用レシピ!P:P,MATCH(テンプレート!$C235,使用レシピ!$E:$E,0))&lt;&gt;0,INDEX(使用レシピ!P:P,MATCH(テンプレート!$C235,使用レシピ!$E:$E,0)),""),"")</f>
        <v/>
      </c>
      <c r="J235" t="str">
        <f>IFERROR(IF(INDEX(使用レシピ!K:K,MATCH(テンプレート!$C235,使用レシピ!$E:$E,0))&lt;&gt;0,INDEX(使用レシピ!K:K,MATCH(テンプレート!$C235,使用レシピ!$E:$E,0)),""),"")</f>
        <v/>
      </c>
      <c r="K235" t="str">
        <f>IFERROR(IF(INDEX(使用レシピ!L:L,MATCH(テンプレート!$C235,使用レシピ!$E:$E,0))&lt;&gt;0,INDEX(使用レシピ!L:L,MATCH(テンプレート!$C235,使用レシピ!$E:$E,0)),""),"")</f>
        <v/>
      </c>
      <c r="L235" t="str">
        <f>IFERROR(IF(INDEX(使用レシピ!M:M,MATCH(テンプレート!$C235,使用レシピ!$E:$E,0))&lt;&gt;0,INDEX(使用レシピ!M:M,MATCH(テンプレート!$C235,使用レシピ!$E:$E,0)),""),"")</f>
        <v/>
      </c>
      <c r="M235" t="str">
        <f>IFERROR(IF(INDEX(使用レシピ!N:N,MATCH(テンプレート!$C235,使用レシピ!$E:$E,0))&lt;&gt;0,INDEX(使用レシピ!N:N,MATCH(テンプレート!$C235,使用レシピ!$E:$E,0)),""),"")</f>
        <v/>
      </c>
      <c r="N235" s="24" t="str">
        <f>IFERROR(IF(INDEX(使用レシピ!O:O,MATCH(テンプレート!$C235,使用レシピ!$E:$E,0))&lt;&gt;0,INDEX(使用レシピ!O:O,MATCH(テンプレート!$C235,使用レシピ!$E:$E,0)),""),"")</f>
        <v/>
      </c>
      <c r="O235" s="42" t="str">
        <f>IFERROR(IF(INDEX(使用レシピ!P:P,MATCH(テンプレート!$C235,使用レシピ!$E:$E,0))&lt;&gt;0,INDEX(使用レシピ!P:P,MATCH(テンプレート!$C235,使用レシピ!$E:$E,0)),""),"")</f>
        <v/>
      </c>
      <c r="P235" s="25" t="str">
        <f t="shared" si="18"/>
        <v/>
      </c>
      <c r="Q235" s="26" t="str">
        <f t="shared" si="19"/>
        <v/>
      </c>
      <c r="R235" s="26" t="str">
        <f t="shared" si="20"/>
        <v/>
      </c>
      <c r="S235" s="26" t="str">
        <f t="shared" si="21"/>
        <v/>
      </c>
      <c r="T235" s="43" t="str">
        <f t="shared" si="21"/>
        <v/>
      </c>
    </row>
    <row r="236" spans="1:20" x14ac:dyDescent="0.4">
      <c r="A236">
        <v>11121211112</v>
      </c>
      <c r="B236" s="47" t="str" cm="1">
        <f t="array" ref="B236">IFERROR((INDEX($P$4:$T$1000,MATCH(VALUE(LEFT($A236,LEN($A236)-1)),$A$4:$A$1000,0),VALUE(RIGHT($A236,1)))/ INDEX($O$4:$O$1000,MATCH(VALUE(LEFT($A236,LEN($A236)-1)),$A$4:$A$1000))) * INDEX($B$4:$B$1000,MATCH(VALUE(LEFT($A236,LEN($A236)-1)),$A$4:$A$1000)),"")</f>
        <v/>
      </c>
      <c r="C236" s="38" t="str" cm="1">
        <f t="array" ref="C236">IFERROR(IF(INDEX($D$4:$H$1000,MATCH(VALUE(LEFT($A236,LEN($A236)-1)),$A$4:$A$1000,0),VALUE(RIGHT($A236,1)))= 0,"",INDEX($D$4:$H$1000,MATCH(VALUE(LEFT($A236,LEN($A236)-1)),$A$4:$A$1000,0),VALUE(RIGHT($A236,1)))),"")</f>
        <v/>
      </c>
      <c r="D236" s="23" t="str">
        <f>IFERROR(IF(INDEX(使用レシピ!F:F,MATCH(テンプレート!$C236,使用レシピ!$E:$E,0))&lt;&gt;0,INDEX(使用レシピ!F:F,MATCH(テンプレート!$C236,使用レシピ!$E:$E,0)),""),"")</f>
        <v/>
      </c>
      <c r="E236" t="str">
        <f>IFERROR(IF(INDEX(使用レシピ!G:G,MATCH(テンプレート!$C236,使用レシピ!$E:$E,0))&lt;&gt;0,INDEX(使用レシピ!G:G,MATCH(テンプレート!$C236,使用レシピ!$E:$E,0)),""),"")</f>
        <v/>
      </c>
      <c r="F236" t="str">
        <f>IFERROR(IF(INDEX(使用レシピ!H:H,MATCH(テンプレート!$C236,使用レシピ!$E:$E,0))&lt;&gt;0,INDEX(使用レシピ!H:H,MATCH(テンプレート!$C236,使用レシピ!$E:$E,0)),""),"")</f>
        <v/>
      </c>
      <c r="G236" t="str">
        <f>IFERROR(IF(INDEX(使用レシピ!I:I,MATCH(テンプレート!$C236,使用レシピ!$E:$E,0))&lt;&gt;0,INDEX(使用レシピ!I:I,MATCH(テンプレート!$C236,使用レシピ!$E:$E,0)),""),"")</f>
        <v/>
      </c>
      <c r="H236" s="24" t="str">
        <f>IFERROR(IF(INDEX(使用レシピ!J:J,MATCH(テンプレート!$C236,使用レシピ!$E:$E,0))&lt;&gt;0,INDEX(使用レシピ!J:J,MATCH(テンプレート!$C236,使用レシピ!$E:$E,0)),""),"")</f>
        <v/>
      </c>
      <c r="I236" s="36" t="str">
        <f>IFERROR(IF(INDEX(使用レシピ!P:P,MATCH(テンプレート!$C236,使用レシピ!$E:$E,0))&lt;&gt;0,INDEX(使用レシピ!P:P,MATCH(テンプレート!$C236,使用レシピ!$E:$E,0)),""),"")</f>
        <v/>
      </c>
      <c r="J236" t="str">
        <f>IFERROR(IF(INDEX(使用レシピ!K:K,MATCH(テンプレート!$C236,使用レシピ!$E:$E,0))&lt;&gt;0,INDEX(使用レシピ!K:K,MATCH(テンプレート!$C236,使用レシピ!$E:$E,0)),""),"")</f>
        <v/>
      </c>
      <c r="K236" t="str">
        <f>IFERROR(IF(INDEX(使用レシピ!L:L,MATCH(テンプレート!$C236,使用レシピ!$E:$E,0))&lt;&gt;0,INDEX(使用レシピ!L:L,MATCH(テンプレート!$C236,使用レシピ!$E:$E,0)),""),"")</f>
        <v/>
      </c>
      <c r="L236" t="str">
        <f>IFERROR(IF(INDEX(使用レシピ!M:M,MATCH(テンプレート!$C236,使用レシピ!$E:$E,0))&lt;&gt;0,INDEX(使用レシピ!M:M,MATCH(テンプレート!$C236,使用レシピ!$E:$E,0)),""),"")</f>
        <v/>
      </c>
      <c r="M236" t="str">
        <f>IFERROR(IF(INDEX(使用レシピ!N:N,MATCH(テンプレート!$C236,使用レシピ!$E:$E,0))&lt;&gt;0,INDEX(使用レシピ!N:N,MATCH(テンプレート!$C236,使用レシピ!$E:$E,0)),""),"")</f>
        <v/>
      </c>
      <c r="N236" s="24" t="str">
        <f>IFERROR(IF(INDEX(使用レシピ!O:O,MATCH(テンプレート!$C236,使用レシピ!$E:$E,0))&lt;&gt;0,INDEX(使用レシピ!O:O,MATCH(テンプレート!$C236,使用レシピ!$E:$E,0)),""),"")</f>
        <v/>
      </c>
      <c r="O236" s="42" t="str">
        <f>IFERROR(IF(INDEX(使用レシピ!P:P,MATCH(テンプレート!$C236,使用レシピ!$E:$E,0))&lt;&gt;0,INDEX(使用レシピ!P:P,MATCH(テンプレート!$C236,使用レシピ!$E:$E,0)),""),"")</f>
        <v/>
      </c>
      <c r="P236" s="25" t="str">
        <f t="shared" si="18"/>
        <v/>
      </c>
      <c r="Q236" s="26" t="str">
        <f t="shared" si="19"/>
        <v/>
      </c>
      <c r="R236" s="26" t="str">
        <f t="shared" si="20"/>
        <v/>
      </c>
      <c r="S236" s="26" t="str">
        <f t="shared" si="21"/>
        <v/>
      </c>
      <c r="T236" s="43" t="str">
        <f t="shared" si="21"/>
        <v/>
      </c>
    </row>
    <row r="237" spans="1:20" x14ac:dyDescent="0.4">
      <c r="A237">
        <v>111111211111</v>
      </c>
      <c r="B237" s="47" t="str" cm="1">
        <f t="array" ref="B237">IFERROR((INDEX($P$4:$T$1000,MATCH(VALUE(LEFT($A237,LEN($A237)-1)),$A$4:$A$1000,0),VALUE(RIGHT($A237,1)))/ INDEX($O$4:$O$1000,MATCH(VALUE(LEFT($A237,LEN($A237)-1)),$A$4:$A$1000))) * INDEX($B$4:$B$1000,MATCH(VALUE(LEFT($A237,LEN($A237)-1)),$A$4:$A$1000)),"")</f>
        <v/>
      </c>
      <c r="C237" s="38" t="str" cm="1">
        <f t="array" ref="C237">IFERROR(IF(INDEX($D$4:$H$1000,MATCH(VALUE(LEFT($A237,LEN($A237)-1)),$A$4:$A$1000,0),VALUE(RIGHT($A237,1)))= 0,"",INDEX($D$4:$H$1000,MATCH(VALUE(LEFT($A237,LEN($A237)-1)),$A$4:$A$1000,0),VALUE(RIGHT($A237,1)))),"")</f>
        <v/>
      </c>
      <c r="D237" s="23" t="str">
        <f>IFERROR(IF(INDEX(使用レシピ!F:F,MATCH(テンプレート!$C237,使用レシピ!$E:$E,0))&lt;&gt;0,INDEX(使用レシピ!F:F,MATCH(テンプレート!$C237,使用レシピ!$E:$E,0)),""),"")</f>
        <v/>
      </c>
      <c r="E237" t="str">
        <f>IFERROR(IF(INDEX(使用レシピ!G:G,MATCH(テンプレート!$C237,使用レシピ!$E:$E,0))&lt;&gt;0,INDEX(使用レシピ!G:G,MATCH(テンプレート!$C237,使用レシピ!$E:$E,0)),""),"")</f>
        <v/>
      </c>
      <c r="F237" t="str">
        <f>IFERROR(IF(INDEX(使用レシピ!H:H,MATCH(テンプレート!$C237,使用レシピ!$E:$E,0))&lt;&gt;0,INDEX(使用レシピ!H:H,MATCH(テンプレート!$C237,使用レシピ!$E:$E,0)),""),"")</f>
        <v/>
      </c>
      <c r="G237" t="str">
        <f>IFERROR(IF(INDEX(使用レシピ!I:I,MATCH(テンプレート!$C237,使用レシピ!$E:$E,0))&lt;&gt;0,INDEX(使用レシピ!I:I,MATCH(テンプレート!$C237,使用レシピ!$E:$E,0)),""),"")</f>
        <v/>
      </c>
      <c r="H237" s="24" t="str">
        <f>IFERROR(IF(INDEX(使用レシピ!J:J,MATCH(テンプレート!$C237,使用レシピ!$E:$E,0))&lt;&gt;0,INDEX(使用レシピ!J:J,MATCH(テンプレート!$C237,使用レシピ!$E:$E,0)),""),"")</f>
        <v/>
      </c>
      <c r="I237" s="36" t="str">
        <f>IFERROR(IF(INDEX(使用レシピ!P:P,MATCH(テンプレート!$C237,使用レシピ!$E:$E,0))&lt;&gt;0,INDEX(使用レシピ!P:P,MATCH(テンプレート!$C237,使用レシピ!$E:$E,0)),""),"")</f>
        <v/>
      </c>
      <c r="J237" t="str">
        <f>IFERROR(IF(INDEX(使用レシピ!K:K,MATCH(テンプレート!$C237,使用レシピ!$E:$E,0))&lt;&gt;0,INDEX(使用レシピ!K:K,MATCH(テンプレート!$C237,使用レシピ!$E:$E,0)),""),"")</f>
        <v/>
      </c>
      <c r="K237" t="str">
        <f>IFERROR(IF(INDEX(使用レシピ!L:L,MATCH(テンプレート!$C237,使用レシピ!$E:$E,0))&lt;&gt;0,INDEX(使用レシピ!L:L,MATCH(テンプレート!$C237,使用レシピ!$E:$E,0)),""),"")</f>
        <v/>
      </c>
      <c r="L237" t="str">
        <f>IFERROR(IF(INDEX(使用レシピ!M:M,MATCH(テンプレート!$C237,使用レシピ!$E:$E,0))&lt;&gt;0,INDEX(使用レシピ!M:M,MATCH(テンプレート!$C237,使用レシピ!$E:$E,0)),""),"")</f>
        <v/>
      </c>
      <c r="M237" t="str">
        <f>IFERROR(IF(INDEX(使用レシピ!N:N,MATCH(テンプレート!$C237,使用レシピ!$E:$E,0))&lt;&gt;0,INDEX(使用レシピ!N:N,MATCH(テンプレート!$C237,使用レシピ!$E:$E,0)),""),"")</f>
        <v/>
      </c>
      <c r="N237" s="24" t="str">
        <f>IFERROR(IF(INDEX(使用レシピ!O:O,MATCH(テンプレート!$C237,使用レシピ!$E:$E,0))&lt;&gt;0,INDEX(使用レシピ!O:O,MATCH(テンプレート!$C237,使用レシピ!$E:$E,0)),""),"")</f>
        <v/>
      </c>
      <c r="O237" s="42" t="str">
        <f>IFERROR(IF(INDEX(使用レシピ!P:P,MATCH(テンプレート!$C237,使用レシピ!$E:$E,0))&lt;&gt;0,INDEX(使用レシピ!P:P,MATCH(テンプレート!$C237,使用レシピ!$E:$E,0)),""),"")</f>
        <v/>
      </c>
      <c r="P237" s="25" t="str">
        <f t="shared" si="18"/>
        <v/>
      </c>
      <c r="Q237" s="26" t="str">
        <f t="shared" si="19"/>
        <v/>
      </c>
      <c r="R237" s="26" t="str">
        <f t="shared" si="20"/>
        <v/>
      </c>
      <c r="S237" s="26" t="str">
        <f t="shared" si="21"/>
        <v/>
      </c>
      <c r="T237" s="43" t="str">
        <f t="shared" si="21"/>
        <v/>
      </c>
    </row>
    <row r="238" spans="1:20" x14ac:dyDescent="0.4">
      <c r="A238">
        <v>111111211112</v>
      </c>
      <c r="B238" s="47" t="str" cm="1">
        <f t="array" ref="B238">IFERROR((INDEX($P$4:$T$1000,MATCH(VALUE(LEFT($A238,LEN($A238)-1)),$A$4:$A$1000,0),VALUE(RIGHT($A238,1)))/ INDEX($O$4:$O$1000,MATCH(VALUE(LEFT($A238,LEN($A238)-1)),$A$4:$A$1000))) * INDEX($B$4:$B$1000,MATCH(VALUE(LEFT($A238,LEN($A238)-1)),$A$4:$A$1000)),"")</f>
        <v/>
      </c>
      <c r="C238" s="38" t="str" cm="1">
        <f t="array" ref="C238">IFERROR(IF(INDEX($D$4:$H$1000,MATCH(VALUE(LEFT($A238,LEN($A238)-1)),$A$4:$A$1000,0),VALUE(RIGHT($A238,1)))= 0,"",INDEX($D$4:$H$1000,MATCH(VALUE(LEFT($A238,LEN($A238)-1)),$A$4:$A$1000,0),VALUE(RIGHT($A238,1)))),"")</f>
        <v/>
      </c>
      <c r="D238" s="23" t="str">
        <f>IFERROR(IF(INDEX(使用レシピ!F:F,MATCH(テンプレート!$C238,使用レシピ!$E:$E,0))&lt;&gt;0,INDEX(使用レシピ!F:F,MATCH(テンプレート!$C238,使用レシピ!$E:$E,0)),""),"")</f>
        <v/>
      </c>
      <c r="E238" t="str">
        <f>IFERROR(IF(INDEX(使用レシピ!G:G,MATCH(テンプレート!$C238,使用レシピ!$E:$E,0))&lt;&gt;0,INDEX(使用レシピ!G:G,MATCH(テンプレート!$C238,使用レシピ!$E:$E,0)),""),"")</f>
        <v/>
      </c>
      <c r="F238" t="str">
        <f>IFERROR(IF(INDEX(使用レシピ!H:H,MATCH(テンプレート!$C238,使用レシピ!$E:$E,0))&lt;&gt;0,INDEX(使用レシピ!H:H,MATCH(テンプレート!$C238,使用レシピ!$E:$E,0)),""),"")</f>
        <v/>
      </c>
      <c r="G238" t="str">
        <f>IFERROR(IF(INDEX(使用レシピ!I:I,MATCH(テンプレート!$C238,使用レシピ!$E:$E,0))&lt;&gt;0,INDEX(使用レシピ!I:I,MATCH(テンプレート!$C238,使用レシピ!$E:$E,0)),""),"")</f>
        <v/>
      </c>
      <c r="H238" s="24" t="str">
        <f>IFERROR(IF(INDEX(使用レシピ!J:J,MATCH(テンプレート!$C238,使用レシピ!$E:$E,0))&lt;&gt;0,INDEX(使用レシピ!J:J,MATCH(テンプレート!$C238,使用レシピ!$E:$E,0)),""),"")</f>
        <v/>
      </c>
      <c r="I238" s="36" t="str">
        <f>IFERROR(IF(INDEX(使用レシピ!P:P,MATCH(テンプレート!$C238,使用レシピ!$E:$E,0))&lt;&gt;0,INDEX(使用レシピ!P:P,MATCH(テンプレート!$C238,使用レシピ!$E:$E,0)),""),"")</f>
        <v/>
      </c>
      <c r="J238" t="str">
        <f>IFERROR(IF(INDEX(使用レシピ!K:K,MATCH(テンプレート!$C238,使用レシピ!$E:$E,0))&lt;&gt;0,INDEX(使用レシピ!K:K,MATCH(テンプレート!$C238,使用レシピ!$E:$E,0)),""),"")</f>
        <v/>
      </c>
      <c r="K238" t="str">
        <f>IFERROR(IF(INDEX(使用レシピ!L:L,MATCH(テンプレート!$C238,使用レシピ!$E:$E,0))&lt;&gt;0,INDEX(使用レシピ!L:L,MATCH(テンプレート!$C238,使用レシピ!$E:$E,0)),""),"")</f>
        <v/>
      </c>
      <c r="L238" t="str">
        <f>IFERROR(IF(INDEX(使用レシピ!M:M,MATCH(テンプレート!$C238,使用レシピ!$E:$E,0))&lt;&gt;0,INDEX(使用レシピ!M:M,MATCH(テンプレート!$C238,使用レシピ!$E:$E,0)),""),"")</f>
        <v/>
      </c>
      <c r="M238" t="str">
        <f>IFERROR(IF(INDEX(使用レシピ!N:N,MATCH(テンプレート!$C238,使用レシピ!$E:$E,0))&lt;&gt;0,INDEX(使用レシピ!N:N,MATCH(テンプレート!$C238,使用レシピ!$E:$E,0)),""),"")</f>
        <v/>
      </c>
      <c r="N238" s="24" t="str">
        <f>IFERROR(IF(INDEX(使用レシピ!O:O,MATCH(テンプレート!$C238,使用レシピ!$E:$E,0))&lt;&gt;0,INDEX(使用レシピ!O:O,MATCH(テンプレート!$C238,使用レシピ!$E:$E,0)),""),"")</f>
        <v/>
      </c>
      <c r="O238" s="42" t="str">
        <f>IFERROR(IF(INDEX(使用レシピ!P:P,MATCH(テンプレート!$C238,使用レシピ!$E:$E,0))&lt;&gt;0,INDEX(使用レシピ!P:P,MATCH(テンプレート!$C238,使用レシピ!$E:$E,0)),""),"")</f>
        <v/>
      </c>
      <c r="P238" s="25" t="str">
        <f t="shared" si="18"/>
        <v/>
      </c>
      <c r="Q238" s="26" t="str">
        <f t="shared" si="19"/>
        <v/>
      </c>
      <c r="R238" s="26" t="str">
        <f t="shared" si="20"/>
        <v/>
      </c>
      <c r="S238" s="26" t="str">
        <f t="shared" si="21"/>
        <v/>
      </c>
      <c r="T238" s="43" t="str">
        <f t="shared" si="21"/>
        <v/>
      </c>
    </row>
    <row r="239" spans="1:20" x14ac:dyDescent="0.4">
      <c r="B239" s="47" t="str" cm="1">
        <f t="array" ref="B239">IFERROR((INDEX($P$4:$T$1000,MATCH(VALUE(LEFT($A239,LEN($A239)-1)),$A$4:$A$1000,0),VALUE(RIGHT($A239,1)))/ INDEX($O$4:$O$1000,MATCH(VALUE(LEFT($A239,LEN($A239)-1)),$A$4:$A$1000))) * INDEX($B$4:$B$1000,MATCH(VALUE(LEFT($A239,LEN($A239)-1)),$A$4:$A$1000)),"")</f>
        <v/>
      </c>
      <c r="C239" s="38" t="str" cm="1">
        <f t="array" ref="C239">IFERROR(IF(INDEX($D$4:$H$1000,MATCH(VALUE(LEFT($A239,LEN($A239)-1)),$A$4:$A$1000,0),VALUE(RIGHT($A239,1)))= 0,"",INDEX($D$4:$H$1000,MATCH(VALUE(LEFT($A239,LEN($A239)-1)),$A$4:$A$1000,0),VALUE(RIGHT($A239,1)))),"")</f>
        <v/>
      </c>
      <c r="D239" s="23" t="str">
        <f>IFERROR(IF(INDEX(使用レシピ!F:F,MATCH(テンプレート!$C239,使用レシピ!$E:$E,0))&lt;&gt;0,INDEX(使用レシピ!F:F,MATCH(テンプレート!$C239,使用レシピ!$E:$E,0)),""),"")</f>
        <v/>
      </c>
      <c r="E239" t="str">
        <f>IFERROR(IF(INDEX(使用レシピ!G:G,MATCH(テンプレート!$C239,使用レシピ!$E:$E,0))&lt;&gt;0,INDEX(使用レシピ!G:G,MATCH(テンプレート!$C239,使用レシピ!$E:$E,0)),""),"")</f>
        <v/>
      </c>
      <c r="F239" t="str">
        <f>IFERROR(IF(INDEX(使用レシピ!H:H,MATCH(テンプレート!$C239,使用レシピ!$E:$E,0))&lt;&gt;0,INDEX(使用レシピ!H:H,MATCH(テンプレート!$C239,使用レシピ!$E:$E,0)),""),"")</f>
        <v/>
      </c>
      <c r="G239" t="str">
        <f>IFERROR(IF(INDEX(使用レシピ!I:I,MATCH(テンプレート!$C239,使用レシピ!$E:$E,0))&lt;&gt;0,INDEX(使用レシピ!I:I,MATCH(テンプレート!$C239,使用レシピ!$E:$E,0)),""),"")</f>
        <v/>
      </c>
      <c r="H239" s="24" t="str">
        <f>IFERROR(IF(INDEX(使用レシピ!J:J,MATCH(テンプレート!$C239,使用レシピ!$E:$E,0))&lt;&gt;0,INDEX(使用レシピ!J:J,MATCH(テンプレート!$C239,使用レシピ!$E:$E,0)),""),"")</f>
        <v/>
      </c>
      <c r="I239" s="36" t="str">
        <f>IFERROR(IF(INDEX(使用レシピ!P:P,MATCH(テンプレート!$C239,使用レシピ!$E:$E,0))&lt;&gt;0,INDEX(使用レシピ!P:P,MATCH(テンプレート!$C239,使用レシピ!$E:$E,0)),""),"")</f>
        <v/>
      </c>
      <c r="J239" t="str">
        <f>IFERROR(IF(INDEX(使用レシピ!K:K,MATCH(テンプレート!$C239,使用レシピ!$E:$E,0))&lt;&gt;0,INDEX(使用レシピ!K:K,MATCH(テンプレート!$C239,使用レシピ!$E:$E,0)),""),"")</f>
        <v/>
      </c>
      <c r="K239" t="str">
        <f>IFERROR(IF(INDEX(使用レシピ!L:L,MATCH(テンプレート!$C239,使用レシピ!$E:$E,0))&lt;&gt;0,INDEX(使用レシピ!L:L,MATCH(テンプレート!$C239,使用レシピ!$E:$E,0)),""),"")</f>
        <v/>
      </c>
      <c r="L239" t="str">
        <f>IFERROR(IF(INDEX(使用レシピ!M:M,MATCH(テンプレート!$C239,使用レシピ!$E:$E,0))&lt;&gt;0,INDEX(使用レシピ!M:M,MATCH(テンプレート!$C239,使用レシピ!$E:$E,0)),""),"")</f>
        <v/>
      </c>
      <c r="M239" t="str">
        <f>IFERROR(IF(INDEX(使用レシピ!N:N,MATCH(テンプレート!$C239,使用レシピ!$E:$E,0))&lt;&gt;0,INDEX(使用レシピ!N:N,MATCH(テンプレート!$C239,使用レシピ!$E:$E,0)),""),"")</f>
        <v/>
      </c>
      <c r="N239" s="24" t="str">
        <f>IFERROR(IF(INDEX(使用レシピ!O:O,MATCH(テンプレート!$C239,使用レシピ!$E:$E,0))&lt;&gt;0,INDEX(使用レシピ!O:O,MATCH(テンプレート!$C239,使用レシピ!$E:$E,0)),""),"")</f>
        <v/>
      </c>
      <c r="O239" s="42" t="str">
        <f>IFERROR(IF(INDEX(使用レシピ!P:P,MATCH(テンプレート!$C239,使用レシピ!$E:$E,0))&lt;&gt;0,INDEX(使用レシピ!P:P,MATCH(テンプレート!$C239,使用レシピ!$E:$E,0)),""),"")</f>
        <v/>
      </c>
      <c r="P239" s="25" t="str">
        <f t="shared" si="18"/>
        <v/>
      </c>
      <c r="Q239" s="26" t="str">
        <f t="shared" si="19"/>
        <v/>
      </c>
      <c r="R239" s="26" t="str">
        <f t="shared" si="20"/>
        <v/>
      </c>
      <c r="S239" s="26" t="str">
        <f t="shared" si="21"/>
        <v/>
      </c>
      <c r="T239" s="43" t="str">
        <f t="shared" si="21"/>
        <v/>
      </c>
    </row>
    <row r="240" spans="1:20" x14ac:dyDescent="0.4">
      <c r="B240" s="47" t="str" cm="1">
        <f t="array" ref="B240">IFERROR((INDEX($P$4:$T$1000,MATCH(VALUE(LEFT($A240,LEN($A240)-1)),$A$4:$A$1000,0),VALUE(RIGHT($A240,1)))/ INDEX($O$4:$O$1000,MATCH(VALUE(LEFT($A240,LEN($A240)-1)),$A$4:$A$1000))) * INDEX($B$4:$B$1000,MATCH(VALUE(LEFT($A240,LEN($A240)-1)),$A$4:$A$1000)),"")</f>
        <v/>
      </c>
      <c r="C240" s="38" t="str" cm="1">
        <f t="array" ref="C240">IFERROR(IF(INDEX($D$4:$H$1000,MATCH(VALUE(LEFT($A240,LEN($A240)-1)),$A$4:$A$1000,0),VALUE(RIGHT($A240,1)))= 0,"",INDEX($D$4:$H$1000,MATCH(VALUE(LEFT($A240,LEN($A240)-1)),$A$4:$A$1000,0),VALUE(RIGHT($A240,1)))),"")</f>
        <v/>
      </c>
      <c r="D240" s="23" t="str">
        <f>IFERROR(IF(INDEX(使用レシピ!F:F,MATCH(テンプレート!$C240,使用レシピ!$E:$E,0))&lt;&gt;0,INDEX(使用レシピ!F:F,MATCH(テンプレート!$C240,使用レシピ!$E:$E,0)),""),"")</f>
        <v/>
      </c>
      <c r="E240" t="str">
        <f>IFERROR(IF(INDEX(使用レシピ!G:G,MATCH(テンプレート!$C240,使用レシピ!$E:$E,0))&lt;&gt;0,INDEX(使用レシピ!G:G,MATCH(テンプレート!$C240,使用レシピ!$E:$E,0)),""),"")</f>
        <v/>
      </c>
      <c r="F240" t="str">
        <f>IFERROR(IF(INDEX(使用レシピ!H:H,MATCH(テンプレート!$C240,使用レシピ!$E:$E,0))&lt;&gt;0,INDEX(使用レシピ!H:H,MATCH(テンプレート!$C240,使用レシピ!$E:$E,0)),""),"")</f>
        <v/>
      </c>
      <c r="G240" t="str">
        <f>IFERROR(IF(INDEX(使用レシピ!I:I,MATCH(テンプレート!$C240,使用レシピ!$E:$E,0))&lt;&gt;0,INDEX(使用レシピ!I:I,MATCH(テンプレート!$C240,使用レシピ!$E:$E,0)),""),"")</f>
        <v/>
      </c>
      <c r="H240" s="24" t="str">
        <f>IFERROR(IF(INDEX(使用レシピ!J:J,MATCH(テンプレート!$C240,使用レシピ!$E:$E,0))&lt;&gt;0,INDEX(使用レシピ!J:J,MATCH(テンプレート!$C240,使用レシピ!$E:$E,0)),""),"")</f>
        <v/>
      </c>
      <c r="I240" s="36" t="str">
        <f>IFERROR(IF(INDEX(使用レシピ!P:P,MATCH(テンプレート!$C240,使用レシピ!$E:$E,0))&lt;&gt;0,INDEX(使用レシピ!P:P,MATCH(テンプレート!$C240,使用レシピ!$E:$E,0)),""),"")</f>
        <v/>
      </c>
      <c r="J240" t="str">
        <f>IFERROR(IF(INDEX(使用レシピ!K:K,MATCH(テンプレート!$C240,使用レシピ!$E:$E,0))&lt;&gt;0,INDEX(使用レシピ!K:K,MATCH(テンプレート!$C240,使用レシピ!$E:$E,0)),""),"")</f>
        <v/>
      </c>
      <c r="K240" t="str">
        <f>IFERROR(IF(INDEX(使用レシピ!L:L,MATCH(テンプレート!$C240,使用レシピ!$E:$E,0))&lt;&gt;0,INDEX(使用レシピ!L:L,MATCH(テンプレート!$C240,使用レシピ!$E:$E,0)),""),"")</f>
        <v/>
      </c>
      <c r="L240" t="str">
        <f>IFERROR(IF(INDEX(使用レシピ!M:M,MATCH(テンプレート!$C240,使用レシピ!$E:$E,0))&lt;&gt;0,INDEX(使用レシピ!M:M,MATCH(テンプレート!$C240,使用レシピ!$E:$E,0)),""),"")</f>
        <v/>
      </c>
      <c r="M240" t="str">
        <f>IFERROR(IF(INDEX(使用レシピ!N:N,MATCH(テンプレート!$C240,使用レシピ!$E:$E,0))&lt;&gt;0,INDEX(使用レシピ!N:N,MATCH(テンプレート!$C240,使用レシピ!$E:$E,0)),""),"")</f>
        <v/>
      </c>
      <c r="N240" s="24" t="str">
        <f>IFERROR(IF(INDEX(使用レシピ!O:O,MATCH(テンプレート!$C240,使用レシピ!$E:$E,0))&lt;&gt;0,INDEX(使用レシピ!O:O,MATCH(テンプレート!$C240,使用レシピ!$E:$E,0)),""),"")</f>
        <v/>
      </c>
      <c r="O240" s="42" t="str">
        <f>IFERROR(IF(INDEX(使用レシピ!P:P,MATCH(テンプレート!$C240,使用レシピ!$E:$E,0))&lt;&gt;0,INDEX(使用レシピ!P:P,MATCH(テンプレート!$C240,使用レシピ!$E:$E,0)),""),"")</f>
        <v/>
      </c>
      <c r="P240" s="25" t="str">
        <f t="shared" si="18"/>
        <v/>
      </c>
      <c r="Q240" s="26" t="str">
        <f t="shared" si="19"/>
        <v/>
      </c>
      <c r="R240" s="26" t="str">
        <f t="shared" si="20"/>
        <v/>
      </c>
      <c r="S240" s="26" t="str">
        <f t="shared" si="21"/>
        <v/>
      </c>
      <c r="T240" s="43" t="str">
        <f t="shared" si="21"/>
        <v/>
      </c>
    </row>
    <row r="241" spans="2:20" x14ac:dyDescent="0.4">
      <c r="B241" s="47" t="str" cm="1">
        <f t="array" ref="B241">IFERROR((INDEX($P$4:$T$1000,MATCH(VALUE(LEFT($A241,LEN($A241)-1)),$A$4:$A$1000,0),VALUE(RIGHT($A241,1)))/ INDEX($O$4:$O$1000,MATCH(VALUE(LEFT($A241,LEN($A241)-1)),$A$4:$A$1000))) * INDEX($B$4:$B$1000,MATCH(VALUE(LEFT($A241,LEN($A241)-1)),$A$4:$A$1000)),"")</f>
        <v/>
      </c>
      <c r="C241" s="38" t="str" cm="1">
        <f t="array" ref="C241">IFERROR(IF(INDEX($D$4:$H$1000,MATCH(VALUE(LEFT($A241,LEN($A241)-1)),$A$4:$A$1000,0),VALUE(RIGHT($A241,1)))= 0,"",INDEX($D$4:$H$1000,MATCH(VALUE(LEFT($A241,LEN($A241)-1)),$A$4:$A$1000,0),VALUE(RIGHT($A241,1)))),"")</f>
        <v/>
      </c>
      <c r="D241" s="23" t="str">
        <f>IFERROR(IF(INDEX(使用レシピ!F:F,MATCH(テンプレート!$C241,使用レシピ!$E:$E,0))&lt;&gt;0,INDEX(使用レシピ!F:F,MATCH(テンプレート!$C241,使用レシピ!$E:$E,0)),""),"")</f>
        <v/>
      </c>
      <c r="E241" t="str">
        <f>IFERROR(IF(INDEX(使用レシピ!G:G,MATCH(テンプレート!$C241,使用レシピ!$E:$E,0))&lt;&gt;0,INDEX(使用レシピ!G:G,MATCH(テンプレート!$C241,使用レシピ!$E:$E,0)),""),"")</f>
        <v/>
      </c>
      <c r="F241" t="str">
        <f>IFERROR(IF(INDEX(使用レシピ!H:H,MATCH(テンプレート!$C241,使用レシピ!$E:$E,0))&lt;&gt;0,INDEX(使用レシピ!H:H,MATCH(テンプレート!$C241,使用レシピ!$E:$E,0)),""),"")</f>
        <v/>
      </c>
      <c r="G241" t="str">
        <f>IFERROR(IF(INDEX(使用レシピ!I:I,MATCH(テンプレート!$C241,使用レシピ!$E:$E,0))&lt;&gt;0,INDEX(使用レシピ!I:I,MATCH(テンプレート!$C241,使用レシピ!$E:$E,0)),""),"")</f>
        <v/>
      </c>
      <c r="H241" s="24" t="str">
        <f>IFERROR(IF(INDEX(使用レシピ!J:J,MATCH(テンプレート!$C241,使用レシピ!$E:$E,0))&lt;&gt;0,INDEX(使用レシピ!J:J,MATCH(テンプレート!$C241,使用レシピ!$E:$E,0)),""),"")</f>
        <v/>
      </c>
      <c r="I241" s="36" t="str">
        <f>IFERROR(IF(INDEX(使用レシピ!P:P,MATCH(テンプレート!$C241,使用レシピ!$E:$E,0))&lt;&gt;0,INDEX(使用レシピ!P:P,MATCH(テンプレート!$C241,使用レシピ!$E:$E,0)),""),"")</f>
        <v/>
      </c>
      <c r="J241" t="str">
        <f>IFERROR(IF(INDEX(使用レシピ!K:K,MATCH(テンプレート!$C241,使用レシピ!$E:$E,0))&lt;&gt;0,INDEX(使用レシピ!K:K,MATCH(テンプレート!$C241,使用レシピ!$E:$E,0)),""),"")</f>
        <v/>
      </c>
      <c r="K241" t="str">
        <f>IFERROR(IF(INDEX(使用レシピ!L:L,MATCH(テンプレート!$C241,使用レシピ!$E:$E,0))&lt;&gt;0,INDEX(使用レシピ!L:L,MATCH(テンプレート!$C241,使用レシピ!$E:$E,0)),""),"")</f>
        <v/>
      </c>
      <c r="L241" t="str">
        <f>IFERROR(IF(INDEX(使用レシピ!M:M,MATCH(テンプレート!$C241,使用レシピ!$E:$E,0))&lt;&gt;0,INDEX(使用レシピ!M:M,MATCH(テンプレート!$C241,使用レシピ!$E:$E,0)),""),"")</f>
        <v/>
      </c>
      <c r="M241" t="str">
        <f>IFERROR(IF(INDEX(使用レシピ!N:N,MATCH(テンプレート!$C241,使用レシピ!$E:$E,0))&lt;&gt;0,INDEX(使用レシピ!N:N,MATCH(テンプレート!$C241,使用レシピ!$E:$E,0)),""),"")</f>
        <v/>
      </c>
      <c r="N241" s="24" t="str">
        <f>IFERROR(IF(INDEX(使用レシピ!O:O,MATCH(テンプレート!$C241,使用レシピ!$E:$E,0))&lt;&gt;0,INDEX(使用レシピ!O:O,MATCH(テンプレート!$C241,使用レシピ!$E:$E,0)),""),"")</f>
        <v/>
      </c>
      <c r="O241" s="42" t="str">
        <f>IFERROR(IF(INDEX(使用レシピ!P:P,MATCH(テンプレート!$C241,使用レシピ!$E:$E,0))&lt;&gt;0,INDEX(使用レシピ!P:P,MATCH(テンプレート!$C241,使用レシピ!$E:$E,0)),""),"")</f>
        <v/>
      </c>
      <c r="P241" s="25" t="str">
        <f t="shared" si="18"/>
        <v/>
      </c>
      <c r="Q241" s="26" t="str">
        <f t="shared" si="19"/>
        <v/>
      </c>
      <c r="R241" s="26" t="str">
        <f t="shared" si="20"/>
        <v/>
      </c>
      <c r="S241" s="26" t="str">
        <f t="shared" si="21"/>
        <v/>
      </c>
      <c r="T241" s="43" t="str">
        <f t="shared" si="21"/>
        <v/>
      </c>
    </row>
    <row r="242" spans="2:20" x14ac:dyDescent="0.4">
      <c r="B242" s="47" t="str" cm="1">
        <f t="array" ref="B242">IFERROR((INDEX($P$4:$T$1000,MATCH(VALUE(LEFT($A242,LEN($A242)-1)),$A$4:$A$1000,0),VALUE(RIGHT($A242,1)))/ INDEX($O$4:$O$1000,MATCH(VALUE(LEFT($A242,LEN($A242)-1)),$A$4:$A$1000))) * INDEX($B$4:$B$1000,MATCH(VALUE(LEFT($A242,LEN($A242)-1)),$A$4:$A$1000)),"")</f>
        <v/>
      </c>
      <c r="C242" s="38" t="str" cm="1">
        <f t="array" ref="C242">IFERROR(IF(INDEX($D$4:$H$1000,MATCH(VALUE(LEFT($A242,LEN($A242)-1)),$A$4:$A$1000,0),VALUE(RIGHT($A242,1)))= 0,"",INDEX($D$4:$H$1000,MATCH(VALUE(LEFT($A242,LEN($A242)-1)),$A$4:$A$1000,0),VALUE(RIGHT($A242,1)))),"")</f>
        <v/>
      </c>
      <c r="D242" s="23" t="str">
        <f>IFERROR(IF(INDEX(使用レシピ!F:F,MATCH(テンプレート!$C242,使用レシピ!$E:$E,0))&lt;&gt;0,INDEX(使用レシピ!F:F,MATCH(テンプレート!$C242,使用レシピ!$E:$E,0)),""),"")</f>
        <v/>
      </c>
      <c r="E242" t="str">
        <f>IFERROR(IF(INDEX(使用レシピ!G:G,MATCH(テンプレート!$C242,使用レシピ!$E:$E,0))&lt;&gt;0,INDEX(使用レシピ!G:G,MATCH(テンプレート!$C242,使用レシピ!$E:$E,0)),""),"")</f>
        <v/>
      </c>
      <c r="F242" t="str">
        <f>IFERROR(IF(INDEX(使用レシピ!H:H,MATCH(テンプレート!$C242,使用レシピ!$E:$E,0))&lt;&gt;0,INDEX(使用レシピ!H:H,MATCH(テンプレート!$C242,使用レシピ!$E:$E,0)),""),"")</f>
        <v/>
      </c>
      <c r="G242" t="str">
        <f>IFERROR(IF(INDEX(使用レシピ!I:I,MATCH(テンプレート!$C242,使用レシピ!$E:$E,0))&lt;&gt;0,INDEX(使用レシピ!I:I,MATCH(テンプレート!$C242,使用レシピ!$E:$E,0)),""),"")</f>
        <v/>
      </c>
      <c r="H242" s="24" t="str">
        <f>IFERROR(IF(INDEX(使用レシピ!J:J,MATCH(テンプレート!$C242,使用レシピ!$E:$E,0))&lt;&gt;0,INDEX(使用レシピ!J:J,MATCH(テンプレート!$C242,使用レシピ!$E:$E,0)),""),"")</f>
        <v/>
      </c>
      <c r="I242" s="36" t="str">
        <f>IFERROR(IF(INDEX(使用レシピ!P:P,MATCH(テンプレート!$C242,使用レシピ!$E:$E,0))&lt;&gt;0,INDEX(使用レシピ!P:P,MATCH(テンプレート!$C242,使用レシピ!$E:$E,0)),""),"")</f>
        <v/>
      </c>
      <c r="J242" t="str">
        <f>IFERROR(IF(INDEX(使用レシピ!K:K,MATCH(テンプレート!$C242,使用レシピ!$E:$E,0))&lt;&gt;0,INDEX(使用レシピ!K:K,MATCH(テンプレート!$C242,使用レシピ!$E:$E,0)),""),"")</f>
        <v/>
      </c>
      <c r="K242" t="str">
        <f>IFERROR(IF(INDEX(使用レシピ!L:L,MATCH(テンプレート!$C242,使用レシピ!$E:$E,0))&lt;&gt;0,INDEX(使用レシピ!L:L,MATCH(テンプレート!$C242,使用レシピ!$E:$E,0)),""),"")</f>
        <v/>
      </c>
      <c r="L242" t="str">
        <f>IFERROR(IF(INDEX(使用レシピ!M:M,MATCH(テンプレート!$C242,使用レシピ!$E:$E,0))&lt;&gt;0,INDEX(使用レシピ!M:M,MATCH(テンプレート!$C242,使用レシピ!$E:$E,0)),""),"")</f>
        <v/>
      </c>
      <c r="M242" t="str">
        <f>IFERROR(IF(INDEX(使用レシピ!N:N,MATCH(テンプレート!$C242,使用レシピ!$E:$E,0))&lt;&gt;0,INDEX(使用レシピ!N:N,MATCH(テンプレート!$C242,使用レシピ!$E:$E,0)),""),"")</f>
        <v/>
      </c>
      <c r="N242" s="24" t="str">
        <f>IFERROR(IF(INDEX(使用レシピ!O:O,MATCH(テンプレート!$C242,使用レシピ!$E:$E,0))&lt;&gt;0,INDEX(使用レシピ!O:O,MATCH(テンプレート!$C242,使用レシピ!$E:$E,0)),""),"")</f>
        <v/>
      </c>
      <c r="O242" s="42" t="str">
        <f>IFERROR(IF(INDEX(使用レシピ!P:P,MATCH(テンプレート!$C242,使用レシピ!$E:$E,0))&lt;&gt;0,INDEX(使用レシピ!P:P,MATCH(テンプレート!$C242,使用レシピ!$E:$E,0)),""),"")</f>
        <v/>
      </c>
      <c r="P242" s="25" t="str">
        <f t="shared" si="18"/>
        <v/>
      </c>
      <c r="Q242" s="26" t="str">
        <f t="shared" si="19"/>
        <v/>
      </c>
      <c r="R242" s="26" t="str">
        <f t="shared" si="20"/>
        <v/>
      </c>
      <c r="S242" s="26" t="str">
        <f t="shared" si="21"/>
        <v/>
      </c>
      <c r="T242" s="43" t="str">
        <f t="shared" si="21"/>
        <v/>
      </c>
    </row>
    <row r="243" spans="2:20" x14ac:dyDescent="0.4">
      <c r="B243" s="47" t="str" cm="1">
        <f t="array" ref="B243">IFERROR((INDEX($P$4:$T$1000,MATCH(VALUE(LEFT($A243,LEN($A243)-1)),$A$4:$A$1000,0),VALUE(RIGHT($A243,1)))/ INDEX($O$4:$O$1000,MATCH(VALUE(LEFT($A243,LEN($A243)-1)),$A$4:$A$1000))) * INDEX($B$4:$B$1000,MATCH(VALUE(LEFT($A243,LEN($A243)-1)),$A$4:$A$1000)),"")</f>
        <v/>
      </c>
      <c r="C243" s="38" t="str" cm="1">
        <f t="array" ref="C243">IFERROR(IF(INDEX($D$4:$H$1000,MATCH(VALUE(LEFT($A243,LEN($A243)-1)),$A$4:$A$1000,0),VALUE(RIGHT($A243,1)))= 0,"",INDEX($D$4:$H$1000,MATCH(VALUE(LEFT($A243,LEN($A243)-1)),$A$4:$A$1000,0),VALUE(RIGHT($A243,1)))),"")</f>
        <v/>
      </c>
      <c r="D243" s="23" t="str">
        <f>IFERROR(IF(INDEX(使用レシピ!F:F,MATCH(テンプレート!$C243,使用レシピ!$E:$E,0))&lt;&gt;0,INDEX(使用レシピ!F:F,MATCH(テンプレート!$C243,使用レシピ!$E:$E,0)),""),"")</f>
        <v/>
      </c>
      <c r="E243" t="str">
        <f>IFERROR(IF(INDEX(使用レシピ!G:G,MATCH(テンプレート!$C243,使用レシピ!$E:$E,0))&lt;&gt;0,INDEX(使用レシピ!G:G,MATCH(テンプレート!$C243,使用レシピ!$E:$E,0)),""),"")</f>
        <v/>
      </c>
      <c r="F243" t="str">
        <f>IFERROR(IF(INDEX(使用レシピ!H:H,MATCH(テンプレート!$C243,使用レシピ!$E:$E,0))&lt;&gt;0,INDEX(使用レシピ!H:H,MATCH(テンプレート!$C243,使用レシピ!$E:$E,0)),""),"")</f>
        <v/>
      </c>
      <c r="G243" t="str">
        <f>IFERROR(IF(INDEX(使用レシピ!I:I,MATCH(テンプレート!$C243,使用レシピ!$E:$E,0))&lt;&gt;0,INDEX(使用レシピ!I:I,MATCH(テンプレート!$C243,使用レシピ!$E:$E,0)),""),"")</f>
        <v/>
      </c>
      <c r="H243" s="24" t="str">
        <f>IFERROR(IF(INDEX(使用レシピ!J:J,MATCH(テンプレート!$C243,使用レシピ!$E:$E,0))&lt;&gt;0,INDEX(使用レシピ!J:J,MATCH(テンプレート!$C243,使用レシピ!$E:$E,0)),""),"")</f>
        <v/>
      </c>
      <c r="I243" s="36" t="str">
        <f>IFERROR(IF(INDEX(使用レシピ!P:P,MATCH(テンプレート!$C243,使用レシピ!$E:$E,0))&lt;&gt;0,INDEX(使用レシピ!P:P,MATCH(テンプレート!$C243,使用レシピ!$E:$E,0)),""),"")</f>
        <v/>
      </c>
      <c r="J243" t="str">
        <f>IFERROR(IF(INDEX(使用レシピ!K:K,MATCH(テンプレート!$C243,使用レシピ!$E:$E,0))&lt;&gt;0,INDEX(使用レシピ!K:K,MATCH(テンプレート!$C243,使用レシピ!$E:$E,0)),""),"")</f>
        <v/>
      </c>
      <c r="K243" t="str">
        <f>IFERROR(IF(INDEX(使用レシピ!L:L,MATCH(テンプレート!$C243,使用レシピ!$E:$E,0))&lt;&gt;0,INDEX(使用レシピ!L:L,MATCH(テンプレート!$C243,使用レシピ!$E:$E,0)),""),"")</f>
        <v/>
      </c>
      <c r="L243" t="str">
        <f>IFERROR(IF(INDEX(使用レシピ!M:M,MATCH(テンプレート!$C243,使用レシピ!$E:$E,0))&lt;&gt;0,INDEX(使用レシピ!M:M,MATCH(テンプレート!$C243,使用レシピ!$E:$E,0)),""),"")</f>
        <v/>
      </c>
      <c r="M243" t="str">
        <f>IFERROR(IF(INDEX(使用レシピ!N:N,MATCH(テンプレート!$C243,使用レシピ!$E:$E,0))&lt;&gt;0,INDEX(使用レシピ!N:N,MATCH(テンプレート!$C243,使用レシピ!$E:$E,0)),""),"")</f>
        <v/>
      </c>
      <c r="N243" s="24" t="str">
        <f>IFERROR(IF(INDEX(使用レシピ!O:O,MATCH(テンプレート!$C243,使用レシピ!$E:$E,0))&lt;&gt;0,INDEX(使用レシピ!O:O,MATCH(テンプレート!$C243,使用レシピ!$E:$E,0)),""),"")</f>
        <v/>
      </c>
      <c r="O243" s="42" t="str">
        <f>IFERROR(IF(INDEX(使用レシピ!P:P,MATCH(テンプレート!$C243,使用レシピ!$E:$E,0))&lt;&gt;0,INDEX(使用レシピ!P:P,MATCH(テンプレート!$C243,使用レシピ!$E:$E,0)),""),"")</f>
        <v/>
      </c>
      <c r="P243" s="25" t="str">
        <f t="shared" si="18"/>
        <v/>
      </c>
      <c r="Q243" s="26" t="str">
        <f t="shared" si="19"/>
        <v/>
      </c>
      <c r="R243" s="26" t="str">
        <f t="shared" si="20"/>
        <v/>
      </c>
      <c r="S243" s="26" t="str">
        <f t="shared" si="21"/>
        <v/>
      </c>
      <c r="T243" s="43" t="str">
        <f t="shared" si="21"/>
        <v/>
      </c>
    </row>
    <row r="244" spans="2:20" x14ac:dyDescent="0.4">
      <c r="B244" s="47" t="str" cm="1">
        <f t="array" ref="B244">IFERROR((INDEX($P$4:$T$1000,MATCH(VALUE(LEFT($A244,LEN($A244)-1)),$A$4:$A$1000,0),VALUE(RIGHT($A244,1)))/ INDEX($O$4:$O$1000,MATCH(VALUE(LEFT($A244,LEN($A244)-1)),$A$4:$A$1000))) * INDEX($B$4:$B$1000,MATCH(VALUE(LEFT($A244,LEN($A244)-1)),$A$4:$A$1000)),"")</f>
        <v/>
      </c>
      <c r="C244" s="38" t="str" cm="1">
        <f t="array" ref="C244">IFERROR(IF(INDEX($D$4:$H$1000,MATCH(VALUE(LEFT($A244,LEN($A244)-1)),$A$4:$A$1000,0),VALUE(RIGHT($A244,1)))= 0,"",INDEX($D$4:$H$1000,MATCH(VALUE(LEFT($A244,LEN($A244)-1)),$A$4:$A$1000,0),VALUE(RIGHT($A244,1)))),"")</f>
        <v/>
      </c>
      <c r="D244" s="23" t="str">
        <f>IFERROR(IF(INDEX(使用レシピ!F:F,MATCH(テンプレート!$C244,使用レシピ!$E:$E,0))&lt;&gt;0,INDEX(使用レシピ!F:F,MATCH(テンプレート!$C244,使用レシピ!$E:$E,0)),""),"")</f>
        <v/>
      </c>
      <c r="E244" t="str">
        <f>IFERROR(IF(INDEX(使用レシピ!G:G,MATCH(テンプレート!$C244,使用レシピ!$E:$E,0))&lt;&gt;0,INDEX(使用レシピ!G:G,MATCH(テンプレート!$C244,使用レシピ!$E:$E,0)),""),"")</f>
        <v/>
      </c>
      <c r="F244" t="str">
        <f>IFERROR(IF(INDEX(使用レシピ!H:H,MATCH(テンプレート!$C244,使用レシピ!$E:$E,0))&lt;&gt;0,INDEX(使用レシピ!H:H,MATCH(テンプレート!$C244,使用レシピ!$E:$E,0)),""),"")</f>
        <v/>
      </c>
      <c r="G244" t="str">
        <f>IFERROR(IF(INDEX(使用レシピ!I:I,MATCH(テンプレート!$C244,使用レシピ!$E:$E,0))&lt;&gt;0,INDEX(使用レシピ!I:I,MATCH(テンプレート!$C244,使用レシピ!$E:$E,0)),""),"")</f>
        <v/>
      </c>
      <c r="H244" s="24" t="str">
        <f>IFERROR(IF(INDEX(使用レシピ!J:J,MATCH(テンプレート!$C244,使用レシピ!$E:$E,0))&lt;&gt;0,INDEX(使用レシピ!J:J,MATCH(テンプレート!$C244,使用レシピ!$E:$E,0)),""),"")</f>
        <v/>
      </c>
      <c r="I244" s="36" t="str">
        <f>IFERROR(IF(INDEX(使用レシピ!P:P,MATCH(テンプレート!$C244,使用レシピ!$E:$E,0))&lt;&gt;0,INDEX(使用レシピ!P:P,MATCH(テンプレート!$C244,使用レシピ!$E:$E,0)),""),"")</f>
        <v/>
      </c>
      <c r="J244" t="str">
        <f>IFERROR(IF(INDEX(使用レシピ!K:K,MATCH(テンプレート!$C244,使用レシピ!$E:$E,0))&lt;&gt;0,INDEX(使用レシピ!K:K,MATCH(テンプレート!$C244,使用レシピ!$E:$E,0)),""),"")</f>
        <v/>
      </c>
      <c r="K244" t="str">
        <f>IFERROR(IF(INDEX(使用レシピ!L:L,MATCH(テンプレート!$C244,使用レシピ!$E:$E,0))&lt;&gt;0,INDEX(使用レシピ!L:L,MATCH(テンプレート!$C244,使用レシピ!$E:$E,0)),""),"")</f>
        <v/>
      </c>
      <c r="L244" t="str">
        <f>IFERROR(IF(INDEX(使用レシピ!M:M,MATCH(テンプレート!$C244,使用レシピ!$E:$E,0))&lt;&gt;0,INDEX(使用レシピ!M:M,MATCH(テンプレート!$C244,使用レシピ!$E:$E,0)),""),"")</f>
        <v/>
      </c>
      <c r="M244" t="str">
        <f>IFERROR(IF(INDEX(使用レシピ!N:N,MATCH(テンプレート!$C244,使用レシピ!$E:$E,0))&lt;&gt;0,INDEX(使用レシピ!N:N,MATCH(テンプレート!$C244,使用レシピ!$E:$E,0)),""),"")</f>
        <v/>
      </c>
      <c r="N244" s="24" t="str">
        <f>IFERROR(IF(INDEX(使用レシピ!O:O,MATCH(テンプレート!$C244,使用レシピ!$E:$E,0))&lt;&gt;0,INDEX(使用レシピ!O:O,MATCH(テンプレート!$C244,使用レシピ!$E:$E,0)),""),"")</f>
        <v/>
      </c>
      <c r="O244" s="42" t="str">
        <f>IFERROR(IF(INDEX(使用レシピ!P:P,MATCH(テンプレート!$C244,使用レシピ!$E:$E,0))&lt;&gt;0,INDEX(使用レシピ!P:P,MATCH(テンプレート!$C244,使用レシピ!$E:$E,0)),""),"")</f>
        <v/>
      </c>
      <c r="P244" s="25" t="str">
        <f t="shared" si="18"/>
        <v/>
      </c>
      <c r="Q244" s="26" t="str">
        <f t="shared" si="19"/>
        <v/>
      </c>
      <c r="R244" s="26" t="str">
        <f t="shared" si="20"/>
        <v/>
      </c>
      <c r="S244" s="26" t="str">
        <f t="shared" si="21"/>
        <v/>
      </c>
      <c r="T244" s="43" t="str">
        <f t="shared" si="21"/>
        <v/>
      </c>
    </row>
    <row r="245" spans="2:20" x14ac:dyDescent="0.4">
      <c r="B245" s="47" t="str" cm="1">
        <f t="array" ref="B245">IFERROR((INDEX($P$4:$T$1000,MATCH(VALUE(LEFT($A245,LEN($A245)-1)),$A$4:$A$1000,0),VALUE(RIGHT($A245,1)))/ INDEX($O$4:$O$1000,MATCH(VALUE(LEFT($A245,LEN($A245)-1)),$A$4:$A$1000))) * INDEX($B$4:$B$1000,MATCH(VALUE(LEFT($A245,LEN($A245)-1)),$A$4:$A$1000)),"")</f>
        <v/>
      </c>
      <c r="C245" s="38" t="str" cm="1">
        <f t="array" ref="C245">IFERROR(IF(INDEX($D$4:$H$1000,MATCH(VALUE(LEFT($A245,LEN($A245)-1)),$A$4:$A$1000,0),VALUE(RIGHT($A245,1)))= 0,"",INDEX($D$4:$H$1000,MATCH(VALUE(LEFT($A245,LEN($A245)-1)),$A$4:$A$1000,0),VALUE(RIGHT($A245,1)))),"")</f>
        <v/>
      </c>
      <c r="D245" s="23" t="str">
        <f>IFERROR(IF(INDEX(使用レシピ!F:F,MATCH(テンプレート!$C245,使用レシピ!$E:$E,0))&lt;&gt;0,INDEX(使用レシピ!F:F,MATCH(テンプレート!$C245,使用レシピ!$E:$E,0)),""),"")</f>
        <v/>
      </c>
      <c r="E245" t="str">
        <f>IFERROR(IF(INDEX(使用レシピ!G:G,MATCH(テンプレート!$C245,使用レシピ!$E:$E,0))&lt;&gt;0,INDEX(使用レシピ!G:G,MATCH(テンプレート!$C245,使用レシピ!$E:$E,0)),""),"")</f>
        <v/>
      </c>
      <c r="F245" t="str">
        <f>IFERROR(IF(INDEX(使用レシピ!H:H,MATCH(テンプレート!$C245,使用レシピ!$E:$E,0))&lt;&gt;0,INDEX(使用レシピ!H:H,MATCH(テンプレート!$C245,使用レシピ!$E:$E,0)),""),"")</f>
        <v/>
      </c>
      <c r="G245" t="str">
        <f>IFERROR(IF(INDEX(使用レシピ!I:I,MATCH(テンプレート!$C245,使用レシピ!$E:$E,0))&lt;&gt;0,INDEX(使用レシピ!I:I,MATCH(テンプレート!$C245,使用レシピ!$E:$E,0)),""),"")</f>
        <v/>
      </c>
      <c r="H245" s="24" t="str">
        <f>IFERROR(IF(INDEX(使用レシピ!J:J,MATCH(テンプレート!$C245,使用レシピ!$E:$E,0))&lt;&gt;0,INDEX(使用レシピ!J:J,MATCH(テンプレート!$C245,使用レシピ!$E:$E,0)),""),"")</f>
        <v/>
      </c>
      <c r="I245" s="36" t="str">
        <f>IFERROR(IF(INDEX(使用レシピ!P:P,MATCH(テンプレート!$C245,使用レシピ!$E:$E,0))&lt;&gt;0,INDEX(使用レシピ!P:P,MATCH(テンプレート!$C245,使用レシピ!$E:$E,0)),""),"")</f>
        <v/>
      </c>
      <c r="J245" t="str">
        <f>IFERROR(IF(INDEX(使用レシピ!K:K,MATCH(テンプレート!$C245,使用レシピ!$E:$E,0))&lt;&gt;0,INDEX(使用レシピ!K:K,MATCH(テンプレート!$C245,使用レシピ!$E:$E,0)),""),"")</f>
        <v/>
      </c>
      <c r="K245" t="str">
        <f>IFERROR(IF(INDEX(使用レシピ!L:L,MATCH(テンプレート!$C245,使用レシピ!$E:$E,0))&lt;&gt;0,INDEX(使用レシピ!L:L,MATCH(テンプレート!$C245,使用レシピ!$E:$E,0)),""),"")</f>
        <v/>
      </c>
      <c r="L245" t="str">
        <f>IFERROR(IF(INDEX(使用レシピ!M:M,MATCH(テンプレート!$C245,使用レシピ!$E:$E,0))&lt;&gt;0,INDEX(使用レシピ!M:M,MATCH(テンプレート!$C245,使用レシピ!$E:$E,0)),""),"")</f>
        <v/>
      </c>
      <c r="M245" t="str">
        <f>IFERROR(IF(INDEX(使用レシピ!N:N,MATCH(テンプレート!$C245,使用レシピ!$E:$E,0))&lt;&gt;0,INDEX(使用レシピ!N:N,MATCH(テンプレート!$C245,使用レシピ!$E:$E,0)),""),"")</f>
        <v/>
      </c>
      <c r="N245" s="24" t="str">
        <f>IFERROR(IF(INDEX(使用レシピ!O:O,MATCH(テンプレート!$C245,使用レシピ!$E:$E,0))&lt;&gt;0,INDEX(使用レシピ!O:O,MATCH(テンプレート!$C245,使用レシピ!$E:$E,0)),""),"")</f>
        <v/>
      </c>
      <c r="O245" s="42" t="str">
        <f>IFERROR(IF(INDEX(使用レシピ!P:P,MATCH(テンプレート!$C245,使用レシピ!$E:$E,0))&lt;&gt;0,INDEX(使用レシピ!P:P,MATCH(テンプレート!$C245,使用レシピ!$E:$E,0)),""),"")</f>
        <v/>
      </c>
      <c r="P245" s="25" t="str">
        <f t="shared" si="18"/>
        <v/>
      </c>
      <c r="Q245" s="26" t="str">
        <f t="shared" si="19"/>
        <v/>
      </c>
      <c r="R245" s="26" t="str">
        <f t="shared" si="20"/>
        <v/>
      </c>
      <c r="S245" s="26" t="str">
        <f t="shared" si="21"/>
        <v/>
      </c>
      <c r="T245" s="43" t="str">
        <f t="shared" si="21"/>
        <v/>
      </c>
    </row>
    <row r="246" spans="2:20" x14ac:dyDescent="0.4">
      <c r="B246" s="47" t="str" cm="1">
        <f t="array" ref="B246">IFERROR((INDEX($P$4:$T$1000,MATCH(VALUE(LEFT($A246,LEN($A246)-1)),$A$4:$A$1000,0),VALUE(RIGHT($A246,1)))/ INDEX($O$4:$O$1000,MATCH(VALUE(LEFT($A246,LEN($A246)-1)),$A$4:$A$1000))) * INDEX($B$4:$B$1000,MATCH(VALUE(LEFT($A246,LEN($A246)-1)),$A$4:$A$1000)),"")</f>
        <v/>
      </c>
      <c r="C246" s="38" t="str" cm="1">
        <f t="array" ref="C246">IFERROR(IF(INDEX($D$4:$H$1000,MATCH(VALUE(LEFT($A246,LEN($A246)-1)),$A$4:$A$1000,0),VALUE(RIGHT($A246,1)))= 0,"",INDEX($D$4:$H$1000,MATCH(VALUE(LEFT($A246,LEN($A246)-1)),$A$4:$A$1000,0),VALUE(RIGHT($A246,1)))),"")</f>
        <v/>
      </c>
      <c r="D246" s="23" t="str">
        <f>IFERROR(IF(INDEX(使用レシピ!F:F,MATCH(テンプレート!$C246,使用レシピ!$E:$E,0))&lt;&gt;0,INDEX(使用レシピ!F:F,MATCH(テンプレート!$C246,使用レシピ!$E:$E,0)),""),"")</f>
        <v/>
      </c>
      <c r="E246" t="str">
        <f>IFERROR(IF(INDEX(使用レシピ!G:G,MATCH(テンプレート!$C246,使用レシピ!$E:$E,0))&lt;&gt;0,INDEX(使用レシピ!G:G,MATCH(テンプレート!$C246,使用レシピ!$E:$E,0)),""),"")</f>
        <v/>
      </c>
      <c r="F246" t="str">
        <f>IFERROR(IF(INDEX(使用レシピ!H:H,MATCH(テンプレート!$C246,使用レシピ!$E:$E,0))&lt;&gt;0,INDEX(使用レシピ!H:H,MATCH(テンプレート!$C246,使用レシピ!$E:$E,0)),""),"")</f>
        <v/>
      </c>
      <c r="G246" t="str">
        <f>IFERROR(IF(INDEX(使用レシピ!I:I,MATCH(テンプレート!$C246,使用レシピ!$E:$E,0))&lt;&gt;0,INDEX(使用レシピ!I:I,MATCH(テンプレート!$C246,使用レシピ!$E:$E,0)),""),"")</f>
        <v/>
      </c>
      <c r="H246" s="24" t="str">
        <f>IFERROR(IF(INDEX(使用レシピ!J:J,MATCH(テンプレート!$C246,使用レシピ!$E:$E,0))&lt;&gt;0,INDEX(使用レシピ!J:J,MATCH(テンプレート!$C246,使用レシピ!$E:$E,0)),""),"")</f>
        <v/>
      </c>
      <c r="I246" s="36" t="str">
        <f>IFERROR(IF(INDEX(使用レシピ!P:P,MATCH(テンプレート!$C246,使用レシピ!$E:$E,0))&lt;&gt;0,INDEX(使用レシピ!P:P,MATCH(テンプレート!$C246,使用レシピ!$E:$E,0)),""),"")</f>
        <v/>
      </c>
      <c r="J246" t="str">
        <f>IFERROR(IF(INDEX(使用レシピ!K:K,MATCH(テンプレート!$C246,使用レシピ!$E:$E,0))&lt;&gt;0,INDEX(使用レシピ!K:K,MATCH(テンプレート!$C246,使用レシピ!$E:$E,0)),""),"")</f>
        <v/>
      </c>
      <c r="K246" t="str">
        <f>IFERROR(IF(INDEX(使用レシピ!L:L,MATCH(テンプレート!$C246,使用レシピ!$E:$E,0))&lt;&gt;0,INDEX(使用レシピ!L:L,MATCH(テンプレート!$C246,使用レシピ!$E:$E,0)),""),"")</f>
        <v/>
      </c>
      <c r="L246" t="str">
        <f>IFERROR(IF(INDEX(使用レシピ!M:M,MATCH(テンプレート!$C246,使用レシピ!$E:$E,0))&lt;&gt;0,INDEX(使用レシピ!M:M,MATCH(テンプレート!$C246,使用レシピ!$E:$E,0)),""),"")</f>
        <v/>
      </c>
      <c r="M246" t="str">
        <f>IFERROR(IF(INDEX(使用レシピ!N:N,MATCH(テンプレート!$C246,使用レシピ!$E:$E,0))&lt;&gt;0,INDEX(使用レシピ!N:N,MATCH(テンプレート!$C246,使用レシピ!$E:$E,0)),""),"")</f>
        <v/>
      </c>
      <c r="N246" s="24" t="str">
        <f>IFERROR(IF(INDEX(使用レシピ!O:O,MATCH(テンプレート!$C246,使用レシピ!$E:$E,0))&lt;&gt;0,INDEX(使用レシピ!O:O,MATCH(テンプレート!$C246,使用レシピ!$E:$E,0)),""),"")</f>
        <v/>
      </c>
      <c r="O246" s="42" t="str">
        <f>IFERROR(IF(INDEX(使用レシピ!P:P,MATCH(テンプレート!$C246,使用レシピ!$E:$E,0))&lt;&gt;0,INDEX(使用レシピ!P:P,MATCH(テンプレート!$C246,使用レシピ!$E:$E,0)),""),"")</f>
        <v/>
      </c>
      <c r="P246" s="25" t="str">
        <f t="shared" si="18"/>
        <v/>
      </c>
      <c r="Q246" s="26" t="str">
        <f t="shared" si="19"/>
        <v/>
      </c>
      <c r="R246" s="26" t="str">
        <f t="shared" si="20"/>
        <v/>
      </c>
      <c r="S246" s="26" t="str">
        <f t="shared" si="21"/>
        <v/>
      </c>
      <c r="T246" s="43" t="str">
        <f t="shared" si="21"/>
        <v/>
      </c>
    </row>
    <row r="247" spans="2:20" x14ac:dyDescent="0.4">
      <c r="B247" s="47" t="str" cm="1">
        <f t="array" ref="B247">IFERROR((INDEX($P$4:$T$1000,MATCH(VALUE(LEFT($A247,LEN($A247)-1)),$A$4:$A$1000,0),VALUE(RIGHT($A247,1)))/ INDEX($O$4:$O$1000,MATCH(VALUE(LEFT($A247,LEN($A247)-1)),$A$4:$A$1000))) * INDEX($B$4:$B$1000,MATCH(VALUE(LEFT($A247,LEN($A247)-1)),$A$4:$A$1000)),"")</f>
        <v/>
      </c>
      <c r="C247" s="38" t="str" cm="1">
        <f t="array" ref="C247">IFERROR(IF(INDEX($D$4:$H$1000,MATCH(VALUE(LEFT($A247,LEN($A247)-1)),$A$4:$A$1000,0),VALUE(RIGHT($A247,1)))= 0,"",INDEX($D$4:$H$1000,MATCH(VALUE(LEFT($A247,LEN($A247)-1)),$A$4:$A$1000,0),VALUE(RIGHT($A247,1)))),"")</f>
        <v/>
      </c>
      <c r="D247" s="23" t="str">
        <f>IFERROR(IF(INDEX(使用レシピ!F:F,MATCH(テンプレート!$C247,使用レシピ!$E:$E,0))&lt;&gt;0,INDEX(使用レシピ!F:F,MATCH(テンプレート!$C247,使用レシピ!$E:$E,0)),""),"")</f>
        <v/>
      </c>
      <c r="E247" t="str">
        <f>IFERROR(IF(INDEX(使用レシピ!G:G,MATCH(テンプレート!$C247,使用レシピ!$E:$E,0))&lt;&gt;0,INDEX(使用レシピ!G:G,MATCH(テンプレート!$C247,使用レシピ!$E:$E,0)),""),"")</f>
        <v/>
      </c>
      <c r="F247" t="str">
        <f>IFERROR(IF(INDEX(使用レシピ!H:H,MATCH(テンプレート!$C247,使用レシピ!$E:$E,0))&lt;&gt;0,INDEX(使用レシピ!H:H,MATCH(テンプレート!$C247,使用レシピ!$E:$E,0)),""),"")</f>
        <v/>
      </c>
      <c r="G247" t="str">
        <f>IFERROR(IF(INDEX(使用レシピ!I:I,MATCH(テンプレート!$C247,使用レシピ!$E:$E,0))&lt;&gt;0,INDEX(使用レシピ!I:I,MATCH(テンプレート!$C247,使用レシピ!$E:$E,0)),""),"")</f>
        <v/>
      </c>
      <c r="H247" s="24" t="str">
        <f>IFERROR(IF(INDEX(使用レシピ!J:J,MATCH(テンプレート!$C247,使用レシピ!$E:$E,0))&lt;&gt;0,INDEX(使用レシピ!J:J,MATCH(テンプレート!$C247,使用レシピ!$E:$E,0)),""),"")</f>
        <v/>
      </c>
      <c r="I247" s="36" t="str">
        <f>IFERROR(IF(INDEX(使用レシピ!P:P,MATCH(テンプレート!$C247,使用レシピ!$E:$E,0))&lt;&gt;0,INDEX(使用レシピ!P:P,MATCH(テンプレート!$C247,使用レシピ!$E:$E,0)),""),"")</f>
        <v/>
      </c>
      <c r="J247" t="str">
        <f>IFERROR(IF(INDEX(使用レシピ!K:K,MATCH(テンプレート!$C247,使用レシピ!$E:$E,0))&lt;&gt;0,INDEX(使用レシピ!K:K,MATCH(テンプレート!$C247,使用レシピ!$E:$E,0)),""),"")</f>
        <v/>
      </c>
      <c r="K247" t="str">
        <f>IFERROR(IF(INDEX(使用レシピ!L:L,MATCH(テンプレート!$C247,使用レシピ!$E:$E,0))&lt;&gt;0,INDEX(使用レシピ!L:L,MATCH(テンプレート!$C247,使用レシピ!$E:$E,0)),""),"")</f>
        <v/>
      </c>
      <c r="L247" t="str">
        <f>IFERROR(IF(INDEX(使用レシピ!M:M,MATCH(テンプレート!$C247,使用レシピ!$E:$E,0))&lt;&gt;0,INDEX(使用レシピ!M:M,MATCH(テンプレート!$C247,使用レシピ!$E:$E,0)),""),"")</f>
        <v/>
      </c>
      <c r="M247" t="str">
        <f>IFERROR(IF(INDEX(使用レシピ!N:N,MATCH(テンプレート!$C247,使用レシピ!$E:$E,0))&lt;&gt;0,INDEX(使用レシピ!N:N,MATCH(テンプレート!$C247,使用レシピ!$E:$E,0)),""),"")</f>
        <v/>
      </c>
      <c r="N247" s="24" t="str">
        <f>IFERROR(IF(INDEX(使用レシピ!O:O,MATCH(テンプレート!$C247,使用レシピ!$E:$E,0))&lt;&gt;0,INDEX(使用レシピ!O:O,MATCH(テンプレート!$C247,使用レシピ!$E:$E,0)),""),"")</f>
        <v/>
      </c>
      <c r="O247" s="42" t="str">
        <f>IFERROR(IF(INDEX(使用レシピ!P:P,MATCH(テンプレート!$C247,使用レシピ!$E:$E,0))&lt;&gt;0,INDEX(使用レシピ!P:P,MATCH(テンプレート!$C247,使用レシピ!$E:$E,0)),""),"")</f>
        <v/>
      </c>
      <c r="P247" s="25" t="str">
        <f t="shared" si="18"/>
        <v/>
      </c>
      <c r="Q247" s="26" t="str">
        <f t="shared" si="19"/>
        <v/>
      </c>
      <c r="R247" s="26" t="str">
        <f t="shared" si="20"/>
        <v/>
      </c>
      <c r="S247" s="26" t="str">
        <f t="shared" si="21"/>
        <v/>
      </c>
      <c r="T247" s="43" t="str">
        <f t="shared" si="21"/>
        <v/>
      </c>
    </row>
    <row r="248" spans="2:20" x14ac:dyDescent="0.4">
      <c r="B248" s="47" t="str" cm="1">
        <f t="array" ref="B248">IFERROR((INDEX($P$4:$T$1000,MATCH(VALUE(LEFT($A248,LEN($A248)-1)),$A$4:$A$1000,0),VALUE(RIGHT($A248,1)))/ INDEX($O$4:$O$1000,MATCH(VALUE(LEFT($A248,LEN($A248)-1)),$A$4:$A$1000))) * INDEX($B$4:$B$1000,MATCH(VALUE(LEFT($A248,LEN($A248)-1)),$A$4:$A$1000)),"")</f>
        <v/>
      </c>
      <c r="C248" s="38" t="str" cm="1">
        <f t="array" ref="C248">IFERROR(IF(INDEX($D$4:$H$1000,MATCH(VALUE(LEFT($A248,LEN($A248)-1)),$A$4:$A$1000,0),VALUE(RIGHT($A248,1)))= 0,"",INDEX($D$4:$H$1000,MATCH(VALUE(LEFT($A248,LEN($A248)-1)),$A$4:$A$1000,0),VALUE(RIGHT($A248,1)))),"")</f>
        <v/>
      </c>
      <c r="D248" s="23" t="str">
        <f>IFERROR(IF(INDEX(使用レシピ!F:F,MATCH(テンプレート!$C248,使用レシピ!$E:$E,0))&lt;&gt;0,INDEX(使用レシピ!F:F,MATCH(テンプレート!$C248,使用レシピ!$E:$E,0)),""),"")</f>
        <v/>
      </c>
      <c r="E248" t="str">
        <f>IFERROR(IF(INDEX(使用レシピ!G:G,MATCH(テンプレート!$C248,使用レシピ!$E:$E,0))&lt;&gt;0,INDEX(使用レシピ!G:G,MATCH(テンプレート!$C248,使用レシピ!$E:$E,0)),""),"")</f>
        <v/>
      </c>
      <c r="F248" t="str">
        <f>IFERROR(IF(INDEX(使用レシピ!H:H,MATCH(テンプレート!$C248,使用レシピ!$E:$E,0))&lt;&gt;0,INDEX(使用レシピ!H:H,MATCH(テンプレート!$C248,使用レシピ!$E:$E,0)),""),"")</f>
        <v/>
      </c>
      <c r="G248" t="str">
        <f>IFERROR(IF(INDEX(使用レシピ!I:I,MATCH(テンプレート!$C248,使用レシピ!$E:$E,0))&lt;&gt;0,INDEX(使用レシピ!I:I,MATCH(テンプレート!$C248,使用レシピ!$E:$E,0)),""),"")</f>
        <v/>
      </c>
      <c r="H248" s="24" t="str">
        <f>IFERROR(IF(INDEX(使用レシピ!J:J,MATCH(テンプレート!$C248,使用レシピ!$E:$E,0))&lt;&gt;0,INDEX(使用レシピ!J:J,MATCH(テンプレート!$C248,使用レシピ!$E:$E,0)),""),"")</f>
        <v/>
      </c>
      <c r="I248" s="36" t="str">
        <f>IFERROR(IF(INDEX(使用レシピ!P:P,MATCH(テンプレート!$C248,使用レシピ!$E:$E,0))&lt;&gt;0,INDEX(使用レシピ!P:P,MATCH(テンプレート!$C248,使用レシピ!$E:$E,0)),""),"")</f>
        <v/>
      </c>
      <c r="J248" t="str">
        <f>IFERROR(IF(INDEX(使用レシピ!K:K,MATCH(テンプレート!$C248,使用レシピ!$E:$E,0))&lt;&gt;0,INDEX(使用レシピ!K:K,MATCH(テンプレート!$C248,使用レシピ!$E:$E,0)),""),"")</f>
        <v/>
      </c>
      <c r="K248" t="str">
        <f>IFERROR(IF(INDEX(使用レシピ!L:L,MATCH(テンプレート!$C248,使用レシピ!$E:$E,0))&lt;&gt;0,INDEX(使用レシピ!L:L,MATCH(テンプレート!$C248,使用レシピ!$E:$E,0)),""),"")</f>
        <v/>
      </c>
      <c r="L248" t="str">
        <f>IFERROR(IF(INDEX(使用レシピ!M:M,MATCH(テンプレート!$C248,使用レシピ!$E:$E,0))&lt;&gt;0,INDEX(使用レシピ!M:M,MATCH(テンプレート!$C248,使用レシピ!$E:$E,0)),""),"")</f>
        <v/>
      </c>
      <c r="M248" t="str">
        <f>IFERROR(IF(INDEX(使用レシピ!N:N,MATCH(テンプレート!$C248,使用レシピ!$E:$E,0))&lt;&gt;0,INDEX(使用レシピ!N:N,MATCH(テンプレート!$C248,使用レシピ!$E:$E,0)),""),"")</f>
        <v/>
      </c>
      <c r="N248" s="24" t="str">
        <f>IFERROR(IF(INDEX(使用レシピ!O:O,MATCH(テンプレート!$C248,使用レシピ!$E:$E,0))&lt;&gt;0,INDEX(使用レシピ!O:O,MATCH(テンプレート!$C248,使用レシピ!$E:$E,0)),""),"")</f>
        <v/>
      </c>
      <c r="O248" s="42" t="str">
        <f>IFERROR(IF(INDEX(使用レシピ!P:P,MATCH(テンプレート!$C248,使用レシピ!$E:$E,0))&lt;&gt;0,INDEX(使用レシピ!P:P,MATCH(テンプレート!$C248,使用レシピ!$E:$E,0)),""),"")</f>
        <v/>
      </c>
      <c r="P248" s="25" t="str">
        <f t="shared" si="18"/>
        <v/>
      </c>
      <c r="Q248" s="26" t="str">
        <f t="shared" si="19"/>
        <v/>
      </c>
      <c r="R248" s="26" t="str">
        <f t="shared" si="20"/>
        <v/>
      </c>
      <c r="S248" s="26" t="str">
        <f t="shared" si="21"/>
        <v/>
      </c>
      <c r="T248" s="43" t="str">
        <f t="shared" si="21"/>
        <v/>
      </c>
    </row>
    <row r="249" spans="2:20" x14ac:dyDescent="0.4">
      <c r="B249" s="47" t="str" cm="1">
        <f t="array" ref="B249">IFERROR((INDEX($P$4:$T$1000,MATCH(VALUE(LEFT($A249,LEN($A249)-1)),$A$4:$A$1000,0),VALUE(RIGHT($A249,1)))/ INDEX($O$4:$O$1000,MATCH(VALUE(LEFT($A249,LEN($A249)-1)),$A$4:$A$1000))) * INDEX($B$4:$B$1000,MATCH(VALUE(LEFT($A249,LEN($A249)-1)),$A$4:$A$1000)),"")</f>
        <v/>
      </c>
      <c r="C249" s="38" t="str" cm="1">
        <f t="array" ref="C249">IFERROR(IF(INDEX($D$4:$H$1000,MATCH(VALUE(LEFT($A249,LEN($A249)-1)),$A$4:$A$1000,0),VALUE(RIGHT($A249,1)))= 0,"",INDEX($D$4:$H$1000,MATCH(VALUE(LEFT($A249,LEN($A249)-1)),$A$4:$A$1000,0),VALUE(RIGHT($A249,1)))),"")</f>
        <v/>
      </c>
      <c r="D249" s="23" t="str">
        <f>IFERROR(IF(INDEX(使用レシピ!F:F,MATCH(テンプレート!$C249,使用レシピ!$E:$E,0))&lt;&gt;0,INDEX(使用レシピ!F:F,MATCH(テンプレート!$C249,使用レシピ!$E:$E,0)),""),"")</f>
        <v/>
      </c>
      <c r="E249" t="str">
        <f>IFERROR(IF(INDEX(使用レシピ!G:G,MATCH(テンプレート!$C249,使用レシピ!$E:$E,0))&lt;&gt;0,INDEX(使用レシピ!G:G,MATCH(テンプレート!$C249,使用レシピ!$E:$E,0)),""),"")</f>
        <v/>
      </c>
      <c r="F249" t="str">
        <f>IFERROR(IF(INDEX(使用レシピ!H:H,MATCH(テンプレート!$C249,使用レシピ!$E:$E,0))&lt;&gt;0,INDEX(使用レシピ!H:H,MATCH(テンプレート!$C249,使用レシピ!$E:$E,0)),""),"")</f>
        <v/>
      </c>
      <c r="G249" t="str">
        <f>IFERROR(IF(INDEX(使用レシピ!I:I,MATCH(テンプレート!$C249,使用レシピ!$E:$E,0))&lt;&gt;0,INDEX(使用レシピ!I:I,MATCH(テンプレート!$C249,使用レシピ!$E:$E,0)),""),"")</f>
        <v/>
      </c>
      <c r="H249" s="24" t="str">
        <f>IFERROR(IF(INDEX(使用レシピ!J:J,MATCH(テンプレート!$C249,使用レシピ!$E:$E,0))&lt;&gt;0,INDEX(使用レシピ!J:J,MATCH(テンプレート!$C249,使用レシピ!$E:$E,0)),""),"")</f>
        <v/>
      </c>
      <c r="I249" s="36" t="str">
        <f>IFERROR(IF(INDEX(使用レシピ!P:P,MATCH(テンプレート!$C249,使用レシピ!$E:$E,0))&lt;&gt;0,INDEX(使用レシピ!P:P,MATCH(テンプレート!$C249,使用レシピ!$E:$E,0)),""),"")</f>
        <v/>
      </c>
      <c r="J249" t="str">
        <f>IFERROR(IF(INDEX(使用レシピ!K:K,MATCH(テンプレート!$C249,使用レシピ!$E:$E,0))&lt;&gt;0,INDEX(使用レシピ!K:K,MATCH(テンプレート!$C249,使用レシピ!$E:$E,0)),""),"")</f>
        <v/>
      </c>
      <c r="K249" t="str">
        <f>IFERROR(IF(INDEX(使用レシピ!L:L,MATCH(テンプレート!$C249,使用レシピ!$E:$E,0))&lt;&gt;0,INDEX(使用レシピ!L:L,MATCH(テンプレート!$C249,使用レシピ!$E:$E,0)),""),"")</f>
        <v/>
      </c>
      <c r="L249" t="str">
        <f>IFERROR(IF(INDEX(使用レシピ!M:M,MATCH(テンプレート!$C249,使用レシピ!$E:$E,0))&lt;&gt;0,INDEX(使用レシピ!M:M,MATCH(テンプレート!$C249,使用レシピ!$E:$E,0)),""),"")</f>
        <v/>
      </c>
      <c r="M249" t="str">
        <f>IFERROR(IF(INDEX(使用レシピ!N:N,MATCH(テンプレート!$C249,使用レシピ!$E:$E,0))&lt;&gt;0,INDEX(使用レシピ!N:N,MATCH(テンプレート!$C249,使用レシピ!$E:$E,0)),""),"")</f>
        <v/>
      </c>
      <c r="N249" s="24" t="str">
        <f>IFERROR(IF(INDEX(使用レシピ!O:O,MATCH(テンプレート!$C249,使用レシピ!$E:$E,0))&lt;&gt;0,INDEX(使用レシピ!O:O,MATCH(テンプレート!$C249,使用レシピ!$E:$E,0)),""),"")</f>
        <v/>
      </c>
      <c r="O249" s="42" t="str">
        <f>IFERROR(IF(INDEX(使用レシピ!P:P,MATCH(テンプレート!$C249,使用レシピ!$E:$E,0))&lt;&gt;0,INDEX(使用レシピ!P:P,MATCH(テンプレート!$C249,使用レシピ!$E:$E,0)),""),"")</f>
        <v/>
      </c>
      <c r="P249" s="25" t="str">
        <f t="shared" si="18"/>
        <v/>
      </c>
      <c r="Q249" s="26" t="str">
        <f t="shared" si="19"/>
        <v/>
      </c>
      <c r="R249" s="26" t="str">
        <f t="shared" si="20"/>
        <v/>
      </c>
      <c r="S249" s="26" t="str">
        <f t="shared" si="21"/>
        <v/>
      </c>
      <c r="T249" s="43" t="str">
        <f t="shared" si="21"/>
        <v/>
      </c>
    </row>
    <row r="250" spans="2:20" x14ac:dyDescent="0.4">
      <c r="B250" s="47" t="str" cm="1">
        <f t="array" ref="B250">IFERROR((INDEX($P$4:$T$1000,MATCH(VALUE(LEFT($A250,LEN($A250)-1)),$A$4:$A$1000,0),VALUE(RIGHT($A250,1)))/ INDEX($O$4:$O$1000,MATCH(VALUE(LEFT($A250,LEN($A250)-1)),$A$4:$A$1000))) * INDEX($B$4:$B$1000,MATCH(VALUE(LEFT($A250,LEN($A250)-1)),$A$4:$A$1000)),"")</f>
        <v/>
      </c>
      <c r="C250" s="38" t="str" cm="1">
        <f t="array" ref="C250">IFERROR(IF(INDEX($D$4:$H$1000,MATCH(VALUE(LEFT($A250,LEN($A250)-1)),$A$4:$A$1000,0),VALUE(RIGHT($A250,1)))= 0,"",INDEX($D$4:$H$1000,MATCH(VALUE(LEFT($A250,LEN($A250)-1)),$A$4:$A$1000,0),VALUE(RIGHT($A250,1)))),"")</f>
        <v/>
      </c>
      <c r="D250" s="23" t="str">
        <f>IFERROR(IF(INDEX(使用レシピ!F:F,MATCH(テンプレート!$C250,使用レシピ!$E:$E,0))&lt;&gt;0,INDEX(使用レシピ!F:F,MATCH(テンプレート!$C250,使用レシピ!$E:$E,0)),""),"")</f>
        <v/>
      </c>
      <c r="E250" t="str">
        <f>IFERROR(IF(INDEX(使用レシピ!G:G,MATCH(テンプレート!$C250,使用レシピ!$E:$E,0))&lt;&gt;0,INDEX(使用レシピ!G:G,MATCH(テンプレート!$C250,使用レシピ!$E:$E,0)),""),"")</f>
        <v/>
      </c>
      <c r="F250" t="str">
        <f>IFERROR(IF(INDEX(使用レシピ!H:H,MATCH(テンプレート!$C250,使用レシピ!$E:$E,0))&lt;&gt;0,INDEX(使用レシピ!H:H,MATCH(テンプレート!$C250,使用レシピ!$E:$E,0)),""),"")</f>
        <v/>
      </c>
      <c r="G250" t="str">
        <f>IFERROR(IF(INDEX(使用レシピ!I:I,MATCH(テンプレート!$C250,使用レシピ!$E:$E,0))&lt;&gt;0,INDEX(使用レシピ!I:I,MATCH(テンプレート!$C250,使用レシピ!$E:$E,0)),""),"")</f>
        <v/>
      </c>
      <c r="H250" s="24" t="str">
        <f>IFERROR(IF(INDEX(使用レシピ!J:J,MATCH(テンプレート!$C250,使用レシピ!$E:$E,0))&lt;&gt;0,INDEX(使用レシピ!J:J,MATCH(テンプレート!$C250,使用レシピ!$E:$E,0)),""),"")</f>
        <v/>
      </c>
      <c r="I250" s="36" t="str">
        <f>IFERROR(IF(INDEX(使用レシピ!P:P,MATCH(テンプレート!$C250,使用レシピ!$E:$E,0))&lt;&gt;0,INDEX(使用レシピ!P:P,MATCH(テンプレート!$C250,使用レシピ!$E:$E,0)),""),"")</f>
        <v/>
      </c>
      <c r="J250" t="str">
        <f>IFERROR(IF(INDEX(使用レシピ!K:K,MATCH(テンプレート!$C250,使用レシピ!$E:$E,0))&lt;&gt;0,INDEX(使用レシピ!K:K,MATCH(テンプレート!$C250,使用レシピ!$E:$E,0)),""),"")</f>
        <v/>
      </c>
      <c r="K250" t="str">
        <f>IFERROR(IF(INDEX(使用レシピ!L:L,MATCH(テンプレート!$C250,使用レシピ!$E:$E,0))&lt;&gt;0,INDEX(使用レシピ!L:L,MATCH(テンプレート!$C250,使用レシピ!$E:$E,0)),""),"")</f>
        <v/>
      </c>
      <c r="L250" t="str">
        <f>IFERROR(IF(INDEX(使用レシピ!M:M,MATCH(テンプレート!$C250,使用レシピ!$E:$E,0))&lt;&gt;0,INDEX(使用レシピ!M:M,MATCH(テンプレート!$C250,使用レシピ!$E:$E,0)),""),"")</f>
        <v/>
      </c>
      <c r="M250" t="str">
        <f>IFERROR(IF(INDEX(使用レシピ!N:N,MATCH(テンプレート!$C250,使用レシピ!$E:$E,0))&lt;&gt;0,INDEX(使用レシピ!N:N,MATCH(テンプレート!$C250,使用レシピ!$E:$E,0)),""),"")</f>
        <v/>
      </c>
      <c r="N250" s="24" t="str">
        <f>IFERROR(IF(INDEX(使用レシピ!O:O,MATCH(テンプレート!$C250,使用レシピ!$E:$E,0))&lt;&gt;0,INDEX(使用レシピ!O:O,MATCH(テンプレート!$C250,使用レシピ!$E:$E,0)),""),"")</f>
        <v/>
      </c>
      <c r="O250" s="42" t="str">
        <f>IFERROR(IF(INDEX(使用レシピ!P:P,MATCH(テンプレート!$C250,使用レシピ!$E:$E,0))&lt;&gt;0,INDEX(使用レシピ!P:P,MATCH(テンプレート!$C250,使用レシピ!$E:$E,0)),""),"")</f>
        <v/>
      </c>
      <c r="P250" s="25" t="str">
        <f t="shared" si="18"/>
        <v/>
      </c>
      <c r="Q250" s="26" t="str">
        <f t="shared" si="19"/>
        <v/>
      </c>
      <c r="R250" s="26" t="str">
        <f t="shared" si="20"/>
        <v/>
      </c>
      <c r="S250" s="26" t="str">
        <f t="shared" si="21"/>
        <v/>
      </c>
      <c r="T250" s="43" t="str">
        <f t="shared" si="21"/>
        <v/>
      </c>
    </row>
    <row r="251" spans="2:20" x14ac:dyDescent="0.4">
      <c r="B251" s="47" t="str" cm="1">
        <f t="array" ref="B251">IFERROR((INDEX($P$4:$T$1000,MATCH(VALUE(LEFT($A251,LEN($A251)-1)),$A$4:$A$1000,0),VALUE(RIGHT($A251,1)))/ INDEX($O$4:$O$1000,MATCH(VALUE(LEFT($A251,LEN($A251)-1)),$A$4:$A$1000))) * INDEX($B$4:$B$1000,MATCH(VALUE(LEFT($A251,LEN($A251)-1)),$A$4:$A$1000)),"")</f>
        <v/>
      </c>
      <c r="C251" s="38" t="str" cm="1">
        <f t="array" ref="C251">IFERROR(IF(INDEX($D$4:$H$1000,MATCH(VALUE(LEFT($A251,LEN($A251)-1)),$A$4:$A$1000,0),VALUE(RIGHT($A251,1)))= 0,"",INDEX($D$4:$H$1000,MATCH(VALUE(LEFT($A251,LEN($A251)-1)),$A$4:$A$1000,0),VALUE(RIGHT($A251,1)))),"")</f>
        <v/>
      </c>
      <c r="D251" s="23" t="str">
        <f>IFERROR(IF(INDEX(使用レシピ!F:F,MATCH(テンプレート!$C251,使用レシピ!$E:$E,0))&lt;&gt;0,INDEX(使用レシピ!F:F,MATCH(テンプレート!$C251,使用レシピ!$E:$E,0)),""),"")</f>
        <v/>
      </c>
      <c r="E251" t="str">
        <f>IFERROR(IF(INDEX(使用レシピ!G:G,MATCH(テンプレート!$C251,使用レシピ!$E:$E,0))&lt;&gt;0,INDEX(使用レシピ!G:G,MATCH(テンプレート!$C251,使用レシピ!$E:$E,0)),""),"")</f>
        <v/>
      </c>
      <c r="F251" t="str">
        <f>IFERROR(IF(INDEX(使用レシピ!H:H,MATCH(テンプレート!$C251,使用レシピ!$E:$E,0))&lt;&gt;0,INDEX(使用レシピ!H:H,MATCH(テンプレート!$C251,使用レシピ!$E:$E,0)),""),"")</f>
        <v/>
      </c>
      <c r="G251" t="str">
        <f>IFERROR(IF(INDEX(使用レシピ!I:I,MATCH(テンプレート!$C251,使用レシピ!$E:$E,0))&lt;&gt;0,INDEX(使用レシピ!I:I,MATCH(テンプレート!$C251,使用レシピ!$E:$E,0)),""),"")</f>
        <v/>
      </c>
      <c r="H251" s="24" t="str">
        <f>IFERROR(IF(INDEX(使用レシピ!J:J,MATCH(テンプレート!$C251,使用レシピ!$E:$E,0))&lt;&gt;0,INDEX(使用レシピ!J:J,MATCH(テンプレート!$C251,使用レシピ!$E:$E,0)),""),"")</f>
        <v/>
      </c>
      <c r="I251" s="36" t="str">
        <f>IFERROR(IF(INDEX(使用レシピ!P:P,MATCH(テンプレート!$C251,使用レシピ!$E:$E,0))&lt;&gt;0,INDEX(使用レシピ!P:P,MATCH(テンプレート!$C251,使用レシピ!$E:$E,0)),""),"")</f>
        <v/>
      </c>
      <c r="J251" t="str">
        <f>IFERROR(IF(INDEX(使用レシピ!K:K,MATCH(テンプレート!$C251,使用レシピ!$E:$E,0))&lt;&gt;0,INDEX(使用レシピ!K:K,MATCH(テンプレート!$C251,使用レシピ!$E:$E,0)),""),"")</f>
        <v/>
      </c>
      <c r="K251" t="str">
        <f>IFERROR(IF(INDEX(使用レシピ!L:L,MATCH(テンプレート!$C251,使用レシピ!$E:$E,0))&lt;&gt;0,INDEX(使用レシピ!L:L,MATCH(テンプレート!$C251,使用レシピ!$E:$E,0)),""),"")</f>
        <v/>
      </c>
      <c r="L251" t="str">
        <f>IFERROR(IF(INDEX(使用レシピ!M:M,MATCH(テンプレート!$C251,使用レシピ!$E:$E,0))&lt;&gt;0,INDEX(使用レシピ!M:M,MATCH(テンプレート!$C251,使用レシピ!$E:$E,0)),""),"")</f>
        <v/>
      </c>
      <c r="M251" t="str">
        <f>IFERROR(IF(INDEX(使用レシピ!N:N,MATCH(テンプレート!$C251,使用レシピ!$E:$E,0))&lt;&gt;0,INDEX(使用レシピ!N:N,MATCH(テンプレート!$C251,使用レシピ!$E:$E,0)),""),"")</f>
        <v/>
      </c>
      <c r="N251" s="24" t="str">
        <f>IFERROR(IF(INDEX(使用レシピ!O:O,MATCH(テンプレート!$C251,使用レシピ!$E:$E,0))&lt;&gt;0,INDEX(使用レシピ!O:O,MATCH(テンプレート!$C251,使用レシピ!$E:$E,0)),""),"")</f>
        <v/>
      </c>
      <c r="O251" s="42" t="str">
        <f>IFERROR(IF(INDEX(使用レシピ!P:P,MATCH(テンプレート!$C251,使用レシピ!$E:$E,0))&lt;&gt;0,INDEX(使用レシピ!P:P,MATCH(テンプレート!$C251,使用レシピ!$E:$E,0)),""),"")</f>
        <v/>
      </c>
      <c r="P251" s="25" t="str">
        <f t="shared" si="18"/>
        <v/>
      </c>
      <c r="Q251" s="26" t="str">
        <f t="shared" si="19"/>
        <v/>
      </c>
      <c r="R251" s="26" t="str">
        <f t="shared" si="20"/>
        <v/>
      </c>
      <c r="S251" s="26" t="str">
        <f t="shared" si="21"/>
        <v/>
      </c>
      <c r="T251" s="43" t="str">
        <f t="shared" si="21"/>
        <v/>
      </c>
    </row>
    <row r="252" spans="2:20" x14ac:dyDescent="0.4">
      <c r="B252" s="47" t="str" cm="1">
        <f t="array" ref="B252">IFERROR((INDEX($P$4:$T$1000,MATCH(VALUE(LEFT($A252,LEN($A252)-1)),$A$4:$A$1000,0),VALUE(RIGHT($A252,1)))/ INDEX($O$4:$O$1000,MATCH(VALUE(LEFT($A252,LEN($A252)-1)),$A$4:$A$1000))) * INDEX($B$4:$B$1000,MATCH(VALUE(LEFT($A252,LEN($A252)-1)),$A$4:$A$1000)),"")</f>
        <v/>
      </c>
      <c r="C252" s="38" t="str" cm="1">
        <f t="array" ref="C252">IFERROR(IF(INDEX($D$4:$H$1000,MATCH(VALUE(LEFT($A252,LEN($A252)-1)),$A$4:$A$1000,0),VALUE(RIGHT($A252,1)))= 0,"",INDEX($D$4:$H$1000,MATCH(VALUE(LEFT($A252,LEN($A252)-1)),$A$4:$A$1000,0),VALUE(RIGHT($A252,1)))),"")</f>
        <v/>
      </c>
      <c r="D252" s="23" t="str">
        <f>IFERROR(IF(INDEX(使用レシピ!F:F,MATCH(テンプレート!$C252,使用レシピ!$E:$E,0))&lt;&gt;0,INDEX(使用レシピ!F:F,MATCH(テンプレート!$C252,使用レシピ!$E:$E,0)),""),"")</f>
        <v/>
      </c>
      <c r="E252" t="str">
        <f>IFERROR(IF(INDEX(使用レシピ!G:G,MATCH(テンプレート!$C252,使用レシピ!$E:$E,0))&lt;&gt;0,INDEX(使用レシピ!G:G,MATCH(テンプレート!$C252,使用レシピ!$E:$E,0)),""),"")</f>
        <v/>
      </c>
      <c r="F252" t="str">
        <f>IFERROR(IF(INDEX(使用レシピ!H:H,MATCH(テンプレート!$C252,使用レシピ!$E:$E,0))&lt;&gt;0,INDEX(使用レシピ!H:H,MATCH(テンプレート!$C252,使用レシピ!$E:$E,0)),""),"")</f>
        <v/>
      </c>
      <c r="G252" t="str">
        <f>IFERROR(IF(INDEX(使用レシピ!I:I,MATCH(テンプレート!$C252,使用レシピ!$E:$E,0))&lt;&gt;0,INDEX(使用レシピ!I:I,MATCH(テンプレート!$C252,使用レシピ!$E:$E,0)),""),"")</f>
        <v/>
      </c>
      <c r="H252" s="24" t="str">
        <f>IFERROR(IF(INDEX(使用レシピ!J:J,MATCH(テンプレート!$C252,使用レシピ!$E:$E,0))&lt;&gt;0,INDEX(使用レシピ!J:J,MATCH(テンプレート!$C252,使用レシピ!$E:$E,0)),""),"")</f>
        <v/>
      </c>
      <c r="I252" s="36" t="str">
        <f>IFERROR(IF(INDEX(使用レシピ!P:P,MATCH(テンプレート!$C252,使用レシピ!$E:$E,0))&lt;&gt;0,INDEX(使用レシピ!P:P,MATCH(テンプレート!$C252,使用レシピ!$E:$E,0)),""),"")</f>
        <v/>
      </c>
      <c r="J252" t="str">
        <f>IFERROR(IF(INDEX(使用レシピ!K:K,MATCH(テンプレート!$C252,使用レシピ!$E:$E,0))&lt;&gt;0,INDEX(使用レシピ!K:K,MATCH(テンプレート!$C252,使用レシピ!$E:$E,0)),""),"")</f>
        <v/>
      </c>
      <c r="K252" t="str">
        <f>IFERROR(IF(INDEX(使用レシピ!L:L,MATCH(テンプレート!$C252,使用レシピ!$E:$E,0))&lt;&gt;0,INDEX(使用レシピ!L:L,MATCH(テンプレート!$C252,使用レシピ!$E:$E,0)),""),"")</f>
        <v/>
      </c>
      <c r="L252" t="str">
        <f>IFERROR(IF(INDEX(使用レシピ!M:M,MATCH(テンプレート!$C252,使用レシピ!$E:$E,0))&lt;&gt;0,INDEX(使用レシピ!M:M,MATCH(テンプレート!$C252,使用レシピ!$E:$E,0)),""),"")</f>
        <v/>
      </c>
      <c r="M252" t="str">
        <f>IFERROR(IF(INDEX(使用レシピ!N:N,MATCH(テンプレート!$C252,使用レシピ!$E:$E,0))&lt;&gt;0,INDEX(使用レシピ!N:N,MATCH(テンプレート!$C252,使用レシピ!$E:$E,0)),""),"")</f>
        <v/>
      </c>
      <c r="N252" s="24" t="str">
        <f>IFERROR(IF(INDEX(使用レシピ!O:O,MATCH(テンプレート!$C252,使用レシピ!$E:$E,0))&lt;&gt;0,INDEX(使用レシピ!O:O,MATCH(テンプレート!$C252,使用レシピ!$E:$E,0)),""),"")</f>
        <v/>
      </c>
      <c r="O252" s="42" t="str">
        <f>IFERROR(IF(INDEX(使用レシピ!P:P,MATCH(テンプレート!$C252,使用レシピ!$E:$E,0))&lt;&gt;0,INDEX(使用レシピ!P:P,MATCH(テンプレート!$C252,使用レシピ!$E:$E,0)),""),"")</f>
        <v/>
      </c>
      <c r="P252" s="25" t="str">
        <f t="shared" si="18"/>
        <v/>
      </c>
      <c r="Q252" s="26" t="str">
        <f t="shared" si="19"/>
        <v/>
      </c>
      <c r="R252" s="26" t="str">
        <f t="shared" si="20"/>
        <v/>
      </c>
      <c r="S252" s="26" t="str">
        <f t="shared" si="21"/>
        <v/>
      </c>
      <c r="T252" s="43" t="str">
        <f t="shared" si="21"/>
        <v/>
      </c>
    </row>
    <row r="253" spans="2:20" x14ac:dyDescent="0.4">
      <c r="B253" s="47" t="str" cm="1">
        <f t="array" ref="B253">IFERROR((INDEX($P$4:$T$1000,MATCH(VALUE(LEFT($A253,LEN($A253)-1)),$A$4:$A$1000,0),VALUE(RIGHT($A253,1)))/ INDEX($O$4:$O$1000,MATCH(VALUE(LEFT($A253,LEN($A253)-1)),$A$4:$A$1000))) * INDEX($B$4:$B$1000,MATCH(VALUE(LEFT($A253,LEN($A253)-1)),$A$4:$A$1000)),"")</f>
        <v/>
      </c>
      <c r="C253" s="38" t="str" cm="1">
        <f t="array" ref="C253">IFERROR(IF(INDEX($D$4:$H$1000,MATCH(VALUE(LEFT($A253,LEN($A253)-1)),$A$4:$A$1000,0),VALUE(RIGHT($A253,1)))= 0,"",INDEX($D$4:$H$1000,MATCH(VALUE(LEFT($A253,LEN($A253)-1)),$A$4:$A$1000,0),VALUE(RIGHT($A253,1)))),"")</f>
        <v/>
      </c>
      <c r="D253" s="23" t="str">
        <f>IFERROR(IF(INDEX(使用レシピ!F:F,MATCH(テンプレート!$C253,使用レシピ!$E:$E,0))&lt;&gt;0,INDEX(使用レシピ!F:F,MATCH(テンプレート!$C253,使用レシピ!$E:$E,0)),""),"")</f>
        <v/>
      </c>
      <c r="E253" t="str">
        <f>IFERROR(IF(INDEX(使用レシピ!G:G,MATCH(テンプレート!$C253,使用レシピ!$E:$E,0))&lt;&gt;0,INDEX(使用レシピ!G:G,MATCH(テンプレート!$C253,使用レシピ!$E:$E,0)),""),"")</f>
        <v/>
      </c>
      <c r="F253" t="str">
        <f>IFERROR(IF(INDEX(使用レシピ!H:H,MATCH(テンプレート!$C253,使用レシピ!$E:$E,0))&lt;&gt;0,INDEX(使用レシピ!H:H,MATCH(テンプレート!$C253,使用レシピ!$E:$E,0)),""),"")</f>
        <v/>
      </c>
      <c r="G253" t="str">
        <f>IFERROR(IF(INDEX(使用レシピ!I:I,MATCH(テンプレート!$C253,使用レシピ!$E:$E,0))&lt;&gt;0,INDEX(使用レシピ!I:I,MATCH(テンプレート!$C253,使用レシピ!$E:$E,0)),""),"")</f>
        <v/>
      </c>
      <c r="H253" s="24" t="str">
        <f>IFERROR(IF(INDEX(使用レシピ!J:J,MATCH(テンプレート!$C253,使用レシピ!$E:$E,0))&lt;&gt;0,INDEX(使用レシピ!J:J,MATCH(テンプレート!$C253,使用レシピ!$E:$E,0)),""),"")</f>
        <v/>
      </c>
      <c r="I253" s="36" t="str">
        <f>IFERROR(IF(INDEX(使用レシピ!P:P,MATCH(テンプレート!$C253,使用レシピ!$E:$E,0))&lt;&gt;0,INDEX(使用レシピ!P:P,MATCH(テンプレート!$C253,使用レシピ!$E:$E,0)),""),"")</f>
        <v/>
      </c>
      <c r="J253" t="str">
        <f>IFERROR(IF(INDEX(使用レシピ!K:K,MATCH(テンプレート!$C253,使用レシピ!$E:$E,0))&lt;&gt;0,INDEX(使用レシピ!K:K,MATCH(テンプレート!$C253,使用レシピ!$E:$E,0)),""),"")</f>
        <v/>
      </c>
      <c r="K253" t="str">
        <f>IFERROR(IF(INDEX(使用レシピ!L:L,MATCH(テンプレート!$C253,使用レシピ!$E:$E,0))&lt;&gt;0,INDEX(使用レシピ!L:L,MATCH(テンプレート!$C253,使用レシピ!$E:$E,0)),""),"")</f>
        <v/>
      </c>
      <c r="L253" t="str">
        <f>IFERROR(IF(INDEX(使用レシピ!M:M,MATCH(テンプレート!$C253,使用レシピ!$E:$E,0))&lt;&gt;0,INDEX(使用レシピ!M:M,MATCH(テンプレート!$C253,使用レシピ!$E:$E,0)),""),"")</f>
        <v/>
      </c>
      <c r="M253" t="str">
        <f>IFERROR(IF(INDEX(使用レシピ!N:N,MATCH(テンプレート!$C253,使用レシピ!$E:$E,0))&lt;&gt;0,INDEX(使用レシピ!N:N,MATCH(テンプレート!$C253,使用レシピ!$E:$E,0)),""),"")</f>
        <v/>
      </c>
      <c r="N253" s="24" t="str">
        <f>IFERROR(IF(INDEX(使用レシピ!O:O,MATCH(テンプレート!$C253,使用レシピ!$E:$E,0))&lt;&gt;0,INDEX(使用レシピ!O:O,MATCH(テンプレート!$C253,使用レシピ!$E:$E,0)),""),"")</f>
        <v/>
      </c>
      <c r="O253" s="42" t="str">
        <f>IFERROR(IF(INDEX(使用レシピ!P:P,MATCH(テンプレート!$C253,使用レシピ!$E:$E,0))&lt;&gt;0,INDEX(使用レシピ!P:P,MATCH(テンプレート!$C253,使用レシピ!$E:$E,0)),""),"")</f>
        <v/>
      </c>
      <c r="P253" s="25" t="str">
        <f t="shared" si="18"/>
        <v/>
      </c>
      <c r="Q253" s="26" t="str">
        <f t="shared" si="19"/>
        <v/>
      </c>
      <c r="R253" s="26" t="str">
        <f t="shared" si="20"/>
        <v/>
      </c>
      <c r="S253" s="26" t="str">
        <f t="shared" si="21"/>
        <v/>
      </c>
      <c r="T253" s="43" t="str">
        <f t="shared" si="21"/>
        <v/>
      </c>
    </row>
    <row r="254" spans="2:20" x14ac:dyDescent="0.4">
      <c r="B254" s="47" t="str" cm="1">
        <f t="array" ref="B254">IFERROR((INDEX($P$4:$T$1000,MATCH(VALUE(LEFT($A254,LEN($A254)-1)),$A$4:$A$1000,0),VALUE(RIGHT($A254,1)))/ INDEX($O$4:$O$1000,MATCH(VALUE(LEFT($A254,LEN($A254)-1)),$A$4:$A$1000))) * INDEX($B$4:$B$1000,MATCH(VALUE(LEFT($A254,LEN($A254)-1)),$A$4:$A$1000)),"")</f>
        <v/>
      </c>
      <c r="C254" s="38" t="str" cm="1">
        <f t="array" ref="C254">IFERROR(IF(INDEX($D$4:$H$1000,MATCH(VALUE(LEFT($A254,LEN($A254)-1)),$A$4:$A$1000,0),VALUE(RIGHT($A254,1)))= 0,"",INDEX($D$4:$H$1000,MATCH(VALUE(LEFT($A254,LEN($A254)-1)),$A$4:$A$1000,0),VALUE(RIGHT($A254,1)))),"")</f>
        <v/>
      </c>
      <c r="D254" s="23" t="str">
        <f>IFERROR(IF(INDEX(使用レシピ!F:F,MATCH(テンプレート!$C254,使用レシピ!$E:$E,0))&lt;&gt;0,INDEX(使用レシピ!F:F,MATCH(テンプレート!$C254,使用レシピ!$E:$E,0)),""),"")</f>
        <v/>
      </c>
      <c r="E254" t="str">
        <f>IFERROR(IF(INDEX(使用レシピ!G:G,MATCH(テンプレート!$C254,使用レシピ!$E:$E,0))&lt;&gt;0,INDEX(使用レシピ!G:G,MATCH(テンプレート!$C254,使用レシピ!$E:$E,0)),""),"")</f>
        <v/>
      </c>
      <c r="F254" t="str">
        <f>IFERROR(IF(INDEX(使用レシピ!H:H,MATCH(テンプレート!$C254,使用レシピ!$E:$E,0))&lt;&gt;0,INDEX(使用レシピ!H:H,MATCH(テンプレート!$C254,使用レシピ!$E:$E,0)),""),"")</f>
        <v/>
      </c>
      <c r="G254" t="str">
        <f>IFERROR(IF(INDEX(使用レシピ!I:I,MATCH(テンプレート!$C254,使用レシピ!$E:$E,0))&lt;&gt;0,INDEX(使用レシピ!I:I,MATCH(テンプレート!$C254,使用レシピ!$E:$E,0)),""),"")</f>
        <v/>
      </c>
      <c r="H254" s="24" t="str">
        <f>IFERROR(IF(INDEX(使用レシピ!J:J,MATCH(テンプレート!$C254,使用レシピ!$E:$E,0))&lt;&gt;0,INDEX(使用レシピ!J:J,MATCH(テンプレート!$C254,使用レシピ!$E:$E,0)),""),"")</f>
        <v/>
      </c>
      <c r="I254" s="36" t="str">
        <f>IFERROR(IF(INDEX(使用レシピ!P:P,MATCH(テンプレート!$C254,使用レシピ!$E:$E,0))&lt;&gt;0,INDEX(使用レシピ!P:P,MATCH(テンプレート!$C254,使用レシピ!$E:$E,0)),""),"")</f>
        <v/>
      </c>
      <c r="J254" t="str">
        <f>IFERROR(IF(INDEX(使用レシピ!K:K,MATCH(テンプレート!$C254,使用レシピ!$E:$E,0))&lt;&gt;0,INDEX(使用レシピ!K:K,MATCH(テンプレート!$C254,使用レシピ!$E:$E,0)),""),"")</f>
        <v/>
      </c>
      <c r="K254" t="str">
        <f>IFERROR(IF(INDEX(使用レシピ!L:L,MATCH(テンプレート!$C254,使用レシピ!$E:$E,0))&lt;&gt;0,INDEX(使用レシピ!L:L,MATCH(テンプレート!$C254,使用レシピ!$E:$E,0)),""),"")</f>
        <v/>
      </c>
      <c r="L254" t="str">
        <f>IFERROR(IF(INDEX(使用レシピ!M:M,MATCH(テンプレート!$C254,使用レシピ!$E:$E,0))&lt;&gt;0,INDEX(使用レシピ!M:M,MATCH(テンプレート!$C254,使用レシピ!$E:$E,0)),""),"")</f>
        <v/>
      </c>
      <c r="M254" t="str">
        <f>IFERROR(IF(INDEX(使用レシピ!N:N,MATCH(テンプレート!$C254,使用レシピ!$E:$E,0))&lt;&gt;0,INDEX(使用レシピ!N:N,MATCH(テンプレート!$C254,使用レシピ!$E:$E,0)),""),"")</f>
        <v/>
      </c>
      <c r="N254" s="24" t="str">
        <f>IFERROR(IF(INDEX(使用レシピ!O:O,MATCH(テンプレート!$C254,使用レシピ!$E:$E,0))&lt;&gt;0,INDEX(使用レシピ!O:O,MATCH(テンプレート!$C254,使用レシピ!$E:$E,0)),""),"")</f>
        <v/>
      </c>
      <c r="O254" s="42" t="str">
        <f>IFERROR(IF(INDEX(使用レシピ!P:P,MATCH(テンプレート!$C254,使用レシピ!$E:$E,0))&lt;&gt;0,INDEX(使用レシピ!P:P,MATCH(テンプレート!$C254,使用レシピ!$E:$E,0)),""),"")</f>
        <v/>
      </c>
      <c r="P254" s="25" t="str">
        <f t="shared" si="18"/>
        <v/>
      </c>
      <c r="Q254" s="26" t="str">
        <f t="shared" si="19"/>
        <v/>
      </c>
      <c r="R254" s="26" t="str">
        <f t="shared" si="20"/>
        <v/>
      </c>
      <c r="S254" s="26" t="str">
        <f t="shared" si="21"/>
        <v/>
      </c>
      <c r="T254" s="43" t="str">
        <f t="shared" si="21"/>
        <v/>
      </c>
    </row>
    <row r="255" spans="2:20" x14ac:dyDescent="0.4">
      <c r="B255" s="47" t="str" cm="1">
        <f t="array" ref="B255">IFERROR((INDEX($P$4:$T$1000,MATCH(VALUE(LEFT($A255,LEN($A255)-1)),$A$4:$A$1000,0),VALUE(RIGHT($A255,1)))/ INDEX($O$4:$O$1000,MATCH(VALUE(LEFT($A255,LEN($A255)-1)),$A$4:$A$1000))) * INDEX($B$4:$B$1000,MATCH(VALUE(LEFT($A255,LEN($A255)-1)),$A$4:$A$1000)),"")</f>
        <v/>
      </c>
      <c r="C255" s="38" t="str" cm="1">
        <f t="array" ref="C255">IFERROR(IF(INDEX($D$4:$H$1000,MATCH(VALUE(LEFT($A255,LEN($A255)-1)),$A$4:$A$1000,0),VALUE(RIGHT($A255,1)))= 0,"",INDEX($D$4:$H$1000,MATCH(VALUE(LEFT($A255,LEN($A255)-1)),$A$4:$A$1000,0),VALUE(RIGHT($A255,1)))),"")</f>
        <v/>
      </c>
      <c r="D255" s="23" t="str">
        <f>IFERROR(IF(INDEX(使用レシピ!F:F,MATCH(テンプレート!$C255,使用レシピ!$E:$E,0))&lt;&gt;0,INDEX(使用レシピ!F:F,MATCH(テンプレート!$C255,使用レシピ!$E:$E,0)),""),"")</f>
        <v/>
      </c>
      <c r="E255" t="str">
        <f>IFERROR(IF(INDEX(使用レシピ!G:G,MATCH(テンプレート!$C255,使用レシピ!$E:$E,0))&lt;&gt;0,INDEX(使用レシピ!G:G,MATCH(テンプレート!$C255,使用レシピ!$E:$E,0)),""),"")</f>
        <v/>
      </c>
      <c r="F255" t="str">
        <f>IFERROR(IF(INDEX(使用レシピ!H:H,MATCH(テンプレート!$C255,使用レシピ!$E:$E,0))&lt;&gt;0,INDEX(使用レシピ!H:H,MATCH(テンプレート!$C255,使用レシピ!$E:$E,0)),""),"")</f>
        <v/>
      </c>
      <c r="G255" t="str">
        <f>IFERROR(IF(INDEX(使用レシピ!I:I,MATCH(テンプレート!$C255,使用レシピ!$E:$E,0))&lt;&gt;0,INDEX(使用レシピ!I:I,MATCH(テンプレート!$C255,使用レシピ!$E:$E,0)),""),"")</f>
        <v/>
      </c>
      <c r="H255" s="24" t="str">
        <f>IFERROR(IF(INDEX(使用レシピ!J:J,MATCH(テンプレート!$C255,使用レシピ!$E:$E,0))&lt;&gt;0,INDEX(使用レシピ!J:J,MATCH(テンプレート!$C255,使用レシピ!$E:$E,0)),""),"")</f>
        <v/>
      </c>
      <c r="I255" s="36" t="str">
        <f>IFERROR(IF(INDEX(使用レシピ!P:P,MATCH(テンプレート!$C255,使用レシピ!$E:$E,0))&lt;&gt;0,INDEX(使用レシピ!P:P,MATCH(テンプレート!$C255,使用レシピ!$E:$E,0)),""),"")</f>
        <v/>
      </c>
      <c r="J255" t="str">
        <f>IFERROR(IF(INDEX(使用レシピ!K:K,MATCH(テンプレート!$C255,使用レシピ!$E:$E,0))&lt;&gt;0,INDEX(使用レシピ!K:K,MATCH(テンプレート!$C255,使用レシピ!$E:$E,0)),""),"")</f>
        <v/>
      </c>
      <c r="K255" t="str">
        <f>IFERROR(IF(INDEX(使用レシピ!L:L,MATCH(テンプレート!$C255,使用レシピ!$E:$E,0))&lt;&gt;0,INDEX(使用レシピ!L:L,MATCH(テンプレート!$C255,使用レシピ!$E:$E,0)),""),"")</f>
        <v/>
      </c>
      <c r="L255" t="str">
        <f>IFERROR(IF(INDEX(使用レシピ!M:M,MATCH(テンプレート!$C255,使用レシピ!$E:$E,0))&lt;&gt;0,INDEX(使用レシピ!M:M,MATCH(テンプレート!$C255,使用レシピ!$E:$E,0)),""),"")</f>
        <v/>
      </c>
      <c r="M255" t="str">
        <f>IFERROR(IF(INDEX(使用レシピ!N:N,MATCH(テンプレート!$C255,使用レシピ!$E:$E,0))&lt;&gt;0,INDEX(使用レシピ!N:N,MATCH(テンプレート!$C255,使用レシピ!$E:$E,0)),""),"")</f>
        <v/>
      </c>
      <c r="N255" s="24" t="str">
        <f>IFERROR(IF(INDEX(使用レシピ!O:O,MATCH(テンプレート!$C255,使用レシピ!$E:$E,0))&lt;&gt;0,INDEX(使用レシピ!O:O,MATCH(テンプレート!$C255,使用レシピ!$E:$E,0)),""),"")</f>
        <v/>
      </c>
      <c r="O255" s="42" t="str">
        <f>IFERROR(IF(INDEX(使用レシピ!P:P,MATCH(テンプレート!$C255,使用レシピ!$E:$E,0))&lt;&gt;0,INDEX(使用レシピ!P:P,MATCH(テンプレート!$C255,使用レシピ!$E:$E,0)),""),"")</f>
        <v/>
      </c>
      <c r="P255" s="25" t="str">
        <f t="shared" si="18"/>
        <v/>
      </c>
      <c r="Q255" s="26" t="str">
        <f t="shared" si="19"/>
        <v/>
      </c>
      <c r="R255" s="26" t="str">
        <f t="shared" si="20"/>
        <v/>
      </c>
      <c r="S255" s="26" t="str">
        <f t="shared" si="21"/>
        <v/>
      </c>
      <c r="T255" s="43" t="str">
        <f t="shared" si="21"/>
        <v/>
      </c>
    </row>
    <row r="256" spans="2:20" x14ac:dyDescent="0.4">
      <c r="B256" s="47" t="str" cm="1">
        <f t="array" ref="B256">IFERROR((INDEX($P$4:$T$1000,MATCH(VALUE(LEFT($A256,LEN($A256)-1)),$A$4:$A$1000,0),VALUE(RIGHT($A256,1)))/ INDEX($O$4:$O$1000,MATCH(VALUE(LEFT($A256,LEN($A256)-1)),$A$4:$A$1000))) * INDEX($B$4:$B$1000,MATCH(VALUE(LEFT($A256,LEN($A256)-1)),$A$4:$A$1000)),"")</f>
        <v/>
      </c>
      <c r="C256" s="38" t="str" cm="1">
        <f t="array" ref="C256">IFERROR(IF(INDEX($D$4:$H$1000,MATCH(VALUE(LEFT($A256,LEN($A256)-1)),$A$4:$A$1000,0),VALUE(RIGHT($A256,1)))= 0,"",INDEX($D$4:$H$1000,MATCH(VALUE(LEFT($A256,LEN($A256)-1)),$A$4:$A$1000,0),VALUE(RIGHT($A256,1)))),"")</f>
        <v/>
      </c>
      <c r="D256" s="23" t="str">
        <f>IFERROR(IF(INDEX(使用レシピ!F:F,MATCH(テンプレート!$C256,使用レシピ!$E:$E,0))&lt;&gt;0,INDEX(使用レシピ!F:F,MATCH(テンプレート!$C256,使用レシピ!$E:$E,0)),""),"")</f>
        <v/>
      </c>
      <c r="E256" t="str">
        <f>IFERROR(IF(INDEX(使用レシピ!G:G,MATCH(テンプレート!$C256,使用レシピ!$E:$E,0))&lt;&gt;0,INDEX(使用レシピ!G:G,MATCH(テンプレート!$C256,使用レシピ!$E:$E,0)),""),"")</f>
        <v/>
      </c>
      <c r="F256" t="str">
        <f>IFERROR(IF(INDEX(使用レシピ!H:H,MATCH(テンプレート!$C256,使用レシピ!$E:$E,0))&lt;&gt;0,INDEX(使用レシピ!H:H,MATCH(テンプレート!$C256,使用レシピ!$E:$E,0)),""),"")</f>
        <v/>
      </c>
      <c r="G256" t="str">
        <f>IFERROR(IF(INDEX(使用レシピ!I:I,MATCH(テンプレート!$C256,使用レシピ!$E:$E,0))&lt;&gt;0,INDEX(使用レシピ!I:I,MATCH(テンプレート!$C256,使用レシピ!$E:$E,0)),""),"")</f>
        <v/>
      </c>
      <c r="H256" s="24" t="str">
        <f>IFERROR(IF(INDEX(使用レシピ!J:J,MATCH(テンプレート!$C256,使用レシピ!$E:$E,0))&lt;&gt;0,INDEX(使用レシピ!J:J,MATCH(テンプレート!$C256,使用レシピ!$E:$E,0)),""),"")</f>
        <v/>
      </c>
      <c r="I256" s="36" t="str">
        <f>IFERROR(IF(INDEX(使用レシピ!P:P,MATCH(テンプレート!$C256,使用レシピ!$E:$E,0))&lt;&gt;0,INDEX(使用レシピ!P:P,MATCH(テンプレート!$C256,使用レシピ!$E:$E,0)),""),"")</f>
        <v/>
      </c>
      <c r="J256" t="str">
        <f>IFERROR(IF(INDEX(使用レシピ!K:K,MATCH(テンプレート!$C256,使用レシピ!$E:$E,0))&lt;&gt;0,INDEX(使用レシピ!K:K,MATCH(テンプレート!$C256,使用レシピ!$E:$E,0)),""),"")</f>
        <v/>
      </c>
      <c r="K256" t="str">
        <f>IFERROR(IF(INDEX(使用レシピ!L:L,MATCH(テンプレート!$C256,使用レシピ!$E:$E,0))&lt;&gt;0,INDEX(使用レシピ!L:L,MATCH(テンプレート!$C256,使用レシピ!$E:$E,0)),""),"")</f>
        <v/>
      </c>
      <c r="L256" t="str">
        <f>IFERROR(IF(INDEX(使用レシピ!M:M,MATCH(テンプレート!$C256,使用レシピ!$E:$E,0))&lt;&gt;0,INDEX(使用レシピ!M:M,MATCH(テンプレート!$C256,使用レシピ!$E:$E,0)),""),"")</f>
        <v/>
      </c>
      <c r="M256" t="str">
        <f>IFERROR(IF(INDEX(使用レシピ!N:N,MATCH(テンプレート!$C256,使用レシピ!$E:$E,0))&lt;&gt;0,INDEX(使用レシピ!N:N,MATCH(テンプレート!$C256,使用レシピ!$E:$E,0)),""),"")</f>
        <v/>
      </c>
      <c r="N256" s="24" t="str">
        <f>IFERROR(IF(INDEX(使用レシピ!O:O,MATCH(テンプレート!$C256,使用レシピ!$E:$E,0))&lt;&gt;0,INDEX(使用レシピ!O:O,MATCH(テンプレート!$C256,使用レシピ!$E:$E,0)),""),"")</f>
        <v/>
      </c>
      <c r="O256" s="42" t="str">
        <f>IFERROR(IF(INDEX(使用レシピ!P:P,MATCH(テンプレート!$C256,使用レシピ!$E:$E,0))&lt;&gt;0,INDEX(使用レシピ!P:P,MATCH(テンプレート!$C256,使用レシピ!$E:$E,0)),""),"")</f>
        <v/>
      </c>
      <c r="P256" s="25" t="str">
        <f t="shared" si="18"/>
        <v/>
      </c>
      <c r="Q256" s="26" t="str">
        <f t="shared" si="19"/>
        <v/>
      </c>
      <c r="R256" s="26" t="str">
        <f t="shared" si="20"/>
        <v/>
      </c>
      <c r="S256" s="26" t="str">
        <f t="shared" si="21"/>
        <v/>
      </c>
      <c r="T256" s="43" t="str">
        <f t="shared" si="21"/>
        <v/>
      </c>
    </row>
    <row r="257" spans="2:20" x14ac:dyDescent="0.4">
      <c r="B257" s="47" t="str" cm="1">
        <f t="array" ref="B257">IFERROR((INDEX($P$4:$T$1000,MATCH(VALUE(LEFT($A257,LEN($A257)-1)),$A$4:$A$1000,0),VALUE(RIGHT($A257,1)))/ INDEX($O$4:$O$1000,MATCH(VALUE(LEFT($A257,LEN($A257)-1)),$A$4:$A$1000))) * INDEX($B$4:$B$1000,MATCH(VALUE(LEFT($A257,LEN($A257)-1)),$A$4:$A$1000)),"")</f>
        <v/>
      </c>
      <c r="C257" s="38" t="str" cm="1">
        <f t="array" ref="C257">IFERROR(IF(INDEX($D$4:$H$1000,MATCH(VALUE(LEFT($A257,LEN($A257)-1)),$A$4:$A$1000,0),VALUE(RIGHT($A257,1)))= 0,"",INDEX($D$4:$H$1000,MATCH(VALUE(LEFT($A257,LEN($A257)-1)),$A$4:$A$1000,0),VALUE(RIGHT($A257,1)))),"")</f>
        <v/>
      </c>
      <c r="D257" s="23" t="str">
        <f>IFERROR(IF(INDEX(使用レシピ!F:F,MATCH(テンプレート!$C257,使用レシピ!$E:$E,0))&lt;&gt;0,INDEX(使用レシピ!F:F,MATCH(テンプレート!$C257,使用レシピ!$E:$E,0)),""),"")</f>
        <v/>
      </c>
      <c r="E257" t="str">
        <f>IFERROR(IF(INDEX(使用レシピ!G:G,MATCH(テンプレート!$C257,使用レシピ!$E:$E,0))&lt;&gt;0,INDEX(使用レシピ!G:G,MATCH(テンプレート!$C257,使用レシピ!$E:$E,0)),""),"")</f>
        <v/>
      </c>
      <c r="F257" t="str">
        <f>IFERROR(IF(INDEX(使用レシピ!H:H,MATCH(テンプレート!$C257,使用レシピ!$E:$E,0))&lt;&gt;0,INDEX(使用レシピ!H:H,MATCH(テンプレート!$C257,使用レシピ!$E:$E,0)),""),"")</f>
        <v/>
      </c>
      <c r="G257" t="str">
        <f>IFERROR(IF(INDEX(使用レシピ!I:I,MATCH(テンプレート!$C257,使用レシピ!$E:$E,0))&lt;&gt;0,INDEX(使用レシピ!I:I,MATCH(テンプレート!$C257,使用レシピ!$E:$E,0)),""),"")</f>
        <v/>
      </c>
      <c r="H257" s="24" t="str">
        <f>IFERROR(IF(INDEX(使用レシピ!J:J,MATCH(テンプレート!$C257,使用レシピ!$E:$E,0))&lt;&gt;0,INDEX(使用レシピ!J:J,MATCH(テンプレート!$C257,使用レシピ!$E:$E,0)),""),"")</f>
        <v/>
      </c>
      <c r="I257" s="36" t="str">
        <f>IFERROR(IF(INDEX(使用レシピ!P:P,MATCH(テンプレート!$C257,使用レシピ!$E:$E,0))&lt;&gt;0,INDEX(使用レシピ!P:P,MATCH(テンプレート!$C257,使用レシピ!$E:$E,0)),""),"")</f>
        <v/>
      </c>
      <c r="J257" t="str">
        <f>IFERROR(IF(INDEX(使用レシピ!K:K,MATCH(テンプレート!$C257,使用レシピ!$E:$E,0))&lt;&gt;0,INDEX(使用レシピ!K:K,MATCH(テンプレート!$C257,使用レシピ!$E:$E,0)),""),"")</f>
        <v/>
      </c>
      <c r="K257" t="str">
        <f>IFERROR(IF(INDEX(使用レシピ!L:L,MATCH(テンプレート!$C257,使用レシピ!$E:$E,0))&lt;&gt;0,INDEX(使用レシピ!L:L,MATCH(テンプレート!$C257,使用レシピ!$E:$E,0)),""),"")</f>
        <v/>
      </c>
      <c r="L257" t="str">
        <f>IFERROR(IF(INDEX(使用レシピ!M:M,MATCH(テンプレート!$C257,使用レシピ!$E:$E,0))&lt;&gt;0,INDEX(使用レシピ!M:M,MATCH(テンプレート!$C257,使用レシピ!$E:$E,0)),""),"")</f>
        <v/>
      </c>
      <c r="M257" t="str">
        <f>IFERROR(IF(INDEX(使用レシピ!N:N,MATCH(テンプレート!$C257,使用レシピ!$E:$E,0))&lt;&gt;0,INDEX(使用レシピ!N:N,MATCH(テンプレート!$C257,使用レシピ!$E:$E,0)),""),"")</f>
        <v/>
      </c>
      <c r="N257" s="24" t="str">
        <f>IFERROR(IF(INDEX(使用レシピ!O:O,MATCH(テンプレート!$C257,使用レシピ!$E:$E,0))&lt;&gt;0,INDEX(使用レシピ!O:O,MATCH(テンプレート!$C257,使用レシピ!$E:$E,0)),""),"")</f>
        <v/>
      </c>
      <c r="O257" s="42" t="str">
        <f>IFERROR(IF(INDEX(使用レシピ!P:P,MATCH(テンプレート!$C257,使用レシピ!$E:$E,0))&lt;&gt;0,INDEX(使用レシピ!P:P,MATCH(テンプレート!$C257,使用レシピ!$E:$E,0)),""),"")</f>
        <v/>
      </c>
      <c r="P257" s="25" t="str">
        <f t="shared" si="18"/>
        <v/>
      </c>
      <c r="Q257" s="26" t="str">
        <f t="shared" si="19"/>
        <v/>
      </c>
      <c r="R257" s="26" t="str">
        <f t="shared" si="20"/>
        <v/>
      </c>
      <c r="S257" s="26" t="str">
        <f t="shared" si="21"/>
        <v/>
      </c>
      <c r="T257" s="43" t="str">
        <f t="shared" si="21"/>
        <v/>
      </c>
    </row>
    <row r="258" spans="2:20" x14ac:dyDescent="0.4">
      <c r="B258" s="47" t="str" cm="1">
        <f t="array" ref="B258">IFERROR((INDEX($P$4:$T$1000,MATCH(VALUE(LEFT($A258,LEN($A258)-1)),$A$4:$A$1000,0),VALUE(RIGHT($A258,1)))/ INDEX($O$4:$O$1000,MATCH(VALUE(LEFT($A258,LEN($A258)-1)),$A$4:$A$1000))) * INDEX($B$4:$B$1000,MATCH(VALUE(LEFT($A258,LEN($A258)-1)),$A$4:$A$1000)),"")</f>
        <v/>
      </c>
      <c r="C258" s="38" t="str" cm="1">
        <f t="array" ref="C258">IFERROR(IF(INDEX($D$4:$H$1000,MATCH(VALUE(LEFT($A258,LEN($A258)-1)),$A$4:$A$1000,0),VALUE(RIGHT($A258,1)))= 0,"",INDEX($D$4:$H$1000,MATCH(VALUE(LEFT($A258,LEN($A258)-1)),$A$4:$A$1000,0),VALUE(RIGHT($A258,1)))),"")</f>
        <v/>
      </c>
      <c r="D258" s="23" t="str">
        <f>IFERROR(IF(INDEX(使用レシピ!F:F,MATCH(テンプレート!$C258,使用レシピ!$E:$E,0))&lt;&gt;0,INDEX(使用レシピ!F:F,MATCH(テンプレート!$C258,使用レシピ!$E:$E,0)),""),"")</f>
        <v/>
      </c>
      <c r="E258" t="str">
        <f>IFERROR(IF(INDEX(使用レシピ!G:G,MATCH(テンプレート!$C258,使用レシピ!$E:$E,0))&lt;&gt;0,INDEX(使用レシピ!G:G,MATCH(テンプレート!$C258,使用レシピ!$E:$E,0)),""),"")</f>
        <v/>
      </c>
      <c r="F258" t="str">
        <f>IFERROR(IF(INDEX(使用レシピ!H:H,MATCH(テンプレート!$C258,使用レシピ!$E:$E,0))&lt;&gt;0,INDEX(使用レシピ!H:H,MATCH(テンプレート!$C258,使用レシピ!$E:$E,0)),""),"")</f>
        <v/>
      </c>
      <c r="G258" t="str">
        <f>IFERROR(IF(INDEX(使用レシピ!I:I,MATCH(テンプレート!$C258,使用レシピ!$E:$E,0))&lt;&gt;0,INDEX(使用レシピ!I:I,MATCH(テンプレート!$C258,使用レシピ!$E:$E,0)),""),"")</f>
        <v/>
      </c>
      <c r="H258" s="24" t="str">
        <f>IFERROR(IF(INDEX(使用レシピ!J:J,MATCH(テンプレート!$C258,使用レシピ!$E:$E,0))&lt;&gt;0,INDEX(使用レシピ!J:J,MATCH(テンプレート!$C258,使用レシピ!$E:$E,0)),""),"")</f>
        <v/>
      </c>
      <c r="I258" s="36" t="str">
        <f>IFERROR(IF(INDEX(使用レシピ!P:P,MATCH(テンプレート!$C258,使用レシピ!$E:$E,0))&lt;&gt;0,INDEX(使用レシピ!P:P,MATCH(テンプレート!$C258,使用レシピ!$E:$E,0)),""),"")</f>
        <v/>
      </c>
      <c r="J258" t="str">
        <f>IFERROR(IF(INDEX(使用レシピ!K:K,MATCH(テンプレート!$C258,使用レシピ!$E:$E,0))&lt;&gt;0,INDEX(使用レシピ!K:K,MATCH(テンプレート!$C258,使用レシピ!$E:$E,0)),""),"")</f>
        <v/>
      </c>
      <c r="K258" t="str">
        <f>IFERROR(IF(INDEX(使用レシピ!L:L,MATCH(テンプレート!$C258,使用レシピ!$E:$E,0))&lt;&gt;0,INDEX(使用レシピ!L:L,MATCH(テンプレート!$C258,使用レシピ!$E:$E,0)),""),"")</f>
        <v/>
      </c>
      <c r="L258" t="str">
        <f>IFERROR(IF(INDEX(使用レシピ!M:M,MATCH(テンプレート!$C258,使用レシピ!$E:$E,0))&lt;&gt;0,INDEX(使用レシピ!M:M,MATCH(テンプレート!$C258,使用レシピ!$E:$E,0)),""),"")</f>
        <v/>
      </c>
      <c r="M258" t="str">
        <f>IFERROR(IF(INDEX(使用レシピ!N:N,MATCH(テンプレート!$C258,使用レシピ!$E:$E,0))&lt;&gt;0,INDEX(使用レシピ!N:N,MATCH(テンプレート!$C258,使用レシピ!$E:$E,0)),""),"")</f>
        <v/>
      </c>
      <c r="N258" s="24" t="str">
        <f>IFERROR(IF(INDEX(使用レシピ!O:O,MATCH(テンプレート!$C258,使用レシピ!$E:$E,0))&lt;&gt;0,INDEX(使用レシピ!O:O,MATCH(テンプレート!$C258,使用レシピ!$E:$E,0)),""),"")</f>
        <v/>
      </c>
      <c r="O258" s="42" t="str">
        <f>IFERROR(IF(INDEX(使用レシピ!P:P,MATCH(テンプレート!$C258,使用レシピ!$E:$E,0))&lt;&gt;0,INDEX(使用レシピ!P:P,MATCH(テンプレート!$C258,使用レシピ!$E:$E,0)),""),"")</f>
        <v/>
      </c>
      <c r="P258" s="25" t="str">
        <f t="shared" si="18"/>
        <v/>
      </c>
      <c r="Q258" s="26" t="str">
        <f t="shared" si="19"/>
        <v/>
      </c>
      <c r="R258" s="26" t="str">
        <f t="shared" si="20"/>
        <v/>
      </c>
      <c r="S258" s="26" t="str">
        <f t="shared" si="21"/>
        <v/>
      </c>
      <c r="T258" s="43" t="str">
        <f t="shared" si="21"/>
        <v/>
      </c>
    </row>
    <row r="259" spans="2:20" x14ac:dyDescent="0.4">
      <c r="B259" s="47" t="str" cm="1">
        <f t="array" ref="B259">IFERROR((INDEX($P$4:$T$1000,MATCH(VALUE(LEFT($A259,LEN($A259)-1)),$A$4:$A$1000,0),VALUE(RIGHT($A259,1)))/ INDEX($O$4:$O$1000,MATCH(VALUE(LEFT($A259,LEN($A259)-1)),$A$4:$A$1000))) * INDEX($B$4:$B$1000,MATCH(VALUE(LEFT($A259,LEN($A259)-1)),$A$4:$A$1000)),"")</f>
        <v/>
      </c>
      <c r="C259" s="38" t="str" cm="1">
        <f t="array" ref="C259">IFERROR(IF(INDEX($D$4:$H$1000,MATCH(VALUE(LEFT($A259,LEN($A259)-1)),$A$4:$A$1000,0),VALUE(RIGHT($A259,1)))= 0,"",INDEX($D$4:$H$1000,MATCH(VALUE(LEFT($A259,LEN($A259)-1)),$A$4:$A$1000,0),VALUE(RIGHT($A259,1)))),"")</f>
        <v/>
      </c>
      <c r="D259" s="23" t="str">
        <f>IFERROR(IF(INDEX(使用レシピ!F:F,MATCH(テンプレート!$C259,使用レシピ!$E:$E,0))&lt;&gt;0,INDEX(使用レシピ!F:F,MATCH(テンプレート!$C259,使用レシピ!$E:$E,0)),""),"")</f>
        <v/>
      </c>
      <c r="E259" t="str">
        <f>IFERROR(IF(INDEX(使用レシピ!G:G,MATCH(テンプレート!$C259,使用レシピ!$E:$E,0))&lt;&gt;0,INDEX(使用レシピ!G:G,MATCH(テンプレート!$C259,使用レシピ!$E:$E,0)),""),"")</f>
        <v/>
      </c>
      <c r="F259" t="str">
        <f>IFERROR(IF(INDEX(使用レシピ!H:H,MATCH(テンプレート!$C259,使用レシピ!$E:$E,0))&lt;&gt;0,INDEX(使用レシピ!H:H,MATCH(テンプレート!$C259,使用レシピ!$E:$E,0)),""),"")</f>
        <v/>
      </c>
      <c r="G259" t="str">
        <f>IFERROR(IF(INDEX(使用レシピ!I:I,MATCH(テンプレート!$C259,使用レシピ!$E:$E,0))&lt;&gt;0,INDEX(使用レシピ!I:I,MATCH(テンプレート!$C259,使用レシピ!$E:$E,0)),""),"")</f>
        <v/>
      </c>
      <c r="H259" s="24" t="str">
        <f>IFERROR(IF(INDEX(使用レシピ!J:J,MATCH(テンプレート!$C259,使用レシピ!$E:$E,0))&lt;&gt;0,INDEX(使用レシピ!J:J,MATCH(テンプレート!$C259,使用レシピ!$E:$E,0)),""),"")</f>
        <v/>
      </c>
      <c r="I259" s="36" t="str">
        <f>IFERROR(IF(INDEX(使用レシピ!P:P,MATCH(テンプレート!$C259,使用レシピ!$E:$E,0))&lt;&gt;0,INDEX(使用レシピ!P:P,MATCH(テンプレート!$C259,使用レシピ!$E:$E,0)),""),"")</f>
        <v/>
      </c>
      <c r="J259" t="str">
        <f>IFERROR(IF(INDEX(使用レシピ!K:K,MATCH(テンプレート!$C259,使用レシピ!$E:$E,0))&lt;&gt;0,INDEX(使用レシピ!K:K,MATCH(テンプレート!$C259,使用レシピ!$E:$E,0)),""),"")</f>
        <v/>
      </c>
      <c r="K259" t="str">
        <f>IFERROR(IF(INDEX(使用レシピ!L:L,MATCH(テンプレート!$C259,使用レシピ!$E:$E,0))&lt;&gt;0,INDEX(使用レシピ!L:L,MATCH(テンプレート!$C259,使用レシピ!$E:$E,0)),""),"")</f>
        <v/>
      </c>
      <c r="L259" t="str">
        <f>IFERROR(IF(INDEX(使用レシピ!M:M,MATCH(テンプレート!$C259,使用レシピ!$E:$E,0))&lt;&gt;0,INDEX(使用レシピ!M:M,MATCH(テンプレート!$C259,使用レシピ!$E:$E,0)),""),"")</f>
        <v/>
      </c>
      <c r="M259" t="str">
        <f>IFERROR(IF(INDEX(使用レシピ!N:N,MATCH(テンプレート!$C259,使用レシピ!$E:$E,0))&lt;&gt;0,INDEX(使用レシピ!N:N,MATCH(テンプレート!$C259,使用レシピ!$E:$E,0)),""),"")</f>
        <v/>
      </c>
      <c r="N259" s="24" t="str">
        <f>IFERROR(IF(INDEX(使用レシピ!O:O,MATCH(テンプレート!$C259,使用レシピ!$E:$E,0))&lt;&gt;0,INDEX(使用レシピ!O:O,MATCH(テンプレート!$C259,使用レシピ!$E:$E,0)),""),"")</f>
        <v/>
      </c>
      <c r="O259" s="42" t="str">
        <f>IFERROR(IF(INDEX(使用レシピ!P:P,MATCH(テンプレート!$C259,使用レシピ!$E:$E,0))&lt;&gt;0,INDEX(使用レシピ!P:P,MATCH(テンプレート!$C259,使用レシピ!$E:$E,0)),""),"")</f>
        <v/>
      </c>
      <c r="P259" s="25" t="str">
        <f t="shared" si="18"/>
        <v/>
      </c>
      <c r="Q259" s="26" t="str">
        <f t="shared" si="19"/>
        <v/>
      </c>
      <c r="R259" s="26" t="str">
        <f t="shared" si="20"/>
        <v/>
      </c>
      <c r="S259" s="26" t="str">
        <f t="shared" si="21"/>
        <v/>
      </c>
      <c r="T259" s="43" t="str">
        <f t="shared" si="21"/>
        <v/>
      </c>
    </row>
    <row r="260" spans="2:20" x14ac:dyDescent="0.4">
      <c r="B260" s="47" t="str" cm="1">
        <f t="array" ref="B260">IFERROR((INDEX($P$4:$T$1000,MATCH(VALUE(LEFT($A260,LEN($A260)-1)),$A$4:$A$1000,0),VALUE(RIGHT($A260,1)))/ INDEX($O$4:$O$1000,MATCH(VALUE(LEFT($A260,LEN($A260)-1)),$A$4:$A$1000))) * INDEX($B$4:$B$1000,MATCH(VALUE(LEFT($A260,LEN($A260)-1)),$A$4:$A$1000)),"")</f>
        <v/>
      </c>
      <c r="C260" s="38" t="str" cm="1">
        <f t="array" ref="C260">IFERROR(IF(INDEX($D$4:$H$1000,MATCH(VALUE(LEFT($A260,LEN($A260)-1)),$A$4:$A$1000,0),VALUE(RIGHT($A260,1)))= 0,"",INDEX($D$4:$H$1000,MATCH(VALUE(LEFT($A260,LEN($A260)-1)),$A$4:$A$1000,0),VALUE(RIGHT($A260,1)))),"")</f>
        <v/>
      </c>
      <c r="D260" s="23" t="str">
        <f>IFERROR(IF(INDEX(使用レシピ!F:F,MATCH(テンプレート!$C260,使用レシピ!$E:$E,0))&lt;&gt;0,INDEX(使用レシピ!F:F,MATCH(テンプレート!$C260,使用レシピ!$E:$E,0)),""),"")</f>
        <v/>
      </c>
      <c r="E260" t="str">
        <f>IFERROR(IF(INDEX(使用レシピ!G:G,MATCH(テンプレート!$C260,使用レシピ!$E:$E,0))&lt;&gt;0,INDEX(使用レシピ!G:G,MATCH(テンプレート!$C260,使用レシピ!$E:$E,0)),""),"")</f>
        <v/>
      </c>
      <c r="F260" t="str">
        <f>IFERROR(IF(INDEX(使用レシピ!H:H,MATCH(テンプレート!$C260,使用レシピ!$E:$E,0))&lt;&gt;0,INDEX(使用レシピ!H:H,MATCH(テンプレート!$C260,使用レシピ!$E:$E,0)),""),"")</f>
        <v/>
      </c>
      <c r="G260" t="str">
        <f>IFERROR(IF(INDEX(使用レシピ!I:I,MATCH(テンプレート!$C260,使用レシピ!$E:$E,0))&lt;&gt;0,INDEX(使用レシピ!I:I,MATCH(テンプレート!$C260,使用レシピ!$E:$E,0)),""),"")</f>
        <v/>
      </c>
      <c r="H260" s="24" t="str">
        <f>IFERROR(IF(INDEX(使用レシピ!J:J,MATCH(テンプレート!$C260,使用レシピ!$E:$E,0))&lt;&gt;0,INDEX(使用レシピ!J:J,MATCH(テンプレート!$C260,使用レシピ!$E:$E,0)),""),"")</f>
        <v/>
      </c>
      <c r="I260" s="36" t="str">
        <f>IFERROR(IF(INDEX(使用レシピ!P:P,MATCH(テンプレート!$C260,使用レシピ!$E:$E,0))&lt;&gt;0,INDEX(使用レシピ!P:P,MATCH(テンプレート!$C260,使用レシピ!$E:$E,0)),""),"")</f>
        <v/>
      </c>
      <c r="J260" t="str">
        <f>IFERROR(IF(INDEX(使用レシピ!K:K,MATCH(テンプレート!$C260,使用レシピ!$E:$E,0))&lt;&gt;0,INDEX(使用レシピ!K:K,MATCH(テンプレート!$C260,使用レシピ!$E:$E,0)),""),"")</f>
        <v/>
      </c>
      <c r="K260" t="str">
        <f>IFERROR(IF(INDEX(使用レシピ!L:L,MATCH(テンプレート!$C260,使用レシピ!$E:$E,0))&lt;&gt;0,INDEX(使用レシピ!L:L,MATCH(テンプレート!$C260,使用レシピ!$E:$E,0)),""),"")</f>
        <v/>
      </c>
      <c r="L260" t="str">
        <f>IFERROR(IF(INDEX(使用レシピ!M:M,MATCH(テンプレート!$C260,使用レシピ!$E:$E,0))&lt;&gt;0,INDEX(使用レシピ!M:M,MATCH(テンプレート!$C260,使用レシピ!$E:$E,0)),""),"")</f>
        <v/>
      </c>
      <c r="M260" t="str">
        <f>IFERROR(IF(INDEX(使用レシピ!N:N,MATCH(テンプレート!$C260,使用レシピ!$E:$E,0))&lt;&gt;0,INDEX(使用レシピ!N:N,MATCH(テンプレート!$C260,使用レシピ!$E:$E,0)),""),"")</f>
        <v/>
      </c>
      <c r="N260" s="24" t="str">
        <f>IFERROR(IF(INDEX(使用レシピ!O:O,MATCH(テンプレート!$C260,使用レシピ!$E:$E,0))&lt;&gt;0,INDEX(使用レシピ!O:O,MATCH(テンプレート!$C260,使用レシピ!$E:$E,0)),""),"")</f>
        <v/>
      </c>
      <c r="O260" s="42" t="str">
        <f>IFERROR(IF(INDEX(使用レシピ!P:P,MATCH(テンプレート!$C260,使用レシピ!$E:$E,0))&lt;&gt;0,INDEX(使用レシピ!P:P,MATCH(テンプレート!$C260,使用レシピ!$E:$E,0)),""),"")</f>
        <v/>
      </c>
      <c r="P260" s="25" t="str">
        <f t="shared" si="18"/>
        <v/>
      </c>
      <c r="Q260" s="26" t="str">
        <f t="shared" si="19"/>
        <v/>
      </c>
      <c r="R260" s="26" t="str">
        <f t="shared" si="20"/>
        <v/>
      </c>
      <c r="S260" s="26" t="str">
        <f t="shared" si="21"/>
        <v/>
      </c>
      <c r="T260" s="43" t="str">
        <f t="shared" si="21"/>
        <v/>
      </c>
    </row>
    <row r="261" spans="2:20" x14ac:dyDescent="0.4">
      <c r="B261" s="47" t="str" cm="1">
        <f t="array" ref="B261">IFERROR((INDEX($P$4:$T$1000,MATCH(VALUE(LEFT($A261,LEN($A261)-1)),$A$4:$A$1000,0),VALUE(RIGHT($A261,1)))/ INDEX($O$4:$O$1000,MATCH(VALUE(LEFT($A261,LEN($A261)-1)),$A$4:$A$1000))) * INDEX($B$4:$B$1000,MATCH(VALUE(LEFT($A261,LEN($A261)-1)),$A$4:$A$1000)),"")</f>
        <v/>
      </c>
      <c r="C261" s="38" t="str" cm="1">
        <f t="array" ref="C261">IFERROR(IF(INDEX($D$4:$H$1000,MATCH(VALUE(LEFT($A261,LEN($A261)-1)),$A$4:$A$1000,0),VALUE(RIGHT($A261,1)))= 0,"",INDEX($D$4:$H$1000,MATCH(VALUE(LEFT($A261,LEN($A261)-1)),$A$4:$A$1000,0),VALUE(RIGHT($A261,1)))),"")</f>
        <v/>
      </c>
      <c r="D261" s="23" t="str">
        <f>IFERROR(IF(INDEX(使用レシピ!F:F,MATCH(テンプレート!$C261,使用レシピ!$E:$E,0))&lt;&gt;0,INDEX(使用レシピ!F:F,MATCH(テンプレート!$C261,使用レシピ!$E:$E,0)),""),"")</f>
        <v/>
      </c>
      <c r="E261" t="str">
        <f>IFERROR(IF(INDEX(使用レシピ!G:G,MATCH(テンプレート!$C261,使用レシピ!$E:$E,0))&lt;&gt;0,INDEX(使用レシピ!G:G,MATCH(テンプレート!$C261,使用レシピ!$E:$E,0)),""),"")</f>
        <v/>
      </c>
      <c r="F261" t="str">
        <f>IFERROR(IF(INDEX(使用レシピ!H:H,MATCH(テンプレート!$C261,使用レシピ!$E:$E,0))&lt;&gt;0,INDEX(使用レシピ!H:H,MATCH(テンプレート!$C261,使用レシピ!$E:$E,0)),""),"")</f>
        <v/>
      </c>
      <c r="G261" t="str">
        <f>IFERROR(IF(INDEX(使用レシピ!I:I,MATCH(テンプレート!$C261,使用レシピ!$E:$E,0))&lt;&gt;0,INDEX(使用レシピ!I:I,MATCH(テンプレート!$C261,使用レシピ!$E:$E,0)),""),"")</f>
        <v/>
      </c>
      <c r="H261" s="24" t="str">
        <f>IFERROR(IF(INDEX(使用レシピ!J:J,MATCH(テンプレート!$C261,使用レシピ!$E:$E,0))&lt;&gt;0,INDEX(使用レシピ!J:J,MATCH(テンプレート!$C261,使用レシピ!$E:$E,0)),""),"")</f>
        <v/>
      </c>
      <c r="I261" s="36" t="str">
        <f>IFERROR(IF(INDEX(使用レシピ!P:P,MATCH(テンプレート!$C261,使用レシピ!$E:$E,0))&lt;&gt;0,INDEX(使用レシピ!P:P,MATCH(テンプレート!$C261,使用レシピ!$E:$E,0)),""),"")</f>
        <v/>
      </c>
      <c r="J261" t="str">
        <f>IFERROR(IF(INDEX(使用レシピ!K:K,MATCH(テンプレート!$C261,使用レシピ!$E:$E,0))&lt;&gt;0,INDEX(使用レシピ!K:K,MATCH(テンプレート!$C261,使用レシピ!$E:$E,0)),""),"")</f>
        <v/>
      </c>
      <c r="K261" t="str">
        <f>IFERROR(IF(INDEX(使用レシピ!L:L,MATCH(テンプレート!$C261,使用レシピ!$E:$E,0))&lt;&gt;0,INDEX(使用レシピ!L:L,MATCH(テンプレート!$C261,使用レシピ!$E:$E,0)),""),"")</f>
        <v/>
      </c>
      <c r="L261" t="str">
        <f>IFERROR(IF(INDEX(使用レシピ!M:M,MATCH(テンプレート!$C261,使用レシピ!$E:$E,0))&lt;&gt;0,INDEX(使用レシピ!M:M,MATCH(テンプレート!$C261,使用レシピ!$E:$E,0)),""),"")</f>
        <v/>
      </c>
      <c r="M261" t="str">
        <f>IFERROR(IF(INDEX(使用レシピ!N:N,MATCH(テンプレート!$C261,使用レシピ!$E:$E,0))&lt;&gt;0,INDEX(使用レシピ!N:N,MATCH(テンプレート!$C261,使用レシピ!$E:$E,0)),""),"")</f>
        <v/>
      </c>
      <c r="N261" s="24" t="str">
        <f>IFERROR(IF(INDEX(使用レシピ!O:O,MATCH(テンプレート!$C261,使用レシピ!$E:$E,0))&lt;&gt;0,INDEX(使用レシピ!O:O,MATCH(テンプレート!$C261,使用レシピ!$E:$E,0)),""),"")</f>
        <v/>
      </c>
      <c r="O261" s="42" t="str">
        <f>IFERROR(IF(INDEX(使用レシピ!P:P,MATCH(テンプレート!$C261,使用レシピ!$E:$E,0))&lt;&gt;0,INDEX(使用レシピ!P:P,MATCH(テンプレート!$C261,使用レシピ!$E:$E,0)),""),"")</f>
        <v/>
      </c>
      <c r="P261" s="25" t="str">
        <f t="shared" ref="P261:P300" si="22">IFERROR(IF($O261/$I261*J261 &gt; 0,$O261/$I261*J261,""),"")</f>
        <v/>
      </c>
      <c r="Q261" s="26" t="str">
        <f t="shared" ref="Q261:Q300" si="23">IFERROR(IF($O261/$I261*K261 &gt; 0,$O261/$I261*K261,""),"")</f>
        <v/>
      </c>
      <c r="R261" s="26" t="str">
        <f t="shared" ref="R261:R300" si="24">IFERROR(IF($O261/$I261*L261 &gt; 0,$O261/$I261*L261,""),"")</f>
        <v/>
      </c>
      <c r="S261" s="26" t="str">
        <f t="shared" ref="S261:T300" si="25">IFERROR(IF($O261/$I261*M261 &gt; 0,$O261/$I261*M261,""),"")</f>
        <v/>
      </c>
      <c r="T261" s="43" t="str">
        <f t="shared" si="25"/>
        <v/>
      </c>
    </row>
    <row r="262" spans="2:20" x14ac:dyDescent="0.4">
      <c r="B262" s="47" t="str" cm="1">
        <f t="array" ref="B262">IFERROR((INDEX($P$4:$T$1000,MATCH(VALUE(LEFT($A262,LEN($A262)-1)),$A$4:$A$1000,0),VALUE(RIGHT($A262,1)))/ INDEX($O$4:$O$1000,MATCH(VALUE(LEFT($A262,LEN($A262)-1)),$A$4:$A$1000))) * INDEX($B$4:$B$1000,MATCH(VALUE(LEFT($A262,LEN($A262)-1)),$A$4:$A$1000)),"")</f>
        <v/>
      </c>
      <c r="C262" s="38" t="str" cm="1">
        <f t="array" ref="C262">IFERROR(IF(INDEX($D$4:$H$1000,MATCH(VALUE(LEFT($A262,LEN($A262)-1)),$A$4:$A$1000,0),VALUE(RIGHT($A262,1)))= 0,"",INDEX($D$4:$H$1000,MATCH(VALUE(LEFT($A262,LEN($A262)-1)),$A$4:$A$1000,0),VALUE(RIGHT($A262,1)))),"")</f>
        <v/>
      </c>
      <c r="D262" s="23" t="str">
        <f>IFERROR(IF(INDEX(使用レシピ!F:F,MATCH(テンプレート!$C262,使用レシピ!$E:$E,0))&lt;&gt;0,INDEX(使用レシピ!F:F,MATCH(テンプレート!$C262,使用レシピ!$E:$E,0)),""),"")</f>
        <v/>
      </c>
      <c r="E262" t="str">
        <f>IFERROR(IF(INDEX(使用レシピ!G:G,MATCH(テンプレート!$C262,使用レシピ!$E:$E,0))&lt;&gt;0,INDEX(使用レシピ!G:G,MATCH(テンプレート!$C262,使用レシピ!$E:$E,0)),""),"")</f>
        <v/>
      </c>
      <c r="F262" t="str">
        <f>IFERROR(IF(INDEX(使用レシピ!H:H,MATCH(テンプレート!$C262,使用レシピ!$E:$E,0))&lt;&gt;0,INDEX(使用レシピ!H:H,MATCH(テンプレート!$C262,使用レシピ!$E:$E,0)),""),"")</f>
        <v/>
      </c>
      <c r="G262" t="str">
        <f>IFERROR(IF(INDEX(使用レシピ!I:I,MATCH(テンプレート!$C262,使用レシピ!$E:$E,0))&lt;&gt;0,INDEX(使用レシピ!I:I,MATCH(テンプレート!$C262,使用レシピ!$E:$E,0)),""),"")</f>
        <v/>
      </c>
      <c r="H262" s="24" t="str">
        <f>IFERROR(IF(INDEX(使用レシピ!J:J,MATCH(テンプレート!$C262,使用レシピ!$E:$E,0))&lt;&gt;0,INDEX(使用レシピ!J:J,MATCH(テンプレート!$C262,使用レシピ!$E:$E,0)),""),"")</f>
        <v/>
      </c>
      <c r="I262" s="36" t="str">
        <f>IFERROR(IF(INDEX(使用レシピ!P:P,MATCH(テンプレート!$C262,使用レシピ!$E:$E,0))&lt;&gt;0,INDEX(使用レシピ!P:P,MATCH(テンプレート!$C262,使用レシピ!$E:$E,0)),""),"")</f>
        <v/>
      </c>
      <c r="J262" t="str">
        <f>IFERROR(IF(INDEX(使用レシピ!K:K,MATCH(テンプレート!$C262,使用レシピ!$E:$E,0))&lt;&gt;0,INDEX(使用レシピ!K:K,MATCH(テンプレート!$C262,使用レシピ!$E:$E,0)),""),"")</f>
        <v/>
      </c>
      <c r="K262" t="str">
        <f>IFERROR(IF(INDEX(使用レシピ!L:L,MATCH(テンプレート!$C262,使用レシピ!$E:$E,0))&lt;&gt;0,INDEX(使用レシピ!L:L,MATCH(テンプレート!$C262,使用レシピ!$E:$E,0)),""),"")</f>
        <v/>
      </c>
      <c r="L262" t="str">
        <f>IFERROR(IF(INDEX(使用レシピ!M:M,MATCH(テンプレート!$C262,使用レシピ!$E:$E,0))&lt;&gt;0,INDEX(使用レシピ!M:M,MATCH(テンプレート!$C262,使用レシピ!$E:$E,0)),""),"")</f>
        <v/>
      </c>
      <c r="M262" t="str">
        <f>IFERROR(IF(INDEX(使用レシピ!N:N,MATCH(テンプレート!$C262,使用レシピ!$E:$E,0))&lt;&gt;0,INDEX(使用レシピ!N:N,MATCH(テンプレート!$C262,使用レシピ!$E:$E,0)),""),"")</f>
        <v/>
      </c>
      <c r="N262" s="24" t="str">
        <f>IFERROR(IF(INDEX(使用レシピ!O:O,MATCH(テンプレート!$C262,使用レシピ!$E:$E,0))&lt;&gt;0,INDEX(使用レシピ!O:O,MATCH(テンプレート!$C262,使用レシピ!$E:$E,0)),""),"")</f>
        <v/>
      </c>
      <c r="O262" s="42" t="str">
        <f>IFERROR(IF(INDEX(使用レシピ!P:P,MATCH(テンプレート!$C262,使用レシピ!$E:$E,0))&lt;&gt;0,INDEX(使用レシピ!P:P,MATCH(テンプレート!$C262,使用レシピ!$E:$E,0)),""),"")</f>
        <v/>
      </c>
      <c r="P262" s="25" t="str">
        <f t="shared" si="22"/>
        <v/>
      </c>
      <c r="Q262" s="26" t="str">
        <f t="shared" si="23"/>
        <v/>
      </c>
      <c r="R262" s="26" t="str">
        <f t="shared" si="24"/>
        <v/>
      </c>
      <c r="S262" s="26" t="str">
        <f t="shared" si="25"/>
        <v/>
      </c>
      <c r="T262" s="43" t="str">
        <f t="shared" si="25"/>
        <v/>
      </c>
    </row>
    <row r="263" spans="2:20" x14ac:dyDescent="0.4">
      <c r="B263" s="47" t="str" cm="1">
        <f t="array" ref="B263">IFERROR((INDEX($P$4:$T$1000,MATCH(VALUE(LEFT($A263,LEN($A263)-1)),$A$4:$A$1000,0),VALUE(RIGHT($A263,1)))/ INDEX($O$4:$O$1000,MATCH(VALUE(LEFT($A263,LEN($A263)-1)),$A$4:$A$1000))) * INDEX($B$4:$B$1000,MATCH(VALUE(LEFT($A263,LEN($A263)-1)),$A$4:$A$1000)),"")</f>
        <v/>
      </c>
      <c r="C263" s="38" t="str" cm="1">
        <f t="array" ref="C263">IFERROR(IF(INDEX($D$4:$H$1000,MATCH(VALUE(LEFT($A263,LEN($A263)-1)),$A$4:$A$1000,0),VALUE(RIGHT($A263,1)))= 0,"",INDEX($D$4:$H$1000,MATCH(VALUE(LEFT($A263,LEN($A263)-1)),$A$4:$A$1000,0),VALUE(RIGHT($A263,1)))),"")</f>
        <v/>
      </c>
      <c r="D263" s="23" t="str">
        <f>IFERROR(IF(INDEX(使用レシピ!F:F,MATCH(テンプレート!$C263,使用レシピ!$E:$E,0))&lt;&gt;0,INDEX(使用レシピ!F:F,MATCH(テンプレート!$C263,使用レシピ!$E:$E,0)),""),"")</f>
        <v/>
      </c>
      <c r="E263" t="str">
        <f>IFERROR(IF(INDEX(使用レシピ!G:G,MATCH(テンプレート!$C263,使用レシピ!$E:$E,0))&lt;&gt;0,INDEX(使用レシピ!G:G,MATCH(テンプレート!$C263,使用レシピ!$E:$E,0)),""),"")</f>
        <v/>
      </c>
      <c r="F263" t="str">
        <f>IFERROR(IF(INDEX(使用レシピ!H:H,MATCH(テンプレート!$C263,使用レシピ!$E:$E,0))&lt;&gt;0,INDEX(使用レシピ!H:H,MATCH(テンプレート!$C263,使用レシピ!$E:$E,0)),""),"")</f>
        <v/>
      </c>
      <c r="G263" t="str">
        <f>IFERROR(IF(INDEX(使用レシピ!I:I,MATCH(テンプレート!$C263,使用レシピ!$E:$E,0))&lt;&gt;0,INDEX(使用レシピ!I:I,MATCH(テンプレート!$C263,使用レシピ!$E:$E,0)),""),"")</f>
        <v/>
      </c>
      <c r="H263" s="24" t="str">
        <f>IFERROR(IF(INDEX(使用レシピ!J:J,MATCH(テンプレート!$C263,使用レシピ!$E:$E,0))&lt;&gt;0,INDEX(使用レシピ!J:J,MATCH(テンプレート!$C263,使用レシピ!$E:$E,0)),""),"")</f>
        <v/>
      </c>
      <c r="I263" s="36" t="str">
        <f>IFERROR(IF(INDEX(使用レシピ!P:P,MATCH(テンプレート!$C263,使用レシピ!$E:$E,0))&lt;&gt;0,INDEX(使用レシピ!P:P,MATCH(テンプレート!$C263,使用レシピ!$E:$E,0)),""),"")</f>
        <v/>
      </c>
      <c r="J263" t="str">
        <f>IFERROR(IF(INDEX(使用レシピ!K:K,MATCH(テンプレート!$C263,使用レシピ!$E:$E,0))&lt;&gt;0,INDEX(使用レシピ!K:K,MATCH(テンプレート!$C263,使用レシピ!$E:$E,0)),""),"")</f>
        <v/>
      </c>
      <c r="K263" t="str">
        <f>IFERROR(IF(INDEX(使用レシピ!L:L,MATCH(テンプレート!$C263,使用レシピ!$E:$E,0))&lt;&gt;0,INDEX(使用レシピ!L:L,MATCH(テンプレート!$C263,使用レシピ!$E:$E,0)),""),"")</f>
        <v/>
      </c>
      <c r="L263" t="str">
        <f>IFERROR(IF(INDEX(使用レシピ!M:M,MATCH(テンプレート!$C263,使用レシピ!$E:$E,0))&lt;&gt;0,INDEX(使用レシピ!M:M,MATCH(テンプレート!$C263,使用レシピ!$E:$E,0)),""),"")</f>
        <v/>
      </c>
      <c r="M263" t="str">
        <f>IFERROR(IF(INDEX(使用レシピ!N:N,MATCH(テンプレート!$C263,使用レシピ!$E:$E,0))&lt;&gt;0,INDEX(使用レシピ!N:N,MATCH(テンプレート!$C263,使用レシピ!$E:$E,0)),""),"")</f>
        <v/>
      </c>
      <c r="N263" s="24" t="str">
        <f>IFERROR(IF(INDEX(使用レシピ!O:O,MATCH(テンプレート!$C263,使用レシピ!$E:$E,0))&lt;&gt;0,INDEX(使用レシピ!O:O,MATCH(テンプレート!$C263,使用レシピ!$E:$E,0)),""),"")</f>
        <v/>
      </c>
      <c r="O263" s="42" t="str">
        <f>IFERROR(IF(INDEX(使用レシピ!P:P,MATCH(テンプレート!$C263,使用レシピ!$E:$E,0))&lt;&gt;0,INDEX(使用レシピ!P:P,MATCH(テンプレート!$C263,使用レシピ!$E:$E,0)),""),"")</f>
        <v/>
      </c>
      <c r="P263" s="25" t="str">
        <f t="shared" si="22"/>
        <v/>
      </c>
      <c r="Q263" s="26" t="str">
        <f t="shared" si="23"/>
        <v/>
      </c>
      <c r="R263" s="26" t="str">
        <f t="shared" si="24"/>
        <v/>
      </c>
      <c r="S263" s="26" t="str">
        <f t="shared" si="25"/>
        <v/>
      </c>
      <c r="T263" s="43" t="str">
        <f t="shared" si="25"/>
        <v/>
      </c>
    </row>
    <row r="264" spans="2:20" x14ac:dyDescent="0.4">
      <c r="B264" s="47" t="str" cm="1">
        <f t="array" ref="B264">IFERROR((INDEX($P$4:$T$1000,MATCH(VALUE(LEFT($A264,LEN($A264)-1)),$A$4:$A$1000,0),VALUE(RIGHT($A264,1)))/ INDEX($O$4:$O$1000,MATCH(VALUE(LEFT($A264,LEN($A264)-1)),$A$4:$A$1000))) * INDEX($B$4:$B$1000,MATCH(VALUE(LEFT($A264,LEN($A264)-1)),$A$4:$A$1000)),"")</f>
        <v/>
      </c>
      <c r="C264" s="38" t="str" cm="1">
        <f t="array" ref="C264">IFERROR(IF(INDEX($D$4:$H$1000,MATCH(VALUE(LEFT($A264,LEN($A264)-1)),$A$4:$A$1000,0),VALUE(RIGHT($A264,1)))= 0,"",INDEX($D$4:$H$1000,MATCH(VALUE(LEFT($A264,LEN($A264)-1)),$A$4:$A$1000,0),VALUE(RIGHT($A264,1)))),"")</f>
        <v/>
      </c>
      <c r="D264" s="23" t="str">
        <f>IFERROR(IF(INDEX(使用レシピ!F:F,MATCH(テンプレート!$C264,使用レシピ!$E:$E,0))&lt;&gt;0,INDEX(使用レシピ!F:F,MATCH(テンプレート!$C264,使用レシピ!$E:$E,0)),""),"")</f>
        <v/>
      </c>
      <c r="E264" t="str">
        <f>IFERROR(IF(INDEX(使用レシピ!G:G,MATCH(テンプレート!$C264,使用レシピ!$E:$E,0))&lt;&gt;0,INDEX(使用レシピ!G:G,MATCH(テンプレート!$C264,使用レシピ!$E:$E,0)),""),"")</f>
        <v/>
      </c>
      <c r="F264" t="str">
        <f>IFERROR(IF(INDEX(使用レシピ!H:H,MATCH(テンプレート!$C264,使用レシピ!$E:$E,0))&lt;&gt;0,INDEX(使用レシピ!H:H,MATCH(テンプレート!$C264,使用レシピ!$E:$E,0)),""),"")</f>
        <v/>
      </c>
      <c r="G264" t="str">
        <f>IFERROR(IF(INDEX(使用レシピ!I:I,MATCH(テンプレート!$C264,使用レシピ!$E:$E,0))&lt;&gt;0,INDEX(使用レシピ!I:I,MATCH(テンプレート!$C264,使用レシピ!$E:$E,0)),""),"")</f>
        <v/>
      </c>
      <c r="H264" s="24" t="str">
        <f>IFERROR(IF(INDEX(使用レシピ!J:J,MATCH(テンプレート!$C264,使用レシピ!$E:$E,0))&lt;&gt;0,INDEX(使用レシピ!J:J,MATCH(テンプレート!$C264,使用レシピ!$E:$E,0)),""),"")</f>
        <v/>
      </c>
      <c r="I264" s="36" t="str">
        <f>IFERROR(IF(INDEX(使用レシピ!P:P,MATCH(テンプレート!$C264,使用レシピ!$E:$E,0))&lt;&gt;0,INDEX(使用レシピ!P:P,MATCH(テンプレート!$C264,使用レシピ!$E:$E,0)),""),"")</f>
        <v/>
      </c>
      <c r="J264" t="str">
        <f>IFERROR(IF(INDEX(使用レシピ!K:K,MATCH(テンプレート!$C264,使用レシピ!$E:$E,0))&lt;&gt;0,INDEX(使用レシピ!K:K,MATCH(テンプレート!$C264,使用レシピ!$E:$E,0)),""),"")</f>
        <v/>
      </c>
      <c r="K264" t="str">
        <f>IFERROR(IF(INDEX(使用レシピ!L:L,MATCH(テンプレート!$C264,使用レシピ!$E:$E,0))&lt;&gt;0,INDEX(使用レシピ!L:L,MATCH(テンプレート!$C264,使用レシピ!$E:$E,0)),""),"")</f>
        <v/>
      </c>
      <c r="L264" t="str">
        <f>IFERROR(IF(INDEX(使用レシピ!M:M,MATCH(テンプレート!$C264,使用レシピ!$E:$E,0))&lt;&gt;0,INDEX(使用レシピ!M:M,MATCH(テンプレート!$C264,使用レシピ!$E:$E,0)),""),"")</f>
        <v/>
      </c>
      <c r="M264" t="str">
        <f>IFERROR(IF(INDEX(使用レシピ!N:N,MATCH(テンプレート!$C264,使用レシピ!$E:$E,0))&lt;&gt;0,INDEX(使用レシピ!N:N,MATCH(テンプレート!$C264,使用レシピ!$E:$E,0)),""),"")</f>
        <v/>
      </c>
      <c r="N264" s="24" t="str">
        <f>IFERROR(IF(INDEX(使用レシピ!O:O,MATCH(テンプレート!$C264,使用レシピ!$E:$E,0))&lt;&gt;0,INDEX(使用レシピ!O:O,MATCH(テンプレート!$C264,使用レシピ!$E:$E,0)),""),"")</f>
        <v/>
      </c>
      <c r="O264" s="42" t="str">
        <f>IFERROR(IF(INDEX(使用レシピ!P:P,MATCH(テンプレート!$C264,使用レシピ!$E:$E,0))&lt;&gt;0,INDEX(使用レシピ!P:P,MATCH(テンプレート!$C264,使用レシピ!$E:$E,0)),""),"")</f>
        <v/>
      </c>
      <c r="P264" s="25" t="str">
        <f t="shared" si="22"/>
        <v/>
      </c>
      <c r="Q264" s="26" t="str">
        <f t="shared" si="23"/>
        <v/>
      </c>
      <c r="R264" s="26" t="str">
        <f t="shared" si="24"/>
        <v/>
      </c>
      <c r="S264" s="26" t="str">
        <f t="shared" si="25"/>
        <v/>
      </c>
      <c r="T264" s="43" t="str">
        <f t="shared" si="25"/>
        <v/>
      </c>
    </row>
    <row r="265" spans="2:20" x14ac:dyDescent="0.4">
      <c r="B265" s="47" t="str" cm="1">
        <f t="array" ref="B265">IFERROR((INDEX($P$4:$T$1000,MATCH(VALUE(LEFT($A265,LEN($A265)-1)),$A$4:$A$1000,0),VALUE(RIGHT($A265,1)))/ INDEX($O$4:$O$1000,MATCH(VALUE(LEFT($A265,LEN($A265)-1)),$A$4:$A$1000))) * INDEX($B$4:$B$1000,MATCH(VALUE(LEFT($A265,LEN($A265)-1)),$A$4:$A$1000)),"")</f>
        <v/>
      </c>
      <c r="C265" s="38" t="str" cm="1">
        <f t="array" ref="C265">IFERROR(IF(INDEX($D$4:$H$1000,MATCH(VALUE(LEFT($A265,LEN($A265)-1)),$A$4:$A$1000,0),VALUE(RIGHT($A265,1)))= 0,"",INDEX($D$4:$H$1000,MATCH(VALUE(LEFT($A265,LEN($A265)-1)),$A$4:$A$1000,0),VALUE(RIGHT($A265,1)))),"")</f>
        <v/>
      </c>
      <c r="D265" s="23" t="str">
        <f>IFERROR(IF(INDEX(使用レシピ!F:F,MATCH(テンプレート!$C265,使用レシピ!$E:$E,0))&lt;&gt;0,INDEX(使用レシピ!F:F,MATCH(テンプレート!$C265,使用レシピ!$E:$E,0)),""),"")</f>
        <v/>
      </c>
      <c r="E265" t="str">
        <f>IFERROR(IF(INDEX(使用レシピ!G:G,MATCH(テンプレート!$C265,使用レシピ!$E:$E,0))&lt;&gt;0,INDEX(使用レシピ!G:G,MATCH(テンプレート!$C265,使用レシピ!$E:$E,0)),""),"")</f>
        <v/>
      </c>
      <c r="F265" t="str">
        <f>IFERROR(IF(INDEX(使用レシピ!H:H,MATCH(テンプレート!$C265,使用レシピ!$E:$E,0))&lt;&gt;0,INDEX(使用レシピ!H:H,MATCH(テンプレート!$C265,使用レシピ!$E:$E,0)),""),"")</f>
        <v/>
      </c>
      <c r="G265" t="str">
        <f>IFERROR(IF(INDEX(使用レシピ!I:I,MATCH(テンプレート!$C265,使用レシピ!$E:$E,0))&lt;&gt;0,INDEX(使用レシピ!I:I,MATCH(テンプレート!$C265,使用レシピ!$E:$E,0)),""),"")</f>
        <v/>
      </c>
      <c r="H265" s="24" t="str">
        <f>IFERROR(IF(INDEX(使用レシピ!J:J,MATCH(テンプレート!$C265,使用レシピ!$E:$E,0))&lt;&gt;0,INDEX(使用レシピ!J:J,MATCH(テンプレート!$C265,使用レシピ!$E:$E,0)),""),"")</f>
        <v/>
      </c>
      <c r="I265" s="36" t="str">
        <f>IFERROR(IF(INDEX(使用レシピ!P:P,MATCH(テンプレート!$C265,使用レシピ!$E:$E,0))&lt;&gt;0,INDEX(使用レシピ!P:P,MATCH(テンプレート!$C265,使用レシピ!$E:$E,0)),""),"")</f>
        <v/>
      </c>
      <c r="J265" t="str">
        <f>IFERROR(IF(INDEX(使用レシピ!K:K,MATCH(テンプレート!$C265,使用レシピ!$E:$E,0))&lt;&gt;0,INDEX(使用レシピ!K:K,MATCH(テンプレート!$C265,使用レシピ!$E:$E,0)),""),"")</f>
        <v/>
      </c>
      <c r="K265" t="str">
        <f>IFERROR(IF(INDEX(使用レシピ!L:L,MATCH(テンプレート!$C265,使用レシピ!$E:$E,0))&lt;&gt;0,INDEX(使用レシピ!L:L,MATCH(テンプレート!$C265,使用レシピ!$E:$E,0)),""),"")</f>
        <v/>
      </c>
      <c r="L265" t="str">
        <f>IFERROR(IF(INDEX(使用レシピ!M:M,MATCH(テンプレート!$C265,使用レシピ!$E:$E,0))&lt;&gt;0,INDEX(使用レシピ!M:M,MATCH(テンプレート!$C265,使用レシピ!$E:$E,0)),""),"")</f>
        <v/>
      </c>
      <c r="M265" t="str">
        <f>IFERROR(IF(INDEX(使用レシピ!N:N,MATCH(テンプレート!$C265,使用レシピ!$E:$E,0))&lt;&gt;0,INDEX(使用レシピ!N:N,MATCH(テンプレート!$C265,使用レシピ!$E:$E,0)),""),"")</f>
        <v/>
      </c>
      <c r="N265" s="24" t="str">
        <f>IFERROR(IF(INDEX(使用レシピ!O:O,MATCH(テンプレート!$C265,使用レシピ!$E:$E,0))&lt;&gt;0,INDEX(使用レシピ!O:O,MATCH(テンプレート!$C265,使用レシピ!$E:$E,0)),""),"")</f>
        <v/>
      </c>
      <c r="O265" s="42" t="str">
        <f>IFERROR(IF(INDEX(使用レシピ!P:P,MATCH(テンプレート!$C265,使用レシピ!$E:$E,0))&lt;&gt;0,INDEX(使用レシピ!P:P,MATCH(テンプレート!$C265,使用レシピ!$E:$E,0)),""),"")</f>
        <v/>
      </c>
      <c r="P265" s="25" t="str">
        <f t="shared" si="22"/>
        <v/>
      </c>
      <c r="Q265" s="26" t="str">
        <f t="shared" si="23"/>
        <v/>
      </c>
      <c r="R265" s="26" t="str">
        <f t="shared" si="24"/>
        <v/>
      </c>
      <c r="S265" s="26" t="str">
        <f t="shared" si="25"/>
        <v/>
      </c>
      <c r="T265" s="43" t="str">
        <f t="shared" si="25"/>
        <v/>
      </c>
    </row>
    <row r="266" spans="2:20" x14ac:dyDescent="0.4">
      <c r="B266" s="47" t="str" cm="1">
        <f t="array" ref="B266">IFERROR((INDEX($P$4:$T$1000,MATCH(VALUE(LEFT($A266,LEN($A266)-1)),$A$4:$A$1000,0),VALUE(RIGHT($A266,1)))/ INDEX($O$4:$O$1000,MATCH(VALUE(LEFT($A266,LEN($A266)-1)),$A$4:$A$1000))) * INDEX($B$4:$B$1000,MATCH(VALUE(LEFT($A266,LEN($A266)-1)),$A$4:$A$1000)),"")</f>
        <v/>
      </c>
      <c r="C266" s="38" t="str" cm="1">
        <f t="array" ref="C266">IFERROR(IF(INDEX($D$4:$H$1000,MATCH(VALUE(LEFT($A266,LEN($A266)-1)),$A$4:$A$1000,0),VALUE(RIGHT($A266,1)))= 0,"",INDEX($D$4:$H$1000,MATCH(VALUE(LEFT($A266,LEN($A266)-1)),$A$4:$A$1000,0),VALUE(RIGHT($A266,1)))),"")</f>
        <v/>
      </c>
      <c r="D266" s="23" t="str">
        <f>IFERROR(IF(INDEX(使用レシピ!F:F,MATCH(テンプレート!$C266,使用レシピ!$E:$E,0))&lt;&gt;0,INDEX(使用レシピ!F:F,MATCH(テンプレート!$C266,使用レシピ!$E:$E,0)),""),"")</f>
        <v/>
      </c>
      <c r="E266" t="str">
        <f>IFERROR(IF(INDEX(使用レシピ!G:G,MATCH(テンプレート!$C266,使用レシピ!$E:$E,0))&lt;&gt;0,INDEX(使用レシピ!G:G,MATCH(テンプレート!$C266,使用レシピ!$E:$E,0)),""),"")</f>
        <v/>
      </c>
      <c r="F266" t="str">
        <f>IFERROR(IF(INDEX(使用レシピ!H:H,MATCH(テンプレート!$C266,使用レシピ!$E:$E,0))&lt;&gt;0,INDEX(使用レシピ!H:H,MATCH(テンプレート!$C266,使用レシピ!$E:$E,0)),""),"")</f>
        <v/>
      </c>
      <c r="G266" t="str">
        <f>IFERROR(IF(INDEX(使用レシピ!I:I,MATCH(テンプレート!$C266,使用レシピ!$E:$E,0))&lt;&gt;0,INDEX(使用レシピ!I:I,MATCH(テンプレート!$C266,使用レシピ!$E:$E,0)),""),"")</f>
        <v/>
      </c>
      <c r="H266" s="24" t="str">
        <f>IFERROR(IF(INDEX(使用レシピ!J:J,MATCH(テンプレート!$C266,使用レシピ!$E:$E,0))&lt;&gt;0,INDEX(使用レシピ!J:J,MATCH(テンプレート!$C266,使用レシピ!$E:$E,0)),""),"")</f>
        <v/>
      </c>
      <c r="I266" s="36" t="str">
        <f>IFERROR(IF(INDEX(使用レシピ!P:P,MATCH(テンプレート!$C266,使用レシピ!$E:$E,0))&lt;&gt;0,INDEX(使用レシピ!P:P,MATCH(テンプレート!$C266,使用レシピ!$E:$E,0)),""),"")</f>
        <v/>
      </c>
      <c r="J266" t="str">
        <f>IFERROR(IF(INDEX(使用レシピ!K:K,MATCH(テンプレート!$C266,使用レシピ!$E:$E,0))&lt;&gt;0,INDEX(使用レシピ!K:K,MATCH(テンプレート!$C266,使用レシピ!$E:$E,0)),""),"")</f>
        <v/>
      </c>
      <c r="K266" t="str">
        <f>IFERROR(IF(INDEX(使用レシピ!L:L,MATCH(テンプレート!$C266,使用レシピ!$E:$E,0))&lt;&gt;0,INDEX(使用レシピ!L:L,MATCH(テンプレート!$C266,使用レシピ!$E:$E,0)),""),"")</f>
        <v/>
      </c>
      <c r="L266" t="str">
        <f>IFERROR(IF(INDEX(使用レシピ!M:M,MATCH(テンプレート!$C266,使用レシピ!$E:$E,0))&lt;&gt;0,INDEX(使用レシピ!M:M,MATCH(テンプレート!$C266,使用レシピ!$E:$E,0)),""),"")</f>
        <v/>
      </c>
      <c r="M266" t="str">
        <f>IFERROR(IF(INDEX(使用レシピ!N:N,MATCH(テンプレート!$C266,使用レシピ!$E:$E,0))&lt;&gt;0,INDEX(使用レシピ!N:N,MATCH(テンプレート!$C266,使用レシピ!$E:$E,0)),""),"")</f>
        <v/>
      </c>
      <c r="N266" s="24" t="str">
        <f>IFERROR(IF(INDEX(使用レシピ!O:O,MATCH(テンプレート!$C266,使用レシピ!$E:$E,0))&lt;&gt;0,INDEX(使用レシピ!O:O,MATCH(テンプレート!$C266,使用レシピ!$E:$E,0)),""),"")</f>
        <v/>
      </c>
      <c r="O266" s="42" t="str">
        <f>IFERROR(IF(INDEX(使用レシピ!P:P,MATCH(テンプレート!$C266,使用レシピ!$E:$E,0))&lt;&gt;0,INDEX(使用レシピ!P:P,MATCH(テンプレート!$C266,使用レシピ!$E:$E,0)),""),"")</f>
        <v/>
      </c>
      <c r="P266" s="25" t="str">
        <f t="shared" si="22"/>
        <v/>
      </c>
      <c r="Q266" s="26" t="str">
        <f t="shared" si="23"/>
        <v/>
      </c>
      <c r="R266" s="26" t="str">
        <f t="shared" si="24"/>
        <v/>
      </c>
      <c r="S266" s="26" t="str">
        <f t="shared" si="25"/>
        <v/>
      </c>
      <c r="T266" s="43" t="str">
        <f t="shared" si="25"/>
        <v/>
      </c>
    </row>
    <row r="267" spans="2:20" x14ac:dyDescent="0.4">
      <c r="B267" s="47" t="str" cm="1">
        <f t="array" ref="B267">IFERROR((INDEX($P$4:$T$1000,MATCH(VALUE(LEFT($A267,LEN($A267)-1)),$A$4:$A$1000,0),VALUE(RIGHT($A267,1)))/ INDEX($O$4:$O$1000,MATCH(VALUE(LEFT($A267,LEN($A267)-1)),$A$4:$A$1000))) * INDEX($B$4:$B$1000,MATCH(VALUE(LEFT($A267,LEN($A267)-1)),$A$4:$A$1000)),"")</f>
        <v/>
      </c>
      <c r="C267" s="38" t="str" cm="1">
        <f t="array" ref="C267">IFERROR(IF(INDEX($D$4:$H$1000,MATCH(VALUE(LEFT($A267,LEN($A267)-1)),$A$4:$A$1000,0),VALUE(RIGHT($A267,1)))= 0,"",INDEX($D$4:$H$1000,MATCH(VALUE(LEFT($A267,LEN($A267)-1)),$A$4:$A$1000,0),VALUE(RIGHT($A267,1)))),"")</f>
        <v/>
      </c>
      <c r="D267" s="23" t="str">
        <f>IFERROR(IF(INDEX(使用レシピ!F:F,MATCH(テンプレート!$C267,使用レシピ!$E:$E,0))&lt;&gt;0,INDEX(使用レシピ!F:F,MATCH(テンプレート!$C267,使用レシピ!$E:$E,0)),""),"")</f>
        <v/>
      </c>
      <c r="E267" t="str">
        <f>IFERROR(IF(INDEX(使用レシピ!G:G,MATCH(テンプレート!$C267,使用レシピ!$E:$E,0))&lt;&gt;0,INDEX(使用レシピ!G:G,MATCH(テンプレート!$C267,使用レシピ!$E:$E,0)),""),"")</f>
        <v/>
      </c>
      <c r="F267" t="str">
        <f>IFERROR(IF(INDEX(使用レシピ!H:H,MATCH(テンプレート!$C267,使用レシピ!$E:$E,0))&lt;&gt;0,INDEX(使用レシピ!H:H,MATCH(テンプレート!$C267,使用レシピ!$E:$E,0)),""),"")</f>
        <v/>
      </c>
      <c r="G267" t="str">
        <f>IFERROR(IF(INDEX(使用レシピ!I:I,MATCH(テンプレート!$C267,使用レシピ!$E:$E,0))&lt;&gt;0,INDEX(使用レシピ!I:I,MATCH(テンプレート!$C267,使用レシピ!$E:$E,0)),""),"")</f>
        <v/>
      </c>
      <c r="H267" s="24" t="str">
        <f>IFERROR(IF(INDEX(使用レシピ!J:J,MATCH(テンプレート!$C267,使用レシピ!$E:$E,0))&lt;&gt;0,INDEX(使用レシピ!J:J,MATCH(テンプレート!$C267,使用レシピ!$E:$E,0)),""),"")</f>
        <v/>
      </c>
      <c r="I267" s="36" t="str">
        <f>IFERROR(IF(INDEX(使用レシピ!P:P,MATCH(テンプレート!$C267,使用レシピ!$E:$E,0))&lt;&gt;0,INDEX(使用レシピ!P:P,MATCH(テンプレート!$C267,使用レシピ!$E:$E,0)),""),"")</f>
        <v/>
      </c>
      <c r="J267" t="str">
        <f>IFERROR(IF(INDEX(使用レシピ!K:K,MATCH(テンプレート!$C267,使用レシピ!$E:$E,0))&lt;&gt;0,INDEX(使用レシピ!K:K,MATCH(テンプレート!$C267,使用レシピ!$E:$E,0)),""),"")</f>
        <v/>
      </c>
      <c r="K267" t="str">
        <f>IFERROR(IF(INDEX(使用レシピ!L:L,MATCH(テンプレート!$C267,使用レシピ!$E:$E,0))&lt;&gt;0,INDEX(使用レシピ!L:L,MATCH(テンプレート!$C267,使用レシピ!$E:$E,0)),""),"")</f>
        <v/>
      </c>
      <c r="L267" t="str">
        <f>IFERROR(IF(INDEX(使用レシピ!M:M,MATCH(テンプレート!$C267,使用レシピ!$E:$E,0))&lt;&gt;0,INDEX(使用レシピ!M:M,MATCH(テンプレート!$C267,使用レシピ!$E:$E,0)),""),"")</f>
        <v/>
      </c>
      <c r="M267" t="str">
        <f>IFERROR(IF(INDEX(使用レシピ!N:N,MATCH(テンプレート!$C267,使用レシピ!$E:$E,0))&lt;&gt;0,INDEX(使用レシピ!N:N,MATCH(テンプレート!$C267,使用レシピ!$E:$E,0)),""),"")</f>
        <v/>
      </c>
      <c r="N267" s="24" t="str">
        <f>IFERROR(IF(INDEX(使用レシピ!O:O,MATCH(テンプレート!$C267,使用レシピ!$E:$E,0))&lt;&gt;0,INDEX(使用レシピ!O:O,MATCH(テンプレート!$C267,使用レシピ!$E:$E,0)),""),"")</f>
        <v/>
      </c>
      <c r="O267" s="42" t="str">
        <f>IFERROR(IF(INDEX(使用レシピ!P:P,MATCH(テンプレート!$C267,使用レシピ!$E:$E,0))&lt;&gt;0,INDEX(使用レシピ!P:P,MATCH(テンプレート!$C267,使用レシピ!$E:$E,0)),""),"")</f>
        <v/>
      </c>
      <c r="P267" s="25" t="str">
        <f t="shared" si="22"/>
        <v/>
      </c>
      <c r="Q267" s="26" t="str">
        <f t="shared" si="23"/>
        <v/>
      </c>
      <c r="R267" s="26" t="str">
        <f t="shared" si="24"/>
        <v/>
      </c>
      <c r="S267" s="26" t="str">
        <f t="shared" si="25"/>
        <v/>
      </c>
      <c r="T267" s="43" t="str">
        <f t="shared" si="25"/>
        <v/>
      </c>
    </row>
    <row r="268" spans="2:20" x14ac:dyDescent="0.4">
      <c r="B268" s="47" t="str" cm="1">
        <f t="array" ref="B268">IFERROR((INDEX($P$4:$T$1000,MATCH(VALUE(LEFT($A268,LEN($A268)-1)),$A$4:$A$1000,0),VALUE(RIGHT($A268,1)))/ INDEX($O$4:$O$1000,MATCH(VALUE(LEFT($A268,LEN($A268)-1)),$A$4:$A$1000))) * INDEX($B$4:$B$1000,MATCH(VALUE(LEFT($A268,LEN($A268)-1)),$A$4:$A$1000)),"")</f>
        <v/>
      </c>
      <c r="C268" s="38" t="str" cm="1">
        <f t="array" ref="C268">IFERROR(IF(INDEX($D$4:$H$1000,MATCH(VALUE(LEFT($A268,LEN($A268)-1)),$A$4:$A$1000,0),VALUE(RIGHT($A268,1)))= 0,"",INDEX($D$4:$H$1000,MATCH(VALUE(LEFT($A268,LEN($A268)-1)),$A$4:$A$1000,0),VALUE(RIGHT($A268,1)))),"")</f>
        <v/>
      </c>
      <c r="D268" s="23" t="str">
        <f>IFERROR(IF(INDEX(使用レシピ!F:F,MATCH(テンプレート!$C268,使用レシピ!$E:$E,0))&lt;&gt;0,INDEX(使用レシピ!F:F,MATCH(テンプレート!$C268,使用レシピ!$E:$E,0)),""),"")</f>
        <v/>
      </c>
      <c r="E268" t="str">
        <f>IFERROR(IF(INDEX(使用レシピ!G:G,MATCH(テンプレート!$C268,使用レシピ!$E:$E,0))&lt;&gt;0,INDEX(使用レシピ!G:G,MATCH(テンプレート!$C268,使用レシピ!$E:$E,0)),""),"")</f>
        <v/>
      </c>
      <c r="F268" t="str">
        <f>IFERROR(IF(INDEX(使用レシピ!H:H,MATCH(テンプレート!$C268,使用レシピ!$E:$E,0))&lt;&gt;0,INDEX(使用レシピ!H:H,MATCH(テンプレート!$C268,使用レシピ!$E:$E,0)),""),"")</f>
        <v/>
      </c>
      <c r="G268" t="str">
        <f>IFERROR(IF(INDEX(使用レシピ!I:I,MATCH(テンプレート!$C268,使用レシピ!$E:$E,0))&lt;&gt;0,INDEX(使用レシピ!I:I,MATCH(テンプレート!$C268,使用レシピ!$E:$E,0)),""),"")</f>
        <v/>
      </c>
      <c r="H268" s="24" t="str">
        <f>IFERROR(IF(INDEX(使用レシピ!J:J,MATCH(テンプレート!$C268,使用レシピ!$E:$E,0))&lt;&gt;0,INDEX(使用レシピ!J:J,MATCH(テンプレート!$C268,使用レシピ!$E:$E,0)),""),"")</f>
        <v/>
      </c>
      <c r="I268" s="36" t="str">
        <f>IFERROR(IF(INDEX(使用レシピ!P:P,MATCH(テンプレート!$C268,使用レシピ!$E:$E,0))&lt;&gt;0,INDEX(使用レシピ!P:P,MATCH(テンプレート!$C268,使用レシピ!$E:$E,0)),""),"")</f>
        <v/>
      </c>
      <c r="J268" t="str">
        <f>IFERROR(IF(INDEX(使用レシピ!K:K,MATCH(テンプレート!$C268,使用レシピ!$E:$E,0))&lt;&gt;0,INDEX(使用レシピ!K:K,MATCH(テンプレート!$C268,使用レシピ!$E:$E,0)),""),"")</f>
        <v/>
      </c>
      <c r="K268" t="str">
        <f>IFERROR(IF(INDEX(使用レシピ!L:L,MATCH(テンプレート!$C268,使用レシピ!$E:$E,0))&lt;&gt;0,INDEX(使用レシピ!L:L,MATCH(テンプレート!$C268,使用レシピ!$E:$E,0)),""),"")</f>
        <v/>
      </c>
      <c r="L268" t="str">
        <f>IFERROR(IF(INDEX(使用レシピ!M:M,MATCH(テンプレート!$C268,使用レシピ!$E:$E,0))&lt;&gt;0,INDEX(使用レシピ!M:M,MATCH(テンプレート!$C268,使用レシピ!$E:$E,0)),""),"")</f>
        <v/>
      </c>
      <c r="M268" t="str">
        <f>IFERROR(IF(INDEX(使用レシピ!N:N,MATCH(テンプレート!$C268,使用レシピ!$E:$E,0))&lt;&gt;0,INDEX(使用レシピ!N:N,MATCH(テンプレート!$C268,使用レシピ!$E:$E,0)),""),"")</f>
        <v/>
      </c>
      <c r="N268" s="24" t="str">
        <f>IFERROR(IF(INDEX(使用レシピ!O:O,MATCH(テンプレート!$C268,使用レシピ!$E:$E,0))&lt;&gt;0,INDEX(使用レシピ!O:O,MATCH(テンプレート!$C268,使用レシピ!$E:$E,0)),""),"")</f>
        <v/>
      </c>
      <c r="O268" s="42" t="str">
        <f>IFERROR(IF(INDEX(使用レシピ!P:P,MATCH(テンプレート!$C268,使用レシピ!$E:$E,0))&lt;&gt;0,INDEX(使用レシピ!P:P,MATCH(テンプレート!$C268,使用レシピ!$E:$E,0)),""),"")</f>
        <v/>
      </c>
      <c r="P268" s="25" t="str">
        <f t="shared" si="22"/>
        <v/>
      </c>
      <c r="Q268" s="26" t="str">
        <f t="shared" si="23"/>
        <v/>
      </c>
      <c r="R268" s="26" t="str">
        <f t="shared" si="24"/>
        <v/>
      </c>
      <c r="S268" s="26" t="str">
        <f t="shared" si="25"/>
        <v/>
      </c>
      <c r="T268" s="43" t="str">
        <f t="shared" si="25"/>
        <v/>
      </c>
    </row>
    <row r="269" spans="2:20" x14ac:dyDescent="0.4">
      <c r="B269" s="47" t="str" cm="1">
        <f t="array" ref="B269">IFERROR((INDEX($P$4:$T$1000,MATCH(VALUE(LEFT($A269,LEN($A269)-1)),$A$4:$A$1000,0),VALUE(RIGHT($A269,1)))/ INDEX($O$4:$O$1000,MATCH(VALUE(LEFT($A269,LEN($A269)-1)),$A$4:$A$1000))) * INDEX($B$4:$B$1000,MATCH(VALUE(LEFT($A269,LEN($A269)-1)),$A$4:$A$1000)),"")</f>
        <v/>
      </c>
      <c r="C269" s="38" t="str" cm="1">
        <f t="array" ref="C269">IFERROR(IF(INDEX($D$4:$H$1000,MATCH(VALUE(LEFT($A269,LEN($A269)-1)),$A$4:$A$1000,0),VALUE(RIGHT($A269,1)))= 0,"",INDEX($D$4:$H$1000,MATCH(VALUE(LEFT($A269,LEN($A269)-1)),$A$4:$A$1000,0),VALUE(RIGHT($A269,1)))),"")</f>
        <v/>
      </c>
      <c r="D269" s="23" t="str">
        <f>IFERROR(IF(INDEX(使用レシピ!F:F,MATCH(テンプレート!$C269,使用レシピ!$E:$E,0))&lt;&gt;0,INDEX(使用レシピ!F:F,MATCH(テンプレート!$C269,使用レシピ!$E:$E,0)),""),"")</f>
        <v/>
      </c>
      <c r="E269" t="str">
        <f>IFERROR(IF(INDEX(使用レシピ!G:G,MATCH(テンプレート!$C269,使用レシピ!$E:$E,0))&lt;&gt;0,INDEX(使用レシピ!G:G,MATCH(テンプレート!$C269,使用レシピ!$E:$E,0)),""),"")</f>
        <v/>
      </c>
      <c r="F269" t="str">
        <f>IFERROR(IF(INDEX(使用レシピ!H:H,MATCH(テンプレート!$C269,使用レシピ!$E:$E,0))&lt;&gt;0,INDEX(使用レシピ!H:H,MATCH(テンプレート!$C269,使用レシピ!$E:$E,0)),""),"")</f>
        <v/>
      </c>
      <c r="G269" t="str">
        <f>IFERROR(IF(INDEX(使用レシピ!I:I,MATCH(テンプレート!$C269,使用レシピ!$E:$E,0))&lt;&gt;0,INDEX(使用レシピ!I:I,MATCH(テンプレート!$C269,使用レシピ!$E:$E,0)),""),"")</f>
        <v/>
      </c>
      <c r="H269" s="24" t="str">
        <f>IFERROR(IF(INDEX(使用レシピ!J:J,MATCH(テンプレート!$C269,使用レシピ!$E:$E,0))&lt;&gt;0,INDEX(使用レシピ!J:J,MATCH(テンプレート!$C269,使用レシピ!$E:$E,0)),""),"")</f>
        <v/>
      </c>
      <c r="I269" s="36" t="str">
        <f>IFERROR(IF(INDEX(使用レシピ!P:P,MATCH(テンプレート!$C269,使用レシピ!$E:$E,0))&lt;&gt;0,INDEX(使用レシピ!P:P,MATCH(テンプレート!$C269,使用レシピ!$E:$E,0)),""),"")</f>
        <v/>
      </c>
      <c r="J269" t="str">
        <f>IFERROR(IF(INDEX(使用レシピ!K:K,MATCH(テンプレート!$C269,使用レシピ!$E:$E,0))&lt;&gt;0,INDEX(使用レシピ!K:K,MATCH(テンプレート!$C269,使用レシピ!$E:$E,0)),""),"")</f>
        <v/>
      </c>
      <c r="K269" t="str">
        <f>IFERROR(IF(INDEX(使用レシピ!L:L,MATCH(テンプレート!$C269,使用レシピ!$E:$E,0))&lt;&gt;0,INDEX(使用レシピ!L:L,MATCH(テンプレート!$C269,使用レシピ!$E:$E,0)),""),"")</f>
        <v/>
      </c>
      <c r="L269" t="str">
        <f>IFERROR(IF(INDEX(使用レシピ!M:M,MATCH(テンプレート!$C269,使用レシピ!$E:$E,0))&lt;&gt;0,INDEX(使用レシピ!M:M,MATCH(テンプレート!$C269,使用レシピ!$E:$E,0)),""),"")</f>
        <v/>
      </c>
      <c r="M269" t="str">
        <f>IFERROR(IF(INDEX(使用レシピ!N:N,MATCH(テンプレート!$C269,使用レシピ!$E:$E,0))&lt;&gt;0,INDEX(使用レシピ!N:N,MATCH(テンプレート!$C269,使用レシピ!$E:$E,0)),""),"")</f>
        <v/>
      </c>
      <c r="N269" s="24" t="str">
        <f>IFERROR(IF(INDEX(使用レシピ!O:O,MATCH(テンプレート!$C269,使用レシピ!$E:$E,0))&lt;&gt;0,INDEX(使用レシピ!O:O,MATCH(テンプレート!$C269,使用レシピ!$E:$E,0)),""),"")</f>
        <v/>
      </c>
      <c r="O269" s="42" t="str">
        <f>IFERROR(IF(INDEX(使用レシピ!P:P,MATCH(テンプレート!$C269,使用レシピ!$E:$E,0))&lt;&gt;0,INDEX(使用レシピ!P:P,MATCH(テンプレート!$C269,使用レシピ!$E:$E,0)),""),"")</f>
        <v/>
      </c>
      <c r="P269" s="25" t="str">
        <f t="shared" si="22"/>
        <v/>
      </c>
      <c r="Q269" s="26" t="str">
        <f t="shared" si="23"/>
        <v/>
      </c>
      <c r="R269" s="26" t="str">
        <f t="shared" si="24"/>
        <v/>
      </c>
      <c r="S269" s="26" t="str">
        <f t="shared" si="25"/>
        <v/>
      </c>
      <c r="T269" s="43" t="str">
        <f t="shared" si="25"/>
        <v/>
      </c>
    </row>
    <row r="270" spans="2:20" x14ac:dyDescent="0.4">
      <c r="B270" s="47" t="str" cm="1">
        <f t="array" ref="B270">IFERROR((INDEX($P$4:$T$1000,MATCH(VALUE(LEFT($A270,LEN($A270)-1)),$A$4:$A$1000,0),VALUE(RIGHT($A270,1)))/ INDEX($O$4:$O$1000,MATCH(VALUE(LEFT($A270,LEN($A270)-1)),$A$4:$A$1000))) * INDEX($B$4:$B$1000,MATCH(VALUE(LEFT($A270,LEN($A270)-1)),$A$4:$A$1000)),"")</f>
        <v/>
      </c>
      <c r="C270" s="38" t="str" cm="1">
        <f t="array" ref="C270">IFERROR(IF(INDEX($D$4:$H$1000,MATCH(VALUE(LEFT($A270,LEN($A270)-1)),$A$4:$A$1000,0),VALUE(RIGHT($A270,1)))= 0,"",INDEX($D$4:$H$1000,MATCH(VALUE(LEFT($A270,LEN($A270)-1)),$A$4:$A$1000,0),VALUE(RIGHT($A270,1)))),"")</f>
        <v/>
      </c>
      <c r="D270" s="23" t="str">
        <f>IFERROR(IF(INDEX(使用レシピ!F:F,MATCH(テンプレート!$C270,使用レシピ!$E:$E,0))&lt;&gt;0,INDEX(使用レシピ!F:F,MATCH(テンプレート!$C270,使用レシピ!$E:$E,0)),""),"")</f>
        <v/>
      </c>
      <c r="E270" t="str">
        <f>IFERROR(IF(INDEX(使用レシピ!G:G,MATCH(テンプレート!$C270,使用レシピ!$E:$E,0))&lt;&gt;0,INDEX(使用レシピ!G:G,MATCH(テンプレート!$C270,使用レシピ!$E:$E,0)),""),"")</f>
        <v/>
      </c>
      <c r="F270" t="str">
        <f>IFERROR(IF(INDEX(使用レシピ!H:H,MATCH(テンプレート!$C270,使用レシピ!$E:$E,0))&lt;&gt;0,INDEX(使用レシピ!H:H,MATCH(テンプレート!$C270,使用レシピ!$E:$E,0)),""),"")</f>
        <v/>
      </c>
      <c r="G270" t="str">
        <f>IFERROR(IF(INDEX(使用レシピ!I:I,MATCH(テンプレート!$C270,使用レシピ!$E:$E,0))&lt;&gt;0,INDEX(使用レシピ!I:I,MATCH(テンプレート!$C270,使用レシピ!$E:$E,0)),""),"")</f>
        <v/>
      </c>
      <c r="H270" s="24" t="str">
        <f>IFERROR(IF(INDEX(使用レシピ!J:J,MATCH(テンプレート!$C270,使用レシピ!$E:$E,0))&lt;&gt;0,INDEX(使用レシピ!J:J,MATCH(テンプレート!$C270,使用レシピ!$E:$E,0)),""),"")</f>
        <v/>
      </c>
      <c r="I270" s="36" t="str">
        <f>IFERROR(IF(INDEX(使用レシピ!P:P,MATCH(テンプレート!$C270,使用レシピ!$E:$E,0))&lt;&gt;0,INDEX(使用レシピ!P:P,MATCH(テンプレート!$C270,使用レシピ!$E:$E,0)),""),"")</f>
        <v/>
      </c>
      <c r="J270" t="str">
        <f>IFERROR(IF(INDEX(使用レシピ!K:K,MATCH(テンプレート!$C270,使用レシピ!$E:$E,0))&lt;&gt;0,INDEX(使用レシピ!K:K,MATCH(テンプレート!$C270,使用レシピ!$E:$E,0)),""),"")</f>
        <v/>
      </c>
      <c r="K270" t="str">
        <f>IFERROR(IF(INDEX(使用レシピ!L:L,MATCH(テンプレート!$C270,使用レシピ!$E:$E,0))&lt;&gt;0,INDEX(使用レシピ!L:L,MATCH(テンプレート!$C270,使用レシピ!$E:$E,0)),""),"")</f>
        <v/>
      </c>
      <c r="L270" t="str">
        <f>IFERROR(IF(INDEX(使用レシピ!M:M,MATCH(テンプレート!$C270,使用レシピ!$E:$E,0))&lt;&gt;0,INDEX(使用レシピ!M:M,MATCH(テンプレート!$C270,使用レシピ!$E:$E,0)),""),"")</f>
        <v/>
      </c>
      <c r="M270" t="str">
        <f>IFERROR(IF(INDEX(使用レシピ!N:N,MATCH(テンプレート!$C270,使用レシピ!$E:$E,0))&lt;&gt;0,INDEX(使用レシピ!N:N,MATCH(テンプレート!$C270,使用レシピ!$E:$E,0)),""),"")</f>
        <v/>
      </c>
      <c r="N270" s="24" t="str">
        <f>IFERROR(IF(INDEX(使用レシピ!O:O,MATCH(テンプレート!$C270,使用レシピ!$E:$E,0))&lt;&gt;0,INDEX(使用レシピ!O:O,MATCH(テンプレート!$C270,使用レシピ!$E:$E,0)),""),"")</f>
        <v/>
      </c>
      <c r="O270" s="42" t="str">
        <f>IFERROR(IF(INDEX(使用レシピ!P:P,MATCH(テンプレート!$C270,使用レシピ!$E:$E,0))&lt;&gt;0,INDEX(使用レシピ!P:P,MATCH(テンプレート!$C270,使用レシピ!$E:$E,0)),""),"")</f>
        <v/>
      </c>
      <c r="P270" s="25" t="str">
        <f t="shared" si="22"/>
        <v/>
      </c>
      <c r="Q270" s="26" t="str">
        <f t="shared" si="23"/>
        <v/>
      </c>
      <c r="R270" s="26" t="str">
        <f t="shared" si="24"/>
        <v/>
      </c>
      <c r="S270" s="26" t="str">
        <f t="shared" si="25"/>
        <v/>
      </c>
      <c r="T270" s="43" t="str">
        <f t="shared" si="25"/>
        <v/>
      </c>
    </row>
    <row r="271" spans="2:20" x14ac:dyDescent="0.4">
      <c r="B271" s="47" t="str" cm="1">
        <f t="array" ref="B271">IFERROR((INDEX($P$4:$T$1000,MATCH(VALUE(LEFT($A271,LEN($A271)-1)),$A$4:$A$1000,0),VALUE(RIGHT($A271,1)))/ INDEX($O$4:$O$1000,MATCH(VALUE(LEFT($A271,LEN($A271)-1)),$A$4:$A$1000))) * INDEX($B$4:$B$1000,MATCH(VALUE(LEFT($A271,LEN($A271)-1)),$A$4:$A$1000)),"")</f>
        <v/>
      </c>
      <c r="C271" s="38" t="str" cm="1">
        <f t="array" ref="C271">IFERROR(IF(INDEX($D$4:$H$1000,MATCH(VALUE(LEFT($A271,LEN($A271)-1)),$A$4:$A$1000,0),VALUE(RIGHT($A271,1)))= 0,"",INDEX($D$4:$H$1000,MATCH(VALUE(LEFT($A271,LEN($A271)-1)),$A$4:$A$1000,0),VALUE(RIGHT($A271,1)))),"")</f>
        <v/>
      </c>
      <c r="D271" s="23" t="str">
        <f>IFERROR(IF(INDEX(使用レシピ!F:F,MATCH(テンプレート!$C271,使用レシピ!$E:$E,0))&lt;&gt;0,INDEX(使用レシピ!F:F,MATCH(テンプレート!$C271,使用レシピ!$E:$E,0)),""),"")</f>
        <v/>
      </c>
      <c r="E271" t="str">
        <f>IFERROR(IF(INDEX(使用レシピ!G:G,MATCH(テンプレート!$C271,使用レシピ!$E:$E,0))&lt;&gt;0,INDEX(使用レシピ!G:G,MATCH(テンプレート!$C271,使用レシピ!$E:$E,0)),""),"")</f>
        <v/>
      </c>
      <c r="F271" t="str">
        <f>IFERROR(IF(INDEX(使用レシピ!H:H,MATCH(テンプレート!$C271,使用レシピ!$E:$E,0))&lt;&gt;0,INDEX(使用レシピ!H:H,MATCH(テンプレート!$C271,使用レシピ!$E:$E,0)),""),"")</f>
        <v/>
      </c>
      <c r="G271" t="str">
        <f>IFERROR(IF(INDEX(使用レシピ!I:I,MATCH(テンプレート!$C271,使用レシピ!$E:$E,0))&lt;&gt;0,INDEX(使用レシピ!I:I,MATCH(テンプレート!$C271,使用レシピ!$E:$E,0)),""),"")</f>
        <v/>
      </c>
      <c r="H271" s="24" t="str">
        <f>IFERROR(IF(INDEX(使用レシピ!J:J,MATCH(テンプレート!$C271,使用レシピ!$E:$E,0))&lt;&gt;0,INDEX(使用レシピ!J:J,MATCH(テンプレート!$C271,使用レシピ!$E:$E,0)),""),"")</f>
        <v/>
      </c>
      <c r="I271" s="36" t="str">
        <f>IFERROR(IF(INDEX(使用レシピ!P:P,MATCH(テンプレート!$C271,使用レシピ!$E:$E,0))&lt;&gt;0,INDEX(使用レシピ!P:P,MATCH(テンプレート!$C271,使用レシピ!$E:$E,0)),""),"")</f>
        <v/>
      </c>
      <c r="J271" t="str">
        <f>IFERROR(IF(INDEX(使用レシピ!K:K,MATCH(テンプレート!$C271,使用レシピ!$E:$E,0))&lt;&gt;0,INDEX(使用レシピ!K:K,MATCH(テンプレート!$C271,使用レシピ!$E:$E,0)),""),"")</f>
        <v/>
      </c>
      <c r="K271" t="str">
        <f>IFERROR(IF(INDEX(使用レシピ!L:L,MATCH(テンプレート!$C271,使用レシピ!$E:$E,0))&lt;&gt;0,INDEX(使用レシピ!L:L,MATCH(テンプレート!$C271,使用レシピ!$E:$E,0)),""),"")</f>
        <v/>
      </c>
      <c r="L271" t="str">
        <f>IFERROR(IF(INDEX(使用レシピ!M:M,MATCH(テンプレート!$C271,使用レシピ!$E:$E,0))&lt;&gt;0,INDEX(使用レシピ!M:M,MATCH(テンプレート!$C271,使用レシピ!$E:$E,0)),""),"")</f>
        <v/>
      </c>
      <c r="M271" t="str">
        <f>IFERROR(IF(INDEX(使用レシピ!N:N,MATCH(テンプレート!$C271,使用レシピ!$E:$E,0))&lt;&gt;0,INDEX(使用レシピ!N:N,MATCH(テンプレート!$C271,使用レシピ!$E:$E,0)),""),"")</f>
        <v/>
      </c>
      <c r="N271" s="24" t="str">
        <f>IFERROR(IF(INDEX(使用レシピ!O:O,MATCH(テンプレート!$C271,使用レシピ!$E:$E,0))&lt;&gt;0,INDEX(使用レシピ!O:O,MATCH(テンプレート!$C271,使用レシピ!$E:$E,0)),""),"")</f>
        <v/>
      </c>
      <c r="O271" s="42" t="str">
        <f>IFERROR(IF(INDEX(使用レシピ!P:P,MATCH(テンプレート!$C271,使用レシピ!$E:$E,0))&lt;&gt;0,INDEX(使用レシピ!P:P,MATCH(テンプレート!$C271,使用レシピ!$E:$E,0)),""),"")</f>
        <v/>
      </c>
      <c r="P271" s="25" t="str">
        <f t="shared" si="22"/>
        <v/>
      </c>
      <c r="Q271" s="26" t="str">
        <f t="shared" si="23"/>
        <v/>
      </c>
      <c r="R271" s="26" t="str">
        <f t="shared" si="24"/>
        <v/>
      </c>
      <c r="S271" s="26" t="str">
        <f t="shared" si="25"/>
        <v/>
      </c>
      <c r="T271" s="43" t="str">
        <f t="shared" si="25"/>
        <v/>
      </c>
    </row>
    <row r="272" spans="2:20" x14ac:dyDescent="0.4">
      <c r="B272" s="47" t="str" cm="1">
        <f t="array" ref="B272">IFERROR((INDEX($P$4:$T$1000,MATCH(VALUE(LEFT($A272,LEN($A272)-1)),$A$4:$A$1000,0),VALUE(RIGHT($A272,1)))/ INDEX($O$4:$O$1000,MATCH(VALUE(LEFT($A272,LEN($A272)-1)),$A$4:$A$1000))) * INDEX($B$4:$B$1000,MATCH(VALUE(LEFT($A272,LEN($A272)-1)),$A$4:$A$1000)),"")</f>
        <v/>
      </c>
      <c r="C272" s="38" t="str" cm="1">
        <f t="array" ref="C272">IFERROR(IF(INDEX($D$4:$H$1000,MATCH(VALUE(LEFT($A272,LEN($A272)-1)),$A$4:$A$1000,0),VALUE(RIGHT($A272,1)))= 0,"",INDEX($D$4:$H$1000,MATCH(VALUE(LEFT($A272,LEN($A272)-1)),$A$4:$A$1000,0),VALUE(RIGHT($A272,1)))),"")</f>
        <v/>
      </c>
      <c r="D272" s="23" t="str">
        <f>IFERROR(IF(INDEX(使用レシピ!F:F,MATCH(テンプレート!$C272,使用レシピ!$E:$E,0))&lt;&gt;0,INDEX(使用レシピ!F:F,MATCH(テンプレート!$C272,使用レシピ!$E:$E,0)),""),"")</f>
        <v/>
      </c>
      <c r="E272" t="str">
        <f>IFERROR(IF(INDEX(使用レシピ!G:G,MATCH(テンプレート!$C272,使用レシピ!$E:$E,0))&lt;&gt;0,INDEX(使用レシピ!G:G,MATCH(テンプレート!$C272,使用レシピ!$E:$E,0)),""),"")</f>
        <v/>
      </c>
      <c r="F272" t="str">
        <f>IFERROR(IF(INDEX(使用レシピ!H:H,MATCH(テンプレート!$C272,使用レシピ!$E:$E,0))&lt;&gt;0,INDEX(使用レシピ!H:H,MATCH(テンプレート!$C272,使用レシピ!$E:$E,0)),""),"")</f>
        <v/>
      </c>
      <c r="G272" t="str">
        <f>IFERROR(IF(INDEX(使用レシピ!I:I,MATCH(テンプレート!$C272,使用レシピ!$E:$E,0))&lt;&gt;0,INDEX(使用レシピ!I:I,MATCH(テンプレート!$C272,使用レシピ!$E:$E,0)),""),"")</f>
        <v/>
      </c>
      <c r="H272" s="24" t="str">
        <f>IFERROR(IF(INDEX(使用レシピ!J:J,MATCH(テンプレート!$C272,使用レシピ!$E:$E,0))&lt;&gt;0,INDEX(使用レシピ!J:J,MATCH(テンプレート!$C272,使用レシピ!$E:$E,0)),""),"")</f>
        <v/>
      </c>
      <c r="I272" s="36" t="str">
        <f>IFERROR(IF(INDEX(使用レシピ!P:P,MATCH(テンプレート!$C272,使用レシピ!$E:$E,0))&lt;&gt;0,INDEX(使用レシピ!P:P,MATCH(テンプレート!$C272,使用レシピ!$E:$E,0)),""),"")</f>
        <v/>
      </c>
      <c r="J272" t="str">
        <f>IFERROR(IF(INDEX(使用レシピ!K:K,MATCH(テンプレート!$C272,使用レシピ!$E:$E,0))&lt;&gt;0,INDEX(使用レシピ!K:K,MATCH(テンプレート!$C272,使用レシピ!$E:$E,0)),""),"")</f>
        <v/>
      </c>
      <c r="K272" t="str">
        <f>IFERROR(IF(INDEX(使用レシピ!L:L,MATCH(テンプレート!$C272,使用レシピ!$E:$E,0))&lt;&gt;0,INDEX(使用レシピ!L:L,MATCH(テンプレート!$C272,使用レシピ!$E:$E,0)),""),"")</f>
        <v/>
      </c>
      <c r="L272" t="str">
        <f>IFERROR(IF(INDEX(使用レシピ!M:M,MATCH(テンプレート!$C272,使用レシピ!$E:$E,0))&lt;&gt;0,INDEX(使用レシピ!M:M,MATCH(テンプレート!$C272,使用レシピ!$E:$E,0)),""),"")</f>
        <v/>
      </c>
      <c r="M272" t="str">
        <f>IFERROR(IF(INDEX(使用レシピ!N:N,MATCH(テンプレート!$C272,使用レシピ!$E:$E,0))&lt;&gt;0,INDEX(使用レシピ!N:N,MATCH(テンプレート!$C272,使用レシピ!$E:$E,0)),""),"")</f>
        <v/>
      </c>
      <c r="N272" s="24" t="str">
        <f>IFERROR(IF(INDEX(使用レシピ!O:O,MATCH(テンプレート!$C272,使用レシピ!$E:$E,0))&lt;&gt;0,INDEX(使用レシピ!O:O,MATCH(テンプレート!$C272,使用レシピ!$E:$E,0)),""),"")</f>
        <v/>
      </c>
      <c r="O272" s="42" t="str">
        <f>IFERROR(IF(INDEX(使用レシピ!P:P,MATCH(テンプレート!$C272,使用レシピ!$E:$E,0))&lt;&gt;0,INDEX(使用レシピ!P:P,MATCH(テンプレート!$C272,使用レシピ!$E:$E,0)),""),"")</f>
        <v/>
      </c>
      <c r="P272" s="25" t="str">
        <f t="shared" si="22"/>
        <v/>
      </c>
      <c r="Q272" s="26" t="str">
        <f t="shared" si="23"/>
        <v/>
      </c>
      <c r="R272" s="26" t="str">
        <f t="shared" si="24"/>
        <v/>
      </c>
      <c r="S272" s="26" t="str">
        <f t="shared" si="25"/>
        <v/>
      </c>
      <c r="T272" s="43" t="str">
        <f t="shared" si="25"/>
        <v/>
      </c>
    </row>
    <row r="273" spans="2:20" x14ac:dyDescent="0.4">
      <c r="B273" s="47" t="str" cm="1">
        <f t="array" ref="B273">IFERROR((INDEX($P$4:$T$1000,MATCH(VALUE(LEFT($A273,LEN($A273)-1)),$A$4:$A$1000,0),VALUE(RIGHT($A273,1)))/ INDEX($O$4:$O$1000,MATCH(VALUE(LEFT($A273,LEN($A273)-1)),$A$4:$A$1000))) * INDEX($B$4:$B$1000,MATCH(VALUE(LEFT($A273,LEN($A273)-1)),$A$4:$A$1000)),"")</f>
        <v/>
      </c>
      <c r="C273" s="38" t="str" cm="1">
        <f t="array" ref="C273">IFERROR(IF(INDEX($D$4:$H$1000,MATCH(VALUE(LEFT($A273,LEN($A273)-1)),$A$4:$A$1000,0),VALUE(RIGHT($A273,1)))= 0,"",INDEX($D$4:$H$1000,MATCH(VALUE(LEFT($A273,LEN($A273)-1)),$A$4:$A$1000,0),VALUE(RIGHT($A273,1)))),"")</f>
        <v/>
      </c>
      <c r="D273" s="23" t="str">
        <f>IFERROR(IF(INDEX(使用レシピ!F:F,MATCH(テンプレート!$C273,使用レシピ!$E:$E,0))&lt;&gt;0,INDEX(使用レシピ!F:F,MATCH(テンプレート!$C273,使用レシピ!$E:$E,0)),""),"")</f>
        <v/>
      </c>
      <c r="E273" t="str">
        <f>IFERROR(IF(INDEX(使用レシピ!G:G,MATCH(テンプレート!$C273,使用レシピ!$E:$E,0))&lt;&gt;0,INDEX(使用レシピ!G:G,MATCH(テンプレート!$C273,使用レシピ!$E:$E,0)),""),"")</f>
        <v/>
      </c>
      <c r="F273" t="str">
        <f>IFERROR(IF(INDEX(使用レシピ!H:H,MATCH(テンプレート!$C273,使用レシピ!$E:$E,0))&lt;&gt;0,INDEX(使用レシピ!H:H,MATCH(テンプレート!$C273,使用レシピ!$E:$E,0)),""),"")</f>
        <v/>
      </c>
      <c r="G273" t="str">
        <f>IFERROR(IF(INDEX(使用レシピ!I:I,MATCH(テンプレート!$C273,使用レシピ!$E:$E,0))&lt;&gt;0,INDEX(使用レシピ!I:I,MATCH(テンプレート!$C273,使用レシピ!$E:$E,0)),""),"")</f>
        <v/>
      </c>
      <c r="H273" s="24" t="str">
        <f>IFERROR(IF(INDEX(使用レシピ!J:J,MATCH(テンプレート!$C273,使用レシピ!$E:$E,0))&lt;&gt;0,INDEX(使用レシピ!J:J,MATCH(テンプレート!$C273,使用レシピ!$E:$E,0)),""),"")</f>
        <v/>
      </c>
      <c r="I273" s="36" t="str">
        <f>IFERROR(IF(INDEX(使用レシピ!P:P,MATCH(テンプレート!$C273,使用レシピ!$E:$E,0))&lt;&gt;0,INDEX(使用レシピ!P:P,MATCH(テンプレート!$C273,使用レシピ!$E:$E,0)),""),"")</f>
        <v/>
      </c>
      <c r="J273" t="str">
        <f>IFERROR(IF(INDEX(使用レシピ!K:K,MATCH(テンプレート!$C273,使用レシピ!$E:$E,0))&lt;&gt;0,INDEX(使用レシピ!K:K,MATCH(テンプレート!$C273,使用レシピ!$E:$E,0)),""),"")</f>
        <v/>
      </c>
      <c r="K273" t="str">
        <f>IFERROR(IF(INDEX(使用レシピ!L:L,MATCH(テンプレート!$C273,使用レシピ!$E:$E,0))&lt;&gt;0,INDEX(使用レシピ!L:L,MATCH(テンプレート!$C273,使用レシピ!$E:$E,0)),""),"")</f>
        <v/>
      </c>
      <c r="L273" t="str">
        <f>IFERROR(IF(INDEX(使用レシピ!M:M,MATCH(テンプレート!$C273,使用レシピ!$E:$E,0))&lt;&gt;0,INDEX(使用レシピ!M:M,MATCH(テンプレート!$C273,使用レシピ!$E:$E,0)),""),"")</f>
        <v/>
      </c>
      <c r="M273" t="str">
        <f>IFERROR(IF(INDEX(使用レシピ!N:N,MATCH(テンプレート!$C273,使用レシピ!$E:$E,0))&lt;&gt;0,INDEX(使用レシピ!N:N,MATCH(テンプレート!$C273,使用レシピ!$E:$E,0)),""),"")</f>
        <v/>
      </c>
      <c r="N273" s="24" t="str">
        <f>IFERROR(IF(INDEX(使用レシピ!O:O,MATCH(テンプレート!$C273,使用レシピ!$E:$E,0))&lt;&gt;0,INDEX(使用レシピ!O:O,MATCH(テンプレート!$C273,使用レシピ!$E:$E,0)),""),"")</f>
        <v/>
      </c>
      <c r="O273" s="42" t="str">
        <f>IFERROR(IF(INDEX(使用レシピ!P:P,MATCH(テンプレート!$C273,使用レシピ!$E:$E,0))&lt;&gt;0,INDEX(使用レシピ!P:P,MATCH(テンプレート!$C273,使用レシピ!$E:$E,0)),""),"")</f>
        <v/>
      </c>
      <c r="P273" s="25" t="str">
        <f t="shared" si="22"/>
        <v/>
      </c>
      <c r="Q273" s="26" t="str">
        <f t="shared" si="23"/>
        <v/>
      </c>
      <c r="R273" s="26" t="str">
        <f t="shared" si="24"/>
        <v/>
      </c>
      <c r="S273" s="26" t="str">
        <f t="shared" si="25"/>
        <v/>
      </c>
      <c r="T273" s="43" t="str">
        <f t="shared" si="25"/>
        <v/>
      </c>
    </row>
    <row r="274" spans="2:20" x14ac:dyDescent="0.4">
      <c r="B274" s="47" t="str" cm="1">
        <f t="array" ref="B274">IFERROR((INDEX($P$4:$T$1000,MATCH(VALUE(LEFT($A274,LEN($A274)-1)),$A$4:$A$1000,0),VALUE(RIGHT($A274,1)))/ INDEX($O$4:$O$1000,MATCH(VALUE(LEFT($A274,LEN($A274)-1)),$A$4:$A$1000))) * INDEX($B$4:$B$1000,MATCH(VALUE(LEFT($A274,LEN($A274)-1)),$A$4:$A$1000)),"")</f>
        <v/>
      </c>
      <c r="C274" s="38" t="str" cm="1">
        <f t="array" ref="C274">IFERROR(IF(INDEX($D$4:$H$1000,MATCH(VALUE(LEFT($A274,LEN($A274)-1)),$A$4:$A$1000,0),VALUE(RIGHT($A274,1)))= 0,"",INDEX($D$4:$H$1000,MATCH(VALUE(LEFT($A274,LEN($A274)-1)),$A$4:$A$1000,0),VALUE(RIGHT($A274,1)))),"")</f>
        <v/>
      </c>
      <c r="D274" s="23" t="str">
        <f>IFERROR(IF(INDEX(使用レシピ!F:F,MATCH(テンプレート!$C274,使用レシピ!$E:$E,0))&lt;&gt;0,INDEX(使用レシピ!F:F,MATCH(テンプレート!$C274,使用レシピ!$E:$E,0)),""),"")</f>
        <v/>
      </c>
      <c r="E274" t="str">
        <f>IFERROR(IF(INDEX(使用レシピ!G:G,MATCH(テンプレート!$C274,使用レシピ!$E:$E,0))&lt;&gt;0,INDEX(使用レシピ!G:G,MATCH(テンプレート!$C274,使用レシピ!$E:$E,0)),""),"")</f>
        <v/>
      </c>
      <c r="F274" t="str">
        <f>IFERROR(IF(INDEX(使用レシピ!H:H,MATCH(テンプレート!$C274,使用レシピ!$E:$E,0))&lt;&gt;0,INDEX(使用レシピ!H:H,MATCH(テンプレート!$C274,使用レシピ!$E:$E,0)),""),"")</f>
        <v/>
      </c>
      <c r="G274" t="str">
        <f>IFERROR(IF(INDEX(使用レシピ!I:I,MATCH(テンプレート!$C274,使用レシピ!$E:$E,0))&lt;&gt;0,INDEX(使用レシピ!I:I,MATCH(テンプレート!$C274,使用レシピ!$E:$E,0)),""),"")</f>
        <v/>
      </c>
      <c r="H274" s="24" t="str">
        <f>IFERROR(IF(INDEX(使用レシピ!J:J,MATCH(テンプレート!$C274,使用レシピ!$E:$E,0))&lt;&gt;0,INDEX(使用レシピ!J:J,MATCH(テンプレート!$C274,使用レシピ!$E:$E,0)),""),"")</f>
        <v/>
      </c>
      <c r="I274" s="36" t="str">
        <f>IFERROR(IF(INDEX(使用レシピ!P:P,MATCH(テンプレート!$C274,使用レシピ!$E:$E,0))&lt;&gt;0,INDEX(使用レシピ!P:P,MATCH(テンプレート!$C274,使用レシピ!$E:$E,0)),""),"")</f>
        <v/>
      </c>
      <c r="J274" t="str">
        <f>IFERROR(IF(INDEX(使用レシピ!K:K,MATCH(テンプレート!$C274,使用レシピ!$E:$E,0))&lt;&gt;0,INDEX(使用レシピ!K:K,MATCH(テンプレート!$C274,使用レシピ!$E:$E,0)),""),"")</f>
        <v/>
      </c>
      <c r="K274" t="str">
        <f>IFERROR(IF(INDEX(使用レシピ!L:L,MATCH(テンプレート!$C274,使用レシピ!$E:$E,0))&lt;&gt;0,INDEX(使用レシピ!L:L,MATCH(テンプレート!$C274,使用レシピ!$E:$E,0)),""),"")</f>
        <v/>
      </c>
      <c r="L274" t="str">
        <f>IFERROR(IF(INDEX(使用レシピ!M:M,MATCH(テンプレート!$C274,使用レシピ!$E:$E,0))&lt;&gt;0,INDEX(使用レシピ!M:M,MATCH(テンプレート!$C274,使用レシピ!$E:$E,0)),""),"")</f>
        <v/>
      </c>
      <c r="M274" t="str">
        <f>IFERROR(IF(INDEX(使用レシピ!N:N,MATCH(テンプレート!$C274,使用レシピ!$E:$E,0))&lt;&gt;0,INDEX(使用レシピ!N:N,MATCH(テンプレート!$C274,使用レシピ!$E:$E,0)),""),"")</f>
        <v/>
      </c>
      <c r="N274" s="24" t="str">
        <f>IFERROR(IF(INDEX(使用レシピ!O:O,MATCH(テンプレート!$C274,使用レシピ!$E:$E,0))&lt;&gt;0,INDEX(使用レシピ!O:O,MATCH(テンプレート!$C274,使用レシピ!$E:$E,0)),""),"")</f>
        <v/>
      </c>
      <c r="O274" s="42" t="str">
        <f>IFERROR(IF(INDEX(使用レシピ!P:P,MATCH(テンプレート!$C274,使用レシピ!$E:$E,0))&lt;&gt;0,INDEX(使用レシピ!P:P,MATCH(テンプレート!$C274,使用レシピ!$E:$E,0)),""),"")</f>
        <v/>
      </c>
      <c r="P274" s="25" t="str">
        <f t="shared" si="22"/>
        <v/>
      </c>
      <c r="Q274" s="26" t="str">
        <f t="shared" si="23"/>
        <v/>
      </c>
      <c r="R274" s="26" t="str">
        <f t="shared" si="24"/>
        <v/>
      </c>
      <c r="S274" s="26" t="str">
        <f t="shared" si="25"/>
        <v/>
      </c>
      <c r="T274" s="43" t="str">
        <f t="shared" si="25"/>
        <v/>
      </c>
    </row>
    <row r="275" spans="2:20" x14ac:dyDescent="0.4">
      <c r="B275" s="47" t="str" cm="1">
        <f t="array" ref="B275">IFERROR((INDEX($P$4:$T$1000,MATCH(VALUE(LEFT($A275,LEN($A275)-1)),$A$4:$A$1000,0),VALUE(RIGHT($A275,1)))/ INDEX($O$4:$O$1000,MATCH(VALUE(LEFT($A275,LEN($A275)-1)),$A$4:$A$1000))) * INDEX($B$4:$B$1000,MATCH(VALUE(LEFT($A275,LEN($A275)-1)),$A$4:$A$1000)),"")</f>
        <v/>
      </c>
      <c r="C275" s="38" t="str" cm="1">
        <f t="array" ref="C275">IFERROR(IF(INDEX($D$4:$H$1000,MATCH(VALUE(LEFT($A275,LEN($A275)-1)),$A$4:$A$1000,0),VALUE(RIGHT($A275,1)))= 0,"",INDEX($D$4:$H$1000,MATCH(VALUE(LEFT($A275,LEN($A275)-1)),$A$4:$A$1000,0),VALUE(RIGHT($A275,1)))),"")</f>
        <v/>
      </c>
      <c r="D275" s="23" t="str">
        <f>IFERROR(IF(INDEX(使用レシピ!F:F,MATCH(テンプレート!$C275,使用レシピ!$E:$E,0))&lt;&gt;0,INDEX(使用レシピ!F:F,MATCH(テンプレート!$C275,使用レシピ!$E:$E,0)),""),"")</f>
        <v/>
      </c>
      <c r="E275" t="str">
        <f>IFERROR(IF(INDEX(使用レシピ!G:G,MATCH(テンプレート!$C275,使用レシピ!$E:$E,0))&lt;&gt;0,INDEX(使用レシピ!G:G,MATCH(テンプレート!$C275,使用レシピ!$E:$E,0)),""),"")</f>
        <v/>
      </c>
      <c r="F275" t="str">
        <f>IFERROR(IF(INDEX(使用レシピ!H:H,MATCH(テンプレート!$C275,使用レシピ!$E:$E,0))&lt;&gt;0,INDEX(使用レシピ!H:H,MATCH(テンプレート!$C275,使用レシピ!$E:$E,0)),""),"")</f>
        <v/>
      </c>
      <c r="G275" t="str">
        <f>IFERROR(IF(INDEX(使用レシピ!I:I,MATCH(テンプレート!$C275,使用レシピ!$E:$E,0))&lt;&gt;0,INDEX(使用レシピ!I:I,MATCH(テンプレート!$C275,使用レシピ!$E:$E,0)),""),"")</f>
        <v/>
      </c>
      <c r="H275" s="24" t="str">
        <f>IFERROR(IF(INDEX(使用レシピ!J:J,MATCH(テンプレート!$C275,使用レシピ!$E:$E,0))&lt;&gt;0,INDEX(使用レシピ!J:J,MATCH(テンプレート!$C275,使用レシピ!$E:$E,0)),""),"")</f>
        <v/>
      </c>
      <c r="I275" s="36" t="str">
        <f>IFERROR(IF(INDEX(使用レシピ!P:P,MATCH(テンプレート!$C275,使用レシピ!$E:$E,0))&lt;&gt;0,INDEX(使用レシピ!P:P,MATCH(テンプレート!$C275,使用レシピ!$E:$E,0)),""),"")</f>
        <v/>
      </c>
      <c r="J275" t="str">
        <f>IFERROR(IF(INDEX(使用レシピ!K:K,MATCH(テンプレート!$C275,使用レシピ!$E:$E,0))&lt;&gt;0,INDEX(使用レシピ!K:K,MATCH(テンプレート!$C275,使用レシピ!$E:$E,0)),""),"")</f>
        <v/>
      </c>
      <c r="K275" t="str">
        <f>IFERROR(IF(INDEX(使用レシピ!L:L,MATCH(テンプレート!$C275,使用レシピ!$E:$E,0))&lt;&gt;0,INDEX(使用レシピ!L:L,MATCH(テンプレート!$C275,使用レシピ!$E:$E,0)),""),"")</f>
        <v/>
      </c>
      <c r="L275" t="str">
        <f>IFERROR(IF(INDEX(使用レシピ!M:M,MATCH(テンプレート!$C275,使用レシピ!$E:$E,0))&lt;&gt;0,INDEX(使用レシピ!M:M,MATCH(テンプレート!$C275,使用レシピ!$E:$E,0)),""),"")</f>
        <v/>
      </c>
      <c r="M275" t="str">
        <f>IFERROR(IF(INDEX(使用レシピ!N:N,MATCH(テンプレート!$C275,使用レシピ!$E:$E,0))&lt;&gt;0,INDEX(使用レシピ!N:N,MATCH(テンプレート!$C275,使用レシピ!$E:$E,0)),""),"")</f>
        <v/>
      </c>
      <c r="N275" s="24" t="str">
        <f>IFERROR(IF(INDEX(使用レシピ!O:O,MATCH(テンプレート!$C275,使用レシピ!$E:$E,0))&lt;&gt;0,INDEX(使用レシピ!O:O,MATCH(テンプレート!$C275,使用レシピ!$E:$E,0)),""),"")</f>
        <v/>
      </c>
      <c r="O275" s="42" t="str">
        <f>IFERROR(IF(INDEX(使用レシピ!P:P,MATCH(テンプレート!$C275,使用レシピ!$E:$E,0))&lt;&gt;0,INDEX(使用レシピ!P:P,MATCH(テンプレート!$C275,使用レシピ!$E:$E,0)),""),"")</f>
        <v/>
      </c>
      <c r="P275" s="25" t="str">
        <f t="shared" si="22"/>
        <v/>
      </c>
      <c r="Q275" s="26" t="str">
        <f t="shared" si="23"/>
        <v/>
      </c>
      <c r="R275" s="26" t="str">
        <f t="shared" si="24"/>
        <v/>
      </c>
      <c r="S275" s="26" t="str">
        <f t="shared" si="25"/>
        <v/>
      </c>
      <c r="T275" s="43" t="str">
        <f t="shared" si="25"/>
        <v/>
      </c>
    </row>
    <row r="276" spans="2:20" x14ac:dyDescent="0.4">
      <c r="B276" s="47" t="str" cm="1">
        <f t="array" ref="B276">IFERROR((INDEX($P$4:$T$1000,MATCH(VALUE(LEFT($A276,LEN($A276)-1)),$A$4:$A$1000,0),VALUE(RIGHT($A276,1)))/ INDEX($O$4:$O$1000,MATCH(VALUE(LEFT($A276,LEN($A276)-1)),$A$4:$A$1000))) * INDEX($B$4:$B$1000,MATCH(VALUE(LEFT($A276,LEN($A276)-1)),$A$4:$A$1000)),"")</f>
        <v/>
      </c>
      <c r="C276" s="38" t="str" cm="1">
        <f t="array" ref="C276">IFERROR(IF(INDEX($D$4:$H$1000,MATCH(VALUE(LEFT($A276,LEN($A276)-1)),$A$4:$A$1000,0),VALUE(RIGHT($A276,1)))= 0,"",INDEX($D$4:$H$1000,MATCH(VALUE(LEFT($A276,LEN($A276)-1)),$A$4:$A$1000,0),VALUE(RIGHT($A276,1)))),"")</f>
        <v/>
      </c>
      <c r="D276" s="23" t="str">
        <f>IFERROR(IF(INDEX(使用レシピ!F:F,MATCH(テンプレート!$C276,使用レシピ!$E:$E,0))&lt;&gt;0,INDEX(使用レシピ!F:F,MATCH(テンプレート!$C276,使用レシピ!$E:$E,0)),""),"")</f>
        <v/>
      </c>
      <c r="E276" t="str">
        <f>IFERROR(IF(INDEX(使用レシピ!G:G,MATCH(テンプレート!$C276,使用レシピ!$E:$E,0))&lt;&gt;0,INDEX(使用レシピ!G:G,MATCH(テンプレート!$C276,使用レシピ!$E:$E,0)),""),"")</f>
        <v/>
      </c>
      <c r="F276" t="str">
        <f>IFERROR(IF(INDEX(使用レシピ!H:H,MATCH(テンプレート!$C276,使用レシピ!$E:$E,0))&lt;&gt;0,INDEX(使用レシピ!H:H,MATCH(テンプレート!$C276,使用レシピ!$E:$E,0)),""),"")</f>
        <v/>
      </c>
      <c r="G276" t="str">
        <f>IFERROR(IF(INDEX(使用レシピ!I:I,MATCH(テンプレート!$C276,使用レシピ!$E:$E,0))&lt;&gt;0,INDEX(使用レシピ!I:I,MATCH(テンプレート!$C276,使用レシピ!$E:$E,0)),""),"")</f>
        <v/>
      </c>
      <c r="H276" s="24" t="str">
        <f>IFERROR(IF(INDEX(使用レシピ!J:J,MATCH(テンプレート!$C276,使用レシピ!$E:$E,0))&lt;&gt;0,INDEX(使用レシピ!J:J,MATCH(テンプレート!$C276,使用レシピ!$E:$E,0)),""),"")</f>
        <v/>
      </c>
      <c r="I276" s="36" t="str">
        <f>IFERROR(IF(INDEX(使用レシピ!P:P,MATCH(テンプレート!$C276,使用レシピ!$E:$E,0))&lt;&gt;0,INDEX(使用レシピ!P:P,MATCH(テンプレート!$C276,使用レシピ!$E:$E,0)),""),"")</f>
        <v/>
      </c>
      <c r="J276" t="str">
        <f>IFERROR(IF(INDEX(使用レシピ!K:K,MATCH(テンプレート!$C276,使用レシピ!$E:$E,0))&lt;&gt;0,INDEX(使用レシピ!K:K,MATCH(テンプレート!$C276,使用レシピ!$E:$E,0)),""),"")</f>
        <v/>
      </c>
      <c r="K276" t="str">
        <f>IFERROR(IF(INDEX(使用レシピ!L:L,MATCH(テンプレート!$C276,使用レシピ!$E:$E,0))&lt;&gt;0,INDEX(使用レシピ!L:L,MATCH(テンプレート!$C276,使用レシピ!$E:$E,0)),""),"")</f>
        <v/>
      </c>
      <c r="L276" t="str">
        <f>IFERROR(IF(INDEX(使用レシピ!M:M,MATCH(テンプレート!$C276,使用レシピ!$E:$E,0))&lt;&gt;0,INDEX(使用レシピ!M:M,MATCH(テンプレート!$C276,使用レシピ!$E:$E,0)),""),"")</f>
        <v/>
      </c>
      <c r="M276" t="str">
        <f>IFERROR(IF(INDEX(使用レシピ!N:N,MATCH(テンプレート!$C276,使用レシピ!$E:$E,0))&lt;&gt;0,INDEX(使用レシピ!N:N,MATCH(テンプレート!$C276,使用レシピ!$E:$E,0)),""),"")</f>
        <v/>
      </c>
      <c r="N276" s="24" t="str">
        <f>IFERROR(IF(INDEX(使用レシピ!O:O,MATCH(テンプレート!$C276,使用レシピ!$E:$E,0))&lt;&gt;0,INDEX(使用レシピ!O:O,MATCH(テンプレート!$C276,使用レシピ!$E:$E,0)),""),"")</f>
        <v/>
      </c>
      <c r="O276" s="42" t="str">
        <f>IFERROR(IF(INDEX(使用レシピ!P:P,MATCH(テンプレート!$C276,使用レシピ!$E:$E,0))&lt;&gt;0,INDEX(使用レシピ!P:P,MATCH(テンプレート!$C276,使用レシピ!$E:$E,0)),""),"")</f>
        <v/>
      </c>
      <c r="P276" s="25" t="str">
        <f t="shared" si="22"/>
        <v/>
      </c>
      <c r="Q276" s="26" t="str">
        <f t="shared" si="23"/>
        <v/>
      </c>
      <c r="R276" s="26" t="str">
        <f t="shared" si="24"/>
        <v/>
      </c>
      <c r="S276" s="26" t="str">
        <f t="shared" si="25"/>
        <v/>
      </c>
      <c r="T276" s="43" t="str">
        <f t="shared" si="25"/>
        <v/>
      </c>
    </row>
    <row r="277" spans="2:20" x14ac:dyDescent="0.4">
      <c r="B277" s="47" t="str" cm="1">
        <f t="array" ref="B277">IFERROR((INDEX($P$4:$T$1000,MATCH(VALUE(LEFT($A277,LEN($A277)-1)),$A$4:$A$1000,0),VALUE(RIGHT($A277,1)))/ INDEX($O$4:$O$1000,MATCH(VALUE(LEFT($A277,LEN($A277)-1)),$A$4:$A$1000))) * INDEX($B$4:$B$1000,MATCH(VALUE(LEFT($A277,LEN($A277)-1)),$A$4:$A$1000)),"")</f>
        <v/>
      </c>
      <c r="C277" s="38" t="str" cm="1">
        <f t="array" ref="C277">IFERROR(IF(INDEX($D$4:$H$1000,MATCH(VALUE(LEFT($A277,LEN($A277)-1)),$A$4:$A$1000,0),VALUE(RIGHT($A277,1)))= 0,"",INDEX($D$4:$H$1000,MATCH(VALUE(LEFT($A277,LEN($A277)-1)),$A$4:$A$1000,0),VALUE(RIGHT($A277,1)))),"")</f>
        <v/>
      </c>
      <c r="D277" s="23" t="str">
        <f>IFERROR(IF(INDEX(使用レシピ!F:F,MATCH(テンプレート!$C277,使用レシピ!$E:$E,0))&lt;&gt;0,INDEX(使用レシピ!F:F,MATCH(テンプレート!$C277,使用レシピ!$E:$E,0)),""),"")</f>
        <v/>
      </c>
      <c r="E277" t="str">
        <f>IFERROR(IF(INDEX(使用レシピ!G:G,MATCH(テンプレート!$C277,使用レシピ!$E:$E,0))&lt;&gt;0,INDEX(使用レシピ!G:G,MATCH(テンプレート!$C277,使用レシピ!$E:$E,0)),""),"")</f>
        <v/>
      </c>
      <c r="F277" t="str">
        <f>IFERROR(IF(INDEX(使用レシピ!H:H,MATCH(テンプレート!$C277,使用レシピ!$E:$E,0))&lt;&gt;0,INDEX(使用レシピ!H:H,MATCH(テンプレート!$C277,使用レシピ!$E:$E,0)),""),"")</f>
        <v/>
      </c>
      <c r="G277" t="str">
        <f>IFERROR(IF(INDEX(使用レシピ!I:I,MATCH(テンプレート!$C277,使用レシピ!$E:$E,0))&lt;&gt;0,INDEX(使用レシピ!I:I,MATCH(テンプレート!$C277,使用レシピ!$E:$E,0)),""),"")</f>
        <v/>
      </c>
      <c r="H277" s="24" t="str">
        <f>IFERROR(IF(INDEX(使用レシピ!J:J,MATCH(テンプレート!$C277,使用レシピ!$E:$E,0))&lt;&gt;0,INDEX(使用レシピ!J:J,MATCH(テンプレート!$C277,使用レシピ!$E:$E,0)),""),"")</f>
        <v/>
      </c>
      <c r="I277" s="36" t="str">
        <f>IFERROR(IF(INDEX(使用レシピ!P:P,MATCH(テンプレート!$C277,使用レシピ!$E:$E,0))&lt;&gt;0,INDEX(使用レシピ!P:P,MATCH(テンプレート!$C277,使用レシピ!$E:$E,0)),""),"")</f>
        <v/>
      </c>
      <c r="J277" t="str">
        <f>IFERROR(IF(INDEX(使用レシピ!K:K,MATCH(テンプレート!$C277,使用レシピ!$E:$E,0))&lt;&gt;0,INDEX(使用レシピ!K:K,MATCH(テンプレート!$C277,使用レシピ!$E:$E,0)),""),"")</f>
        <v/>
      </c>
      <c r="K277" t="str">
        <f>IFERROR(IF(INDEX(使用レシピ!L:L,MATCH(テンプレート!$C277,使用レシピ!$E:$E,0))&lt;&gt;0,INDEX(使用レシピ!L:L,MATCH(テンプレート!$C277,使用レシピ!$E:$E,0)),""),"")</f>
        <v/>
      </c>
      <c r="L277" t="str">
        <f>IFERROR(IF(INDEX(使用レシピ!M:M,MATCH(テンプレート!$C277,使用レシピ!$E:$E,0))&lt;&gt;0,INDEX(使用レシピ!M:M,MATCH(テンプレート!$C277,使用レシピ!$E:$E,0)),""),"")</f>
        <v/>
      </c>
      <c r="M277" t="str">
        <f>IFERROR(IF(INDEX(使用レシピ!N:N,MATCH(テンプレート!$C277,使用レシピ!$E:$E,0))&lt;&gt;0,INDEX(使用レシピ!N:N,MATCH(テンプレート!$C277,使用レシピ!$E:$E,0)),""),"")</f>
        <v/>
      </c>
      <c r="N277" s="24" t="str">
        <f>IFERROR(IF(INDEX(使用レシピ!O:O,MATCH(テンプレート!$C277,使用レシピ!$E:$E,0))&lt;&gt;0,INDEX(使用レシピ!O:O,MATCH(テンプレート!$C277,使用レシピ!$E:$E,0)),""),"")</f>
        <v/>
      </c>
      <c r="O277" s="42" t="str">
        <f>IFERROR(IF(INDEX(使用レシピ!P:P,MATCH(テンプレート!$C277,使用レシピ!$E:$E,0))&lt;&gt;0,INDEX(使用レシピ!P:P,MATCH(テンプレート!$C277,使用レシピ!$E:$E,0)),""),"")</f>
        <v/>
      </c>
      <c r="P277" s="25" t="str">
        <f t="shared" si="22"/>
        <v/>
      </c>
      <c r="Q277" s="26" t="str">
        <f t="shared" si="23"/>
        <v/>
      </c>
      <c r="R277" s="26" t="str">
        <f t="shared" si="24"/>
        <v/>
      </c>
      <c r="S277" s="26" t="str">
        <f t="shared" si="25"/>
        <v/>
      </c>
      <c r="T277" s="43" t="str">
        <f t="shared" si="25"/>
        <v/>
      </c>
    </row>
    <row r="278" spans="2:20" x14ac:dyDescent="0.4">
      <c r="B278" s="47" t="str" cm="1">
        <f t="array" ref="B278">IFERROR((INDEX($P$4:$T$1000,MATCH(VALUE(LEFT($A278,LEN($A278)-1)),$A$4:$A$1000,0),VALUE(RIGHT($A278,1)))/ INDEX($O$4:$O$1000,MATCH(VALUE(LEFT($A278,LEN($A278)-1)),$A$4:$A$1000))) * INDEX($B$4:$B$1000,MATCH(VALUE(LEFT($A278,LEN($A278)-1)),$A$4:$A$1000)),"")</f>
        <v/>
      </c>
      <c r="C278" s="38" t="str" cm="1">
        <f t="array" ref="C278">IFERROR(IF(INDEX($D$4:$H$1000,MATCH(VALUE(LEFT($A278,LEN($A278)-1)),$A$4:$A$1000,0),VALUE(RIGHT($A278,1)))= 0,"",INDEX($D$4:$H$1000,MATCH(VALUE(LEFT($A278,LEN($A278)-1)),$A$4:$A$1000,0),VALUE(RIGHT($A278,1)))),"")</f>
        <v/>
      </c>
      <c r="D278" s="23" t="str">
        <f>IFERROR(IF(INDEX(使用レシピ!F:F,MATCH(テンプレート!$C278,使用レシピ!$E:$E,0))&lt;&gt;0,INDEX(使用レシピ!F:F,MATCH(テンプレート!$C278,使用レシピ!$E:$E,0)),""),"")</f>
        <v/>
      </c>
      <c r="E278" t="str">
        <f>IFERROR(IF(INDEX(使用レシピ!G:G,MATCH(テンプレート!$C278,使用レシピ!$E:$E,0))&lt;&gt;0,INDEX(使用レシピ!G:G,MATCH(テンプレート!$C278,使用レシピ!$E:$E,0)),""),"")</f>
        <v/>
      </c>
      <c r="F278" t="str">
        <f>IFERROR(IF(INDEX(使用レシピ!H:H,MATCH(テンプレート!$C278,使用レシピ!$E:$E,0))&lt;&gt;0,INDEX(使用レシピ!H:H,MATCH(テンプレート!$C278,使用レシピ!$E:$E,0)),""),"")</f>
        <v/>
      </c>
      <c r="G278" t="str">
        <f>IFERROR(IF(INDEX(使用レシピ!I:I,MATCH(テンプレート!$C278,使用レシピ!$E:$E,0))&lt;&gt;0,INDEX(使用レシピ!I:I,MATCH(テンプレート!$C278,使用レシピ!$E:$E,0)),""),"")</f>
        <v/>
      </c>
      <c r="H278" s="24" t="str">
        <f>IFERROR(IF(INDEX(使用レシピ!J:J,MATCH(テンプレート!$C278,使用レシピ!$E:$E,0))&lt;&gt;0,INDEX(使用レシピ!J:J,MATCH(テンプレート!$C278,使用レシピ!$E:$E,0)),""),"")</f>
        <v/>
      </c>
      <c r="I278" s="36" t="str">
        <f>IFERROR(IF(INDEX(使用レシピ!P:P,MATCH(テンプレート!$C278,使用レシピ!$E:$E,0))&lt;&gt;0,INDEX(使用レシピ!P:P,MATCH(テンプレート!$C278,使用レシピ!$E:$E,0)),""),"")</f>
        <v/>
      </c>
      <c r="J278" t="str">
        <f>IFERROR(IF(INDEX(使用レシピ!K:K,MATCH(テンプレート!$C278,使用レシピ!$E:$E,0))&lt;&gt;0,INDEX(使用レシピ!K:K,MATCH(テンプレート!$C278,使用レシピ!$E:$E,0)),""),"")</f>
        <v/>
      </c>
      <c r="K278" t="str">
        <f>IFERROR(IF(INDEX(使用レシピ!L:L,MATCH(テンプレート!$C278,使用レシピ!$E:$E,0))&lt;&gt;0,INDEX(使用レシピ!L:L,MATCH(テンプレート!$C278,使用レシピ!$E:$E,0)),""),"")</f>
        <v/>
      </c>
      <c r="L278" t="str">
        <f>IFERROR(IF(INDEX(使用レシピ!M:M,MATCH(テンプレート!$C278,使用レシピ!$E:$E,0))&lt;&gt;0,INDEX(使用レシピ!M:M,MATCH(テンプレート!$C278,使用レシピ!$E:$E,0)),""),"")</f>
        <v/>
      </c>
      <c r="M278" t="str">
        <f>IFERROR(IF(INDEX(使用レシピ!N:N,MATCH(テンプレート!$C278,使用レシピ!$E:$E,0))&lt;&gt;0,INDEX(使用レシピ!N:N,MATCH(テンプレート!$C278,使用レシピ!$E:$E,0)),""),"")</f>
        <v/>
      </c>
      <c r="N278" s="24" t="str">
        <f>IFERROR(IF(INDEX(使用レシピ!O:O,MATCH(テンプレート!$C278,使用レシピ!$E:$E,0))&lt;&gt;0,INDEX(使用レシピ!O:O,MATCH(テンプレート!$C278,使用レシピ!$E:$E,0)),""),"")</f>
        <v/>
      </c>
      <c r="O278" s="42" t="str">
        <f>IFERROR(IF(INDEX(使用レシピ!P:P,MATCH(テンプレート!$C278,使用レシピ!$E:$E,0))&lt;&gt;0,INDEX(使用レシピ!P:P,MATCH(テンプレート!$C278,使用レシピ!$E:$E,0)),""),"")</f>
        <v/>
      </c>
      <c r="P278" s="25" t="str">
        <f t="shared" si="22"/>
        <v/>
      </c>
      <c r="Q278" s="26" t="str">
        <f t="shared" si="23"/>
        <v/>
      </c>
      <c r="R278" s="26" t="str">
        <f t="shared" si="24"/>
        <v/>
      </c>
      <c r="S278" s="26" t="str">
        <f t="shared" si="25"/>
        <v/>
      </c>
      <c r="T278" s="43" t="str">
        <f t="shared" si="25"/>
        <v/>
      </c>
    </row>
    <row r="279" spans="2:20" x14ac:dyDescent="0.4">
      <c r="B279" s="47" t="str" cm="1">
        <f t="array" ref="B279">IFERROR((INDEX($P$4:$T$1000,MATCH(VALUE(LEFT($A279,LEN($A279)-1)),$A$4:$A$1000,0),VALUE(RIGHT($A279,1)))/ INDEX($O$4:$O$1000,MATCH(VALUE(LEFT($A279,LEN($A279)-1)),$A$4:$A$1000))) * INDEX($B$4:$B$1000,MATCH(VALUE(LEFT($A279,LEN($A279)-1)),$A$4:$A$1000)),"")</f>
        <v/>
      </c>
      <c r="C279" s="38" t="str" cm="1">
        <f t="array" ref="C279">IFERROR(IF(INDEX($D$4:$H$1000,MATCH(VALUE(LEFT($A279,LEN($A279)-1)),$A$4:$A$1000,0),VALUE(RIGHT($A279,1)))= 0,"",INDEX($D$4:$H$1000,MATCH(VALUE(LEFT($A279,LEN($A279)-1)),$A$4:$A$1000,0),VALUE(RIGHT($A279,1)))),"")</f>
        <v/>
      </c>
      <c r="D279" s="23" t="str">
        <f>IFERROR(IF(INDEX(使用レシピ!F:F,MATCH(テンプレート!$C279,使用レシピ!$E:$E,0))&lt;&gt;0,INDEX(使用レシピ!F:F,MATCH(テンプレート!$C279,使用レシピ!$E:$E,0)),""),"")</f>
        <v/>
      </c>
      <c r="E279" t="str">
        <f>IFERROR(IF(INDEX(使用レシピ!G:G,MATCH(テンプレート!$C279,使用レシピ!$E:$E,0))&lt;&gt;0,INDEX(使用レシピ!G:G,MATCH(テンプレート!$C279,使用レシピ!$E:$E,0)),""),"")</f>
        <v/>
      </c>
      <c r="F279" t="str">
        <f>IFERROR(IF(INDEX(使用レシピ!H:H,MATCH(テンプレート!$C279,使用レシピ!$E:$E,0))&lt;&gt;0,INDEX(使用レシピ!H:H,MATCH(テンプレート!$C279,使用レシピ!$E:$E,0)),""),"")</f>
        <v/>
      </c>
      <c r="G279" t="str">
        <f>IFERROR(IF(INDEX(使用レシピ!I:I,MATCH(テンプレート!$C279,使用レシピ!$E:$E,0))&lt;&gt;0,INDEX(使用レシピ!I:I,MATCH(テンプレート!$C279,使用レシピ!$E:$E,0)),""),"")</f>
        <v/>
      </c>
      <c r="H279" s="24" t="str">
        <f>IFERROR(IF(INDEX(使用レシピ!J:J,MATCH(テンプレート!$C279,使用レシピ!$E:$E,0))&lt;&gt;0,INDEX(使用レシピ!J:J,MATCH(テンプレート!$C279,使用レシピ!$E:$E,0)),""),"")</f>
        <v/>
      </c>
      <c r="I279" s="36" t="str">
        <f>IFERROR(IF(INDEX(使用レシピ!P:P,MATCH(テンプレート!$C279,使用レシピ!$E:$E,0))&lt;&gt;0,INDEX(使用レシピ!P:P,MATCH(テンプレート!$C279,使用レシピ!$E:$E,0)),""),"")</f>
        <v/>
      </c>
      <c r="J279" t="str">
        <f>IFERROR(IF(INDEX(使用レシピ!K:K,MATCH(テンプレート!$C279,使用レシピ!$E:$E,0))&lt;&gt;0,INDEX(使用レシピ!K:K,MATCH(テンプレート!$C279,使用レシピ!$E:$E,0)),""),"")</f>
        <v/>
      </c>
      <c r="K279" t="str">
        <f>IFERROR(IF(INDEX(使用レシピ!L:L,MATCH(テンプレート!$C279,使用レシピ!$E:$E,0))&lt;&gt;0,INDEX(使用レシピ!L:L,MATCH(テンプレート!$C279,使用レシピ!$E:$E,0)),""),"")</f>
        <v/>
      </c>
      <c r="L279" t="str">
        <f>IFERROR(IF(INDEX(使用レシピ!M:M,MATCH(テンプレート!$C279,使用レシピ!$E:$E,0))&lt;&gt;0,INDEX(使用レシピ!M:M,MATCH(テンプレート!$C279,使用レシピ!$E:$E,0)),""),"")</f>
        <v/>
      </c>
      <c r="M279" t="str">
        <f>IFERROR(IF(INDEX(使用レシピ!N:N,MATCH(テンプレート!$C279,使用レシピ!$E:$E,0))&lt;&gt;0,INDEX(使用レシピ!N:N,MATCH(テンプレート!$C279,使用レシピ!$E:$E,0)),""),"")</f>
        <v/>
      </c>
      <c r="N279" s="24" t="str">
        <f>IFERROR(IF(INDEX(使用レシピ!O:O,MATCH(テンプレート!$C279,使用レシピ!$E:$E,0))&lt;&gt;0,INDEX(使用レシピ!O:O,MATCH(テンプレート!$C279,使用レシピ!$E:$E,0)),""),"")</f>
        <v/>
      </c>
      <c r="O279" s="42" t="str">
        <f>IFERROR(IF(INDEX(使用レシピ!P:P,MATCH(テンプレート!$C279,使用レシピ!$E:$E,0))&lt;&gt;0,INDEX(使用レシピ!P:P,MATCH(テンプレート!$C279,使用レシピ!$E:$E,0)),""),"")</f>
        <v/>
      </c>
      <c r="P279" s="25" t="str">
        <f t="shared" si="22"/>
        <v/>
      </c>
      <c r="Q279" s="26" t="str">
        <f t="shared" si="23"/>
        <v/>
      </c>
      <c r="R279" s="26" t="str">
        <f t="shared" si="24"/>
        <v/>
      </c>
      <c r="S279" s="26" t="str">
        <f t="shared" si="25"/>
        <v/>
      </c>
      <c r="T279" s="43" t="str">
        <f t="shared" si="25"/>
        <v/>
      </c>
    </row>
    <row r="280" spans="2:20" x14ac:dyDescent="0.4">
      <c r="B280" s="47" t="str" cm="1">
        <f t="array" ref="B280">IFERROR((INDEX($P$4:$T$1000,MATCH(VALUE(LEFT($A280,LEN($A280)-1)),$A$4:$A$1000,0),VALUE(RIGHT($A280,1)))/ INDEX($O$4:$O$1000,MATCH(VALUE(LEFT($A280,LEN($A280)-1)),$A$4:$A$1000))) * INDEX($B$4:$B$1000,MATCH(VALUE(LEFT($A280,LEN($A280)-1)),$A$4:$A$1000)),"")</f>
        <v/>
      </c>
      <c r="C280" s="38" t="str" cm="1">
        <f t="array" ref="C280">IFERROR(IF(INDEX($D$4:$H$1000,MATCH(VALUE(LEFT($A280,LEN($A280)-1)),$A$4:$A$1000,0),VALUE(RIGHT($A280,1)))= 0,"",INDEX($D$4:$H$1000,MATCH(VALUE(LEFT($A280,LEN($A280)-1)),$A$4:$A$1000,0),VALUE(RIGHT($A280,1)))),"")</f>
        <v/>
      </c>
      <c r="D280" s="23" t="str">
        <f>IFERROR(IF(INDEX(使用レシピ!F:F,MATCH(テンプレート!$C280,使用レシピ!$E:$E,0))&lt;&gt;0,INDEX(使用レシピ!F:F,MATCH(テンプレート!$C280,使用レシピ!$E:$E,0)),""),"")</f>
        <v/>
      </c>
      <c r="E280" t="str">
        <f>IFERROR(IF(INDEX(使用レシピ!G:G,MATCH(テンプレート!$C280,使用レシピ!$E:$E,0))&lt;&gt;0,INDEX(使用レシピ!G:G,MATCH(テンプレート!$C280,使用レシピ!$E:$E,0)),""),"")</f>
        <v/>
      </c>
      <c r="F280" t="str">
        <f>IFERROR(IF(INDEX(使用レシピ!H:H,MATCH(テンプレート!$C280,使用レシピ!$E:$E,0))&lt;&gt;0,INDEX(使用レシピ!H:H,MATCH(テンプレート!$C280,使用レシピ!$E:$E,0)),""),"")</f>
        <v/>
      </c>
      <c r="G280" t="str">
        <f>IFERROR(IF(INDEX(使用レシピ!I:I,MATCH(テンプレート!$C280,使用レシピ!$E:$E,0))&lt;&gt;0,INDEX(使用レシピ!I:I,MATCH(テンプレート!$C280,使用レシピ!$E:$E,0)),""),"")</f>
        <v/>
      </c>
      <c r="H280" s="24" t="str">
        <f>IFERROR(IF(INDEX(使用レシピ!J:J,MATCH(テンプレート!$C280,使用レシピ!$E:$E,0))&lt;&gt;0,INDEX(使用レシピ!J:J,MATCH(テンプレート!$C280,使用レシピ!$E:$E,0)),""),"")</f>
        <v/>
      </c>
      <c r="I280" s="36" t="str">
        <f>IFERROR(IF(INDEX(使用レシピ!P:P,MATCH(テンプレート!$C280,使用レシピ!$E:$E,0))&lt;&gt;0,INDEX(使用レシピ!P:P,MATCH(テンプレート!$C280,使用レシピ!$E:$E,0)),""),"")</f>
        <v/>
      </c>
      <c r="J280" t="str">
        <f>IFERROR(IF(INDEX(使用レシピ!K:K,MATCH(テンプレート!$C280,使用レシピ!$E:$E,0))&lt;&gt;0,INDEX(使用レシピ!K:K,MATCH(テンプレート!$C280,使用レシピ!$E:$E,0)),""),"")</f>
        <v/>
      </c>
      <c r="K280" t="str">
        <f>IFERROR(IF(INDEX(使用レシピ!L:L,MATCH(テンプレート!$C280,使用レシピ!$E:$E,0))&lt;&gt;0,INDEX(使用レシピ!L:L,MATCH(テンプレート!$C280,使用レシピ!$E:$E,0)),""),"")</f>
        <v/>
      </c>
      <c r="L280" t="str">
        <f>IFERROR(IF(INDEX(使用レシピ!M:M,MATCH(テンプレート!$C280,使用レシピ!$E:$E,0))&lt;&gt;0,INDEX(使用レシピ!M:M,MATCH(テンプレート!$C280,使用レシピ!$E:$E,0)),""),"")</f>
        <v/>
      </c>
      <c r="M280" t="str">
        <f>IFERROR(IF(INDEX(使用レシピ!N:N,MATCH(テンプレート!$C280,使用レシピ!$E:$E,0))&lt;&gt;0,INDEX(使用レシピ!N:N,MATCH(テンプレート!$C280,使用レシピ!$E:$E,0)),""),"")</f>
        <v/>
      </c>
      <c r="N280" s="24" t="str">
        <f>IFERROR(IF(INDEX(使用レシピ!O:O,MATCH(テンプレート!$C280,使用レシピ!$E:$E,0))&lt;&gt;0,INDEX(使用レシピ!O:O,MATCH(テンプレート!$C280,使用レシピ!$E:$E,0)),""),"")</f>
        <v/>
      </c>
      <c r="O280" s="42" t="str">
        <f>IFERROR(IF(INDEX(使用レシピ!P:P,MATCH(テンプレート!$C280,使用レシピ!$E:$E,0))&lt;&gt;0,INDEX(使用レシピ!P:P,MATCH(テンプレート!$C280,使用レシピ!$E:$E,0)),""),"")</f>
        <v/>
      </c>
      <c r="P280" s="25" t="str">
        <f t="shared" si="22"/>
        <v/>
      </c>
      <c r="Q280" s="26" t="str">
        <f t="shared" si="23"/>
        <v/>
      </c>
      <c r="R280" s="26" t="str">
        <f t="shared" si="24"/>
        <v/>
      </c>
      <c r="S280" s="26" t="str">
        <f t="shared" si="25"/>
        <v/>
      </c>
      <c r="T280" s="43" t="str">
        <f t="shared" si="25"/>
        <v/>
      </c>
    </row>
    <row r="281" spans="2:20" x14ac:dyDescent="0.4">
      <c r="B281" s="47" t="str" cm="1">
        <f t="array" ref="B281">IFERROR((INDEX($P$4:$T$1000,MATCH(VALUE(LEFT($A281,LEN($A281)-1)),$A$4:$A$1000,0),VALUE(RIGHT($A281,1)))/ INDEX($O$4:$O$1000,MATCH(VALUE(LEFT($A281,LEN($A281)-1)),$A$4:$A$1000))) * INDEX($B$4:$B$1000,MATCH(VALUE(LEFT($A281,LEN($A281)-1)),$A$4:$A$1000)),"")</f>
        <v/>
      </c>
      <c r="C281" s="38" t="str" cm="1">
        <f t="array" ref="C281">IFERROR(IF(INDEX($D$4:$H$1000,MATCH(VALUE(LEFT($A281,LEN($A281)-1)),$A$4:$A$1000,0),VALUE(RIGHT($A281,1)))= 0,"",INDEX($D$4:$H$1000,MATCH(VALUE(LEFT($A281,LEN($A281)-1)),$A$4:$A$1000,0),VALUE(RIGHT($A281,1)))),"")</f>
        <v/>
      </c>
      <c r="D281" s="23" t="str">
        <f>IFERROR(IF(INDEX(使用レシピ!F:F,MATCH(テンプレート!$C281,使用レシピ!$E:$E,0))&lt;&gt;0,INDEX(使用レシピ!F:F,MATCH(テンプレート!$C281,使用レシピ!$E:$E,0)),""),"")</f>
        <v/>
      </c>
      <c r="E281" t="str">
        <f>IFERROR(IF(INDEX(使用レシピ!G:G,MATCH(テンプレート!$C281,使用レシピ!$E:$E,0))&lt;&gt;0,INDEX(使用レシピ!G:G,MATCH(テンプレート!$C281,使用レシピ!$E:$E,0)),""),"")</f>
        <v/>
      </c>
      <c r="F281" t="str">
        <f>IFERROR(IF(INDEX(使用レシピ!H:H,MATCH(テンプレート!$C281,使用レシピ!$E:$E,0))&lt;&gt;0,INDEX(使用レシピ!H:H,MATCH(テンプレート!$C281,使用レシピ!$E:$E,0)),""),"")</f>
        <v/>
      </c>
      <c r="G281" t="str">
        <f>IFERROR(IF(INDEX(使用レシピ!I:I,MATCH(テンプレート!$C281,使用レシピ!$E:$E,0))&lt;&gt;0,INDEX(使用レシピ!I:I,MATCH(テンプレート!$C281,使用レシピ!$E:$E,0)),""),"")</f>
        <v/>
      </c>
      <c r="H281" s="24" t="str">
        <f>IFERROR(IF(INDEX(使用レシピ!J:J,MATCH(テンプレート!$C281,使用レシピ!$E:$E,0))&lt;&gt;0,INDEX(使用レシピ!J:J,MATCH(テンプレート!$C281,使用レシピ!$E:$E,0)),""),"")</f>
        <v/>
      </c>
      <c r="I281" s="36" t="str">
        <f>IFERROR(IF(INDEX(使用レシピ!P:P,MATCH(テンプレート!$C281,使用レシピ!$E:$E,0))&lt;&gt;0,INDEX(使用レシピ!P:P,MATCH(テンプレート!$C281,使用レシピ!$E:$E,0)),""),"")</f>
        <v/>
      </c>
      <c r="J281" t="str">
        <f>IFERROR(IF(INDEX(使用レシピ!K:K,MATCH(テンプレート!$C281,使用レシピ!$E:$E,0))&lt;&gt;0,INDEX(使用レシピ!K:K,MATCH(テンプレート!$C281,使用レシピ!$E:$E,0)),""),"")</f>
        <v/>
      </c>
      <c r="K281" t="str">
        <f>IFERROR(IF(INDEX(使用レシピ!L:L,MATCH(テンプレート!$C281,使用レシピ!$E:$E,0))&lt;&gt;0,INDEX(使用レシピ!L:L,MATCH(テンプレート!$C281,使用レシピ!$E:$E,0)),""),"")</f>
        <v/>
      </c>
      <c r="L281" t="str">
        <f>IFERROR(IF(INDEX(使用レシピ!M:M,MATCH(テンプレート!$C281,使用レシピ!$E:$E,0))&lt;&gt;0,INDEX(使用レシピ!M:M,MATCH(テンプレート!$C281,使用レシピ!$E:$E,0)),""),"")</f>
        <v/>
      </c>
      <c r="M281" t="str">
        <f>IFERROR(IF(INDEX(使用レシピ!N:N,MATCH(テンプレート!$C281,使用レシピ!$E:$E,0))&lt;&gt;0,INDEX(使用レシピ!N:N,MATCH(テンプレート!$C281,使用レシピ!$E:$E,0)),""),"")</f>
        <v/>
      </c>
      <c r="N281" s="24" t="str">
        <f>IFERROR(IF(INDEX(使用レシピ!O:O,MATCH(テンプレート!$C281,使用レシピ!$E:$E,0))&lt;&gt;0,INDEX(使用レシピ!O:O,MATCH(テンプレート!$C281,使用レシピ!$E:$E,0)),""),"")</f>
        <v/>
      </c>
      <c r="O281" s="42" t="str">
        <f>IFERROR(IF(INDEX(使用レシピ!P:P,MATCH(テンプレート!$C281,使用レシピ!$E:$E,0))&lt;&gt;0,INDEX(使用レシピ!P:P,MATCH(テンプレート!$C281,使用レシピ!$E:$E,0)),""),"")</f>
        <v/>
      </c>
      <c r="P281" s="25" t="str">
        <f t="shared" si="22"/>
        <v/>
      </c>
      <c r="Q281" s="26" t="str">
        <f t="shared" si="23"/>
        <v/>
      </c>
      <c r="R281" s="26" t="str">
        <f t="shared" si="24"/>
        <v/>
      </c>
      <c r="S281" s="26" t="str">
        <f t="shared" si="25"/>
        <v/>
      </c>
      <c r="T281" s="43" t="str">
        <f t="shared" si="25"/>
        <v/>
      </c>
    </row>
    <row r="282" spans="2:20" x14ac:dyDescent="0.4">
      <c r="B282" s="47" t="str" cm="1">
        <f t="array" ref="B282">IFERROR((INDEX($P$4:$T$1000,MATCH(VALUE(LEFT($A282,LEN($A282)-1)),$A$4:$A$1000,0),VALUE(RIGHT($A282,1)))/ INDEX($O$4:$O$1000,MATCH(VALUE(LEFT($A282,LEN($A282)-1)),$A$4:$A$1000))) * INDEX($B$4:$B$1000,MATCH(VALUE(LEFT($A282,LEN($A282)-1)),$A$4:$A$1000)),"")</f>
        <v/>
      </c>
      <c r="C282" s="38" t="str" cm="1">
        <f t="array" ref="C282">IFERROR(IF(INDEX($D$4:$H$1000,MATCH(VALUE(LEFT($A282,LEN($A282)-1)),$A$4:$A$1000,0),VALUE(RIGHT($A282,1)))= 0,"",INDEX($D$4:$H$1000,MATCH(VALUE(LEFT($A282,LEN($A282)-1)),$A$4:$A$1000,0),VALUE(RIGHT($A282,1)))),"")</f>
        <v/>
      </c>
      <c r="D282" s="23" t="str">
        <f>IFERROR(IF(INDEX(使用レシピ!F:F,MATCH(テンプレート!$C282,使用レシピ!$E:$E,0))&lt;&gt;0,INDEX(使用レシピ!F:F,MATCH(テンプレート!$C282,使用レシピ!$E:$E,0)),""),"")</f>
        <v/>
      </c>
      <c r="E282" t="str">
        <f>IFERROR(IF(INDEX(使用レシピ!G:G,MATCH(テンプレート!$C282,使用レシピ!$E:$E,0))&lt;&gt;0,INDEX(使用レシピ!G:G,MATCH(テンプレート!$C282,使用レシピ!$E:$E,0)),""),"")</f>
        <v/>
      </c>
      <c r="F282" t="str">
        <f>IFERROR(IF(INDEX(使用レシピ!H:H,MATCH(テンプレート!$C282,使用レシピ!$E:$E,0))&lt;&gt;0,INDEX(使用レシピ!H:H,MATCH(テンプレート!$C282,使用レシピ!$E:$E,0)),""),"")</f>
        <v/>
      </c>
      <c r="G282" t="str">
        <f>IFERROR(IF(INDEX(使用レシピ!I:I,MATCH(テンプレート!$C282,使用レシピ!$E:$E,0))&lt;&gt;0,INDEX(使用レシピ!I:I,MATCH(テンプレート!$C282,使用レシピ!$E:$E,0)),""),"")</f>
        <v/>
      </c>
      <c r="H282" s="24" t="str">
        <f>IFERROR(IF(INDEX(使用レシピ!J:J,MATCH(テンプレート!$C282,使用レシピ!$E:$E,0))&lt;&gt;0,INDEX(使用レシピ!J:J,MATCH(テンプレート!$C282,使用レシピ!$E:$E,0)),""),"")</f>
        <v/>
      </c>
      <c r="I282" s="36" t="str">
        <f>IFERROR(IF(INDEX(使用レシピ!P:P,MATCH(テンプレート!$C282,使用レシピ!$E:$E,0))&lt;&gt;0,INDEX(使用レシピ!P:P,MATCH(テンプレート!$C282,使用レシピ!$E:$E,0)),""),"")</f>
        <v/>
      </c>
      <c r="J282" t="str">
        <f>IFERROR(IF(INDEX(使用レシピ!K:K,MATCH(テンプレート!$C282,使用レシピ!$E:$E,0))&lt;&gt;0,INDEX(使用レシピ!K:K,MATCH(テンプレート!$C282,使用レシピ!$E:$E,0)),""),"")</f>
        <v/>
      </c>
      <c r="K282" t="str">
        <f>IFERROR(IF(INDEX(使用レシピ!L:L,MATCH(テンプレート!$C282,使用レシピ!$E:$E,0))&lt;&gt;0,INDEX(使用レシピ!L:L,MATCH(テンプレート!$C282,使用レシピ!$E:$E,0)),""),"")</f>
        <v/>
      </c>
      <c r="L282" t="str">
        <f>IFERROR(IF(INDEX(使用レシピ!M:M,MATCH(テンプレート!$C282,使用レシピ!$E:$E,0))&lt;&gt;0,INDEX(使用レシピ!M:M,MATCH(テンプレート!$C282,使用レシピ!$E:$E,0)),""),"")</f>
        <v/>
      </c>
      <c r="M282" t="str">
        <f>IFERROR(IF(INDEX(使用レシピ!N:N,MATCH(テンプレート!$C282,使用レシピ!$E:$E,0))&lt;&gt;0,INDEX(使用レシピ!N:N,MATCH(テンプレート!$C282,使用レシピ!$E:$E,0)),""),"")</f>
        <v/>
      </c>
      <c r="N282" s="24" t="str">
        <f>IFERROR(IF(INDEX(使用レシピ!O:O,MATCH(テンプレート!$C282,使用レシピ!$E:$E,0))&lt;&gt;0,INDEX(使用レシピ!O:O,MATCH(テンプレート!$C282,使用レシピ!$E:$E,0)),""),"")</f>
        <v/>
      </c>
      <c r="O282" s="42" t="str">
        <f>IFERROR(IF(INDEX(使用レシピ!P:P,MATCH(テンプレート!$C282,使用レシピ!$E:$E,0))&lt;&gt;0,INDEX(使用レシピ!P:P,MATCH(テンプレート!$C282,使用レシピ!$E:$E,0)),""),"")</f>
        <v/>
      </c>
      <c r="P282" s="25" t="str">
        <f t="shared" si="22"/>
        <v/>
      </c>
      <c r="Q282" s="26" t="str">
        <f t="shared" si="23"/>
        <v/>
      </c>
      <c r="R282" s="26" t="str">
        <f t="shared" si="24"/>
        <v/>
      </c>
      <c r="S282" s="26" t="str">
        <f t="shared" si="25"/>
        <v/>
      </c>
      <c r="T282" s="43" t="str">
        <f t="shared" si="25"/>
        <v/>
      </c>
    </row>
    <row r="283" spans="2:20" x14ac:dyDescent="0.4">
      <c r="B283" s="47" t="str" cm="1">
        <f t="array" ref="B283">IFERROR((INDEX($P$4:$T$1000,MATCH(VALUE(LEFT($A283,LEN($A283)-1)),$A$4:$A$1000,0),VALUE(RIGHT($A283,1)))/ INDEX($O$4:$O$1000,MATCH(VALUE(LEFT($A283,LEN($A283)-1)),$A$4:$A$1000))) * INDEX($B$4:$B$1000,MATCH(VALUE(LEFT($A283,LEN($A283)-1)),$A$4:$A$1000)),"")</f>
        <v/>
      </c>
      <c r="C283" s="38" t="str" cm="1">
        <f t="array" ref="C283">IFERROR(IF(INDEX($D$4:$H$1000,MATCH(VALUE(LEFT($A283,LEN($A283)-1)),$A$4:$A$1000,0),VALUE(RIGHT($A283,1)))= 0,"",INDEX($D$4:$H$1000,MATCH(VALUE(LEFT($A283,LEN($A283)-1)),$A$4:$A$1000,0),VALUE(RIGHT($A283,1)))),"")</f>
        <v/>
      </c>
      <c r="D283" s="23" t="str">
        <f>IFERROR(IF(INDEX(使用レシピ!F:F,MATCH(テンプレート!$C283,使用レシピ!$E:$E,0))&lt;&gt;0,INDEX(使用レシピ!F:F,MATCH(テンプレート!$C283,使用レシピ!$E:$E,0)),""),"")</f>
        <v/>
      </c>
      <c r="E283" t="str">
        <f>IFERROR(IF(INDEX(使用レシピ!G:G,MATCH(テンプレート!$C283,使用レシピ!$E:$E,0))&lt;&gt;0,INDEX(使用レシピ!G:G,MATCH(テンプレート!$C283,使用レシピ!$E:$E,0)),""),"")</f>
        <v/>
      </c>
      <c r="F283" t="str">
        <f>IFERROR(IF(INDEX(使用レシピ!H:H,MATCH(テンプレート!$C283,使用レシピ!$E:$E,0))&lt;&gt;0,INDEX(使用レシピ!H:H,MATCH(テンプレート!$C283,使用レシピ!$E:$E,0)),""),"")</f>
        <v/>
      </c>
      <c r="G283" t="str">
        <f>IFERROR(IF(INDEX(使用レシピ!I:I,MATCH(テンプレート!$C283,使用レシピ!$E:$E,0))&lt;&gt;0,INDEX(使用レシピ!I:I,MATCH(テンプレート!$C283,使用レシピ!$E:$E,0)),""),"")</f>
        <v/>
      </c>
      <c r="H283" s="24" t="str">
        <f>IFERROR(IF(INDEX(使用レシピ!J:J,MATCH(テンプレート!$C283,使用レシピ!$E:$E,0))&lt;&gt;0,INDEX(使用レシピ!J:J,MATCH(テンプレート!$C283,使用レシピ!$E:$E,0)),""),"")</f>
        <v/>
      </c>
      <c r="I283" s="36" t="str">
        <f>IFERROR(IF(INDEX(使用レシピ!P:P,MATCH(テンプレート!$C283,使用レシピ!$E:$E,0))&lt;&gt;0,INDEX(使用レシピ!P:P,MATCH(テンプレート!$C283,使用レシピ!$E:$E,0)),""),"")</f>
        <v/>
      </c>
      <c r="J283" t="str">
        <f>IFERROR(IF(INDEX(使用レシピ!K:K,MATCH(テンプレート!$C283,使用レシピ!$E:$E,0))&lt;&gt;0,INDEX(使用レシピ!K:K,MATCH(テンプレート!$C283,使用レシピ!$E:$E,0)),""),"")</f>
        <v/>
      </c>
      <c r="K283" t="str">
        <f>IFERROR(IF(INDEX(使用レシピ!L:L,MATCH(テンプレート!$C283,使用レシピ!$E:$E,0))&lt;&gt;0,INDEX(使用レシピ!L:L,MATCH(テンプレート!$C283,使用レシピ!$E:$E,0)),""),"")</f>
        <v/>
      </c>
      <c r="L283" t="str">
        <f>IFERROR(IF(INDEX(使用レシピ!M:M,MATCH(テンプレート!$C283,使用レシピ!$E:$E,0))&lt;&gt;0,INDEX(使用レシピ!M:M,MATCH(テンプレート!$C283,使用レシピ!$E:$E,0)),""),"")</f>
        <v/>
      </c>
      <c r="M283" t="str">
        <f>IFERROR(IF(INDEX(使用レシピ!N:N,MATCH(テンプレート!$C283,使用レシピ!$E:$E,0))&lt;&gt;0,INDEX(使用レシピ!N:N,MATCH(テンプレート!$C283,使用レシピ!$E:$E,0)),""),"")</f>
        <v/>
      </c>
      <c r="N283" s="24" t="str">
        <f>IFERROR(IF(INDEX(使用レシピ!O:O,MATCH(テンプレート!$C283,使用レシピ!$E:$E,0))&lt;&gt;0,INDEX(使用レシピ!O:O,MATCH(テンプレート!$C283,使用レシピ!$E:$E,0)),""),"")</f>
        <v/>
      </c>
      <c r="O283" s="42" t="str">
        <f>IFERROR(IF(INDEX(使用レシピ!P:P,MATCH(テンプレート!$C283,使用レシピ!$E:$E,0))&lt;&gt;0,INDEX(使用レシピ!P:P,MATCH(テンプレート!$C283,使用レシピ!$E:$E,0)),""),"")</f>
        <v/>
      </c>
      <c r="P283" s="25" t="str">
        <f t="shared" si="22"/>
        <v/>
      </c>
      <c r="Q283" s="26" t="str">
        <f t="shared" si="23"/>
        <v/>
      </c>
      <c r="R283" s="26" t="str">
        <f t="shared" si="24"/>
        <v/>
      </c>
      <c r="S283" s="26" t="str">
        <f t="shared" si="25"/>
        <v/>
      </c>
      <c r="T283" s="43" t="str">
        <f t="shared" si="25"/>
        <v/>
      </c>
    </row>
    <row r="284" spans="2:20" x14ac:dyDescent="0.4">
      <c r="B284" s="47" t="str" cm="1">
        <f t="array" ref="B284">IFERROR((INDEX($P$4:$T$1000,MATCH(VALUE(LEFT($A284,LEN($A284)-1)),$A$4:$A$1000,0),VALUE(RIGHT($A284,1)))/ INDEX($O$4:$O$1000,MATCH(VALUE(LEFT($A284,LEN($A284)-1)),$A$4:$A$1000))) * INDEX($B$4:$B$1000,MATCH(VALUE(LEFT($A284,LEN($A284)-1)),$A$4:$A$1000)),"")</f>
        <v/>
      </c>
      <c r="C284" s="38" t="str" cm="1">
        <f t="array" ref="C284">IFERROR(IF(INDEX($D$4:$H$1000,MATCH(VALUE(LEFT($A284,LEN($A284)-1)),$A$4:$A$1000,0),VALUE(RIGHT($A284,1)))= 0,"",INDEX($D$4:$H$1000,MATCH(VALUE(LEFT($A284,LEN($A284)-1)),$A$4:$A$1000,0),VALUE(RIGHT($A284,1)))),"")</f>
        <v/>
      </c>
      <c r="D284" s="23" t="str">
        <f>IFERROR(IF(INDEX(使用レシピ!F:F,MATCH(テンプレート!$C284,使用レシピ!$E:$E,0))&lt;&gt;0,INDEX(使用レシピ!F:F,MATCH(テンプレート!$C284,使用レシピ!$E:$E,0)),""),"")</f>
        <v/>
      </c>
      <c r="E284" t="str">
        <f>IFERROR(IF(INDEX(使用レシピ!G:G,MATCH(テンプレート!$C284,使用レシピ!$E:$E,0))&lt;&gt;0,INDEX(使用レシピ!G:G,MATCH(テンプレート!$C284,使用レシピ!$E:$E,0)),""),"")</f>
        <v/>
      </c>
      <c r="F284" t="str">
        <f>IFERROR(IF(INDEX(使用レシピ!H:H,MATCH(テンプレート!$C284,使用レシピ!$E:$E,0))&lt;&gt;0,INDEX(使用レシピ!H:H,MATCH(テンプレート!$C284,使用レシピ!$E:$E,0)),""),"")</f>
        <v/>
      </c>
      <c r="G284" t="str">
        <f>IFERROR(IF(INDEX(使用レシピ!I:I,MATCH(テンプレート!$C284,使用レシピ!$E:$E,0))&lt;&gt;0,INDEX(使用レシピ!I:I,MATCH(テンプレート!$C284,使用レシピ!$E:$E,0)),""),"")</f>
        <v/>
      </c>
      <c r="H284" s="24" t="str">
        <f>IFERROR(IF(INDEX(使用レシピ!J:J,MATCH(テンプレート!$C284,使用レシピ!$E:$E,0))&lt;&gt;0,INDEX(使用レシピ!J:J,MATCH(テンプレート!$C284,使用レシピ!$E:$E,0)),""),"")</f>
        <v/>
      </c>
      <c r="I284" s="36" t="str">
        <f>IFERROR(IF(INDEX(使用レシピ!P:P,MATCH(テンプレート!$C284,使用レシピ!$E:$E,0))&lt;&gt;0,INDEX(使用レシピ!P:P,MATCH(テンプレート!$C284,使用レシピ!$E:$E,0)),""),"")</f>
        <v/>
      </c>
      <c r="J284" t="str">
        <f>IFERROR(IF(INDEX(使用レシピ!K:K,MATCH(テンプレート!$C284,使用レシピ!$E:$E,0))&lt;&gt;0,INDEX(使用レシピ!K:K,MATCH(テンプレート!$C284,使用レシピ!$E:$E,0)),""),"")</f>
        <v/>
      </c>
      <c r="K284" t="str">
        <f>IFERROR(IF(INDEX(使用レシピ!L:L,MATCH(テンプレート!$C284,使用レシピ!$E:$E,0))&lt;&gt;0,INDEX(使用レシピ!L:L,MATCH(テンプレート!$C284,使用レシピ!$E:$E,0)),""),"")</f>
        <v/>
      </c>
      <c r="L284" t="str">
        <f>IFERROR(IF(INDEX(使用レシピ!M:M,MATCH(テンプレート!$C284,使用レシピ!$E:$E,0))&lt;&gt;0,INDEX(使用レシピ!M:M,MATCH(テンプレート!$C284,使用レシピ!$E:$E,0)),""),"")</f>
        <v/>
      </c>
      <c r="M284" t="str">
        <f>IFERROR(IF(INDEX(使用レシピ!N:N,MATCH(テンプレート!$C284,使用レシピ!$E:$E,0))&lt;&gt;0,INDEX(使用レシピ!N:N,MATCH(テンプレート!$C284,使用レシピ!$E:$E,0)),""),"")</f>
        <v/>
      </c>
      <c r="N284" s="24" t="str">
        <f>IFERROR(IF(INDEX(使用レシピ!O:O,MATCH(テンプレート!$C284,使用レシピ!$E:$E,0))&lt;&gt;0,INDEX(使用レシピ!O:O,MATCH(テンプレート!$C284,使用レシピ!$E:$E,0)),""),"")</f>
        <v/>
      </c>
      <c r="O284" s="42" t="str">
        <f>IFERROR(IF(INDEX(使用レシピ!P:P,MATCH(テンプレート!$C284,使用レシピ!$E:$E,0))&lt;&gt;0,INDEX(使用レシピ!P:P,MATCH(テンプレート!$C284,使用レシピ!$E:$E,0)),""),"")</f>
        <v/>
      </c>
      <c r="P284" s="25" t="str">
        <f t="shared" si="22"/>
        <v/>
      </c>
      <c r="Q284" s="26" t="str">
        <f t="shared" si="23"/>
        <v/>
      </c>
      <c r="R284" s="26" t="str">
        <f t="shared" si="24"/>
        <v/>
      </c>
      <c r="S284" s="26" t="str">
        <f t="shared" si="25"/>
        <v/>
      </c>
      <c r="T284" s="43" t="str">
        <f t="shared" si="25"/>
        <v/>
      </c>
    </row>
    <row r="285" spans="2:20" x14ac:dyDescent="0.4">
      <c r="B285" s="47" t="str" cm="1">
        <f t="array" ref="B285">IFERROR((INDEX($P$4:$T$1000,MATCH(VALUE(LEFT($A285,LEN($A285)-1)),$A$4:$A$1000,0),VALUE(RIGHT($A285,1)))/ INDEX($O$4:$O$1000,MATCH(VALUE(LEFT($A285,LEN($A285)-1)),$A$4:$A$1000))) * INDEX($B$4:$B$1000,MATCH(VALUE(LEFT($A285,LEN($A285)-1)),$A$4:$A$1000)),"")</f>
        <v/>
      </c>
      <c r="C285" s="38" t="str" cm="1">
        <f t="array" ref="C285">IFERROR(IF(INDEX($D$4:$H$1000,MATCH(VALUE(LEFT($A285,LEN($A285)-1)),$A$4:$A$1000,0),VALUE(RIGHT($A285,1)))= 0,"",INDEX($D$4:$H$1000,MATCH(VALUE(LEFT($A285,LEN($A285)-1)),$A$4:$A$1000,0),VALUE(RIGHT($A285,1)))),"")</f>
        <v/>
      </c>
      <c r="D285" s="23" t="str">
        <f>IFERROR(IF(INDEX(使用レシピ!F:F,MATCH(テンプレート!$C285,使用レシピ!$E:$E,0))&lt;&gt;0,INDEX(使用レシピ!F:F,MATCH(テンプレート!$C285,使用レシピ!$E:$E,0)),""),"")</f>
        <v/>
      </c>
      <c r="E285" t="str">
        <f>IFERROR(IF(INDEX(使用レシピ!G:G,MATCH(テンプレート!$C285,使用レシピ!$E:$E,0))&lt;&gt;0,INDEX(使用レシピ!G:G,MATCH(テンプレート!$C285,使用レシピ!$E:$E,0)),""),"")</f>
        <v/>
      </c>
      <c r="F285" t="str">
        <f>IFERROR(IF(INDEX(使用レシピ!H:H,MATCH(テンプレート!$C285,使用レシピ!$E:$E,0))&lt;&gt;0,INDEX(使用レシピ!H:H,MATCH(テンプレート!$C285,使用レシピ!$E:$E,0)),""),"")</f>
        <v/>
      </c>
      <c r="G285" t="str">
        <f>IFERROR(IF(INDEX(使用レシピ!I:I,MATCH(テンプレート!$C285,使用レシピ!$E:$E,0))&lt;&gt;0,INDEX(使用レシピ!I:I,MATCH(テンプレート!$C285,使用レシピ!$E:$E,0)),""),"")</f>
        <v/>
      </c>
      <c r="H285" s="24" t="str">
        <f>IFERROR(IF(INDEX(使用レシピ!J:J,MATCH(テンプレート!$C285,使用レシピ!$E:$E,0))&lt;&gt;0,INDEX(使用レシピ!J:J,MATCH(テンプレート!$C285,使用レシピ!$E:$E,0)),""),"")</f>
        <v/>
      </c>
      <c r="I285" s="36" t="str">
        <f>IFERROR(IF(INDEX(使用レシピ!P:P,MATCH(テンプレート!$C285,使用レシピ!$E:$E,0))&lt;&gt;0,INDEX(使用レシピ!P:P,MATCH(テンプレート!$C285,使用レシピ!$E:$E,0)),""),"")</f>
        <v/>
      </c>
      <c r="J285" t="str">
        <f>IFERROR(IF(INDEX(使用レシピ!K:K,MATCH(テンプレート!$C285,使用レシピ!$E:$E,0))&lt;&gt;0,INDEX(使用レシピ!K:K,MATCH(テンプレート!$C285,使用レシピ!$E:$E,0)),""),"")</f>
        <v/>
      </c>
      <c r="K285" t="str">
        <f>IFERROR(IF(INDEX(使用レシピ!L:L,MATCH(テンプレート!$C285,使用レシピ!$E:$E,0))&lt;&gt;0,INDEX(使用レシピ!L:L,MATCH(テンプレート!$C285,使用レシピ!$E:$E,0)),""),"")</f>
        <v/>
      </c>
      <c r="L285" t="str">
        <f>IFERROR(IF(INDEX(使用レシピ!M:M,MATCH(テンプレート!$C285,使用レシピ!$E:$E,0))&lt;&gt;0,INDEX(使用レシピ!M:M,MATCH(テンプレート!$C285,使用レシピ!$E:$E,0)),""),"")</f>
        <v/>
      </c>
      <c r="M285" t="str">
        <f>IFERROR(IF(INDEX(使用レシピ!N:N,MATCH(テンプレート!$C285,使用レシピ!$E:$E,0))&lt;&gt;0,INDEX(使用レシピ!N:N,MATCH(テンプレート!$C285,使用レシピ!$E:$E,0)),""),"")</f>
        <v/>
      </c>
      <c r="N285" s="24" t="str">
        <f>IFERROR(IF(INDEX(使用レシピ!O:O,MATCH(テンプレート!$C285,使用レシピ!$E:$E,0))&lt;&gt;0,INDEX(使用レシピ!O:O,MATCH(テンプレート!$C285,使用レシピ!$E:$E,0)),""),"")</f>
        <v/>
      </c>
      <c r="O285" s="42" t="str">
        <f>IFERROR(IF(INDEX(使用レシピ!P:P,MATCH(テンプレート!$C285,使用レシピ!$E:$E,0))&lt;&gt;0,INDEX(使用レシピ!P:P,MATCH(テンプレート!$C285,使用レシピ!$E:$E,0)),""),"")</f>
        <v/>
      </c>
      <c r="P285" s="25" t="str">
        <f t="shared" si="22"/>
        <v/>
      </c>
      <c r="Q285" s="26" t="str">
        <f t="shared" si="23"/>
        <v/>
      </c>
      <c r="R285" s="26" t="str">
        <f t="shared" si="24"/>
        <v/>
      </c>
      <c r="S285" s="26" t="str">
        <f t="shared" si="25"/>
        <v/>
      </c>
      <c r="T285" s="43" t="str">
        <f t="shared" si="25"/>
        <v/>
      </c>
    </row>
    <row r="286" spans="2:20" x14ac:dyDescent="0.4">
      <c r="B286" s="47" t="str" cm="1">
        <f t="array" ref="B286">IFERROR((INDEX($P$4:$T$1000,MATCH(VALUE(LEFT($A286,LEN($A286)-1)),$A$4:$A$1000,0),VALUE(RIGHT($A286,1)))/ INDEX($O$4:$O$1000,MATCH(VALUE(LEFT($A286,LEN($A286)-1)),$A$4:$A$1000))) * INDEX($B$4:$B$1000,MATCH(VALUE(LEFT($A286,LEN($A286)-1)),$A$4:$A$1000)),"")</f>
        <v/>
      </c>
      <c r="C286" s="38" t="str" cm="1">
        <f t="array" ref="C286">IFERROR(IF(INDEX($D$4:$H$1000,MATCH(VALUE(LEFT($A286,LEN($A286)-1)),$A$4:$A$1000,0),VALUE(RIGHT($A286,1)))= 0,"",INDEX($D$4:$H$1000,MATCH(VALUE(LEFT($A286,LEN($A286)-1)),$A$4:$A$1000,0),VALUE(RIGHT($A286,1)))),"")</f>
        <v/>
      </c>
      <c r="D286" s="23" t="str">
        <f>IFERROR(IF(INDEX(使用レシピ!F:F,MATCH(テンプレート!$C286,使用レシピ!$E:$E,0))&lt;&gt;0,INDEX(使用レシピ!F:F,MATCH(テンプレート!$C286,使用レシピ!$E:$E,0)),""),"")</f>
        <v/>
      </c>
      <c r="E286" t="str">
        <f>IFERROR(IF(INDEX(使用レシピ!G:G,MATCH(テンプレート!$C286,使用レシピ!$E:$E,0))&lt;&gt;0,INDEX(使用レシピ!G:G,MATCH(テンプレート!$C286,使用レシピ!$E:$E,0)),""),"")</f>
        <v/>
      </c>
      <c r="F286" t="str">
        <f>IFERROR(IF(INDEX(使用レシピ!H:H,MATCH(テンプレート!$C286,使用レシピ!$E:$E,0))&lt;&gt;0,INDEX(使用レシピ!H:H,MATCH(テンプレート!$C286,使用レシピ!$E:$E,0)),""),"")</f>
        <v/>
      </c>
      <c r="G286" t="str">
        <f>IFERROR(IF(INDEX(使用レシピ!I:I,MATCH(テンプレート!$C286,使用レシピ!$E:$E,0))&lt;&gt;0,INDEX(使用レシピ!I:I,MATCH(テンプレート!$C286,使用レシピ!$E:$E,0)),""),"")</f>
        <v/>
      </c>
      <c r="H286" s="24" t="str">
        <f>IFERROR(IF(INDEX(使用レシピ!J:J,MATCH(テンプレート!$C286,使用レシピ!$E:$E,0))&lt;&gt;0,INDEX(使用レシピ!J:J,MATCH(テンプレート!$C286,使用レシピ!$E:$E,0)),""),"")</f>
        <v/>
      </c>
      <c r="I286" s="36" t="str">
        <f>IFERROR(IF(INDEX(使用レシピ!P:P,MATCH(テンプレート!$C286,使用レシピ!$E:$E,0))&lt;&gt;0,INDEX(使用レシピ!P:P,MATCH(テンプレート!$C286,使用レシピ!$E:$E,0)),""),"")</f>
        <v/>
      </c>
      <c r="J286" t="str">
        <f>IFERROR(IF(INDEX(使用レシピ!K:K,MATCH(テンプレート!$C286,使用レシピ!$E:$E,0))&lt;&gt;0,INDEX(使用レシピ!K:K,MATCH(テンプレート!$C286,使用レシピ!$E:$E,0)),""),"")</f>
        <v/>
      </c>
      <c r="K286" t="str">
        <f>IFERROR(IF(INDEX(使用レシピ!L:L,MATCH(テンプレート!$C286,使用レシピ!$E:$E,0))&lt;&gt;0,INDEX(使用レシピ!L:L,MATCH(テンプレート!$C286,使用レシピ!$E:$E,0)),""),"")</f>
        <v/>
      </c>
      <c r="L286" t="str">
        <f>IFERROR(IF(INDEX(使用レシピ!M:M,MATCH(テンプレート!$C286,使用レシピ!$E:$E,0))&lt;&gt;0,INDEX(使用レシピ!M:M,MATCH(テンプレート!$C286,使用レシピ!$E:$E,0)),""),"")</f>
        <v/>
      </c>
      <c r="M286" t="str">
        <f>IFERROR(IF(INDEX(使用レシピ!N:N,MATCH(テンプレート!$C286,使用レシピ!$E:$E,0))&lt;&gt;0,INDEX(使用レシピ!N:N,MATCH(テンプレート!$C286,使用レシピ!$E:$E,0)),""),"")</f>
        <v/>
      </c>
      <c r="N286" s="24" t="str">
        <f>IFERROR(IF(INDEX(使用レシピ!O:O,MATCH(テンプレート!$C286,使用レシピ!$E:$E,0))&lt;&gt;0,INDEX(使用レシピ!O:O,MATCH(テンプレート!$C286,使用レシピ!$E:$E,0)),""),"")</f>
        <v/>
      </c>
      <c r="O286" s="42" t="str">
        <f>IFERROR(IF(INDEX(使用レシピ!P:P,MATCH(テンプレート!$C286,使用レシピ!$E:$E,0))&lt;&gt;0,INDEX(使用レシピ!P:P,MATCH(テンプレート!$C286,使用レシピ!$E:$E,0)),""),"")</f>
        <v/>
      </c>
      <c r="P286" s="25" t="str">
        <f t="shared" si="22"/>
        <v/>
      </c>
      <c r="Q286" s="26" t="str">
        <f t="shared" si="23"/>
        <v/>
      </c>
      <c r="R286" s="26" t="str">
        <f t="shared" si="24"/>
        <v/>
      </c>
      <c r="S286" s="26" t="str">
        <f t="shared" si="25"/>
        <v/>
      </c>
      <c r="T286" s="43" t="str">
        <f t="shared" si="25"/>
        <v/>
      </c>
    </row>
    <row r="287" spans="2:20" x14ac:dyDescent="0.4">
      <c r="B287" s="47" t="str" cm="1">
        <f t="array" ref="B287">IFERROR((INDEX($P$4:$T$1000,MATCH(VALUE(LEFT($A287,LEN($A287)-1)),$A$4:$A$1000,0),VALUE(RIGHT($A287,1)))/ INDEX($O$4:$O$1000,MATCH(VALUE(LEFT($A287,LEN($A287)-1)),$A$4:$A$1000))) * INDEX($B$4:$B$1000,MATCH(VALUE(LEFT($A287,LEN($A287)-1)),$A$4:$A$1000)),"")</f>
        <v/>
      </c>
      <c r="C287" s="38" t="str" cm="1">
        <f t="array" ref="C287">IFERROR(IF(INDEX($D$4:$H$1000,MATCH(VALUE(LEFT($A287,LEN($A287)-1)),$A$4:$A$1000,0),VALUE(RIGHT($A287,1)))= 0,"",INDEX($D$4:$H$1000,MATCH(VALUE(LEFT($A287,LEN($A287)-1)),$A$4:$A$1000,0),VALUE(RIGHT($A287,1)))),"")</f>
        <v/>
      </c>
      <c r="D287" s="23" t="str">
        <f>IFERROR(IF(INDEX(使用レシピ!F:F,MATCH(テンプレート!$C287,使用レシピ!$E:$E,0))&lt;&gt;0,INDEX(使用レシピ!F:F,MATCH(テンプレート!$C287,使用レシピ!$E:$E,0)),""),"")</f>
        <v/>
      </c>
      <c r="E287" t="str">
        <f>IFERROR(IF(INDEX(使用レシピ!G:G,MATCH(テンプレート!$C287,使用レシピ!$E:$E,0))&lt;&gt;0,INDEX(使用レシピ!G:G,MATCH(テンプレート!$C287,使用レシピ!$E:$E,0)),""),"")</f>
        <v/>
      </c>
      <c r="F287" t="str">
        <f>IFERROR(IF(INDEX(使用レシピ!H:H,MATCH(テンプレート!$C287,使用レシピ!$E:$E,0))&lt;&gt;0,INDEX(使用レシピ!H:H,MATCH(テンプレート!$C287,使用レシピ!$E:$E,0)),""),"")</f>
        <v/>
      </c>
      <c r="G287" t="str">
        <f>IFERROR(IF(INDEX(使用レシピ!I:I,MATCH(テンプレート!$C287,使用レシピ!$E:$E,0))&lt;&gt;0,INDEX(使用レシピ!I:I,MATCH(テンプレート!$C287,使用レシピ!$E:$E,0)),""),"")</f>
        <v/>
      </c>
      <c r="H287" s="24" t="str">
        <f>IFERROR(IF(INDEX(使用レシピ!J:J,MATCH(テンプレート!$C287,使用レシピ!$E:$E,0))&lt;&gt;0,INDEX(使用レシピ!J:J,MATCH(テンプレート!$C287,使用レシピ!$E:$E,0)),""),"")</f>
        <v/>
      </c>
      <c r="I287" s="36" t="str">
        <f>IFERROR(IF(INDEX(使用レシピ!P:P,MATCH(テンプレート!$C287,使用レシピ!$E:$E,0))&lt;&gt;0,INDEX(使用レシピ!P:P,MATCH(テンプレート!$C287,使用レシピ!$E:$E,0)),""),"")</f>
        <v/>
      </c>
      <c r="J287" t="str">
        <f>IFERROR(IF(INDEX(使用レシピ!K:K,MATCH(テンプレート!$C287,使用レシピ!$E:$E,0))&lt;&gt;0,INDEX(使用レシピ!K:K,MATCH(テンプレート!$C287,使用レシピ!$E:$E,0)),""),"")</f>
        <v/>
      </c>
      <c r="K287" t="str">
        <f>IFERROR(IF(INDEX(使用レシピ!L:L,MATCH(テンプレート!$C287,使用レシピ!$E:$E,0))&lt;&gt;0,INDEX(使用レシピ!L:L,MATCH(テンプレート!$C287,使用レシピ!$E:$E,0)),""),"")</f>
        <v/>
      </c>
      <c r="L287" t="str">
        <f>IFERROR(IF(INDEX(使用レシピ!M:M,MATCH(テンプレート!$C287,使用レシピ!$E:$E,0))&lt;&gt;0,INDEX(使用レシピ!M:M,MATCH(テンプレート!$C287,使用レシピ!$E:$E,0)),""),"")</f>
        <v/>
      </c>
      <c r="M287" t="str">
        <f>IFERROR(IF(INDEX(使用レシピ!N:N,MATCH(テンプレート!$C287,使用レシピ!$E:$E,0))&lt;&gt;0,INDEX(使用レシピ!N:N,MATCH(テンプレート!$C287,使用レシピ!$E:$E,0)),""),"")</f>
        <v/>
      </c>
      <c r="N287" s="24" t="str">
        <f>IFERROR(IF(INDEX(使用レシピ!O:O,MATCH(テンプレート!$C287,使用レシピ!$E:$E,0))&lt;&gt;0,INDEX(使用レシピ!O:O,MATCH(テンプレート!$C287,使用レシピ!$E:$E,0)),""),"")</f>
        <v/>
      </c>
      <c r="O287" s="42" t="str">
        <f>IFERROR(IF(INDEX(使用レシピ!P:P,MATCH(テンプレート!$C287,使用レシピ!$E:$E,0))&lt;&gt;0,INDEX(使用レシピ!P:P,MATCH(テンプレート!$C287,使用レシピ!$E:$E,0)),""),"")</f>
        <v/>
      </c>
      <c r="P287" s="25" t="str">
        <f t="shared" si="22"/>
        <v/>
      </c>
      <c r="Q287" s="26" t="str">
        <f t="shared" si="23"/>
        <v/>
      </c>
      <c r="R287" s="26" t="str">
        <f t="shared" si="24"/>
        <v/>
      </c>
      <c r="S287" s="26" t="str">
        <f t="shared" si="25"/>
        <v/>
      </c>
      <c r="T287" s="43" t="str">
        <f t="shared" si="25"/>
        <v/>
      </c>
    </row>
    <row r="288" spans="2:20" x14ac:dyDescent="0.4">
      <c r="B288" s="47" t="str" cm="1">
        <f t="array" ref="B288">IFERROR((INDEX($P$4:$T$1000,MATCH(VALUE(LEFT($A288,LEN($A288)-1)),$A$4:$A$1000,0),VALUE(RIGHT($A288,1)))/ INDEX($O$4:$O$1000,MATCH(VALUE(LEFT($A288,LEN($A288)-1)),$A$4:$A$1000))) * INDEX($B$4:$B$1000,MATCH(VALUE(LEFT($A288,LEN($A288)-1)),$A$4:$A$1000)),"")</f>
        <v/>
      </c>
      <c r="C288" s="38" t="str" cm="1">
        <f t="array" ref="C288">IFERROR(IF(INDEX($D$4:$H$1000,MATCH(VALUE(LEFT($A288,LEN($A288)-1)),$A$4:$A$1000,0),VALUE(RIGHT($A288,1)))= 0,"",INDEX($D$4:$H$1000,MATCH(VALUE(LEFT($A288,LEN($A288)-1)),$A$4:$A$1000,0),VALUE(RIGHT($A288,1)))),"")</f>
        <v/>
      </c>
      <c r="D288" s="23" t="str">
        <f>IFERROR(IF(INDEX(使用レシピ!F:F,MATCH(テンプレート!$C288,使用レシピ!$E:$E,0))&lt;&gt;0,INDEX(使用レシピ!F:F,MATCH(テンプレート!$C288,使用レシピ!$E:$E,0)),""),"")</f>
        <v/>
      </c>
      <c r="E288" t="str">
        <f>IFERROR(IF(INDEX(使用レシピ!G:G,MATCH(テンプレート!$C288,使用レシピ!$E:$E,0))&lt;&gt;0,INDEX(使用レシピ!G:G,MATCH(テンプレート!$C288,使用レシピ!$E:$E,0)),""),"")</f>
        <v/>
      </c>
      <c r="F288" t="str">
        <f>IFERROR(IF(INDEX(使用レシピ!H:H,MATCH(テンプレート!$C288,使用レシピ!$E:$E,0))&lt;&gt;0,INDEX(使用レシピ!H:H,MATCH(テンプレート!$C288,使用レシピ!$E:$E,0)),""),"")</f>
        <v/>
      </c>
      <c r="G288" t="str">
        <f>IFERROR(IF(INDEX(使用レシピ!I:I,MATCH(テンプレート!$C288,使用レシピ!$E:$E,0))&lt;&gt;0,INDEX(使用レシピ!I:I,MATCH(テンプレート!$C288,使用レシピ!$E:$E,0)),""),"")</f>
        <v/>
      </c>
      <c r="H288" s="24" t="str">
        <f>IFERROR(IF(INDEX(使用レシピ!J:J,MATCH(テンプレート!$C288,使用レシピ!$E:$E,0))&lt;&gt;0,INDEX(使用レシピ!J:J,MATCH(テンプレート!$C288,使用レシピ!$E:$E,0)),""),"")</f>
        <v/>
      </c>
      <c r="I288" s="36" t="str">
        <f>IFERROR(IF(INDEX(使用レシピ!P:P,MATCH(テンプレート!$C288,使用レシピ!$E:$E,0))&lt;&gt;0,INDEX(使用レシピ!P:P,MATCH(テンプレート!$C288,使用レシピ!$E:$E,0)),""),"")</f>
        <v/>
      </c>
      <c r="J288" t="str">
        <f>IFERROR(IF(INDEX(使用レシピ!K:K,MATCH(テンプレート!$C288,使用レシピ!$E:$E,0))&lt;&gt;0,INDEX(使用レシピ!K:K,MATCH(テンプレート!$C288,使用レシピ!$E:$E,0)),""),"")</f>
        <v/>
      </c>
      <c r="K288" t="str">
        <f>IFERROR(IF(INDEX(使用レシピ!L:L,MATCH(テンプレート!$C288,使用レシピ!$E:$E,0))&lt;&gt;0,INDEX(使用レシピ!L:L,MATCH(テンプレート!$C288,使用レシピ!$E:$E,0)),""),"")</f>
        <v/>
      </c>
      <c r="L288" t="str">
        <f>IFERROR(IF(INDEX(使用レシピ!M:M,MATCH(テンプレート!$C288,使用レシピ!$E:$E,0))&lt;&gt;0,INDEX(使用レシピ!M:M,MATCH(テンプレート!$C288,使用レシピ!$E:$E,0)),""),"")</f>
        <v/>
      </c>
      <c r="M288" t="str">
        <f>IFERROR(IF(INDEX(使用レシピ!N:N,MATCH(テンプレート!$C288,使用レシピ!$E:$E,0))&lt;&gt;0,INDEX(使用レシピ!N:N,MATCH(テンプレート!$C288,使用レシピ!$E:$E,0)),""),"")</f>
        <v/>
      </c>
      <c r="N288" s="24" t="str">
        <f>IFERROR(IF(INDEX(使用レシピ!O:O,MATCH(テンプレート!$C288,使用レシピ!$E:$E,0))&lt;&gt;0,INDEX(使用レシピ!O:O,MATCH(テンプレート!$C288,使用レシピ!$E:$E,0)),""),"")</f>
        <v/>
      </c>
      <c r="O288" s="42" t="str">
        <f>IFERROR(IF(INDEX(使用レシピ!P:P,MATCH(テンプレート!$C288,使用レシピ!$E:$E,0))&lt;&gt;0,INDEX(使用レシピ!P:P,MATCH(テンプレート!$C288,使用レシピ!$E:$E,0)),""),"")</f>
        <v/>
      </c>
      <c r="P288" s="25" t="str">
        <f t="shared" si="22"/>
        <v/>
      </c>
      <c r="Q288" s="26" t="str">
        <f t="shared" si="23"/>
        <v/>
      </c>
      <c r="R288" s="26" t="str">
        <f t="shared" si="24"/>
        <v/>
      </c>
      <c r="S288" s="26" t="str">
        <f t="shared" si="25"/>
        <v/>
      </c>
      <c r="T288" s="43" t="str">
        <f t="shared" si="25"/>
        <v/>
      </c>
    </row>
    <row r="289" spans="2:20" x14ac:dyDescent="0.4">
      <c r="B289" s="47" t="str" cm="1">
        <f t="array" ref="B289">IFERROR((INDEX($P$4:$T$1000,MATCH(VALUE(LEFT($A289,LEN($A289)-1)),$A$4:$A$1000,0),VALUE(RIGHT($A289,1)))/ INDEX($O$4:$O$1000,MATCH(VALUE(LEFT($A289,LEN($A289)-1)),$A$4:$A$1000))) * INDEX($B$4:$B$1000,MATCH(VALUE(LEFT($A289,LEN($A289)-1)),$A$4:$A$1000)),"")</f>
        <v/>
      </c>
      <c r="C289" s="38" t="str" cm="1">
        <f t="array" ref="C289">IFERROR(IF(INDEX($D$4:$H$1000,MATCH(VALUE(LEFT($A289,LEN($A289)-1)),$A$4:$A$1000,0),VALUE(RIGHT($A289,1)))= 0,"",INDEX($D$4:$H$1000,MATCH(VALUE(LEFT($A289,LEN($A289)-1)),$A$4:$A$1000,0),VALUE(RIGHT($A289,1)))),"")</f>
        <v/>
      </c>
      <c r="D289" s="23" t="str">
        <f>IFERROR(IF(INDEX(使用レシピ!F:F,MATCH(テンプレート!$C289,使用レシピ!$E:$E,0))&lt;&gt;0,INDEX(使用レシピ!F:F,MATCH(テンプレート!$C289,使用レシピ!$E:$E,0)),""),"")</f>
        <v/>
      </c>
      <c r="E289" t="str">
        <f>IFERROR(IF(INDEX(使用レシピ!G:G,MATCH(テンプレート!$C289,使用レシピ!$E:$E,0))&lt;&gt;0,INDEX(使用レシピ!G:G,MATCH(テンプレート!$C289,使用レシピ!$E:$E,0)),""),"")</f>
        <v/>
      </c>
      <c r="F289" t="str">
        <f>IFERROR(IF(INDEX(使用レシピ!H:H,MATCH(テンプレート!$C289,使用レシピ!$E:$E,0))&lt;&gt;0,INDEX(使用レシピ!H:H,MATCH(テンプレート!$C289,使用レシピ!$E:$E,0)),""),"")</f>
        <v/>
      </c>
      <c r="G289" t="str">
        <f>IFERROR(IF(INDEX(使用レシピ!I:I,MATCH(テンプレート!$C289,使用レシピ!$E:$E,0))&lt;&gt;0,INDEX(使用レシピ!I:I,MATCH(テンプレート!$C289,使用レシピ!$E:$E,0)),""),"")</f>
        <v/>
      </c>
      <c r="H289" s="24" t="str">
        <f>IFERROR(IF(INDEX(使用レシピ!J:J,MATCH(テンプレート!$C289,使用レシピ!$E:$E,0))&lt;&gt;0,INDEX(使用レシピ!J:J,MATCH(テンプレート!$C289,使用レシピ!$E:$E,0)),""),"")</f>
        <v/>
      </c>
      <c r="I289" s="36" t="str">
        <f>IFERROR(IF(INDEX(使用レシピ!P:P,MATCH(テンプレート!$C289,使用レシピ!$E:$E,0))&lt;&gt;0,INDEX(使用レシピ!P:P,MATCH(テンプレート!$C289,使用レシピ!$E:$E,0)),""),"")</f>
        <v/>
      </c>
      <c r="J289" t="str">
        <f>IFERROR(IF(INDEX(使用レシピ!K:K,MATCH(テンプレート!$C289,使用レシピ!$E:$E,0))&lt;&gt;0,INDEX(使用レシピ!K:K,MATCH(テンプレート!$C289,使用レシピ!$E:$E,0)),""),"")</f>
        <v/>
      </c>
      <c r="K289" t="str">
        <f>IFERROR(IF(INDEX(使用レシピ!L:L,MATCH(テンプレート!$C289,使用レシピ!$E:$E,0))&lt;&gt;0,INDEX(使用レシピ!L:L,MATCH(テンプレート!$C289,使用レシピ!$E:$E,0)),""),"")</f>
        <v/>
      </c>
      <c r="L289" t="str">
        <f>IFERROR(IF(INDEX(使用レシピ!M:M,MATCH(テンプレート!$C289,使用レシピ!$E:$E,0))&lt;&gt;0,INDEX(使用レシピ!M:M,MATCH(テンプレート!$C289,使用レシピ!$E:$E,0)),""),"")</f>
        <v/>
      </c>
      <c r="M289" t="str">
        <f>IFERROR(IF(INDEX(使用レシピ!N:N,MATCH(テンプレート!$C289,使用レシピ!$E:$E,0))&lt;&gt;0,INDEX(使用レシピ!N:N,MATCH(テンプレート!$C289,使用レシピ!$E:$E,0)),""),"")</f>
        <v/>
      </c>
      <c r="N289" s="24" t="str">
        <f>IFERROR(IF(INDEX(使用レシピ!O:O,MATCH(テンプレート!$C289,使用レシピ!$E:$E,0))&lt;&gt;0,INDEX(使用レシピ!O:O,MATCH(テンプレート!$C289,使用レシピ!$E:$E,0)),""),"")</f>
        <v/>
      </c>
      <c r="O289" s="42" t="str">
        <f>IFERROR(IF(INDEX(使用レシピ!P:P,MATCH(テンプレート!$C289,使用レシピ!$E:$E,0))&lt;&gt;0,INDEX(使用レシピ!P:P,MATCH(テンプレート!$C289,使用レシピ!$E:$E,0)),""),"")</f>
        <v/>
      </c>
      <c r="P289" s="25" t="str">
        <f t="shared" si="22"/>
        <v/>
      </c>
      <c r="Q289" s="26" t="str">
        <f t="shared" si="23"/>
        <v/>
      </c>
      <c r="R289" s="26" t="str">
        <f t="shared" si="24"/>
        <v/>
      </c>
      <c r="S289" s="26" t="str">
        <f t="shared" si="25"/>
        <v/>
      </c>
      <c r="T289" s="43" t="str">
        <f t="shared" si="25"/>
        <v/>
      </c>
    </row>
    <row r="290" spans="2:20" x14ac:dyDescent="0.4">
      <c r="B290" s="47" t="str" cm="1">
        <f t="array" ref="B290">IFERROR((INDEX($P$4:$T$1000,MATCH(VALUE(LEFT($A290,LEN($A290)-1)),$A$4:$A$1000,0),VALUE(RIGHT($A290,1)))/ INDEX($O$4:$O$1000,MATCH(VALUE(LEFT($A290,LEN($A290)-1)),$A$4:$A$1000))) * INDEX($B$4:$B$1000,MATCH(VALUE(LEFT($A290,LEN($A290)-1)),$A$4:$A$1000)),"")</f>
        <v/>
      </c>
      <c r="C290" s="38" t="str" cm="1">
        <f t="array" ref="C290">IFERROR(IF(INDEX($D$4:$H$1000,MATCH(VALUE(LEFT($A290,LEN($A290)-1)),$A$4:$A$1000,0),VALUE(RIGHT($A290,1)))= 0,"",INDEX($D$4:$H$1000,MATCH(VALUE(LEFT($A290,LEN($A290)-1)),$A$4:$A$1000,0),VALUE(RIGHT($A290,1)))),"")</f>
        <v/>
      </c>
      <c r="D290" s="23" t="str">
        <f>IFERROR(IF(INDEX(使用レシピ!F:F,MATCH(テンプレート!$C290,使用レシピ!$E:$E,0))&lt;&gt;0,INDEX(使用レシピ!F:F,MATCH(テンプレート!$C290,使用レシピ!$E:$E,0)),""),"")</f>
        <v/>
      </c>
      <c r="E290" t="str">
        <f>IFERROR(IF(INDEX(使用レシピ!G:G,MATCH(テンプレート!$C290,使用レシピ!$E:$E,0))&lt;&gt;0,INDEX(使用レシピ!G:G,MATCH(テンプレート!$C290,使用レシピ!$E:$E,0)),""),"")</f>
        <v/>
      </c>
      <c r="F290" t="str">
        <f>IFERROR(IF(INDEX(使用レシピ!H:H,MATCH(テンプレート!$C290,使用レシピ!$E:$E,0))&lt;&gt;0,INDEX(使用レシピ!H:H,MATCH(テンプレート!$C290,使用レシピ!$E:$E,0)),""),"")</f>
        <v/>
      </c>
      <c r="G290" t="str">
        <f>IFERROR(IF(INDEX(使用レシピ!I:I,MATCH(テンプレート!$C290,使用レシピ!$E:$E,0))&lt;&gt;0,INDEX(使用レシピ!I:I,MATCH(テンプレート!$C290,使用レシピ!$E:$E,0)),""),"")</f>
        <v/>
      </c>
      <c r="H290" s="24" t="str">
        <f>IFERROR(IF(INDEX(使用レシピ!J:J,MATCH(テンプレート!$C290,使用レシピ!$E:$E,0))&lt;&gt;0,INDEX(使用レシピ!J:J,MATCH(テンプレート!$C290,使用レシピ!$E:$E,0)),""),"")</f>
        <v/>
      </c>
      <c r="I290" s="36" t="str">
        <f>IFERROR(IF(INDEX(使用レシピ!P:P,MATCH(テンプレート!$C290,使用レシピ!$E:$E,0))&lt;&gt;0,INDEX(使用レシピ!P:P,MATCH(テンプレート!$C290,使用レシピ!$E:$E,0)),""),"")</f>
        <v/>
      </c>
      <c r="J290" t="str">
        <f>IFERROR(IF(INDEX(使用レシピ!K:K,MATCH(テンプレート!$C290,使用レシピ!$E:$E,0))&lt;&gt;0,INDEX(使用レシピ!K:K,MATCH(テンプレート!$C290,使用レシピ!$E:$E,0)),""),"")</f>
        <v/>
      </c>
      <c r="K290" t="str">
        <f>IFERROR(IF(INDEX(使用レシピ!L:L,MATCH(テンプレート!$C290,使用レシピ!$E:$E,0))&lt;&gt;0,INDEX(使用レシピ!L:L,MATCH(テンプレート!$C290,使用レシピ!$E:$E,0)),""),"")</f>
        <v/>
      </c>
      <c r="L290" t="str">
        <f>IFERROR(IF(INDEX(使用レシピ!M:M,MATCH(テンプレート!$C290,使用レシピ!$E:$E,0))&lt;&gt;0,INDEX(使用レシピ!M:M,MATCH(テンプレート!$C290,使用レシピ!$E:$E,0)),""),"")</f>
        <v/>
      </c>
      <c r="M290" t="str">
        <f>IFERROR(IF(INDEX(使用レシピ!N:N,MATCH(テンプレート!$C290,使用レシピ!$E:$E,0))&lt;&gt;0,INDEX(使用レシピ!N:N,MATCH(テンプレート!$C290,使用レシピ!$E:$E,0)),""),"")</f>
        <v/>
      </c>
      <c r="N290" s="24" t="str">
        <f>IFERROR(IF(INDEX(使用レシピ!O:O,MATCH(テンプレート!$C290,使用レシピ!$E:$E,0))&lt;&gt;0,INDEX(使用レシピ!O:O,MATCH(テンプレート!$C290,使用レシピ!$E:$E,0)),""),"")</f>
        <v/>
      </c>
      <c r="O290" s="42" t="str">
        <f>IFERROR(IF(INDEX(使用レシピ!P:P,MATCH(テンプレート!$C290,使用レシピ!$E:$E,0))&lt;&gt;0,INDEX(使用レシピ!P:P,MATCH(テンプレート!$C290,使用レシピ!$E:$E,0)),""),"")</f>
        <v/>
      </c>
      <c r="P290" s="25" t="str">
        <f t="shared" si="22"/>
        <v/>
      </c>
      <c r="Q290" s="26" t="str">
        <f t="shared" si="23"/>
        <v/>
      </c>
      <c r="R290" s="26" t="str">
        <f t="shared" si="24"/>
        <v/>
      </c>
      <c r="S290" s="26" t="str">
        <f t="shared" si="25"/>
        <v/>
      </c>
      <c r="T290" s="43" t="str">
        <f t="shared" si="25"/>
        <v/>
      </c>
    </row>
    <row r="291" spans="2:20" x14ac:dyDescent="0.4">
      <c r="B291" s="47" t="str" cm="1">
        <f t="array" ref="B291">IFERROR((INDEX($P$4:$T$1000,MATCH(VALUE(LEFT($A291,LEN($A291)-1)),$A$4:$A$1000,0),VALUE(RIGHT($A291,1)))/ INDEX($O$4:$O$1000,MATCH(VALUE(LEFT($A291,LEN($A291)-1)),$A$4:$A$1000))) * INDEX($B$4:$B$1000,MATCH(VALUE(LEFT($A291,LEN($A291)-1)),$A$4:$A$1000)),"")</f>
        <v/>
      </c>
      <c r="C291" s="38" t="str" cm="1">
        <f t="array" ref="C291">IFERROR(IF(INDEX($D$4:$H$1000,MATCH(VALUE(LEFT($A291,LEN($A291)-1)),$A$4:$A$1000,0),VALUE(RIGHT($A291,1)))= 0,"",INDEX($D$4:$H$1000,MATCH(VALUE(LEFT($A291,LEN($A291)-1)),$A$4:$A$1000,0),VALUE(RIGHT($A291,1)))),"")</f>
        <v/>
      </c>
      <c r="D291" s="23" t="str">
        <f>IFERROR(IF(INDEX(使用レシピ!F:F,MATCH(テンプレート!$C291,使用レシピ!$E:$E,0))&lt;&gt;0,INDEX(使用レシピ!F:F,MATCH(テンプレート!$C291,使用レシピ!$E:$E,0)),""),"")</f>
        <v/>
      </c>
      <c r="E291" t="str">
        <f>IFERROR(IF(INDEX(使用レシピ!G:G,MATCH(テンプレート!$C291,使用レシピ!$E:$E,0))&lt;&gt;0,INDEX(使用レシピ!G:G,MATCH(テンプレート!$C291,使用レシピ!$E:$E,0)),""),"")</f>
        <v/>
      </c>
      <c r="F291" t="str">
        <f>IFERROR(IF(INDEX(使用レシピ!H:H,MATCH(テンプレート!$C291,使用レシピ!$E:$E,0))&lt;&gt;0,INDEX(使用レシピ!H:H,MATCH(テンプレート!$C291,使用レシピ!$E:$E,0)),""),"")</f>
        <v/>
      </c>
      <c r="G291" t="str">
        <f>IFERROR(IF(INDEX(使用レシピ!I:I,MATCH(テンプレート!$C291,使用レシピ!$E:$E,0))&lt;&gt;0,INDEX(使用レシピ!I:I,MATCH(テンプレート!$C291,使用レシピ!$E:$E,0)),""),"")</f>
        <v/>
      </c>
      <c r="H291" s="24" t="str">
        <f>IFERROR(IF(INDEX(使用レシピ!J:J,MATCH(テンプレート!$C291,使用レシピ!$E:$E,0))&lt;&gt;0,INDEX(使用レシピ!J:J,MATCH(テンプレート!$C291,使用レシピ!$E:$E,0)),""),"")</f>
        <v/>
      </c>
      <c r="I291" s="36" t="str">
        <f>IFERROR(IF(INDEX(使用レシピ!P:P,MATCH(テンプレート!$C291,使用レシピ!$E:$E,0))&lt;&gt;0,INDEX(使用レシピ!P:P,MATCH(テンプレート!$C291,使用レシピ!$E:$E,0)),""),"")</f>
        <v/>
      </c>
      <c r="J291" t="str">
        <f>IFERROR(IF(INDEX(使用レシピ!K:K,MATCH(テンプレート!$C291,使用レシピ!$E:$E,0))&lt;&gt;0,INDEX(使用レシピ!K:K,MATCH(テンプレート!$C291,使用レシピ!$E:$E,0)),""),"")</f>
        <v/>
      </c>
      <c r="K291" t="str">
        <f>IFERROR(IF(INDEX(使用レシピ!L:L,MATCH(テンプレート!$C291,使用レシピ!$E:$E,0))&lt;&gt;0,INDEX(使用レシピ!L:L,MATCH(テンプレート!$C291,使用レシピ!$E:$E,0)),""),"")</f>
        <v/>
      </c>
      <c r="L291" t="str">
        <f>IFERROR(IF(INDEX(使用レシピ!M:M,MATCH(テンプレート!$C291,使用レシピ!$E:$E,0))&lt;&gt;0,INDEX(使用レシピ!M:M,MATCH(テンプレート!$C291,使用レシピ!$E:$E,0)),""),"")</f>
        <v/>
      </c>
      <c r="M291" t="str">
        <f>IFERROR(IF(INDEX(使用レシピ!N:N,MATCH(テンプレート!$C291,使用レシピ!$E:$E,0))&lt;&gt;0,INDEX(使用レシピ!N:N,MATCH(テンプレート!$C291,使用レシピ!$E:$E,0)),""),"")</f>
        <v/>
      </c>
      <c r="N291" s="24" t="str">
        <f>IFERROR(IF(INDEX(使用レシピ!O:O,MATCH(テンプレート!$C291,使用レシピ!$E:$E,0))&lt;&gt;0,INDEX(使用レシピ!O:O,MATCH(テンプレート!$C291,使用レシピ!$E:$E,0)),""),"")</f>
        <v/>
      </c>
      <c r="O291" s="42" t="str">
        <f>IFERROR(IF(INDEX(使用レシピ!P:P,MATCH(テンプレート!$C291,使用レシピ!$E:$E,0))&lt;&gt;0,INDEX(使用レシピ!P:P,MATCH(テンプレート!$C291,使用レシピ!$E:$E,0)),""),"")</f>
        <v/>
      </c>
      <c r="P291" s="25" t="str">
        <f t="shared" si="22"/>
        <v/>
      </c>
      <c r="Q291" s="26" t="str">
        <f t="shared" si="23"/>
        <v/>
      </c>
      <c r="R291" s="26" t="str">
        <f t="shared" si="24"/>
        <v/>
      </c>
      <c r="S291" s="26" t="str">
        <f t="shared" si="25"/>
        <v/>
      </c>
      <c r="T291" s="43" t="str">
        <f t="shared" si="25"/>
        <v/>
      </c>
    </row>
    <row r="292" spans="2:20" x14ac:dyDescent="0.4">
      <c r="B292" s="47" t="str" cm="1">
        <f t="array" ref="B292">IFERROR((INDEX($P$4:$T$1000,MATCH(VALUE(LEFT($A292,LEN($A292)-1)),$A$4:$A$1000,0),VALUE(RIGHT($A292,1)))/ INDEX($O$4:$O$1000,MATCH(VALUE(LEFT($A292,LEN($A292)-1)),$A$4:$A$1000))) * INDEX($B$4:$B$1000,MATCH(VALUE(LEFT($A292,LEN($A292)-1)),$A$4:$A$1000)),"")</f>
        <v/>
      </c>
      <c r="C292" s="38" t="str" cm="1">
        <f t="array" ref="C292">IFERROR(IF(INDEX($D$4:$H$1000,MATCH(VALUE(LEFT($A292,LEN($A292)-1)),$A$4:$A$1000,0),VALUE(RIGHT($A292,1)))= 0,"",INDEX($D$4:$H$1000,MATCH(VALUE(LEFT($A292,LEN($A292)-1)),$A$4:$A$1000,0),VALUE(RIGHT($A292,1)))),"")</f>
        <v/>
      </c>
      <c r="D292" s="23" t="str">
        <f>IFERROR(IF(INDEX(使用レシピ!F:F,MATCH(テンプレート!$C292,使用レシピ!$E:$E,0))&lt;&gt;0,INDEX(使用レシピ!F:F,MATCH(テンプレート!$C292,使用レシピ!$E:$E,0)),""),"")</f>
        <v/>
      </c>
      <c r="E292" t="str">
        <f>IFERROR(IF(INDEX(使用レシピ!G:G,MATCH(テンプレート!$C292,使用レシピ!$E:$E,0))&lt;&gt;0,INDEX(使用レシピ!G:G,MATCH(テンプレート!$C292,使用レシピ!$E:$E,0)),""),"")</f>
        <v/>
      </c>
      <c r="F292" t="str">
        <f>IFERROR(IF(INDEX(使用レシピ!H:H,MATCH(テンプレート!$C292,使用レシピ!$E:$E,0))&lt;&gt;0,INDEX(使用レシピ!H:H,MATCH(テンプレート!$C292,使用レシピ!$E:$E,0)),""),"")</f>
        <v/>
      </c>
      <c r="G292" t="str">
        <f>IFERROR(IF(INDEX(使用レシピ!I:I,MATCH(テンプレート!$C292,使用レシピ!$E:$E,0))&lt;&gt;0,INDEX(使用レシピ!I:I,MATCH(テンプレート!$C292,使用レシピ!$E:$E,0)),""),"")</f>
        <v/>
      </c>
      <c r="H292" s="24" t="str">
        <f>IFERROR(IF(INDEX(使用レシピ!J:J,MATCH(テンプレート!$C292,使用レシピ!$E:$E,0))&lt;&gt;0,INDEX(使用レシピ!J:J,MATCH(テンプレート!$C292,使用レシピ!$E:$E,0)),""),"")</f>
        <v/>
      </c>
      <c r="I292" s="36" t="str">
        <f>IFERROR(IF(INDEX(使用レシピ!P:P,MATCH(テンプレート!$C292,使用レシピ!$E:$E,0))&lt;&gt;0,INDEX(使用レシピ!P:P,MATCH(テンプレート!$C292,使用レシピ!$E:$E,0)),""),"")</f>
        <v/>
      </c>
      <c r="J292" t="str">
        <f>IFERROR(IF(INDEX(使用レシピ!K:K,MATCH(テンプレート!$C292,使用レシピ!$E:$E,0))&lt;&gt;0,INDEX(使用レシピ!K:K,MATCH(テンプレート!$C292,使用レシピ!$E:$E,0)),""),"")</f>
        <v/>
      </c>
      <c r="K292" t="str">
        <f>IFERROR(IF(INDEX(使用レシピ!L:L,MATCH(テンプレート!$C292,使用レシピ!$E:$E,0))&lt;&gt;0,INDEX(使用レシピ!L:L,MATCH(テンプレート!$C292,使用レシピ!$E:$E,0)),""),"")</f>
        <v/>
      </c>
      <c r="L292" t="str">
        <f>IFERROR(IF(INDEX(使用レシピ!M:M,MATCH(テンプレート!$C292,使用レシピ!$E:$E,0))&lt;&gt;0,INDEX(使用レシピ!M:M,MATCH(テンプレート!$C292,使用レシピ!$E:$E,0)),""),"")</f>
        <v/>
      </c>
      <c r="M292" t="str">
        <f>IFERROR(IF(INDEX(使用レシピ!N:N,MATCH(テンプレート!$C292,使用レシピ!$E:$E,0))&lt;&gt;0,INDEX(使用レシピ!N:N,MATCH(テンプレート!$C292,使用レシピ!$E:$E,0)),""),"")</f>
        <v/>
      </c>
      <c r="N292" s="24" t="str">
        <f>IFERROR(IF(INDEX(使用レシピ!O:O,MATCH(テンプレート!$C292,使用レシピ!$E:$E,0))&lt;&gt;0,INDEX(使用レシピ!O:O,MATCH(テンプレート!$C292,使用レシピ!$E:$E,0)),""),"")</f>
        <v/>
      </c>
      <c r="O292" s="42" t="str">
        <f>IFERROR(IF(INDEX(使用レシピ!P:P,MATCH(テンプレート!$C292,使用レシピ!$E:$E,0))&lt;&gt;0,INDEX(使用レシピ!P:P,MATCH(テンプレート!$C292,使用レシピ!$E:$E,0)),""),"")</f>
        <v/>
      </c>
      <c r="P292" s="25" t="str">
        <f t="shared" si="22"/>
        <v/>
      </c>
      <c r="Q292" s="26" t="str">
        <f t="shared" si="23"/>
        <v/>
      </c>
      <c r="R292" s="26" t="str">
        <f t="shared" si="24"/>
        <v/>
      </c>
      <c r="S292" s="26" t="str">
        <f t="shared" si="25"/>
        <v/>
      </c>
      <c r="T292" s="43" t="str">
        <f t="shared" si="25"/>
        <v/>
      </c>
    </row>
    <row r="293" spans="2:20" x14ac:dyDescent="0.4">
      <c r="B293" s="47" t="str" cm="1">
        <f t="array" ref="B293">IFERROR((INDEX($P$4:$T$1000,MATCH(VALUE(LEFT($A293,LEN($A293)-1)),$A$4:$A$1000,0),VALUE(RIGHT($A293,1)))/ INDEX($O$4:$O$1000,MATCH(VALUE(LEFT($A293,LEN($A293)-1)),$A$4:$A$1000))) * INDEX($B$4:$B$1000,MATCH(VALUE(LEFT($A293,LEN($A293)-1)),$A$4:$A$1000)),"")</f>
        <v/>
      </c>
      <c r="C293" s="38" t="str" cm="1">
        <f t="array" ref="C293">IFERROR(IF(INDEX($D$4:$H$1000,MATCH(VALUE(LEFT($A293,LEN($A293)-1)),$A$4:$A$1000,0),VALUE(RIGHT($A293,1)))= 0,"",INDEX($D$4:$H$1000,MATCH(VALUE(LEFT($A293,LEN($A293)-1)),$A$4:$A$1000,0),VALUE(RIGHT($A293,1)))),"")</f>
        <v/>
      </c>
      <c r="D293" s="23" t="str">
        <f>IFERROR(IF(INDEX(使用レシピ!F:F,MATCH(テンプレート!$C293,使用レシピ!$E:$E,0))&lt;&gt;0,INDEX(使用レシピ!F:F,MATCH(テンプレート!$C293,使用レシピ!$E:$E,0)),""),"")</f>
        <v/>
      </c>
      <c r="E293" t="str">
        <f>IFERROR(IF(INDEX(使用レシピ!G:G,MATCH(テンプレート!$C293,使用レシピ!$E:$E,0))&lt;&gt;0,INDEX(使用レシピ!G:G,MATCH(テンプレート!$C293,使用レシピ!$E:$E,0)),""),"")</f>
        <v/>
      </c>
      <c r="F293" t="str">
        <f>IFERROR(IF(INDEX(使用レシピ!H:H,MATCH(テンプレート!$C293,使用レシピ!$E:$E,0))&lt;&gt;0,INDEX(使用レシピ!H:H,MATCH(テンプレート!$C293,使用レシピ!$E:$E,0)),""),"")</f>
        <v/>
      </c>
      <c r="G293" t="str">
        <f>IFERROR(IF(INDEX(使用レシピ!I:I,MATCH(テンプレート!$C293,使用レシピ!$E:$E,0))&lt;&gt;0,INDEX(使用レシピ!I:I,MATCH(テンプレート!$C293,使用レシピ!$E:$E,0)),""),"")</f>
        <v/>
      </c>
      <c r="H293" s="24" t="str">
        <f>IFERROR(IF(INDEX(使用レシピ!J:J,MATCH(テンプレート!$C293,使用レシピ!$E:$E,0))&lt;&gt;0,INDEX(使用レシピ!J:J,MATCH(テンプレート!$C293,使用レシピ!$E:$E,0)),""),"")</f>
        <v/>
      </c>
      <c r="I293" s="36" t="str">
        <f>IFERROR(IF(INDEX(使用レシピ!P:P,MATCH(テンプレート!$C293,使用レシピ!$E:$E,0))&lt;&gt;0,INDEX(使用レシピ!P:P,MATCH(テンプレート!$C293,使用レシピ!$E:$E,0)),""),"")</f>
        <v/>
      </c>
      <c r="J293" t="str">
        <f>IFERROR(IF(INDEX(使用レシピ!K:K,MATCH(テンプレート!$C293,使用レシピ!$E:$E,0))&lt;&gt;0,INDEX(使用レシピ!K:K,MATCH(テンプレート!$C293,使用レシピ!$E:$E,0)),""),"")</f>
        <v/>
      </c>
      <c r="K293" t="str">
        <f>IFERROR(IF(INDEX(使用レシピ!L:L,MATCH(テンプレート!$C293,使用レシピ!$E:$E,0))&lt;&gt;0,INDEX(使用レシピ!L:L,MATCH(テンプレート!$C293,使用レシピ!$E:$E,0)),""),"")</f>
        <v/>
      </c>
      <c r="L293" t="str">
        <f>IFERROR(IF(INDEX(使用レシピ!M:M,MATCH(テンプレート!$C293,使用レシピ!$E:$E,0))&lt;&gt;0,INDEX(使用レシピ!M:M,MATCH(テンプレート!$C293,使用レシピ!$E:$E,0)),""),"")</f>
        <v/>
      </c>
      <c r="M293" t="str">
        <f>IFERROR(IF(INDEX(使用レシピ!N:N,MATCH(テンプレート!$C293,使用レシピ!$E:$E,0))&lt;&gt;0,INDEX(使用レシピ!N:N,MATCH(テンプレート!$C293,使用レシピ!$E:$E,0)),""),"")</f>
        <v/>
      </c>
      <c r="N293" s="24" t="str">
        <f>IFERROR(IF(INDEX(使用レシピ!O:O,MATCH(テンプレート!$C293,使用レシピ!$E:$E,0))&lt;&gt;0,INDEX(使用レシピ!O:O,MATCH(テンプレート!$C293,使用レシピ!$E:$E,0)),""),"")</f>
        <v/>
      </c>
      <c r="O293" s="42" t="str">
        <f>IFERROR(IF(INDEX(使用レシピ!P:P,MATCH(テンプレート!$C293,使用レシピ!$E:$E,0))&lt;&gt;0,INDEX(使用レシピ!P:P,MATCH(テンプレート!$C293,使用レシピ!$E:$E,0)),""),"")</f>
        <v/>
      </c>
      <c r="P293" s="25" t="str">
        <f t="shared" si="22"/>
        <v/>
      </c>
      <c r="Q293" s="26" t="str">
        <f t="shared" si="23"/>
        <v/>
      </c>
      <c r="R293" s="26" t="str">
        <f t="shared" si="24"/>
        <v/>
      </c>
      <c r="S293" s="26" t="str">
        <f t="shared" si="25"/>
        <v/>
      </c>
      <c r="T293" s="43" t="str">
        <f t="shared" si="25"/>
        <v/>
      </c>
    </row>
    <row r="294" spans="2:20" x14ac:dyDescent="0.4">
      <c r="B294" s="47" t="str" cm="1">
        <f t="array" ref="B294">IFERROR((INDEX($P$4:$T$1000,MATCH(VALUE(LEFT($A294,LEN($A294)-1)),$A$4:$A$1000,0),VALUE(RIGHT($A294,1)))/ INDEX($O$4:$O$1000,MATCH(VALUE(LEFT($A294,LEN($A294)-1)),$A$4:$A$1000))) * INDEX($B$4:$B$1000,MATCH(VALUE(LEFT($A294,LEN($A294)-1)),$A$4:$A$1000)),"")</f>
        <v/>
      </c>
      <c r="C294" s="38" t="str" cm="1">
        <f t="array" ref="C294">IFERROR(IF(INDEX($D$4:$H$1000,MATCH(VALUE(LEFT($A294,LEN($A294)-1)),$A$4:$A$1000,0),VALUE(RIGHT($A294,1)))= 0,"",INDEX($D$4:$H$1000,MATCH(VALUE(LEFT($A294,LEN($A294)-1)),$A$4:$A$1000,0),VALUE(RIGHT($A294,1)))),"")</f>
        <v/>
      </c>
      <c r="D294" s="23" t="str">
        <f>IFERROR(IF(INDEX(使用レシピ!F:F,MATCH(テンプレート!$C294,使用レシピ!$E:$E,0))&lt;&gt;0,INDEX(使用レシピ!F:F,MATCH(テンプレート!$C294,使用レシピ!$E:$E,0)),""),"")</f>
        <v/>
      </c>
      <c r="E294" t="str">
        <f>IFERROR(IF(INDEX(使用レシピ!G:G,MATCH(テンプレート!$C294,使用レシピ!$E:$E,0))&lt;&gt;0,INDEX(使用レシピ!G:G,MATCH(テンプレート!$C294,使用レシピ!$E:$E,0)),""),"")</f>
        <v/>
      </c>
      <c r="F294" t="str">
        <f>IFERROR(IF(INDEX(使用レシピ!H:H,MATCH(テンプレート!$C294,使用レシピ!$E:$E,0))&lt;&gt;0,INDEX(使用レシピ!H:H,MATCH(テンプレート!$C294,使用レシピ!$E:$E,0)),""),"")</f>
        <v/>
      </c>
      <c r="G294" t="str">
        <f>IFERROR(IF(INDEX(使用レシピ!I:I,MATCH(テンプレート!$C294,使用レシピ!$E:$E,0))&lt;&gt;0,INDEX(使用レシピ!I:I,MATCH(テンプレート!$C294,使用レシピ!$E:$E,0)),""),"")</f>
        <v/>
      </c>
      <c r="H294" s="24" t="str">
        <f>IFERROR(IF(INDEX(使用レシピ!J:J,MATCH(テンプレート!$C294,使用レシピ!$E:$E,0))&lt;&gt;0,INDEX(使用レシピ!J:J,MATCH(テンプレート!$C294,使用レシピ!$E:$E,0)),""),"")</f>
        <v/>
      </c>
      <c r="I294" s="36" t="str">
        <f>IFERROR(IF(INDEX(使用レシピ!P:P,MATCH(テンプレート!$C294,使用レシピ!$E:$E,0))&lt;&gt;0,INDEX(使用レシピ!P:P,MATCH(テンプレート!$C294,使用レシピ!$E:$E,0)),""),"")</f>
        <v/>
      </c>
      <c r="J294" t="str">
        <f>IFERROR(IF(INDEX(使用レシピ!K:K,MATCH(テンプレート!$C294,使用レシピ!$E:$E,0))&lt;&gt;0,INDEX(使用レシピ!K:K,MATCH(テンプレート!$C294,使用レシピ!$E:$E,0)),""),"")</f>
        <v/>
      </c>
      <c r="K294" t="str">
        <f>IFERROR(IF(INDEX(使用レシピ!L:L,MATCH(テンプレート!$C294,使用レシピ!$E:$E,0))&lt;&gt;0,INDEX(使用レシピ!L:L,MATCH(テンプレート!$C294,使用レシピ!$E:$E,0)),""),"")</f>
        <v/>
      </c>
      <c r="L294" t="str">
        <f>IFERROR(IF(INDEX(使用レシピ!M:M,MATCH(テンプレート!$C294,使用レシピ!$E:$E,0))&lt;&gt;0,INDEX(使用レシピ!M:M,MATCH(テンプレート!$C294,使用レシピ!$E:$E,0)),""),"")</f>
        <v/>
      </c>
      <c r="M294" t="str">
        <f>IFERROR(IF(INDEX(使用レシピ!N:N,MATCH(テンプレート!$C294,使用レシピ!$E:$E,0))&lt;&gt;0,INDEX(使用レシピ!N:N,MATCH(テンプレート!$C294,使用レシピ!$E:$E,0)),""),"")</f>
        <v/>
      </c>
      <c r="N294" s="24" t="str">
        <f>IFERROR(IF(INDEX(使用レシピ!O:O,MATCH(テンプレート!$C294,使用レシピ!$E:$E,0))&lt;&gt;0,INDEX(使用レシピ!O:O,MATCH(テンプレート!$C294,使用レシピ!$E:$E,0)),""),"")</f>
        <v/>
      </c>
      <c r="O294" s="42" t="str">
        <f>IFERROR(IF(INDEX(使用レシピ!P:P,MATCH(テンプレート!$C294,使用レシピ!$E:$E,0))&lt;&gt;0,INDEX(使用レシピ!P:P,MATCH(テンプレート!$C294,使用レシピ!$E:$E,0)),""),"")</f>
        <v/>
      </c>
      <c r="P294" s="25" t="str">
        <f t="shared" si="22"/>
        <v/>
      </c>
      <c r="Q294" s="26" t="str">
        <f t="shared" si="23"/>
        <v/>
      </c>
      <c r="R294" s="26" t="str">
        <f t="shared" si="24"/>
        <v/>
      </c>
      <c r="S294" s="26" t="str">
        <f t="shared" si="25"/>
        <v/>
      </c>
      <c r="T294" s="43" t="str">
        <f t="shared" si="25"/>
        <v/>
      </c>
    </row>
    <row r="295" spans="2:20" x14ac:dyDescent="0.4">
      <c r="B295" s="47" t="str" cm="1">
        <f t="array" ref="B295">IFERROR((INDEX($P$4:$T$1000,MATCH(VALUE(LEFT($A295,LEN($A295)-1)),$A$4:$A$1000,0),VALUE(RIGHT($A295,1)))/ INDEX($O$4:$O$1000,MATCH(VALUE(LEFT($A295,LEN($A295)-1)),$A$4:$A$1000))) * INDEX($B$4:$B$1000,MATCH(VALUE(LEFT($A295,LEN($A295)-1)),$A$4:$A$1000)),"")</f>
        <v/>
      </c>
      <c r="C295" s="38" t="str" cm="1">
        <f t="array" ref="C295">IFERROR(IF(INDEX($D$4:$H$1000,MATCH(VALUE(LEFT($A295,LEN($A295)-1)),$A$4:$A$1000,0),VALUE(RIGHT($A295,1)))= 0,"",INDEX($D$4:$H$1000,MATCH(VALUE(LEFT($A295,LEN($A295)-1)),$A$4:$A$1000,0),VALUE(RIGHT($A295,1)))),"")</f>
        <v/>
      </c>
      <c r="D295" s="23" t="str">
        <f>IFERROR(IF(INDEX(使用レシピ!F:F,MATCH(テンプレート!$C295,使用レシピ!$E:$E,0))&lt;&gt;0,INDEX(使用レシピ!F:F,MATCH(テンプレート!$C295,使用レシピ!$E:$E,0)),""),"")</f>
        <v/>
      </c>
      <c r="E295" t="str">
        <f>IFERROR(IF(INDEX(使用レシピ!G:G,MATCH(テンプレート!$C295,使用レシピ!$E:$E,0))&lt;&gt;0,INDEX(使用レシピ!G:G,MATCH(テンプレート!$C295,使用レシピ!$E:$E,0)),""),"")</f>
        <v/>
      </c>
      <c r="F295" t="str">
        <f>IFERROR(IF(INDEX(使用レシピ!H:H,MATCH(テンプレート!$C295,使用レシピ!$E:$E,0))&lt;&gt;0,INDEX(使用レシピ!H:H,MATCH(テンプレート!$C295,使用レシピ!$E:$E,0)),""),"")</f>
        <v/>
      </c>
      <c r="G295" t="str">
        <f>IFERROR(IF(INDEX(使用レシピ!I:I,MATCH(テンプレート!$C295,使用レシピ!$E:$E,0))&lt;&gt;0,INDEX(使用レシピ!I:I,MATCH(テンプレート!$C295,使用レシピ!$E:$E,0)),""),"")</f>
        <v/>
      </c>
      <c r="H295" s="24" t="str">
        <f>IFERROR(IF(INDEX(使用レシピ!J:J,MATCH(テンプレート!$C295,使用レシピ!$E:$E,0))&lt;&gt;0,INDEX(使用レシピ!J:J,MATCH(テンプレート!$C295,使用レシピ!$E:$E,0)),""),"")</f>
        <v/>
      </c>
      <c r="I295" s="36" t="str">
        <f>IFERROR(IF(INDEX(使用レシピ!P:P,MATCH(テンプレート!$C295,使用レシピ!$E:$E,0))&lt;&gt;0,INDEX(使用レシピ!P:P,MATCH(テンプレート!$C295,使用レシピ!$E:$E,0)),""),"")</f>
        <v/>
      </c>
      <c r="J295" t="str">
        <f>IFERROR(IF(INDEX(使用レシピ!K:K,MATCH(テンプレート!$C295,使用レシピ!$E:$E,0))&lt;&gt;0,INDEX(使用レシピ!K:K,MATCH(テンプレート!$C295,使用レシピ!$E:$E,0)),""),"")</f>
        <v/>
      </c>
      <c r="K295" t="str">
        <f>IFERROR(IF(INDEX(使用レシピ!L:L,MATCH(テンプレート!$C295,使用レシピ!$E:$E,0))&lt;&gt;0,INDEX(使用レシピ!L:L,MATCH(テンプレート!$C295,使用レシピ!$E:$E,0)),""),"")</f>
        <v/>
      </c>
      <c r="L295" t="str">
        <f>IFERROR(IF(INDEX(使用レシピ!M:M,MATCH(テンプレート!$C295,使用レシピ!$E:$E,0))&lt;&gt;0,INDEX(使用レシピ!M:M,MATCH(テンプレート!$C295,使用レシピ!$E:$E,0)),""),"")</f>
        <v/>
      </c>
      <c r="M295" t="str">
        <f>IFERROR(IF(INDEX(使用レシピ!N:N,MATCH(テンプレート!$C295,使用レシピ!$E:$E,0))&lt;&gt;0,INDEX(使用レシピ!N:N,MATCH(テンプレート!$C295,使用レシピ!$E:$E,0)),""),"")</f>
        <v/>
      </c>
      <c r="N295" s="24" t="str">
        <f>IFERROR(IF(INDEX(使用レシピ!O:O,MATCH(テンプレート!$C295,使用レシピ!$E:$E,0))&lt;&gt;0,INDEX(使用レシピ!O:O,MATCH(テンプレート!$C295,使用レシピ!$E:$E,0)),""),"")</f>
        <v/>
      </c>
      <c r="O295" s="42" t="str">
        <f>IFERROR(IF(INDEX(使用レシピ!P:P,MATCH(テンプレート!$C295,使用レシピ!$E:$E,0))&lt;&gt;0,INDEX(使用レシピ!P:P,MATCH(テンプレート!$C295,使用レシピ!$E:$E,0)),""),"")</f>
        <v/>
      </c>
      <c r="P295" s="25" t="str">
        <f t="shared" si="22"/>
        <v/>
      </c>
      <c r="Q295" s="26" t="str">
        <f t="shared" si="23"/>
        <v/>
      </c>
      <c r="R295" s="26" t="str">
        <f t="shared" si="24"/>
        <v/>
      </c>
      <c r="S295" s="26" t="str">
        <f t="shared" si="25"/>
        <v/>
      </c>
      <c r="T295" s="43" t="str">
        <f t="shared" si="25"/>
        <v/>
      </c>
    </row>
    <row r="296" spans="2:20" x14ac:dyDescent="0.4">
      <c r="B296" s="47" t="str" cm="1">
        <f t="array" ref="B296">IFERROR((INDEX($P$4:$T$1000,MATCH(VALUE(LEFT($A296,LEN($A296)-1)),$A$4:$A$1000,0),VALUE(RIGHT($A296,1)))/ INDEX($O$4:$O$1000,MATCH(VALUE(LEFT($A296,LEN($A296)-1)),$A$4:$A$1000))) * INDEX($B$4:$B$1000,MATCH(VALUE(LEFT($A296,LEN($A296)-1)),$A$4:$A$1000)),"")</f>
        <v/>
      </c>
      <c r="C296" s="38" t="str" cm="1">
        <f t="array" ref="C296">IFERROR(IF(INDEX($D$4:$H$1000,MATCH(VALUE(LEFT($A296,LEN($A296)-1)),$A$4:$A$1000,0),VALUE(RIGHT($A296,1)))= 0,"",INDEX($D$4:$H$1000,MATCH(VALUE(LEFT($A296,LEN($A296)-1)),$A$4:$A$1000,0),VALUE(RIGHT($A296,1)))),"")</f>
        <v/>
      </c>
      <c r="D296" s="23" t="str">
        <f>IFERROR(IF(INDEX(使用レシピ!F:F,MATCH(テンプレート!$C296,使用レシピ!$E:$E,0))&lt;&gt;0,INDEX(使用レシピ!F:F,MATCH(テンプレート!$C296,使用レシピ!$E:$E,0)),""),"")</f>
        <v/>
      </c>
      <c r="E296" t="str">
        <f>IFERROR(IF(INDEX(使用レシピ!G:G,MATCH(テンプレート!$C296,使用レシピ!$E:$E,0))&lt;&gt;0,INDEX(使用レシピ!G:G,MATCH(テンプレート!$C296,使用レシピ!$E:$E,0)),""),"")</f>
        <v/>
      </c>
      <c r="F296" t="str">
        <f>IFERROR(IF(INDEX(使用レシピ!H:H,MATCH(テンプレート!$C296,使用レシピ!$E:$E,0))&lt;&gt;0,INDEX(使用レシピ!H:H,MATCH(テンプレート!$C296,使用レシピ!$E:$E,0)),""),"")</f>
        <v/>
      </c>
      <c r="G296" t="str">
        <f>IFERROR(IF(INDEX(使用レシピ!I:I,MATCH(テンプレート!$C296,使用レシピ!$E:$E,0))&lt;&gt;0,INDEX(使用レシピ!I:I,MATCH(テンプレート!$C296,使用レシピ!$E:$E,0)),""),"")</f>
        <v/>
      </c>
      <c r="H296" s="24" t="str">
        <f>IFERROR(IF(INDEX(使用レシピ!J:J,MATCH(テンプレート!$C296,使用レシピ!$E:$E,0))&lt;&gt;0,INDEX(使用レシピ!J:J,MATCH(テンプレート!$C296,使用レシピ!$E:$E,0)),""),"")</f>
        <v/>
      </c>
      <c r="I296" s="36" t="str">
        <f>IFERROR(IF(INDEX(使用レシピ!P:P,MATCH(テンプレート!$C296,使用レシピ!$E:$E,0))&lt;&gt;0,INDEX(使用レシピ!P:P,MATCH(テンプレート!$C296,使用レシピ!$E:$E,0)),""),"")</f>
        <v/>
      </c>
      <c r="J296" t="str">
        <f>IFERROR(IF(INDEX(使用レシピ!K:K,MATCH(テンプレート!$C296,使用レシピ!$E:$E,0))&lt;&gt;0,INDEX(使用レシピ!K:K,MATCH(テンプレート!$C296,使用レシピ!$E:$E,0)),""),"")</f>
        <v/>
      </c>
      <c r="K296" t="str">
        <f>IFERROR(IF(INDEX(使用レシピ!L:L,MATCH(テンプレート!$C296,使用レシピ!$E:$E,0))&lt;&gt;0,INDEX(使用レシピ!L:L,MATCH(テンプレート!$C296,使用レシピ!$E:$E,0)),""),"")</f>
        <v/>
      </c>
      <c r="L296" t="str">
        <f>IFERROR(IF(INDEX(使用レシピ!M:M,MATCH(テンプレート!$C296,使用レシピ!$E:$E,0))&lt;&gt;0,INDEX(使用レシピ!M:M,MATCH(テンプレート!$C296,使用レシピ!$E:$E,0)),""),"")</f>
        <v/>
      </c>
      <c r="M296" t="str">
        <f>IFERROR(IF(INDEX(使用レシピ!N:N,MATCH(テンプレート!$C296,使用レシピ!$E:$E,0))&lt;&gt;0,INDEX(使用レシピ!N:N,MATCH(テンプレート!$C296,使用レシピ!$E:$E,0)),""),"")</f>
        <v/>
      </c>
      <c r="N296" s="24" t="str">
        <f>IFERROR(IF(INDEX(使用レシピ!O:O,MATCH(テンプレート!$C296,使用レシピ!$E:$E,0))&lt;&gt;0,INDEX(使用レシピ!O:O,MATCH(テンプレート!$C296,使用レシピ!$E:$E,0)),""),"")</f>
        <v/>
      </c>
      <c r="O296" s="42" t="str">
        <f>IFERROR(IF(INDEX(使用レシピ!P:P,MATCH(テンプレート!$C296,使用レシピ!$E:$E,0))&lt;&gt;0,INDEX(使用レシピ!P:P,MATCH(テンプレート!$C296,使用レシピ!$E:$E,0)),""),"")</f>
        <v/>
      </c>
      <c r="P296" s="25" t="str">
        <f t="shared" si="22"/>
        <v/>
      </c>
      <c r="Q296" s="26" t="str">
        <f t="shared" si="23"/>
        <v/>
      </c>
      <c r="R296" s="26" t="str">
        <f t="shared" si="24"/>
        <v/>
      </c>
      <c r="S296" s="26" t="str">
        <f t="shared" si="25"/>
        <v/>
      </c>
      <c r="T296" s="43" t="str">
        <f t="shared" si="25"/>
        <v/>
      </c>
    </row>
    <row r="297" spans="2:20" x14ac:dyDescent="0.4">
      <c r="B297" s="47" t="str" cm="1">
        <f t="array" ref="B297">IFERROR((INDEX($P$4:$T$1000,MATCH(VALUE(LEFT($A297,LEN($A297)-1)),$A$4:$A$1000,0),VALUE(RIGHT($A297,1)))/ INDEX($O$4:$O$1000,MATCH(VALUE(LEFT($A297,LEN($A297)-1)),$A$4:$A$1000))) * INDEX($B$4:$B$1000,MATCH(VALUE(LEFT($A297,LEN($A297)-1)),$A$4:$A$1000)),"")</f>
        <v/>
      </c>
      <c r="C297" s="38" t="str" cm="1">
        <f t="array" ref="C297">IFERROR(IF(INDEX($D$4:$H$1000,MATCH(VALUE(LEFT($A297,LEN($A297)-1)),$A$4:$A$1000,0),VALUE(RIGHT($A297,1)))= 0,"",INDEX($D$4:$H$1000,MATCH(VALUE(LEFT($A297,LEN($A297)-1)),$A$4:$A$1000,0),VALUE(RIGHT($A297,1)))),"")</f>
        <v/>
      </c>
      <c r="D297" s="23" t="str">
        <f>IFERROR(IF(INDEX(使用レシピ!F:F,MATCH(テンプレート!$C297,使用レシピ!$E:$E,0))&lt;&gt;0,INDEX(使用レシピ!F:F,MATCH(テンプレート!$C297,使用レシピ!$E:$E,0)),""),"")</f>
        <v/>
      </c>
      <c r="E297" t="str">
        <f>IFERROR(IF(INDEX(使用レシピ!G:G,MATCH(テンプレート!$C297,使用レシピ!$E:$E,0))&lt;&gt;0,INDEX(使用レシピ!G:G,MATCH(テンプレート!$C297,使用レシピ!$E:$E,0)),""),"")</f>
        <v/>
      </c>
      <c r="F297" t="str">
        <f>IFERROR(IF(INDEX(使用レシピ!H:H,MATCH(テンプレート!$C297,使用レシピ!$E:$E,0))&lt;&gt;0,INDEX(使用レシピ!H:H,MATCH(テンプレート!$C297,使用レシピ!$E:$E,0)),""),"")</f>
        <v/>
      </c>
      <c r="G297" t="str">
        <f>IFERROR(IF(INDEX(使用レシピ!I:I,MATCH(テンプレート!$C297,使用レシピ!$E:$E,0))&lt;&gt;0,INDEX(使用レシピ!I:I,MATCH(テンプレート!$C297,使用レシピ!$E:$E,0)),""),"")</f>
        <v/>
      </c>
      <c r="H297" s="24" t="str">
        <f>IFERROR(IF(INDEX(使用レシピ!J:J,MATCH(テンプレート!$C297,使用レシピ!$E:$E,0))&lt;&gt;0,INDEX(使用レシピ!J:J,MATCH(テンプレート!$C297,使用レシピ!$E:$E,0)),""),"")</f>
        <v/>
      </c>
      <c r="I297" s="36" t="str">
        <f>IFERROR(IF(INDEX(使用レシピ!P:P,MATCH(テンプレート!$C297,使用レシピ!$E:$E,0))&lt;&gt;0,INDEX(使用レシピ!P:P,MATCH(テンプレート!$C297,使用レシピ!$E:$E,0)),""),"")</f>
        <v/>
      </c>
      <c r="J297" t="str">
        <f>IFERROR(IF(INDEX(使用レシピ!K:K,MATCH(テンプレート!$C297,使用レシピ!$E:$E,0))&lt;&gt;0,INDEX(使用レシピ!K:K,MATCH(テンプレート!$C297,使用レシピ!$E:$E,0)),""),"")</f>
        <v/>
      </c>
      <c r="K297" t="str">
        <f>IFERROR(IF(INDEX(使用レシピ!L:L,MATCH(テンプレート!$C297,使用レシピ!$E:$E,0))&lt;&gt;0,INDEX(使用レシピ!L:L,MATCH(テンプレート!$C297,使用レシピ!$E:$E,0)),""),"")</f>
        <v/>
      </c>
      <c r="L297" t="str">
        <f>IFERROR(IF(INDEX(使用レシピ!M:M,MATCH(テンプレート!$C297,使用レシピ!$E:$E,0))&lt;&gt;0,INDEX(使用レシピ!M:M,MATCH(テンプレート!$C297,使用レシピ!$E:$E,0)),""),"")</f>
        <v/>
      </c>
      <c r="M297" t="str">
        <f>IFERROR(IF(INDEX(使用レシピ!N:N,MATCH(テンプレート!$C297,使用レシピ!$E:$E,0))&lt;&gt;0,INDEX(使用レシピ!N:N,MATCH(テンプレート!$C297,使用レシピ!$E:$E,0)),""),"")</f>
        <v/>
      </c>
      <c r="N297" s="24" t="str">
        <f>IFERROR(IF(INDEX(使用レシピ!O:O,MATCH(テンプレート!$C297,使用レシピ!$E:$E,0))&lt;&gt;0,INDEX(使用レシピ!O:O,MATCH(テンプレート!$C297,使用レシピ!$E:$E,0)),""),"")</f>
        <v/>
      </c>
      <c r="O297" s="42" t="str">
        <f>IFERROR(IF(INDEX(使用レシピ!P:P,MATCH(テンプレート!$C297,使用レシピ!$E:$E,0))&lt;&gt;0,INDEX(使用レシピ!P:P,MATCH(テンプレート!$C297,使用レシピ!$E:$E,0)),""),"")</f>
        <v/>
      </c>
      <c r="P297" s="25" t="str">
        <f t="shared" si="22"/>
        <v/>
      </c>
      <c r="Q297" s="26" t="str">
        <f t="shared" si="23"/>
        <v/>
      </c>
      <c r="R297" s="26" t="str">
        <f t="shared" si="24"/>
        <v/>
      </c>
      <c r="S297" s="26" t="str">
        <f t="shared" si="25"/>
        <v/>
      </c>
      <c r="T297" s="43" t="str">
        <f t="shared" si="25"/>
        <v/>
      </c>
    </row>
    <row r="298" spans="2:20" x14ac:dyDescent="0.4">
      <c r="B298" s="47" t="str" cm="1">
        <f t="array" ref="B298">IFERROR((INDEX($P$4:$T$1000,MATCH(VALUE(LEFT($A298,LEN($A298)-1)),$A$4:$A$1000,0),VALUE(RIGHT($A298,1)))/ INDEX($O$4:$O$1000,MATCH(VALUE(LEFT($A298,LEN($A298)-1)),$A$4:$A$1000))) * INDEX($B$4:$B$1000,MATCH(VALUE(LEFT($A298,LEN($A298)-1)),$A$4:$A$1000)),"")</f>
        <v/>
      </c>
      <c r="C298" s="38" t="str" cm="1">
        <f t="array" ref="C298">IFERROR(IF(INDEX($D$4:$H$1000,MATCH(VALUE(LEFT($A298,LEN($A298)-1)),$A$4:$A$1000,0),VALUE(RIGHT($A298,1)))= 0,"",INDEX($D$4:$H$1000,MATCH(VALUE(LEFT($A298,LEN($A298)-1)),$A$4:$A$1000,0),VALUE(RIGHT($A298,1)))),"")</f>
        <v/>
      </c>
      <c r="D298" s="23" t="str">
        <f>IFERROR(IF(INDEX(使用レシピ!F:F,MATCH(テンプレート!$C298,使用レシピ!$E:$E,0))&lt;&gt;0,INDEX(使用レシピ!F:F,MATCH(テンプレート!$C298,使用レシピ!$E:$E,0)),""),"")</f>
        <v/>
      </c>
      <c r="E298" t="str">
        <f>IFERROR(IF(INDEX(使用レシピ!G:G,MATCH(テンプレート!$C298,使用レシピ!$E:$E,0))&lt;&gt;0,INDEX(使用レシピ!G:G,MATCH(テンプレート!$C298,使用レシピ!$E:$E,0)),""),"")</f>
        <v/>
      </c>
      <c r="F298" t="str">
        <f>IFERROR(IF(INDEX(使用レシピ!H:H,MATCH(テンプレート!$C298,使用レシピ!$E:$E,0))&lt;&gt;0,INDEX(使用レシピ!H:H,MATCH(テンプレート!$C298,使用レシピ!$E:$E,0)),""),"")</f>
        <v/>
      </c>
      <c r="G298" t="str">
        <f>IFERROR(IF(INDEX(使用レシピ!I:I,MATCH(テンプレート!$C298,使用レシピ!$E:$E,0))&lt;&gt;0,INDEX(使用レシピ!I:I,MATCH(テンプレート!$C298,使用レシピ!$E:$E,0)),""),"")</f>
        <v/>
      </c>
      <c r="H298" s="24" t="str">
        <f>IFERROR(IF(INDEX(使用レシピ!J:J,MATCH(テンプレート!$C298,使用レシピ!$E:$E,0))&lt;&gt;0,INDEX(使用レシピ!J:J,MATCH(テンプレート!$C298,使用レシピ!$E:$E,0)),""),"")</f>
        <v/>
      </c>
      <c r="I298" s="36" t="str">
        <f>IFERROR(IF(INDEX(使用レシピ!P:P,MATCH(テンプレート!$C298,使用レシピ!$E:$E,0))&lt;&gt;0,INDEX(使用レシピ!P:P,MATCH(テンプレート!$C298,使用レシピ!$E:$E,0)),""),"")</f>
        <v/>
      </c>
      <c r="J298" t="str">
        <f>IFERROR(IF(INDEX(使用レシピ!K:K,MATCH(テンプレート!$C298,使用レシピ!$E:$E,0))&lt;&gt;0,INDEX(使用レシピ!K:K,MATCH(テンプレート!$C298,使用レシピ!$E:$E,0)),""),"")</f>
        <v/>
      </c>
      <c r="K298" t="str">
        <f>IFERROR(IF(INDEX(使用レシピ!L:L,MATCH(テンプレート!$C298,使用レシピ!$E:$E,0))&lt;&gt;0,INDEX(使用レシピ!L:L,MATCH(テンプレート!$C298,使用レシピ!$E:$E,0)),""),"")</f>
        <v/>
      </c>
      <c r="L298" t="str">
        <f>IFERROR(IF(INDEX(使用レシピ!M:M,MATCH(テンプレート!$C298,使用レシピ!$E:$E,0))&lt;&gt;0,INDEX(使用レシピ!M:M,MATCH(テンプレート!$C298,使用レシピ!$E:$E,0)),""),"")</f>
        <v/>
      </c>
      <c r="M298" t="str">
        <f>IFERROR(IF(INDEX(使用レシピ!N:N,MATCH(テンプレート!$C298,使用レシピ!$E:$E,0))&lt;&gt;0,INDEX(使用レシピ!N:N,MATCH(テンプレート!$C298,使用レシピ!$E:$E,0)),""),"")</f>
        <v/>
      </c>
      <c r="N298" s="24" t="str">
        <f>IFERROR(IF(INDEX(使用レシピ!O:O,MATCH(テンプレート!$C298,使用レシピ!$E:$E,0))&lt;&gt;0,INDEX(使用レシピ!O:O,MATCH(テンプレート!$C298,使用レシピ!$E:$E,0)),""),"")</f>
        <v/>
      </c>
      <c r="O298" s="42" t="str">
        <f>IFERROR(IF(INDEX(使用レシピ!P:P,MATCH(テンプレート!$C298,使用レシピ!$E:$E,0))&lt;&gt;0,INDEX(使用レシピ!P:P,MATCH(テンプレート!$C298,使用レシピ!$E:$E,0)),""),"")</f>
        <v/>
      </c>
      <c r="P298" s="25" t="str">
        <f t="shared" si="22"/>
        <v/>
      </c>
      <c r="Q298" s="26" t="str">
        <f t="shared" si="23"/>
        <v/>
      </c>
      <c r="R298" s="26" t="str">
        <f t="shared" si="24"/>
        <v/>
      </c>
      <c r="S298" s="26" t="str">
        <f t="shared" si="25"/>
        <v/>
      </c>
      <c r="T298" s="43" t="str">
        <f t="shared" si="25"/>
        <v/>
      </c>
    </row>
    <row r="299" spans="2:20" x14ac:dyDescent="0.4">
      <c r="B299" s="47" t="str" cm="1">
        <f t="array" ref="B299">IFERROR((INDEX($P$4:$T$1000,MATCH(VALUE(LEFT($A299,LEN($A299)-1)),$A$4:$A$1000,0),VALUE(RIGHT($A299,1)))/ INDEX($O$4:$O$1000,MATCH(VALUE(LEFT($A299,LEN($A299)-1)),$A$4:$A$1000))) * INDEX($B$4:$B$1000,MATCH(VALUE(LEFT($A299,LEN($A299)-1)),$A$4:$A$1000)),"")</f>
        <v/>
      </c>
      <c r="C299" s="38" t="str" cm="1">
        <f t="array" ref="C299">IFERROR(IF(INDEX($D$4:$H$1000,MATCH(VALUE(LEFT($A299,LEN($A299)-1)),$A$4:$A$1000,0),VALUE(RIGHT($A299,1)))= 0,"",INDEX($D$4:$H$1000,MATCH(VALUE(LEFT($A299,LEN($A299)-1)),$A$4:$A$1000,0),VALUE(RIGHT($A299,1)))),"")</f>
        <v/>
      </c>
      <c r="D299" s="23" t="str">
        <f>IFERROR(IF(INDEX(使用レシピ!F:F,MATCH(テンプレート!$C299,使用レシピ!$E:$E,0))&lt;&gt;0,INDEX(使用レシピ!F:F,MATCH(テンプレート!$C299,使用レシピ!$E:$E,0)),""),"")</f>
        <v/>
      </c>
      <c r="E299" t="str">
        <f>IFERROR(IF(INDEX(使用レシピ!G:G,MATCH(テンプレート!$C299,使用レシピ!$E:$E,0))&lt;&gt;0,INDEX(使用レシピ!G:G,MATCH(テンプレート!$C299,使用レシピ!$E:$E,0)),""),"")</f>
        <v/>
      </c>
      <c r="F299" t="str">
        <f>IFERROR(IF(INDEX(使用レシピ!H:H,MATCH(テンプレート!$C299,使用レシピ!$E:$E,0))&lt;&gt;0,INDEX(使用レシピ!H:H,MATCH(テンプレート!$C299,使用レシピ!$E:$E,0)),""),"")</f>
        <v/>
      </c>
      <c r="G299" t="str">
        <f>IFERROR(IF(INDEX(使用レシピ!I:I,MATCH(テンプレート!$C299,使用レシピ!$E:$E,0))&lt;&gt;0,INDEX(使用レシピ!I:I,MATCH(テンプレート!$C299,使用レシピ!$E:$E,0)),""),"")</f>
        <v/>
      </c>
      <c r="H299" s="24" t="str">
        <f>IFERROR(IF(INDEX(使用レシピ!J:J,MATCH(テンプレート!$C299,使用レシピ!$E:$E,0))&lt;&gt;0,INDEX(使用レシピ!J:J,MATCH(テンプレート!$C299,使用レシピ!$E:$E,0)),""),"")</f>
        <v/>
      </c>
      <c r="I299" s="36" t="str">
        <f>IFERROR(IF(INDEX(使用レシピ!P:P,MATCH(テンプレート!$C299,使用レシピ!$E:$E,0))&lt;&gt;0,INDEX(使用レシピ!P:P,MATCH(テンプレート!$C299,使用レシピ!$E:$E,0)),""),"")</f>
        <v/>
      </c>
      <c r="J299" t="str">
        <f>IFERROR(IF(INDEX(使用レシピ!K:K,MATCH(テンプレート!$C299,使用レシピ!$E:$E,0))&lt;&gt;0,INDEX(使用レシピ!K:K,MATCH(テンプレート!$C299,使用レシピ!$E:$E,0)),""),"")</f>
        <v/>
      </c>
      <c r="K299" t="str">
        <f>IFERROR(IF(INDEX(使用レシピ!L:L,MATCH(テンプレート!$C299,使用レシピ!$E:$E,0))&lt;&gt;0,INDEX(使用レシピ!L:L,MATCH(テンプレート!$C299,使用レシピ!$E:$E,0)),""),"")</f>
        <v/>
      </c>
      <c r="L299" t="str">
        <f>IFERROR(IF(INDEX(使用レシピ!M:M,MATCH(テンプレート!$C299,使用レシピ!$E:$E,0))&lt;&gt;0,INDEX(使用レシピ!M:M,MATCH(テンプレート!$C299,使用レシピ!$E:$E,0)),""),"")</f>
        <v/>
      </c>
      <c r="M299" t="str">
        <f>IFERROR(IF(INDEX(使用レシピ!N:N,MATCH(テンプレート!$C299,使用レシピ!$E:$E,0))&lt;&gt;0,INDEX(使用レシピ!N:N,MATCH(テンプレート!$C299,使用レシピ!$E:$E,0)),""),"")</f>
        <v/>
      </c>
      <c r="N299" s="24" t="str">
        <f>IFERROR(IF(INDEX(使用レシピ!O:O,MATCH(テンプレート!$C299,使用レシピ!$E:$E,0))&lt;&gt;0,INDEX(使用レシピ!O:O,MATCH(テンプレート!$C299,使用レシピ!$E:$E,0)),""),"")</f>
        <v/>
      </c>
      <c r="O299" s="42" t="str">
        <f>IFERROR(IF(INDEX(使用レシピ!P:P,MATCH(テンプレート!$C299,使用レシピ!$E:$E,0))&lt;&gt;0,INDEX(使用レシピ!P:P,MATCH(テンプレート!$C299,使用レシピ!$E:$E,0)),""),"")</f>
        <v/>
      </c>
      <c r="P299" s="25" t="str">
        <f t="shared" si="22"/>
        <v/>
      </c>
      <c r="Q299" s="26" t="str">
        <f t="shared" si="23"/>
        <v/>
      </c>
      <c r="R299" s="26" t="str">
        <f t="shared" si="24"/>
        <v/>
      </c>
      <c r="S299" s="26" t="str">
        <f t="shared" si="25"/>
        <v/>
      </c>
      <c r="T299" s="43" t="str">
        <f t="shared" si="25"/>
        <v/>
      </c>
    </row>
    <row r="300" spans="2:20" x14ac:dyDescent="0.4">
      <c r="B300" s="48" t="str" cm="1">
        <f t="array" ref="B300">IFERROR((INDEX($P$4:$T$1000,MATCH(VALUE(LEFT($A300,LEN($A300)-1)),$A$4:$A$1000,0),VALUE(RIGHT($A300,1)))/ INDEX($O$4:$O$1000,MATCH(VALUE(LEFT($A300,LEN($A300)-1)),$A$4:$A$1000))) * INDEX($B$4:$B$1000,MATCH(VALUE(LEFT($A300,LEN($A300)-1)),$A$4:$A$1000)),"")</f>
        <v/>
      </c>
      <c r="C300" s="39" t="str" cm="1">
        <f t="array" ref="C300">IFERROR(IF(INDEX($D$4:$H$1000,MATCH(VALUE(LEFT($A300,LEN($A300)-1)),$A$4:$A$1000,0),VALUE(RIGHT($A300,1)))= 0,"",INDEX($D$4:$H$1000,MATCH(VALUE(LEFT($A300,LEN($A300)-1)),$A$4:$A$1000,0),VALUE(RIGHT($A300,1)))),"")</f>
        <v/>
      </c>
      <c r="D300" s="23" t="str">
        <f>IFERROR(IF(INDEX(使用レシピ!F:F,MATCH(テンプレート!$C300,使用レシピ!$E:$E,0))&lt;&gt;0,INDEX(使用レシピ!F:F,MATCH(テンプレート!$C300,使用レシピ!$E:$E,0)),""),"")</f>
        <v/>
      </c>
      <c r="E300" t="str">
        <f>IFERROR(IF(INDEX(使用レシピ!G:G,MATCH(テンプレート!$C300,使用レシピ!$E:$E,0))&lt;&gt;0,INDEX(使用レシピ!G:G,MATCH(テンプレート!$C300,使用レシピ!$E:$E,0)),""),"")</f>
        <v/>
      </c>
      <c r="F300" t="str">
        <f>IFERROR(IF(INDEX(使用レシピ!H:H,MATCH(テンプレート!$C300,使用レシピ!$E:$E,0))&lt;&gt;0,INDEX(使用レシピ!H:H,MATCH(テンプレート!$C300,使用レシピ!$E:$E,0)),""),"")</f>
        <v/>
      </c>
      <c r="G300" t="str">
        <f>IFERROR(IF(INDEX(使用レシピ!I:I,MATCH(テンプレート!$C300,使用レシピ!$E:$E,0))&lt;&gt;0,INDEX(使用レシピ!I:I,MATCH(テンプレート!$C300,使用レシピ!$E:$E,0)),""),"")</f>
        <v/>
      </c>
      <c r="H300" s="24" t="str">
        <f>IFERROR(IF(INDEX(使用レシピ!J:J,MATCH(テンプレート!$C300,使用レシピ!$E:$E,0))&lt;&gt;0,INDEX(使用レシピ!J:J,MATCH(テンプレート!$C300,使用レシピ!$E:$E,0)),""),"")</f>
        <v/>
      </c>
      <c r="I300" s="36" t="str">
        <f>IFERROR(IF(INDEX(使用レシピ!P:P,MATCH(テンプレート!$C300,使用レシピ!$E:$E,0))&lt;&gt;0,INDEX(使用レシピ!P:P,MATCH(テンプレート!$C300,使用レシピ!$E:$E,0)),""),"")</f>
        <v/>
      </c>
      <c r="J300" t="str">
        <f>IFERROR(IF(INDEX(使用レシピ!K:K,MATCH(テンプレート!$C300,使用レシピ!$E:$E,0))&lt;&gt;0,INDEX(使用レシピ!K:K,MATCH(テンプレート!$C300,使用レシピ!$E:$E,0)),""),"")</f>
        <v/>
      </c>
      <c r="K300" t="str">
        <f>IFERROR(IF(INDEX(使用レシピ!L:L,MATCH(テンプレート!$C300,使用レシピ!$E:$E,0))&lt;&gt;0,INDEX(使用レシピ!L:L,MATCH(テンプレート!$C300,使用レシピ!$E:$E,0)),""),"")</f>
        <v/>
      </c>
      <c r="L300" t="str">
        <f>IFERROR(IF(INDEX(使用レシピ!M:M,MATCH(テンプレート!$C300,使用レシピ!$E:$E,0))&lt;&gt;0,INDEX(使用レシピ!M:M,MATCH(テンプレート!$C300,使用レシピ!$E:$E,0)),""),"")</f>
        <v/>
      </c>
      <c r="M300" t="str">
        <f>IFERROR(IF(INDEX(使用レシピ!N:N,MATCH(テンプレート!$C300,使用レシピ!$E:$E,0))&lt;&gt;0,INDEX(使用レシピ!N:N,MATCH(テンプレート!$C300,使用レシピ!$E:$E,0)),""),"")</f>
        <v/>
      </c>
      <c r="N300" s="24" t="str">
        <f>IFERROR(IF(INDEX(使用レシピ!O:O,MATCH(テンプレート!$C300,使用レシピ!$E:$E,0))&lt;&gt;0,INDEX(使用レシピ!O:O,MATCH(テンプレート!$C300,使用レシピ!$E:$E,0)),""),"")</f>
        <v/>
      </c>
      <c r="O300" s="44" t="str">
        <f>IFERROR(IF(INDEX(使用レシピ!P:P,MATCH(テンプレート!$C300,使用レシピ!$E:$E,0))&lt;&gt;0,INDEX(使用レシピ!P:P,MATCH(テンプレート!$C300,使用レシピ!$E:$E,0)),""),"")</f>
        <v/>
      </c>
      <c r="P300" s="30" t="str">
        <f t="shared" si="22"/>
        <v/>
      </c>
      <c r="Q300" s="31" t="str">
        <f t="shared" si="23"/>
        <v/>
      </c>
      <c r="R300" s="31" t="str">
        <f t="shared" si="24"/>
        <v/>
      </c>
      <c r="S300" s="31" t="str">
        <f t="shared" si="25"/>
        <v/>
      </c>
      <c r="T300" s="45" t="str">
        <f t="shared" si="25"/>
        <v/>
      </c>
    </row>
    <row r="301" spans="2:20" x14ac:dyDescent="0.4">
      <c r="B301" s="49" t="str" cm="1">
        <f t="array" ref="B301">IFERROR((INDEX($P$4:$T$1000,MATCH(VALUE(LEFT($A301,LEN($A301)-1)),$A$4:$A$1000,0),VALUE(RIGHT($A301,1)))/ INDEX($O$4:$O$1000,MATCH(VALUE(LEFT($A301,LEN($A301)-1)),$A$4:$A$1000))) * INDEX($B$4:$B$1000,MATCH(VALUE(LEFT($A301,LEN($A301)-1)),$A$4:$A$1000)),"")</f>
        <v/>
      </c>
      <c r="C301" s="2" t="str" cm="1">
        <f t="array" ref="C301">IFERROR(IF(INDEX($D$4:$H$1000,MATCH(VALUE(LEFT($A301,LEN($A301)-1)),$A$4:$A$1000,0),VALUE(RIGHT($A301,1)))= 0,"",INDEX($D$4:$H$1000,MATCH(VALUE(LEFT($A301,LEN($A301)-1)),$A$4:$A$1000,0),VALUE(RIGHT($A301,1)))),"")</f>
        <v/>
      </c>
      <c r="D301" s="23" t="str">
        <f>IFERROR(IF(INDEX(使用レシピ!F:F,MATCH(テンプレート!$C301,使用レシピ!$E:$E,0))&lt;&gt;0,INDEX(使用レシピ!F:F,MATCH(テンプレート!$C301,使用レシピ!$E:$E,0)),""),"")</f>
        <v/>
      </c>
      <c r="E301" t="str">
        <f>IFERROR(IF(INDEX(使用レシピ!G:G,MATCH(テンプレート!$C301,使用レシピ!$E:$E,0))&lt;&gt;0,INDEX(使用レシピ!G:G,MATCH(テンプレート!$C301,使用レシピ!$E:$E,0)),""),"")</f>
        <v/>
      </c>
      <c r="F301" t="str">
        <f>IFERROR(IF(INDEX(使用レシピ!H:H,MATCH(テンプレート!$C301,使用レシピ!$E:$E,0))&lt;&gt;0,INDEX(使用レシピ!H:H,MATCH(テンプレート!$C301,使用レシピ!$E:$E,0)),""),"")</f>
        <v/>
      </c>
      <c r="G301" t="str">
        <f>IFERROR(IF(INDEX(使用レシピ!I:I,MATCH(テンプレート!$C301,使用レシピ!$E:$E,0))&lt;&gt;0,INDEX(使用レシピ!I:I,MATCH(テンプレート!$C301,使用レシピ!$E:$E,0)),""),"")</f>
        <v/>
      </c>
      <c r="H301" s="24" t="str">
        <f>IFERROR(IF(INDEX(使用レシピ!J:J,MATCH(テンプレート!$C301,使用レシピ!$E:$E,0))&lt;&gt;0,INDEX(使用レシピ!J:J,MATCH(テンプレート!$C301,使用レシピ!$E:$E,0)),""),"")</f>
        <v/>
      </c>
      <c r="I301" s="36" t="str">
        <f>IFERROR(IF(INDEX(使用レシピ!P:P,MATCH(テンプレート!$C301,使用レシピ!$E:$E,0))&lt;&gt;0,INDEX(使用レシピ!P:P,MATCH(テンプレート!$C301,使用レシピ!$E:$E,0)),""),"")</f>
        <v/>
      </c>
      <c r="J301" t="str">
        <f>IFERROR(IF(INDEX(使用レシピ!K:K,MATCH(テンプレート!$C301,使用レシピ!$E:$E,0))&lt;&gt;0,INDEX(使用レシピ!K:K,MATCH(テンプレート!$C301,使用レシピ!$E:$E,0)),""),"")</f>
        <v/>
      </c>
      <c r="K301" t="str">
        <f>IFERROR(IF(INDEX(使用レシピ!L:L,MATCH(テンプレート!$C301,使用レシピ!$E:$E,0))&lt;&gt;0,INDEX(使用レシピ!L:L,MATCH(テンプレート!$C301,使用レシピ!$E:$E,0)),""),"")</f>
        <v/>
      </c>
      <c r="L301" t="str">
        <f>IFERROR(IF(INDEX(使用レシピ!M:M,MATCH(テンプレート!$C301,使用レシピ!$E:$E,0))&lt;&gt;0,INDEX(使用レシピ!M:M,MATCH(テンプレート!$C301,使用レシピ!$E:$E,0)),""),"")</f>
        <v/>
      </c>
      <c r="M301" t="str">
        <f>IFERROR(IF(INDEX(使用レシピ!N:N,MATCH(テンプレート!$C301,使用レシピ!$E:$E,0))&lt;&gt;0,INDEX(使用レシピ!N:N,MATCH(テンプレート!$C301,使用レシピ!$E:$E,0)),""),"")</f>
        <v/>
      </c>
      <c r="N301" s="24" t="str">
        <f>IFERROR(IF(INDEX(使用レシピ!O:O,MATCH(テンプレート!$C301,使用レシピ!$E:$E,0))&lt;&gt;0,INDEX(使用レシピ!O:O,MATCH(テンプレート!$C301,使用レシピ!$E:$E,0)),""),"")</f>
        <v/>
      </c>
      <c r="O301" s="36" t="str">
        <f>IFERROR(IF(INDEX(使用レシピ!P:P,MATCH(テンプレート!$C301,使用レシピ!$E:$E,0))&lt;&gt;0,INDEX(使用レシピ!P:P,MATCH(テンプレート!$C301,使用レシピ!$E:$E,0)),""),"")</f>
        <v/>
      </c>
      <c r="P301" t="str">
        <f t="shared" ref="P301:P364" si="26">IFERROR(IF($O301/$I301*J301 &gt; 0,$O301/$I301*J301,""),"")</f>
        <v/>
      </c>
      <c r="Q301" t="str">
        <f t="shared" ref="Q301:Q364" si="27">IFERROR(IF($O301/$I301*K301 &gt; 0,$O301/$I301*K301,""),"")</f>
        <v/>
      </c>
      <c r="R301" t="str">
        <f t="shared" ref="R301:R364" si="28">IFERROR(IF($O301/$I301*L301 &gt; 0,$O301/$I301*L301,""),"")</f>
        <v/>
      </c>
      <c r="S301" t="str">
        <f t="shared" ref="S301:S364" si="29">IFERROR(IF($O301/$I301*M301 &gt; 0,$O301/$I301*M301,""),"")</f>
        <v/>
      </c>
      <c r="T301" s="24" t="str">
        <f t="shared" ref="T301:T364" si="30">IFERROR(IF($O301/$I301*N301 &gt; 0,$O301/$I301*N301,""),"")</f>
        <v/>
      </c>
    </row>
    <row r="302" spans="2:20" x14ac:dyDescent="0.4">
      <c r="B302" s="49" t="str" cm="1">
        <f t="array" ref="B302">IFERROR((INDEX($P$4:$T$1000,MATCH(VALUE(LEFT($A302,LEN($A302)-1)),$A$4:$A$1000,0),VALUE(RIGHT($A302,1)))/ INDEX($O$4:$O$1000,MATCH(VALUE(LEFT($A302,LEN($A302)-1)),$A$4:$A$1000))) * INDEX($B$4:$B$1000,MATCH(VALUE(LEFT($A302,LEN($A302)-1)),$A$4:$A$1000)),"")</f>
        <v/>
      </c>
      <c r="C302" s="2" t="str" cm="1">
        <f t="array" ref="C302">IFERROR(IF(INDEX($D$4:$H$1000,MATCH(VALUE(LEFT($A302,LEN($A302)-1)),$A$4:$A$1000,0),VALUE(RIGHT($A302,1)))= 0,"",INDEX($D$4:$H$1000,MATCH(VALUE(LEFT($A302,LEN($A302)-1)),$A$4:$A$1000,0),VALUE(RIGHT($A302,1)))),"")</f>
        <v/>
      </c>
      <c r="D302" s="23" t="str">
        <f>IFERROR(IF(INDEX(使用レシピ!F:F,MATCH(テンプレート!$C302,使用レシピ!$E:$E,0))&lt;&gt;0,INDEX(使用レシピ!F:F,MATCH(テンプレート!$C302,使用レシピ!$E:$E,0)),""),"")</f>
        <v/>
      </c>
      <c r="E302" t="str">
        <f>IFERROR(IF(INDEX(使用レシピ!G:G,MATCH(テンプレート!$C302,使用レシピ!$E:$E,0))&lt;&gt;0,INDEX(使用レシピ!G:G,MATCH(テンプレート!$C302,使用レシピ!$E:$E,0)),""),"")</f>
        <v/>
      </c>
      <c r="F302" t="str">
        <f>IFERROR(IF(INDEX(使用レシピ!H:H,MATCH(テンプレート!$C302,使用レシピ!$E:$E,0))&lt;&gt;0,INDEX(使用レシピ!H:H,MATCH(テンプレート!$C302,使用レシピ!$E:$E,0)),""),"")</f>
        <v/>
      </c>
      <c r="G302" t="str">
        <f>IFERROR(IF(INDEX(使用レシピ!I:I,MATCH(テンプレート!$C302,使用レシピ!$E:$E,0))&lt;&gt;0,INDEX(使用レシピ!I:I,MATCH(テンプレート!$C302,使用レシピ!$E:$E,0)),""),"")</f>
        <v/>
      </c>
      <c r="H302" s="24" t="str">
        <f>IFERROR(IF(INDEX(使用レシピ!J:J,MATCH(テンプレート!$C302,使用レシピ!$E:$E,0))&lt;&gt;0,INDEX(使用レシピ!J:J,MATCH(テンプレート!$C302,使用レシピ!$E:$E,0)),""),"")</f>
        <v/>
      </c>
      <c r="I302" s="36" t="str">
        <f>IFERROR(IF(INDEX(使用レシピ!P:P,MATCH(テンプレート!$C302,使用レシピ!$E:$E,0))&lt;&gt;0,INDEX(使用レシピ!P:P,MATCH(テンプレート!$C302,使用レシピ!$E:$E,0)),""),"")</f>
        <v/>
      </c>
      <c r="J302" t="str">
        <f>IFERROR(IF(INDEX(使用レシピ!K:K,MATCH(テンプレート!$C302,使用レシピ!$E:$E,0))&lt;&gt;0,INDEX(使用レシピ!K:K,MATCH(テンプレート!$C302,使用レシピ!$E:$E,0)),""),"")</f>
        <v/>
      </c>
      <c r="K302" t="str">
        <f>IFERROR(IF(INDEX(使用レシピ!L:L,MATCH(テンプレート!$C302,使用レシピ!$E:$E,0))&lt;&gt;0,INDEX(使用レシピ!L:L,MATCH(テンプレート!$C302,使用レシピ!$E:$E,0)),""),"")</f>
        <v/>
      </c>
      <c r="L302" t="str">
        <f>IFERROR(IF(INDEX(使用レシピ!M:M,MATCH(テンプレート!$C302,使用レシピ!$E:$E,0))&lt;&gt;0,INDEX(使用レシピ!M:M,MATCH(テンプレート!$C302,使用レシピ!$E:$E,0)),""),"")</f>
        <v/>
      </c>
      <c r="M302" t="str">
        <f>IFERROR(IF(INDEX(使用レシピ!N:N,MATCH(テンプレート!$C302,使用レシピ!$E:$E,0))&lt;&gt;0,INDEX(使用レシピ!N:N,MATCH(テンプレート!$C302,使用レシピ!$E:$E,0)),""),"")</f>
        <v/>
      </c>
      <c r="N302" s="24" t="str">
        <f>IFERROR(IF(INDEX(使用レシピ!O:O,MATCH(テンプレート!$C302,使用レシピ!$E:$E,0))&lt;&gt;0,INDEX(使用レシピ!O:O,MATCH(テンプレート!$C302,使用レシピ!$E:$E,0)),""),"")</f>
        <v/>
      </c>
      <c r="O302" s="36" t="str">
        <f>IFERROR(IF(INDEX(使用レシピ!P:P,MATCH(テンプレート!$C302,使用レシピ!$E:$E,0))&lt;&gt;0,INDEX(使用レシピ!P:P,MATCH(テンプレート!$C302,使用レシピ!$E:$E,0)),""),"")</f>
        <v/>
      </c>
      <c r="P302" t="str">
        <f t="shared" si="26"/>
        <v/>
      </c>
      <c r="Q302" t="str">
        <f t="shared" si="27"/>
        <v/>
      </c>
      <c r="R302" t="str">
        <f t="shared" si="28"/>
        <v/>
      </c>
      <c r="S302" t="str">
        <f t="shared" si="29"/>
        <v/>
      </c>
      <c r="T302" s="24" t="str">
        <f t="shared" si="30"/>
        <v/>
      </c>
    </row>
    <row r="303" spans="2:20" x14ac:dyDescent="0.4">
      <c r="B303" s="49" t="str" cm="1">
        <f t="array" ref="B303">IFERROR((INDEX($P$4:$T$1000,MATCH(VALUE(LEFT($A303,LEN($A303)-1)),$A$4:$A$1000,0),VALUE(RIGHT($A303,1)))/ INDEX($O$4:$O$1000,MATCH(VALUE(LEFT($A303,LEN($A303)-1)),$A$4:$A$1000))) * INDEX($B$4:$B$1000,MATCH(VALUE(LEFT($A303,LEN($A303)-1)),$A$4:$A$1000)),"")</f>
        <v/>
      </c>
      <c r="C303" s="2" t="str" cm="1">
        <f t="array" ref="C303">IFERROR(IF(INDEX($D$4:$H$1000,MATCH(VALUE(LEFT($A303,LEN($A303)-1)),$A$4:$A$1000,0),VALUE(RIGHT($A303,1)))= 0,"",INDEX($D$4:$H$1000,MATCH(VALUE(LEFT($A303,LEN($A303)-1)),$A$4:$A$1000,0),VALUE(RIGHT($A303,1)))),"")</f>
        <v/>
      </c>
      <c r="D303" s="23" t="str">
        <f>IFERROR(IF(INDEX(使用レシピ!F:F,MATCH(テンプレート!$C303,使用レシピ!$E:$E,0))&lt;&gt;0,INDEX(使用レシピ!F:F,MATCH(テンプレート!$C303,使用レシピ!$E:$E,0)),""),"")</f>
        <v/>
      </c>
      <c r="E303" t="str">
        <f>IFERROR(IF(INDEX(使用レシピ!G:G,MATCH(テンプレート!$C303,使用レシピ!$E:$E,0))&lt;&gt;0,INDEX(使用レシピ!G:G,MATCH(テンプレート!$C303,使用レシピ!$E:$E,0)),""),"")</f>
        <v/>
      </c>
      <c r="F303" t="str">
        <f>IFERROR(IF(INDEX(使用レシピ!H:H,MATCH(テンプレート!$C303,使用レシピ!$E:$E,0))&lt;&gt;0,INDEX(使用レシピ!H:H,MATCH(テンプレート!$C303,使用レシピ!$E:$E,0)),""),"")</f>
        <v/>
      </c>
      <c r="G303" t="str">
        <f>IFERROR(IF(INDEX(使用レシピ!I:I,MATCH(テンプレート!$C303,使用レシピ!$E:$E,0))&lt;&gt;0,INDEX(使用レシピ!I:I,MATCH(テンプレート!$C303,使用レシピ!$E:$E,0)),""),"")</f>
        <v/>
      </c>
      <c r="H303" s="24" t="str">
        <f>IFERROR(IF(INDEX(使用レシピ!J:J,MATCH(テンプレート!$C303,使用レシピ!$E:$E,0))&lt;&gt;0,INDEX(使用レシピ!J:J,MATCH(テンプレート!$C303,使用レシピ!$E:$E,0)),""),"")</f>
        <v/>
      </c>
      <c r="I303" s="36" t="str">
        <f>IFERROR(IF(INDEX(使用レシピ!P:P,MATCH(テンプレート!$C303,使用レシピ!$E:$E,0))&lt;&gt;0,INDEX(使用レシピ!P:P,MATCH(テンプレート!$C303,使用レシピ!$E:$E,0)),""),"")</f>
        <v/>
      </c>
      <c r="J303" t="str">
        <f>IFERROR(IF(INDEX(使用レシピ!K:K,MATCH(テンプレート!$C303,使用レシピ!$E:$E,0))&lt;&gt;0,INDEX(使用レシピ!K:K,MATCH(テンプレート!$C303,使用レシピ!$E:$E,0)),""),"")</f>
        <v/>
      </c>
      <c r="K303" t="str">
        <f>IFERROR(IF(INDEX(使用レシピ!L:L,MATCH(テンプレート!$C303,使用レシピ!$E:$E,0))&lt;&gt;0,INDEX(使用レシピ!L:L,MATCH(テンプレート!$C303,使用レシピ!$E:$E,0)),""),"")</f>
        <v/>
      </c>
      <c r="L303" t="str">
        <f>IFERROR(IF(INDEX(使用レシピ!M:M,MATCH(テンプレート!$C303,使用レシピ!$E:$E,0))&lt;&gt;0,INDEX(使用レシピ!M:M,MATCH(テンプレート!$C303,使用レシピ!$E:$E,0)),""),"")</f>
        <v/>
      </c>
      <c r="M303" t="str">
        <f>IFERROR(IF(INDEX(使用レシピ!N:N,MATCH(テンプレート!$C303,使用レシピ!$E:$E,0))&lt;&gt;0,INDEX(使用レシピ!N:N,MATCH(テンプレート!$C303,使用レシピ!$E:$E,0)),""),"")</f>
        <v/>
      </c>
      <c r="N303" s="24" t="str">
        <f>IFERROR(IF(INDEX(使用レシピ!O:O,MATCH(テンプレート!$C303,使用レシピ!$E:$E,0))&lt;&gt;0,INDEX(使用レシピ!O:O,MATCH(テンプレート!$C303,使用レシピ!$E:$E,0)),""),"")</f>
        <v/>
      </c>
      <c r="O303" s="36" t="str">
        <f>IFERROR(IF(INDEX(使用レシピ!P:P,MATCH(テンプレート!$C303,使用レシピ!$E:$E,0))&lt;&gt;0,INDEX(使用レシピ!P:P,MATCH(テンプレート!$C303,使用レシピ!$E:$E,0)),""),"")</f>
        <v/>
      </c>
      <c r="P303" t="str">
        <f t="shared" si="26"/>
        <v/>
      </c>
      <c r="Q303" t="str">
        <f t="shared" si="27"/>
        <v/>
      </c>
      <c r="R303" t="str">
        <f t="shared" si="28"/>
        <v/>
      </c>
      <c r="S303" t="str">
        <f t="shared" si="29"/>
        <v/>
      </c>
      <c r="T303" s="24" t="str">
        <f t="shared" si="30"/>
        <v/>
      </c>
    </row>
    <row r="304" spans="2:20" x14ac:dyDescent="0.4">
      <c r="B304" s="49" t="str" cm="1">
        <f t="array" ref="B304">IFERROR((INDEX($P$4:$T$1000,MATCH(VALUE(LEFT($A304,LEN($A304)-1)),$A$4:$A$1000,0),VALUE(RIGHT($A304,1)))/ INDEX($O$4:$O$1000,MATCH(VALUE(LEFT($A304,LEN($A304)-1)),$A$4:$A$1000))) * INDEX($B$4:$B$1000,MATCH(VALUE(LEFT($A304,LEN($A304)-1)),$A$4:$A$1000)),"")</f>
        <v/>
      </c>
      <c r="C304" s="2" t="str" cm="1">
        <f t="array" ref="C304">IFERROR(IF(INDEX($D$4:$H$1000,MATCH(VALUE(LEFT($A304,LEN($A304)-1)),$A$4:$A$1000,0),VALUE(RIGHT($A304,1)))= 0,"",INDEX($D$4:$H$1000,MATCH(VALUE(LEFT($A304,LEN($A304)-1)),$A$4:$A$1000,0),VALUE(RIGHT($A304,1)))),"")</f>
        <v/>
      </c>
      <c r="D304" s="23" t="str">
        <f>IFERROR(IF(INDEX(使用レシピ!F:F,MATCH(テンプレート!$C304,使用レシピ!$E:$E,0))&lt;&gt;0,INDEX(使用レシピ!F:F,MATCH(テンプレート!$C304,使用レシピ!$E:$E,0)),""),"")</f>
        <v/>
      </c>
      <c r="E304" t="str">
        <f>IFERROR(IF(INDEX(使用レシピ!G:G,MATCH(テンプレート!$C304,使用レシピ!$E:$E,0))&lt;&gt;0,INDEX(使用レシピ!G:G,MATCH(テンプレート!$C304,使用レシピ!$E:$E,0)),""),"")</f>
        <v/>
      </c>
      <c r="F304" t="str">
        <f>IFERROR(IF(INDEX(使用レシピ!H:H,MATCH(テンプレート!$C304,使用レシピ!$E:$E,0))&lt;&gt;0,INDEX(使用レシピ!H:H,MATCH(テンプレート!$C304,使用レシピ!$E:$E,0)),""),"")</f>
        <v/>
      </c>
      <c r="G304" t="str">
        <f>IFERROR(IF(INDEX(使用レシピ!I:I,MATCH(テンプレート!$C304,使用レシピ!$E:$E,0))&lt;&gt;0,INDEX(使用レシピ!I:I,MATCH(テンプレート!$C304,使用レシピ!$E:$E,0)),""),"")</f>
        <v/>
      </c>
      <c r="H304" s="24" t="str">
        <f>IFERROR(IF(INDEX(使用レシピ!J:J,MATCH(テンプレート!$C304,使用レシピ!$E:$E,0))&lt;&gt;0,INDEX(使用レシピ!J:J,MATCH(テンプレート!$C304,使用レシピ!$E:$E,0)),""),"")</f>
        <v/>
      </c>
      <c r="I304" s="36" t="str">
        <f>IFERROR(IF(INDEX(使用レシピ!P:P,MATCH(テンプレート!$C304,使用レシピ!$E:$E,0))&lt;&gt;0,INDEX(使用レシピ!P:P,MATCH(テンプレート!$C304,使用レシピ!$E:$E,0)),""),"")</f>
        <v/>
      </c>
      <c r="J304" t="str">
        <f>IFERROR(IF(INDEX(使用レシピ!K:K,MATCH(テンプレート!$C304,使用レシピ!$E:$E,0))&lt;&gt;0,INDEX(使用レシピ!K:K,MATCH(テンプレート!$C304,使用レシピ!$E:$E,0)),""),"")</f>
        <v/>
      </c>
      <c r="K304" t="str">
        <f>IFERROR(IF(INDEX(使用レシピ!L:L,MATCH(テンプレート!$C304,使用レシピ!$E:$E,0))&lt;&gt;0,INDEX(使用レシピ!L:L,MATCH(テンプレート!$C304,使用レシピ!$E:$E,0)),""),"")</f>
        <v/>
      </c>
      <c r="L304" t="str">
        <f>IFERROR(IF(INDEX(使用レシピ!M:M,MATCH(テンプレート!$C304,使用レシピ!$E:$E,0))&lt;&gt;0,INDEX(使用レシピ!M:M,MATCH(テンプレート!$C304,使用レシピ!$E:$E,0)),""),"")</f>
        <v/>
      </c>
      <c r="M304" t="str">
        <f>IFERROR(IF(INDEX(使用レシピ!N:N,MATCH(テンプレート!$C304,使用レシピ!$E:$E,0))&lt;&gt;0,INDEX(使用レシピ!N:N,MATCH(テンプレート!$C304,使用レシピ!$E:$E,0)),""),"")</f>
        <v/>
      </c>
      <c r="N304" s="24" t="str">
        <f>IFERROR(IF(INDEX(使用レシピ!O:O,MATCH(テンプレート!$C304,使用レシピ!$E:$E,0))&lt;&gt;0,INDEX(使用レシピ!O:O,MATCH(テンプレート!$C304,使用レシピ!$E:$E,0)),""),"")</f>
        <v/>
      </c>
      <c r="O304" s="36" t="str">
        <f>IFERROR(IF(INDEX(使用レシピ!P:P,MATCH(テンプレート!$C304,使用レシピ!$E:$E,0))&lt;&gt;0,INDEX(使用レシピ!P:P,MATCH(テンプレート!$C304,使用レシピ!$E:$E,0)),""),"")</f>
        <v/>
      </c>
      <c r="P304" t="str">
        <f t="shared" si="26"/>
        <v/>
      </c>
      <c r="Q304" t="str">
        <f t="shared" si="27"/>
        <v/>
      </c>
      <c r="R304" t="str">
        <f t="shared" si="28"/>
        <v/>
      </c>
      <c r="S304" t="str">
        <f t="shared" si="29"/>
        <v/>
      </c>
      <c r="T304" s="24" t="str">
        <f t="shared" si="30"/>
        <v/>
      </c>
    </row>
    <row r="305" spans="2:20" x14ac:dyDescent="0.4">
      <c r="B305" s="49" t="str" cm="1">
        <f t="array" ref="B305">IFERROR((INDEX($P$4:$T$1000,MATCH(VALUE(LEFT($A305,LEN($A305)-1)),$A$4:$A$1000,0),VALUE(RIGHT($A305,1)))/ INDEX($O$4:$O$1000,MATCH(VALUE(LEFT($A305,LEN($A305)-1)),$A$4:$A$1000))) * INDEX($B$4:$B$1000,MATCH(VALUE(LEFT($A305,LEN($A305)-1)),$A$4:$A$1000)),"")</f>
        <v/>
      </c>
      <c r="C305" s="2" t="str" cm="1">
        <f t="array" ref="C305">IFERROR(IF(INDEX($D$4:$H$1000,MATCH(VALUE(LEFT($A305,LEN($A305)-1)),$A$4:$A$1000,0),VALUE(RIGHT($A305,1)))= 0,"",INDEX($D$4:$H$1000,MATCH(VALUE(LEFT($A305,LEN($A305)-1)),$A$4:$A$1000,0),VALUE(RIGHT($A305,1)))),"")</f>
        <v/>
      </c>
      <c r="D305" s="23" t="str">
        <f>IFERROR(IF(INDEX(使用レシピ!F:F,MATCH(テンプレート!$C305,使用レシピ!$E:$E,0))&lt;&gt;0,INDEX(使用レシピ!F:F,MATCH(テンプレート!$C305,使用レシピ!$E:$E,0)),""),"")</f>
        <v/>
      </c>
      <c r="E305" t="str">
        <f>IFERROR(IF(INDEX(使用レシピ!G:G,MATCH(テンプレート!$C305,使用レシピ!$E:$E,0))&lt;&gt;0,INDEX(使用レシピ!G:G,MATCH(テンプレート!$C305,使用レシピ!$E:$E,0)),""),"")</f>
        <v/>
      </c>
      <c r="F305" t="str">
        <f>IFERROR(IF(INDEX(使用レシピ!H:H,MATCH(テンプレート!$C305,使用レシピ!$E:$E,0))&lt;&gt;0,INDEX(使用レシピ!H:H,MATCH(テンプレート!$C305,使用レシピ!$E:$E,0)),""),"")</f>
        <v/>
      </c>
      <c r="G305" t="str">
        <f>IFERROR(IF(INDEX(使用レシピ!I:I,MATCH(テンプレート!$C305,使用レシピ!$E:$E,0))&lt;&gt;0,INDEX(使用レシピ!I:I,MATCH(テンプレート!$C305,使用レシピ!$E:$E,0)),""),"")</f>
        <v/>
      </c>
      <c r="H305" s="24" t="str">
        <f>IFERROR(IF(INDEX(使用レシピ!J:J,MATCH(テンプレート!$C305,使用レシピ!$E:$E,0))&lt;&gt;0,INDEX(使用レシピ!J:J,MATCH(テンプレート!$C305,使用レシピ!$E:$E,0)),""),"")</f>
        <v/>
      </c>
      <c r="I305" s="36" t="str">
        <f>IFERROR(IF(INDEX(使用レシピ!P:P,MATCH(テンプレート!$C305,使用レシピ!$E:$E,0))&lt;&gt;0,INDEX(使用レシピ!P:P,MATCH(テンプレート!$C305,使用レシピ!$E:$E,0)),""),"")</f>
        <v/>
      </c>
      <c r="J305" t="str">
        <f>IFERROR(IF(INDEX(使用レシピ!K:K,MATCH(テンプレート!$C305,使用レシピ!$E:$E,0))&lt;&gt;0,INDEX(使用レシピ!K:K,MATCH(テンプレート!$C305,使用レシピ!$E:$E,0)),""),"")</f>
        <v/>
      </c>
      <c r="K305" t="str">
        <f>IFERROR(IF(INDEX(使用レシピ!L:L,MATCH(テンプレート!$C305,使用レシピ!$E:$E,0))&lt;&gt;0,INDEX(使用レシピ!L:L,MATCH(テンプレート!$C305,使用レシピ!$E:$E,0)),""),"")</f>
        <v/>
      </c>
      <c r="L305" t="str">
        <f>IFERROR(IF(INDEX(使用レシピ!M:M,MATCH(テンプレート!$C305,使用レシピ!$E:$E,0))&lt;&gt;0,INDEX(使用レシピ!M:M,MATCH(テンプレート!$C305,使用レシピ!$E:$E,0)),""),"")</f>
        <v/>
      </c>
      <c r="M305" t="str">
        <f>IFERROR(IF(INDEX(使用レシピ!N:N,MATCH(テンプレート!$C305,使用レシピ!$E:$E,0))&lt;&gt;0,INDEX(使用レシピ!N:N,MATCH(テンプレート!$C305,使用レシピ!$E:$E,0)),""),"")</f>
        <v/>
      </c>
      <c r="N305" s="24" t="str">
        <f>IFERROR(IF(INDEX(使用レシピ!O:O,MATCH(テンプレート!$C305,使用レシピ!$E:$E,0))&lt;&gt;0,INDEX(使用レシピ!O:O,MATCH(テンプレート!$C305,使用レシピ!$E:$E,0)),""),"")</f>
        <v/>
      </c>
      <c r="O305" s="36" t="str">
        <f>IFERROR(IF(INDEX(使用レシピ!P:P,MATCH(テンプレート!$C305,使用レシピ!$E:$E,0))&lt;&gt;0,INDEX(使用レシピ!P:P,MATCH(テンプレート!$C305,使用レシピ!$E:$E,0)),""),"")</f>
        <v/>
      </c>
      <c r="P305" t="str">
        <f t="shared" si="26"/>
        <v/>
      </c>
      <c r="Q305" t="str">
        <f t="shared" si="27"/>
        <v/>
      </c>
      <c r="R305" t="str">
        <f t="shared" si="28"/>
        <v/>
      </c>
      <c r="S305" t="str">
        <f t="shared" si="29"/>
        <v/>
      </c>
      <c r="T305" s="24" t="str">
        <f t="shared" si="30"/>
        <v/>
      </c>
    </row>
    <row r="306" spans="2:20" x14ac:dyDescent="0.4">
      <c r="B306" s="49" t="str" cm="1">
        <f t="array" ref="B306">IFERROR((INDEX($P$4:$T$1000,MATCH(VALUE(LEFT($A306,LEN($A306)-1)),$A$4:$A$1000,0),VALUE(RIGHT($A306,1)))/ INDEX($O$4:$O$1000,MATCH(VALUE(LEFT($A306,LEN($A306)-1)),$A$4:$A$1000))) * INDEX($B$4:$B$1000,MATCH(VALUE(LEFT($A306,LEN($A306)-1)),$A$4:$A$1000)),"")</f>
        <v/>
      </c>
      <c r="C306" s="2" t="str" cm="1">
        <f t="array" ref="C306">IFERROR(IF(INDEX($D$4:$H$1000,MATCH(VALUE(LEFT($A306,LEN($A306)-1)),$A$4:$A$1000,0),VALUE(RIGHT($A306,1)))= 0,"",INDEX($D$4:$H$1000,MATCH(VALUE(LEFT($A306,LEN($A306)-1)),$A$4:$A$1000,0),VALUE(RIGHT($A306,1)))),"")</f>
        <v/>
      </c>
      <c r="D306" s="23" t="str">
        <f>IFERROR(IF(INDEX(使用レシピ!F:F,MATCH(テンプレート!$C306,使用レシピ!$E:$E,0))&lt;&gt;0,INDEX(使用レシピ!F:F,MATCH(テンプレート!$C306,使用レシピ!$E:$E,0)),""),"")</f>
        <v/>
      </c>
      <c r="E306" t="str">
        <f>IFERROR(IF(INDEX(使用レシピ!G:G,MATCH(テンプレート!$C306,使用レシピ!$E:$E,0))&lt;&gt;0,INDEX(使用レシピ!G:G,MATCH(テンプレート!$C306,使用レシピ!$E:$E,0)),""),"")</f>
        <v/>
      </c>
      <c r="F306" t="str">
        <f>IFERROR(IF(INDEX(使用レシピ!H:H,MATCH(テンプレート!$C306,使用レシピ!$E:$E,0))&lt;&gt;0,INDEX(使用レシピ!H:H,MATCH(テンプレート!$C306,使用レシピ!$E:$E,0)),""),"")</f>
        <v/>
      </c>
      <c r="G306" t="str">
        <f>IFERROR(IF(INDEX(使用レシピ!I:I,MATCH(テンプレート!$C306,使用レシピ!$E:$E,0))&lt;&gt;0,INDEX(使用レシピ!I:I,MATCH(テンプレート!$C306,使用レシピ!$E:$E,0)),""),"")</f>
        <v/>
      </c>
      <c r="H306" s="24" t="str">
        <f>IFERROR(IF(INDEX(使用レシピ!J:J,MATCH(テンプレート!$C306,使用レシピ!$E:$E,0))&lt;&gt;0,INDEX(使用レシピ!J:J,MATCH(テンプレート!$C306,使用レシピ!$E:$E,0)),""),"")</f>
        <v/>
      </c>
      <c r="I306" s="36" t="str">
        <f>IFERROR(IF(INDEX(使用レシピ!P:P,MATCH(テンプレート!$C306,使用レシピ!$E:$E,0))&lt;&gt;0,INDEX(使用レシピ!P:P,MATCH(テンプレート!$C306,使用レシピ!$E:$E,0)),""),"")</f>
        <v/>
      </c>
      <c r="J306" t="str">
        <f>IFERROR(IF(INDEX(使用レシピ!K:K,MATCH(テンプレート!$C306,使用レシピ!$E:$E,0))&lt;&gt;0,INDEX(使用レシピ!K:K,MATCH(テンプレート!$C306,使用レシピ!$E:$E,0)),""),"")</f>
        <v/>
      </c>
      <c r="K306" t="str">
        <f>IFERROR(IF(INDEX(使用レシピ!L:L,MATCH(テンプレート!$C306,使用レシピ!$E:$E,0))&lt;&gt;0,INDEX(使用レシピ!L:L,MATCH(テンプレート!$C306,使用レシピ!$E:$E,0)),""),"")</f>
        <v/>
      </c>
      <c r="L306" t="str">
        <f>IFERROR(IF(INDEX(使用レシピ!M:M,MATCH(テンプレート!$C306,使用レシピ!$E:$E,0))&lt;&gt;0,INDEX(使用レシピ!M:M,MATCH(テンプレート!$C306,使用レシピ!$E:$E,0)),""),"")</f>
        <v/>
      </c>
      <c r="M306" t="str">
        <f>IFERROR(IF(INDEX(使用レシピ!N:N,MATCH(テンプレート!$C306,使用レシピ!$E:$E,0))&lt;&gt;0,INDEX(使用レシピ!N:N,MATCH(テンプレート!$C306,使用レシピ!$E:$E,0)),""),"")</f>
        <v/>
      </c>
      <c r="N306" s="24" t="str">
        <f>IFERROR(IF(INDEX(使用レシピ!O:O,MATCH(テンプレート!$C306,使用レシピ!$E:$E,0))&lt;&gt;0,INDEX(使用レシピ!O:O,MATCH(テンプレート!$C306,使用レシピ!$E:$E,0)),""),"")</f>
        <v/>
      </c>
      <c r="O306" s="36" t="str">
        <f>IFERROR(IF(INDEX(使用レシピ!P:P,MATCH(テンプレート!$C306,使用レシピ!$E:$E,0))&lt;&gt;0,INDEX(使用レシピ!P:P,MATCH(テンプレート!$C306,使用レシピ!$E:$E,0)),""),"")</f>
        <v/>
      </c>
      <c r="P306" t="str">
        <f t="shared" si="26"/>
        <v/>
      </c>
      <c r="Q306" t="str">
        <f t="shared" si="27"/>
        <v/>
      </c>
      <c r="R306" t="str">
        <f t="shared" si="28"/>
        <v/>
      </c>
      <c r="S306" t="str">
        <f t="shared" si="29"/>
        <v/>
      </c>
      <c r="T306" s="24" t="str">
        <f t="shared" si="30"/>
        <v/>
      </c>
    </row>
    <row r="307" spans="2:20" x14ac:dyDescent="0.4">
      <c r="B307" s="49" t="str" cm="1">
        <f t="array" ref="B307">IFERROR((INDEX($P$4:$T$1000,MATCH(VALUE(LEFT($A307,LEN($A307)-1)),$A$4:$A$1000,0),VALUE(RIGHT($A307,1)))/ INDEX($O$4:$O$1000,MATCH(VALUE(LEFT($A307,LEN($A307)-1)),$A$4:$A$1000))) * INDEX($B$4:$B$1000,MATCH(VALUE(LEFT($A307,LEN($A307)-1)),$A$4:$A$1000)),"")</f>
        <v/>
      </c>
      <c r="C307" s="2" t="str" cm="1">
        <f t="array" ref="C307">IFERROR(IF(INDEX($D$4:$H$1000,MATCH(VALUE(LEFT($A307,LEN($A307)-1)),$A$4:$A$1000,0),VALUE(RIGHT($A307,1)))= 0,"",INDEX($D$4:$H$1000,MATCH(VALUE(LEFT($A307,LEN($A307)-1)),$A$4:$A$1000,0),VALUE(RIGHT($A307,1)))),"")</f>
        <v/>
      </c>
      <c r="D307" s="23" t="str">
        <f>IFERROR(IF(INDEX(使用レシピ!F:F,MATCH(テンプレート!$C307,使用レシピ!$E:$E,0))&lt;&gt;0,INDEX(使用レシピ!F:F,MATCH(テンプレート!$C307,使用レシピ!$E:$E,0)),""),"")</f>
        <v/>
      </c>
      <c r="E307" t="str">
        <f>IFERROR(IF(INDEX(使用レシピ!G:G,MATCH(テンプレート!$C307,使用レシピ!$E:$E,0))&lt;&gt;0,INDEX(使用レシピ!G:G,MATCH(テンプレート!$C307,使用レシピ!$E:$E,0)),""),"")</f>
        <v/>
      </c>
      <c r="F307" t="str">
        <f>IFERROR(IF(INDEX(使用レシピ!H:H,MATCH(テンプレート!$C307,使用レシピ!$E:$E,0))&lt;&gt;0,INDEX(使用レシピ!H:H,MATCH(テンプレート!$C307,使用レシピ!$E:$E,0)),""),"")</f>
        <v/>
      </c>
      <c r="G307" t="str">
        <f>IFERROR(IF(INDEX(使用レシピ!I:I,MATCH(テンプレート!$C307,使用レシピ!$E:$E,0))&lt;&gt;0,INDEX(使用レシピ!I:I,MATCH(テンプレート!$C307,使用レシピ!$E:$E,0)),""),"")</f>
        <v/>
      </c>
      <c r="H307" s="24" t="str">
        <f>IFERROR(IF(INDEX(使用レシピ!J:J,MATCH(テンプレート!$C307,使用レシピ!$E:$E,0))&lt;&gt;0,INDEX(使用レシピ!J:J,MATCH(テンプレート!$C307,使用レシピ!$E:$E,0)),""),"")</f>
        <v/>
      </c>
      <c r="I307" s="36" t="str">
        <f>IFERROR(IF(INDEX(使用レシピ!P:P,MATCH(テンプレート!$C307,使用レシピ!$E:$E,0))&lt;&gt;0,INDEX(使用レシピ!P:P,MATCH(テンプレート!$C307,使用レシピ!$E:$E,0)),""),"")</f>
        <v/>
      </c>
      <c r="J307" t="str">
        <f>IFERROR(IF(INDEX(使用レシピ!K:K,MATCH(テンプレート!$C307,使用レシピ!$E:$E,0))&lt;&gt;0,INDEX(使用レシピ!K:K,MATCH(テンプレート!$C307,使用レシピ!$E:$E,0)),""),"")</f>
        <v/>
      </c>
      <c r="K307" t="str">
        <f>IFERROR(IF(INDEX(使用レシピ!L:L,MATCH(テンプレート!$C307,使用レシピ!$E:$E,0))&lt;&gt;0,INDEX(使用レシピ!L:L,MATCH(テンプレート!$C307,使用レシピ!$E:$E,0)),""),"")</f>
        <v/>
      </c>
      <c r="L307" t="str">
        <f>IFERROR(IF(INDEX(使用レシピ!M:M,MATCH(テンプレート!$C307,使用レシピ!$E:$E,0))&lt;&gt;0,INDEX(使用レシピ!M:M,MATCH(テンプレート!$C307,使用レシピ!$E:$E,0)),""),"")</f>
        <v/>
      </c>
      <c r="M307" t="str">
        <f>IFERROR(IF(INDEX(使用レシピ!N:N,MATCH(テンプレート!$C307,使用レシピ!$E:$E,0))&lt;&gt;0,INDEX(使用レシピ!N:N,MATCH(テンプレート!$C307,使用レシピ!$E:$E,0)),""),"")</f>
        <v/>
      </c>
      <c r="N307" s="24" t="str">
        <f>IFERROR(IF(INDEX(使用レシピ!O:O,MATCH(テンプレート!$C307,使用レシピ!$E:$E,0))&lt;&gt;0,INDEX(使用レシピ!O:O,MATCH(テンプレート!$C307,使用レシピ!$E:$E,0)),""),"")</f>
        <v/>
      </c>
      <c r="O307" s="36" t="str">
        <f>IFERROR(IF(INDEX(使用レシピ!P:P,MATCH(テンプレート!$C307,使用レシピ!$E:$E,0))&lt;&gt;0,INDEX(使用レシピ!P:P,MATCH(テンプレート!$C307,使用レシピ!$E:$E,0)),""),"")</f>
        <v/>
      </c>
      <c r="P307" t="str">
        <f t="shared" si="26"/>
        <v/>
      </c>
      <c r="Q307" t="str">
        <f t="shared" si="27"/>
        <v/>
      </c>
      <c r="R307" t="str">
        <f t="shared" si="28"/>
        <v/>
      </c>
      <c r="S307" t="str">
        <f t="shared" si="29"/>
        <v/>
      </c>
      <c r="T307" s="24" t="str">
        <f t="shared" si="30"/>
        <v/>
      </c>
    </row>
    <row r="308" spans="2:20" x14ac:dyDescent="0.4">
      <c r="B308" s="49" t="str" cm="1">
        <f t="array" ref="B308">IFERROR((INDEX($P$4:$T$1000,MATCH(VALUE(LEFT($A308,LEN($A308)-1)),$A$4:$A$1000,0),VALUE(RIGHT($A308,1)))/ INDEX($O$4:$O$1000,MATCH(VALUE(LEFT($A308,LEN($A308)-1)),$A$4:$A$1000))) * INDEX($B$4:$B$1000,MATCH(VALUE(LEFT($A308,LEN($A308)-1)),$A$4:$A$1000)),"")</f>
        <v/>
      </c>
      <c r="C308" s="2" t="str" cm="1">
        <f t="array" ref="C308">IFERROR(IF(INDEX($D$4:$H$1000,MATCH(VALUE(LEFT($A308,LEN($A308)-1)),$A$4:$A$1000,0),VALUE(RIGHT($A308,1)))= 0,"",INDEX($D$4:$H$1000,MATCH(VALUE(LEFT($A308,LEN($A308)-1)),$A$4:$A$1000,0),VALUE(RIGHT($A308,1)))),"")</f>
        <v/>
      </c>
      <c r="D308" s="23" t="str">
        <f>IFERROR(IF(INDEX(使用レシピ!F:F,MATCH(テンプレート!$C308,使用レシピ!$E:$E,0))&lt;&gt;0,INDEX(使用レシピ!F:F,MATCH(テンプレート!$C308,使用レシピ!$E:$E,0)),""),"")</f>
        <v/>
      </c>
      <c r="E308" t="str">
        <f>IFERROR(IF(INDEX(使用レシピ!G:G,MATCH(テンプレート!$C308,使用レシピ!$E:$E,0))&lt;&gt;0,INDEX(使用レシピ!G:G,MATCH(テンプレート!$C308,使用レシピ!$E:$E,0)),""),"")</f>
        <v/>
      </c>
      <c r="F308" t="str">
        <f>IFERROR(IF(INDEX(使用レシピ!H:H,MATCH(テンプレート!$C308,使用レシピ!$E:$E,0))&lt;&gt;0,INDEX(使用レシピ!H:H,MATCH(テンプレート!$C308,使用レシピ!$E:$E,0)),""),"")</f>
        <v/>
      </c>
      <c r="G308" t="str">
        <f>IFERROR(IF(INDEX(使用レシピ!I:I,MATCH(テンプレート!$C308,使用レシピ!$E:$E,0))&lt;&gt;0,INDEX(使用レシピ!I:I,MATCH(テンプレート!$C308,使用レシピ!$E:$E,0)),""),"")</f>
        <v/>
      </c>
      <c r="H308" s="24" t="str">
        <f>IFERROR(IF(INDEX(使用レシピ!J:J,MATCH(テンプレート!$C308,使用レシピ!$E:$E,0))&lt;&gt;0,INDEX(使用レシピ!J:J,MATCH(テンプレート!$C308,使用レシピ!$E:$E,0)),""),"")</f>
        <v/>
      </c>
      <c r="I308" s="36" t="str">
        <f>IFERROR(IF(INDEX(使用レシピ!P:P,MATCH(テンプレート!$C308,使用レシピ!$E:$E,0))&lt;&gt;0,INDEX(使用レシピ!P:P,MATCH(テンプレート!$C308,使用レシピ!$E:$E,0)),""),"")</f>
        <v/>
      </c>
      <c r="J308" t="str">
        <f>IFERROR(IF(INDEX(使用レシピ!K:K,MATCH(テンプレート!$C308,使用レシピ!$E:$E,0))&lt;&gt;0,INDEX(使用レシピ!K:K,MATCH(テンプレート!$C308,使用レシピ!$E:$E,0)),""),"")</f>
        <v/>
      </c>
      <c r="K308" t="str">
        <f>IFERROR(IF(INDEX(使用レシピ!L:L,MATCH(テンプレート!$C308,使用レシピ!$E:$E,0))&lt;&gt;0,INDEX(使用レシピ!L:L,MATCH(テンプレート!$C308,使用レシピ!$E:$E,0)),""),"")</f>
        <v/>
      </c>
      <c r="L308" t="str">
        <f>IFERROR(IF(INDEX(使用レシピ!M:M,MATCH(テンプレート!$C308,使用レシピ!$E:$E,0))&lt;&gt;0,INDEX(使用レシピ!M:M,MATCH(テンプレート!$C308,使用レシピ!$E:$E,0)),""),"")</f>
        <v/>
      </c>
      <c r="M308" t="str">
        <f>IFERROR(IF(INDEX(使用レシピ!N:N,MATCH(テンプレート!$C308,使用レシピ!$E:$E,0))&lt;&gt;0,INDEX(使用レシピ!N:N,MATCH(テンプレート!$C308,使用レシピ!$E:$E,0)),""),"")</f>
        <v/>
      </c>
      <c r="N308" s="24" t="str">
        <f>IFERROR(IF(INDEX(使用レシピ!O:O,MATCH(テンプレート!$C308,使用レシピ!$E:$E,0))&lt;&gt;0,INDEX(使用レシピ!O:O,MATCH(テンプレート!$C308,使用レシピ!$E:$E,0)),""),"")</f>
        <v/>
      </c>
      <c r="O308" s="36" t="str">
        <f>IFERROR(IF(INDEX(使用レシピ!P:P,MATCH(テンプレート!$C308,使用レシピ!$E:$E,0))&lt;&gt;0,INDEX(使用レシピ!P:P,MATCH(テンプレート!$C308,使用レシピ!$E:$E,0)),""),"")</f>
        <v/>
      </c>
      <c r="P308" t="str">
        <f t="shared" si="26"/>
        <v/>
      </c>
      <c r="Q308" t="str">
        <f t="shared" si="27"/>
        <v/>
      </c>
      <c r="R308" t="str">
        <f t="shared" si="28"/>
        <v/>
      </c>
      <c r="S308" t="str">
        <f t="shared" si="29"/>
        <v/>
      </c>
      <c r="T308" s="24" t="str">
        <f t="shared" si="30"/>
        <v/>
      </c>
    </row>
    <row r="309" spans="2:20" x14ac:dyDescent="0.4">
      <c r="B309" s="49" t="str" cm="1">
        <f t="array" ref="B309">IFERROR((INDEX($P$4:$T$1000,MATCH(VALUE(LEFT($A309,LEN($A309)-1)),$A$4:$A$1000,0),VALUE(RIGHT($A309,1)))/ INDEX($O$4:$O$1000,MATCH(VALUE(LEFT($A309,LEN($A309)-1)),$A$4:$A$1000))) * INDEX($B$4:$B$1000,MATCH(VALUE(LEFT($A309,LEN($A309)-1)),$A$4:$A$1000)),"")</f>
        <v/>
      </c>
      <c r="C309" s="2" t="str" cm="1">
        <f t="array" ref="C309">IFERROR(IF(INDEX($D$4:$H$1000,MATCH(VALUE(LEFT($A309,LEN($A309)-1)),$A$4:$A$1000,0),VALUE(RIGHT($A309,1)))= 0,"",INDEX($D$4:$H$1000,MATCH(VALUE(LEFT($A309,LEN($A309)-1)),$A$4:$A$1000,0),VALUE(RIGHT($A309,1)))),"")</f>
        <v/>
      </c>
      <c r="D309" s="23" t="str">
        <f>IFERROR(IF(INDEX(使用レシピ!F:F,MATCH(テンプレート!$C309,使用レシピ!$E:$E,0))&lt;&gt;0,INDEX(使用レシピ!F:F,MATCH(テンプレート!$C309,使用レシピ!$E:$E,0)),""),"")</f>
        <v/>
      </c>
      <c r="E309" t="str">
        <f>IFERROR(IF(INDEX(使用レシピ!G:G,MATCH(テンプレート!$C309,使用レシピ!$E:$E,0))&lt;&gt;0,INDEX(使用レシピ!G:G,MATCH(テンプレート!$C309,使用レシピ!$E:$E,0)),""),"")</f>
        <v/>
      </c>
      <c r="F309" t="str">
        <f>IFERROR(IF(INDEX(使用レシピ!H:H,MATCH(テンプレート!$C309,使用レシピ!$E:$E,0))&lt;&gt;0,INDEX(使用レシピ!H:H,MATCH(テンプレート!$C309,使用レシピ!$E:$E,0)),""),"")</f>
        <v/>
      </c>
      <c r="G309" t="str">
        <f>IFERROR(IF(INDEX(使用レシピ!I:I,MATCH(テンプレート!$C309,使用レシピ!$E:$E,0))&lt;&gt;0,INDEX(使用レシピ!I:I,MATCH(テンプレート!$C309,使用レシピ!$E:$E,0)),""),"")</f>
        <v/>
      </c>
      <c r="H309" s="24" t="str">
        <f>IFERROR(IF(INDEX(使用レシピ!J:J,MATCH(テンプレート!$C309,使用レシピ!$E:$E,0))&lt;&gt;0,INDEX(使用レシピ!J:J,MATCH(テンプレート!$C309,使用レシピ!$E:$E,0)),""),"")</f>
        <v/>
      </c>
      <c r="I309" s="36" t="str">
        <f>IFERROR(IF(INDEX(使用レシピ!P:P,MATCH(テンプレート!$C309,使用レシピ!$E:$E,0))&lt;&gt;0,INDEX(使用レシピ!P:P,MATCH(テンプレート!$C309,使用レシピ!$E:$E,0)),""),"")</f>
        <v/>
      </c>
      <c r="J309" t="str">
        <f>IFERROR(IF(INDEX(使用レシピ!K:K,MATCH(テンプレート!$C309,使用レシピ!$E:$E,0))&lt;&gt;0,INDEX(使用レシピ!K:K,MATCH(テンプレート!$C309,使用レシピ!$E:$E,0)),""),"")</f>
        <v/>
      </c>
      <c r="K309" t="str">
        <f>IFERROR(IF(INDEX(使用レシピ!L:L,MATCH(テンプレート!$C309,使用レシピ!$E:$E,0))&lt;&gt;0,INDEX(使用レシピ!L:L,MATCH(テンプレート!$C309,使用レシピ!$E:$E,0)),""),"")</f>
        <v/>
      </c>
      <c r="L309" t="str">
        <f>IFERROR(IF(INDEX(使用レシピ!M:M,MATCH(テンプレート!$C309,使用レシピ!$E:$E,0))&lt;&gt;0,INDEX(使用レシピ!M:M,MATCH(テンプレート!$C309,使用レシピ!$E:$E,0)),""),"")</f>
        <v/>
      </c>
      <c r="M309" t="str">
        <f>IFERROR(IF(INDEX(使用レシピ!N:N,MATCH(テンプレート!$C309,使用レシピ!$E:$E,0))&lt;&gt;0,INDEX(使用レシピ!N:N,MATCH(テンプレート!$C309,使用レシピ!$E:$E,0)),""),"")</f>
        <v/>
      </c>
      <c r="N309" s="24" t="str">
        <f>IFERROR(IF(INDEX(使用レシピ!O:O,MATCH(テンプレート!$C309,使用レシピ!$E:$E,0))&lt;&gt;0,INDEX(使用レシピ!O:O,MATCH(テンプレート!$C309,使用レシピ!$E:$E,0)),""),"")</f>
        <v/>
      </c>
      <c r="O309" s="36" t="str">
        <f>IFERROR(IF(INDEX(使用レシピ!P:P,MATCH(テンプレート!$C309,使用レシピ!$E:$E,0))&lt;&gt;0,INDEX(使用レシピ!P:P,MATCH(テンプレート!$C309,使用レシピ!$E:$E,0)),""),"")</f>
        <v/>
      </c>
      <c r="P309" t="str">
        <f t="shared" si="26"/>
        <v/>
      </c>
      <c r="Q309" t="str">
        <f t="shared" si="27"/>
        <v/>
      </c>
      <c r="R309" t="str">
        <f t="shared" si="28"/>
        <v/>
      </c>
      <c r="S309" t="str">
        <f t="shared" si="29"/>
        <v/>
      </c>
      <c r="T309" s="24" t="str">
        <f t="shared" si="30"/>
        <v/>
      </c>
    </row>
    <row r="310" spans="2:20" x14ac:dyDescent="0.4">
      <c r="B310" s="49" t="str" cm="1">
        <f t="array" ref="B310">IFERROR((INDEX($P$4:$T$1000,MATCH(VALUE(LEFT($A310,LEN($A310)-1)),$A$4:$A$1000,0),VALUE(RIGHT($A310,1)))/ INDEX($O$4:$O$1000,MATCH(VALUE(LEFT($A310,LEN($A310)-1)),$A$4:$A$1000))) * INDEX($B$4:$B$1000,MATCH(VALUE(LEFT($A310,LEN($A310)-1)),$A$4:$A$1000)),"")</f>
        <v/>
      </c>
      <c r="C310" s="2" t="str" cm="1">
        <f t="array" ref="C310">IFERROR(IF(INDEX($D$4:$H$1000,MATCH(VALUE(LEFT($A310,LEN($A310)-1)),$A$4:$A$1000,0),VALUE(RIGHT($A310,1)))= 0,"",INDEX($D$4:$H$1000,MATCH(VALUE(LEFT($A310,LEN($A310)-1)),$A$4:$A$1000,0),VALUE(RIGHT($A310,1)))),"")</f>
        <v/>
      </c>
      <c r="D310" s="23" t="str">
        <f>IFERROR(IF(INDEX(使用レシピ!F:F,MATCH(テンプレート!$C310,使用レシピ!$E:$E,0))&lt;&gt;0,INDEX(使用レシピ!F:F,MATCH(テンプレート!$C310,使用レシピ!$E:$E,0)),""),"")</f>
        <v/>
      </c>
      <c r="E310" t="str">
        <f>IFERROR(IF(INDEX(使用レシピ!G:G,MATCH(テンプレート!$C310,使用レシピ!$E:$E,0))&lt;&gt;0,INDEX(使用レシピ!G:G,MATCH(テンプレート!$C310,使用レシピ!$E:$E,0)),""),"")</f>
        <v/>
      </c>
      <c r="F310" t="str">
        <f>IFERROR(IF(INDEX(使用レシピ!H:H,MATCH(テンプレート!$C310,使用レシピ!$E:$E,0))&lt;&gt;0,INDEX(使用レシピ!H:H,MATCH(テンプレート!$C310,使用レシピ!$E:$E,0)),""),"")</f>
        <v/>
      </c>
      <c r="G310" t="str">
        <f>IFERROR(IF(INDEX(使用レシピ!I:I,MATCH(テンプレート!$C310,使用レシピ!$E:$E,0))&lt;&gt;0,INDEX(使用レシピ!I:I,MATCH(テンプレート!$C310,使用レシピ!$E:$E,0)),""),"")</f>
        <v/>
      </c>
      <c r="H310" s="24" t="str">
        <f>IFERROR(IF(INDEX(使用レシピ!J:J,MATCH(テンプレート!$C310,使用レシピ!$E:$E,0))&lt;&gt;0,INDEX(使用レシピ!J:J,MATCH(テンプレート!$C310,使用レシピ!$E:$E,0)),""),"")</f>
        <v/>
      </c>
      <c r="I310" s="36" t="str">
        <f>IFERROR(IF(INDEX(使用レシピ!P:P,MATCH(テンプレート!$C310,使用レシピ!$E:$E,0))&lt;&gt;0,INDEX(使用レシピ!P:P,MATCH(テンプレート!$C310,使用レシピ!$E:$E,0)),""),"")</f>
        <v/>
      </c>
      <c r="J310" t="str">
        <f>IFERROR(IF(INDEX(使用レシピ!K:K,MATCH(テンプレート!$C310,使用レシピ!$E:$E,0))&lt;&gt;0,INDEX(使用レシピ!K:K,MATCH(テンプレート!$C310,使用レシピ!$E:$E,0)),""),"")</f>
        <v/>
      </c>
      <c r="K310" t="str">
        <f>IFERROR(IF(INDEX(使用レシピ!L:L,MATCH(テンプレート!$C310,使用レシピ!$E:$E,0))&lt;&gt;0,INDEX(使用レシピ!L:L,MATCH(テンプレート!$C310,使用レシピ!$E:$E,0)),""),"")</f>
        <v/>
      </c>
      <c r="L310" t="str">
        <f>IFERROR(IF(INDEX(使用レシピ!M:M,MATCH(テンプレート!$C310,使用レシピ!$E:$E,0))&lt;&gt;0,INDEX(使用レシピ!M:M,MATCH(テンプレート!$C310,使用レシピ!$E:$E,0)),""),"")</f>
        <v/>
      </c>
      <c r="M310" t="str">
        <f>IFERROR(IF(INDEX(使用レシピ!N:N,MATCH(テンプレート!$C310,使用レシピ!$E:$E,0))&lt;&gt;0,INDEX(使用レシピ!N:N,MATCH(テンプレート!$C310,使用レシピ!$E:$E,0)),""),"")</f>
        <v/>
      </c>
      <c r="N310" s="24" t="str">
        <f>IFERROR(IF(INDEX(使用レシピ!O:O,MATCH(テンプレート!$C310,使用レシピ!$E:$E,0))&lt;&gt;0,INDEX(使用レシピ!O:O,MATCH(テンプレート!$C310,使用レシピ!$E:$E,0)),""),"")</f>
        <v/>
      </c>
      <c r="O310" s="36" t="str">
        <f>IFERROR(IF(INDEX(使用レシピ!P:P,MATCH(テンプレート!$C310,使用レシピ!$E:$E,0))&lt;&gt;0,INDEX(使用レシピ!P:P,MATCH(テンプレート!$C310,使用レシピ!$E:$E,0)),""),"")</f>
        <v/>
      </c>
      <c r="P310" t="str">
        <f t="shared" si="26"/>
        <v/>
      </c>
      <c r="Q310" t="str">
        <f t="shared" si="27"/>
        <v/>
      </c>
      <c r="R310" t="str">
        <f t="shared" si="28"/>
        <v/>
      </c>
      <c r="S310" t="str">
        <f t="shared" si="29"/>
        <v/>
      </c>
      <c r="T310" s="24" t="str">
        <f t="shared" si="30"/>
        <v/>
      </c>
    </row>
    <row r="311" spans="2:20" x14ac:dyDescent="0.4">
      <c r="B311" s="49" t="str" cm="1">
        <f t="array" ref="B311">IFERROR((INDEX($P$4:$T$1000,MATCH(VALUE(LEFT($A311,LEN($A311)-1)),$A$4:$A$1000,0),VALUE(RIGHT($A311,1)))/ INDEX($O$4:$O$1000,MATCH(VALUE(LEFT($A311,LEN($A311)-1)),$A$4:$A$1000))) * INDEX($B$4:$B$1000,MATCH(VALUE(LEFT($A311,LEN($A311)-1)),$A$4:$A$1000)),"")</f>
        <v/>
      </c>
      <c r="C311" s="2" t="str" cm="1">
        <f t="array" ref="C311">IFERROR(IF(INDEX($D$4:$H$1000,MATCH(VALUE(LEFT($A311,LEN($A311)-1)),$A$4:$A$1000,0),VALUE(RIGHT($A311,1)))= 0,"",INDEX($D$4:$H$1000,MATCH(VALUE(LEFT($A311,LEN($A311)-1)),$A$4:$A$1000,0),VALUE(RIGHT($A311,1)))),"")</f>
        <v/>
      </c>
      <c r="D311" s="23" t="str">
        <f>IFERROR(IF(INDEX(使用レシピ!F:F,MATCH(テンプレート!$C311,使用レシピ!$E:$E,0))&lt;&gt;0,INDEX(使用レシピ!F:F,MATCH(テンプレート!$C311,使用レシピ!$E:$E,0)),""),"")</f>
        <v/>
      </c>
      <c r="E311" t="str">
        <f>IFERROR(IF(INDEX(使用レシピ!G:G,MATCH(テンプレート!$C311,使用レシピ!$E:$E,0))&lt;&gt;0,INDEX(使用レシピ!G:G,MATCH(テンプレート!$C311,使用レシピ!$E:$E,0)),""),"")</f>
        <v/>
      </c>
      <c r="F311" t="str">
        <f>IFERROR(IF(INDEX(使用レシピ!H:H,MATCH(テンプレート!$C311,使用レシピ!$E:$E,0))&lt;&gt;0,INDEX(使用レシピ!H:H,MATCH(テンプレート!$C311,使用レシピ!$E:$E,0)),""),"")</f>
        <v/>
      </c>
      <c r="G311" t="str">
        <f>IFERROR(IF(INDEX(使用レシピ!I:I,MATCH(テンプレート!$C311,使用レシピ!$E:$E,0))&lt;&gt;0,INDEX(使用レシピ!I:I,MATCH(テンプレート!$C311,使用レシピ!$E:$E,0)),""),"")</f>
        <v/>
      </c>
      <c r="H311" s="24" t="str">
        <f>IFERROR(IF(INDEX(使用レシピ!J:J,MATCH(テンプレート!$C311,使用レシピ!$E:$E,0))&lt;&gt;0,INDEX(使用レシピ!J:J,MATCH(テンプレート!$C311,使用レシピ!$E:$E,0)),""),"")</f>
        <v/>
      </c>
      <c r="I311" s="36" t="str">
        <f>IFERROR(IF(INDEX(使用レシピ!P:P,MATCH(テンプレート!$C311,使用レシピ!$E:$E,0))&lt;&gt;0,INDEX(使用レシピ!P:P,MATCH(テンプレート!$C311,使用レシピ!$E:$E,0)),""),"")</f>
        <v/>
      </c>
      <c r="J311" t="str">
        <f>IFERROR(IF(INDEX(使用レシピ!K:K,MATCH(テンプレート!$C311,使用レシピ!$E:$E,0))&lt;&gt;0,INDEX(使用レシピ!K:K,MATCH(テンプレート!$C311,使用レシピ!$E:$E,0)),""),"")</f>
        <v/>
      </c>
      <c r="K311" t="str">
        <f>IFERROR(IF(INDEX(使用レシピ!L:L,MATCH(テンプレート!$C311,使用レシピ!$E:$E,0))&lt;&gt;0,INDEX(使用レシピ!L:L,MATCH(テンプレート!$C311,使用レシピ!$E:$E,0)),""),"")</f>
        <v/>
      </c>
      <c r="L311" t="str">
        <f>IFERROR(IF(INDEX(使用レシピ!M:M,MATCH(テンプレート!$C311,使用レシピ!$E:$E,0))&lt;&gt;0,INDEX(使用レシピ!M:M,MATCH(テンプレート!$C311,使用レシピ!$E:$E,0)),""),"")</f>
        <v/>
      </c>
      <c r="M311" t="str">
        <f>IFERROR(IF(INDEX(使用レシピ!N:N,MATCH(テンプレート!$C311,使用レシピ!$E:$E,0))&lt;&gt;0,INDEX(使用レシピ!N:N,MATCH(テンプレート!$C311,使用レシピ!$E:$E,0)),""),"")</f>
        <v/>
      </c>
      <c r="N311" s="24" t="str">
        <f>IFERROR(IF(INDEX(使用レシピ!O:O,MATCH(テンプレート!$C311,使用レシピ!$E:$E,0))&lt;&gt;0,INDEX(使用レシピ!O:O,MATCH(テンプレート!$C311,使用レシピ!$E:$E,0)),""),"")</f>
        <v/>
      </c>
      <c r="O311" s="36" t="str">
        <f>IFERROR(IF(INDEX(使用レシピ!P:P,MATCH(テンプレート!$C311,使用レシピ!$E:$E,0))&lt;&gt;0,INDEX(使用レシピ!P:P,MATCH(テンプレート!$C311,使用レシピ!$E:$E,0)),""),"")</f>
        <v/>
      </c>
      <c r="P311" t="str">
        <f t="shared" si="26"/>
        <v/>
      </c>
      <c r="Q311" t="str">
        <f t="shared" si="27"/>
        <v/>
      </c>
      <c r="R311" t="str">
        <f t="shared" si="28"/>
        <v/>
      </c>
      <c r="S311" t="str">
        <f t="shared" si="29"/>
        <v/>
      </c>
      <c r="T311" s="24" t="str">
        <f t="shared" si="30"/>
        <v/>
      </c>
    </row>
    <row r="312" spans="2:20" x14ac:dyDescent="0.4">
      <c r="B312" s="49" t="str" cm="1">
        <f t="array" ref="B312">IFERROR((INDEX($P$4:$T$1000,MATCH(VALUE(LEFT($A312,LEN($A312)-1)),$A$4:$A$1000,0),VALUE(RIGHT($A312,1)))/ INDEX($O$4:$O$1000,MATCH(VALUE(LEFT($A312,LEN($A312)-1)),$A$4:$A$1000))) * INDEX($B$4:$B$1000,MATCH(VALUE(LEFT($A312,LEN($A312)-1)),$A$4:$A$1000)),"")</f>
        <v/>
      </c>
      <c r="C312" s="2" t="str" cm="1">
        <f t="array" ref="C312">IFERROR(IF(INDEX($D$4:$H$1000,MATCH(VALUE(LEFT($A312,LEN($A312)-1)),$A$4:$A$1000,0),VALUE(RIGHT($A312,1)))= 0,"",INDEX($D$4:$H$1000,MATCH(VALUE(LEFT($A312,LEN($A312)-1)),$A$4:$A$1000,0),VALUE(RIGHT($A312,1)))),"")</f>
        <v/>
      </c>
      <c r="D312" s="23" t="str">
        <f>IFERROR(IF(INDEX(使用レシピ!F:F,MATCH(テンプレート!$C312,使用レシピ!$E:$E,0))&lt;&gt;0,INDEX(使用レシピ!F:F,MATCH(テンプレート!$C312,使用レシピ!$E:$E,0)),""),"")</f>
        <v/>
      </c>
      <c r="E312" t="str">
        <f>IFERROR(IF(INDEX(使用レシピ!G:G,MATCH(テンプレート!$C312,使用レシピ!$E:$E,0))&lt;&gt;0,INDEX(使用レシピ!G:G,MATCH(テンプレート!$C312,使用レシピ!$E:$E,0)),""),"")</f>
        <v/>
      </c>
      <c r="F312" t="str">
        <f>IFERROR(IF(INDEX(使用レシピ!H:H,MATCH(テンプレート!$C312,使用レシピ!$E:$E,0))&lt;&gt;0,INDEX(使用レシピ!H:H,MATCH(テンプレート!$C312,使用レシピ!$E:$E,0)),""),"")</f>
        <v/>
      </c>
      <c r="G312" t="str">
        <f>IFERROR(IF(INDEX(使用レシピ!I:I,MATCH(テンプレート!$C312,使用レシピ!$E:$E,0))&lt;&gt;0,INDEX(使用レシピ!I:I,MATCH(テンプレート!$C312,使用レシピ!$E:$E,0)),""),"")</f>
        <v/>
      </c>
      <c r="H312" s="24" t="str">
        <f>IFERROR(IF(INDEX(使用レシピ!J:J,MATCH(テンプレート!$C312,使用レシピ!$E:$E,0))&lt;&gt;0,INDEX(使用レシピ!J:J,MATCH(テンプレート!$C312,使用レシピ!$E:$E,0)),""),"")</f>
        <v/>
      </c>
      <c r="I312" s="36" t="str">
        <f>IFERROR(IF(INDEX(使用レシピ!P:P,MATCH(テンプレート!$C312,使用レシピ!$E:$E,0))&lt;&gt;0,INDEX(使用レシピ!P:P,MATCH(テンプレート!$C312,使用レシピ!$E:$E,0)),""),"")</f>
        <v/>
      </c>
      <c r="J312" t="str">
        <f>IFERROR(IF(INDEX(使用レシピ!K:K,MATCH(テンプレート!$C312,使用レシピ!$E:$E,0))&lt;&gt;0,INDEX(使用レシピ!K:K,MATCH(テンプレート!$C312,使用レシピ!$E:$E,0)),""),"")</f>
        <v/>
      </c>
      <c r="K312" t="str">
        <f>IFERROR(IF(INDEX(使用レシピ!L:L,MATCH(テンプレート!$C312,使用レシピ!$E:$E,0))&lt;&gt;0,INDEX(使用レシピ!L:L,MATCH(テンプレート!$C312,使用レシピ!$E:$E,0)),""),"")</f>
        <v/>
      </c>
      <c r="L312" t="str">
        <f>IFERROR(IF(INDEX(使用レシピ!M:M,MATCH(テンプレート!$C312,使用レシピ!$E:$E,0))&lt;&gt;0,INDEX(使用レシピ!M:M,MATCH(テンプレート!$C312,使用レシピ!$E:$E,0)),""),"")</f>
        <v/>
      </c>
      <c r="M312" t="str">
        <f>IFERROR(IF(INDEX(使用レシピ!N:N,MATCH(テンプレート!$C312,使用レシピ!$E:$E,0))&lt;&gt;0,INDEX(使用レシピ!N:N,MATCH(テンプレート!$C312,使用レシピ!$E:$E,0)),""),"")</f>
        <v/>
      </c>
      <c r="N312" s="24" t="str">
        <f>IFERROR(IF(INDEX(使用レシピ!O:O,MATCH(テンプレート!$C312,使用レシピ!$E:$E,0))&lt;&gt;0,INDEX(使用レシピ!O:O,MATCH(テンプレート!$C312,使用レシピ!$E:$E,0)),""),"")</f>
        <v/>
      </c>
      <c r="O312" s="36" t="str">
        <f>IFERROR(IF(INDEX(使用レシピ!P:P,MATCH(テンプレート!$C312,使用レシピ!$E:$E,0))&lt;&gt;0,INDEX(使用レシピ!P:P,MATCH(テンプレート!$C312,使用レシピ!$E:$E,0)),""),"")</f>
        <v/>
      </c>
      <c r="P312" t="str">
        <f t="shared" si="26"/>
        <v/>
      </c>
      <c r="Q312" t="str">
        <f t="shared" si="27"/>
        <v/>
      </c>
      <c r="R312" t="str">
        <f t="shared" si="28"/>
        <v/>
      </c>
      <c r="S312" t="str">
        <f t="shared" si="29"/>
        <v/>
      </c>
      <c r="T312" s="24" t="str">
        <f t="shared" si="30"/>
        <v/>
      </c>
    </row>
    <row r="313" spans="2:20" x14ac:dyDescent="0.4">
      <c r="B313" s="49" t="str" cm="1">
        <f t="array" ref="B313">IFERROR((INDEX($P$4:$T$1000,MATCH(VALUE(LEFT($A313,LEN($A313)-1)),$A$4:$A$1000,0),VALUE(RIGHT($A313,1)))/ INDEX($O$4:$O$1000,MATCH(VALUE(LEFT($A313,LEN($A313)-1)),$A$4:$A$1000))) * INDEX($B$4:$B$1000,MATCH(VALUE(LEFT($A313,LEN($A313)-1)),$A$4:$A$1000)),"")</f>
        <v/>
      </c>
      <c r="C313" s="2" t="str" cm="1">
        <f t="array" ref="C313">IFERROR(IF(INDEX($D$4:$H$1000,MATCH(VALUE(LEFT($A313,LEN($A313)-1)),$A$4:$A$1000,0),VALUE(RIGHT($A313,1)))= 0,"",INDEX($D$4:$H$1000,MATCH(VALUE(LEFT($A313,LEN($A313)-1)),$A$4:$A$1000,0),VALUE(RIGHT($A313,1)))),"")</f>
        <v/>
      </c>
      <c r="D313" s="23" t="str">
        <f>IFERROR(IF(INDEX(使用レシピ!F:F,MATCH(テンプレート!$C313,使用レシピ!$E:$E,0))&lt;&gt;0,INDEX(使用レシピ!F:F,MATCH(テンプレート!$C313,使用レシピ!$E:$E,0)),""),"")</f>
        <v/>
      </c>
      <c r="E313" t="str">
        <f>IFERROR(IF(INDEX(使用レシピ!G:G,MATCH(テンプレート!$C313,使用レシピ!$E:$E,0))&lt;&gt;0,INDEX(使用レシピ!G:G,MATCH(テンプレート!$C313,使用レシピ!$E:$E,0)),""),"")</f>
        <v/>
      </c>
      <c r="F313" t="str">
        <f>IFERROR(IF(INDEX(使用レシピ!H:H,MATCH(テンプレート!$C313,使用レシピ!$E:$E,0))&lt;&gt;0,INDEX(使用レシピ!H:H,MATCH(テンプレート!$C313,使用レシピ!$E:$E,0)),""),"")</f>
        <v/>
      </c>
      <c r="G313" t="str">
        <f>IFERROR(IF(INDEX(使用レシピ!I:I,MATCH(テンプレート!$C313,使用レシピ!$E:$E,0))&lt;&gt;0,INDEX(使用レシピ!I:I,MATCH(テンプレート!$C313,使用レシピ!$E:$E,0)),""),"")</f>
        <v/>
      </c>
      <c r="H313" s="24" t="str">
        <f>IFERROR(IF(INDEX(使用レシピ!J:J,MATCH(テンプレート!$C313,使用レシピ!$E:$E,0))&lt;&gt;0,INDEX(使用レシピ!J:J,MATCH(テンプレート!$C313,使用レシピ!$E:$E,0)),""),"")</f>
        <v/>
      </c>
      <c r="I313" s="36" t="str">
        <f>IFERROR(IF(INDEX(使用レシピ!P:P,MATCH(テンプレート!$C313,使用レシピ!$E:$E,0))&lt;&gt;0,INDEX(使用レシピ!P:P,MATCH(テンプレート!$C313,使用レシピ!$E:$E,0)),""),"")</f>
        <v/>
      </c>
      <c r="J313" t="str">
        <f>IFERROR(IF(INDEX(使用レシピ!K:K,MATCH(テンプレート!$C313,使用レシピ!$E:$E,0))&lt;&gt;0,INDEX(使用レシピ!K:K,MATCH(テンプレート!$C313,使用レシピ!$E:$E,0)),""),"")</f>
        <v/>
      </c>
      <c r="K313" t="str">
        <f>IFERROR(IF(INDEX(使用レシピ!L:L,MATCH(テンプレート!$C313,使用レシピ!$E:$E,0))&lt;&gt;0,INDEX(使用レシピ!L:L,MATCH(テンプレート!$C313,使用レシピ!$E:$E,0)),""),"")</f>
        <v/>
      </c>
      <c r="L313" t="str">
        <f>IFERROR(IF(INDEX(使用レシピ!M:M,MATCH(テンプレート!$C313,使用レシピ!$E:$E,0))&lt;&gt;0,INDEX(使用レシピ!M:M,MATCH(テンプレート!$C313,使用レシピ!$E:$E,0)),""),"")</f>
        <v/>
      </c>
      <c r="M313" t="str">
        <f>IFERROR(IF(INDEX(使用レシピ!N:N,MATCH(テンプレート!$C313,使用レシピ!$E:$E,0))&lt;&gt;0,INDEX(使用レシピ!N:N,MATCH(テンプレート!$C313,使用レシピ!$E:$E,0)),""),"")</f>
        <v/>
      </c>
      <c r="N313" s="24" t="str">
        <f>IFERROR(IF(INDEX(使用レシピ!O:O,MATCH(テンプレート!$C313,使用レシピ!$E:$E,0))&lt;&gt;0,INDEX(使用レシピ!O:O,MATCH(テンプレート!$C313,使用レシピ!$E:$E,0)),""),"")</f>
        <v/>
      </c>
      <c r="O313" s="36" t="str">
        <f>IFERROR(IF(INDEX(使用レシピ!P:P,MATCH(テンプレート!$C313,使用レシピ!$E:$E,0))&lt;&gt;0,INDEX(使用レシピ!P:P,MATCH(テンプレート!$C313,使用レシピ!$E:$E,0)),""),"")</f>
        <v/>
      </c>
      <c r="P313" t="str">
        <f t="shared" si="26"/>
        <v/>
      </c>
      <c r="Q313" t="str">
        <f t="shared" si="27"/>
        <v/>
      </c>
      <c r="R313" t="str">
        <f t="shared" si="28"/>
        <v/>
      </c>
      <c r="S313" t="str">
        <f t="shared" si="29"/>
        <v/>
      </c>
      <c r="T313" s="24" t="str">
        <f t="shared" si="30"/>
        <v/>
      </c>
    </row>
    <row r="314" spans="2:20" x14ac:dyDescent="0.4">
      <c r="B314" s="49" t="str" cm="1">
        <f t="array" ref="B314">IFERROR((INDEX($P$4:$T$1000,MATCH(VALUE(LEFT($A314,LEN($A314)-1)),$A$4:$A$1000,0),VALUE(RIGHT($A314,1)))/ INDEX($O$4:$O$1000,MATCH(VALUE(LEFT($A314,LEN($A314)-1)),$A$4:$A$1000))) * INDEX($B$4:$B$1000,MATCH(VALUE(LEFT($A314,LEN($A314)-1)),$A$4:$A$1000)),"")</f>
        <v/>
      </c>
      <c r="C314" s="2" t="str" cm="1">
        <f t="array" ref="C314">IFERROR(IF(INDEX($D$4:$H$1000,MATCH(VALUE(LEFT($A314,LEN($A314)-1)),$A$4:$A$1000,0),VALUE(RIGHT($A314,1)))= 0,"",INDEX($D$4:$H$1000,MATCH(VALUE(LEFT($A314,LEN($A314)-1)),$A$4:$A$1000,0),VALUE(RIGHT($A314,1)))),"")</f>
        <v/>
      </c>
      <c r="D314" s="23" t="str">
        <f>IFERROR(IF(INDEX(使用レシピ!F:F,MATCH(テンプレート!$C314,使用レシピ!$E:$E,0))&lt;&gt;0,INDEX(使用レシピ!F:F,MATCH(テンプレート!$C314,使用レシピ!$E:$E,0)),""),"")</f>
        <v/>
      </c>
      <c r="E314" t="str">
        <f>IFERROR(IF(INDEX(使用レシピ!G:G,MATCH(テンプレート!$C314,使用レシピ!$E:$E,0))&lt;&gt;0,INDEX(使用レシピ!G:G,MATCH(テンプレート!$C314,使用レシピ!$E:$E,0)),""),"")</f>
        <v/>
      </c>
      <c r="F314" t="str">
        <f>IFERROR(IF(INDEX(使用レシピ!H:H,MATCH(テンプレート!$C314,使用レシピ!$E:$E,0))&lt;&gt;0,INDEX(使用レシピ!H:H,MATCH(テンプレート!$C314,使用レシピ!$E:$E,0)),""),"")</f>
        <v/>
      </c>
      <c r="G314" t="str">
        <f>IFERROR(IF(INDEX(使用レシピ!I:I,MATCH(テンプレート!$C314,使用レシピ!$E:$E,0))&lt;&gt;0,INDEX(使用レシピ!I:I,MATCH(テンプレート!$C314,使用レシピ!$E:$E,0)),""),"")</f>
        <v/>
      </c>
      <c r="H314" s="24" t="str">
        <f>IFERROR(IF(INDEX(使用レシピ!J:J,MATCH(テンプレート!$C314,使用レシピ!$E:$E,0))&lt;&gt;0,INDEX(使用レシピ!J:J,MATCH(テンプレート!$C314,使用レシピ!$E:$E,0)),""),"")</f>
        <v/>
      </c>
      <c r="I314" s="36" t="str">
        <f>IFERROR(IF(INDEX(使用レシピ!P:P,MATCH(テンプレート!$C314,使用レシピ!$E:$E,0))&lt;&gt;0,INDEX(使用レシピ!P:P,MATCH(テンプレート!$C314,使用レシピ!$E:$E,0)),""),"")</f>
        <v/>
      </c>
      <c r="J314" t="str">
        <f>IFERROR(IF(INDEX(使用レシピ!K:K,MATCH(テンプレート!$C314,使用レシピ!$E:$E,0))&lt;&gt;0,INDEX(使用レシピ!K:K,MATCH(テンプレート!$C314,使用レシピ!$E:$E,0)),""),"")</f>
        <v/>
      </c>
      <c r="K314" t="str">
        <f>IFERROR(IF(INDEX(使用レシピ!L:L,MATCH(テンプレート!$C314,使用レシピ!$E:$E,0))&lt;&gt;0,INDEX(使用レシピ!L:L,MATCH(テンプレート!$C314,使用レシピ!$E:$E,0)),""),"")</f>
        <v/>
      </c>
      <c r="L314" t="str">
        <f>IFERROR(IF(INDEX(使用レシピ!M:M,MATCH(テンプレート!$C314,使用レシピ!$E:$E,0))&lt;&gt;0,INDEX(使用レシピ!M:M,MATCH(テンプレート!$C314,使用レシピ!$E:$E,0)),""),"")</f>
        <v/>
      </c>
      <c r="M314" t="str">
        <f>IFERROR(IF(INDEX(使用レシピ!N:N,MATCH(テンプレート!$C314,使用レシピ!$E:$E,0))&lt;&gt;0,INDEX(使用レシピ!N:N,MATCH(テンプレート!$C314,使用レシピ!$E:$E,0)),""),"")</f>
        <v/>
      </c>
      <c r="N314" s="24" t="str">
        <f>IFERROR(IF(INDEX(使用レシピ!O:O,MATCH(テンプレート!$C314,使用レシピ!$E:$E,0))&lt;&gt;0,INDEX(使用レシピ!O:O,MATCH(テンプレート!$C314,使用レシピ!$E:$E,0)),""),"")</f>
        <v/>
      </c>
      <c r="O314" s="36" t="str">
        <f>IFERROR(IF(INDEX(使用レシピ!P:P,MATCH(テンプレート!$C314,使用レシピ!$E:$E,0))&lt;&gt;0,INDEX(使用レシピ!P:P,MATCH(テンプレート!$C314,使用レシピ!$E:$E,0)),""),"")</f>
        <v/>
      </c>
      <c r="P314" t="str">
        <f t="shared" si="26"/>
        <v/>
      </c>
      <c r="Q314" t="str">
        <f t="shared" si="27"/>
        <v/>
      </c>
      <c r="R314" t="str">
        <f t="shared" si="28"/>
        <v/>
      </c>
      <c r="S314" t="str">
        <f t="shared" si="29"/>
        <v/>
      </c>
      <c r="T314" s="24" t="str">
        <f t="shared" si="30"/>
        <v/>
      </c>
    </row>
    <row r="315" spans="2:20" x14ac:dyDescent="0.4">
      <c r="B315" s="49" t="str" cm="1">
        <f t="array" ref="B315">IFERROR((INDEX($P$4:$T$1000,MATCH(VALUE(LEFT($A315,LEN($A315)-1)),$A$4:$A$1000,0),VALUE(RIGHT($A315,1)))/ INDEX($O$4:$O$1000,MATCH(VALUE(LEFT($A315,LEN($A315)-1)),$A$4:$A$1000))) * INDEX($B$4:$B$1000,MATCH(VALUE(LEFT($A315,LEN($A315)-1)),$A$4:$A$1000)),"")</f>
        <v/>
      </c>
      <c r="C315" s="2" t="str" cm="1">
        <f t="array" ref="C315">IFERROR(IF(INDEX($D$4:$H$1000,MATCH(VALUE(LEFT($A315,LEN($A315)-1)),$A$4:$A$1000,0),VALUE(RIGHT($A315,1)))= 0,"",INDEX($D$4:$H$1000,MATCH(VALUE(LEFT($A315,LEN($A315)-1)),$A$4:$A$1000,0),VALUE(RIGHT($A315,1)))),"")</f>
        <v/>
      </c>
      <c r="D315" s="23" t="str">
        <f>IFERROR(IF(INDEX(使用レシピ!F:F,MATCH(テンプレート!$C315,使用レシピ!$E:$E,0))&lt;&gt;0,INDEX(使用レシピ!F:F,MATCH(テンプレート!$C315,使用レシピ!$E:$E,0)),""),"")</f>
        <v/>
      </c>
      <c r="E315" t="str">
        <f>IFERROR(IF(INDEX(使用レシピ!G:G,MATCH(テンプレート!$C315,使用レシピ!$E:$E,0))&lt;&gt;0,INDEX(使用レシピ!G:G,MATCH(テンプレート!$C315,使用レシピ!$E:$E,0)),""),"")</f>
        <v/>
      </c>
      <c r="F315" t="str">
        <f>IFERROR(IF(INDEX(使用レシピ!H:H,MATCH(テンプレート!$C315,使用レシピ!$E:$E,0))&lt;&gt;0,INDEX(使用レシピ!H:H,MATCH(テンプレート!$C315,使用レシピ!$E:$E,0)),""),"")</f>
        <v/>
      </c>
      <c r="G315" t="str">
        <f>IFERROR(IF(INDEX(使用レシピ!I:I,MATCH(テンプレート!$C315,使用レシピ!$E:$E,0))&lt;&gt;0,INDEX(使用レシピ!I:I,MATCH(テンプレート!$C315,使用レシピ!$E:$E,0)),""),"")</f>
        <v/>
      </c>
      <c r="H315" s="24" t="str">
        <f>IFERROR(IF(INDEX(使用レシピ!J:J,MATCH(テンプレート!$C315,使用レシピ!$E:$E,0))&lt;&gt;0,INDEX(使用レシピ!J:J,MATCH(テンプレート!$C315,使用レシピ!$E:$E,0)),""),"")</f>
        <v/>
      </c>
      <c r="I315" s="36" t="str">
        <f>IFERROR(IF(INDEX(使用レシピ!P:P,MATCH(テンプレート!$C315,使用レシピ!$E:$E,0))&lt;&gt;0,INDEX(使用レシピ!P:P,MATCH(テンプレート!$C315,使用レシピ!$E:$E,0)),""),"")</f>
        <v/>
      </c>
      <c r="J315" t="str">
        <f>IFERROR(IF(INDEX(使用レシピ!K:K,MATCH(テンプレート!$C315,使用レシピ!$E:$E,0))&lt;&gt;0,INDEX(使用レシピ!K:K,MATCH(テンプレート!$C315,使用レシピ!$E:$E,0)),""),"")</f>
        <v/>
      </c>
      <c r="K315" t="str">
        <f>IFERROR(IF(INDEX(使用レシピ!L:L,MATCH(テンプレート!$C315,使用レシピ!$E:$E,0))&lt;&gt;0,INDEX(使用レシピ!L:L,MATCH(テンプレート!$C315,使用レシピ!$E:$E,0)),""),"")</f>
        <v/>
      </c>
      <c r="L315" t="str">
        <f>IFERROR(IF(INDEX(使用レシピ!M:M,MATCH(テンプレート!$C315,使用レシピ!$E:$E,0))&lt;&gt;0,INDEX(使用レシピ!M:M,MATCH(テンプレート!$C315,使用レシピ!$E:$E,0)),""),"")</f>
        <v/>
      </c>
      <c r="M315" t="str">
        <f>IFERROR(IF(INDEX(使用レシピ!N:N,MATCH(テンプレート!$C315,使用レシピ!$E:$E,0))&lt;&gt;0,INDEX(使用レシピ!N:N,MATCH(テンプレート!$C315,使用レシピ!$E:$E,0)),""),"")</f>
        <v/>
      </c>
      <c r="N315" s="24" t="str">
        <f>IFERROR(IF(INDEX(使用レシピ!O:O,MATCH(テンプレート!$C315,使用レシピ!$E:$E,0))&lt;&gt;0,INDEX(使用レシピ!O:O,MATCH(テンプレート!$C315,使用レシピ!$E:$E,0)),""),"")</f>
        <v/>
      </c>
      <c r="O315" s="36" t="str">
        <f>IFERROR(IF(INDEX(使用レシピ!P:P,MATCH(テンプレート!$C315,使用レシピ!$E:$E,0))&lt;&gt;0,INDEX(使用レシピ!P:P,MATCH(テンプレート!$C315,使用レシピ!$E:$E,0)),""),"")</f>
        <v/>
      </c>
      <c r="P315" t="str">
        <f t="shared" si="26"/>
        <v/>
      </c>
      <c r="Q315" t="str">
        <f t="shared" si="27"/>
        <v/>
      </c>
      <c r="R315" t="str">
        <f t="shared" si="28"/>
        <v/>
      </c>
      <c r="S315" t="str">
        <f t="shared" si="29"/>
        <v/>
      </c>
      <c r="T315" s="24" t="str">
        <f t="shared" si="30"/>
        <v/>
      </c>
    </row>
    <row r="316" spans="2:20" x14ac:dyDescent="0.4">
      <c r="B316" s="49" t="str" cm="1">
        <f t="array" ref="B316">IFERROR((INDEX($P$4:$T$1000,MATCH(VALUE(LEFT($A316,LEN($A316)-1)),$A$4:$A$1000,0),VALUE(RIGHT($A316,1)))/ INDEX($O$4:$O$1000,MATCH(VALUE(LEFT($A316,LEN($A316)-1)),$A$4:$A$1000))) * INDEX($B$4:$B$1000,MATCH(VALUE(LEFT($A316,LEN($A316)-1)),$A$4:$A$1000)),"")</f>
        <v/>
      </c>
      <c r="C316" s="2" t="str" cm="1">
        <f t="array" ref="C316">IFERROR(IF(INDEX($D$4:$H$1000,MATCH(VALUE(LEFT($A316,LEN($A316)-1)),$A$4:$A$1000,0),VALUE(RIGHT($A316,1)))= 0,"",INDEX($D$4:$H$1000,MATCH(VALUE(LEFT($A316,LEN($A316)-1)),$A$4:$A$1000,0),VALUE(RIGHT($A316,1)))),"")</f>
        <v/>
      </c>
      <c r="D316" s="23" t="str">
        <f>IFERROR(IF(INDEX(使用レシピ!F:F,MATCH(テンプレート!$C316,使用レシピ!$E:$E,0))&lt;&gt;0,INDEX(使用レシピ!F:F,MATCH(テンプレート!$C316,使用レシピ!$E:$E,0)),""),"")</f>
        <v/>
      </c>
      <c r="E316" t="str">
        <f>IFERROR(IF(INDEX(使用レシピ!G:G,MATCH(テンプレート!$C316,使用レシピ!$E:$E,0))&lt;&gt;0,INDEX(使用レシピ!G:G,MATCH(テンプレート!$C316,使用レシピ!$E:$E,0)),""),"")</f>
        <v/>
      </c>
      <c r="F316" t="str">
        <f>IFERROR(IF(INDEX(使用レシピ!H:H,MATCH(テンプレート!$C316,使用レシピ!$E:$E,0))&lt;&gt;0,INDEX(使用レシピ!H:H,MATCH(テンプレート!$C316,使用レシピ!$E:$E,0)),""),"")</f>
        <v/>
      </c>
      <c r="G316" t="str">
        <f>IFERROR(IF(INDEX(使用レシピ!I:I,MATCH(テンプレート!$C316,使用レシピ!$E:$E,0))&lt;&gt;0,INDEX(使用レシピ!I:I,MATCH(テンプレート!$C316,使用レシピ!$E:$E,0)),""),"")</f>
        <v/>
      </c>
      <c r="H316" s="24" t="str">
        <f>IFERROR(IF(INDEX(使用レシピ!J:J,MATCH(テンプレート!$C316,使用レシピ!$E:$E,0))&lt;&gt;0,INDEX(使用レシピ!J:J,MATCH(テンプレート!$C316,使用レシピ!$E:$E,0)),""),"")</f>
        <v/>
      </c>
      <c r="I316" s="36" t="str">
        <f>IFERROR(IF(INDEX(使用レシピ!P:P,MATCH(テンプレート!$C316,使用レシピ!$E:$E,0))&lt;&gt;0,INDEX(使用レシピ!P:P,MATCH(テンプレート!$C316,使用レシピ!$E:$E,0)),""),"")</f>
        <v/>
      </c>
      <c r="J316" t="str">
        <f>IFERROR(IF(INDEX(使用レシピ!K:K,MATCH(テンプレート!$C316,使用レシピ!$E:$E,0))&lt;&gt;0,INDEX(使用レシピ!K:K,MATCH(テンプレート!$C316,使用レシピ!$E:$E,0)),""),"")</f>
        <v/>
      </c>
      <c r="K316" t="str">
        <f>IFERROR(IF(INDEX(使用レシピ!L:L,MATCH(テンプレート!$C316,使用レシピ!$E:$E,0))&lt;&gt;0,INDEX(使用レシピ!L:L,MATCH(テンプレート!$C316,使用レシピ!$E:$E,0)),""),"")</f>
        <v/>
      </c>
      <c r="L316" t="str">
        <f>IFERROR(IF(INDEX(使用レシピ!M:M,MATCH(テンプレート!$C316,使用レシピ!$E:$E,0))&lt;&gt;0,INDEX(使用レシピ!M:M,MATCH(テンプレート!$C316,使用レシピ!$E:$E,0)),""),"")</f>
        <v/>
      </c>
      <c r="M316" t="str">
        <f>IFERROR(IF(INDEX(使用レシピ!N:N,MATCH(テンプレート!$C316,使用レシピ!$E:$E,0))&lt;&gt;0,INDEX(使用レシピ!N:N,MATCH(テンプレート!$C316,使用レシピ!$E:$E,0)),""),"")</f>
        <v/>
      </c>
      <c r="N316" s="24" t="str">
        <f>IFERROR(IF(INDEX(使用レシピ!O:O,MATCH(テンプレート!$C316,使用レシピ!$E:$E,0))&lt;&gt;0,INDEX(使用レシピ!O:O,MATCH(テンプレート!$C316,使用レシピ!$E:$E,0)),""),"")</f>
        <v/>
      </c>
      <c r="O316" s="36" t="str">
        <f>IFERROR(IF(INDEX(使用レシピ!P:P,MATCH(テンプレート!$C316,使用レシピ!$E:$E,0))&lt;&gt;0,INDEX(使用レシピ!P:P,MATCH(テンプレート!$C316,使用レシピ!$E:$E,0)),""),"")</f>
        <v/>
      </c>
      <c r="P316" t="str">
        <f t="shared" si="26"/>
        <v/>
      </c>
      <c r="Q316" t="str">
        <f t="shared" si="27"/>
        <v/>
      </c>
      <c r="R316" t="str">
        <f t="shared" si="28"/>
        <v/>
      </c>
      <c r="S316" t="str">
        <f t="shared" si="29"/>
        <v/>
      </c>
      <c r="T316" s="24" t="str">
        <f t="shared" si="30"/>
        <v/>
      </c>
    </row>
    <row r="317" spans="2:20" x14ac:dyDescent="0.4">
      <c r="B317" s="49" t="str" cm="1">
        <f t="array" ref="B317">IFERROR((INDEX($P$4:$T$1000,MATCH(VALUE(LEFT($A317,LEN($A317)-1)),$A$4:$A$1000,0),VALUE(RIGHT($A317,1)))/ INDEX($O$4:$O$1000,MATCH(VALUE(LEFT($A317,LEN($A317)-1)),$A$4:$A$1000))) * INDEX($B$4:$B$1000,MATCH(VALUE(LEFT($A317,LEN($A317)-1)),$A$4:$A$1000)),"")</f>
        <v/>
      </c>
      <c r="C317" s="2" t="str" cm="1">
        <f t="array" ref="C317">IFERROR(IF(INDEX($D$4:$H$1000,MATCH(VALUE(LEFT($A317,LEN($A317)-1)),$A$4:$A$1000,0),VALUE(RIGHT($A317,1)))= 0,"",INDEX($D$4:$H$1000,MATCH(VALUE(LEFT($A317,LEN($A317)-1)),$A$4:$A$1000,0),VALUE(RIGHT($A317,1)))),"")</f>
        <v/>
      </c>
      <c r="D317" s="23" t="str">
        <f>IFERROR(IF(INDEX(使用レシピ!F:F,MATCH(テンプレート!$C317,使用レシピ!$E:$E,0))&lt;&gt;0,INDEX(使用レシピ!F:F,MATCH(テンプレート!$C317,使用レシピ!$E:$E,0)),""),"")</f>
        <v/>
      </c>
      <c r="E317" t="str">
        <f>IFERROR(IF(INDEX(使用レシピ!G:G,MATCH(テンプレート!$C317,使用レシピ!$E:$E,0))&lt;&gt;0,INDEX(使用レシピ!G:G,MATCH(テンプレート!$C317,使用レシピ!$E:$E,0)),""),"")</f>
        <v/>
      </c>
      <c r="F317" t="str">
        <f>IFERROR(IF(INDEX(使用レシピ!H:H,MATCH(テンプレート!$C317,使用レシピ!$E:$E,0))&lt;&gt;0,INDEX(使用レシピ!H:H,MATCH(テンプレート!$C317,使用レシピ!$E:$E,0)),""),"")</f>
        <v/>
      </c>
      <c r="G317" t="str">
        <f>IFERROR(IF(INDEX(使用レシピ!I:I,MATCH(テンプレート!$C317,使用レシピ!$E:$E,0))&lt;&gt;0,INDEX(使用レシピ!I:I,MATCH(テンプレート!$C317,使用レシピ!$E:$E,0)),""),"")</f>
        <v/>
      </c>
      <c r="H317" s="24" t="str">
        <f>IFERROR(IF(INDEX(使用レシピ!J:J,MATCH(テンプレート!$C317,使用レシピ!$E:$E,0))&lt;&gt;0,INDEX(使用レシピ!J:J,MATCH(テンプレート!$C317,使用レシピ!$E:$E,0)),""),"")</f>
        <v/>
      </c>
      <c r="I317" s="36" t="str">
        <f>IFERROR(IF(INDEX(使用レシピ!P:P,MATCH(テンプレート!$C317,使用レシピ!$E:$E,0))&lt;&gt;0,INDEX(使用レシピ!P:P,MATCH(テンプレート!$C317,使用レシピ!$E:$E,0)),""),"")</f>
        <v/>
      </c>
      <c r="J317" t="str">
        <f>IFERROR(IF(INDEX(使用レシピ!K:K,MATCH(テンプレート!$C317,使用レシピ!$E:$E,0))&lt;&gt;0,INDEX(使用レシピ!K:K,MATCH(テンプレート!$C317,使用レシピ!$E:$E,0)),""),"")</f>
        <v/>
      </c>
      <c r="K317" t="str">
        <f>IFERROR(IF(INDEX(使用レシピ!L:L,MATCH(テンプレート!$C317,使用レシピ!$E:$E,0))&lt;&gt;0,INDEX(使用レシピ!L:L,MATCH(テンプレート!$C317,使用レシピ!$E:$E,0)),""),"")</f>
        <v/>
      </c>
      <c r="L317" t="str">
        <f>IFERROR(IF(INDEX(使用レシピ!M:M,MATCH(テンプレート!$C317,使用レシピ!$E:$E,0))&lt;&gt;0,INDEX(使用レシピ!M:M,MATCH(テンプレート!$C317,使用レシピ!$E:$E,0)),""),"")</f>
        <v/>
      </c>
      <c r="M317" t="str">
        <f>IFERROR(IF(INDEX(使用レシピ!N:N,MATCH(テンプレート!$C317,使用レシピ!$E:$E,0))&lt;&gt;0,INDEX(使用レシピ!N:N,MATCH(テンプレート!$C317,使用レシピ!$E:$E,0)),""),"")</f>
        <v/>
      </c>
      <c r="N317" s="24" t="str">
        <f>IFERROR(IF(INDEX(使用レシピ!O:O,MATCH(テンプレート!$C317,使用レシピ!$E:$E,0))&lt;&gt;0,INDEX(使用レシピ!O:O,MATCH(テンプレート!$C317,使用レシピ!$E:$E,0)),""),"")</f>
        <v/>
      </c>
      <c r="O317" s="36" t="str">
        <f>IFERROR(IF(INDEX(使用レシピ!P:P,MATCH(テンプレート!$C317,使用レシピ!$E:$E,0))&lt;&gt;0,INDEX(使用レシピ!P:P,MATCH(テンプレート!$C317,使用レシピ!$E:$E,0)),""),"")</f>
        <v/>
      </c>
      <c r="P317" t="str">
        <f t="shared" si="26"/>
        <v/>
      </c>
      <c r="Q317" t="str">
        <f t="shared" si="27"/>
        <v/>
      </c>
      <c r="R317" t="str">
        <f t="shared" si="28"/>
        <v/>
      </c>
      <c r="S317" t="str">
        <f t="shared" si="29"/>
        <v/>
      </c>
      <c r="T317" s="24" t="str">
        <f t="shared" si="30"/>
        <v/>
      </c>
    </row>
    <row r="318" spans="2:20" x14ac:dyDescent="0.4">
      <c r="B318" s="49" t="str" cm="1">
        <f t="array" ref="B318">IFERROR((INDEX($P$4:$T$1000,MATCH(VALUE(LEFT($A318,LEN($A318)-1)),$A$4:$A$1000,0),VALUE(RIGHT($A318,1)))/ INDEX($O$4:$O$1000,MATCH(VALUE(LEFT($A318,LEN($A318)-1)),$A$4:$A$1000))) * INDEX($B$4:$B$1000,MATCH(VALUE(LEFT($A318,LEN($A318)-1)),$A$4:$A$1000)),"")</f>
        <v/>
      </c>
      <c r="C318" s="2" t="str" cm="1">
        <f t="array" ref="C318">IFERROR(IF(INDEX($D$4:$H$1000,MATCH(VALUE(LEFT($A318,LEN($A318)-1)),$A$4:$A$1000,0),VALUE(RIGHT($A318,1)))= 0,"",INDEX($D$4:$H$1000,MATCH(VALUE(LEFT($A318,LEN($A318)-1)),$A$4:$A$1000,0),VALUE(RIGHT($A318,1)))),"")</f>
        <v/>
      </c>
      <c r="D318" s="23" t="str">
        <f>IFERROR(IF(INDEX(使用レシピ!F:F,MATCH(テンプレート!$C318,使用レシピ!$E:$E,0))&lt;&gt;0,INDEX(使用レシピ!F:F,MATCH(テンプレート!$C318,使用レシピ!$E:$E,0)),""),"")</f>
        <v/>
      </c>
      <c r="E318" t="str">
        <f>IFERROR(IF(INDEX(使用レシピ!G:G,MATCH(テンプレート!$C318,使用レシピ!$E:$E,0))&lt;&gt;0,INDEX(使用レシピ!G:G,MATCH(テンプレート!$C318,使用レシピ!$E:$E,0)),""),"")</f>
        <v/>
      </c>
      <c r="F318" t="str">
        <f>IFERROR(IF(INDEX(使用レシピ!H:H,MATCH(テンプレート!$C318,使用レシピ!$E:$E,0))&lt;&gt;0,INDEX(使用レシピ!H:H,MATCH(テンプレート!$C318,使用レシピ!$E:$E,0)),""),"")</f>
        <v/>
      </c>
      <c r="G318" t="str">
        <f>IFERROR(IF(INDEX(使用レシピ!I:I,MATCH(テンプレート!$C318,使用レシピ!$E:$E,0))&lt;&gt;0,INDEX(使用レシピ!I:I,MATCH(テンプレート!$C318,使用レシピ!$E:$E,0)),""),"")</f>
        <v/>
      </c>
      <c r="H318" s="24" t="str">
        <f>IFERROR(IF(INDEX(使用レシピ!J:J,MATCH(テンプレート!$C318,使用レシピ!$E:$E,0))&lt;&gt;0,INDEX(使用レシピ!J:J,MATCH(テンプレート!$C318,使用レシピ!$E:$E,0)),""),"")</f>
        <v/>
      </c>
      <c r="I318" s="36" t="str">
        <f>IFERROR(IF(INDEX(使用レシピ!P:P,MATCH(テンプレート!$C318,使用レシピ!$E:$E,0))&lt;&gt;0,INDEX(使用レシピ!P:P,MATCH(テンプレート!$C318,使用レシピ!$E:$E,0)),""),"")</f>
        <v/>
      </c>
      <c r="J318" t="str">
        <f>IFERROR(IF(INDEX(使用レシピ!K:K,MATCH(テンプレート!$C318,使用レシピ!$E:$E,0))&lt;&gt;0,INDEX(使用レシピ!K:K,MATCH(テンプレート!$C318,使用レシピ!$E:$E,0)),""),"")</f>
        <v/>
      </c>
      <c r="K318" t="str">
        <f>IFERROR(IF(INDEX(使用レシピ!L:L,MATCH(テンプレート!$C318,使用レシピ!$E:$E,0))&lt;&gt;0,INDEX(使用レシピ!L:L,MATCH(テンプレート!$C318,使用レシピ!$E:$E,0)),""),"")</f>
        <v/>
      </c>
      <c r="L318" t="str">
        <f>IFERROR(IF(INDEX(使用レシピ!M:M,MATCH(テンプレート!$C318,使用レシピ!$E:$E,0))&lt;&gt;0,INDEX(使用レシピ!M:M,MATCH(テンプレート!$C318,使用レシピ!$E:$E,0)),""),"")</f>
        <v/>
      </c>
      <c r="M318" t="str">
        <f>IFERROR(IF(INDEX(使用レシピ!N:N,MATCH(テンプレート!$C318,使用レシピ!$E:$E,0))&lt;&gt;0,INDEX(使用レシピ!N:N,MATCH(テンプレート!$C318,使用レシピ!$E:$E,0)),""),"")</f>
        <v/>
      </c>
      <c r="N318" s="24" t="str">
        <f>IFERROR(IF(INDEX(使用レシピ!O:O,MATCH(テンプレート!$C318,使用レシピ!$E:$E,0))&lt;&gt;0,INDEX(使用レシピ!O:O,MATCH(テンプレート!$C318,使用レシピ!$E:$E,0)),""),"")</f>
        <v/>
      </c>
      <c r="O318" s="36" t="str">
        <f>IFERROR(IF(INDEX(使用レシピ!P:P,MATCH(テンプレート!$C318,使用レシピ!$E:$E,0))&lt;&gt;0,INDEX(使用レシピ!P:P,MATCH(テンプレート!$C318,使用レシピ!$E:$E,0)),""),"")</f>
        <v/>
      </c>
      <c r="P318" t="str">
        <f t="shared" si="26"/>
        <v/>
      </c>
      <c r="Q318" t="str">
        <f t="shared" si="27"/>
        <v/>
      </c>
      <c r="R318" t="str">
        <f t="shared" si="28"/>
        <v/>
      </c>
      <c r="S318" t="str">
        <f t="shared" si="29"/>
        <v/>
      </c>
      <c r="T318" s="24" t="str">
        <f t="shared" si="30"/>
        <v/>
      </c>
    </row>
    <row r="319" spans="2:20" x14ac:dyDescent="0.4">
      <c r="B319" s="49" t="str" cm="1">
        <f t="array" ref="B319">IFERROR((INDEX($P$4:$T$1000,MATCH(VALUE(LEFT($A319,LEN($A319)-1)),$A$4:$A$1000,0),VALUE(RIGHT($A319,1)))/ INDEX($O$4:$O$1000,MATCH(VALUE(LEFT($A319,LEN($A319)-1)),$A$4:$A$1000))) * INDEX($B$4:$B$1000,MATCH(VALUE(LEFT($A319,LEN($A319)-1)),$A$4:$A$1000)),"")</f>
        <v/>
      </c>
      <c r="C319" s="2" t="str" cm="1">
        <f t="array" ref="C319">IFERROR(IF(INDEX($D$4:$H$1000,MATCH(VALUE(LEFT($A319,LEN($A319)-1)),$A$4:$A$1000,0),VALUE(RIGHT($A319,1)))= 0,"",INDEX($D$4:$H$1000,MATCH(VALUE(LEFT($A319,LEN($A319)-1)),$A$4:$A$1000,0),VALUE(RIGHT($A319,1)))),"")</f>
        <v/>
      </c>
      <c r="D319" s="23" t="str">
        <f>IFERROR(IF(INDEX(使用レシピ!F:F,MATCH(テンプレート!$C319,使用レシピ!$E:$E,0))&lt;&gt;0,INDEX(使用レシピ!F:F,MATCH(テンプレート!$C319,使用レシピ!$E:$E,0)),""),"")</f>
        <v/>
      </c>
      <c r="E319" t="str">
        <f>IFERROR(IF(INDEX(使用レシピ!G:G,MATCH(テンプレート!$C319,使用レシピ!$E:$E,0))&lt;&gt;0,INDEX(使用レシピ!G:G,MATCH(テンプレート!$C319,使用レシピ!$E:$E,0)),""),"")</f>
        <v/>
      </c>
      <c r="F319" t="str">
        <f>IFERROR(IF(INDEX(使用レシピ!H:H,MATCH(テンプレート!$C319,使用レシピ!$E:$E,0))&lt;&gt;0,INDEX(使用レシピ!H:H,MATCH(テンプレート!$C319,使用レシピ!$E:$E,0)),""),"")</f>
        <v/>
      </c>
      <c r="G319" t="str">
        <f>IFERROR(IF(INDEX(使用レシピ!I:I,MATCH(テンプレート!$C319,使用レシピ!$E:$E,0))&lt;&gt;0,INDEX(使用レシピ!I:I,MATCH(テンプレート!$C319,使用レシピ!$E:$E,0)),""),"")</f>
        <v/>
      </c>
      <c r="H319" s="24" t="str">
        <f>IFERROR(IF(INDEX(使用レシピ!J:J,MATCH(テンプレート!$C319,使用レシピ!$E:$E,0))&lt;&gt;0,INDEX(使用レシピ!J:J,MATCH(テンプレート!$C319,使用レシピ!$E:$E,0)),""),"")</f>
        <v/>
      </c>
      <c r="I319" s="36" t="str">
        <f>IFERROR(IF(INDEX(使用レシピ!P:P,MATCH(テンプレート!$C319,使用レシピ!$E:$E,0))&lt;&gt;0,INDEX(使用レシピ!P:P,MATCH(テンプレート!$C319,使用レシピ!$E:$E,0)),""),"")</f>
        <v/>
      </c>
      <c r="J319" t="str">
        <f>IFERROR(IF(INDEX(使用レシピ!K:K,MATCH(テンプレート!$C319,使用レシピ!$E:$E,0))&lt;&gt;0,INDEX(使用レシピ!K:K,MATCH(テンプレート!$C319,使用レシピ!$E:$E,0)),""),"")</f>
        <v/>
      </c>
      <c r="K319" t="str">
        <f>IFERROR(IF(INDEX(使用レシピ!L:L,MATCH(テンプレート!$C319,使用レシピ!$E:$E,0))&lt;&gt;0,INDEX(使用レシピ!L:L,MATCH(テンプレート!$C319,使用レシピ!$E:$E,0)),""),"")</f>
        <v/>
      </c>
      <c r="L319" t="str">
        <f>IFERROR(IF(INDEX(使用レシピ!M:M,MATCH(テンプレート!$C319,使用レシピ!$E:$E,0))&lt;&gt;0,INDEX(使用レシピ!M:M,MATCH(テンプレート!$C319,使用レシピ!$E:$E,0)),""),"")</f>
        <v/>
      </c>
      <c r="M319" t="str">
        <f>IFERROR(IF(INDEX(使用レシピ!N:N,MATCH(テンプレート!$C319,使用レシピ!$E:$E,0))&lt;&gt;0,INDEX(使用レシピ!N:N,MATCH(テンプレート!$C319,使用レシピ!$E:$E,0)),""),"")</f>
        <v/>
      </c>
      <c r="N319" s="24" t="str">
        <f>IFERROR(IF(INDEX(使用レシピ!O:O,MATCH(テンプレート!$C319,使用レシピ!$E:$E,0))&lt;&gt;0,INDEX(使用レシピ!O:O,MATCH(テンプレート!$C319,使用レシピ!$E:$E,0)),""),"")</f>
        <v/>
      </c>
      <c r="O319" s="36" t="str">
        <f>IFERROR(IF(INDEX(使用レシピ!P:P,MATCH(テンプレート!$C319,使用レシピ!$E:$E,0))&lt;&gt;0,INDEX(使用レシピ!P:P,MATCH(テンプレート!$C319,使用レシピ!$E:$E,0)),""),"")</f>
        <v/>
      </c>
      <c r="P319" t="str">
        <f t="shared" si="26"/>
        <v/>
      </c>
      <c r="Q319" t="str">
        <f t="shared" si="27"/>
        <v/>
      </c>
      <c r="R319" t="str">
        <f t="shared" si="28"/>
        <v/>
      </c>
      <c r="S319" t="str">
        <f t="shared" si="29"/>
        <v/>
      </c>
      <c r="T319" s="24" t="str">
        <f t="shared" si="30"/>
        <v/>
      </c>
    </row>
    <row r="320" spans="2:20" x14ac:dyDescent="0.4">
      <c r="B320" s="49" t="str" cm="1">
        <f t="array" ref="B320">IFERROR((INDEX($P$4:$T$1000,MATCH(VALUE(LEFT($A320,LEN($A320)-1)),$A$4:$A$1000,0),VALUE(RIGHT($A320,1)))/ INDEX($O$4:$O$1000,MATCH(VALUE(LEFT($A320,LEN($A320)-1)),$A$4:$A$1000))) * INDEX($B$4:$B$1000,MATCH(VALUE(LEFT($A320,LEN($A320)-1)),$A$4:$A$1000)),"")</f>
        <v/>
      </c>
      <c r="C320" s="2" t="str" cm="1">
        <f t="array" ref="C320">IFERROR(IF(INDEX($D$4:$H$1000,MATCH(VALUE(LEFT($A320,LEN($A320)-1)),$A$4:$A$1000,0),VALUE(RIGHT($A320,1)))= 0,"",INDEX($D$4:$H$1000,MATCH(VALUE(LEFT($A320,LEN($A320)-1)),$A$4:$A$1000,0),VALUE(RIGHT($A320,1)))),"")</f>
        <v/>
      </c>
      <c r="D320" s="23" t="str">
        <f>IFERROR(IF(INDEX(使用レシピ!F:F,MATCH(テンプレート!$C320,使用レシピ!$E:$E,0))&lt;&gt;0,INDEX(使用レシピ!F:F,MATCH(テンプレート!$C320,使用レシピ!$E:$E,0)),""),"")</f>
        <v/>
      </c>
      <c r="E320" t="str">
        <f>IFERROR(IF(INDEX(使用レシピ!G:G,MATCH(テンプレート!$C320,使用レシピ!$E:$E,0))&lt;&gt;0,INDEX(使用レシピ!G:G,MATCH(テンプレート!$C320,使用レシピ!$E:$E,0)),""),"")</f>
        <v/>
      </c>
      <c r="F320" t="str">
        <f>IFERROR(IF(INDEX(使用レシピ!H:H,MATCH(テンプレート!$C320,使用レシピ!$E:$E,0))&lt;&gt;0,INDEX(使用レシピ!H:H,MATCH(テンプレート!$C320,使用レシピ!$E:$E,0)),""),"")</f>
        <v/>
      </c>
      <c r="G320" t="str">
        <f>IFERROR(IF(INDEX(使用レシピ!I:I,MATCH(テンプレート!$C320,使用レシピ!$E:$E,0))&lt;&gt;0,INDEX(使用レシピ!I:I,MATCH(テンプレート!$C320,使用レシピ!$E:$E,0)),""),"")</f>
        <v/>
      </c>
      <c r="H320" s="24" t="str">
        <f>IFERROR(IF(INDEX(使用レシピ!J:J,MATCH(テンプレート!$C320,使用レシピ!$E:$E,0))&lt;&gt;0,INDEX(使用レシピ!J:J,MATCH(テンプレート!$C320,使用レシピ!$E:$E,0)),""),"")</f>
        <v/>
      </c>
      <c r="I320" s="36" t="str">
        <f>IFERROR(IF(INDEX(使用レシピ!P:P,MATCH(テンプレート!$C320,使用レシピ!$E:$E,0))&lt;&gt;0,INDEX(使用レシピ!P:P,MATCH(テンプレート!$C320,使用レシピ!$E:$E,0)),""),"")</f>
        <v/>
      </c>
      <c r="J320" t="str">
        <f>IFERROR(IF(INDEX(使用レシピ!K:K,MATCH(テンプレート!$C320,使用レシピ!$E:$E,0))&lt;&gt;0,INDEX(使用レシピ!K:K,MATCH(テンプレート!$C320,使用レシピ!$E:$E,0)),""),"")</f>
        <v/>
      </c>
      <c r="K320" t="str">
        <f>IFERROR(IF(INDEX(使用レシピ!L:L,MATCH(テンプレート!$C320,使用レシピ!$E:$E,0))&lt;&gt;0,INDEX(使用レシピ!L:L,MATCH(テンプレート!$C320,使用レシピ!$E:$E,0)),""),"")</f>
        <v/>
      </c>
      <c r="L320" t="str">
        <f>IFERROR(IF(INDEX(使用レシピ!M:M,MATCH(テンプレート!$C320,使用レシピ!$E:$E,0))&lt;&gt;0,INDEX(使用レシピ!M:M,MATCH(テンプレート!$C320,使用レシピ!$E:$E,0)),""),"")</f>
        <v/>
      </c>
      <c r="M320" t="str">
        <f>IFERROR(IF(INDEX(使用レシピ!N:N,MATCH(テンプレート!$C320,使用レシピ!$E:$E,0))&lt;&gt;0,INDEX(使用レシピ!N:N,MATCH(テンプレート!$C320,使用レシピ!$E:$E,0)),""),"")</f>
        <v/>
      </c>
      <c r="N320" s="24" t="str">
        <f>IFERROR(IF(INDEX(使用レシピ!O:O,MATCH(テンプレート!$C320,使用レシピ!$E:$E,0))&lt;&gt;0,INDEX(使用レシピ!O:O,MATCH(テンプレート!$C320,使用レシピ!$E:$E,0)),""),"")</f>
        <v/>
      </c>
      <c r="O320" s="36" t="str">
        <f>IFERROR(IF(INDEX(使用レシピ!P:P,MATCH(テンプレート!$C320,使用レシピ!$E:$E,0))&lt;&gt;0,INDEX(使用レシピ!P:P,MATCH(テンプレート!$C320,使用レシピ!$E:$E,0)),""),"")</f>
        <v/>
      </c>
      <c r="P320" t="str">
        <f t="shared" si="26"/>
        <v/>
      </c>
      <c r="Q320" t="str">
        <f t="shared" si="27"/>
        <v/>
      </c>
      <c r="R320" t="str">
        <f t="shared" si="28"/>
        <v/>
      </c>
      <c r="S320" t="str">
        <f t="shared" si="29"/>
        <v/>
      </c>
      <c r="T320" s="24" t="str">
        <f t="shared" si="30"/>
        <v/>
      </c>
    </row>
    <row r="321" spans="2:20" x14ac:dyDescent="0.4">
      <c r="B321" s="49" t="str" cm="1">
        <f t="array" ref="B321">IFERROR((INDEX($P$4:$T$1000,MATCH(VALUE(LEFT($A321,LEN($A321)-1)),$A$4:$A$1000,0),VALUE(RIGHT($A321,1)))/ INDEX($O$4:$O$1000,MATCH(VALUE(LEFT($A321,LEN($A321)-1)),$A$4:$A$1000))) * INDEX($B$4:$B$1000,MATCH(VALUE(LEFT($A321,LEN($A321)-1)),$A$4:$A$1000)),"")</f>
        <v/>
      </c>
      <c r="C321" s="2" t="str" cm="1">
        <f t="array" ref="C321">IFERROR(IF(INDEX($D$4:$H$1000,MATCH(VALUE(LEFT($A321,LEN($A321)-1)),$A$4:$A$1000,0),VALUE(RIGHT($A321,1)))= 0,"",INDEX($D$4:$H$1000,MATCH(VALUE(LEFT($A321,LEN($A321)-1)),$A$4:$A$1000,0),VALUE(RIGHT($A321,1)))),"")</f>
        <v/>
      </c>
      <c r="D321" s="23" t="str">
        <f>IFERROR(IF(INDEX(使用レシピ!F:F,MATCH(テンプレート!$C321,使用レシピ!$E:$E,0))&lt;&gt;0,INDEX(使用レシピ!F:F,MATCH(テンプレート!$C321,使用レシピ!$E:$E,0)),""),"")</f>
        <v/>
      </c>
      <c r="E321" t="str">
        <f>IFERROR(IF(INDEX(使用レシピ!G:G,MATCH(テンプレート!$C321,使用レシピ!$E:$E,0))&lt;&gt;0,INDEX(使用レシピ!G:G,MATCH(テンプレート!$C321,使用レシピ!$E:$E,0)),""),"")</f>
        <v/>
      </c>
      <c r="F321" t="str">
        <f>IFERROR(IF(INDEX(使用レシピ!H:H,MATCH(テンプレート!$C321,使用レシピ!$E:$E,0))&lt;&gt;0,INDEX(使用レシピ!H:H,MATCH(テンプレート!$C321,使用レシピ!$E:$E,0)),""),"")</f>
        <v/>
      </c>
      <c r="G321" t="str">
        <f>IFERROR(IF(INDEX(使用レシピ!I:I,MATCH(テンプレート!$C321,使用レシピ!$E:$E,0))&lt;&gt;0,INDEX(使用レシピ!I:I,MATCH(テンプレート!$C321,使用レシピ!$E:$E,0)),""),"")</f>
        <v/>
      </c>
      <c r="H321" s="24" t="str">
        <f>IFERROR(IF(INDEX(使用レシピ!J:J,MATCH(テンプレート!$C321,使用レシピ!$E:$E,0))&lt;&gt;0,INDEX(使用レシピ!J:J,MATCH(テンプレート!$C321,使用レシピ!$E:$E,0)),""),"")</f>
        <v/>
      </c>
      <c r="I321" s="36" t="str">
        <f>IFERROR(IF(INDEX(使用レシピ!P:P,MATCH(テンプレート!$C321,使用レシピ!$E:$E,0))&lt;&gt;0,INDEX(使用レシピ!P:P,MATCH(テンプレート!$C321,使用レシピ!$E:$E,0)),""),"")</f>
        <v/>
      </c>
      <c r="J321" t="str">
        <f>IFERROR(IF(INDEX(使用レシピ!K:K,MATCH(テンプレート!$C321,使用レシピ!$E:$E,0))&lt;&gt;0,INDEX(使用レシピ!K:K,MATCH(テンプレート!$C321,使用レシピ!$E:$E,0)),""),"")</f>
        <v/>
      </c>
      <c r="K321" t="str">
        <f>IFERROR(IF(INDEX(使用レシピ!L:L,MATCH(テンプレート!$C321,使用レシピ!$E:$E,0))&lt;&gt;0,INDEX(使用レシピ!L:L,MATCH(テンプレート!$C321,使用レシピ!$E:$E,0)),""),"")</f>
        <v/>
      </c>
      <c r="L321" t="str">
        <f>IFERROR(IF(INDEX(使用レシピ!M:M,MATCH(テンプレート!$C321,使用レシピ!$E:$E,0))&lt;&gt;0,INDEX(使用レシピ!M:M,MATCH(テンプレート!$C321,使用レシピ!$E:$E,0)),""),"")</f>
        <v/>
      </c>
      <c r="M321" t="str">
        <f>IFERROR(IF(INDEX(使用レシピ!N:N,MATCH(テンプレート!$C321,使用レシピ!$E:$E,0))&lt;&gt;0,INDEX(使用レシピ!N:N,MATCH(テンプレート!$C321,使用レシピ!$E:$E,0)),""),"")</f>
        <v/>
      </c>
      <c r="N321" s="24" t="str">
        <f>IFERROR(IF(INDEX(使用レシピ!O:O,MATCH(テンプレート!$C321,使用レシピ!$E:$E,0))&lt;&gt;0,INDEX(使用レシピ!O:O,MATCH(テンプレート!$C321,使用レシピ!$E:$E,0)),""),"")</f>
        <v/>
      </c>
      <c r="O321" s="36" t="str">
        <f>IFERROR(IF(INDEX(使用レシピ!P:P,MATCH(テンプレート!$C321,使用レシピ!$E:$E,0))&lt;&gt;0,INDEX(使用レシピ!P:P,MATCH(テンプレート!$C321,使用レシピ!$E:$E,0)),""),"")</f>
        <v/>
      </c>
      <c r="P321" t="str">
        <f t="shared" si="26"/>
        <v/>
      </c>
      <c r="Q321" t="str">
        <f t="shared" si="27"/>
        <v/>
      </c>
      <c r="R321" t="str">
        <f t="shared" si="28"/>
        <v/>
      </c>
      <c r="S321" t="str">
        <f t="shared" si="29"/>
        <v/>
      </c>
      <c r="T321" s="24" t="str">
        <f t="shared" si="30"/>
        <v/>
      </c>
    </row>
    <row r="322" spans="2:20" x14ac:dyDescent="0.4">
      <c r="B322" s="49" t="str" cm="1">
        <f t="array" ref="B322">IFERROR((INDEX($P$4:$T$1000,MATCH(VALUE(LEFT($A322,LEN($A322)-1)),$A$4:$A$1000,0),VALUE(RIGHT($A322,1)))/ INDEX($O$4:$O$1000,MATCH(VALUE(LEFT($A322,LEN($A322)-1)),$A$4:$A$1000))) * INDEX($B$4:$B$1000,MATCH(VALUE(LEFT($A322,LEN($A322)-1)),$A$4:$A$1000)),"")</f>
        <v/>
      </c>
      <c r="C322" s="2" t="str" cm="1">
        <f t="array" ref="C322">IFERROR(IF(INDEX($D$4:$H$1000,MATCH(VALUE(LEFT($A322,LEN($A322)-1)),$A$4:$A$1000,0),VALUE(RIGHT($A322,1)))= 0,"",INDEX($D$4:$H$1000,MATCH(VALUE(LEFT($A322,LEN($A322)-1)),$A$4:$A$1000,0),VALUE(RIGHT($A322,1)))),"")</f>
        <v/>
      </c>
      <c r="D322" s="23" t="str">
        <f>IFERROR(IF(INDEX(使用レシピ!F:F,MATCH(テンプレート!$C322,使用レシピ!$E:$E,0))&lt;&gt;0,INDEX(使用レシピ!F:F,MATCH(テンプレート!$C322,使用レシピ!$E:$E,0)),""),"")</f>
        <v/>
      </c>
      <c r="E322" t="str">
        <f>IFERROR(IF(INDEX(使用レシピ!G:G,MATCH(テンプレート!$C322,使用レシピ!$E:$E,0))&lt;&gt;0,INDEX(使用レシピ!G:G,MATCH(テンプレート!$C322,使用レシピ!$E:$E,0)),""),"")</f>
        <v/>
      </c>
      <c r="F322" t="str">
        <f>IFERROR(IF(INDEX(使用レシピ!H:H,MATCH(テンプレート!$C322,使用レシピ!$E:$E,0))&lt;&gt;0,INDEX(使用レシピ!H:H,MATCH(テンプレート!$C322,使用レシピ!$E:$E,0)),""),"")</f>
        <v/>
      </c>
      <c r="G322" t="str">
        <f>IFERROR(IF(INDEX(使用レシピ!I:I,MATCH(テンプレート!$C322,使用レシピ!$E:$E,0))&lt;&gt;0,INDEX(使用レシピ!I:I,MATCH(テンプレート!$C322,使用レシピ!$E:$E,0)),""),"")</f>
        <v/>
      </c>
      <c r="H322" s="24" t="str">
        <f>IFERROR(IF(INDEX(使用レシピ!J:J,MATCH(テンプレート!$C322,使用レシピ!$E:$E,0))&lt;&gt;0,INDEX(使用レシピ!J:J,MATCH(テンプレート!$C322,使用レシピ!$E:$E,0)),""),"")</f>
        <v/>
      </c>
      <c r="I322" s="36" t="str">
        <f>IFERROR(IF(INDEX(使用レシピ!P:P,MATCH(テンプレート!$C322,使用レシピ!$E:$E,0))&lt;&gt;0,INDEX(使用レシピ!P:P,MATCH(テンプレート!$C322,使用レシピ!$E:$E,0)),""),"")</f>
        <v/>
      </c>
      <c r="J322" t="str">
        <f>IFERROR(IF(INDEX(使用レシピ!K:K,MATCH(テンプレート!$C322,使用レシピ!$E:$E,0))&lt;&gt;0,INDEX(使用レシピ!K:K,MATCH(テンプレート!$C322,使用レシピ!$E:$E,0)),""),"")</f>
        <v/>
      </c>
      <c r="K322" t="str">
        <f>IFERROR(IF(INDEX(使用レシピ!L:L,MATCH(テンプレート!$C322,使用レシピ!$E:$E,0))&lt;&gt;0,INDEX(使用レシピ!L:L,MATCH(テンプレート!$C322,使用レシピ!$E:$E,0)),""),"")</f>
        <v/>
      </c>
      <c r="L322" t="str">
        <f>IFERROR(IF(INDEX(使用レシピ!M:M,MATCH(テンプレート!$C322,使用レシピ!$E:$E,0))&lt;&gt;0,INDEX(使用レシピ!M:M,MATCH(テンプレート!$C322,使用レシピ!$E:$E,0)),""),"")</f>
        <v/>
      </c>
      <c r="M322" t="str">
        <f>IFERROR(IF(INDEX(使用レシピ!N:N,MATCH(テンプレート!$C322,使用レシピ!$E:$E,0))&lt;&gt;0,INDEX(使用レシピ!N:N,MATCH(テンプレート!$C322,使用レシピ!$E:$E,0)),""),"")</f>
        <v/>
      </c>
      <c r="N322" s="24" t="str">
        <f>IFERROR(IF(INDEX(使用レシピ!O:O,MATCH(テンプレート!$C322,使用レシピ!$E:$E,0))&lt;&gt;0,INDEX(使用レシピ!O:O,MATCH(テンプレート!$C322,使用レシピ!$E:$E,0)),""),"")</f>
        <v/>
      </c>
      <c r="O322" s="36" t="str">
        <f>IFERROR(IF(INDEX(使用レシピ!P:P,MATCH(テンプレート!$C322,使用レシピ!$E:$E,0))&lt;&gt;0,INDEX(使用レシピ!P:P,MATCH(テンプレート!$C322,使用レシピ!$E:$E,0)),""),"")</f>
        <v/>
      </c>
      <c r="P322" t="str">
        <f t="shared" si="26"/>
        <v/>
      </c>
      <c r="Q322" t="str">
        <f t="shared" si="27"/>
        <v/>
      </c>
      <c r="R322" t="str">
        <f t="shared" si="28"/>
        <v/>
      </c>
      <c r="S322" t="str">
        <f t="shared" si="29"/>
        <v/>
      </c>
      <c r="T322" s="24" t="str">
        <f t="shared" si="30"/>
        <v/>
      </c>
    </row>
    <row r="323" spans="2:20" x14ac:dyDescent="0.4">
      <c r="B323" s="49" t="str" cm="1">
        <f t="array" ref="B323">IFERROR((INDEX($P$4:$T$1000,MATCH(VALUE(LEFT($A323,LEN($A323)-1)),$A$4:$A$1000,0),VALUE(RIGHT($A323,1)))/ INDEX($O$4:$O$1000,MATCH(VALUE(LEFT($A323,LEN($A323)-1)),$A$4:$A$1000))) * INDEX($B$4:$B$1000,MATCH(VALUE(LEFT($A323,LEN($A323)-1)),$A$4:$A$1000)),"")</f>
        <v/>
      </c>
      <c r="C323" s="2" t="str" cm="1">
        <f t="array" ref="C323">IFERROR(IF(INDEX($D$4:$H$1000,MATCH(VALUE(LEFT($A323,LEN($A323)-1)),$A$4:$A$1000,0),VALUE(RIGHT($A323,1)))= 0,"",INDEX($D$4:$H$1000,MATCH(VALUE(LEFT($A323,LEN($A323)-1)),$A$4:$A$1000,0),VALUE(RIGHT($A323,1)))),"")</f>
        <v/>
      </c>
      <c r="D323" s="23" t="str">
        <f>IFERROR(IF(INDEX(使用レシピ!F:F,MATCH(テンプレート!$C323,使用レシピ!$E:$E,0))&lt;&gt;0,INDEX(使用レシピ!F:F,MATCH(テンプレート!$C323,使用レシピ!$E:$E,0)),""),"")</f>
        <v/>
      </c>
      <c r="E323" t="str">
        <f>IFERROR(IF(INDEX(使用レシピ!G:G,MATCH(テンプレート!$C323,使用レシピ!$E:$E,0))&lt;&gt;0,INDEX(使用レシピ!G:G,MATCH(テンプレート!$C323,使用レシピ!$E:$E,0)),""),"")</f>
        <v/>
      </c>
      <c r="F323" t="str">
        <f>IFERROR(IF(INDEX(使用レシピ!H:H,MATCH(テンプレート!$C323,使用レシピ!$E:$E,0))&lt;&gt;0,INDEX(使用レシピ!H:H,MATCH(テンプレート!$C323,使用レシピ!$E:$E,0)),""),"")</f>
        <v/>
      </c>
      <c r="G323" t="str">
        <f>IFERROR(IF(INDEX(使用レシピ!I:I,MATCH(テンプレート!$C323,使用レシピ!$E:$E,0))&lt;&gt;0,INDEX(使用レシピ!I:I,MATCH(テンプレート!$C323,使用レシピ!$E:$E,0)),""),"")</f>
        <v/>
      </c>
      <c r="H323" s="24" t="str">
        <f>IFERROR(IF(INDEX(使用レシピ!J:J,MATCH(テンプレート!$C323,使用レシピ!$E:$E,0))&lt;&gt;0,INDEX(使用レシピ!J:J,MATCH(テンプレート!$C323,使用レシピ!$E:$E,0)),""),"")</f>
        <v/>
      </c>
      <c r="I323" s="36" t="str">
        <f>IFERROR(IF(INDEX(使用レシピ!P:P,MATCH(テンプレート!$C323,使用レシピ!$E:$E,0))&lt;&gt;0,INDEX(使用レシピ!P:P,MATCH(テンプレート!$C323,使用レシピ!$E:$E,0)),""),"")</f>
        <v/>
      </c>
      <c r="J323" t="str">
        <f>IFERROR(IF(INDEX(使用レシピ!K:K,MATCH(テンプレート!$C323,使用レシピ!$E:$E,0))&lt;&gt;0,INDEX(使用レシピ!K:K,MATCH(テンプレート!$C323,使用レシピ!$E:$E,0)),""),"")</f>
        <v/>
      </c>
      <c r="K323" t="str">
        <f>IFERROR(IF(INDEX(使用レシピ!L:L,MATCH(テンプレート!$C323,使用レシピ!$E:$E,0))&lt;&gt;0,INDEX(使用レシピ!L:L,MATCH(テンプレート!$C323,使用レシピ!$E:$E,0)),""),"")</f>
        <v/>
      </c>
      <c r="L323" t="str">
        <f>IFERROR(IF(INDEX(使用レシピ!M:M,MATCH(テンプレート!$C323,使用レシピ!$E:$E,0))&lt;&gt;0,INDEX(使用レシピ!M:M,MATCH(テンプレート!$C323,使用レシピ!$E:$E,0)),""),"")</f>
        <v/>
      </c>
      <c r="M323" t="str">
        <f>IFERROR(IF(INDEX(使用レシピ!N:N,MATCH(テンプレート!$C323,使用レシピ!$E:$E,0))&lt;&gt;0,INDEX(使用レシピ!N:N,MATCH(テンプレート!$C323,使用レシピ!$E:$E,0)),""),"")</f>
        <v/>
      </c>
      <c r="N323" s="24" t="str">
        <f>IFERROR(IF(INDEX(使用レシピ!O:O,MATCH(テンプレート!$C323,使用レシピ!$E:$E,0))&lt;&gt;0,INDEX(使用レシピ!O:O,MATCH(テンプレート!$C323,使用レシピ!$E:$E,0)),""),"")</f>
        <v/>
      </c>
      <c r="O323" s="36" t="str">
        <f>IFERROR(IF(INDEX(使用レシピ!P:P,MATCH(テンプレート!$C323,使用レシピ!$E:$E,0))&lt;&gt;0,INDEX(使用レシピ!P:P,MATCH(テンプレート!$C323,使用レシピ!$E:$E,0)),""),"")</f>
        <v/>
      </c>
      <c r="P323" t="str">
        <f t="shared" si="26"/>
        <v/>
      </c>
      <c r="Q323" t="str">
        <f t="shared" si="27"/>
        <v/>
      </c>
      <c r="R323" t="str">
        <f t="shared" si="28"/>
        <v/>
      </c>
      <c r="S323" t="str">
        <f t="shared" si="29"/>
        <v/>
      </c>
      <c r="T323" s="24" t="str">
        <f t="shared" si="30"/>
        <v/>
      </c>
    </row>
    <row r="324" spans="2:20" x14ac:dyDescent="0.4">
      <c r="B324" s="49" t="str" cm="1">
        <f t="array" ref="B324">IFERROR((INDEX($P$4:$T$1000,MATCH(VALUE(LEFT($A324,LEN($A324)-1)),$A$4:$A$1000,0),VALUE(RIGHT($A324,1)))/ INDEX($O$4:$O$1000,MATCH(VALUE(LEFT($A324,LEN($A324)-1)),$A$4:$A$1000))) * INDEX($B$4:$B$1000,MATCH(VALUE(LEFT($A324,LEN($A324)-1)),$A$4:$A$1000)),"")</f>
        <v/>
      </c>
      <c r="C324" s="2" t="str" cm="1">
        <f t="array" ref="C324">IFERROR(IF(INDEX($D$4:$H$1000,MATCH(VALUE(LEFT($A324,LEN($A324)-1)),$A$4:$A$1000,0),VALUE(RIGHT($A324,1)))= 0,"",INDEX($D$4:$H$1000,MATCH(VALUE(LEFT($A324,LEN($A324)-1)),$A$4:$A$1000,0),VALUE(RIGHT($A324,1)))),"")</f>
        <v/>
      </c>
      <c r="D324" s="23" t="str">
        <f>IFERROR(IF(INDEX(使用レシピ!F:F,MATCH(テンプレート!$C324,使用レシピ!$E:$E,0))&lt;&gt;0,INDEX(使用レシピ!F:F,MATCH(テンプレート!$C324,使用レシピ!$E:$E,0)),""),"")</f>
        <v/>
      </c>
      <c r="E324" t="str">
        <f>IFERROR(IF(INDEX(使用レシピ!G:G,MATCH(テンプレート!$C324,使用レシピ!$E:$E,0))&lt;&gt;0,INDEX(使用レシピ!G:G,MATCH(テンプレート!$C324,使用レシピ!$E:$E,0)),""),"")</f>
        <v/>
      </c>
      <c r="F324" t="str">
        <f>IFERROR(IF(INDEX(使用レシピ!H:H,MATCH(テンプレート!$C324,使用レシピ!$E:$E,0))&lt;&gt;0,INDEX(使用レシピ!H:H,MATCH(テンプレート!$C324,使用レシピ!$E:$E,0)),""),"")</f>
        <v/>
      </c>
      <c r="G324" t="str">
        <f>IFERROR(IF(INDEX(使用レシピ!I:I,MATCH(テンプレート!$C324,使用レシピ!$E:$E,0))&lt;&gt;0,INDEX(使用レシピ!I:I,MATCH(テンプレート!$C324,使用レシピ!$E:$E,0)),""),"")</f>
        <v/>
      </c>
      <c r="H324" s="24" t="str">
        <f>IFERROR(IF(INDEX(使用レシピ!J:J,MATCH(テンプレート!$C324,使用レシピ!$E:$E,0))&lt;&gt;0,INDEX(使用レシピ!J:J,MATCH(テンプレート!$C324,使用レシピ!$E:$E,0)),""),"")</f>
        <v/>
      </c>
      <c r="I324" s="36" t="str">
        <f>IFERROR(IF(INDEX(使用レシピ!P:P,MATCH(テンプレート!$C324,使用レシピ!$E:$E,0))&lt;&gt;0,INDEX(使用レシピ!P:P,MATCH(テンプレート!$C324,使用レシピ!$E:$E,0)),""),"")</f>
        <v/>
      </c>
      <c r="J324" t="str">
        <f>IFERROR(IF(INDEX(使用レシピ!K:K,MATCH(テンプレート!$C324,使用レシピ!$E:$E,0))&lt;&gt;0,INDEX(使用レシピ!K:K,MATCH(テンプレート!$C324,使用レシピ!$E:$E,0)),""),"")</f>
        <v/>
      </c>
      <c r="K324" t="str">
        <f>IFERROR(IF(INDEX(使用レシピ!L:L,MATCH(テンプレート!$C324,使用レシピ!$E:$E,0))&lt;&gt;0,INDEX(使用レシピ!L:L,MATCH(テンプレート!$C324,使用レシピ!$E:$E,0)),""),"")</f>
        <v/>
      </c>
      <c r="L324" t="str">
        <f>IFERROR(IF(INDEX(使用レシピ!M:M,MATCH(テンプレート!$C324,使用レシピ!$E:$E,0))&lt;&gt;0,INDEX(使用レシピ!M:M,MATCH(テンプレート!$C324,使用レシピ!$E:$E,0)),""),"")</f>
        <v/>
      </c>
      <c r="M324" t="str">
        <f>IFERROR(IF(INDEX(使用レシピ!N:N,MATCH(テンプレート!$C324,使用レシピ!$E:$E,0))&lt;&gt;0,INDEX(使用レシピ!N:N,MATCH(テンプレート!$C324,使用レシピ!$E:$E,0)),""),"")</f>
        <v/>
      </c>
      <c r="N324" s="24" t="str">
        <f>IFERROR(IF(INDEX(使用レシピ!O:O,MATCH(テンプレート!$C324,使用レシピ!$E:$E,0))&lt;&gt;0,INDEX(使用レシピ!O:O,MATCH(テンプレート!$C324,使用レシピ!$E:$E,0)),""),"")</f>
        <v/>
      </c>
      <c r="O324" s="36" t="str">
        <f>IFERROR(IF(INDEX(使用レシピ!P:P,MATCH(テンプレート!$C324,使用レシピ!$E:$E,0))&lt;&gt;0,INDEX(使用レシピ!P:P,MATCH(テンプレート!$C324,使用レシピ!$E:$E,0)),""),"")</f>
        <v/>
      </c>
      <c r="P324" t="str">
        <f t="shared" si="26"/>
        <v/>
      </c>
      <c r="Q324" t="str">
        <f t="shared" si="27"/>
        <v/>
      </c>
      <c r="R324" t="str">
        <f t="shared" si="28"/>
        <v/>
      </c>
      <c r="S324" t="str">
        <f t="shared" si="29"/>
        <v/>
      </c>
      <c r="T324" s="24" t="str">
        <f t="shared" si="30"/>
        <v/>
      </c>
    </row>
    <row r="325" spans="2:20" x14ac:dyDescent="0.4">
      <c r="B325" s="49" t="str" cm="1">
        <f t="array" ref="B325">IFERROR((INDEX($P$4:$T$1000,MATCH(VALUE(LEFT($A325,LEN($A325)-1)),$A$4:$A$1000,0),VALUE(RIGHT($A325,1)))/ INDEX($O$4:$O$1000,MATCH(VALUE(LEFT($A325,LEN($A325)-1)),$A$4:$A$1000))) * INDEX($B$4:$B$1000,MATCH(VALUE(LEFT($A325,LEN($A325)-1)),$A$4:$A$1000)),"")</f>
        <v/>
      </c>
      <c r="C325" s="2" t="str" cm="1">
        <f t="array" ref="C325">IFERROR(IF(INDEX($D$4:$H$1000,MATCH(VALUE(LEFT($A325,LEN($A325)-1)),$A$4:$A$1000,0),VALUE(RIGHT($A325,1)))= 0,"",INDEX($D$4:$H$1000,MATCH(VALUE(LEFT($A325,LEN($A325)-1)),$A$4:$A$1000,0),VALUE(RIGHT($A325,1)))),"")</f>
        <v/>
      </c>
      <c r="D325" s="23" t="str">
        <f>IFERROR(IF(INDEX(使用レシピ!F:F,MATCH(テンプレート!$C325,使用レシピ!$E:$E,0))&lt;&gt;0,INDEX(使用レシピ!F:F,MATCH(テンプレート!$C325,使用レシピ!$E:$E,0)),""),"")</f>
        <v/>
      </c>
      <c r="E325" t="str">
        <f>IFERROR(IF(INDEX(使用レシピ!G:G,MATCH(テンプレート!$C325,使用レシピ!$E:$E,0))&lt;&gt;0,INDEX(使用レシピ!G:G,MATCH(テンプレート!$C325,使用レシピ!$E:$E,0)),""),"")</f>
        <v/>
      </c>
      <c r="F325" t="str">
        <f>IFERROR(IF(INDEX(使用レシピ!H:H,MATCH(テンプレート!$C325,使用レシピ!$E:$E,0))&lt;&gt;0,INDEX(使用レシピ!H:H,MATCH(テンプレート!$C325,使用レシピ!$E:$E,0)),""),"")</f>
        <v/>
      </c>
      <c r="G325" t="str">
        <f>IFERROR(IF(INDEX(使用レシピ!I:I,MATCH(テンプレート!$C325,使用レシピ!$E:$E,0))&lt;&gt;0,INDEX(使用レシピ!I:I,MATCH(テンプレート!$C325,使用レシピ!$E:$E,0)),""),"")</f>
        <v/>
      </c>
      <c r="H325" s="24" t="str">
        <f>IFERROR(IF(INDEX(使用レシピ!J:J,MATCH(テンプレート!$C325,使用レシピ!$E:$E,0))&lt;&gt;0,INDEX(使用レシピ!J:J,MATCH(テンプレート!$C325,使用レシピ!$E:$E,0)),""),"")</f>
        <v/>
      </c>
      <c r="I325" s="36" t="str">
        <f>IFERROR(IF(INDEX(使用レシピ!P:P,MATCH(テンプレート!$C325,使用レシピ!$E:$E,0))&lt;&gt;0,INDEX(使用レシピ!P:P,MATCH(テンプレート!$C325,使用レシピ!$E:$E,0)),""),"")</f>
        <v/>
      </c>
      <c r="J325" t="str">
        <f>IFERROR(IF(INDEX(使用レシピ!K:K,MATCH(テンプレート!$C325,使用レシピ!$E:$E,0))&lt;&gt;0,INDEX(使用レシピ!K:K,MATCH(テンプレート!$C325,使用レシピ!$E:$E,0)),""),"")</f>
        <v/>
      </c>
      <c r="K325" t="str">
        <f>IFERROR(IF(INDEX(使用レシピ!L:L,MATCH(テンプレート!$C325,使用レシピ!$E:$E,0))&lt;&gt;0,INDEX(使用レシピ!L:L,MATCH(テンプレート!$C325,使用レシピ!$E:$E,0)),""),"")</f>
        <v/>
      </c>
      <c r="L325" t="str">
        <f>IFERROR(IF(INDEX(使用レシピ!M:M,MATCH(テンプレート!$C325,使用レシピ!$E:$E,0))&lt;&gt;0,INDEX(使用レシピ!M:M,MATCH(テンプレート!$C325,使用レシピ!$E:$E,0)),""),"")</f>
        <v/>
      </c>
      <c r="M325" t="str">
        <f>IFERROR(IF(INDEX(使用レシピ!N:N,MATCH(テンプレート!$C325,使用レシピ!$E:$E,0))&lt;&gt;0,INDEX(使用レシピ!N:N,MATCH(テンプレート!$C325,使用レシピ!$E:$E,0)),""),"")</f>
        <v/>
      </c>
      <c r="N325" s="24" t="str">
        <f>IFERROR(IF(INDEX(使用レシピ!O:O,MATCH(テンプレート!$C325,使用レシピ!$E:$E,0))&lt;&gt;0,INDEX(使用レシピ!O:O,MATCH(テンプレート!$C325,使用レシピ!$E:$E,0)),""),"")</f>
        <v/>
      </c>
      <c r="O325" s="36" t="str">
        <f>IFERROR(IF(INDEX(使用レシピ!P:P,MATCH(テンプレート!$C325,使用レシピ!$E:$E,0))&lt;&gt;0,INDEX(使用レシピ!P:P,MATCH(テンプレート!$C325,使用レシピ!$E:$E,0)),""),"")</f>
        <v/>
      </c>
      <c r="P325" t="str">
        <f t="shared" si="26"/>
        <v/>
      </c>
      <c r="Q325" t="str">
        <f t="shared" si="27"/>
        <v/>
      </c>
      <c r="R325" t="str">
        <f t="shared" si="28"/>
        <v/>
      </c>
      <c r="S325" t="str">
        <f t="shared" si="29"/>
        <v/>
      </c>
      <c r="T325" s="24" t="str">
        <f t="shared" si="30"/>
        <v/>
      </c>
    </row>
    <row r="326" spans="2:20" x14ac:dyDescent="0.4">
      <c r="B326" s="49" t="str" cm="1">
        <f t="array" ref="B326">IFERROR((INDEX($P$4:$T$1000,MATCH(VALUE(LEFT($A326,LEN($A326)-1)),$A$4:$A$1000,0),VALUE(RIGHT($A326,1)))/ INDEX($O$4:$O$1000,MATCH(VALUE(LEFT($A326,LEN($A326)-1)),$A$4:$A$1000))) * INDEX($B$4:$B$1000,MATCH(VALUE(LEFT($A326,LEN($A326)-1)),$A$4:$A$1000)),"")</f>
        <v/>
      </c>
      <c r="C326" s="2" t="str" cm="1">
        <f t="array" ref="C326">IFERROR(IF(INDEX($D$4:$H$1000,MATCH(VALUE(LEFT($A326,LEN($A326)-1)),$A$4:$A$1000,0),VALUE(RIGHT($A326,1)))= 0,"",INDEX($D$4:$H$1000,MATCH(VALUE(LEFT($A326,LEN($A326)-1)),$A$4:$A$1000,0),VALUE(RIGHT($A326,1)))),"")</f>
        <v/>
      </c>
      <c r="D326" s="23" t="str">
        <f>IFERROR(IF(INDEX(使用レシピ!F:F,MATCH(テンプレート!$C326,使用レシピ!$E:$E,0))&lt;&gt;0,INDEX(使用レシピ!F:F,MATCH(テンプレート!$C326,使用レシピ!$E:$E,0)),""),"")</f>
        <v/>
      </c>
      <c r="E326" t="str">
        <f>IFERROR(IF(INDEX(使用レシピ!G:G,MATCH(テンプレート!$C326,使用レシピ!$E:$E,0))&lt;&gt;0,INDEX(使用レシピ!G:G,MATCH(テンプレート!$C326,使用レシピ!$E:$E,0)),""),"")</f>
        <v/>
      </c>
      <c r="F326" t="str">
        <f>IFERROR(IF(INDEX(使用レシピ!H:H,MATCH(テンプレート!$C326,使用レシピ!$E:$E,0))&lt;&gt;0,INDEX(使用レシピ!H:H,MATCH(テンプレート!$C326,使用レシピ!$E:$E,0)),""),"")</f>
        <v/>
      </c>
      <c r="G326" t="str">
        <f>IFERROR(IF(INDEX(使用レシピ!I:I,MATCH(テンプレート!$C326,使用レシピ!$E:$E,0))&lt;&gt;0,INDEX(使用レシピ!I:I,MATCH(テンプレート!$C326,使用レシピ!$E:$E,0)),""),"")</f>
        <v/>
      </c>
      <c r="H326" s="24" t="str">
        <f>IFERROR(IF(INDEX(使用レシピ!J:J,MATCH(テンプレート!$C326,使用レシピ!$E:$E,0))&lt;&gt;0,INDEX(使用レシピ!J:J,MATCH(テンプレート!$C326,使用レシピ!$E:$E,0)),""),"")</f>
        <v/>
      </c>
      <c r="I326" s="36" t="str">
        <f>IFERROR(IF(INDEX(使用レシピ!P:P,MATCH(テンプレート!$C326,使用レシピ!$E:$E,0))&lt;&gt;0,INDEX(使用レシピ!P:P,MATCH(テンプレート!$C326,使用レシピ!$E:$E,0)),""),"")</f>
        <v/>
      </c>
      <c r="J326" t="str">
        <f>IFERROR(IF(INDEX(使用レシピ!K:K,MATCH(テンプレート!$C326,使用レシピ!$E:$E,0))&lt;&gt;0,INDEX(使用レシピ!K:K,MATCH(テンプレート!$C326,使用レシピ!$E:$E,0)),""),"")</f>
        <v/>
      </c>
      <c r="K326" t="str">
        <f>IFERROR(IF(INDEX(使用レシピ!L:L,MATCH(テンプレート!$C326,使用レシピ!$E:$E,0))&lt;&gt;0,INDEX(使用レシピ!L:L,MATCH(テンプレート!$C326,使用レシピ!$E:$E,0)),""),"")</f>
        <v/>
      </c>
      <c r="L326" t="str">
        <f>IFERROR(IF(INDEX(使用レシピ!M:M,MATCH(テンプレート!$C326,使用レシピ!$E:$E,0))&lt;&gt;0,INDEX(使用レシピ!M:M,MATCH(テンプレート!$C326,使用レシピ!$E:$E,0)),""),"")</f>
        <v/>
      </c>
      <c r="M326" t="str">
        <f>IFERROR(IF(INDEX(使用レシピ!N:N,MATCH(テンプレート!$C326,使用レシピ!$E:$E,0))&lt;&gt;0,INDEX(使用レシピ!N:N,MATCH(テンプレート!$C326,使用レシピ!$E:$E,0)),""),"")</f>
        <v/>
      </c>
      <c r="N326" s="24" t="str">
        <f>IFERROR(IF(INDEX(使用レシピ!O:O,MATCH(テンプレート!$C326,使用レシピ!$E:$E,0))&lt;&gt;0,INDEX(使用レシピ!O:O,MATCH(テンプレート!$C326,使用レシピ!$E:$E,0)),""),"")</f>
        <v/>
      </c>
      <c r="O326" s="36" t="str">
        <f>IFERROR(IF(INDEX(使用レシピ!P:P,MATCH(テンプレート!$C326,使用レシピ!$E:$E,0))&lt;&gt;0,INDEX(使用レシピ!P:P,MATCH(テンプレート!$C326,使用レシピ!$E:$E,0)),""),"")</f>
        <v/>
      </c>
      <c r="P326" t="str">
        <f t="shared" si="26"/>
        <v/>
      </c>
      <c r="Q326" t="str">
        <f t="shared" si="27"/>
        <v/>
      </c>
      <c r="R326" t="str">
        <f t="shared" si="28"/>
        <v/>
      </c>
      <c r="S326" t="str">
        <f t="shared" si="29"/>
        <v/>
      </c>
      <c r="T326" s="24" t="str">
        <f t="shared" si="30"/>
        <v/>
      </c>
    </row>
    <row r="327" spans="2:20" x14ac:dyDescent="0.4">
      <c r="B327" s="49" t="str" cm="1">
        <f t="array" ref="B327">IFERROR((INDEX($P$4:$T$1000,MATCH(VALUE(LEFT($A327,LEN($A327)-1)),$A$4:$A$1000,0),VALUE(RIGHT($A327,1)))/ INDEX($O$4:$O$1000,MATCH(VALUE(LEFT($A327,LEN($A327)-1)),$A$4:$A$1000))) * INDEX($B$4:$B$1000,MATCH(VALUE(LEFT($A327,LEN($A327)-1)),$A$4:$A$1000)),"")</f>
        <v/>
      </c>
      <c r="C327" s="2" t="str" cm="1">
        <f t="array" ref="C327">IFERROR(IF(INDEX($D$4:$H$1000,MATCH(VALUE(LEFT($A327,LEN($A327)-1)),$A$4:$A$1000,0),VALUE(RIGHT($A327,1)))= 0,"",INDEX($D$4:$H$1000,MATCH(VALUE(LEFT($A327,LEN($A327)-1)),$A$4:$A$1000,0),VALUE(RIGHT($A327,1)))),"")</f>
        <v/>
      </c>
      <c r="D327" s="23" t="str">
        <f>IFERROR(IF(INDEX(使用レシピ!F:F,MATCH(テンプレート!$C327,使用レシピ!$E:$E,0))&lt;&gt;0,INDEX(使用レシピ!F:F,MATCH(テンプレート!$C327,使用レシピ!$E:$E,0)),""),"")</f>
        <v/>
      </c>
      <c r="E327" t="str">
        <f>IFERROR(IF(INDEX(使用レシピ!G:G,MATCH(テンプレート!$C327,使用レシピ!$E:$E,0))&lt;&gt;0,INDEX(使用レシピ!G:G,MATCH(テンプレート!$C327,使用レシピ!$E:$E,0)),""),"")</f>
        <v/>
      </c>
      <c r="F327" t="str">
        <f>IFERROR(IF(INDEX(使用レシピ!H:H,MATCH(テンプレート!$C327,使用レシピ!$E:$E,0))&lt;&gt;0,INDEX(使用レシピ!H:H,MATCH(テンプレート!$C327,使用レシピ!$E:$E,0)),""),"")</f>
        <v/>
      </c>
      <c r="G327" t="str">
        <f>IFERROR(IF(INDEX(使用レシピ!I:I,MATCH(テンプレート!$C327,使用レシピ!$E:$E,0))&lt;&gt;0,INDEX(使用レシピ!I:I,MATCH(テンプレート!$C327,使用レシピ!$E:$E,0)),""),"")</f>
        <v/>
      </c>
      <c r="H327" s="24" t="str">
        <f>IFERROR(IF(INDEX(使用レシピ!J:J,MATCH(テンプレート!$C327,使用レシピ!$E:$E,0))&lt;&gt;0,INDEX(使用レシピ!J:J,MATCH(テンプレート!$C327,使用レシピ!$E:$E,0)),""),"")</f>
        <v/>
      </c>
      <c r="I327" s="36" t="str">
        <f>IFERROR(IF(INDEX(使用レシピ!P:P,MATCH(テンプレート!$C327,使用レシピ!$E:$E,0))&lt;&gt;0,INDEX(使用レシピ!P:P,MATCH(テンプレート!$C327,使用レシピ!$E:$E,0)),""),"")</f>
        <v/>
      </c>
      <c r="J327" t="str">
        <f>IFERROR(IF(INDEX(使用レシピ!K:K,MATCH(テンプレート!$C327,使用レシピ!$E:$E,0))&lt;&gt;0,INDEX(使用レシピ!K:K,MATCH(テンプレート!$C327,使用レシピ!$E:$E,0)),""),"")</f>
        <v/>
      </c>
      <c r="K327" t="str">
        <f>IFERROR(IF(INDEX(使用レシピ!L:L,MATCH(テンプレート!$C327,使用レシピ!$E:$E,0))&lt;&gt;0,INDEX(使用レシピ!L:L,MATCH(テンプレート!$C327,使用レシピ!$E:$E,0)),""),"")</f>
        <v/>
      </c>
      <c r="L327" t="str">
        <f>IFERROR(IF(INDEX(使用レシピ!M:M,MATCH(テンプレート!$C327,使用レシピ!$E:$E,0))&lt;&gt;0,INDEX(使用レシピ!M:M,MATCH(テンプレート!$C327,使用レシピ!$E:$E,0)),""),"")</f>
        <v/>
      </c>
      <c r="M327" t="str">
        <f>IFERROR(IF(INDEX(使用レシピ!N:N,MATCH(テンプレート!$C327,使用レシピ!$E:$E,0))&lt;&gt;0,INDEX(使用レシピ!N:N,MATCH(テンプレート!$C327,使用レシピ!$E:$E,0)),""),"")</f>
        <v/>
      </c>
      <c r="N327" s="24" t="str">
        <f>IFERROR(IF(INDEX(使用レシピ!O:O,MATCH(テンプレート!$C327,使用レシピ!$E:$E,0))&lt;&gt;0,INDEX(使用レシピ!O:O,MATCH(テンプレート!$C327,使用レシピ!$E:$E,0)),""),"")</f>
        <v/>
      </c>
      <c r="O327" s="36" t="str">
        <f>IFERROR(IF(INDEX(使用レシピ!P:P,MATCH(テンプレート!$C327,使用レシピ!$E:$E,0))&lt;&gt;0,INDEX(使用レシピ!P:P,MATCH(テンプレート!$C327,使用レシピ!$E:$E,0)),""),"")</f>
        <v/>
      </c>
      <c r="P327" t="str">
        <f t="shared" si="26"/>
        <v/>
      </c>
      <c r="Q327" t="str">
        <f t="shared" si="27"/>
        <v/>
      </c>
      <c r="R327" t="str">
        <f t="shared" si="28"/>
        <v/>
      </c>
      <c r="S327" t="str">
        <f t="shared" si="29"/>
        <v/>
      </c>
      <c r="T327" s="24" t="str">
        <f t="shared" si="30"/>
        <v/>
      </c>
    </row>
    <row r="328" spans="2:20" x14ac:dyDescent="0.4">
      <c r="B328" s="49" t="str" cm="1">
        <f t="array" ref="B328">IFERROR((INDEX($P$4:$T$1000,MATCH(VALUE(LEFT($A328,LEN($A328)-1)),$A$4:$A$1000,0),VALUE(RIGHT($A328,1)))/ INDEX($O$4:$O$1000,MATCH(VALUE(LEFT($A328,LEN($A328)-1)),$A$4:$A$1000))) * INDEX($B$4:$B$1000,MATCH(VALUE(LEFT($A328,LEN($A328)-1)),$A$4:$A$1000)),"")</f>
        <v/>
      </c>
      <c r="C328" s="2" t="str" cm="1">
        <f t="array" ref="C328">IFERROR(IF(INDEX($D$4:$H$1000,MATCH(VALUE(LEFT($A328,LEN($A328)-1)),$A$4:$A$1000,0),VALUE(RIGHT($A328,1)))= 0,"",INDEX($D$4:$H$1000,MATCH(VALUE(LEFT($A328,LEN($A328)-1)),$A$4:$A$1000,0),VALUE(RIGHT($A328,1)))),"")</f>
        <v/>
      </c>
      <c r="D328" s="23" t="str">
        <f>IFERROR(IF(INDEX(使用レシピ!F:F,MATCH(テンプレート!$C328,使用レシピ!$E:$E,0))&lt;&gt;0,INDEX(使用レシピ!F:F,MATCH(テンプレート!$C328,使用レシピ!$E:$E,0)),""),"")</f>
        <v/>
      </c>
      <c r="E328" t="str">
        <f>IFERROR(IF(INDEX(使用レシピ!G:G,MATCH(テンプレート!$C328,使用レシピ!$E:$E,0))&lt;&gt;0,INDEX(使用レシピ!G:G,MATCH(テンプレート!$C328,使用レシピ!$E:$E,0)),""),"")</f>
        <v/>
      </c>
      <c r="F328" t="str">
        <f>IFERROR(IF(INDEX(使用レシピ!H:H,MATCH(テンプレート!$C328,使用レシピ!$E:$E,0))&lt;&gt;0,INDEX(使用レシピ!H:H,MATCH(テンプレート!$C328,使用レシピ!$E:$E,0)),""),"")</f>
        <v/>
      </c>
      <c r="G328" t="str">
        <f>IFERROR(IF(INDEX(使用レシピ!I:I,MATCH(テンプレート!$C328,使用レシピ!$E:$E,0))&lt;&gt;0,INDEX(使用レシピ!I:I,MATCH(テンプレート!$C328,使用レシピ!$E:$E,0)),""),"")</f>
        <v/>
      </c>
      <c r="H328" s="24" t="str">
        <f>IFERROR(IF(INDEX(使用レシピ!J:J,MATCH(テンプレート!$C328,使用レシピ!$E:$E,0))&lt;&gt;0,INDEX(使用レシピ!J:J,MATCH(テンプレート!$C328,使用レシピ!$E:$E,0)),""),"")</f>
        <v/>
      </c>
      <c r="I328" s="36" t="str">
        <f>IFERROR(IF(INDEX(使用レシピ!P:P,MATCH(テンプレート!$C328,使用レシピ!$E:$E,0))&lt;&gt;0,INDEX(使用レシピ!P:P,MATCH(テンプレート!$C328,使用レシピ!$E:$E,0)),""),"")</f>
        <v/>
      </c>
      <c r="J328" t="str">
        <f>IFERROR(IF(INDEX(使用レシピ!K:K,MATCH(テンプレート!$C328,使用レシピ!$E:$E,0))&lt;&gt;0,INDEX(使用レシピ!K:K,MATCH(テンプレート!$C328,使用レシピ!$E:$E,0)),""),"")</f>
        <v/>
      </c>
      <c r="K328" t="str">
        <f>IFERROR(IF(INDEX(使用レシピ!L:L,MATCH(テンプレート!$C328,使用レシピ!$E:$E,0))&lt;&gt;0,INDEX(使用レシピ!L:L,MATCH(テンプレート!$C328,使用レシピ!$E:$E,0)),""),"")</f>
        <v/>
      </c>
      <c r="L328" t="str">
        <f>IFERROR(IF(INDEX(使用レシピ!M:M,MATCH(テンプレート!$C328,使用レシピ!$E:$E,0))&lt;&gt;0,INDEX(使用レシピ!M:M,MATCH(テンプレート!$C328,使用レシピ!$E:$E,0)),""),"")</f>
        <v/>
      </c>
      <c r="M328" t="str">
        <f>IFERROR(IF(INDEX(使用レシピ!N:N,MATCH(テンプレート!$C328,使用レシピ!$E:$E,0))&lt;&gt;0,INDEX(使用レシピ!N:N,MATCH(テンプレート!$C328,使用レシピ!$E:$E,0)),""),"")</f>
        <v/>
      </c>
      <c r="N328" s="24" t="str">
        <f>IFERROR(IF(INDEX(使用レシピ!O:O,MATCH(テンプレート!$C328,使用レシピ!$E:$E,0))&lt;&gt;0,INDEX(使用レシピ!O:O,MATCH(テンプレート!$C328,使用レシピ!$E:$E,0)),""),"")</f>
        <v/>
      </c>
      <c r="O328" s="36" t="str">
        <f>IFERROR(IF(INDEX(使用レシピ!P:P,MATCH(テンプレート!$C328,使用レシピ!$E:$E,0))&lt;&gt;0,INDEX(使用レシピ!P:P,MATCH(テンプレート!$C328,使用レシピ!$E:$E,0)),""),"")</f>
        <v/>
      </c>
      <c r="P328" t="str">
        <f t="shared" si="26"/>
        <v/>
      </c>
      <c r="Q328" t="str">
        <f t="shared" si="27"/>
        <v/>
      </c>
      <c r="R328" t="str">
        <f t="shared" si="28"/>
        <v/>
      </c>
      <c r="S328" t="str">
        <f t="shared" si="29"/>
        <v/>
      </c>
      <c r="T328" s="24" t="str">
        <f t="shared" si="30"/>
        <v/>
      </c>
    </row>
    <row r="329" spans="2:20" x14ac:dyDescent="0.4">
      <c r="B329" s="49" t="str" cm="1">
        <f t="array" ref="B329">IFERROR((INDEX($P$4:$T$1000,MATCH(VALUE(LEFT($A329,LEN($A329)-1)),$A$4:$A$1000,0),VALUE(RIGHT($A329,1)))/ INDEX($O$4:$O$1000,MATCH(VALUE(LEFT($A329,LEN($A329)-1)),$A$4:$A$1000))) * INDEX($B$4:$B$1000,MATCH(VALUE(LEFT($A329,LEN($A329)-1)),$A$4:$A$1000)),"")</f>
        <v/>
      </c>
      <c r="C329" s="2" t="str" cm="1">
        <f t="array" ref="C329">IFERROR(IF(INDEX($D$4:$H$1000,MATCH(VALUE(LEFT($A329,LEN($A329)-1)),$A$4:$A$1000,0),VALUE(RIGHT($A329,1)))= 0,"",INDEX($D$4:$H$1000,MATCH(VALUE(LEFT($A329,LEN($A329)-1)),$A$4:$A$1000,0),VALUE(RIGHT($A329,1)))),"")</f>
        <v/>
      </c>
      <c r="D329" s="23" t="str">
        <f>IFERROR(IF(INDEX(使用レシピ!F:F,MATCH(テンプレート!$C329,使用レシピ!$E:$E,0))&lt;&gt;0,INDEX(使用レシピ!F:F,MATCH(テンプレート!$C329,使用レシピ!$E:$E,0)),""),"")</f>
        <v/>
      </c>
      <c r="E329" t="str">
        <f>IFERROR(IF(INDEX(使用レシピ!G:G,MATCH(テンプレート!$C329,使用レシピ!$E:$E,0))&lt;&gt;0,INDEX(使用レシピ!G:G,MATCH(テンプレート!$C329,使用レシピ!$E:$E,0)),""),"")</f>
        <v/>
      </c>
      <c r="F329" t="str">
        <f>IFERROR(IF(INDEX(使用レシピ!H:H,MATCH(テンプレート!$C329,使用レシピ!$E:$E,0))&lt;&gt;0,INDEX(使用レシピ!H:H,MATCH(テンプレート!$C329,使用レシピ!$E:$E,0)),""),"")</f>
        <v/>
      </c>
      <c r="G329" t="str">
        <f>IFERROR(IF(INDEX(使用レシピ!I:I,MATCH(テンプレート!$C329,使用レシピ!$E:$E,0))&lt;&gt;0,INDEX(使用レシピ!I:I,MATCH(テンプレート!$C329,使用レシピ!$E:$E,0)),""),"")</f>
        <v/>
      </c>
      <c r="H329" s="24" t="str">
        <f>IFERROR(IF(INDEX(使用レシピ!J:J,MATCH(テンプレート!$C329,使用レシピ!$E:$E,0))&lt;&gt;0,INDEX(使用レシピ!J:J,MATCH(テンプレート!$C329,使用レシピ!$E:$E,0)),""),"")</f>
        <v/>
      </c>
      <c r="I329" s="36" t="str">
        <f>IFERROR(IF(INDEX(使用レシピ!P:P,MATCH(テンプレート!$C329,使用レシピ!$E:$E,0))&lt;&gt;0,INDEX(使用レシピ!P:P,MATCH(テンプレート!$C329,使用レシピ!$E:$E,0)),""),"")</f>
        <v/>
      </c>
      <c r="J329" t="str">
        <f>IFERROR(IF(INDEX(使用レシピ!K:K,MATCH(テンプレート!$C329,使用レシピ!$E:$E,0))&lt;&gt;0,INDEX(使用レシピ!K:K,MATCH(テンプレート!$C329,使用レシピ!$E:$E,0)),""),"")</f>
        <v/>
      </c>
      <c r="K329" t="str">
        <f>IFERROR(IF(INDEX(使用レシピ!L:L,MATCH(テンプレート!$C329,使用レシピ!$E:$E,0))&lt;&gt;0,INDEX(使用レシピ!L:L,MATCH(テンプレート!$C329,使用レシピ!$E:$E,0)),""),"")</f>
        <v/>
      </c>
      <c r="L329" t="str">
        <f>IFERROR(IF(INDEX(使用レシピ!M:M,MATCH(テンプレート!$C329,使用レシピ!$E:$E,0))&lt;&gt;0,INDEX(使用レシピ!M:M,MATCH(テンプレート!$C329,使用レシピ!$E:$E,0)),""),"")</f>
        <v/>
      </c>
      <c r="M329" t="str">
        <f>IFERROR(IF(INDEX(使用レシピ!N:N,MATCH(テンプレート!$C329,使用レシピ!$E:$E,0))&lt;&gt;0,INDEX(使用レシピ!N:N,MATCH(テンプレート!$C329,使用レシピ!$E:$E,0)),""),"")</f>
        <v/>
      </c>
      <c r="N329" s="24" t="str">
        <f>IFERROR(IF(INDEX(使用レシピ!O:O,MATCH(テンプレート!$C329,使用レシピ!$E:$E,0))&lt;&gt;0,INDEX(使用レシピ!O:O,MATCH(テンプレート!$C329,使用レシピ!$E:$E,0)),""),"")</f>
        <v/>
      </c>
      <c r="O329" s="36" t="str">
        <f>IFERROR(IF(INDEX(使用レシピ!P:P,MATCH(テンプレート!$C329,使用レシピ!$E:$E,0))&lt;&gt;0,INDEX(使用レシピ!P:P,MATCH(テンプレート!$C329,使用レシピ!$E:$E,0)),""),"")</f>
        <v/>
      </c>
      <c r="P329" t="str">
        <f t="shared" si="26"/>
        <v/>
      </c>
      <c r="Q329" t="str">
        <f t="shared" si="27"/>
        <v/>
      </c>
      <c r="R329" t="str">
        <f t="shared" si="28"/>
        <v/>
      </c>
      <c r="S329" t="str">
        <f t="shared" si="29"/>
        <v/>
      </c>
      <c r="T329" s="24" t="str">
        <f t="shared" si="30"/>
        <v/>
      </c>
    </row>
    <row r="330" spans="2:20" x14ac:dyDescent="0.4">
      <c r="B330" s="49" t="str" cm="1">
        <f t="array" ref="B330">IFERROR((INDEX($P$4:$T$1000,MATCH(VALUE(LEFT($A330,LEN($A330)-1)),$A$4:$A$1000,0),VALUE(RIGHT($A330,1)))/ INDEX($O$4:$O$1000,MATCH(VALUE(LEFT($A330,LEN($A330)-1)),$A$4:$A$1000))) * INDEX($B$4:$B$1000,MATCH(VALUE(LEFT($A330,LEN($A330)-1)),$A$4:$A$1000)),"")</f>
        <v/>
      </c>
      <c r="C330" s="2" t="str" cm="1">
        <f t="array" ref="C330">IFERROR(IF(INDEX($D$4:$H$1000,MATCH(VALUE(LEFT($A330,LEN($A330)-1)),$A$4:$A$1000,0),VALUE(RIGHT($A330,1)))= 0,"",INDEX($D$4:$H$1000,MATCH(VALUE(LEFT($A330,LEN($A330)-1)),$A$4:$A$1000,0),VALUE(RIGHT($A330,1)))),"")</f>
        <v/>
      </c>
      <c r="D330" s="23" t="str">
        <f>IFERROR(IF(INDEX(使用レシピ!F:F,MATCH(テンプレート!$C330,使用レシピ!$E:$E,0))&lt;&gt;0,INDEX(使用レシピ!F:F,MATCH(テンプレート!$C330,使用レシピ!$E:$E,0)),""),"")</f>
        <v/>
      </c>
      <c r="E330" t="str">
        <f>IFERROR(IF(INDEX(使用レシピ!G:G,MATCH(テンプレート!$C330,使用レシピ!$E:$E,0))&lt;&gt;0,INDEX(使用レシピ!G:G,MATCH(テンプレート!$C330,使用レシピ!$E:$E,0)),""),"")</f>
        <v/>
      </c>
      <c r="F330" t="str">
        <f>IFERROR(IF(INDEX(使用レシピ!H:H,MATCH(テンプレート!$C330,使用レシピ!$E:$E,0))&lt;&gt;0,INDEX(使用レシピ!H:H,MATCH(テンプレート!$C330,使用レシピ!$E:$E,0)),""),"")</f>
        <v/>
      </c>
      <c r="G330" t="str">
        <f>IFERROR(IF(INDEX(使用レシピ!I:I,MATCH(テンプレート!$C330,使用レシピ!$E:$E,0))&lt;&gt;0,INDEX(使用レシピ!I:I,MATCH(テンプレート!$C330,使用レシピ!$E:$E,0)),""),"")</f>
        <v/>
      </c>
      <c r="H330" s="24" t="str">
        <f>IFERROR(IF(INDEX(使用レシピ!J:J,MATCH(テンプレート!$C330,使用レシピ!$E:$E,0))&lt;&gt;0,INDEX(使用レシピ!J:J,MATCH(テンプレート!$C330,使用レシピ!$E:$E,0)),""),"")</f>
        <v/>
      </c>
      <c r="I330" s="36" t="str">
        <f>IFERROR(IF(INDEX(使用レシピ!P:P,MATCH(テンプレート!$C330,使用レシピ!$E:$E,0))&lt;&gt;0,INDEX(使用レシピ!P:P,MATCH(テンプレート!$C330,使用レシピ!$E:$E,0)),""),"")</f>
        <v/>
      </c>
      <c r="J330" t="str">
        <f>IFERROR(IF(INDEX(使用レシピ!K:K,MATCH(テンプレート!$C330,使用レシピ!$E:$E,0))&lt;&gt;0,INDEX(使用レシピ!K:K,MATCH(テンプレート!$C330,使用レシピ!$E:$E,0)),""),"")</f>
        <v/>
      </c>
      <c r="K330" t="str">
        <f>IFERROR(IF(INDEX(使用レシピ!L:L,MATCH(テンプレート!$C330,使用レシピ!$E:$E,0))&lt;&gt;0,INDEX(使用レシピ!L:L,MATCH(テンプレート!$C330,使用レシピ!$E:$E,0)),""),"")</f>
        <v/>
      </c>
      <c r="L330" t="str">
        <f>IFERROR(IF(INDEX(使用レシピ!M:M,MATCH(テンプレート!$C330,使用レシピ!$E:$E,0))&lt;&gt;0,INDEX(使用レシピ!M:M,MATCH(テンプレート!$C330,使用レシピ!$E:$E,0)),""),"")</f>
        <v/>
      </c>
      <c r="M330" t="str">
        <f>IFERROR(IF(INDEX(使用レシピ!N:N,MATCH(テンプレート!$C330,使用レシピ!$E:$E,0))&lt;&gt;0,INDEX(使用レシピ!N:N,MATCH(テンプレート!$C330,使用レシピ!$E:$E,0)),""),"")</f>
        <v/>
      </c>
      <c r="N330" s="24" t="str">
        <f>IFERROR(IF(INDEX(使用レシピ!O:O,MATCH(テンプレート!$C330,使用レシピ!$E:$E,0))&lt;&gt;0,INDEX(使用レシピ!O:O,MATCH(テンプレート!$C330,使用レシピ!$E:$E,0)),""),"")</f>
        <v/>
      </c>
      <c r="O330" s="36" t="str">
        <f>IFERROR(IF(INDEX(使用レシピ!P:P,MATCH(テンプレート!$C330,使用レシピ!$E:$E,0))&lt;&gt;0,INDEX(使用レシピ!P:P,MATCH(テンプレート!$C330,使用レシピ!$E:$E,0)),""),"")</f>
        <v/>
      </c>
      <c r="P330" t="str">
        <f t="shared" si="26"/>
        <v/>
      </c>
      <c r="Q330" t="str">
        <f t="shared" si="27"/>
        <v/>
      </c>
      <c r="R330" t="str">
        <f t="shared" si="28"/>
        <v/>
      </c>
      <c r="S330" t="str">
        <f t="shared" si="29"/>
        <v/>
      </c>
      <c r="T330" s="24" t="str">
        <f t="shared" si="30"/>
        <v/>
      </c>
    </row>
    <row r="331" spans="2:20" x14ac:dyDescent="0.4">
      <c r="B331" s="49" t="str" cm="1">
        <f t="array" ref="B331">IFERROR((INDEX($P$4:$T$1000,MATCH(VALUE(LEFT($A331,LEN($A331)-1)),$A$4:$A$1000,0),VALUE(RIGHT($A331,1)))/ INDEX($O$4:$O$1000,MATCH(VALUE(LEFT($A331,LEN($A331)-1)),$A$4:$A$1000))) * INDEX($B$4:$B$1000,MATCH(VALUE(LEFT($A331,LEN($A331)-1)),$A$4:$A$1000)),"")</f>
        <v/>
      </c>
      <c r="C331" s="2" t="str" cm="1">
        <f t="array" ref="C331">IFERROR(IF(INDEX($D$4:$H$1000,MATCH(VALUE(LEFT($A331,LEN($A331)-1)),$A$4:$A$1000,0),VALUE(RIGHT($A331,1)))= 0,"",INDEX($D$4:$H$1000,MATCH(VALUE(LEFT($A331,LEN($A331)-1)),$A$4:$A$1000,0),VALUE(RIGHT($A331,1)))),"")</f>
        <v/>
      </c>
      <c r="D331" s="23" t="str">
        <f>IFERROR(IF(INDEX(使用レシピ!F:F,MATCH(テンプレート!$C331,使用レシピ!$E:$E,0))&lt;&gt;0,INDEX(使用レシピ!F:F,MATCH(テンプレート!$C331,使用レシピ!$E:$E,0)),""),"")</f>
        <v/>
      </c>
      <c r="E331" t="str">
        <f>IFERROR(IF(INDEX(使用レシピ!G:G,MATCH(テンプレート!$C331,使用レシピ!$E:$E,0))&lt;&gt;0,INDEX(使用レシピ!G:G,MATCH(テンプレート!$C331,使用レシピ!$E:$E,0)),""),"")</f>
        <v/>
      </c>
      <c r="F331" t="str">
        <f>IFERROR(IF(INDEX(使用レシピ!H:H,MATCH(テンプレート!$C331,使用レシピ!$E:$E,0))&lt;&gt;0,INDEX(使用レシピ!H:H,MATCH(テンプレート!$C331,使用レシピ!$E:$E,0)),""),"")</f>
        <v/>
      </c>
      <c r="G331" t="str">
        <f>IFERROR(IF(INDEX(使用レシピ!I:I,MATCH(テンプレート!$C331,使用レシピ!$E:$E,0))&lt;&gt;0,INDEX(使用レシピ!I:I,MATCH(テンプレート!$C331,使用レシピ!$E:$E,0)),""),"")</f>
        <v/>
      </c>
      <c r="H331" s="24" t="str">
        <f>IFERROR(IF(INDEX(使用レシピ!J:J,MATCH(テンプレート!$C331,使用レシピ!$E:$E,0))&lt;&gt;0,INDEX(使用レシピ!J:J,MATCH(テンプレート!$C331,使用レシピ!$E:$E,0)),""),"")</f>
        <v/>
      </c>
      <c r="I331" s="36" t="str">
        <f>IFERROR(IF(INDEX(使用レシピ!P:P,MATCH(テンプレート!$C331,使用レシピ!$E:$E,0))&lt;&gt;0,INDEX(使用レシピ!P:P,MATCH(テンプレート!$C331,使用レシピ!$E:$E,0)),""),"")</f>
        <v/>
      </c>
      <c r="J331" t="str">
        <f>IFERROR(IF(INDEX(使用レシピ!K:K,MATCH(テンプレート!$C331,使用レシピ!$E:$E,0))&lt;&gt;0,INDEX(使用レシピ!K:K,MATCH(テンプレート!$C331,使用レシピ!$E:$E,0)),""),"")</f>
        <v/>
      </c>
      <c r="K331" t="str">
        <f>IFERROR(IF(INDEX(使用レシピ!L:L,MATCH(テンプレート!$C331,使用レシピ!$E:$E,0))&lt;&gt;0,INDEX(使用レシピ!L:L,MATCH(テンプレート!$C331,使用レシピ!$E:$E,0)),""),"")</f>
        <v/>
      </c>
      <c r="L331" t="str">
        <f>IFERROR(IF(INDEX(使用レシピ!M:M,MATCH(テンプレート!$C331,使用レシピ!$E:$E,0))&lt;&gt;0,INDEX(使用レシピ!M:M,MATCH(テンプレート!$C331,使用レシピ!$E:$E,0)),""),"")</f>
        <v/>
      </c>
      <c r="M331" t="str">
        <f>IFERROR(IF(INDEX(使用レシピ!N:N,MATCH(テンプレート!$C331,使用レシピ!$E:$E,0))&lt;&gt;0,INDEX(使用レシピ!N:N,MATCH(テンプレート!$C331,使用レシピ!$E:$E,0)),""),"")</f>
        <v/>
      </c>
      <c r="N331" s="24" t="str">
        <f>IFERROR(IF(INDEX(使用レシピ!O:O,MATCH(テンプレート!$C331,使用レシピ!$E:$E,0))&lt;&gt;0,INDEX(使用レシピ!O:O,MATCH(テンプレート!$C331,使用レシピ!$E:$E,0)),""),"")</f>
        <v/>
      </c>
      <c r="O331" s="36" t="str">
        <f>IFERROR(IF(INDEX(使用レシピ!P:P,MATCH(テンプレート!$C331,使用レシピ!$E:$E,0))&lt;&gt;0,INDEX(使用レシピ!P:P,MATCH(テンプレート!$C331,使用レシピ!$E:$E,0)),""),"")</f>
        <v/>
      </c>
      <c r="P331" t="str">
        <f t="shared" si="26"/>
        <v/>
      </c>
      <c r="Q331" t="str">
        <f t="shared" si="27"/>
        <v/>
      </c>
      <c r="R331" t="str">
        <f t="shared" si="28"/>
        <v/>
      </c>
      <c r="S331" t="str">
        <f t="shared" si="29"/>
        <v/>
      </c>
      <c r="T331" s="24" t="str">
        <f t="shared" si="30"/>
        <v/>
      </c>
    </row>
    <row r="332" spans="2:20" x14ac:dyDescent="0.4">
      <c r="B332" s="49" t="str" cm="1">
        <f t="array" ref="B332">IFERROR((INDEX($P$4:$T$1000,MATCH(VALUE(LEFT($A332,LEN($A332)-1)),$A$4:$A$1000,0),VALUE(RIGHT($A332,1)))/ INDEX($O$4:$O$1000,MATCH(VALUE(LEFT($A332,LEN($A332)-1)),$A$4:$A$1000))) * INDEX($B$4:$B$1000,MATCH(VALUE(LEFT($A332,LEN($A332)-1)),$A$4:$A$1000)),"")</f>
        <v/>
      </c>
      <c r="C332" s="2" t="str" cm="1">
        <f t="array" ref="C332">IFERROR(IF(INDEX($D$4:$H$1000,MATCH(VALUE(LEFT($A332,LEN($A332)-1)),$A$4:$A$1000,0),VALUE(RIGHT($A332,1)))= 0,"",INDEX($D$4:$H$1000,MATCH(VALUE(LEFT($A332,LEN($A332)-1)),$A$4:$A$1000,0),VALUE(RIGHT($A332,1)))),"")</f>
        <v/>
      </c>
      <c r="D332" s="23" t="str">
        <f>IFERROR(IF(INDEX(使用レシピ!F:F,MATCH(テンプレート!$C332,使用レシピ!$E:$E,0))&lt;&gt;0,INDEX(使用レシピ!F:F,MATCH(テンプレート!$C332,使用レシピ!$E:$E,0)),""),"")</f>
        <v/>
      </c>
      <c r="E332" t="str">
        <f>IFERROR(IF(INDEX(使用レシピ!G:G,MATCH(テンプレート!$C332,使用レシピ!$E:$E,0))&lt;&gt;0,INDEX(使用レシピ!G:G,MATCH(テンプレート!$C332,使用レシピ!$E:$E,0)),""),"")</f>
        <v/>
      </c>
      <c r="F332" t="str">
        <f>IFERROR(IF(INDEX(使用レシピ!H:H,MATCH(テンプレート!$C332,使用レシピ!$E:$E,0))&lt;&gt;0,INDEX(使用レシピ!H:H,MATCH(テンプレート!$C332,使用レシピ!$E:$E,0)),""),"")</f>
        <v/>
      </c>
      <c r="G332" t="str">
        <f>IFERROR(IF(INDEX(使用レシピ!I:I,MATCH(テンプレート!$C332,使用レシピ!$E:$E,0))&lt;&gt;0,INDEX(使用レシピ!I:I,MATCH(テンプレート!$C332,使用レシピ!$E:$E,0)),""),"")</f>
        <v/>
      </c>
      <c r="H332" s="24" t="str">
        <f>IFERROR(IF(INDEX(使用レシピ!J:J,MATCH(テンプレート!$C332,使用レシピ!$E:$E,0))&lt;&gt;0,INDEX(使用レシピ!J:J,MATCH(テンプレート!$C332,使用レシピ!$E:$E,0)),""),"")</f>
        <v/>
      </c>
      <c r="I332" s="36" t="str">
        <f>IFERROR(IF(INDEX(使用レシピ!P:P,MATCH(テンプレート!$C332,使用レシピ!$E:$E,0))&lt;&gt;0,INDEX(使用レシピ!P:P,MATCH(テンプレート!$C332,使用レシピ!$E:$E,0)),""),"")</f>
        <v/>
      </c>
      <c r="J332" t="str">
        <f>IFERROR(IF(INDEX(使用レシピ!K:K,MATCH(テンプレート!$C332,使用レシピ!$E:$E,0))&lt;&gt;0,INDEX(使用レシピ!K:K,MATCH(テンプレート!$C332,使用レシピ!$E:$E,0)),""),"")</f>
        <v/>
      </c>
      <c r="K332" t="str">
        <f>IFERROR(IF(INDEX(使用レシピ!L:L,MATCH(テンプレート!$C332,使用レシピ!$E:$E,0))&lt;&gt;0,INDEX(使用レシピ!L:L,MATCH(テンプレート!$C332,使用レシピ!$E:$E,0)),""),"")</f>
        <v/>
      </c>
      <c r="L332" t="str">
        <f>IFERROR(IF(INDEX(使用レシピ!M:M,MATCH(テンプレート!$C332,使用レシピ!$E:$E,0))&lt;&gt;0,INDEX(使用レシピ!M:M,MATCH(テンプレート!$C332,使用レシピ!$E:$E,0)),""),"")</f>
        <v/>
      </c>
      <c r="M332" t="str">
        <f>IFERROR(IF(INDEX(使用レシピ!N:N,MATCH(テンプレート!$C332,使用レシピ!$E:$E,0))&lt;&gt;0,INDEX(使用レシピ!N:N,MATCH(テンプレート!$C332,使用レシピ!$E:$E,0)),""),"")</f>
        <v/>
      </c>
      <c r="N332" s="24" t="str">
        <f>IFERROR(IF(INDEX(使用レシピ!O:O,MATCH(テンプレート!$C332,使用レシピ!$E:$E,0))&lt;&gt;0,INDEX(使用レシピ!O:O,MATCH(テンプレート!$C332,使用レシピ!$E:$E,0)),""),"")</f>
        <v/>
      </c>
      <c r="O332" s="36" t="str">
        <f>IFERROR(IF(INDEX(使用レシピ!P:P,MATCH(テンプレート!$C332,使用レシピ!$E:$E,0))&lt;&gt;0,INDEX(使用レシピ!P:P,MATCH(テンプレート!$C332,使用レシピ!$E:$E,0)),""),"")</f>
        <v/>
      </c>
      <c r="P332" t="str">
        <f t="shared" si="26"/>
        <v/>
      </c>
      <c r="Q332" t="str">
        <f t="shared" si="27"/>
        <v/>
      </c>
      <c r="R332" t="str">
        <f t="shared" si="28"/>
        <v/>
      </c>
      <c r="S332" t="str">
        <f t="shared" si="29"/>
        <v/>
      </c>
      <c r="T332" s="24" t="str">
        <f t="shared" si="30"/>
        <v/>
      </c>
    </row>
    <row r="333" spans="2:20" x14ac:dyDescent="0.4">
      <c r="B333" s="49" t="str" cm="1">
        <f t="array" ref="B333">IFERROR((INDEX($P$4:$T$1000,MATCH(VALUE(LEFT($A333,LEN($A333)-1)),$A$4:$A$1000,0),VALUE(RIGHT($A333,1)))/ INDEX($O$4:$O$1000,MATCH(VALUE(LEFT($A333,LEN($A333)-1)),$A$4:$A$1000))) * INDEX($B$4:$B$1000,MATCH(VALUE(LEFT($A333,LEN($A333)-1)),$A$4:$A$1000)),"")</f>
        <v/>
      </c>
      <c r="C333" s="2" t="str" cm="1">
        <f t="array" ref="C333">IFERROR(IF(INDEX($D$4:$H$1000,MATCH(VALUE(LEFT($A333,LEN($A333)-1)),$A$4:$A$1000,0),VALUE(RIGHT($A333,1)))= 0,"",INDEX($D$4:$H$1000,MATCH(VALUE(LEFT($A333,LEN($A333)-1)),$A$4:$A$1000,0),VALUE(RIGHT($A333,1)))),"")</f>
        <v/>
      </c>
      <c r="D333" s="23" t="str">
        <f>IFERROR(IF(INDEX(使用レシピ!F:F,MATCH(テンプレート!$C333,使用レシピ!$E:$E,0))&lt;&gt;0,INDEX(使用レシピ!F:F,MATCH(テンプレート!$C333,使用レシピ!$E:$E,0)),""),"")</f>
        <v/>
      </c>
      <c r="E333" t="str">
        <f>IFERROR(IF(INDEX(使用レシピ!G:G,MATCH(テンプレート!$C333,使用レシピ!$E:$E,0))&lt;&gt;0,INDEX(使用レシピ!G:G,MATCH(テンプレート!$C333,使用レシピ!$E:$E,0)),""),"")</f>
        <v/>
      </c>
      <c r="F333" t="str">
        <f>IFERROR(IF(INDEX(使用レシピ!H:H,MATCH(テンプレート!$C333,使用レシピ!$E:$E,0))&lt;&gt;0,INDEX(使用レシピ!H:H,MATCH(テンプレート!$C333,使用レシピ!$E:$E,0)),""),"")</f>
        <v/>
      </c>
      <c r="G333" t="str">
        <f>IFERROR(IF(INDEX(使用レシピ!I:I,MATCH(テンプレート!$C333,使用レシピ!$E:$E,0))&lt;&gt;0,INDEX(使用レシピ!I:I,MATCH(テンプレート!$C333,使用レシピ!$E:$E,0)),""),"")</f>
        <v/>
      </c>
      <c r="H333" s="24" t="str">
        <f>IFERROR(IF(INDEX(使用レシピ!J:J,MATCH(テンプレート!$C333,使用レシピ!$E:$E,0))&lt;&gt;0,INDEX(使用レシピ!J:J,MATCH(テンプレート!$C333,使用レシピ!$E:$E,0)),""),"")</f>
        <v/>
      </c>
      <c r="I333" s="36" t="str">
        <f>IFERROR(IF(INDEX(使用レシピ!P:P,MATCH(テンプレート!$C333,使用レシピ!$E:$E,0))&lt;&gt;0,INDEX(使用レシピ!P:P,MATCH(テンプレート!$C333,使用レシピ!$E:$E,0)),""),"")</f>
        <v/>
      </c>
      <c r="J333" t="str">
        <f>IFERROR(IF(INDEX(使用レシピ!K:K,MATCH(テンプレート!$C333,使用レシピ!$E:$E,0))&lt;&gt;0,INDEX(使用レシピ!K:K,MATCH(テンプレート!$C333,使用レシピ!$E:$E,0)),""),"")</f>
        <v/>
      </c>
      <c r="K333" t="str">
        <f>IFERROR(IF(INDEX(使用レシピ!L:L,MATCH(テンプレート!$C333,使用レシピ!$E:$E,0))&lt;&gt;0,INDEX(使用レシピ!L:L,MATCH(テンプレート!$C333,使用レシピ!$E:$E,0)),""),"")</f>
        <v/>
      </c>
      <c r="L333" t="str">
        <f>IFERROR(IF(INDEX(使用レシピ!M:M,MATCH(テンプレート!$C333,使用レシピ!$E:$E,0))&lt;&gt;0,INDEX(使用レシピ!M:M,MATCH(テンプレート!$C333,使用レシピ!$E:$E,0)),""),"")</f>
        <v/>
      </c>
      <c r="M333" t="str">
        <f>IFERROR(IF(INDEX(使用レシピ!N:N,MATCH(テンプレート!$C333,使用レシピ!$E:$E,0))&lt;&gt;0,INDEX(使用レシピ!N:N,MATCH(テンプレート!$C333,使用レシピ!$E:$E,0)),""),"")</f>
        <v/>
      </c>
      <c r="N333" s="24" t="str">
        <f>IFERROR(IF(INDEX(使用レシピ!O:O,MATCH(テンプレート!$C333,使用レシピ!$E:$E,0))&lt;&gt;0,INDEX(使用レシピ!O:O,MATCH(テンプレート!$C333,使用レシピ!$E:$E,0)),""),"")</f>
        <v/>
      </c>
      <c r="O333" s="36" t="str">
        <f>IFERROR(IF(INDEX(使用レシピ!P:P,MATCH(テンプレート!$C333,使用レシピ!$E:$E,0))&lt;&gt;0,INDEX(使用レシピ!P:P,MATCH(テンプレート!$C333,使用レシピ!$E:$E,0)),""),"")</f>
        <v/>
      </c>
      <c r="P333" t="str">
        <f t="shared" si="26"/>
        <v/>
      </c>
      <c r="Q333" t="str">
        <f t="shared" si="27"/>
        <v/>
      </c>
      <c r="R333" t="str">
        <f t="shared" si="28"/>
        <v/>
      </c>
      <c r="S333" t="str">
        <f t="shared" si="29"/>
        <v/>
      </c>
      <c r="T333" s="24" t="str">
        <f t="shared" si="30"/>
        <v/>
      </c>
    </row>
    <row r="334" spans="2:20" x14ac:dyDescent="0.4">
      <c r="B334" s="49" t="str" cm="1">
        <f t="array" ref="B334">IFERROR((INDEX($P$4:$T$1000,MATCH(VALUE(LEFT($A334,LEN($A334)-1)),$A$4:$A$1000,0),VALUE(RIGHT($A334,1)))/ INDEX($O$4:$O$1000,MATCH(VALUE(LEFT($A334,LEN($A334)-1)),$A$4:$A$1000))) * INDEX($B$4:$B$1000,MATCH(VALUE(LEFT($A334,LEN($A334)-1)),$A$4:$A$1000)),"")</f>
        <v/>
      </c>
      <c r="C334" s="2" t="str" cm="1">
        <f t="array" ref="C334">IFERROR(IF(INDEX($D$4:$H$1000,MATCH(VALUE(LEFT($A334,LEN($A334)-1)),$A$4:$A$1000,0),VALUE(RIGHT($A334,1)))= 0,"",INDEX($D$4:$H$1000,MATCH(VALUE(LEFT($A334,LEN($A334)-1)),$A$4:$A$1000,0),VALUE(RIGHT($A334,1)))),"")</f>
        <v/>
      </c>
      <c r="D334" s="23" t="str">
        <f>IFERROR(IF(INDEX(使用レシピ!F:F,MATCH(テンプレート!$C334,使用レシピ!$E:$E,0))&lt;&gt;0,INDEX(使用レシピ!F:F,MATCH(テンプレート!$C334,使用レシピ!$E:$E,0)),""),"")</f>
        <v/>
      </c>
      <c r="E334" t="str">
        <f>IFERROR(IF(INDEX(使用レシピ!G:G,MATCH(テンプレート!$C334,使用レシピ!$E:$E,0))&lt;&gt;0,INDEX(使用レシピ!G:G,MATCH(テンプレート!$C334,使用レシピ!$E:$E,0)),""),"")</f>
        <v/>
      </c>
      <c r="F334" t="str">
        <f>IFERROR(IF(INDEX(使用レシピ!H:H,MATCH(テンプレート!$C334,使用レシピ!$E:$E,0))&lt;&gt;0,INDEX(使用レシピ!H:H,MATCH(テンプレート!$C334,使用レシピ!$E:$E,0)),""),"")</f>
        <v/>
      </c>
      <c r="G334" t="str">
        <f>IFERROR(IF(INDEX(使用レシピ!I:I,MATCH(テンプレート!$C334,使用レシピ!$E:$E,0))&lt;&gt;0,INDEX(使用レシピ!I:I,MATCH(テンプレート!$C334,使用レシピ!$E:$E,0)),""),"")</f>
        <v/>
      </c>
      <c r="H334" s="24" t="str">
        <f>IFERROR(IF(INDEX(使用レシピ!J:J,MATCH(テンプレート!$C334,使用レシピ!$E:$E,0))&lt;&gt;0,INDEX(使用レシピ!J:J,MATCH(テンプレート!$C334,使用レシピ!$E:$E,0)),""),"")</f>
        <v/>
      </c>
      <c r="I334" s="36" t="str">
        <f>IFERROR(IF(INDEX(使用レシピ!P:P,MATCH(テンプレート!$C334,使用レシピ!$E:$E,0))&lt;&gt;0,INDEX(使用レシピ!P:P,MATCH(テンプレート!$C334,使用レシピ!$E:$E,0)),""),"")</f>
        <v/>
      </c>
      <c r="J334" t="str">
        <f>IFERROR(IF(INDEX(使用レシピ!K:K,MATCH(テンプレート!$C334,使用レシピ!$E:$E,0))&lt;&gt;0,INDEX(使用レシピ!K:K,MATCH(テンプレート!$C334,使用レシピ!$E:$E,0)),""),"")</f>
        <v/>
      </c>
      <c r="K334" t="str">
        <f>IFERROR(IF(INDEX(使用レシピ!L:L,MATCH(テンプレート!$C334,使用レシピ!$E:$E,0))&lt;&gt;0,INDEX(使用レシピ!L:L,MATCH(テンプレート!$C334,使用レシピ!$E:$E,0)),""),"")</f>
        <v/>
      </c>
      <c r="L334" t="str">
        <f>IFERROR(IF(INDEX(使用レシピ!M:M,MATCH(テンプレート!$C334,使用レシピ!$E:$E,0))&lt;&gt;0,INDEX(使用レシピ!M:M,MATCH(テンプレート!$C334,使用レシピ!$E:$E,0)),""),"")</f>
        <v/>
      </c>
      <c r="M334" t="str">
        <f>IFERROR(IF(INDEX(使用レシピ!N:N,MATCH(テンプレート!$C334,使用レシピ!$E:$E,0))&lt;&gt;0,INDEX(使用レシピ!N:N,MATCH(テンプレート!$C334,使用レシピ!$E:$E,0)),""),"")</f>
        <v/>
      </c>
      <c r="N334" s="24" t="str">
        <f>IFERROR(IF(INDEX(使用レシピ!O:O,MATCH(テンプレート!$C334,使用レシピ!$E:$E,0))&lt;&gt;0,INDEX(使用レシピ!O:O,MATCH(テンプレート!$C334,使用レシピ!$E:$E,0)),""),"")</f>
        <v/>
      </c>
      <c r="O334" s="36" t="str">
        <f>IFERROR(IF(INDEX(使用レシピ!P:P,MATCH(テンプレート!$C334,使用レシピ!$E:$E,0))&lt;&gt;0,INDEX(使用レシピ!P:P,MATCH(テンプレート!$C334,使用レシピ!$E:$E,0)),""),"")</f>
        <v/>
      </c>
      <c r="P334" t="str">
        <f t="shared" si="26"/>
        <v/>
      </c>
      <c r="Q334" t="str">
        <f t="shared" si="27"/>
        <v/>
      </c>
      <c r="R334" t="str">
        <f t="shared" si="28"/>
        <v/>
      </c>
      <c r="S334" t="str">
        <f t="shared" si="29"/>
        <v/>
      </c>
      <c r="T334" s="24" t="str">
        <f t="shared" si="30"/>
        <v/>
      </c>
    </row>
    <row r="335" spans="2:20" x14ac:dyDescent="0.4">
      <c r="B335" s="49" t="str" cm="1">
        <f t="array" ref="B335">IFERROR((INDEX($P$4:$T$1000,MATCH(VALUE(LEFT($A335,LEN($A335)-1)),$A$4:$A$1000,0),VALUE(RIGHT($A335,1)))/ INDEX($O$4:$O$1000,MATCH(VALUE(LEFT($A335,LEN($A335)-1)),$A$4:$A$1000))) * INDEX($B$4:$B$1000,MATCH(VALUE(LEFT($A335,LEN($A335)-1)),$A$4:$A$1000)),"")</f>
        <v/>
      </c>
      <c r="C335" s="2" t="str" cm="1">
        <f t="array" ref="C335">IFERROR(IF(INDEX($D$4:$H$1000,MATCH(VALUE(LEFT($A335,LEN($A335)-1)),$A$4:$A$1000,0),VALUE(RIGHT($A335,1)))= 0,"",INDEX($D$4:$H$1000,MATCH(VALUE(LEFT($A335,LEN($A335)-1)),$A$4:$A$1000,0),VALUE(RIGHT($A335,1)))),"")</f>
        <v/>
      </c>
      <c r="D335" s="23" t="str">
        <f>IFERROR(IF(INDEX(使用レシピ!F:F,MATCH(テンプレート!$C335,使用レシピ!$E:$E,0))&lt;&gt;0,INDEX(使用レシピ!F:F,MATCH(テンプレート!$C335,使用レシピ!$E:$E,0)),""),"")</f>
        <v/>
      </c>
      <c r="E335" t="str">
        <f>IFERROR(IF(INDEX(使用レシピ!G:G,MATCH(テンプレート!$C335,使用レシピ!$E:$E,0))&lt;&gt;0,INDEX(使用レシピ!G:G,MATCH(テンプレート!$C335,使用レシピ!$E:$E,0)),""),"")</f>
        <v/>
      </c>
      <c r="F335" t="str">
        <f>IFERROR(IF(INDEX(使用レシピ!H:H,MATCH(テンプレート!$C335,使用レシピ!$E:$E,0))&lt;&gt;0,INDEX(使用レシピ!H:H,MATCH(テンプレート!$C335,使用レシピ!$E:$E,0)),""),"")</f>
        <v/>
      </c>
      <c r="G335" t="str">
        <f>IFERROR(IF(INDEX(使用レシピ!I:I,MATCH(テンプレート!$C335,使用レシピ!$E:$E,0))&lt;&gt;0,INDEX(使用レシピ!I:I,MATCH(テンプレート!$C335,使用レシピ!$E:$E,0)),""),"")</f>
        <v/>
      </c>
      <c r="H335" s="24" t="str">
        <f>IFERROR(IF(INDEX(使用レシピ!J:J,MATCH(テンプレート!$C335,使用レシピ!$E:$E,0))&lt;&gt;0,INDEX(使用レシピ!J:J,MATCH(テンプレート!$C335,使用レシピ!$E:$E,0)),""),"")</f>
        <v/>
      </c>
      <c r="I335" s="36" t="str">
        <f>IFERROR(IF(INDEX(使用レシピ!P:P,MATCH(テンプレート!$C335,使用レシピ!$E:$E,0))&lt;&gt;0,INDEX(使用レシピ!P:P,MATCH(テンプレート!$C335,使用レシピ!$E:$E,0)),""),"")</f>
        <v/>
      </c>
      <c r="J335" t="str">
        <f>IFERROR(IF(INDEX(使用レシピ!K:K,MATCH(テンプレート!$C335,使用レシピ!$E:$E,0))&lt;&gt;0,INDEX(使用レシピ!K:K,MATCH(テンプレート!$C335,使用レシピ!$E:$E,0)),""),"")</f>
        <v/>
      </c>
      <c r="K335" t="str">
        <f>IFERROR(IF(INDEX(使用レシピ!L:L,MATCH(テンプレート!$C335,使用レシピ!$E:$E,0))&lt;&gt;0,INDEX(使用レシピ!L:L,MATCH(テンプレート!$C335,使用レシピ!$E:$E,0)),""),"")</f>
        <v/>
      </c>
      <c r="L335" t="str">
        <f>IFERROR(IF(INDEX(使用レシピ!M:M,MATCH(テンプレート!$C335,使用レシピ!$E:$E,0))&lt;&gt;0,INDEX(使用レシピ!M:M,MATCH(テンプレート!$C335,使用レシピ!$E:$E,0)),""),"")</f>
        <v/>
      </c>
      <c r="M335" t="str">
        <f>IFERROR(IF(INDEX(使用レシピ!N:N,MATCH(テンプレート!$C335,使用レシピ!$E:$E,0))&lt;&gt;0,INDEX(使用レシピ!N:N,MATCH(テンプレート!$C335,使用レシピ!$E:$E,0)),""),"")</f>
        <v/>
      </c>
      <c r="N335" s="24" t="str">
        <f>IFERROR(IF(INDEX(使用レシピ!O:O,MATCH(テンプレート!$C335,使用レシピ!$E:$E,0))&lt;&gt;0,INDEX(使用レシピ!O:O,MATCH(テンプレート!$C335,使用レシピ!$E:$E,0)),""),"")</f>
        <v/>
      </c>
      <c r="O335" s="36" t="str">
        <f>IFERROR(IF(INDEX(使用レシピ!P:P,MATCH(テンプレート!$C335,使用レシピ!$E:$E,0))&lt;&gt;0,INDEX(使用レシピ!P:P,MATCH(テンプレート!$C335,使用レシピ!$E:$E,0)),""),"")</f>
        <v/>
      </c>
      <c r="P335" t="str">
        <f t="shared" si="26"/>
        <v/>
      </c>
      <c r="Q335" t="str">
        <f t="shared" si="27"/>
        <v/>
      </c>
      <c r="R335" t="str">
        <f t="shared" si="28"/>
        <v/>
      </c>
      <c r="S335" t="str">
        <f t="shared" si="29"/>
        <v/>
      </c>
      <c r="T335" s="24" t="str">
        <f t="shared" si="30"/>
        <v/>
      </c>
    </row>
    <row r="336" spans="2:20" x14ac:dyDescent="0.4">
      <c r="B336" s="49" t="str" cm="1">
        <f t="array" ref="B336">IFERROR((INDEX($P$4:$T$1000,MATCH(VALUE(LEFT($A336,LEN($A336)-1)),$A$4:$A$1000,0),VALUE(RIGHT($A336,1)))/ INDEX($O$4:$O$1000,MATCH(VALUE(LEFT($A336,LEN($A336)-1)),$A$4:$A$1000))) * INDEX($B$4:$B$1000,MATCH(VALUE(LEFT($A336,LEN($A336)-1)),$A$4:$A$1000)),"")</f>
        <v/>
      </c>
      <c r="C336" s="2" t="str" cm="1">
        <f t="array" ref="C336">IFERROR(IF(INDEX($D$4:$H$1000,MATCH(VALUE(LEFT($A336,LEN($A336)-1)),$A$4:$A$1000,0),VALUE(RIGHT($A336,1)))= 0,"",INDEX($D$4:$H$1000,MATCH(VALUE(LEFT($A336,LEN($A336)-1)),$A$4:$A$1000,0),VALUE(RIGHT($A336,1)))),"")</f>
        <v/>
      </c>
      <c r="D336" s="23" t="str">
        <f>IFERROR(IF(INDEX(使用レシピ!F:F,MATCH(テンプレート!$C336,使用レシピ!$E:$E,0))&lt;&gt;0,INDEX(使用レシピ!F:F,MATCH(テンプレート!$C336,使用レシピ!$E:$E,0)),""),"")</f>
        <v/>
      </c>
      <c r="E336" t="str">
        <f>IFERROR(IF(INDEX(使用レシピ!G:G,MATCH(テンプレート!$C336,使用レシピ!$E:$E,0))&lt;&gt;0,INDEX(使用レシピ!G:G,MATCH(テンプレート!$C336,使用レシピ!$E:$E,0)),""),"")</f>
        <v/>
      </c>
      <c r="F336" t="str">
        <f>IFERROR(IF(INDEX(使用レシピ!H:H,MATCH(テンプレート!$C336,使用レシピ!$E:$E,0))&lt;&gt;0,INDEX(使用レシピ!H:H,MATCH(テンプレート!$C336,使用レシピ!$E:$E,0)),""),"")</f>
        <v/>
      </c>
      <c r="G336" t="str">
        <f>IFERROR(IF(INDEX(使用レシピ!I:I,MATCH(テンプレート!$C336,使用レシピ!$E:$E,0))&lt;&gt;0,INDEX(使用レシピ!I:I,MATCH(テンプレート!$C336,使用レシピ!$E:$E,0)),""),"")</f>
        <v/>
      </c>
      <c r="H336" s="24" t="str">
        <f>IFERROR(IF(INDEX(使用レシピ!J:J,MATCH(テンプレート!$C336,使用レシピ!$E:$E,0))&lt;&gt;0,INDEX(使用レシピ!J:J,MATCH(テンプレート!$C336,使用レシピ!$E:$E,0)),""),"")</f>
        <v/>
      </c>
      <c r="I336" s="36" t="str">
        <f>IFERROR(IF(INDEX(使用レシピ!P:P,MATCH(テンプレート!$C336,使用レシピ!$E:$E,0))&lt;&gt;0,INDEX(使用レシピ!P:P,MATCH(テンプレート!$C336,使用レシピ!$E:$E,0)),""),"")</f>
        <v/>
      </c>
      <c r="J336" t="str">
        <f>IFERROR(IF(INDEX(使用レシピ!K:K,MATCH(テンプレート!$C336,使用レシピ!$E:$E,0))&lt;&gt;0,INDEX(使用レシピ!K:K,MATCH(テンプレート!$C336,使用レシピ!$E:$E,0)),""),"")</f>
        <v/>
      </c>
      <c r="K336" t="str">
        <f>IFERROR(IF(INDEX(使用レシピ!L:L,MATCH(テンプレート!$C336,使用レシピ!$E:$E,0))&lt;&gt;0,INDEX(使用レシピ!L:L,MATCH(テンプレート!$C336,使用レシピ!$E:$E,0)),""),"")</f>
        <v/>
      </c>
      <c r="L336" t="str">
        <f>IFERROR(IF(INDEX(使用レシピ!M:M,MATCH(テンプレート!$C336,使用レシピ!$E:$E,0))&lt;&gt;0,INDEX(使用レシピ!M:M,MATCH(テンプレート!$C336,使用レシピ!$E:$E,0)),""),"")</f>
        <v/>
      </c>
      <c r="M336" t="str">
        <f>IFERROR(IF(INDEX(使用レシピ!N:N,MATCH(テンプレート!$C336,使用レシピ!$E:$E,0))&lt;&gt;0,INDEX(使用レシピ!N:N,MATCH(テンプレート!$C336,使用レシピ!$E:$E,0)),""),"")</f>
        <v/>
      </c>
      <c r="N336" s="24" t="str">
        <f>IFERROR(IF(INDEX(使用レシピ!O:O,MATCH(テンプレート!$C336,使用レシピ!$E:$E,0))&lt;&gt;0,INDEX(使用レシピ!O:O,MATCH(テンプレート!$C336,使用レシピ!$E:$E,0)),""),"")</f>
        <v/>
      </c>
      <c r="O336" s="36" t="str">
        <f>IFERROR(IF(INDEX(使用レシピ!P:P,MATCH(テンプレート!$C336,使用レシピ!$E:$E,0))&lt;&gt;0,INDEX(使用レシピ!P:P,MATCH(テンプレート!$C336,使用レシピ!$E:$E,0)),""),"")</f>
        <v/>
      </c>
      <c r="P336" t="str">
        <f t="shared" si="26"/>
        <v/>
      </c>
      <c r="Q336" t="str">
        <f t="shared" si="27"/>
        <v/>
      </c>
      <c r="R336" t="str">
        <f t="shared" si="28"/>
        <v/>
      </c>
      <c r="S336" t="str">
        <f t="shared" si="29"/>
        <v/>
      </c>
      <c r="T336" s="24" t="str">
        <f t="shared" si="30"/>
        <v/>
      </c>
    </row>
    <row r="337" spans="2:20" x14ac:dyDescent="0.4">
      <c r="B337" s="49" t="str" cm="1">
        <f t="array" ref="B337">IFERROR((INDEX($P$4:$T$1000,MATCH(VALUE(LEFT($A337,LEN($A337)-1)),$A$4:$A$1000,0),VALUE(RIGHT($A337,1)))/ INDEX($O$4:$O$1000,MATCH(VALUE(LEFT($A337,LEN($A337)-1)),$A$4:$A$1000))) * INDEX($B$4:$B$1000,MATCH(VALUE(LEFT($A337,LEN($A337)-1)),$A$4:$A$1000)),"")</f>
        <v/>
      </c>
      <c r="C337" s="2" t="str" cm="1">
        <f t="array" ref="C337">IFERROR(IF(INDEX($D$4:$H$1000,MATCH(VALUE(LEFT($A337,LEN($A337)-1)),$A$4:$A$1000,0),VALUE(RIGHT($A337,1)))= 0,"",INDEX($D$4:$H$1000,MATCH(VALUE(LEFT($A337,LEN($A337)-1)),$A$4:$A$1000,0),VALUE(RIGHT($A337,1)))),"")</f>
        <v/>
      </c>
      <c r="D337" s="23" t="str">
        <f>IFERROR(IF(INDEX(使用レシピ!F:F,MATCH(テンプレート!$C337,使用レシピ!$E:$E,0))&lt;&gt;0,INDEX(使用レシピ!F:F,MATCH(テンプレート!$C337,使用レシピ!$E:$E,0)),""),"")</f>
        <v/>
      </c>
      <c r="E337" t="str">
        <f>IFERROR(IF(INDEX(使用レシピ!G:G,MATCH(テンプレート!$C337,使用レシピ!$E:$E,0))&lt;&gt;0,INDEX(使用レシピ!G:G,MATCH(テンプレート!$C337,使用レシピ!$E:$E,0)),""),"")</f>
        <v/>
      </c>
      <c r="F337" t="str">
        <f>IFERROR(IF(INDEX(使用レシピ!H:H,MATCH(テンプレート!$C337,使用レシピ!$E:$E,0))&lt;&gt;0,INDEX(使用レシピ!H:H,MATCH(テンプレート!$C337,使用レシピ!$E:$E,0)),""),"")</f>
        <v/>
      </c>
      <c r="G337" t="str">
        <f>IFERROR(IF(INDEX(使用レシピ!I:I,MATCH(テンプレート!$C337,使用レシピ!$E:$E,0))&lt;&gt;0,INDEX(使用レシピ!I:I,MATCH(テンプレート!$C337,使用レシピ!$E:$E,0)),""),"")</f>
        <v/>
      </c>
      <c r="H337" s="24" t="str">
        <f>IFERROR(IF(INDEX(使用レシピ!J:J,MATCH(テンプレート!$C337,使用レシピ!$E:$E,0))&lt;&gt;0,INDEX(使用レシピ!J:J,MATCH(テンプレート!$C337,使用レシピ!$E:$E,0)),""),"")</f>
        <v/>
      </c>
      <c r="I337" s="36" t="str">
        <f>IFERROR(IF(INDEX(使用レシピ!P:P,MATCH(テンプレート!$C337,使用レシピ!$E:$E,0))&lt;&gt;0,INDEX(使用レシピ!P:P,MATCH(テンプレート!$C337,使用レシピ!$E:$E,0)),""),"")</f>
        <v/>
      </c>
      <c r="J337" t="str">
        <f>IFERROR(IF(INDEX(使用レシピ!K:K,MATCH(テンプレート!$C337,使用レシピ!$E:$E,0))&lt;&gt;0,INDEX(使用レシピ!K:K,MATCH(テンプレート!$C337,使用レシピ!$E:$E,0)),""),"")</f>
        <v/>
      </c>
      <c r="K337" t="str">
        <f>IFERROR(IF(INDEX(使用レシピ!L:L,MATCH(テンプレート!$C337,使用レシピ!$E:$E,0))&lt;&gt;0,INDEX(使用レシピ!L:L,MATCH(テンプレート!$C337,使用レシピ!$E:$E,0)),""),"")</f>
        <v/>
      </c>
      <c r="L337" t="str">
        <f>IFERROR(IF(INDEX(使用レシピ!M:M,MATCH(テンプレート!$C337,使用レシピ!$E:$E,0))&lt;&gt;0,INDEX(使用レシピ!M:M,MATCH(テンプレート!$C337,使用レシピ!$E:$E,0)),""),"")</f>
        <v/>
      </c>
      <c r="M337" t="str">
        <f>IFERROR(IF(INDEX(使用レシピ!N:N,MATCH(テンプレート!$C337,使用レシピ!$E:$E,0))&lt;&gt;0,INDEX(使用レシピ!N:N,MATCH(テンプレート!$C337,使用レシピ!$E:$E,0)),""),"")</f>
        <v/>
      </c>
      <c r="N337" s="24" t="str">
        <f>IFERROR(IF(INDEX(使用レシピ!O:O,MATCH(テンプレート!$C337,使用レシピ!$E:$E,0))&lt;&gt;0,INDEX(使用レシピ!O:O,MATCH(テンプレート!$C337,使用レシピ!$E:$E,0)),""),"")</f>
        <v/>
      </c>
      <c r="O337" s="36" t="str">
        <f>IFERROR(IF(INDEX(使用レシピ!P:P,MATCH(テンプレート!$C337,使用レシピ!$E:$E,0))&lt;&gt;0,INDEX(使用レシピ!P:P,MATCH(テンプレート!$C337,使用レシピ!$E:$E,0)),""),"")</f>
        <v/>
      </c>
      <c r="P337" t="str">
        <f t="shared" si="26"/>
        <v/>
      </c>
      <c r="Q337" t="str">
        <f t="shared" si="27"/>
        <v/>
      </c>
      <c r="R337" t="str">
        <f t="shared" si="28"/>
        <v/>
      </c>
      <c r="S337" t="str">
        <f t="shared" si="29"/>
        <v/>
      </c>
      <c r="T337" s="24" t="str">
        <f t="shared" si="30"/>
        <v/>
      </c>
    </row>
    <row r="338" spans="2:20" x14ac:dyDescent="0.4">
      <c r="B338" s="49" t="str" cm="1">
        <f t="array" ref="B338">IFERROR((INDEX($P$4:$T$1000,MATCH(VALUE(LEFT($A338,LEN($A338)-1)),$A$4:$A$1000,0),VALUE(RIGHT($A338,1)))/ INDEX($O$4:$O$1000,MATCH(VALUE(LEFT($A338,LEN($A338)-1)),$A$4:$A$1000))) * INDEX($B$4:$B$1000,MATCH(VALUE(LEFT($A338,LEN($A338)-1)),$A$4:$A$1000)),"")</f>
        <v/>
      </c>
      <c r="C338" s="2" t="str" cm="1">
        <f t="array" ref="C338">IFERROR(IF(INDEX($D$4:$H$1000,MATCH(VALUE(LEFT($A338,LEN($A338)-1)),$A$4:$A$1000,0),VALUE(RIGHT($A338,1)))= 0,"",INDEX($D$4:$H$1000,MATCH(VALUE(LEFT($A338,LEN($A338)-1)),$A$4:$A$1000,0),VALUE(RIGHT($A338,1)))),"")</f>
        <v/>
      </c>
      <c r="D338" s="23" t="str">
        <f>IFERROR(IF(INDEX(使用レシピ!F:F,MATCH(テンプレート!$C338,使用レシピ!$E:$E,0))&lt;&gt;0,INDEX(使用レシピ!F:F,MATCH(テンプレート!$C338,使用レシピ!$E:$E,0)),""),"")</f>
        <v/>
      </c>
      <c r="E338" t="str">
        <f>IFERROR(IF(INDEX(使用レシピ!G:G,MATCH(テンプレート!$C338,使用レシピ!$E:$E,0))&lt;&gt;0,INDEX(使用レシピ!G:G,MATCH(テンプレート!$C338,使用レシピ!$E:$E,0)),""),"")</f>
        <v/>
      </c>
      <c r="F338" t="str">
        <f>IFERROR(IF(INDEX(使用レシピ!H:H,MATCH(テンプレート!$C338,使用レシピ!$E:$E,0))&lt;&gt;0,INDEX(使用レシピ!H:H,MATCH(テンプレート!$C338,使用レシピ!$E:$E,0)),""),"")</f>
        <v/>
      </c>
      <c r="G338" t="str">
        <f>IFERROR(IF(INDEX(使用レシピ!I:I,MATCH(テンプレート!$C338,使用レシピ!$E:$E,0))&lt;&gt;0,INDEX(使用レシピ!I:I,MATCH(テンプレート!$C338,使用レシピ!$E:$E,0)),""),"")</f>
        <v/>
      </c>
      <c r="H338" s="24" t="str">
        <f>IFERROR(IF(INDEX(使用レシピ!J:J,MATCH(テンプレート!$C338,使用レシピ!$E:$E,0))&lt;&gt;0,INDEX(使用レシピ!J:J,MATCH(テンプレート!$C338,使用レシピ!$E:$E,0)),""),"")</f>
        <v/>
      </c>
      <c r="I338" s="36" t="str">
        <f>IFERROR(IF(INDEX(使用レシピ!P:P,MATCH(テンプレート!$C338,使用レシピ!$E:$E,0))&lt;&gt;0,INDEX(使用レシピ!P:P,MATCH(テンプレート!$C338,使用レシピ!$E:$E,0)),""),"")</f>
        <v/>
      </c>
      <c r="J338" t="str">
        <f>IFERROR(IF(INDEX(使用レシピ!K:K,MATCH(テンプレート!$C338,使用レシピ!$E:$E,0))&lt;&gt;0,INDEX(使用レシピ!K:K,MATCH(テンプレート!$C338,使用レシピ!$E:$E,0)),""),"")</f>
        <v/>
      </c>
      <c r="K338" t="str">
        <f>IFERROR(IF(INDEX(使用レシピ!L:L,MATCH(テンプレート!$C338,使用レシピ!$E:$E,0))&lt;&gt;0,INDEX(使用レシピ!L:L,MATCH(テンプレート!$C338,使用レシピ!$E:$E,0)),""),"")</f>
        <v/>
      </c>
      <c r="L338" t="str">
        <f>IFERROR(IF(INDEX(使用レシピ!M:M,MATCH(テンプレート!$C338,使用レシピ!$E:$E,0))&lt;&gt;0,INDEX(使用レシピ!M:M,MATCH(テンプレート!$C338,使用レシピ!$E:$E,0)),""),"")</f>
        <v/>
      </c>
      <c r="M338" t="str">
        <f>IFERROR(IF(INDEX(使用レシピ!N:N,MATCH(テンプレート!$C338,使用レシピ!$E:$E,0))&lt;&gt;0,INDEX(使用レシピ!N:N,MATCH(テンプレート!$C338,使用レシピ!$E:$E,0)),""),"")</f>
        <v/>
      </c>
      <c r="N338" s="24" t="str">
        <f>IFERROR(IF(INDEX(使用レシピ!O:O,MATCH(テンプレート!$C338,使用レシピ!$E:$E,0))&lt;&gt;0,INDEX(使用レシピ!O:O,MATCH(テンプレート!$C338,使用レシピ!$E:$E,0)),""),"")</f>
        <v/>
      </c>
      <c r="O338" s="36" t="str">
        <f>IFERROR(IF(INDEX(使用レシピ!P:P,MATCH(テンプレート!$C338,使用レシピ!$E:$E,0))&lt;&gt;0,INDEX(使用レシピ!P:P,MATCH(テンプレート!$C338,使用レシピ!$E:$E,0)),""),"")</f>
        <v/>
      </c>
      <c r="P338" t="str">
        <f t="shared" si="26"/>
        <v/>
      </c>
      <c r="Q338" t="str">
        <f t="shared" si="27"/>
        <v/>
      </c>
      <c r="R338" t="str">
        <f t="shared" si="28"/>
        <v/>
      </c>
      <c r="S338" t="str">
        <f t="shared" si="29"/>
        <v/>
      </c>
      <c r="T338" s="24" t="str">
        <f t="shared" si="30"/>
        <v/>
      </c>
    </row>
    <row r="339" spans="2:20" x14ac:dyDescent="0.4">
      <c r="B339" s="49" t="str" cm="1">
        <f t="array" ref="B339">IFERROR((INDEX($P$4:$T$1000,MATCH(VALUE(LEFT($A339,LEN($A339)-1)),$A$4:$A$1000,0),VALUE(RIGHT($A339,1)))/ INDEX($O$4:$O$1000,MATCH(VALUE(LEFT($A339,LEN($A339)-1)),$A$4:$A$1000))) * INDEX($B$4:$B$1000,MATCH(VALUE(LEFT($A339,LEN($A339)-1)),$A$4:$A$1000)),"")</f>
        <v/>
      </c>
      <c r="C339" s="2" t="str" cm="1">
        <f t="array" ref="C339">IFERROR(IF(INDEX($D$4:$H$1000,MATCH(VALUE(LEFT($A339,LEN($A339)-1)),$A$4:$A$1000,0),VALUE(RIGHT($A339,1)))= 0,"",INDEX($D$4:$H$1000,MATCH(VALUE(LEFT($A339,LEN($A339)-1)),$A$4:$A$1000,0),VALUE(RIGHT($A339,1)))),"")</f>
        <v/>
      </c>
      <c r="D339" s="23" t="str">
        <f>IFERROR(IF(INDEX(使用レシピ!F:F,MATCH(テンプレート!$C339,使用レシピ!$E:$E,0))&lt;&gt;0,INDEX(使用レシピ!F:F,MATCH(テンプレート!$C339,使用レシピ!$E:$E,0)),""),"")</f>
        <v/>
      </c>
      <c r="E339" t="str">
        <f>IFERROR(IF(INDEX(使用レシピ!G:G,MATCH(テンプレート!$C339,使用レシピ!$E:$E,0))&lt;&gt;0,INDEX(使用レシピ!G:G,MATCH(テンプレート!$C339,使用レシピ!$E:$E,0)),""),"")</f>
        <v/>
      </c>
      <c r="F339" t="str">
        <f>IFERROR(IF(INDEX(使用レシピ!H:H,MATCH(テンプレート!$C339,使用レシピ!$E:$E,0))&lt;&gt;0,INDEX(使用レシピ!H:H,MATCH(テンプレート!$C339,使用レシピ!$E:$E,0)),""),"")</f>
        <v/>
      </c>
      <c r="G339" t="str">
        <f>IFERROR(IF(INDEX(使用レシピ!I:I,MATCH(テンプレート!$C339,使用レシピ!$E:$E,0))&lt;&gt;0,INDEX(使用レシピ!I:I,MATCH(テンプレート!$C339,使用レシピ!$E:$E,0)),""),"")</f>
        <v/>
      </c>
      <c r="H339" s="24" t="str">
        <f>IFERROR(IF(INDEX(使用レシピ!J:J,MATCH(テンプレート!$C339,使用レシピ!$E:$E,0))&lt;&gt;0,INDEX(使用レシピ!J:J,MATCH(テンプレート!$C339,使用レシピ!$E:$E,0)),""),"")</f>
        <v/>
      </c>
      <c r="I339" s="36" t="str">
        <f>IFERROR(IF(INDEX(使用レシピ!P:P,MATCH(テンプレート!$C339,使用レシピ!$E:$E,0))&lt;&gt;0,INDEX(使用レシピ!P:P,MATCH(テンプレート!$C339,使用レシピ!$E:$E,0)),""),"")</f>
        <v/>
      </c>
      <c r="J339" t="str">
        <f>IFERROR(IF(INDEX(使用レシピ!K:K,MATCH(テンプレート!$C339,使用レシピ!$E:$E,0))&lt;&gt;0,INDEX(使用レシピ!K:K,MATCH(テンプレート!$C339,使用レシピ!$E:$E,0)),""),"")</f>
        <v/>
      </c>
      <c r="K339" t="str">
        <f>IFERROR(IF(INDEX(使用レシピ!L:L,MATCH(テンプレート!$C339,使用レシピ!$E:$E,0))&lt;&gt;0,INDEX(使用レシピ!L:L,MATCH(テンプレート!$C339,使用レシピ!$E:$E,0)),""),"")</f>
        <v/>
      </c>
      <c r="L339" t="str">
        <f>IFERROR(IF(INDEX(使用レシピ!M:M,MATCH(テンプレート!$C339,使用レシピ!$E:$E,0))&lt;&gt;0,INDEX(使用レシピ!M:M,MATCH(テンプレート!$C339,使用レシピ!$E:$E,0)),""),"")</f>
        <v/>
      </c>
      <c r="M339" t="str">
        <f>IFERROR(IF(INDEX(使用レシピ!N:N,MATCH(テンプレート!$C339,使用レシピ!$E:$E,0))&lt;&gt;0,INDEX(使用レシピ!N:N,MATCH(テンプレート!$C339,使用レシピ!$E:$E,0)),""),"")</f>
        <v/>
      </c>
      <c r="N339" s="24" t="str">
        <f>IFERROR(IF(INDEX(使用レシピ!O:O,MATCH(テンプレート!$C339,使用レシピ!$E:$E,0))&lt;&gt;0,INDEX(使用レシピ!O:O,MATCH(テンプレート!$C339,使用レシピ!$E:$E,0)),""),"")</f>
        <v/>
      </c>
      <c r="O339" s="36" t="str">
        <f>IFERROR(IF(INDEX(使用レシピ!P:P,MATCH(テンプレート!$C339,使用レシピ!$E:$E,0))&lt;&gt;0,INDEX(使用レシピ!P:P,MATCH(テンプレート!$C339,使用レシピ!$E:$E,0)),""),"")</f>
        <v/>
      </c>
      <c r="P339" t="str">
        <f t="shared" si="26"/>
        <v/>
      </c>
      <c r="Q339" t="str">
        <f t="shared" si="27"/>
        <v/>
      </c>
      <c r="R339" t="str">
        <f t="shared" si="28"/>
        <v/>
      </c>
      <c r="S339" t="str">
        <f t="shared" si="29"/>
        <v/>
      </c>
      <c r="T339" s="24" t="str">
        <f t="shared" si="30"/>
        <v/>
      </c>
    </row>
    <row r="340" spans="2:20" x14ac:dyDescent="0.4">
      <c r="B340" s="49" t="str" cm="1">
        <f t="array" ref="B340">IFERROR((INDEX($P$4:$T$1000,MATCH(VALUE(LEFT($A340,LEN($A340)-1)),$A$4:$A$1000,0),VALUE(RIGHT($A340,1)))/ INDEX($O$4:$O$1000,MATCH(VALUE(LEFT($A340,LEN($A340)-1)),$A$4:$A$1000))) * INDEX($B$4:$B$1000,MATCH(VALUE(LEFT($A340,LEN($A340)-1)),$A$4:$A$1000)),"")</f>
        <v/>
      </c>
      <c r="C340" s="2" t="str" cm="1">
        <f t="array" ref="C340">IFERROR(IF(INDEX($D$4:$H$1000,MATCH(VALUE(LEFT($A340,LEN($A340)-1)),$A$4:$A$1000,0),VALUE(RIGHT($A340,1)))= 0,"",INDEX($D$4:$H$1000,MATCH(VALUE(LEFT($A340,LEN($A340)-1)),$A$4:$A$1000,0),VALUE(RIGHT($A340,1)))),"")</f>
        <v/>
      </c>
      <c r="D340" s="23" t="str">
        <f>IFERROR(IF(INDEX(使用レシピ!F:F,MATCH(テンプレート!$C340,使用レシピ!$E:$E,0))&lt;&gt;0,INDEX(使用レシピ!F:F,MATCH(テンプレート!$C340,使用レシピ!$E:$E,0)),""),"")</f>
        <v/>
      </c>
      <c r="E340" t="str">
        <f>IFERROR(IF(INDEX(使用レシピ!G:G,MATCH(テンプレート!$C340,使用レシピ!$E:$E,0))&lt;&gt;0,INDEX(使用レシピ!G:G,MATCH(テンプレート!$C340,使用レシピ!$E:$E,0)),""),"")</f>
        <v/>
      </c>
      <c r="F340" t="str">
        <f>IFERROR(IF(INDEX(使用レシピ!H:H,MATCH(テンプレート!$C340,使用レシピ!$E:$E,0))&lt;&gt;0,INDEX(使用レシピ!H:H,MATCH(テンプレート!$C340,使用レシピ!$E:$E,0)),""),"")</f>
        <v/>
      </c>
      <c r="G340" t="str">
        <f>IFERROR(IF(INDEX(使用レシピ!I:I,MATCH(テンプレート!$C340,使用レシピ!$E:$E,0))&lt;&gt;0,INDEX(使用レシピ!I:I,MATCH(テンプレート!$C340,使用レシピ!$E:$E,0)),""),"")</f>
        <v/>
      </c>
      <c r="H340" s="24" t="str">
        <f>IFERROR(IF(INDEX(使用レシピ!J:J,MATCH(テンプレート!$C340,使用レシピ!$E:$E,0))&lt;&gt;0,INDEX(使用レシピ!J:J,MATCH(テンプレート!$C340,使用レシピ!$E:$E,0)),""),"")</f>
        <v/>
      </c>
      <c r="I340" s="36" t="str">
        <f>IFERROR(IF(INDEX(使用レシピ!P:P,MATCH(テンプレート!$C340,使用レシピ!$E:$E,0))&lt;&gt;0,INDEX(使用レシピ!P:P,MATCH(テンプレート!$C340,使用レシピ!$E:$E,0)),""),"")</f>
        <v/>
      </c>
      <c r="J340" t="str">
        <f>IFERROR(IF(INDEX(使用レシピ!K:K,MATCH(テンプレート!$C340,使用レシピ!$E:$E,0))&lt;&gt;0,INDEX(使用レシピ!K:K,MATCH(テンプレート!$C340,使用レシピ!$E:$E,0)),""),"")</f>
        <v/>
      </c>
      <c r="K340" t="str">
        <f>IFERROR(IF(INDEX(使用レシピ!L:L,MATCH(テンプレート!$C340,使用レシピ!$E:$E,0))&lt;&gt;0,INDEX(使用レシピ!L:L,MATCH(テンプレート!$C340,使用レシピ!$E:$E,0)),""),"")</f>
        <v/>
      </c>
      <c r="L340" t="str">
        <f>IFERROR(IF(INDEX(使用レシピ!M:M,MATCH(テンプレート!$C340,使用レシピ!$E:$E,0))&lt;&gt;0,INDEX(使用レシピ!M:M,MATCH(テンプレート!$C340,使用レシピ!$E:$E,0)),""),"")</f>
        <v/>
      </c>
      <c r="M340" t="str">
        <f>IFERROR(IF(INDEX(使用レシピ!N:N,MATCH(テンプレート!$C340,使用レシピ!$E:$E,0))&lt;&gt;0,INDEX(使用レシピ!N:N,MATCH(テンプレート!$C340,使用レシピ!$E:$E,0)),""),"")</f>
        <v/>
      </c>
      <c r="N340" s="24" t="str">
        <f>IFERROR(IF(INDEX(使用レシピ!O:O,MATCH(テンプレート!$C340,使用レシピ!$E:$E,0))&lt;&gt;0,INDEX(使用レシピ!O:O,MATCH(テンプレート!$C340,使用レシピ!$E:$E,0)),""),"")</f>
        <v/>
      </c>
      <c r="O340" s="36" t="str">
        <f>IFERROR(IF(INDEX(使用レシピ!P:P,MATCH(テンプレート!$C340,使用レシピ!$E:$E,0))&lt;&gt;0,INDEX(使用レシピ!P:P,MATCH(テンプレート!$C340,使用レシピ!$E:$E,0)),""),"")</f>
        <v/>
      </c>
      <c r="P340" t="str">
        <f t="shared" si="26"/>
        <v/>
      </c>
      <c r="Q340" t="str">
        <f t="shared" si="27"/>
        <v/>
      </c>
      <c r="R340" t="str">
        <f t="shared" si="28"/>
        <v/>
      </c>
      <c r="S340" t="str">
        <f t="shared" si="29"/>
        <v/>
      </c>
      <c r="T340" s="24" t="str">
        <f t="shared" si="30"/>
        <v/>
      </c>
    </row>
    <row r="341" spans="2:20" x14ac:dyDescent="0.4">
      <c r="B341" s="49" t="str" cm="1">
        <f t="array" ref="B341">IFERROR((INDEX($P$4:$T$1000,MATCH(VALUE(LEFT($A341,LEN($A341)-1)),$A$4:$A$1000,0),VALUE(RIGHT($A341,1)))/ INDEX($O$4:$O$1000,MATCH(VALUE(LEFT($A341,LEN($A341)-1)),$A$4:$A$1000))) * INDEX($B$4:$B$1000,MATCH(VALUE(LEFT($A341,LEN($A341)-1)),$A$4:$A$1000)),"")</f>
        <v/>
      </c>
      <c r="C341" s="2" t="str" cm="1">
        <f t="array" ref="C341">IFERROR(IF(INDEX($D$4:$H$1000,MATCH(VALUE(LEFT($A341,LEN($A341)-1)),$A$4:$A$1000,0),VALUE(RIGHT($A341,1)))= 0,"",INDEX($D$4:$H$1000,MATCH(VALUE(LEFT($A341,LEN($A341)-1)),$A$4:$A$1000,0),VALUE(RIGHT($A341,1)))),"")</f>
        <v/>
      </c>
      <c r="D341" s="23" t="str">
        <f>IFERROR(IF(INDEX(使用レシピ!F:F,MATCH(テンプレート!$C341,使用レシピ!$E:$E,0))&lt;&gt;0,INDEX(使用レシピ!F:F,MATCH(テンプレート!$C341,使用レシピ!$E:$E,0)),""),"")</f>
        <v/>
      </c>
      <c r="E341" t="str">
        <f>IFERROR(IF(INDEX(使用レシピ!G:G,MATCH(テンプレート!$C341,使用レシピ!$E:$E,0))&lt;&gt;0,INDEX(使用レシピ!G:G,MATCH(テンプレート!$C341,使用レシピ!$E:$E,0)),""),"")</f>
        <v/>
      </c>
      <c r="F341" t="str">
        <f>IFERROR(IF(INDEX(使用レシピ!H:H,MATCH(テンプレート!$C341,使用レシピ!$E:$E,0))&lt;&gt;0,INDEX(使用レシピ!H:H,MATCH(テンプレート!$C341,使用レシピ!$E:$E,0)),""),"")</f>
        <v/>
      </c>
      <c r="G341" t="str">
        <f>IFERROR(IF(INDEX(使用レシピ!I:I,MATCH(テンプレート!$C341,使用レシピ!$E:$E,0))&lt;&gt;0,INDEX(使用レシピ!I:I,MATCH(テンプレート!$C341,使用レシピ!$E:$E,0)),""),"")</f>
        <v/>
      </c>
      <c r="H341" s="24" t="str">
        <f>IFERROR(IF(INDEX(使用レシピ!J:J,MATCH(テンプレート!$C341,使用レシピ!$E:$E,0))&lt;&gt;0,INDEX(使用レシピ!J:J,MATCH(テンプレート!$C341,使用レシピ!$E:$E,0)),""),"")</f>
        <v/>
      </c>
      <c r="I341" s="36" t="str">
        <f>IFERROR(IF(INDEX(使用レシピ!P:P,MATCH(テンプレート!$C341,使用レシピ!$E:$E,0))&lt;&gt;0,INDEX(使用レシピ!P:P,MATCH(テンプレート!$C341,使用レシピ!$E:$E,0)),""),"")</f>
        <v/>
      </c>
      <c r="J341" t="str">
        <f>IFERROR(IF(INDEX(使用レシピ!K:K,MATCH(テンプレート!$C341,使用レシピ!$E:$E,0))&lt;&gt;0,INDEX(使用レシピ!K:K,MATCH(テンプレート!$C341,使用レシピ!$E:$E,0)),""),"")</f>
        <v/>
      </c>
      <c r="K341" t="str">
        <f>IFERROR(IF(INDEX(使用レシピ!L:L,MATCH(テンプレート!$C341,使用レシピ!$E:$E,0))&lt;&gt;0,INDEX(使用レシピ!L:L,MATCH(テンプレート!$C341,使用レシピ!$E:$E,0)),""),"")</f>
        <v/>
      </c>
      <c r="L341" t="str">
        <f>IFERROR(IF(INDEX(使用レシピ!M:M,MATCH(テンプレート!$C341,使用レシピ!$E:$E,0))&lt;&gt;0,INDEX(使用レシピ!M:M,MATCH(テンプレート!$C341,使用レシピ!$E:$E,0)),""),"")</f>
        <v/>
      </c>
      <c r="M341" t="str">
        <f>IFERROR(IF(INDEX(使用レシピ!N:N,MATCH(テンプレート!$C341,使用レシピ!$E:$E,0))&lt;&gt;0,INDEX(使用レシピ!N:N,MATCH(テンプレート!$C341,使用レシピ!$E:$E,0)),""),"")</f>
        <v/>
      </c>
      <c r="N341" s="24" t="str">
        <f>IFERROR(IF(INDEX(使用レシピ!O:O,MATCH(テンプレート!$C341,使用レシピ!$E:$E,0))&lt;&gt;0,INDEX(使用レシピ!O:O,MATCH(テンプレート!$C341,使用レシピ!$E:$E,0)),""),"")</f>
        <v/>
      </c>
      <c r="O341" s="36" t="str">
        <f>IFERROR(IF(INDEX(使用レシピ!P:P,MATCH(テンプレート!$C341,使用レシピ!$E:$E,0))&lt;&gt;0,INDEX(使用レシピ!P:P,MATCH(テンプレート!$C341,使用レシピ!$E:$E,0)),""),"")</f>
        <v/>
      </c>
      <c r="P341" t="str">
        <f t="shared" si="26"/>
        <v/>
      </c>
      <c r="Q341" t="str">
        <f t="shared" si="27"/>
        <v/>
      </c>
      <c r="R341" t="str">
        <f t="shared" si="28"/>
        <v/>
      </c>
      <c r="S341" t="str">
        <f t="shared" si="29"/>
        <v/>
      </c>
      <c r="T341" s="24" t="str">
        <f t="shared" si="30"/>
        <v/>
      </c>
    </row>
    <row r="342" spans="2:20" x14ac:dyDescent="0.4">
      <c r="B342" s="49" t="str" cm="1">
        <f t="array" ref="B342">IFERROR((INDEX($P$4:$T$1000,MATCH(VALUE(LEFT($A342,LEN($A342)-1)),$A$4:$A$1000,0),VALUE(RIGHT($A342,1)))/ INDEX($O$4:$O$1000,MATCH(VALUE(LEFT($A342,LEN($A342)-1)),$A$4:$A$1000))) * INDEX($B$4:$B$1000,MATCH(VALUE(LEFT($A342,LEN($A342)-1)),$A$4:$A$1000)),"")</f>
        <v/>
      </c>
      <c r="C342" s="2" t="str" cm="1">
        <f t="array" ref="C342">IFERROR(IF(INDEX($D$4:$H$1000,MATCH(VALUE(LEFT($A342,LEN($A342)-1)),$A$4:$A$1000,0),VALUE(RIGHT($A342,1)))= 0,"",INDEX($D$4:$H$1000,MATCH(VALUE(LEFT($A342,LEN($A342)-1)),$A$4:$A$1000,0),VALUE(RIGHT($A342,1)))),"")</f>
        <v/>
      </c>
      <c r="D342" s="23" t="str">
        <f>IFERROR(IF(INDEX(使用レシピ!F:F,MATCH(テンプレート!$C342,使用レシピ!$E:$E,0))&lt;&gt;0,INDEX(使用レシピ!F:F,MATCH(テンプレート!$C342,使用レシピ!$E:$E,0)),""),"")</f>
        <v/>
      </c>
      <c r="E342" t="str">
        <f>IFERROR(IF(INDEX(使用レシピ!G:G,MATCH(テンプレート!$C342,使用レシピ!$E:$E,0))&lt;&gt;0,INDEX(使用レシピ!G:G,MATCH(テンプレート!$C342,使用レシピ!$E:$E,0)),""),"")</f>
        <v/>
      </c>
      <c r="F342" t="str">
        <f>IFERROR(IF(INDEX(使用レシピ!H:H,MATCH(テンプレート!$C342,使用レシピ!$E:$E,0))&lt;&gt;0,INDEX(使用レシピ!H:H,MATCH(テンプレート!$C342,使用レシピ!$E:$E,0)),""),"")</f>
        <v/>
      </c>
      <c r="G342" t="str">
        <f>IFERROR(IF(INDEX(使用レシピ!I:I,MATCH(テンプレート!$C342,使用レシピ!$E:$E,0))&lt;&gt;0,INDEX(使用レシピ!I:I,MATCH(テンプレート!$C342,使用レシピ!$E:$E,0)),""),"")</f>
        <v/>
      </c>
      <c r="H342" s="24" t="str">
        <f>IFERROR(IF(INDEX(使用レシピ!J:J,MATCH(テンプレート!$C342,使用レシピ!$E:$E,0))&lt;&gt;0,INDEX(使用レシピ!J:J,MATCH(テンプレート!$C342,使用レシピ!$E:$E,0)),""),"")</f>
        <v/>
      </c>
      <c r="I342" s="36" t="str">
        <f>IFERROR(IF(INDEX(使用レシピ!P:P,MATCH(テンプレート!$C342,使用レシピ!$E:$E,0))&lt;&gt;0,INDEX(使用レシピ!P:P,MATCH(テンプレート!$C342,使用レシピ!$E:$E,0)),""),"")</f>
        <v/>
      </c>
      <c r="J342" t="str">
        <f>IFERROR(IF(INDEX(使用レシピ!K:K,MATCH(テンプレート!$C342,使用レシピ!$E:$E,0))&lt;&gt;0,INDEX(使用レシピ!K:K,MATCH(テンプレート!$C342,使用レシピ!$E:$E,0)),""),"")</f>
        <v/>
      </c>
      <c r="K342" t="str">
        <f>IFERROR(IF(INDEX(使用レシピ!L:L,MATCH(テンプレート!$C342,使用レシピ!$E:$E,0))&lt;&gt;0,INDEX(使用レシピ!L:L,MATCH(テンプレート!$C342,使用レシピ!$E:$E,0)),""),"")</f>
        <v/>
      </c>
      <c r="L342" t="str">
        <f>IFERROR(IF(INDEX(使用レシピ!M:M,MATCH(テンプレート!$C342,使用レシピ!$E:$E,0))&lt;&gt;0,INDEX(使用レシピ!M:M,MATCH(テンプレート!$C342,使用レシピ!$E:$E,0)),""),"")</f>
        <v/>
      </c>
      <c r="M342" t="str">
        <f>IFERROR(IF(INDEX(使用レシピ!N:N,MATCH(テンプレート!$C342,使用レシピ!$E:$E,0))&lt;&gt;0,INDEX(使用レシピ!N:N,MATCH(テンプレート!$C342,使用レシピ!$E:$E,0)),""),"")</f>
        <v/>
      </c>
      <c r="N342" s="24" t="str">
        <f>IFERROR(IF(INDEX(使用レシピ!O:O,MATCH(テンプレート!$C342,使用レシピ!$E:$E,0))&lt;&gt;0,INDEX(使用レシピ!O:O,MATCH(テンプレート!$C342,使用レシピ!$E:$E,0)),""),"")</f>
        <v/>
      </c>
      <c r="O342" s="36" t="str">
        <f>IFERROR(IF(INDEX(使用レシピ!P:P,MATCH(テンプレート!$C342,使用レシピ!$E:$E,0))&lt;&gt;0,INDEX(使用レシピ!P:P,MATCH(テンプレート!$C342,使用レシピ!$E:$E,0)),""),"")</f>
        <v/>
      </c>
      <c r="P342" t="str">
        <f t="shared" si="26"/>
        <v/>
      </c>
      <c r="Q342" t="str">
        <f t="shared" si="27"/>
        <v/>
      </c>
      <c r="R342" t="str">
        <f t="shared" si="28"/>
        <v/>
      </c>
      <c r="S342" t="str">
        <f t="shared" si="29"/>
        <v/>
      </c>
      <c r="T342" s="24" t="str">
        <f t="shared" si="30"/>
        <v/>
      </c>
    </row>
    <row r="343" spans="2:20" x14ac:dyDescent="0.4">
      <c r="B343" s="49" t="str" cm="1">
        <f t="array" ref="B343">IFERROR((INDEX($P$4:$T$1000,MATCH(VALUE(LEFT($A343,LEN($A343)-1)),$A$4:$A$1000,0),VALUE(RIGHT($A343,1)))/ INDEX($O$4:$O$1000,MATCH(VALUE(LEFT($A343,LEN($A343)-1)),$A$4:$A$1000))) * INDEX($B$4:$B$1000,MATCH(VALUE(LEFT($A343,LEN($A343)-1)),$A$4:$A$1000)),"")</f>
        <v/>
      </c>
      <c r="C343" s="2" t="str" cm="1">
        <f t="array" ref="C343">IFERROR(IF(INDEX($D$4:$H$1000,MATCH(VALUE(LEFT($A343,LEN($A343)-1)),$A$4:$A$1000,0),VALUE(RIGHT($A343,1)))= 0,"",INDEX($D$4:$H$1000,MATCH(VALUE(LEFT($A343,LEN($A343)-1)),$A$4:$A$1000,0),VALUE(RIGHT($A343,1)))),"")</f>
        <v/>
      </c>
      <c r="D343" s="23" t="str">
        <f>IFERROR(IF(INDEX(使用レシピ!F:F,MATCH(テンプレート!$C343,使用レシピ!$E:$E,0))&lt;&gt;0,INDEX(使用レシピ!F:F,MATCH(テンプレート!$C343,使用レシピ!$E:$E,0)),""),"")</f>
        <v/>
      </c>
      <c r="E343" t="str">
        <f>IFERROR(IF(INDEX(使用レシピ!G:G,MATCH(テンプレート!$C343,使用レシピ!$E:$E,0))&lt;&gt;0,INDEX(使用レシピ!G:G,MATCH(テンプレート!$C343,使用レシピ!$E:$E,0)),""),"")</f>
        <v/>
      </c>
      <c r="F343" t="str">
        <f>IFERROR(IF(INDEX(使用レシピ!H:H,MATCH(テンプレート!$C343,使用レシピ!$E:$E,0))&lt;&gt;0,INDEX(使用レシピ!H:H,MATCH(テンプレート!$C343,使用レシピ!$E:$E,0)),""),"")</f>
        <v/>
      </c>
      <c r="G343" t="str">
        <f>IFERROR(IF(INDEX(使用レシピ!I:I,MATCH(テンプレート!$C343,使用レシピ!$E:$E,0))&lt;&gt;0,INDEX(使用レシピ!I:I,MATCH(テンプレート!$C343,使用レシピ!$E:$E,0)),""),"")</f>
        <v/>
      </c>
      <c r="H343" s="24" t="str">
        <f>IFERROR(IF(INDEX(使用レシピ!J:J,MATCH(テンプレート!$C343,使用レシピ!$E:$E,0))&lt;&gt;0,INDEX(使用レシピ!J:J,MATCH(テンプレート!$C343,使用レシピ!$E:$E,0)),""),"")</f>
        <v/>
      </c>
      <c r="I343" s="36" t="str">
        <f>IFERROR(IF(INDEX(使用レシピ!P:P,MATCH(テンプレート!$C343,使用レシピ!$E:$E,0))&lt;&gt;0,INDEX(使用レシピ!P:P,MATCH(テンプレート!$C343,使用レシピ!$E:$E,0)),""),"")</f>
        <v/>
      </c>
      <c r="J343" t="str">
        <f>IFERROR(IF(INDEX(使用レシピ!K:K,MATCH(テンプレート!$C343,使用レシピ!$E:$E,0))&lt;&gt;0,INDEX(使用レシピ!K:K,MATCH(テンプレート!$C343,使用レシピ!$E:$E,0)),""),"")</f>
        <v/>
      </c>
      <c r="K343" t="str">
        <f>IFERROR(IF(INDEX(使用レシピ!L:L,MATCH(テンプレート!$C343,使用レシピ!$E:$E,0))&lt;&gt;0,INDEX(使用レシピ!L:L,MATCH(テンプレート!$C343,使用レシピ!$E:$E,0)),""),"")</f>
        <v/>
      </c>
      <c r="L343" t="str">
        <f>IFERROR(IF(INDEX(使用レシピ!M:M,MATCH(テンプレート!$C343,使用レシピ!$E:$E,0))&lt;&gt;0,INDEX(使用レシピ!M:M,MATCH(テンプレート!$C343,使用レシピ!$E:$E,0)),""),"")</f>
        <v/>
      </c>
      <c r="M343" t="str">
        <f>IFERROR(IF(INDEX(使用レシピ!N:N,MATCH(テンプレート!$C343,使用レシピ!$E:$E,0))&lt;&gt;0,INDEX(使用レシピ!N:N,MATCH(テンプレート!$C343,使用レシピ!$E:$E,0)),""),"")</f>
        <v/>
      </c>
      <c r="N343" s="24" t="str">
        <f>IFERROR(IF(INDEX(使用レシピ!O:O,MATCH(テンプレート!$C343,使用レシピ!$E:$E,0))&lt;&gt;0,INDEX(使用レシピ!O:O,MATCH(テンプレート!$C343,使用レシピ!$E:$E,0)),""),"")</f>
        <v/>
      </c>
      <c r="O343" s="36" t="str">
        <f>IFERROR(IF(INDEX(使用レシピ!P:P,MATCH(テンプレート!$C343,使用レシピ!$E:$E,0))&lt;&gt;0,INDEX(使用レシピ!P:P,MATCH(テンプレート!$C343,使用レシピ!$E:$E,0)),""),"")</f>
        <v/>
      </c>
      <c r="P343" t="str">
        <f t="shared" si="26"/>
        <v/>
      </c>
      <c r="Q343" t="str">
        <f t="shared" si="27"/>
        <v/>
      </c>
      <c r="R343" t="str">
        <f t="shared" si="28"/>
        <v/>
      </c>
      <c r="S343" t="str">
        <f t="shared" si="29"/>
        <v/>
      </c>
      <c r="T343" s="24" t="str">
        <f t="shared" si="30"/>
        <v/>
      </c>
    </row>
    <row r="344" spans="2:20" x14ac:dyDescent="0.4">
      <c r="B344" s="49" t="str" cm="1">
        <f t="array" ref="B344">IFERROR((INDEX($P$4:$T$1000,MATCH(VALUE(LEFT($A344,LEN($A344)-1)),$A$4:$A$1000,0),VALUE(RIGHT($A344,1)))/ INDEX($O$4:$O$1000,MATCH(VALUE(LEFT($A344,LEN($A344)-1)),$A$4:$A$1000))) * INDEX($B$4:$B$1000,MATCH(VALUE(LEFT($A344,LEN($A344)-1)),$A$4:$A$1000)),"")</f>
        <v/>
      </c>
      <c r="C344" s="2" t="str" cm="1">
        <f t="array" ref="C344">IFERROR(IF(INDEX($D$4:$H$1000,MATCH(VALUE(LEFT($A344,LEN($A344)-1)),$A$4:$A$1000,0),VALUE(RIGHT($A344,1)))= 0,"",INDEX($D$4:$H$1000,MATCH(VALUE(LEFT($A344,LEN($A344)-1)),$A$4:$A$1000,0),VALUE(RIGHT($A344,1)))),"")</f>
        <v/>
      </c>
      <c r="D344" s="23" t="str">
        <f>IFERROR(IF(INDEX(使用レシピ!F:F,MATCH(テンプレート!$C344,使用レシピ!$E:$E,0))&lt;&gt;0,INDEX(使用レシピ!F:F,MATCH(テンプレート!$C344,使用レシピ!$E:$E,0)),""),"")</f>
        <v/>
      </c>
      <c r="E344" t="str">
        <f>IFERROR(IF(INDEX(使用レシピ!G:G,MATCH(テンプレート!$C344,使用レシピ!$E:$E,0))&lt;&gt;0,INDEX(使用レシピ!G:G,MATCH(テンプレート!$C344,使用レシピ!$E:$E,0)),""),"")</f>
        <v/>
      </c>
      <c r="F344" t="str">
        <f>IFERROR(IF(INDEX(使用レシピ!H:H,MATCH(テンプレート!$C344,使用レシピ!$E:$E,0))&lt;&gt;0,INDEX(使用レシピ!H:H,MATCH(テンプレート!$C344,使用レシピ!$E:$E,0)),""),"")</f>
        <v/>
      </c>
      <c r="G344" t="str">
        <f>IFERROR(IF(INDEX(使用レシピ!I:I,MATCH(テンプレート!$C344,使用レシピ!$E:$E,0))&lt;&gt;0,INDEX(使用レシピ!I:I,MATCH(テンプレート!$C344,使用レシピ!$E:$E,0)),""),"")</f>
        <v/>
      </c>
      <c r="H344" s="24" t="str">
        <f>IFERROR(IF(INDEX(使用レシピ!J:J,MATCH(テンプレート!$C344,使用レシピ!$E:$E,0))&lt;&gt;0,INDEX(使用レシピ!J:J,MATCH(テンプレート!$C344,使用レシピ!$E:$E,0)),""),"")</f>
        <v/>
      </c>
      <c r="I344" s="36" t="str">
        <f>IFERROR(IF(INDEX(使用レシピ!P:P,MATCH(テンプレート!$C344,使用レシピ!$E:$E,0))&lt;&gt;0,INDEX(使用レシピ!P:P,MATCH(テンプレート!$C344,使用レシピ!$E:$E,0)),""),"")</f>
        <v/>
      </c>
      <c r="J344" t="str">
        <f>IFERROR(IF(INDEX(使用レシピ!K:K,MATCH(テンプレート!$C344,使用レシピ!$E:$E,0))&lt;&gt;0,INDEX(使用レシピ!K:K,MATCH(テンプレート!$C344,使用レシピ!$E:$E,0)),""),"")</f>
        <v/>
      </c>
      <c r="K344" t="str">
        <f>IFERROR(IF(INDEX(使用レシピ!L:L,MATCH(テンプレート!$C344,使用レシピ!$E:$E,0))&lt;&gt;0,INDEX(使用レシピ!L:L,MATCH(テンプレート!$C344,使用レシピ!$E:$E,0)),""),"")</f>
        <v/>
      </c>
      <c r="L344" t="str">
        <f>IFERROR(IF(INDEX(使用レシピ!M:M,MATCH(テンプレート!$C344,使用レシピ!$E:$E,0))&lt;&gt;0,INDEX(使用レシピ!M:M,MATCH(テンプレート!$C344,使用レシピ!$E:$E,0)),""),"")</f>
        <v/>
      </c>
      <c r="M344" t="str">
        <f>IFERROR(IF(INDEX(使用レシピ!N:N,MATCH(テンプレート!$C344,使用レシピ!$E:$E,0))&lt;&gt;0,INDEX(使用レシピ!N:N,MATCH(テンプレート!$C344,使用レシピ!$E:$E,0)),""),"")</f>
        <v/>
      </c>
      <c r="N344" s="24" t="str">
        <f>IFERROR(IF(INDEX(使用レシピ!O:O,MATCH(テンプレート!$C344,使用レシピ!$E:$E,0))&lt;&gt;0,INDEX(使用レシピ!O:O,MATCH(テンプレート!$C344,使用レシピ!$E:$E,0)),""),"")</f>
        <v/>
      </c>
      <c r="O344" s="36" t="str">
        <f>IFERROR(IF(INDEX(使用レシピ!P:P,MATCH(テンプレート!$C344,使用レシピ!$E:$E,0))&lt;&gt;0,INDEX(使用レシピ!P:P,MATCH(テンプレート!$C344,使用レシピ!$E:$E,0)),""),"")</f>
        <v/>
      </c>
      <c r="P344" t="str">
        <f t="shared" si="26"/>
        <v/>
      </c>
      <c r="Q344" t="str">
        <f t="shared" si="27"/>
        <v/>
      </c>
      <c r="R344" t="str">
        <f t="shared" si="28"/>
        <v/>
      </c>
      <c r="S344" t="str">
        <f t="shared" si="29"/>
        <v/>
      </c>
      <c r="T344" s="24" t="str">
        <f t="shared" si="30"/>
        <v/>
      </c>
    </row>
    <row r="345" spans="2:20" x14ac:dyDescent="0.4">
      <c r="B345" s="49" t="str" cm="1">
        <f t="array" ref="B345">IFERROR((INDEX($P$4:$T$1000,MATCH(VALUE(LEFT($A345,LEN($A345)-1)),$A$4:$A$1000,0),VALUE(RIGHT($A345,1)))/ INDEX($O$4:$O$1000,MATCH(VALUE(LEFT($A345,LEN($A345)-1)),$A$4:$A$1000))) * INDEX($B$4:$B$1000,MATCH(VALUE(LEFT($A345,LEN($A345)-1)),$A$4:$A$1000)),"")</f>
        <v/>
      </c>
      <c r="C345" s="2" t="str" cm="1">
        <f t="array" ref="C345">IFERROR(IF(INDEX($D$4:$H$1000,MATCH(VALUE(LEFT($A345,LEN($A345)-1)),$A$4:$A$1000,0),VALUE(RIGHT($A345,1)))= 0,"",INDEX($D$4:$H$1000,MATCH(VALUE(LEFT($A345,LEN($A345)-1)),$A$4:$A$1000,0),VALUE(RIGHT($A345,1)))),"")</f>
        <v/>
      </c>
      <c r="D345" s="23" t="str">
        <f>IFERROR(IF(INDEX(使用レシピ!F:F,MATCH(テンプレート!$C345,使用レシピ!$E:$E,0))&lt;&gt;0,INDEX(使用レシピ!F:F,MATCH(テンプレート!$C345,使用レシピ!$E:$E,0)),""),"")</f>
        <v/>
      </c>
      <c r="E345" t="str">
        <f>IFERROR(IF(INDEX(使用レシピ!G:G,MATCH(テンプレート!$C345,使用レシピ!$E:$E,0))&lt;&gt;0,INDEX(使用レシピ!G:G,MATCH(テンプレート!$C345,使用レシピ!$E:$E,0)),""),"")</f>
        <v/>
      </c>
      <c r="F345" t="str">
        <f>IFERROR(IF(INDEX(使用レシピ!H:H,MATCH(テンプレート!$C345,使用レシピ!$E:$E,0))&lt;&gt;0,INDEX(使用レシピ!H:H,MATCH(テンプレート!$C345,使用レシピ!$E:$E,0)),""),"")</f>
        <v/>
      </c>
      <c r="G345" t="str">
        <f>IFERROR(IF(INDEX(使用レシピ!I:I,MATCH(テンプレート!$C345,使用レシピ!$E:$E,0))&lt;&gt;0,INDEX(使用レシピ!I:I,MATCH(テンプレート!$C345,使用レシピ!$E:$E,0)),""),"")</f>
        <v/>
      </c>
      <c r="H345" s="24" t="str">
        <f>IFERROR(IF(INDEX(使用レシピ!J:J,MATCH(テンプレート!$C345,使用レシピ!$E:$E,0))&lt;&gt;0,INDEX(使用レシピ!J:J,MATCH(テンプレート!$C345,使用レシピ!$E:$E,0)),""),"")</f>
        <v/>
      </c>
      <c r="I345" s="36" t="str">
        <f>IFERROR(IF(INDEX(使用レシピ!P:P,MATCH(テンプレート!$C345,使用レシピ!$E:$E,0))&lt;&gt;0,INDEX(使用レシピ!P:P,MATCH(テンプレート!$C345,使用レシピ!$E:$E,0)),""),"")</f>
        <v/>
      </c>
      <c r="J345" t="str">
        <f>IFERROR(IF(INDEX(使用レシピ!K:K,MATCH(テンプレート!$C345,使用レシピ!$E:$E,0))&lt;&gt;0,INDEX(使用レシピ!K:K,MATCH(テンプレート!$C345,使用レシピ!$E:$E,0)),""),"")</f>
        <v/>
      </c>
      <c r="K345" t="str">
        <f>IFERROR(IF(INDEX(使用レシピ!L:L,MATCH(テンプレート!$C345,使用レシピ!$E:$E,0))&lt;&gt;0,INDEX(使用レシピ!L:L,MATCH(テンプレート!$C345,使用レシピ!$E:$E,0)),""),"")</f>
        <v/>
      </c>
      <c r="L345" t="str">
        <f>IFERROR(IF(INDEX(使用レシピ!M:M,MATCH(テンプレート!$C345,使用レシピ!$E:$E,0))&lt;&gt;0,INDEX(使用レシピ!M:M,MATCH(テンプレート!$C345,使用レシピ!$E:$E,0)),""),"")</f>
        <v/>
      </c>
      <c r="M345" t="str">
        <f>IFERROR(IF(INDEX(使用レシピ!N:N,MATCH(テンプレート!$C345,使用レシピ!$E:$E,0))&lt;&gt;0,INDEX(使用レシピ!N:N,MATCH(テンプレート!$C345,使用レシピ!$E:$E,0)),""),"")</f>
        <v/>
      </c>
      <c r="N345" s="24" t="str">
        <f>IFERROR(IF(INDEX(使用レシピ!O:O,MATCH(テンプレート!$C345,使用レシピ!$E:$E,0))&lt;&gt;0,INDEX(使用レシピ!O:O,MATCH(テンプレート!$C345,使用レシピ!$E:$E,0)),""),"")</f>
        <v/>
      </c>
      <c r="O345" s="36" t="str">
        <f>IFERROR(IF(INDEX(使用レシピ!P:P,MATCH(テンプレート!$C345,使用レシピ!$E:$E,0))&lt;&gt;0,INDEX(使用レシピ!P:P,MATCH(テンプレート!$C345,使用レシピ!$E:$E,0)),""),"")</f>
        <v/>
      </c>
      <c r="P345" t="str">
        <f t="shared" si="26"/>
        <v/>
      </c>
      <c r="Q345" t="str">
        <f t="shared" si="27"/>
        <v/>
      </c>
      <c r="R345" t="str">
        <f t="shared" si="28"/>
        <v/>
      </c>
      <c r="S345" t="str">
        <f t="shared" si="29"/>
        <v/>
      </c>
      <c r="T345" s="24" t="str">
        <f t="shared" si="30"/>
        <v/>
      </c>
    </row>
    <row r="346" spans="2:20" x14ac:dyDescent="0.4">
      <c r="B346" s="49" t="str" cm="1">
        <f t="array" ref="B346">IFERROR((INDEX($P$4:$T$1000,MATCH(VALUE(LEFT($A346,LEN($A346)-1)),$A$4:$A$1000,0),VALUE(RIGHT($A346,1)))/ INDEX($O$4:$O$1000,MATCH(VALUE(LEFT($A346,LEN($A346)-1)),$A$4:$A$1000))) * INDEX($B$4:$B$1000,MATCH(VALUE(LEFT($A346,LEN($A346)-1)),$A$4:$A$1000)),"")</f>
        <v/>
      </c>
      <c r="C346" s="2" t="str" cm="1">
        <f t="array" ref="C346">IFERROR(IF(INDEX($D$4:$H$1000,MATCH(VALUE(LEFT($A346,LEN($A346)-1)),$A$4:$A$1000,0),VALUE(RIGHT($A346,1)))= 0,"",INDEX($D$4:$H$1000,MATCH(VALUE(LEFT($A346,LEN($A346)-1)),$A$4:$A$1000,0),VALUE(RIGHT($A346,1)))),"")</f>
        <v/>
      </c>
      <c r="D346" s="23" t="str">
        <f>IFERROR(IF(INDEX(使用レシピ!F:F,MATCH(テンプレート!$C346,使用レシピ!$E:$E,0))&lt;&gt;0,INDEX(使用レシピ!F:F,MATCH(テンプレート!$C346,使用レシピ!$E:$E,0)),""),"")</f>
        <v/>
      </c>
      <c r="E346" t="str">
        <f>IFERROR(IF(INDEX(使用レシピ!G:G,MATCH(テンプレート!$C346,使用レシピ!$E:$E,0))&lt;&gt;0,INDEX(使用レシピ!G:G,MATCH(テンプレート!$C346,使用レシピ!$E:$E,0)),""),"")</f>
        <v/>
      </c>
      <c r="F346" t="str">
        <f>IFERROR(IF(INDEX(使用レシピ!H:H,MATCH(テンプレート!$C346,使用レシピ!$E:$E,0))&lt;&gt;0,INDEX(使用レシピ!H:H,MATCH(テンプレート!$C346,使用レシピ!$E:$E,0)),""),"")</f>
        <v/>
      </c>
      <c r="G346" t="str">
        <f>IFERROR(IF(INDEX(使用レシピ!I:I,MATCH(テンプレート!$C346,使用レシピ!$E:$E,0))&lt;&gt;0,INDEX(使用レシピ!I:I,MATCH(テンプレート!$C346,使用レシピ!$E:$E,0)),""),"")</f>
        <v/>
      </c>
      <c r="H346" s="24" t="str">
        <f>IFERROR(IF(INDEX(使用レシピ!J:J,MATCH(テンプレート!$C346,使用レシピ!$E:$E,0))&lt;&gt;0,INDEX(使用レシピ!J:J,MATCH(テンプレート!$C346,使用レシピ!$E:$E,0)),""),"")</f>
        <v/>
      </c>
      <c r="I346" s="36" t="str">
        <f>IFERROR(IF(INDEX(使用レシピ!P:P,MATCH(テンプレート!$C346,使用レシピ!$E:$E,0))&lt;&gt;0,INDEX(使用レシピ!P:P,MATCH(テンプレート!$C346,使用レシピ!$E:$E,0)),""),"")</f>
        <v/>
      </c>
      <c r="J346" t="str">
        <f>IFERROR(IF(INDEX(使用レシピ!K:K,MATCH(テンプレート!$C346,使用レシピ!$E:$E,0))&lt;&gt;0,INDEX(使用レシピ!K:K,MATCH(テンプレート!$C346,使用レシピ!$E:$E,0)),""),"")</f>
        <v/>
      </c>
      <c r="K346" t="str">
        <f>IFERROR(IF(INDEX(使用レシピ!L:L,MATCH(テンプレート!$C346,使用レシピ!$E:$E,0))&lt;&gt;0,INDEX(使用レシピ!L:L,MATCH(テンプレート!$C346,使用レシピ!$E:$E,0)),""),"")</f>
        <v/>
      </c>
      <c r="L346" t="str">
        <f>IFERROR(IF(INDEX(使用レシピ!M:M,MATCH(テンプレート!$C346,使用レシピ!$E:$E,0))&lt;&gt;0,INDEX(使用レシピ!M:M,MATCH(テンプレート!$C346,使用レシピ!$E:$E,0)),""),"")</f>
        <v/>
      </c>
      <c r="M346" t="str">
        <f>IFERROR(IF(INDEX(使用レシピ!N:N,MATCH(テンプレート!$C346,使用レシピ!$E:$E,0))&lt;&gt;0,INDEX(使用レシピ!N:N,MATCH(テンプレート!$C346,使用レシピ!$E:$E,0)),""),"")</f>
        <v/>
      </c>
      <c r="N346" s="24" t="str">
        <f>IFERROR(IF(INDEX(使用レシピ!O:O,MATCH(テンプレート!$C346,使用レシピ!$E:$E,0))&lt;&gt;0,INDEX(使用レシピ!O:O,MATCH(テンプレート!$C346,使用レシピ!$E:$E,0)),""),"")</f>
        <v/>
      </c>
      <c r="O346" s="36" t="str">
        <f>IFERROR(IF(INDEX(使用レシピ!P:P,MATCH(テンプレート!$C346,使用レシピ!$E:$E,0))&lt;&gt;0,INDEX(使用レシピ!P:P,MATCH(テンプレート!$C346,使用レシピ!$E:$E,0)),""),"")</f>
        <v/>
      </c>
      <c r="P346" t="str">
        <f t="shared" si="26"/>
        <v/>
      </c>
      <c r="Q346" t="str">
        <f t="shared" si="27"/>
        <v/>
      </c>
      <c r="R346" t="str">
        <f t="shared" si="28"/>
        <v/>
      </c>
      <c r="S346" t="str">
        <f t="shared" si="29"/>
        <v/>
      </c>
      <c r="T346" s="24" t="str">
        <f t="shared" si="30"/>
        <v/>
      </c>
    </row>
    <row r="347" spans="2:20" x14ac:dyDescent="0.4">
      <c r="B347" s="49" t="str" cm="1">
        <f t="array" ref="B347">IFERROR((INDEX($P$4:$T$1000,MATCH(VALUE(LEFT($A347,LEN($A347)-1)),$A$4:$A$1000,0),VALUE(RIGHT($A347,1)))/ INDEX($O$4:$O$1000,MATCH(VALUE(LEFT($A347,LEN($A347)-1)),$A$4:$A$1000))) * INDEX($B$4:$B$1000,MATCH(VALUE(LEFT($A347,LEN($A347)-1)),$A$4:$A$1000)),"")</f>
        <v/>
      </c>
      <c r="C347" s="2" t="str" cm="1">
        <f t="array" ref="C347">IFERROR(IF(INDEX($D$4:$H$1000,MATCH(VALUE(LEFT($A347,LEN($A347)-1)),$A$4:$A$1000,0),VALUE(RIGHT($A347,1)))= 0,"",INDEX($D$4:$H$1000,MATCH(VALUE(LEFT($A347,LEN($A347)-1)),$A$4:$A$1000,0),VALUE(RIGHT($A347,1)))),"")</f>
        <v/>
      </c>
      <c r="D347" s="23" t="str">
        <f>IFERROR(IF(INDEX(使用レシピ!F:F,MATCH(テンプレート!$C347,使用レシピ!$E:$E,0))&lt;&gt;0,INDEX(使用レシピ!F:F,MATCH(テンプレート!$C347,使用レシピ!$E:$E,0)),""),"")</f>
        <v/>
      </c>
      <c r="E347" t="str">
        <f>IFERROR(IF(INDEX(使用レシピ!G:G,MATCH(テンプレート!$C347,使用レシピ!$E:$E,0))&lt;&gt;0,INDEX(使用レシピ!G:G,MATCH(テンプレート!$C347,使用レシピ!$E:$E,0)),""),"")</f>
        <v/>
      </c>
      <c r="F347" t="str">
        <f>IFERROR(IF(INDEX(使用レシピ!H:H,MATCH(テンプレート!$C347,使用レシピ!$E:$E,0))&lt;&gt;0,INDEX(使用レシピ!H:H,MATCH(テンプレート!$C347,使用レシピ!$E:$E,0)),""),"")</f>
        <v/>
      </c>
      <c r="G347" t="str">
        <f>IFERROR(IF(INDEX(使用レシピ!I:I,MATCH(テンプレート!$C347,使用レシピ!$E:$E,0))&lt;&gt;0,INDEX(使用レシピ!I:I,MATCH(テンプレート!$C347,使用レシピ!$E:$E,0)),""),"")</f>
        <v/>
      </c>
      <c r="H347" s="24" t="str">
        <f>IFERROR(IF(INDEX(使用レシピ!J:J,MATCH(テンプレート!$C347,使用レシピ!$E:$E,0))&lt;&gt;0,INDEX(使用レシピ!J:J,MATCH(テンプレート!$C347,使用レシピ!$E:$E,0)),""),"")</f>
        <v/>
      </c>
      <c r="I347" s="36" t="str">
        <f>IFERROR(IF(INDEX(使用レシピ!P:P,MATCH(テンプレート!$C347,使用レシピ!$E:$E,0))&lt;&gt;0,INDEX(使用レシピ!P:P,MATCH(テンプレート!$C347,使用レシピ!$E:$E,0)),""),"")</f>
        <v/>
      </c>
      <c r="J347" t="str">
        <f>IFERROR(IF(INDEX(使用レシピ!K:K,MATCH(テンプレート!$C347,使用レシピ!$E:$E,0))&lt;&gt;0,INDEX(使用レシピ!K:K,MATCH(テンプレート!$C347,使用レシピ!$E:$E,0)),""),"")</f>
        <v/>
      </c>
      <c r="K347" t="str">
        <f>IFERROR(IF(INDEX(使用レシピ!L:L,MATCH(テンプレート!$C347,使用レシピ!$E:$E,0))&lt;&gt;0,INDEX(使用レシピ!L:L,MATCH(テンプレート!$C347,使用レシピ!$E:$E,0)),""),"")</f>
        <v/>
      </c>
      <c r="L347" t="str">
        <f>IFERROR(IF(INDEX(使用レシピ!M:M,MATCH(テンプレート!$C347,使用レシピ!$E:$E,0))&lt;&gt;0,INDEX(使用レシピ!M:M,MATCH(テンプレート!$C347,使用レシピ!$E:$E,0)),""),"")</f>
        <v/>
      </c>
      <c r="M347" t="str">
        <f>IFERROR(IF(INDEX(使用レシピ!N:N,MATCH(テンプレート!$C347,使用レシピ!$E:$E,0))&lt;&gt;0,INDEX(使用レシピ!N:N,MATCH(テンプレート!$C347,使用レシピ!$E:$E,0)),""),"")</f>
        <v/>
      </c>
      <c r="N347" s="24" t="str">
        <f>IFERROR(IF(INDEX(使用レシピ!O:O,MATCH(テンプレート!$C347,使用レシピ!$E:$E,0))&lt;&gt;0,INDEX(使用レシピ!O:O,MATCH(テンプレート!$C347,使用レシピ!$E:$E,0)),""),"")</f>
        <v/>
      </c>
      <c r="O347" s="36" t="str">
        <f>IFERROR(IF(INDEX(使用レシピ!P:P,MATCH(テンプレート!$C347,使用レシピ!$E:$E,0))&lt;&gt;0,INDEX(使用レシピ!P:P,MATCH(テンプレート!$C347,使用レシピ!$E:$E,0)),""),"")</f>
        <v/>
      </c>
      <c r="P347" t="str">
        <f t="shared" si="26"/>
        <v/>
      </c>
      <c r="Q347" t="str">
        <f t="shared" si="27"/>
        <v/>
      </c>
      <c r="R347" t="str">
        <f t="shared" si="28"/>
        <v/>
      </c>
      <c r="S347" t="str">
        <f t="shared" si="29"/>
        <v/>
      </c>
      <c r="T347" s="24" t="str">
        <f t="shared" si="30"/>
        <v/>
      </c>
    </row>
    <row r="348" spans="2:20" x14ac:dyDescent="0.4">
      <c r="B348" s="49" t="str" cm="1">
        <f t="array" ref="B348">IFERROR((INDEX($P$4:$T$1000,MATCH(VALUE(LEFT($A348,LEN($A348)-1)),$A$4:$A$1000,0),VALUE(RIGHT($A348,1)))/ INDEX($O$4:$O$1000,MATCH(VALUE(LEFT($A348,LEN($A348)-1)),$A$4:$A$1000))) * INDEX($B$4:$B$1000,MATCH(VALUE(LEFT($A348,LEN($A348)-1)),$A$4:$A$1000)),"")</f>
        <v/>
      </c>
      <c r="C348" s="2" t="str" cm="1">
        <f t="array" ref="C348">IFERROR(IF(INDEX($D$4:$H$1000,MATCH(VALUE(LEFT($A348,LEN($A348)-1)),$A$4:$A$1000,0),VALUE(RIGHT($A348,1)))= 0,"",INDEX($D$4:$H$1000,MATCH(VALUE(LEFT($A348,LEN($A348)-1)),$A$4:$A$1000,0),VALUE(RIGHT($A348,1)))),"")</f>
        <v/>
      </c>
      <c r="D348" s="23" t="str">
        <f>IFERROR(IF(INDEX(使用レシピ!F:F,MATCH(テンプレート!$C348,使用レシピ!$E:$E,0))&lt;&gt;0,INDEX(使用レシピ!F:F,MATCH(テンプレート!$C348,使用レシピ!$E:$E,0)),""),"")</f>
        <v/>
      </c>
      <c r="E348" t="str">
        <f>IFERROR(IF(INDEX(使用レシピ!G:G,MATCH(テンプレート!$C348,使用レシピ!$E:$E,0))&lt;&gt;0,INDEX(使用レシピ!G:G,MATCH(テンプレート!$C348,使用レシピ!$E:$E,0)),""),"")</f>
        <v/>
      </c>
      <c r="F348" t="str">
        <f>IFERROR(IF(INDEX(使用レシピ!H:H,MATCH(テンプレート!$C348,使用レシピ!$E:$E,0))&lt;&gt;0,INDEX(使用レシピ!H:H,MATCH(テンプレート!$C348,使用レシピ!$E:$E,0)),""),"")</f>
        <v/>
      </c>
      <c r="G348" t="str">
        <f>IFERROR(IF(INDEX(使用レシピ!I:I,MATCH(テンプレート!$C348,使用レシピ!$E:$E,0))&lt;&gt;0,INDEX(使用レシピ!I:I,MATCH(テンプレート!$C348,使用レシピ!$E:$E,0)),""),"")</f>
        <v/>
      </c>
      <c r="H348" s="24" t="str">
        <f>IFERROR(IF(INDEX(使用レシピ!J:J,MATCH(テンプレート!$C348,使用レシピ!$E:$E,0))&lt;&gt;0,INDEX(使用レシピ!J:J,MATCH(テンプレート!$C348,使用レシピ!$E:$E,0)),""),"")</f>
        <v/>
      </c>
      <c r="I348" s="36" t="str">
        <f>IFERROR(IF(INDEX(使用レシピ!P:P,MATCH(テンプレート!$C348,使用レシピ!$E:$E,0))&lt;&gt;0,INDEX(使用レシピ!P:P,MATCH(テンプレート!$C348,使用レシピ!$E:$E,0)),""),"")</f>
        <v/>
      </c>
      <c r="J348" t="str">
        <f>IFERROR(IF(INDEX(使用レシピ!K:K,MATCH(テンプレート!$C348,使用レシピ!$E:$E,0))&lt;&gt;0,INDEX(使用レシピ!K:K,MATCH(テンプレート!$C348,使用レシピ!$E:$E,0)),""),"")</f>
        <v/>
      </c>
      <c r="K348" t="str">
        <f>IFERROR(IF(INDEX(使用レシピ!L:L,MATCH(テンプレート!$C348,使用レシピ!$E:$E,0))&lt;&gt;0,INDEX(使用レシピ!L:L,MATCH(テンプレート!$C348,使用レシピ!$E:$E,0)),""),"")</f>
        <v/>
      </c>
      <c r="L348" t="str">
        <f>IFERROR(IF(INDEX(使用レシピ!M:M,MATCH(テンプレート!$C348,使用レシピ!$E:$E,0))&lt;&gt;0,INDEX(使用レシピ!M:M,MATCH(テンプレート!$C348,使用レシピ!$E:$E,0)),""),"")</f>
        <v/>
      </c>
      <c r="M348" t="str">
        <f>IFERROR(IF(INDEX(使用レシピ!N:N,MATCH(テンプレート!$C348,使用レシピ!$E:$E,0))&lt;&gt;0,INDEX(使用レシピ!N:N,MATCH(テンプレート!$C348,使用レシピ!$E:$E,0)),""),"")</f>
        <v/>
      </c>
      <c r="N348" s="24" t="str">
        <f>IFERROR(IF(INDEX(使用レシピ!O:O,MATCH(テンプレート!$C348,使用レシピ!$E:$E,0))&lt;&gt;0,INDEX(使用レシピ!O:O,MATCH(テンプレート!$C348,使用レシピ!$E:$E,0)),""),"")</f>
        <v/>
      </c>
      <c r="O348" s="36" t="str">
        <f>IFERROR(IF(INDEX(使用レシピ!P:P,MATCH(テンプレート!$C348,使用レシピ!$E:$E,0))&lt;&gt;0,INDEX(使用レシピ!P:P,MATCH(テンプレート!$C348,使用レシピ!$E:$E,0)),""),"")</f>
        <v/>
      </c>
      <c r="P348" t="str">
        <f t="shared" si="26"/>
        <v/>
      </c>
      <c r="Q348" t="str">
        <f t="shared" si="27"/>
        <v/>
      </c>
      <c r="R348" t="str">
        <f t="shared" si="28"/>
        <v/>
      </c>
      <c r="S348" t="str">
        <f t="shared" si="29"/>
        <v/>
      </c>
      <c r="T348" s="24" t="str">
        <f t="shared" si="30"/>
        <v/>
      </c>
    </row>
    <row r="349" spans="2:20" x14ac:dyDescent="0.4">
      <c r="B349" s="49" t="str" cm="1">
        <f t="array" ref="B349">IFERROR((INDEX($P$4:$T$1000,MATCH(VALUE(LEFT($A349,LEN($A349)-1)),$A$4:$A$1000,0),VALUE(RIGHT($A349,1)))/ INDEX($O$4:$O$1000,MATCH(VALUE(LEFT($A349,LEN($A349)-1)),$A$4:$A$1000))) * INDEX($B$4:$B$1000,MATCH(VALUE(LEFT($A349,LEN($A349)-1)),$A$4:$A$1000)),"")</f>
        <v/>
      </c>
      <c r="C349" s="2" t="str" cm="1">
        <f t="array" ref="C349">IFERROR(IF(INDEX($D$4:$H$1000,MATCH(VALUE(LEFT($A349,LEN($A349)-1)),$A$4:$A$1000,0),VALUE(RIGHT($A349,1)))= 0,"",INDEX($D$4:$H$1000,MATCH(VALUE(LEFT($A349,LEN($A349)-1)),$A$4:$A$1000,0),VALUE(RIGHT($A349,1)))),"")</f>
        <v/>
      </c>
      <c r="D349" s="23" t="str">
        <f>IFERROR(IF(INDEX(使用レシピ!F:F,MATCH(テンプレート!$C349,使用レシピ!$E:$E,0))&lt;&gt;0,INDEX(使用レシピ!F:F,MATCH(テンプレート!$C349,使用レシピ!$E:$E,0)),""),"")</f>
        <v/>
      </c>
      <c r="E349" t="str">
        <f>IFERROR(IF(INDEX(使用レシピ!G:G,MATCH(テンプレート!$C349,使用レシピ!$E:$E,0))&lt;&gt;0,INDEX(使用レシピ!G:G,MATCH(テンプレート!$C349,使用レシピ!$E:$E,0)),""),"")</f>
        <v/>
      </c>
      <c r="F349" t="str">
        <f>IFERROR(IF(INDEX(使用レシピ!H:H,MATCH(テンプレート!$C349,使用レシピ!$E:$E,0))&lt;&gt;0,INDEX(使用レシピ!H:H,MATCH(テンプレート!$C349,使用レシピ!$E:$E,0)),""),"")</f>
        <v/>
      </c>
      <c r="G349" t="str">
        <f>IFERROR(IF(INDEX(使用レシピ!I:I,MATCH(テンプレート!$C349,使用レシピ!$E:$E,0))&lt;&gt;0,INDEX(使用レシピ!I:I,MATCH(テンプレート!$C349,使用レシピ!$E:$E,0)),""),"")</f>
        <v/>
      </c>
      <c r="H349" s="24" t="str">
        <f>IFERROR(IF(INDEX(使用レシピ!J:J,MATCH(テンプレート!$C349,使用レシピ!$E:$E,0))&lt;&gt;0,INDEX(使用レシピ!J:J,MATCH(テンプレート!$C349,使用レシピ!$E:$E,0)),""),"")</f>
        <v/>
      </c>
      <c r="I349" s="36" t="str">
        <f>IFERROR(IF(INDEX(使用レシピ!P:P,MATCH(テンプレート!$C349,使用レシピ!$E:$E,0))&lt;&gt;0,INDEX(使用レシピ!P:P,MATCH(テンプレート!$C349,使用レシピ!$E:$E,0)),""),"")</f>
        <v/>
      </c>
      <c r="J349" t="str">
        <f>IFERROR(IF(INDEX(使用レシピ!K:K,MATCH(テンプレート!$C349,使用レシピ!$E:$E,0))&lt;&gt;0,INDEX(使用レシピ!K:K,MATCH(テンプレート!$C349,使用レシピ!$E:$E,0)),""),"")</f>
        <v/>
      </c>
      <c r="K349" t="str">
        <f>IFERROR(IF(INDEX(使用レシピ!L:L,MATCH(テンプレート!$C349,使用レシピ!$E:$E,0))&lt;&gt;0,INDEX(使用レシピ!L:L,MATCH(テンプレート!$C349,使用レシピ!$E:$E,0)),""),"")</f>
        <v/>
      </c>
      <c r="L349" t="str">
        <f>IFERROR(IF(INDEX(使用レシピ!M:M,MATCH(テンプレート!$C349,使用レシピ!$E:$E,0))&lt;&gt;0,INDEX(使用レシピ!M:M,MATCH(テンプレート!$C349,使用レシピ!$E:$E,0)),""),"")</f>
        <v/>
      </c>
      <c r="M349" t="str">
        <f>IFERROR(IF(INDEX(使用レシピ!N:N,MATCH(テンプレート!$C349,使用レシピ!$E:$E,0))&lt;&gt;0,INDEX(使用レシピ!N:N,MATCH(テンプレート!$C349,使用レシピ!$E:$E,0)),""),"")</f>
        <v/>
      </c>
      <c r="N349" s="24" t="str">
        <f>IFERROR(IF(INDEX(使用レシピ!O:O,MATCH(テンプレート!$C349,使用レシピ!$E:$E,0))&lt;&gt;0,INDEX(使用レシピ!O:O,MATCH(テンプレート!$C349,使用レシピ!$E:$E,0)),""),"")</f>
        <v/>
      </c>
      <c r="O349" s="36" t="str">
        <f>IFERROR(IF(INDEX(使用レシピ!P:P,MATCH(テンプレート!$C349,使用レシピ!$E:$E,0))&lt;&gt;0,INDEX(使用レシピ!P:P,MATCH(テンプレート!$C349,使用レシピ!$E:$E,0)),""),"")</f>
        <v/>
      </c>
      <c r="P349" t="str">
        <f t="shared" si="26"/>
        <v/>
      </c>
      <c r="Q349" t="str">
        <f t="shared" si="27"/>
        <v/>
      </c>
      <c r="R349" t="str">
        <f t="shared" si="28"/>
        <v/>
      </c>
      <c r="S349" t="str">
        <f t="shared" si="29"/>
        <v/>
      </c>
      <c r="T349" s="24" t="str">
        <f t="shared" si="30"/>
        <v/>
      </c>
    </row>
    <row r="350" spans="2:20" x14ac:dyDescent="0.4">
      <c r="B350" s="49" t="str" cm="1">
        <f t="array" ref="B350">IFERROR((INDEX($P$4:$T$1000,MATCH(VALUE(LEFT($A350,LEN($A350)-1)),$A$4:$A$1000,0),VALUE(RIGHT($A350,1)))/ INDEX($O$4:$O$1000,MATCH(VALUE(LEFT($A350,LEN($A350)-1)),$A$4:$A$1000))) * INDEX($B$4:$B$1000,MATCH(VALUE(LEFT($A350,LEN($A350)-1)),$A$4:$A$1000)),"")</f>
        <v/>
      </c>
      <c r="C350" s="2" t="str" cm="1">
        <f t="array" ref="C350">IFERROR(IF(INDEX($D$4:$H$1000,MATCH(VALUE(LEFT($A350,LEN($A350)-1)),$A$4:$A$1000,0),VALUE(RIGHT($A350,1)))= 0,"",INDEX($D$4:$H$1000,MATCH(VALUE(LEFT($A350,LEN($A350)-1)),$A$4:$A$1000,0),VALUE(RIGHT($A350,1)))),"")</f>
        <v/>
      </c>
      <c r="D350" s="23" t="str">
        <f>IFERROR(IF(INDEX(使用レシピ!F:F,MATCH(テンプレート!$C350,使用レシピ!$E:$E,0))&lt;&gt;0,INDEX(使用レシピ!F:F,MATCH(テンプレート!$C350,使用レシピ!$E:$E,0)),""),"")</f>
        <v/>
      </c>
      <c r="E350" t="str">
        <f>IFERROR(IF(INDEX(使用レシピ!G:G,MATCH(テンプレート!$C350,使用レシピ!$E:$E,0))&lt;&gt;0,INDEX(使用レシピ!G:G,MATCH(テンプレート!$C350,使用レシピ!$E:$E,0)),""),"")</f>
        <v/>
      </c>
      <c r="F350" t="str">
        <f>IFERROR(IF(INDEX(使用レシピ!H:H,MATCH(テンプレート!$C350,使用レシピ!$E:$E,0))&lt;&gt;0,INDEX(使用レシピ!H:H,MATCH(テンプレート!$C350,使用レシピ!$E:$E,0)),""),"")</f>
        <v/>
      </c>
      <c r="G350" t="str">
        <f>IFERROR(IF(INDEX(使用レシピ!I:I,MATCH(テンプレート!$C350,使用レシピ!$E:$E,0))&lt;&gt;0,INDEX(使用レシピ!I:I,MATCH(テンプレート!$C350,使用レシピ!$E:$E,0)),""),"")</f>
        <v/>
      </c>
      <c r="H350" s="24" t="str">
        <f>IFERROR(IF(INDEX(使用レシピ!J:J,MATCH(テンプレート!$C350,使用レシピ!$E:$E,0))&lt;&gt;0,INDEX(使用レシピ!J:J,MATCH(テンプレート!$C350,使用レシピ!$E:$E,0)),""),"")</f>
        <v/>
      </c>
      <c r="I350" s="36" t="str">
        <f>IFERROR(IF(INDEX(使用レシピ!P:P,MATCH(テンプレート!$C350,使用レシピ!$E:$E,0))&lt;&gt;0,INDEX(使用レシピ!P:P,MATCH(テンプレート!$C350,使用レシピ!$E:$E,0)),""),"")</f>
        <v/>
      </c>
      <c r="J350" t="str">
        <f>IFERROR(IF(INDEX(使用レシピ!K:K,MATCH(テンプレート!$C350,使用レシピ!$E:$E,0))&lt;&gt;0,INDEX(使用レシピ!K:K,MATCH(テンプレート!$C350,使用レシピ!$E:$E,0)),""),"")</f>
        <v/>
      </c>
      <c r="K350" t="str">
        <f>IFERROR(IF(INDEX(使用レシピ!L:L,MATCH(テンプレート!$C350,使用レシピ!$E:$E,0))&lt;&gt;0,INDEX(使用レシピ!L:L,MATCH(テンプレート!$C350,使用レシピ!$E:$E,0)),""),"")</f>
        <v/>
      </c>
      <c r="L350" t="str">
        <f>IFERROR(IF(INDEX(使用レシピ!M:M,MATCH(テンプレート!$C350,使用レシピ!$E:$E,0))&lt;&gt;0,INDEX(使用レシピ!M:M,MATCH(テンプレート!$C350,使用レシピ!$E:$E,0)),""),"")</f>
        <v/>
      </c>
      <c r="M350" t="str">
        <f>IFERROR(IF(INDEX(使用レシピ!N:N,MATCH(テンプレート!$C350,使用レシピ!$E:$E,0))&lt;&gt;0,INDEX(使用レシピ!N:N,MATCH(テンプレート!$C350,使用レシピ!$E:$E,0)),""),"")</f>
        <v/>
      </c>
      <c r="N350" s="24" t="str">
        <f>IFERROR(IF(INDEX(使用レシピ!O:O,MATCH(テンプレート!$C350,使用レシピ!$E:$E,0))&lt;&gt;0,INDEX(使用レシピ!O:O,MATCH(テンプレート!$C350,使用レシピ!$E:$E,0)),""),"")</f>
        <v/>
      </c>
      <c r="O350" s="36" t="str">
        <f>IFERROR(IF(INDEX(使用レシピ!P:P,MATCH(テンプレート!$C350,使用レシピ!$E:$E,0))&lt;&gt;0,INDEX(使用レシピ!P:P,MATCH(テンプレート!$C350,使用レシピ!$E:$E,0)),""),"")</f>
        <v/>
      </c>
      <c r="P350" t="str">
        <f t="shared" si="26"/>
        <v/>
      </c>
      <c r="Q350" t="str">
        <f t="shared" si="27"/>
        <v/>
      </c>
      <c r="R350" t="str">
        <f t="shared" si="28"/>
        <v/>
      </c>
      <c r="S350" t="str">
        <f t="shared" si="29"/>
        <v/>
      </c>
      <c r="T350" s="24" t="str">
        <f t="shared" si="30"/>
        <v/>
      </c>
    </row>
    <row r="351" spans="2:20" x14ac:dyDescent="0.4">
      <c r="B351" s="49" t="str" cm="1">
        <f t="array" ref="B351">IFERROR((INDEX($P$4:$T$1000,MATCH(VALUE(LEFT($A351,LEN($A351)-1)),$A$4:$A$1000,0),VALUE(RIGHT($A351,1)))/ INDEX($O$4:$O$1000,MATCH(VALUE(LEFT($A351,LEN($A351)-1)),$A$4:$A$1000))) * INDEX($B$4:$B$1000,MATCH(VALUE(LEFT($A351,LEN($A351)-1)),$A$4:$A$1000)),"")</f>
        <v/>
      </c>
      <c r="C351" s="2" t="str" cm="1">
        <f t="array" ref="C351">IFERROR(IF(INDEX($D$4:$H$1000,MATCH(VALUE(LEFT($A351,LEN($A351)-1)),$A$4:$A$1000,0),VALUE(RIGHT($A351,1)))= 0,"",INDEX($D$4:$H$1000,MATCH(VALUE(LEFT($A351,LEN($A351)-1)),$A$4:$A$1000,0),VALUE(RIGHT($A351,1)))),"")</f>
        <v/>
      </c>
      <c r="D351" s="23" t="str">
        <f>IFERROR(IF(INDEX(使用レシピ!F:F,MATCH(テンプレート!$C351,使用レシピ!$E:$E,0))&lt;&gt;0,INDEX(使用レシピ!F:F,MATCH(テンプレート!$C351,使用レシピ!$E:$E,0)),""),"")</f>
        <v/>
      </c>
      <c r="E351" t="str">
        <f>IFERROR(IF(INDEX(使用レシピ!G:G,MATCH(テンプレート!$C351,使用レシピ!$E:$E,0))&lt;&gt;0,INDEX(使用レシピ!G:G,MATCH(テンプレート!$C351,使用レシピ!$E:$E,0)),""),"")</f>
        <v/>
      </c>
      <c r="F351" t="str">
        <f>IFERROR(IF(INDEX(使用レシピ!H:H,MATCH(テンプレート!$C351,使用レシピ!$E:$E,0))&lt;&gt;0,INDEX(使用レシピ!H:H,MATCH(テンプレート!$C351,使用レシピ!$E:$E,0)),""),"")</f>
        <v/>
      </c>
      <c r="G351" t="str">
        <f>IFERROR(IF(INDEX(使用レシピ!I:I,MATCH(テンプレート!$C351,使用レシピ!$E:$E,0))&lt;&gt;0,INDEX(使用レシピ!I:I,MATCH(テンプレート!$C351,使用レシピ!$E:$E,0)),""),"")</f>
        <v/>
      </c>
      <c r="H351" s="24" t="str">
        <f>IFERROR(IF(INDEX(使用レシピ!J:J,MATCH(テンプレート!$C351,使用レシピ!$E:$E,0))&lt;&gt;0,INDEX(使用レシピ!J:J,MATCH(テンプレート!$C351,使用レシピ!$E:$E,0)),""),"")</f>
        <v/>
      </c>
      <c r="I351" s="36" t="str">
        <f>IFERROR(IF(INDEX(使用レシピ!P:P,MATCH(テンプレート!$C351,使用レシピ!$E:$E,0))&lt;&gt;0,INDEX(使用レシピ!P:P,MATCH(テンプレート!$C351,使用レシピ!$E:$E,0)),""),"")</f>
        <v/>
      </c>
      <c r="J351" t="str">
        <f>IFERROR(IF(INDEX(使用レシピ!K:K,MATCH(テンプレート!$C351,使用レシピ!$E:$E,0))&lt;&gt;0,INDEX(使用レシピ!K:K,MATCH(テンプレート!$C351,使用レシピ!$E:$E,0)),""),"")</f>
        <v/>
      </c>
      <c r="K351" t="str">
        <f>IFERROR(IF(INDEX(使用レシピ!L:L,MATCH(テンプレート!$C351,使用レシピ!$E:$E,0))&lt;&gt;0,INDEX(使用レシピ!L:L,MATCH(テンプレート!$C351,使用レシピ!$E:$E,0)),""),"")</f>
        <v/>
      </c>
      <c r="L351" t="str">
        <f>IFERROR(IF(INDEX(使用レシピ!M:M,MATCH(テンプレート!$C351,使用レシピ!$E:$E,0))&lt;&gt;0,INDEX(使用レシピ!M:M,MATCH(テンプレート!$C351,使用レシピ!$E:$E,0)),""),"")</f>
        <v/>
      </c>
      <c r="M351" t="str">
        <f>IFERROR(IF(INDEX(使用レシピ!N:N,MATCH(テンプレート!$C351,使用レシピ!$E:$E,0))&lt;&gt;0,INDEX(使用レシピ!N:N,MATCH(テンプレート!$C351,使用レシピ!$E:$E,0)),""),"")</f>
        <v/>
      </c>
      <c r="N351" s="24" t="str">
        <f>IFERROR(IF(INDEX(使用レシピ!O:O,MATCH(テンプレート!$C351,使用レシピ!$E:$E,0))&lt;&gt;0,INDEX(使用レシピ!O:O,MATCH(テンプレート!$C351,使用レシピ!$E:$E,0)),""),"")</f>
        <v/>
      </c>
      <c r="O351" s="36" t="str">
        <f>IFERROR(IF(INDEX(使用レシピ!P:P,MATCH(テンプレート!$C351,使用レシピ!$E:$E,0))&lt;&gt;0,INDEX(使用レシピ!P:P,MATCH(テンプレート!$C351,使用レシピ!$E:$E,0)),""),"")</f>
        <v/>
      </c>
      <c r="P351" t="str">
        <f t="shared" si="26"/>
        <v/>
      </c>
      <c r="Q351" t="str">
        <f t="shared" si="27"/>
        <v/>
      </c>
      <c r="R351" t="str">
        <f t="shared" si="28"/>
        <v/>
      </c>
      <c r="S351" t="str">
        <f t="shared" si="29"/>
        <v/>
      </c>
      <c r="T351" s="24" t="str">
        <f t="shared" si="30"/>
        <v/>
      </c>
    </row>
    <row r="352" spans="2:20" x14ac:dyDescent="0.4">
      <c r="B352" s="49" t="str" cm="1">
        <f t="array" ref="B352">IFERROR((INDEX($P$4:$T$1000,MATCH(VALUE(LEFT($A352,LEN($A352)-1)),$A$4:$A$1000,0),VALUE(RIGHT($A352,1)))/ INDEX($O$4:$O$1000,MATCH(VALUE(LEFT($A352,LEN($A352)-1)),$A$4:$A$1000))) * INDEX($B$4:$B$1000,MATCH(VALUE(LEFT($A352,LEN($A352)-1)),$A$4:$A$1000)),"")</f>
        <v/>
      </c>
      <c r="C352" s="2" t="str" cm="1">
        <f t="array" ref="C352">IFERROR(IF(INDEX($D$4:$H$1000,MATCH(VALUE(LEFT($A352,LEN($A352)-1)),$A$4:$A$1000,0),VALUE(RIGHT($A352,1)))= 0,"",INDEX($D$4:$H$1000,MATCH(VALUE(LEFT($A352,LEN($A352)-1)),$A$4:$A$1000,0),VALUE(RIGHT($A352,1)))),"")</f>
        <v/>
      </c>
      <c r="D352" s="23" t="str">
        <f>IFERROR(IF(INDEX(使用レシピ!F:F,MATCH(テンプレート!$C352,使用レシピ!$E:$E,0))&lt;&gt;0,INDEX(使用レシピ!F:F,MATCH(テンプレート!$C352,使用レシピ!$E:$E,0)),""),"")</f>
        <v/>
      </c>
      <c r="E352" t="str">
        <f>IFERROR(IF(INDEX(使用レシピ!G:G,MATCH(テンプレート!$C352,使用レシピ!$E:$E,0))&lt;&gt;0,INDEX(使用レシピ!G:G,MATCH(テンプレート!$C352,使用レシピ!$E:$E,0)),""),"")</f>
        <v/>
      </c>
      <c r="F352" t="str">
        <f>IFERROR(IF(INDEX(使用レシピ!H:H,MATCH(テンプレート!$C352,使用レシピ!$E:$E,0))&lt;&gt;0,INDEX(使用レシピ!H:H,MATCH(テンプレート!$C352,使用レシピ!$E:$E,0)),""),"")</f>
        <v/>
      </c>
      <c r="G352" t="str">
        <f>IFERROR(IF(INDEX(使用レシピ!I:I,MATCH(テンプレート!$C352,使用レシピ!$E:$E,0))&lt;&gt;0,INDEX(使用レシピ!I:I,MATCH(テンプレート!$C352,使用レシピ!$E:$E,0)),""),"")</f>
        <v/>
      </c>
      <c r="H352" s="24" t="str">
        <f>IFERROR(IF(INDEX(使用レシピ!J:J,MATCH(テンプレート!$C352,使用レシピ!$E:$E,0))&lt;&gt;0,INDEX(使用レシピ!J:J,MATCH(テンプレート!$C352,使用レシピ!$E:$E,0)),""),"")</f>
        <v/>
      </c>
      <c r="I352" s="36" t="str">
        <f>IFERROR(IF(INDEX(使用レシピ!P:P,MATCH(テンプレート!$C352,使用レシピ!$E:$E,0))&lt;&gt;0,INDEX(使用レシピ!P:P,MATCH(テンプレート!$C352,使用レシピ!$E:$E,0)),""),"")</f>
        <v/>
      </c>
      <c r="J352" t="str">
        <f>IFERROR(IF(INDEX(使用レシピ!K:K,MATCH(テンプレート!$C352,使用レシピ!$E:$E,0))&lt;&gt;0,INDEX(使用レシピ!K:K,MATCH(テンプレート!$C352,使用レシピ!$E:$E,0)),""),"")</f>
        <v/>
      </c>
      <c r="K352" t="str">
        <f>IFERROR(IF(INDEX(使用レシピ!L:L,MATCH(テンプレート!$C352,使用レシピ!$E:$E,0))&lt;&gt;0,INDEX(使用レシピ!L:L,MATCH(テンプレート!$C352,使用レシピ!$E:$E,0)),""),"")</f>
        <v/>
      </c>
      <c r="L352" t="str">
        <f>IFERROR(IF(INDEX(使用レシピ!M:M,MATCH(テンプレート!$C352,使用レシピ!$E:$E,0))&lt;&gt;0,INDEX(使用レシピ!M:M,MATCH(テンプレート!$C352,使用レシピ!$E:$E,0)),""),"")</f>
        <v/>
      </c>
      <c r="M352" t="str">
        <f>IFERROR(IF(INDEX(使用レシピ!N:N,MATCH(テンプレート!$C352,使用レシピ!$E:$E,0))&lt;&gt;0,INDEX(使用レシピ!N:N,MATCH(テンプレート!$C352,使用レシピ!$E:$E,0)),""),"")</f>
        <v/>
      </c>
      <c r="N352" s="24" t="str">
        <f>IFERROR(IF(INDEX(使用レシピ!O:O,MATCH(テンプレート!$C352,使用レシピ!$E:$E,0))&lt;&gt;0,INDEX(使用レシピ!O:O,MATCH(テンプレート!$C352,使用レシピ!$E:$E,0)),""),"")</f>
        <v/>
      </c>
      <c r="O352" s="36" t="str">
        <f>IFERROR(IF(INDEX(使用レシピ!P:P,MATCH(テンプレート!$C352,使用レシピ!$E:$E,0))&lt;&gt;0,INDEX(使用レシピ!P:P,MATCH(テンプレート!$C352,使用レシピ!$E:$E,0)),""),"")</f>
        <v/>
      </c>
      <c r="P352" t="str">
        <f t="shared" si="26"/>
        <v/>
      </c>
      <c r="Q352" t="str">
        <f t="shared" si="27"/>
        <v/>
      </c>
      <c r="R352" t="str">
        <f t="shared" si="28"/>
        <v/>
      </c>
      <c r="S352" t="str">
        <f t="shared" si="29"/>
        <v/>
      </c>
      <c r="T352" s="24" t="str">
        <f t="shared" si="30"/>
        <v/>
      </c>
    </row>
    <row r="353" spans="2:20" x14ac:dyDescent="0.4">
      <c r="B353" s="49" t="str" cm="1">
        <f t="array" ref="B353">IFERROR((INDEX($P$4:$T$1000,MATCH(VALUE(LEFT($A353,LEN($A353)-1)),$A$4:$A$1000,0),VALUE(RIGHT($A353,1)))/ INDEX($O$4:$O$1000,MATCH(VALUE(LEFT($A353,LEN($A353)-1)),$A$4:$A$1000))) * INDEX($B$4:$B$1000,MATCH(VALUE(LEFT($A353,LEN($A353)-1)),$A$4:$A$1000)),"")</f>
        <v/>
      </c>
      <c r="C353" s="2" t="str" cm="1">
        <f t="array" ref="C353">IFERROR(IF(INDEX($D$4:$H$1000,MATCH(VALUE(LEFT($A353,LEN($A353)-1)),$A$4:$A$1000,0),VALUE(RIGHT($A353,1)))= 0,"",INDEX($D$4:$H$1000,MATCH(VALUE(LEFT($A353,LEN($A353)-1)),$A$4:$A$1000,0),VALUE(RIGHT($A353,1)))),"")</f>
        <v/>
      </c>
      <c r="D353" s="23" t="str">
        <f>IFERROR(IF(INDEX(使用レシピ!F:F,MATCH(テンプレート!$C353,使用レシピ!$E:$E,0))&lt;&gt;0,INDEX(使用レシピ!F:F,MATCH(テンプレート!$C353,使用レシピ!$E:$E,0)),""),"")</f>
        <v/>
      </c>
      <c r="E353" t="str">
        <f>IFERROR(IF(INDEX(使用レシピ!G:G,MATCH(テンプレート!$C353,使用レシピ!$E:$E,0))&lt;&gt;0,INDEX(使用レシピ!G:G,MATCH(テンプレート!$C353,使用レシピ!$E:$E,0)),""),"")</f>
        <v/>
      </c>
      <c r="F353" t="str">
        <f>IFERROR(IF(INDEX(使用レシピ!H:H,MATCH(テンプレート!$C353,使用レシピ!$E:$E,0))&lt;&gt;0,INDEX(使用レシピ!H:H,MATCH(テンプレート!$C353,使用レシピ!$E:$E,0)),""),"")</f>
        <v/>
      </c>
      <c r="G353" t="str">
        <f>IFERROR(IF(INDEX(使用レシピ!I:I,MATCH(テンプレート!$C353,使用レシピ!$E:$E,0))&lt;&gt;0,INDEX(使用レシピ!I:I,MATCH(テンプレート!$C353,使用レシピ!$E:$E,0)),""),"")</f>
        <v/>
      </c>
      <c r="H353" s="24" t="str">
        <f>IFERROR(IF(INDEX(使用レシピ!J:J,MATCH(テンプレート!$C353,使用レシピ!$E:$E,0))&lt;&gt;0,INDEX(使用レシピ!J:J,MATCH(テンプレート!$C353,使用レシピ!$E:$E,0)),""),"")</f>
        <v/>
      </c>
      <c r="I353" s="36" t="str">
        <f>IFERROR(IF(INDEX(使用レシピ!P:P,MATCH(テンプレート!$C353,使用レシピ!$E:$E,0))&lt;&gt;0,INDEX(使用レシピ!P:P,MATCH(テンプレート!$C353,使用レシピ!$E:$E,0)),""),"")</f>
        <v/>
      </c>
      <c r="J353" t="str">
        <f>IFERROR(IF(INDEX(使用レシピ!K:K,MATCH(テンプレート!$C353,使用レシピ!$E:$E,0))&lt;&gt;0,INDEX(使用レシピ!K:K,MATCH(テンプレート!$C353,使用レシピ!$E:$E,0)),""),"")</f>
        <v/>
      </c>
      <c r="K353" t="str">
        <f>IFERROR(IF(INDEX(使用レシピ!L:L,MATCH(テンプレート!$C353,使用レシピ!$E:$E,0))&lt;&gt;0,INDEX(使用レシピ!L:L,MATCH(テンプレート!$C353,使用レシピ!$E:$E,0)),""),"")</f>
        <v/>
      </c>
      <c r="L353" t="str">
        <f>IFERROR(IF(INDEX(使用レシピ!M:M,MATCH(テンプレート!$C353,使用レシピ!$E:$E,0))&lt;&gt;0,INDEX(使用レシピ!M:M,MATCH(テンプレート!$C353,使用レシピ!$E:$E,0)),""),"")</f>
        <v/>
      </c>
      <c r="M353" t="str">
        <f>IFERROR(IF(INDEX(使用レシピ!N:N,MATCH(テンプレート!$C353,使用レシピ!$E:$E,0))&lt;&gt;0,INDEX(使用レシピ!N:N,MATCH(テンプレート!$C353,使用レシピ!$E:$E,0)),""),"")</f>
        <v/>
      </c>
      <c r="N353" s="24" t="str">
        <f>IFERROR(IF(INDEX(使用レシピ!O:O,MATCH(テンプレート!$C353,使用レシピ!$E:$E,0))&lt;&gt;0,INDEX(使用レシピ!O:O,MATCH(テンプレート!$C353,使用レシピ!$E:$E,0)),""),"")</f>
        <v/>
      </c>
      <c r="O353" s="36" t="str">
        <f>IFERROR(IF(INDEX(使用レシピ!P:P,MATCH(テンプレート!$C353,使用レシピ!$E:$E,0))&lt;&gt;0,INDEX(使用レシピ!P:P,MATCH(テンプレート!$C353,使用レシピ!$E:$E,0)),""),"")</f>
        <v/>
      </c>
      <c r="P353" t="str">
        <f t="shared" si="26"/>
        <v/>
      </c>
      <c r="Q353" t="str">
        <f t="shared" si="27"/>
        <v/>
      </c>
      <c r="R353" t="str">
        <f t="shared" si="28"/>
        <v/>
      </c>
      <c r="S353" t="str">
        <f t="shared" si="29"/>
        <v/>
      </c>
      <c r="T353" s="24" t="str">
        <f t="shared" si="30"/>
        <v/>
      </c>
    </row>
    <row r="354" spans="2:20" x14ac:dyDescent="0.4">
      <c r="B354" s="49" t="str" cm="1">
        <f t="array" ref="B354">IFERROR((INDEX($P$4:$T$1000,MATCH(VALUE(LEFT($A354,LEN($A354)-1)),$A$4:$A$1000,0),VALUE(RIGHT($A354,1)))/ INDEX($O$4:$O$1000,MATCH(VALUE(LEFT($A354,LEN($A354)-1)),$A$4:$A$1000))) * INDEX($B$4:$B$1000,MATCH(VALUE(LEFT($A354,LEN($A354)-1)),$A$4:$A$1000)),"")</f>
        <v/>
      </c>
      <c r="C354" s="2" t="str" cm="1">
        <f t="array" ref="C354">IFERROR(IF(INDEX($D$4:$H$1000,MATCH(VALUE(LEFT($A354,LEN($A354)-1)),$A$4:$A$1000,0),VALUE(RIGHT($A354,1)))= 0,"",INDEX($D$4:$H$1000,MATCH(VALUE(LEFT($A354,LEN($A354)-1)),$A$4:$A$1000,0),VALUE(RIGHT($A354,1)))),"")</f>
        <v/>
      </c>
      <c r="D354" s="23" t="str">
        <f>IFERROR(IF(INDEX(使用レシピ!F:F,MATCH(テンプレート!$C354,使用レシピ!$E:$E,0))&lt;&gt;0,INDEX(使用レシピ!F:F,MATCH(テンプレート!$C354,使用レシピ!$E:$E,0)),""),"")</f>
        <v/>
      </c>
      <c r="E354" t="str">
        <f>IFERROR(IF(INDEX(使用レシピ!G:G,MATCH(テンプレート!$C354,使用レシピ!$E:$E,0))&lt;&gt;0,INDEX(使用レシピ!G:G,MATCH(テンプレート!$C354,使用レシピ!$E:$E,0)),""),"")</f>
        <v/>
      </c>
      <c r="F354" t="str">
        <f>IFERROR(IF(INDEX(使用レシピ!H:H,MATCH(テンプレート!$C354,使用レシピ!$E:$E,0))&lt;&gt;0,INDEX(使用レシピ!H:H,MATCH(テンプレート!$C354,使用レシピ!$E:$E,0)),""),"")</f>
        <v/>
      </c>
      <c r="G354" t="str">
        <f>IFERROR(IF(INDEX(使用レシピ!I:I,MATCH(テンプレート!$C354,使用レシピ!$E:$E,0))&lt;&gt;0,INDEX(使用レシピ!I:I,MATCH(テンプレート!$C354,使用レシピ!$E:$E,0)),""),"")</f>
        <v/>
      </c>
      <c r="H354" s="24" t="str">
        <f>IFERROR(IF(INDEX(使用レシピ!J:J,MATCH(テンプレート!$C354,使用レシピ!$E:$E,0))&lt;&gt;0,INDEX(使用レシピ!J:J,MATCH(テンプレート!$C354,使用レシピ!$E:$E,0)),""),"")</f>
        <v/>
      </c>
      <c r="I354" s="36" t="str">
        <f>IFERROR(IF(INDEX(使用レシピ!P:P,MATCH(テンプレート!$C354,使用レシピ!$E:$E,0))&lt;&gt;0,INDEX(使用レシピ!P:P,MATCH(テンプレート!$C354,使用レシピ!$E:$E,0)),""),"")</f>
        <v/>
      </c>
      <c r="J354" t="str">
        <f>IFERROR(IF(INDEX(使用レシピ!K:K,MATCH(テンプレート!$C354,使用レシピ!$E:$E,0))&lt;&gt;0,INDEX(使用レシピ!K:K,MATCH(テンプレート!$C354,使用レシピ!$E:$E,0)),""),"")</f>
        <v/>
      </c>
      <c r="K354" t="str">
        <f>IFERROR(IF(INDEX(使用レシピ!L:L,MATCH(テンプレート!$C354,使用レシピ!$E:$E,0))&lt;&gt;0,INDEX(使用レシピ!L:L,MATCH(テンプレート!$C354,使用レシピ!$E:$E,0)),""),"")</f>
        <v/>
      </c>
      <c r="L354" t="str">
        <f>IFERROR(IF(INDEX(使用レシピ!M:M,MATCH(テンプレート!$C354,使用レシピ!$E:$E,0))&lt;&gt;0,INDEX(使用レシピ!M:M,MATCH(テンプレート!$C354,使用レシピ!$E:$E,0)),""),"")</f>
        <v/>
      </c>
      <c r="M354" t="str">
        <f>IFERROR(IF(INDEX(使用レシピ!N:N,MATCH(テンプレート!$C354,使用レシピ!$E:$E,0))&lt;&gt;0,INDEX(使用レシピ!N:N,MATCH(テンプレート!$C354,使用レシピ!$E:$E,0)),""),"")</f>
        <v/>
      </c>
      <c r="N354" s="24" t="str">
        <f>IFERROR(IF(INDEX(使用レシピ!O:O,MATCH(テンプレート!$C354,使用レシピ!$E:$E,0))&lt;&gt;0,INDEX(使用レシピ!O:O,MATCH(テンプレート!$C354,使用レシピ!$E:$E,0)),""),"")</f>
        <v/>
      </c>
      <c r="O354" s="36" t="str">
        <f>IFERROR(IF(INDEX(使用レシピ!P:P,MATCH(テンプレート!$C354,使用レシピ!$E:$E,0))&lt;&gt;0,INDEX(使用レシピ!P:P,MATCH(テンプレート!$C354,使用レシピ!$E:$E,0)),""),"")</f>
        <v/>
      </c>
      <c r="P354" t="str">
        <f t="shared" si="26"/>
        <v/>
      </c>
      <c r="Q354" t="str">
        <f t="shared" si="27"/>
        <v/>
      </c>
      <c r="R354" t="str">
        <f t="shared" si="28"/>
        <v/>
      </c>
      <c r="S354" t="str">
        <f t="shared" si="29"/>
        <v/>
      </c>
      <c r="T354" s="24" t="str">
        <f t="shared" si="30"/>
        <v/>
      </c>
    </row>
    <row r="355" spans="2:20" x14ac:dyDescent="0.4">
      <c r="B355" s="49" t="str" cm="1">
        <f t="array" ref="B355">IFERROR((INDEX($P$4:$T$1000,MATCH(VALUE(LEFT($A355,LEN($A355)-1)),$A$4:$A$1000,0),VALUE(RIGHT($A355,1)))/ INDEX($O$4:$O$1000,MATCH(VALUE(LEFT($A355,LEN($A355)-1)),$A$4:$A$1000))) * INDEX($B$4:$B$1000,MATCH(VALUE(LEFT($A355,LEN($A355)-1)),$A$4:$A$1000)),"")</f>
        <v/>
      </c>
      <c r="C355" s="2" t="str" cm="1">
        <f t="array" ref="C355">IFERROR(IF(INDEX($D$4:$H$1000,MATCH(VALUE(LEFT($A355,LEN($A355)-1)),$A$4:$A$1000,0),VALUE(RIGHT($A355,1)))= 0,"",INDEX($D$4:$H$1000,MATCH(VALUE(LEFT($A355,LEN($A355)-1)),$A$4:$A$1000,0),VALUE(RIGHT($A355,1)))),"")</f>
        <v/>
      </c>
      <c r="D355" s="23" t="str">
        <f>IFERROR(IF(INDEX(使用レシピ!F:F,MATCH(テンプレート!$C355,使用レシピ!$E:$E,0))&lt;&gt;0,INDEX(使用レシピ!F:F,MATCH(テンプレート!$C355,使用レシピ!$E:$E,0)),""),"")</f>
        <v/>
      </c>
      <c r="E355" t="str">
        <f>IFERROR(IF(INDEX(使用レシピ!G:G,MATCH(テンプレート!$C355,使用レシピ!$E:$E,0))&lt;&gt;0,INDEX(使用レシピ!G:G,MATCH(テンプレート!$C355,使用レシピ!$E:$E,0)),""),"")</f>
        <v/>
      </c>
      <c r="F355" t="str">
        <f>IFERROR(IF(INDEX(使用レシピ!H:H,MATCH(テンプレート!$C355,使用レシピ!$E:$E,0))&lt;&gt;0,INDEX(使用レシピ!H:H,MATCH(テンプレート!$C355,使用レシピ!$E:$E,0)),""),"")</f>
        <v/>
      </c>
      <c r="G355" t="str">
        <f>IFERROR(IF(INDEX(使用レシピ!I:I,MATCH(テンプレート!$C355,使用レシピ!$E:$E,0))&lt;&gt;0,INDEX(使用レシピ!I:I,MATCH(テンプレート!$C355,使用レシピ!$E:$E,0)),""),"")</f>
        <v/>
      </c>
      <c r="H355" s="24" t="str">
        <f>IFERROR(IF(INDEX(使用レシピ!J:J,MATCH(テンプレート!$C355,使用レシピ!$E:$E,0))&lt;&gt;0,INDEX(使用レシピ!J:J,MATCH(テンプレート!$C355,使用レシピ!$E:$E,0)),""),"")</f>
        <v/>
      </c>
      <c r="I355" s="36" t="str">
        <f>IFERROR(IF(INDEX(使用レシピ!P:P,MATCH(テンプレート!$C355,使用レシピ!$E:$E,0))&lt;&gt;0,INDEX(使用レシピ!P:P,MATCH(テンプレート!$C355,使用レシピ!$E:$E,0)),""),"")</f>
        <v/>
      </c>
      <c r="J355" t="str">
        <f>IFERROR(IF(INDEX(使用レシピ!K:K,MATCH(テンプレート!$C355,使用レシピ!$E:$E,0))&lt;&gt;0,INDEX(使用レシピ!K:K,MATCH(テンプレート!$C355,使用レシピ!$E:$E,0)),""),"")</f>
        <v/>
      </c>
      <c r="K355" t="str">
        <f>IFERROR(IF(INDEX(使用レシピ!L:L,MATCH(テンプレート!$C355,使用レシピ!$E:$E,0))&lt;&gt;0,INDEX(使用レシピ!L:L,MATCH(テンプレート!$C355,使用レシピ!$E:$E,0)),""),"")</f>
        <v/>
      </c>
      <c r="L355" t="str">
        <f>IFERROR(IF(INDEX(使用レシピ!M:M,MATCH(テンプレート!$C355,使用レシピ!$E:$E,0))&lt;&gt;0,INDEX(使用レシピ!M:M,MATCH(テンプレート!$C355,使用レシピ!$E:$E,0)),""),"")</f>
        <v/>
      </c>
      <c r="M355" t="str">
        <f>IFERROR(IF(INDEX(使用レシピ!N:N,MATCH(テンプレート!$C355,使用レシピ!$E:$E,0))&lt;&gt;0,INDEX(使用レシピ!N:N,MATCH(テンプレート!$C355,使用レシピ!$E:$E,0)),""),"")</f>
        <v/>
      </c>
      <c r="N355" s="24" t="str">
        <f>IFERROR(IF(INDEX(使用レシピ!O:O,MATCH(テンプレート!$C355,使用レシピ!$E:$E,0))&lt;&gt;0,INDEX(使用レシピ!O:O,MATCH(テンプレート!$C355,使用レシピ!$E:$E,0)),""),"")</f>
        <v/>
      </c>
      <c r="O355" s="36" t="str">
        <f>IFERROR(IF(INDEX(使用レシピ!P:P,MATCH(テンプレート!$C355,使用レシピ!$E:$E,0))&lt;&gt;0,INDEX(使用レシピ!P:P,MATCH(テンプレート!$C355,使用レシピ!$E:$E,0)),""),"")</f>
        <v/>
      </c>
      <c r="P355" t="str">
        <f t="shared" si="26"/>
        <v/>
      </c>
      <c r="Q355" t="str">
        <f t="shared" si="27"/>
        <v/>
      </c>
      <c r="R355" t="str">
        <f t="shared" si="28"/>
        <v/>
      </c>
      <c r="S355" t="str">
        <f t="shared" si="29"/>
        <v/>
      </c>
      <c r="T355" s="24" t="str">
        <f t="shared" si="30"/>
        <v/>
      </c>
    </row>
    <row r="356" spans="2:20" x14ac:dyDescent="0.4">
      <c r="B356" s="49" t="str" cm="1">
        <f t="array" ref="B356">IFERROR((INDEX($P$4:$T$1000,MATCH(VALUE(LEFT($A356,LEN($A356)-1)),$A$4:$A$1000,0),VALUE(RIGHT($A356,1)))/ INDEX($O$4:$O$1000,MATCH(VALUE(LEFT($A356,LEN($A356)-1)),$A$4:$A$1000))) * INDEX($B$4:$B$1000,MATCH(VALUE(LEFT($A356,LEN($A356)-1)),$A$4:$A$1000)),"")</f>
        <v/>
      </c>
      <c r="C356" s="2" t="str" cm="1">
        <f t="array" ref="C356">IFERROR(IF(INDEX($D$4:$H$1000,MATCH(VALUE(LEFT($A356,LEN($A356)-1)),$A$4:$A$1000,0),VALUE(RIGHT($A356,1)))= 0,"",INDEX($D$4:$H$1000,MATCH(VALUE(LEFT($A356,LEN($A356)-1)),$A$4:$A$1000,0),VALUE(RIGHT($A356,1)))),"")</f>
        <v/>
      </c>
      <c r="D356" s="23" t="str">
        <f>IFERROR(IF(INDEX(使用レシピ!F:F,MATCH(テンプレート!$C356,使用レシピ!$E:$E,0))&lt;&gt;0,INDEX(使用レシピ!F:F,MATCH(テンプレート!$C356,使用レシピ!$E:$E,0)),""),"")</f>
        <v/>
      </c>
      <c r="E356" t="str">
        <f>IFERROR(IF(INDEX(使用レシピ!G:G,MATCH(テンプレート!$C356,使用レシピ!$E:$E,0))&lt;&gt;0,INDEX(使用レシピ!G:G,MATCH(テンプレート!$C356,使用レシピ!$E:$E,0)),""),"")</f>
        <v/>
      </c>
      <c r="F356" t="str">
        <f>IFERROR(IF(INDEX(使用レシピ!H:H,MATCH(テンプレート!$C356,使用レシピ!$E:$E,0))&lt;&gt;0,INDEX(使用レシピ!H:H,MATCH(テンプレート!$C356,使用レシピ!$E:$E,0)),""),"")</f>
        <v/>
      </c>
      <c r="G356" t="str">
        <f>IFERROR(IF(INDEX(使用レシピ!I:I,MATCH(テンプレート!$C356,使用レシピ!$E:$E,0))&lt;&gt;0,INDEX(使用レシピ!I:I,MATCH(テンプレート!$C356,使用レシピ!$E:$E,0)),""),"")</f>
        <v/>
      </c>
      <c r="H356" s="24" t="str">
        <f>IFERROR(IF(INDEX(使用レシピ!J:J,MATCH(テンプレート!$C356,使用レシピ!$E:$E,0))&lt;&gt;0,INDEX(使用レシピ!J:J,MATCH(テンプレート!$C356,使用レシピ!$E:$E,0)),""),"")</f>
        <v/>
      </c>
      <c r="I356" s="36" t="str">
        <f>IFERROR(IF(INDEX(使用レシピ!P:P,MATCH(テンプレート!$C356,使用レシピ!$E:$E,0))&lt;&gt;0,INDEX(使用レシピ!P:P,MATCH(テンプレート!$C356,使用レシピ!$E:$E,0)),""),"")</f>
        <v/>
      </c>
      <c r="J356" t="str">
        <f>IFERROR(IF(INDEX(使用レシピ!K:K,MATCH(テンプレート!$C356,使用レシピ!$E:$E,0))&lt;&gt;0,INDEX(使用レシピ!K:K,MATCH(テンプレート!$C356,使用レシピ!$E:$E,0)),""),"")</f>
        <v/>
      </c>
      <c r="K356" t="str">
        <f>IFERROR(IF(INDEX(使用レシピ!L:L,MATCH(テンプレート!$C356,使用レシピ!$E:$E,0))&lt;&gt;0,INDEX(使用レシピ!L:L,MATCH(テンプレート!$C356,使用レシピ!$E:$E,0)),""),"")</f>
        <v/>
      </c>
      <c r="L356" t="str">
        <f>IFERROR(IF(INDEX(使用レシピ!M:M,MATCH(テンプレート!$C356,使用レシピ!$E:$E,0))&lt;&gt;0,INDEX(使用レシピ!M:M,MATCH(テンプレート!$C356,使用レシピ!$E:$E,0)),""),"")</f>
        <v/>
      </c>
      <c r="M356" t="str">
        <f>IFERROR(IF(INDEX(使用レシピ!N:N,MATCH(テンプレート!$C356,使用レシピ!$E:$E,0))&lt;&gt;0,INDEX(使用レシピ!N:N,MATCH(テンプレート!$C356,使用レシピ!$E:$E,0)),""),"")</f>
        <v/>
      </c>
      <c r="N356" s="24" t="str">
        <f>IFERROR(IF(INDEX(使用レシピ!O:O,MATCH(テンプレート!$C356,使用レシピ!$E:$E,0))&lt;&gt;0,INDEX(使用レシピ!O:O,MATCH(テンプレート!$C356,使用レシピ!$E:$E,0)),""),"")</f>
        <v/>
      </c>
      <c r="O356" s="36" t="str">
        <f>IFERROR(IF(INDEX(使用レシピ!P:P,MATCH(テンプレート!$C356,使用レシピ!$E:$E,0))&lt;&gt;0,INDEX(使用レシピ!P:P,MATCH(テンプレート!$C356,使用レシピ!$E:$E,0)),""),"")</f>
        <v/>
      </c>
      <c r="P356" t="str">
        <f t="shared" si="26"/>
        <v/>
      </c>
      <c r="Q356" t="str">
        <f t="shared" si="27"/>
        <v/>
      </c>
      <c r="R356" t="str">
        <f t="shared" si="28"/>
        <v/>
      </c>
      <c r="S356" t="str">
        <f t="shared" si="29"/>
        <v/>
      </c>
      <c r="T356" s="24" t="str">
        <f t="shared" si="30"/>
        <v/>
      </c>
    </row>
    <row r="357" spans="2:20" x14ac:dyDescent="0.4">
      <c r="B357" s="49" t="str" cm="1">
        <f t="array" ref="B357">IFERROR((INDEX($P$4:$T$1000,MATCH(VALUE(LEFT($A357,LEN($A357)-1)),$A$4:$A$1000,0),VALUE(RIGHT($A357,1)))/ INDEX($O$4:$O$1000,MATCH(VALUE(LEFT($A357,LEN($A357)-1)),$A$4:$A$1000))) * INDEX($B$4:$B$1000,MATCH(VALUE(LEFT($A357,LEN($A357)-1)),$A$4:$A$1000)),"")</f>
        <v/>
      </c>
      <c r="C357" s="2" t="str" cm="1">
        <f t="array" ref="C357">IFERROR(IF(INDEX($D$4:$H$1000,MATCH(VALUE(LEFT($A357,LEN($A357)-1)),$A$4:$A$1000,0),VALUE(RIGHT($A357,1)))= 0,"",INDEX($D$4:$H$1000,MATCH(VALUE(LEFT($A357,LEN($A357)-1)),$A$4:$A$1000,0),VALUE(RIGHT($A357,1)))),"")</f>
        <v/>
      </c>
      <c r="D357" s="23" t="str">
        <f>IFERROR(IF(INDEX(使用レシピ!F:F,MATCH(テンプレート!$C357,使用レシピ!$E:$E,0))&lt;&gt;0,INDEX(使用レシピ!F:F,MATCH(テンプレート!$C357,使用レシピ!$E:$E,0)),""),"")</f>
        <v/>
      </c>
      <c r="E357" t="str">
        <f>IFERROR(IF(INDEX(使用レシピ!G:G,MATCH(テンプレート!$C357,使用レシピ!$E:$E,0))&lt;&gt;0,INDEX(使用レシピ!G:G,MATCH(テンプレート!$C357,使用レシピ!$E:$E,0)),""),"")</f>
        <v/>
      </c>
      <c r="F357" t="str">
        <f>IFERROR(IF(INDEX(使用レシピ!H:H,MATCH(テンプレート!$C357,使用レシピ!$E:$E,0))&lt;&gt;0,INDEX(使用レシピ!H:H,MATCH(テンプレート!$C357,使用レシピ!$E:$E,0)),""),"")</f>
        <v/>
      </c>
      <c r="G357" t="str">
        <f>IFERROR(IF(INDEX(使用レシピ!I:I,MATCH(テンプレート!$C357,使用レシピ!$E:$E,0))&lt;&gt;0,INDEX(使用レシピ!I:I,MATCH(テンプレート!$C357,使用レシピ!$E:$E,0)),""),"")</f>
        <v/>
      </c>
      <c r="H357" s="24" t="str">
        <f>IFERROR(IF(INDEX(使用レシピ!J:J,MATCH(テンプレート!$C357,使用レシピ!$E:$E,0))&lt;&gt;0,INDEX(使用レシピ!J:J,MATCH(テンプレート!$C357,使用レシピ!$E:$E,0)),""),"")</f>
        <v/>
      </c>
      <c r="I357" s="36" t="str">
        <f>IFERROR(IF(INDEX(使用レシピ!P:P,MATCH(テンプレート!$C357,使用レシピ!$E:$E,0))&lt;&gt;0,INDEX(使用レシピ!P:P,MATCH(テンプレート!$C357,使用レシピ!$E:$E,0)),""),"")</f>
        <v/>
      </c>
      <c r="J357" t="str">
        <f>IFERROR(IF(INDEX(使用レシピ!K:K,MATCH(テンプレート!$C357,使用レシピ!$E:$E,0))&lt;&gt;0,INDEX(使用レシピ!K:K,MATCH(テンプレート!$C357,使用レシピ!$E:$E,0)),""),"")</f>
        <v/>
      </c>
      <c r="K357" t="str">
        <f>IFERROR(IF(INDEX(使用レシピ!L:L,MATCH(テンプレート!$C357,使用レシピ!$E:$E,0))&lt;&gt;0,INDEX(使用レシピ!L:L,MATCH(テンプレート!$C357,使用レシピ!$E:$E,0)),""),"")</f>
        <v/>
      </c>
      <c r="L357" t="str">
        <f>IFERROR(IF(INDEX(使用レシピ!M:M,MATCH(テンプレート!$C357,使用レシピ!$E:$E,0))&lt;&gt;0,INDEX(使用レシピ!M:M,MATCH(テンプレート!$C357,使用レシピ!$E:$E,0)),""),"")</f>
        <v/>
      </c>
      <c r="M357" t="str">
        <f>IFERROR(IF(INDEX(使用レシピ!N:N,MATCH(テンプレート!$C357,使用レシピ!$E:$E,0))&lt;&gt;0,INDEX(使用レシピ!N:N,MATCH(テンプレート!$C357,使用レシピ!$E:$E,0)),""),"")</f>
        <v/>
      </c>
      <c r="N357" s="24" t="str">
        <f>IFERROR(IF(INDEX(使用レシピ!O:O,MATCH(テンプレート!$C357,使用レシピ!$E:$E,0))&lt;&gt;0,INDEX(使用レシピ!O:O,MATCH(テンプレート!$C357,使用レシピ!$E:$E,0)),""),"")</f>
        <v/>
      </c>
      <c r="O357" s="36" t="str">
        <f>IFERROR(IF(INDEX(使用レシピ!P:P,MATCH(テンプレート!$C357,使用レシピ!$E:$E,0))&lt;&gt;0,INDEX(使用レシピ!P:P,MATCH(テンプレート!$C357,使用レシピ!$E:$E,0)),""),"")</f>
        <v/>
      </c>
      <c r="P357" t="str">
        <f t="shared" si="26"/>
        <v/>
      </c>
      <c r="Q357" t="str">
        <f t="shared" si="27"/>
        <v/>
      </c>
      <c r="R357" t="str">
        <f t="shared" si="28"/>
        <v/>
      </c>
      <c r="S357" t="str">
        <f t="shared" si="29"/>
        <v/>
      </c>
      <c r="T357" s="24" t="str">
        <f t="shared" si="30"/>
        <v/>
      </c>
    </row>
    <row r="358" spans="2:20" x14ac:dyDescent="0.4">
      <c r="B358" s="49" t="str" cm="1">
        <f t="array" ref="B358">IFERROR((INDEX($P$4:$T$1000,MATCH(VALUE(LEFT($A358,LEN($A358)-1)),$A$4:$A$1000,0),VALUE(RIGHT($A358,1)))/ INDEX($O$4:$O$1000,MATCH(VALUE(LEFT($A358,LEN($A358)-1)),$A$4:$A$1000))) * INDEX($B$4:$B$1000,MATCH(VALUE(LEFT($A358,LEN($A358)-1)),$A$4:$A$1000)),"")</f>
        <v/>
      </c>
      <c r="C358" s="2" t="str" cm="1">
        <f t="array" ref="C358">IFERROR(IF(INDEX($D$4:$H$1000,MATCH(VALUE(LEFT($A358,LEN($A358)-1)),$A$4:$A$1000,0),VALUE(RIGHT($A358,1)))= 0,"",INDEX($D$4:$H$1000,MATCH(VALUE(LEFT($A358,LEN($A358)-1)),$A$4:$A$1000,0),VALUE(RIGHT($A358,1)))),"")</f>
        <v/>
      </c>
      <c r="D358" s="23" t="str">
        <f>IFERROR(IF(INDEX(使用レシピ!F:F,MATCH(テンプレート!$C358,使用レシピ!$E:$E,0))&lt;&gt;0,INDEX(使用レシピ!F:F,MATCH(テンプレート!$C358,使用レシピ!$E:$E,0)),""),"")</f>
        <v/>
      </c>
      <c r="E358" t="str">
        <f>IFERROR(IF(INDEX(使用レシピ!G:G,MATCH(テンプレート!$C358,使用レシピ!$E:$E,0))&lt;&gt;0,INDEX(使用レシピ!G:G,MATCH(テンプレート!$C358,使用レシピ!$E:$E,0)),""),"")</f>
        <v/>
      </c>
      <c r="F358" t="str">
        <f>IFERROR(IF(INDEX(使用レシピ!H:H,MATCH(テンプレート!$C358,使用レシピ!$E:$E,0))&lt;&gt;0,INDEX(使用レシピ!H:H,MATCH(テンプレート!$C358,使用レシピ!$E:$E,0)),""),"")</f>
        <v/>
      </c>
      <c r="G358" t="str">
        <f>IFERROR(IF(INDEX(使用レシピ!I:I,MATCH(テンプレート!$C358,使用レシピ!$E:$E,0))&lt;&gt;0,INDEX(使用レシピ!I:I,MATCH(テンプレート!$C358,使用レシピ!$E:$E,0)),""),"")</f>
        <v/>
      </c>
      <c r="H358" s="24" t="str">
        <f>IFERROR(IF(INDEX(使用レシピ!J:J,MATCH(テンプレート!$C358,使用レシピ!$E:$E,0))&lt;&gt;0,INDEX(使用レシピ!J:J,MATCH(テンプレート!$C358,使用レシピ!$E:$E,0)),""),"")</f>
        <v/>
      </c>
      <c r="I358" s="36" t="str">
        <f>IFERROR(IF(INDEX(使用レシピ!P:P,MATCH(テンプレート!$C358,使用レシピ!$E:$E,0))&lt;&gt;0,INDEX(使用レシピ!P:P,MATCH(テンプレート!$C358,使用レシピ!$E:$E,0)),""),"")</f>
        <v/>
      </c>
      <c r="J358" t="str">
        <f>IFERROR(IF(INDEX(使用レシピ!K:K,MATCH(テンプレート!$C358,使用レシピ!$E:$E,0))&lt;&gt;0,INDEX(使用レシピ!K:K,MATCH(テンプレート!$C358,使用レシピ!$E:$E,0)),""),"")</f>
        <v/>
      </c>
      <c r="K358" t="str">
        <f>IFERROR(IF(INDEX(使用レシピ!L:L,MATCH(テンプレート!$C358,使用レシピ!$E:$E,0))&lt;&gt;0,INDEX(使用レシピ!L:L,MATCH(テンプレート!$C358,使用レシピ!$E:$E,0)),""),"")</f>
        <v/>
      </c>
      <c r="L358" t="str">
        <f>IFERROR(IF(INDEX(使用レシピ!M:M,MATCH(テンプレート!$C358,使用レシピ!$E:$E,0))&lt;&gt;0,INDEX(使用レシピ!M:M,MATCH(テンプレート!$C358,使用レシピ!$E:$E,0)),""),"")</f>
        <v/>
      </c>
      <c r="M358" t="str">
        <f>IFERROR(IF(INDEX(使用レシピ!N:N,MATCH(テンプレート!$C358,使用レシピ!$E:$E,0))&lt;&gt;0,INDEX(使用レシピ!N:N,MATCH(テンプレート!$C358,使用レシピ!$E:$E,0)),""),"")</f>
        <v/>
      </c>
      <c r="N358" s="24" t="str">
        <f>IFERROR(IF(INDEX(使用レシピ!O:O,MATCH(テンプレート!$C358,使用レシピ!$E:$E,0))&lt;&gt;0,INDEX(使用レシピ!O:O,MATCH(テンプレート!$C358,使用レシピ!$E:$E,0)),""),"")</f>
        <v/>
      </c>
      <c r="O358" s="36" t="str">
        <f>IFERROR(IF(INDEX(使用レシピ!P:P,MATCH(テンプレート!$C358,使用レシピ!$E:$E,0))&lt;&gt;0,INDEX(使用レシピ!P:P,MATCH(テンプレート!$C358,使用レシピ!$E:$E,0)),""),"")</f>
        <v/>
      </c>
      <c r="P358" t="str">
        <f t="shared" si="26"/>
        <v/>
      </c>
      <c r="Q358" t="str">
        <f t="shared" si="27"/>
        <v/>
      </c>
      <c r="R358" t="str">
        <f t="shared" si="28"/>
        <v/>
      </c>
      <c r="S358" t="str">
        <f t="shared" si="29"/>
        <v/>
      </c>
      <c r="T358" s="24" t="str">
        <f t="shared" si="30"/>
        <v/>
      </c>
    </row>
    <row r="359" spans="2:20" x14ac:dyDescent="0.4">
      <c r="B359" s="49" t="str" cm="1">
        <f t="array" ref="B359">IFERROR((INDEX($P$4:$T$1000,MATCH(VALUE(LEFT($A359,LEN($A359)-1)),$A$4:$A$1000,0),VALUE(RIGHT($A359,1)))/ INDEX($O$4:$O$1000,MATCH(VALUE(LEFT($A359,LEN($A359)-1)),$A$4:$A$1000))) * INDEX($B$4:$B$1000,MATCH(VALUE(LEFT($A359,LEN($A359)-1)),$A$4:$A$1000)),"")</f>
        <v/>
      </c>
      <c r="C359" s="2" t="str" cm="1">
        <f t="array" ref="C359">IFERROR(IF(INDEX($D$4:$H$1000,MATCH(VALUE(LEFT($A359,LEN($A359)-1)),$A$4:$A$1000,0),VALUE(RIGHT($A359,1)))= 0,"",INDEX($D$4:$H$1000,MATCH(VALUE(LEFT($A359,LEN($A359)-1)),$A$4:$A$1000,0),VALUE(RIGHT($A359,1)))),"")</f>
        <v/>
      </c>
      <c r="D359" s="23" t="str">
        <f>IFERROR(IF(INDEX(使用レシピ!F:F,MATCH(テンプレート!$C359,使用レシピ!$E:$E,0))&lt;&gt;0,INDEX(使用レシピ!F:F,MATCH(テンプレート!$C359,使用レシピ!$E:$E,0)),""),"")</f>
        <v/>
      </c>
      <c r="E359" t="str">
        <f>IFERROR(IF(INDEX(使用レシピ!G:G,MATCH(テンプレート!$C359,使用レシピ!$E:$E,0))&lt;&gt;0,INDEX(使用レシピ!G:G,MATCH(テンプレート!$C359,使用レシピ!$E:$E,0)),""),"")</f>
        <v/>
      </c>
      <c r="F359" t="str">
        <f>IFERROR(IF(INDEX(使用レシピ!H:H,MATCH(テンプレート!$C359,使用レシピ!$E:$E,0))&lt;&gt;0,INDEX(使用レシピ!H:H,MATCH(テンプレート!$C359,使用レシピ!$E:$E,0)),""),"")</f>
        <v/>
      </c>
      <c r="G359" t="str">
        <f>IFERROR(IF(INDEX(使用レシピ!I:I,MATCH(テンプレート!$C359,使用レシピ!$E:$E,0))&lt;&gt;0,INDEX(使用レシピ!I:I,MATCH(テンプレート!$C359,使用レシピ!$E:$E,0)),""),"")</f>
        <v/>
      </c>
      <c r="H359" s="24" t="str">
        <f>IFERROR(IF(INDEX(使用レシピ!J:J,MATCH(テンプレート!$C359,使用レシピ!$E:$E,0))&lt;&gt;0,INDEX(使用レシピ!J:J,MATCH(テンプレート!$C359,使用レシピ!$E:$E,0)),""),"")</f>
        <v/>
      </c>
      <c r="I359" s="36" t="str">
        <f>IFERROR(IF(INDEX(使用レシピ!P:P,MATCH(テンプレート!$C359,使用レシピ!$E:$E,0))&lt;&gt;0,INDEX(使用レシピ!P:P,MATCH(テンプレート!$C359,使用レシピ!$E:$E,0)),""),"")</f>
        <v/>
      </c>
      <c r="J359" t="str">
        <f>IFERROR(IF(INDEX(使用レシピ!K:K,MATCH(テンプレート!$C359,使用レシピ!$E:$E,0))&lt;&gt;0,INDEX(使用レシピ!K:K,MATCH(テンプレート!$C359,使用レシピ!$E:$E,0)),""),"")</f>
        <v/>
      </c>
      <c r="K359" t="str">
        <f>IFERROR(IF(INDEX(使用レシピ!L:L,MATCH(テンプレート!$C359,使用レシピ!$E:$E,0))&lt;&gt;0,INDEX(使用レシピ!L:L,MATCH(テンプレート!$C359,使用レシピ!$E:$E,0)),""),"")</f>
        <v/>
      </c>
      <c r="L359" t="str">
        <f>IFERROR(IF(INDEX(使用レシピ!M:M,MATCH(テンプレート!$C359,使用レシピ!$E:$E,0))&lt;&gt;0,INDEX(使用レシピ!M:M,MATCH(テンプレート!$C359,使用レシピ!$E:$E,0)),""),"")</f>
        <v/>
      </c>
      <c r="M359" t="str">
        <f>IFERROR(IF(INDEX(使用レシピ!N:N,MATCH(テンプレート!$C359,使用レシピ!$E:$E,0))&lt;&gt;0,INDEX(使用レシピ!N:N,MATCH(テンプレート!$C359,使用レシピ!$E:$E,0)),""),"")</f>
        <v/>
      </c>
      <c r="N359" s="24" t="str">
        <f>IFERROR(IF(INDEX(使用レシピ!O:O,MATCH(テンプレート!$C359,使用レシピ!$E:$E,0))&lt;&gt;0,INDEX(使用レシピ!O:O,MATCH(テンプレート!$C359,使用レシピ!$E:$E,0)),""),"")</f>
        <v/>
      </c>
      <c r="O359" s="36" t="str">
        <f>IFERROR(IF(INDEX(使用レシピ!P:P,MATCH(テンプレート!$C359,使用レシピ!$E:$E,0))&lt;&gt;0,INDEX(使用レシピ!P:P,MATCH(テンプレート!$C359,使用レシピ!$E:$E,0)),""),"")</f>
        <v/>
      </c>
      <c r="P359" t="str">
        <f t="shared" si="26"/>
        <v/>
      </c>
      <c r="Q359" t="str">
        <f t="shared" si="27"/>
        <v/>
      </c>
      <c r="R359" t="str">
        <f t="shared" si="28"/>
        <v/>
      </c>
      <c r="S359" t="str">
        <f t="shared" si="29"/>
        <v/>
      </c>
      <c r="T359" s="24" t="str">
        <f t="shared" si="30"/>
        <v/>
      </c>
    </row>
    <row r="360" spans="2:20" x14ac:dyDescent="0.4">
      <c r="B360" s="49" t="str" cm="1">
        <f t="array" ref="B360">IFERROR((INDEX($P$4:$T$1000,MATCH(VALUE(LEFT($A360,LEN($A360)-1)),$A$4:$A$1000,0),VALUE(RIGHT($A360,1)))/ INDEX($O$4:$O$1000,MATCH(VALUE(LEFT($A360,LEN($A360)-1)),$A$4:$A$1000))) * INDEX($B$4:$B$1000,MATCH(VALUE(LEFT($A360,LEN($A360)-1)),$A$4:$A$1000)),"")</f>
        <v/>
      </c>
      <c r="C360" s="2" t="str" cm="1">
        <f t="array" ref="C360">IFERROR(IF(INDEX($D$4:$H$1000,MATCH(VALUE(LEFT($A360,LEN($A360)-1)),$A$4:$A$1000,0),VALUE(RIGHT($A360,1)))= 0,"",INDEX($D$4:$H$1000,MATCH(VALUE(LEFT($A360,LEN($A360)-1)),$A$4:$A$1000,0),VALUE(RIGHT($A360,1)))),"")</f>
        <v/>
      </c>
      <c r="D360" s="23" t="str">
        <f>IFERROR(IF(INDEX(使用レシピ!F:F,MATCH(テンプレート!$C360,使用レシピ!$E:$E,0))&lt;&gt;0,INDEX(使用レシピ!F:F,MATCH(テンプレート!$C360,使用レシピ!$E:$E,0)),""),"")</f>
        <v/>
      </c>
      <c r="E360" t="str">
        <f>IFERROR(IF(INDEX(使用レシピ!G:G,MATCH(テンプレート!$C360,使用レシピ!$E:$E,0))&lt;&gt;0,INDEX(使用レシピ!G:G,MATCH(テンプレート!$C360,使用レシピ!$E:$E,0)),""),"")</f>
        <v/>
      </c>
      <c r="F360" t="str">
        <f>IFERROR(IF(INDEX(使用レシピ!H:H,MATCH(テンプレート!$C360,使用レシピ!$E:$E,0))&lt;&gt;0,INDEX(使用レシピ!H:H,MATCH(テンプレート!$C360,使用レシピ!$E:$E,0)),""),"")</f>
        <v/>
      </c>
      <c r="G360" t="str">
        <f>IFERROR(IF(INDEX(使用レシピ!I:I,MATCH(テンプレート!$C360,使用レシピ!$E:$E,0))&lt;&gt;0,INDEX(使用レシピ!I:I,MATCH(テンプレート!$C360,使用レシピ!$E:$E,0)),""),"")</f>
        <v/>
      </c>
      <c r="H360" s="24" t="str">
        <f>IFERROR(IF(INDEX(使用レシピ!J:J,MATCH(テンプレート!$C360,使用レシピ!$E:$E,0))&lt;&gt;0,INDEX(使用レシピ!J:J,MATCH(テンプレート!$C360,使用レシピ!$E:$E,0)),""),"")</f>
        <v/>
      </c>
      <c r="I360" s="36" t="str">
        <f>IFERROR(IF(INDEX(使用レシピ!P:P,MATCH(テンプレート!$C360,使用レシピ!$E:$E,0))&lt;&gt;0,INDEX(使用レシピ!P:P,MATCH(テンプレート!$C360,使用レシピ!$E:$E,0)),""),"")</f>
        <v/>
      </c>
      <c r="J360" t="str">
        <f>IFERROR(IF(INDEX(使用レシピ!K:K,MATCH(テンプレート!$C360,使用レシピ!$E:$E,0))&lt;&gt;0,INDEX(使用レシピ!K:K,MATCH(テンプレート!$C360,使用レシピ!$E:$E,0)),""),"")</f>
        <v/>
      </c>
      <c r="K360" t="str">
        <f>IFERROR(IF(INDEX(使用レシピ!L:L,MATCH(テンプレート!$C360,使用レシピ!$E:$E,0))&lt;&gt;0,INDEX(使用レシピ!L:L,MATCH(テンプレート!$C360,使用レシピ!$E:$E,0)),""),"")</f>
        <v/>
      </c>
      <c r="L360" t="str">
        <f>IFERROR(IF(INDEX(使用レシピ!M:M,MATCH(テンプレート!$C360,使用レシピ!$E:$E,0))&lt;&gt;0,INDEX(使用レシピ!M:M,MATCH(テンプレート!$C360,使用レシピ!$E:$E,0)),""),"")</f>
        <v/>
      </c>
      <c r="M360" t="str">
        <f>IFERROR(IF(INDEX(使用レシピ!N:N,MATCH(テンプレート!$C360,使用レシピ!$E:$E,0))&lt;&gt;0,INDEX(使用レシピ!N:N,MATCH(テンプレート!$C360,使用レシピ!$E:$E,0)),""),"")</f>
        <v/>
      </c>
      <c r="N360" s="24" t="str">
        <f>IFERROR(IF(INDEX(使用レシピ!O:O,MATCH(テンプレート!$C360,使用レシピ!$E:$E,0))&lt;&gt;0,INDEX(使用レシピ!O:O,MATCH(テンプレート!$C360,使用レシピ!$E:$E,0)),""),"")</f>
        <v/>
      </c>
      <c r="O360" s="36" t="str">
        <f>IFERROR(IF(INDEX(使用レシピ!P:P,MATCH(テンプレート!$C360,使用レシピ!$E:$E,0))&lt;&gt;0,INDEX(使用レシピ!P:P,MATCH(テンプレート!$C360,使用レシピ!$E:$E,0)),""),"")</f>
        <v/>
      </c>
      <c r="P360" t="str">
        <f t="shared" si="26"/>
        <v/>
      </c>
      <c r="Q360" t="str">
        <f t="shared" si="27"/>
        <v/>
      </c>
      <c r="R360" t="str">
        <f t="shared" si="28"/>
        <v/>
      </c>
      <c r="S360" t="str">
        <f t="shared" si="29"/>
        <v/>
      </c>
      <c r="T360" s="24" t="str">
        <f t="shared" si="30"/>
        <v/>
      </c>
    </row>
    <row r="361" spans="2:20" x14ac:dyDescent="0.4">
      <c r="B361" s="49" t="str" cm="1">
        <f t="array" ref="B361">IFERROR((INDEX($P$4:$T$1000,MATCH(VALUE(LEFT($A361,LEN($A361)-1)),$A$4:$A$1000,0),VALUE(RIGHT($A361,1)))/ INDEX($O$4:$O$1000,MATCH(VALUE(LEFT($A361,LEN($A361)-1)),$A$4:$A$1000))) * INDEX($B$4:$B$1000,MATCH(VALUE(LEFT($A361,LEN($A361)-1)),$A$4:$A$1000)),"")</f>
        <v/>
      </c>
      <c r="C361" s="2" t="str" cm="1">
        <f t="array" ref="C361">IFERROR(IF(INDEX($D$4:$H$1000,MATCH(VALUE(LEFT($A361,LEN($A361)-1)),$A$4:$A$1000,0),VALUE(RIGHT($A361,1)))= 0,"",INDEX($D$4:$H$1000,MATCH(VALUE(LEFT($A361,LEN($A361)-1)),$A$4:$A$1000,0),VALUE(RIGHT($A361,1)))),"")</f>
        <v/>
      </c>
      <c r="D361" s="23" t="str">
        <f>IFERROR(IF(INDEX(使用レシピ!F:F,MATCH(テンプレート!$C361,使用レシピ!$E:$E,0))&lt;&gt;0,INDEX(使用レシピ!F:F,MATCH(テンプレート!$C361,使用レシピ!$E:$E,0)),""),"")</f>
        <v/>
      </c>
      <c r="E361" t="str">
        <f>IFERROR(IF(INDEX(使用レシピ!G:G,MATCH(テンプレート!$C361,使用レシピ!$E:$E,0))&lt;&gt;0,INDEX(使用レシピ!G:G,MATCH(テンプレート!$C361,使用レシピ!$E:$E,0)),""),"")</f>
        <v/>
      </c>
      <c r="F361" t="str">
        <f>IFERROR(IF(INDEX(使用レシピ!H:H,MATCH(テンプレート!$C361,使用レシピ!$E:$E,0))&lt;&gt;0,INDEX(使用レシピ!H:H,MATCH(テンプレート!$C361,使用レシピ!$E:$E,0)),""),"")</f>
        <v/>
      </c>
      <c r="G361" t="str">
        <f>IFERROR(IF(INDEX(使用レシピ!I:I,MATCH(テンプレート!$C361,使用レシピ!$E:$E,0))&lt;&gt;0,INDEX(使用レシピ!I:I,MATCH(テンプレート!$C361,使用レシピ!$E:$E,0)),""),"")</f>
        <v/>
      </c>
      <c r="H361" s="24" t="str">
        <f>IFERROR(IF(INDEX(使用レシピ!J:J,MATCH(テンプレート!$C361,使用レシピ!$E:$E,0))&lt;&gt;0,INDEX(使用レシピ!J:J,MATCH(テンプレート!$C361,使用レシピ!$E:$E,0)),""),"")</f>
        <v/>
      </c>
      <c r="I361" s="36" t="str">
        <f>IFERROR(IF(INDEX(使用レシピ!P:P,MATCH(テンプレート!$C361,使用レシピ!$E:$E,0))&lt;&gt;0,INDEX(使用レシピ!P:P,MATCH(テンプレート!$C361,使用レシピ!$E:$E,0)),""),"")</f>
        <v/>
      </c>
      <c r="J361" t="str">
        <f>IFERROR(IF(INDEX(使用レシピ!K:K,MATCH(テンプレート!$C361,使用レシピ!$E:$E,0))&lt;&gt;0,INDEX(使用レシピ!K:K,MATCH(テンプレート!$C361,使用レシピ!$E:$E,0)),""),"")</f>
        <v/>
      </c>
      <c r="K361" t="str">
        <f>IFERROR(IF(INDEX(使用レシピ!L:L,MATCH(テンプレート!$C361,使用レシピ!$E:$E,0))&lt;&gt;0,INDEX(使用レシピ!L:L,MATCH(テンプレート!$C361,使用レシピ!$E:$E,0)),""),"")</f>
        <v/>
      </c>
      <c r="L361" t="str">
        <f>IFERROR(IF(INDEX(使用レシピ!M:M,MATCH(テンプレート!$C361,使用レシピ!$E:$E,0))&lt;&gt;0,INDEX(使用レシピ!M:M,MATCH(テンプレート!$C361,使用レシピ!$E:$E,0)),""),"")</f>
        <v/>
      </c>
      <c r="M361" t="str">
        <f>IFERROR(IF(INDEX(使用レシピ!N:N,MATCH(テンプレート!$C361,使用レシピ!$E:$E,0))&lt;&gt;0,INDEX(使用レシピ!N:N,MATCH(テンプレート!$C361,使用レシピ!$E:$E,0)),""),"")</f>
        <v/>
      </c>
      <c r="N361" s="24" t="str">
        <f>IFERROR(IF(INDEX(使用レシピ!O:O,MATCH(テンプレート!$C361,使用レシピ!$E:$E,0))&lt;&gt;0,INDEX(使用レシピ!O:O,MATCH(テンプレート!$C361,使用レシピ!$E:$E,0)),""),"")</f>
        <v/>
      </c>
      <c r="O361" s="36" t="str">
        <f>IFERROR(IF(INDEX(使用レシピ!P:P,MATCH(テンプレート!$C361,使用レシピ!$E:$E,0))&lt;&gt;0,INDEX(使用レシピ!P:P,MATCH(テンプレート!$C361,使用レシピ!$E:$E,0)),""),"")</f>
        <v/>
      </c>
      <c r="P361" t="str">
        <f t="shared" si="26"/>
        <v/>
      </c>
      <c r="Q361" t="str">
        <f t="shared" si="27"/>
        <v/>
      </c>
      <c r="R361" t="str">
        <f t="shared" si="28"/>
        <v/>
      </c>
      <c r="S361" t="str">
        <f t="shared" si="29"/>
        <v/>
      </c>
      <c r="T361" s="24" t="str">
        <f t="shared" si="30"/>
        <v/>
      </c>
    </row>
    <row r="362" spans="2:20" x14ac:dyDescent="0.4">
      <c r="B362" s="49" t="str" cm="1">
        <f t="array" ref="B362">IFERROR((INDEX($P$4:$T$1000,MATCH(VALUE(LEFT($A362,LEN($A362)-1)),$A$4:$A$1000,0),VALUE(RIGHT($A362,1)))/ INDEX($O$4:$O$1000,MATCH(VALUE(LEFT($A362,LEN($A362)-1)),$A$4:$A$1000))) * INDEX($B$4:$B$1000,MATCH(VALUE(LEFT($A362,LEN($A362)-1)),$A$4:$A$1000)),"")</f>
        <v/>
      </c>
      <c r="C362" s="2" t="str" cm="1">
        <f t="array" ref="C362">IFERROR(IF(INDEX($D$4:$H$1000,MATCH(VALUE(LEFT($A362,LEN($A362)-1)),$A$4:$A$1000,0),VALUE(RIGHT($A362,1)))= 0,"",INDEX($D$4:$H$1000,MATCH(VALUE(LEFT($A362,LEN($A362)-1)),$A$4:$A$1000,0),VALUE(RIGHT($A362,1)))),"")</f>
        <v/>
      </c>
      <c r="D362" s="23" t="str">
        <f>IFERROR(IF(INDEX(使用レシピ!F:F,MATCH(テンプレート!$C362,使用レシピ!$E:$E,0))&lt;&gt;0,INDEX(使用レシピ!F:F,MATCH(テンプレート!$C362,使用レシピ!$E:$E,0)),""),"")</f>
        <v/>
      </c>
      <c r="E362" t="str">
        <f>IFERROR(IF(INDEX(使用レシピ!G:G,MATCH(テンプレート!$C362,使用レシピ!$E:$E,0))&lt;&gt;0,INDEX(使用レシピ!G:G,MATCH(テンプレート!$C362,使用レシピ!$E:$E,0)),""),"")</f>
        <v/>
      </c>
      <c r="F362" t="str">
        <f>IFERROR(IF(INDEX(使用レシピ!H:H,MATCH(テンプレート!$C362,使用レシピ!$E:$E,0))&lt;&gt;0,INDEX(使用レシピ!H:H,MATCH(テンプレート!$C362,使用レシピ!$E:$E,0)),""),"")</f>
        <v/>
      </c>
      <c r="G362" t="str">
        <f>IFERROR(IF(INDEX(使用レシピ!I:I,MATCH(テンプレート!$C362,使用レシピ!$E:$E,0))&lt;&gt;0,INDEX(使用レシピ!I:I,MATCH(テンプレート!$C362,使用レシピ!$E:$E,0)),""),"")</f>
        <v/>
      </c>
      <c r="H362" s="24" t="str">
        <f>IFERROR(IF(INDEX(使用レシピ!J:J,MATCH(テンプレート!$C362,使用レシピ!$E:$E,0))&lt;&gt;0,INDEX(使用レシピ!J:J,MATCH(テンプレート!$C362,使用レシピ!$E:$E,0)),""),"")</f>
        <v/>
      </c>
      <c r="I362" s="36" t="str">
        <f>IFERROR(IF(INDEX(使用レシピ!P:P,MATCH(テンプレート!$C362,使用レシピ!$E:$E,0))&lt;&gt;0,INDEX(使用レシピ!P:P,MATCH(テンプレート!$C362,使用レシピ!$E:$E,0)),""),"")</f>
        <v/>
      </c>
      <c r="J362" t="str">
        <f>IFERROR(IF(INDEX(使用レシピ!K:K,MATCH(テンプレート!$C362,使用レシピ!$E:$E,0))&lt;&gt;0,INDEX(使用レシピ!K:K,MATCH(テンプレート!$C362,使用レシピ!$E:$E,0)),""),"")</f>
        <v/>
      </c>
      <c r="K362" t="str">
        <f>IFERROR(IF(INDEX(使用レシピ!L:L,MATCH(テンプレート!$C362,使用レシピ!$E:$E,0))&lt;&gt;0,INDEX(使用レシピ!L:L,MATCH(テンプレート!$C362,使用レシピ!$E:$E,0)),""),"")</f>
        <v/>
      </c>
      <c r="L362" t="str">
        <f>IFERROR(IF(INDEX(使用レシピ!M:M,MATCH(テンプレート!$C362,使用レシピ!$E:$E,0))&lt;&gt;0,INDEX(使用レシピ!M:M,MATCH(テンプレート!$C362,使用レシピ!$E:$E,0)),""),"")</f>
        <v/>
      </c>
      <c r="M362" t="str">
        <f>IFERROR(IF(INDEX(使用レシピ!N:N,MATCH(テンプレート!$C362,使用レシピ!$E:$E,0))&lt;&gt;0,INDEX(使用レシピ!N:N,MATCH(テンプレート!$C362,使用レシピ!$E:$E,0)),""),"")</f>
        <v/>
      </c>
      <c r="N362" s="24" t="str">
        <f>IFERROR(IF(INDEX(使用レシピ!O:O,MATCH(テンプレート!$C362,使用レシピ!$E:$E,0))&lt;&gt;0,INDEX(使用レシピ!O:O,MATCH(テンプレート!$C362,使用レシピ!$E:$E,0)),""),"")</f>
        <v/>
      </c>
      <c r="O362" s="36" t="str">
        <f>IFERROR(IF(INDEX(使用レシピ!P:P,MATCH(テンプレート!$C362,使用レシピ!$E:$E,0))&lt;&gt;0,INDEX(使用レシピ!P:P,MATCH(テンプレート!$C362,使用レシピ!$E:$E,0)),""),"")</f>
        <v/>
      </c>
      <c r="P362" t="str">
        <f t="shared" si="26"/>
        <v/>
      </c>
      <c r="Q362" t="str">
        <f t="shared" si="27"/>
        <v/>
      </c>
      <c r="R362" t="str">
        <f t="shared" si="28"/>
        <v/>
      </c>
      <c r="S362" t="str">
        <f t="shared" si="29"/>
        <v/>
      </c>
      <c r="T362" s="24" t="str">
        <f t="shared" si="30"/>
        <v/>
      </c>
    </row>
    <row r="363" spans="2:20" x14ac:dyDescent="0.4">
      <c r="B363" s="49" t="str" cm="1">
        <f t="array" ref="B363">IFERROR((INDEX($P$4:$T$1000,MATCH(VALUE(LEFT($A363,LEN($A363)-1)),$A$4:$A$1000,0),VALUE(RIGHT($A363,1)))/ INDEX($O$4:$O$1000,MATCH(VALUE(LEFT($A363,LEN($A363)-1)),$A$4:$A$1000))) * INDEX($B$4:$B$1000,MATCH(VALUE(LEFT($A363,LEN($A363)-1)),$A$4:$A$1000)),"")</f>
        <v/>
      </c>
      <c r="C363" s="2" t="str" cm="1">
        <f t="array" ref="C363">IFERROR(IF(INDEX($D$4:$H$1000,MATCH(VALUE(LEFT($A363,LEN($A363)-1)),$A$4:$A$1000,0),VALUE(RIGHT($A363,1)))= 0,"",INDEX($D$4:$H$1000,MATCH(VALUE(LEFT($A363,LEN($A363)-1)),$A$4:$A$1000,0),VALUE(RIGHT($A363,1)))),"")</f>
        <v/>
      </c>
      <c r="D363" s="23" t="str">
        <f>IFERROR(IF(INDEX(使用レシピ!F:F,MATCH(テンプレート!$C363,使用レシピ!$E:$E,0))&lt;&gt;0,INDEX(使用レシピ!F:F,MATCH(テンプレート!$C363,使用レシピ!$E:$E,0)),""),"")</f>
        <v/>
      </c>
      <c r="E363" t="str">
        <f>IFERROR(IF(INDEX(使用レシピ!G:G,MATCH(テンプレート!$C363,使用レシピ!$E:$E,0))&lt;&gt;0,INDEX(使用レシピ!G:G,MATCH(テンプレート!$C363,使用レシピ!$E:$E,0)),""),"")</f>
        <v/>
      </c>
      <c r="F363" t="str">
        <f>IFERROR(IF(INDEX(使用レシピ!H:H,MATCH(テンプレート!$C363,使用レシピ!$E:$E,0))&lt;&gt;0,INDEX(使用レシピ!H:H,MATCH(テンプレート!$C363,使用レシピ!$E:$E,0)),""),"")</f>
        <v/>
      </c>
      <c r="G363" t="str">
        <f>IFERROR(IF(INDEX(使用レシピ!I:I,MATCH(テンプレート!$C363,使用レシピ!$E:$E,0))&lt;&gt;0,INDEX(使用レシピ!I:I,MATCH(テンプレート!$C363,使用レシピ!$E:$E,0)),""),"")</f>
        <v/>
      </c>
      <c r="H363" s="24" t="str">
        <f>IFERROR(IF(INDEX(使用レシピ!J:J,MATCH(テンプレート!$C363,使用レシピ!$E:$E,0))&lt;&gt;0,INDEX(使用レシピ!J:J,MATCH(テンプレート!$C363,使用レシピ!$E:$E,0)),""),"")</f>
        <v/>
      </c>
      <c r="I363" s="36" t="str">
        <f>IFERROR(IF(INDEX(使用レシピ!P:P,MATCH(テンプレート!$C363,使用レシピ!$E:$E,0))&lt;&gt;0,INDEX(使用レシピ!P:P,MATCH(テンプレート!$C363,使用レシピ!$E:$E,0)),""),"")</f>
        <v/>
      </c>
      <c r="J363" t="str">
        <f>IFERROR(IF(INDEX(使用レシピ!K:K,MATCH(テンプレート!$C363,使用レシピ!$E:$E,0))&lt;&gt;0,INDEX(使用レシピ!K:K,MATCH(テンプレート!$C363,使用レシピ!$E:$E,0)),""),"")</f>
        <v/>
      </c>
      <c r="K363" t="str">
        <f>IFERROR(IF(INDEX(使用レシピ!L:L,MATCH(テンプレート!$C363,使用レシピ!$E:$E,0))&lt;&gt;0,INDEX(使用レシピ!L:L,MATCH(テンプレート!$C363,使用レシピ!$E:$E,0)),""),"")</f>
        <v/>
      </c>
      <c r="L363" t="str">
        <f>IFERROR(IF(INDEX(使用レシピ!M:M,MATCH(テンプレート!$C363,使用レシピ!$E:$E,0))&lt;&gt;0,INDEX(使用レシピ!M:M,MATCH(テンプレート!$C363,使用レシピ!$E:$E,0)),""),"")</f>
        <v/>
      </c>
      <c r="M363" t="str">
        <f>IFERROR(IF(INDEX(使用レシピ!N:N,MATCH(テンプレート!$C363,使用レシピ!$E:$E,0))&lt;&gt;0,INDEX(使用レシピ!N:N,MATCH(テンプレート!$C363,使用レシピ!$E:$E,0)),""),"")</f>
        <v/>
      </c>
      <c r="N363" s="24" t="str">
        <f>IFERROR(IF(INDEX(使用レシピ!O:O,MATCH(テンプレート!$C363,使用レシピ!$E:$E,0))&lt;&gt;0,INDEX(使用レシピ!O:O,MATCH(テンプレート!$C363,使用レシピ!$E:$E,0)),""),"")</f>
        <v/>
      </c>
      <c r="O363" s="36" t="str">
        <f>IFERROR(IF(INDEX(使用レシピ!P:P,MATCH(テンプレート!$C363,使用レシピ!$E:$E,0))&lt;&gt;0,INDEX(使用レシピ!P:P,MATCH(テンプレート!$C363,使用レシピ!$E:$E,0)),""),"")</f>
        <v/>
      </c>
      <c r="P363" t="str">
        <f t="shared" si="26"/>
        <v/>
      </c>
      <c r="Q363" t="str">
        <f t="shared" si="27"/>
        <v/>
      </c>
      <c r="R363" t="str">
        <f t="shared" si="28"/>
        <v/>
      </c>
      <c r="S363" t="str">
        <f t="shared" si="29"/>
        <v/>
      </c>
      <c r="T363" s="24" t="str">
        <f t="shared" si="30"/>
        <v/>
      </c>
    </row>
    <row r="364" spans="2:20" x14ac:dyDescent="0.4">
      <c r="B364" s="49" t="str" cm="1">
        <f t="array" ref="B364">IFERROR((INDEX($P$4:$T$1000,MATCH(VALUE(LEFT($A364,LEN($A364)-1)),$A$4:$A$1000,0),VALUE(RIGHT($A364,1)))/ INDEX($O$4:$O$1000,MATCH(VALUE(LEFT($A364,LEN($A364)-1)),$A$4:$A$1000))) * INDEX($B$4:$B$1000,MATCH(VALUE(LEFT($A364,LEN($A364)-1)),$A$4:$A$1000)),"")</f>
        <v/>
      </c>
      <c r="C364" s="2" t="str" cm="1">
        <f t="array" ref="C364">IFERROR(IF(INDEX($D$4:$H$1000,MATCH(VALUE(LEFT($A364,LEN($A364)-1)),$A$4:$A$1000,0),VALUE(RIGHT($A364,1)))= 0,"",INDEX($D$4:$H$1000,MATCH(VALUE(LEFT($A364,LEN($A364)-1)),$A$4:$A$1000,0),VALUE(RIGHT($A364,1)))),"")</f>
        <v/>
      </c>
      <c r="D364" s="23" t="str">
        <f>IFERROR(IF(INDEX(使用レシピ!F:F,MATCH(テンプレート!$C364,使用レシピ!$E:$E,0))&lt;&gt;0,INDEX(使用レシピ!F:F,MATCH(テンプレート!$C364,使用レシピ!$E:$E,0)),""),"")</f>
        <v/>
      </c>
      <c r="E364" t="str">
        <f>IFERROR(IF(INDEX(使用レシピ!G:G,MATCH(テンプレート!$C364,使用レシピ!$E:$E,0))&lt;&gt;0,INDEX(使用レシピ!G:G,MATCH(テンプレート!$C364,使用レシピ!$E:$E,0)),""),"")</f>
        <v/>
      </c>
      <c r="F364" t="str">
        <f>IFERROR(IF(INDEX(使用レシピ!H:H,MATCH(テンプレート!$C364,使用レシピ!$E:$E,0))&lt;&gt;0,INDEX(使用レシピ!H:H,MATCH(テンプレート!$C364,使用レシピ!$E:$E,0)),""),"")</f>
        <v/>
      </c>
      <c r="G364" t="str">
        <f>IFERROR(IF(INDEX(使用レシピ!I:I,MATCH(テンプレート!$C364,使用レシピ!$E:$E,0))&lt;&gt;0,INDEX(使用レシピ!I:I,MATCH(テンプレート!$C364,使用レシピ!$E:$E,0)),""),"")</f>
        <v/>
      </c>
      <c r="H364" s="24" t="str">
        <f>IFERROR(IF(INDEX(使用レシピ!J:J,MATCH(テンプレート!$C364,使用レシピ!$E:$E,0))&lt;&gt;0,INDEX(使用レシピ!J:J,MATCH(テンプレート!$C364,使用レシピ!$E:$E,0)),""),"")</f>
        <v/>
      </c>
      <c r="I364" s="36" t="str">
        <f>IFERROR(IF(INDEX(使用レシピ!P:P,MATCH(テンプレート!$C364,使用レシピ!$E:$E,0))&lt;&gt;0,INDEX(使用レシピ!P:P,MATCH(テンプレート!$C364,使用レシピ!$E:$E,0)),""),"")</f>
        <v/>
      </c>
      <c r="J364" t="str">
        <f>IFERROR(IF(INDEX(使用レシピ!K:K,MATCH(テンプレート!$C364,使用レシピ!$E:$E,0))&lt;&gt;0,INDEX(使用レシピ!K:K,MATCH(テンプレート!$C364,使用レシピ!$E:$E,0)),""),"")</f>
        <v/>
      </c>
      <c r="K364" t="str">
        <f>IFERROR(IF(INDEX(使用レシピ!L:L,MATCH(テンプレート!$C364,使用レシピ!$E:$E,0))&lt;&gt;0,INDEX(使用レシピ!L:L,MATCH(テンプレート!$C364,使用レシピ!$E:$E,0)),""),"")</f>
        <v/>
      </c>
      <c r="L364" t="str">
        <f>IFERROR(IF(INDEX(使用レシピ!M:M,MATCH(テンプレート!$C364,使用レシピ!$E:$E,0))&lt;&gt;0,INDEX(使用レシピ!M:M,MATCH(テンプレート!$C364,使用レシピ!$E:$E,0)),""),"")</f>
        <v/>
      </c>
      <c r="M364" t="str">
        <f>IFERROR(IF(INDEX(使用レシピ!N:N,MATCH(テンプレート!$C364,使用レシピ!$E:$E,0))&lt;&gt;0,INDEX(使用レシピ!N:N,MATCH(テンプレート!$C364,使用レシピ!$E:$E,0)),""),"")</f>
        <v/>
      </c>
      <c r="N364" s="24" t="str">
        <f>IFERROR(IF(INDEX(使用レシピ!O:O,MATCH(テンプレート!$C364,使用レシピ!$E:$E,0))&lt;&gt;0,INDEX(使用レシピ!O:O,MATCH(テンプレート!$C364,使用レシピ!$E:$E,0)),""),"")</f>
        <v/>
      </c>
      <c r="O364" s="36" t="str">
        <f>IFERROR(IF(INDEX(使用レシピ!P:P,MATCH(テンプレート!$C364,使用レシピ!$E:$E,0))&lt;&gt;0,INDEX(使用レシピ!P:P,MATCH(テンプレート!$C364,使用レシピ!$E:$E,0)),""),"")</f>
        <v/>
      </c>
      <c r="P364" t="str">
        <f t="shared" si="26"/>
        <v/>
      </c>
      <c r="Q364" t="str">
        <f t="shared" si="27"/>
        <v/>
      </c>
      <c r="R364" t="str">
        <f t="shared" si="28"/>
        <v/>
      </c>
      <c r="S364" t="str">
        <f t="shared" si="29"/>
        <v/>
      </c>
      <c r="T364" s="24" t="str">
        <f t="shared" si="30"/>
        <v/>
      </c>
    </row>
    <row r="365" spans="2:20" x14ac:dyDescent="0.4">
      <c r="B365" s="49" t="str" cm="1">
        <f t="array" ref="B365">IFERROR((INDEX($P$4:$T$1000,MATCH(VALUE(LEFT($A365,LEN($A365)-1)),$A$4:$A$1000,0),VALUE(RIGHT($A365,1)))/ INDEX($O$4:$O$1000,MATCH(VALUE(LEFT($A365,LEN($A365)-1)),$A$4:$A$1000))) * INDEX($B$4:$B$1000,MATCH(VALUE(LEFT($A365,LEN($A365)-1)),$A$4:$A$1000)),"")</f>
        <v/>
      </c>
      <c r="C365" s="2" t="str" cm="1">
        <f t="array" ref="C365">IFERROR(IF(INDEX($D$4:$H$1000,MATCH(VALUE(LEFT($A365,LEN($A365)-1)),$A$4:$A$1000,0),VALUE(RIGHT($A365,1)))= 0,"",INDEX($D$4:$H$1000,MATCH(VALUE(LEFT($A365,LEN($A365)-1)),$A$4:$A$1000,0),VALUE(RIGHT($A365,1)))),"")</f>
        <v/>
      </c>
      <c r="D365" s="23" t="str">
        <f>IFERROR(IF(INDEX(使用レシピ!F:F,MATCH(テンプレート!$C365,使用レシピ!$E:$E,0))&lt;&gt;0,INDEX(使用レシピ!F:F,MATCH(テンプレート!$C365,使用レシピ!$E:$E,0)),""),"")</f>
        <v/>
      </c>
      <c r="E365" t="str">
        <f>IFERROR(IF(INDEX(使用レシピ!G:G,MATCH(テンプレート!$C365,使用レシピ!$E:$E,0))&lt;&gt;0,INDEX(使用レシピ!G:G,MATCH(テンプレート!$C365,使用レシピ!$E:$E,0)),""),"")</f>
        <v/>
      </c>
      <c r="F365" t="str">
        <f>IFERROR(IF(INDEX(使用レシピ!H:H,MATCH(テンプレート!$C365,使用レシピ!$E:$E,0))&lt;&gt;0,INDEX(使用レシピ!H:H,MATCH(テンプレート!$C365,使用レシピ!$E:$E,0)),""),"")</f>
        <v/>
      </c>
      <c r="G365" t="str">
        <f>IFERROR(IF(INDEX(使用レシピ!I:I,MATCH(テンプレート!$C365,使用レシピ!$E:$E,0))&lt;&gt;0,INDEX(使用レシピ!I:I,MATCH(テンプレート!$C365,使用レシピ!$E:$E,0)),""),"")</f>
        <v/>
      </c>
      <c r="H365" s="24" t="str">
        <f>IFERROR(IF(INDEX(使用レシピ!J:J,MATCH(テンプレート!$C365,使用レシピ!$E:$E,0))&lt;&gt;0,INDEX(使用レシピ!J:J,MATCH(テンプレート!$C365,使用レシピ!$E:$E,0)),""),"")</f>
        <v/>
      </c>
      <c r="I365" s="36" t="str">
        <f>IFERROR(IF(INDEX(使用レシピ!P:P,MATCH(テンプレート!$C365,使用レシピ!$E:$E,0))&lt;&gt;0,INDEX(使用レシピ!P:P,MATCH(テンプレート!$C365,使用レシピ!$E:$E,0)),""),"")</f>
        <v/>
      </c>
      <c r="J365" t="str">
        <f>IFERROR(IF(INDEX(使用レシピ!K:K,MATCH(テンプレート!$C365,使用レシピ!$E:$E,0))&lt;&gt;0,INDEX(使用レシピ!K:K,MATCH(テンプレート!$C365,使用レシピ!$E:$E,0)),""),"")</f>
        <v/>
      </c>
      <c r="K365" t="str">
        <f>IFERROR(IF(INDEX(使用レシピ!L:L,MATCH(テンプレート!$C365,使用レシピ!$E:$E,0))&lt;&gt;0,INDEX(使用レシピ!L:L,MATCH(テンプレート!$C365,使用レシピ!$E:$E,0)),""),"")</f>
        <v/>
      </c>
      <c r="L365" t="str">
        <f>IFERROR(IF(INDEX(使用レシピ!M:M,MATCH(テンプレート!$C365,使用レシピ!$E:$E,0))&lt;&gt;0,INDEX(使用レシピ!M:M,MATCH(テンプレート!$C365,使用レシピ!$E:$E,0)),""),"")</f>
        <v/>
      </c>
      <c r="M365" t="str">
        <f>IFERROR(IF(INDEX(使用レシピ!N:N,MATCH(テンプレート!$C365,使用レシピ!$E:$E,0))&lt;&gt;0,INDEX(使用レシピ!N:N,MATCH(テンプレート!$C365,使用レシピ!$E:$E,0)),""),"")</f>
        <v/>
      </c>
      <c r="N365" s="24" t="str">
        <f>IFERROR(IF(INDEX(使用レシピ!O:O,MATCH(テンプレート!$C365,使用レシピ!$E:$E,0))&lt;&gt;0,INDEX(使用レシピ!O:O,MATCH(テンプレート!$C365,使用レシピ!$E:$E,0)),""),"")</f>
        <v/>
      </c>
      <c r="O365" s="36" t="str">
        <f>IFERROR(IF(INDEX(使用レシピ!P:P,MATCH(テンプレート!$C365,使用レシピ!$E:$E,0))&lt;&gt;0,INDEX(使用レシピ!P:P,MATCH(テンプレート!$C365,使用レシピ!$E:$E,0)),""),"")</f>
        <v/>
      </c>
      <c r="P365" t="str">
        <f t="shared" ref="P365:P428" si="31">IFERROR(IF($O365/$I365*J365 &gt; 0,$O365/$I365*J365,""),"")</f>
        <v/>
      </c>
      <c r="Q365" t="str">
        <f t="shared" ref="Q365:Q428" si="32">IFERROR(IF($O365/$I365*K365 &gt; 0,$O365/$I365*K365,""),"")</f>
        <v/>
      </c>
      <c r="R365" t="str">
        <f t="shared" ref="R365:R428" si="33">IFERROR(IF($O365/$I365*L365 &gt; 0,$O365/$I365*L365,""),"")</f>
        <v/>
      </c>
      <c r="S365" t="str">
        <f t="shared" ref="S365:S428" si="34">IFERROR(IF($O365/$I365*M365 &gt; 0,$O365/$I365*M365,""),"")</f>
        <v/>
      </c>
      <c r="T365" s="24" t="str">
        <f t="shared" ref="T365:T428" si="35">IFERROR(IF($O365/$I365*N365 &gt; 0,$O365/$I365*N365,""),"")</f>
        <v/>
      </c>
    </row>
    <row r="366" spans="2:20" x14ac:dyDescent="0.4">
      <c r="B366" s="49" t="str" cm="1">
        <f t="array" ref="B366">IFERROR((INDEX($P$4:$T$1000,MATCH(VALUE(LEFT($A366,LEN($A366)-1)),$A$4:$A$1000,0),VALUE(RIGHT($A366,1)))/ INDEX($O$4:$O$1000,MATCH(VALUE(LEFT($A366,LEN($A366)-1)),$A$4:$A$1000))) * INDEX($B$4:$B$1000,MATCH(VALUE(LEFT($A366,LEN($A366)-1)),$A$4:$A$1000)),"")</f>
        <v/>
      </c>
      <c r="C366" s="2" t="str" cm="1">
        <f t="array" ref="C366">IFERROR(IF(INDEX($D$4:$H$1000,MATCH(VALUE(LEFT($A366,LEN($A366)-1)),$A$4:$A$1000,0),VALUE(RIGHT($A366,1)))= 0,"",INDEX($D$4:$H$1000,MATCH(VALUE(LEFT($A366,LEN($A366)-1)),$A$4:$A$1000,0),VALUE(RIGHT($A366,1)))),"")</f>
        <v/>
      </c>
      <c r="D366" s="23" t="str">
        <f>IFERROR(IF(INDEX(使用レシピ!F:F,MATCH(テンプレート!$C366,使用レシピ!$E:$E,0))&lt;&gt;0,INDEX(使用レシピ!F:F,MATCH(テンプレート!$C366,使用レシピ!$E:$E,0)),""),"")</f>
        <v/>
      </c>
      <c r="E366" t="str">
        <f>IFERROR(IF(INDEX(使用レシピ!G:G,MATCH(テンプレート!$C366,使用レシピ!$E:$E,0))&lt;&gt;0,INDEX(使用レシピ!G:G,MATCH(テンプレート!$C366,使用レシピ!$E:$E,0)),""),"")</f>
        <v/>
      </c>
      <c r="F366" t="str">
        <f>IFERROR(IF(INDEX(使用レシピ!H:H,MATCH(テンプレート!$C366,使用レシピ!$E:$E,0))&lt;&gt;0,INDEX(使用レシピ!H:H,MATCH(テンプレート!$C366,使用レシピ!$E:$E,0)),""),"")</f>
        <v/>
      </c>
      <c r="G366" t="str">
        <f>IFERROR(IF(INDEX(使用レシピ!I:I,MATCH(テンプレート!$C366,使用レシピ!$E:$E,0))&lt;&gt;0,INDEX(使用レシピ!I:I,MATCH(テンプレート!$C366,使用レシピ!$E:$E,0)),""),"")</f>
        <v/>
      </c>
      <c r="H366" s="24" t="str">
        <f>IFERROR(IF(INDEX(使用レシピ!J:J,MATCH(テンプレート!$C366,使用レシピ!$E:$E,0))&lt;&gt;0,INDEX(使用レシピ!J:J,MATCH(テンプレート!$C366,使用レシピ!$E:$E,0)),""),"")</f>
        <v/>
      </c>
      <c r="I366" s="36" t="str">
        <f>IFERROR(IF(INDEX(使用レシピ!P:P,MATCH(テンプレート!$C366,使用レシピ!$E:$E,0))&lt;&gt;0,INDEX(使用レシピ!P:P,MATCH(テンプレート!$C366,使用レシピ!$E:$E,0)),""),"")</f>
        <v/>
      </c>
      <c r="J366" t="str">
        <f>IFERROR(IF(INDEX(使用レシピ!K:K,MATCH(テンプレート!$C366,使用レシピ!$E:$E,0))&lt;&gt;0,INDEX(使用レシピ!K:K,MATCH(テンプレート!$C366,使用レシピ!$E:$E,0)),""),"")</f>
        <v/>
      </c>
      <c r="K366" t="str">
        <f>IFERROR(IF(INDEX(使用レシピ!L:L,MATCH(テンプレート!$C366,使用レシピ!$E:$E,0))&lt;&gt;0,INDEX(使用レシピ!L:L,MATCH(テンプレート!$C366,使用レシピ!$E:$E,0)),""),"")</f>
        <v/>
      </c>
      <c r="L366" t="str">
        <f>IFERROR(IF(INDEX(使用レシピ!M:M,MATCH(テンプレート!$C366,使用レシピ!$E:$E,0))&lt;&gt;0,INDEX(使用レシピ!M:M,MATCH(テンプレート!$C366,使用レシピ!$E:$E,0)),""),"")</f>
        <v/>
      </c>
      <c r="M366" t="str">
        <f>IFERROR(IF(INDEX(使用レシピ!N:N,MATCH(テンプレート!$C366,使用レシピ!$E:$E,0))&lt;&gt;0,INDEX(使用レシピ!N:N,MATCH(テンプレート!$C366,使用レシピ!$E:$E,0)),""),"")</f>
        <v/>
      </c>
      <c r="N366" s="24" t="str">
        <f>IFERROR(IF(INDEX(使用レシピ!O:O,MATCH(テンプレート!$C366,使用レシピ!$E:$E,0))&lt;&gt;0,INDEX(使用レシピ!O:O,MATCH(テンプレート!$C366,使用レシピ!$E:$E,0)),""),"")</f>
        <v/>
      </c>
      <c r="O366" s="36" t="str">
        <f>IFERROR(IF(INDEX(使用レシピ!P:P,MATCH(テンプレート!$C366,使用レシピ!$E:$E,0))&lt;&gt;0,INDEX(使用レシピ!P:P,MATCH(テンプレート!$C366,使用レシピ!$E:$E,0)),""),"")</f>
        <v/>
      </c>
      <c r="P366" t="str">
        <f t="shared" si="31"/>
        <v/>
      </c>
      <c r="Q366" t="str">
        <f t="shared" si="32"/>
        <v/>
      </c>
      <c r="R366" t="str">
        <f t="shared" si="33"/>
        <v/>
      </c>
      <c r="S366" t="str">
        <f t="shared" si="34"/>
        <v/>
      </c>
      <c r="T366" s="24" t="str">
        <f t="shared" si="35"/>
        <v/>
      </c>
    </row>
    <row r="367" spans="2:20" x14ac:dyDescent="0.4">
      <c r="B367" s="49" t="str" cm="1">
        <f t="array" ref="B367">IFERROR((INDEX($P$4:$T$1000,MATCH(VALUE(LEFT($A367,LEN($A367)-1)),$A$4:$A$1000,0),VALUE(RIGHT($A367,1)))/ INDEX($O$4:$O$1000,MATCH(VALUE(LEFT($A367,LEN($A367)-1)),$A$4:$A$1000))) * INDEX($B$4:$B$1000,MATCH(VALUE(LEFT($A367,LEN($A367)-1)),$A$4:$A$1000)),"")</f>
        <v/>
      </c>
      <c r="C367" s="2" t="str" cm="1">
        <f t="array" ref="C367">IFERROR(IF(INDEX($D$4:$H$1000,MATCH(VALUE(LEFT($A367,LEN($A367)-1)),$A$4:$A$1000,0),VALUE(RIGHT($A367,1)))= 0,"",INDEX($D$4:$H$1000,MATCH(VALUE(LEFT($A367,LEN($A367)-1)),$A$4:$A$1000,0),VALUE(RIGHT($A367,1)))),"")</f>
        <v/>
      </c>
      <c r="D367" s="23" t="str">
        <f>IFERROR(IF(INDEX(使用レシピ!F:F,MATCH(テンプレート!$C367,使用レシピ!$E:$E,0))&lt;&gt;0,INDEX(使用レシピ!F:F,MATCH(テンプレート!$C367,使用レシピ!$E:$E,0)),""),"")</f>
        <v/>
      </c>
      <c r="E367" t="str">
        <f>IFERROR(IF(INDEX(使用レシピ!G:G,MATCH(テンプレート!$C367,使用レシピ!$E:$E,0))&lt;&gt;0,INDEX(使用レシピ!G:G,MATCH(テンプレート!$C367,使用レシピ!$E:$E,0)),""),"")</f>
        <v/>
      </c>
      <c r="F367" t="str">
        <f>IFERROR(IF(INDEX(使用レシピ!H:H,MATCH(テンプレート!$C367,使用レシピ!$E:$E,0))&lt;&gt;0,INDEX(使用レシピ!H:H,MATCH(テンプレート!$C367,使用レシピ!$E:$E,0)),""),"")</f>
        <v/>
      </c>
      <c r="G367" t="str">
        <f>IFERROR(IF(INDEX(使用レシピ!I:I,MATCH(テンプレート!$C367,使用レシピ!$E:$E,0))&lt;&gt;0,INDEX(使用レシピ!I:I,MATCH(テンプレート!$C367,使用レシピ!$E:$E,0)),""),"")</f>
        <v/>
      </c>
      <c r="H367" s="24" t="str">
        <f>IFERROR(IF(INDEX(使用レシピ!J:J,MATCH(テンプレート!$C367,使用レシピ!$E:$E,0))&lt;&gt;0,INDEX(使用レシピ!J:J,MATCH(テンプレート!$C367,使用レシピ!$E:$E,0)),""),"")</f>
        <v/>
      </c>
      <c r="I367" s="36" t="str">
        <f>IFERROR(IF(INDEX(使用レシピ!P:P,MATCH(テンプレート!$C367,使用レシピ!$E:$E,0))&lt;&gt;0,INDEX(使用レシピ!P:P,MATCH(テンプレート!$C367,使用レシピ!$E:$E,0)),""),"")</f>
        <v/>
      </c>
      <c r="J367" t="str">
        <f>IFERROR(IF(INDEX(使用レシピ!K:K,MATCH(テンプレート!$C367,使用レシピ!$E:$E,0))&lt;&gt;0,INDEX(使用レシピ!K:K,MATCH(テンプレート!$C367,使用レシピ!$E:$E,0)),""),"")</f>
        <v/>
      </c>
      <c r="K367" t="str">
        <f>IFERROR(IF(INDEX(使用レシピ!L:L,MATCH(テンプレート!$C367,使用レシピ!$E:$E,0))&lt;&gt;0,INDEX(使用レシピ!L:L,MATCH(テンプレート!$C367,使用レシピ!$E:$E,0)),""),"")</f>
        <v/>
      </c>
      <c r="L367" t="str">
        <f>IFERROR(IF(INDEX(使用レシピ!M:M,MATCH(テンプレート!$C367,使用レシピ!$E:$E,0))&lt;&gt;0,INDEX(使用レシピ!M:M,MATCH(テンプレート!$C367,使用レシピ!$E:$E,0)),""),"")</f>
        <v/>
      </c>
      <c r="M367" t="str">
        <f>IFERROR(IF(INDEX(使用レシピ!N:N,MATCH(テンプレート!$C367,使用レシピ!$E:$E,0))&lt;&gt;0,INDEX(使用レシピ!N:N,MATCH(テンプレート!$C367,使用レシピ!$E:$E,0)),""),"")</f>
        <v/>
      </c>
      <c r="N367" s="24" t="str">
        <f>IFERROR(IF(INDEX(使用レシピ!O:O,MATCH(テンプレート!$C367,使用レシピ!$E:$E,0))&lt;&gt;0,INDEX(使用レシピ!O:O,MATCH(テンプレート!$C367,使用レシピ!$E:$E,0)),""),"")</f>
        <v/>
      </c>
      <c r="O367" s="36" t="str">
        <f>IFERROR(IF(INDEX(使用レシピ!P:P,MATCH(テンプレート!$C367,使用レシピ!$E:$E,0))&lt;&gt;0,INDEX(使用レシピ!P:P,MATCH(テンプレート!$C367,使用レシピ!$E:$E,0)),""),"")</f>
        <v/>
      </c>
      <c r="P367" t="str">
        <f t="shared" si="31"/>
        <v/>
      </c>
      <c r="Q367" t="str">
        <f t="shared" si="32"/>
        <v/>
      </c>
      <c r="R367" t="str">
        <f t="shared" si="33"/>
        <v/>
      </c>
      <c r="S367" t="str">
        <f t="shared" si="34"/>
        <v/>
      </c>
      <c r="T367" s="24" t="str">
        <f t="shared" si="35"/>
        <v/>
      </c>
    </row>
    <row r="368" spans="2:20" x14ac:dyDescent="0.4">
      <c r="B368" s="49" t="str" cm="1">
        <f t="array" ref="B368">IFERROR((INDEX($P$4:$T$1000,MATCH(VALUE(LEFT($A368,LEN($A368)-1)),$A$4:$A$1000,0),VALUE(RIGHT($A368,1)))/ INDEX($O$4:$O$1000,MATCH(VALUE(LEFT($A368,LEN($A368)-1)),$A$4:$A$1000))) * INDEX($B$4:$B$1000,MATCH(VALUE(LEFT($A368,LEN($A368)-1)),$A$4:$A$1000)),"")</f>
        <v/>
      </c>
      <c r="C368" s="2" t="str" cm="1">
        <f t="array" ref="C368">IFERROR(IF(INDEX($D$4:$H$1000,MATCH(VALUE(LEFT($A368,LEN($A368)-1)),$A$4:$A$1000,0),VALUE(RIGHT($A368,1)))= 0,"",INDEX($D$4:$H$1000,MATCH(VALUE(LEFT($A368,LEN($A368)-1)),$A$4:$A$1000,0),VALUE(RIGHT($A368,1)))),"")</f>
        <v/>
      </c>
      <c r="D368" s="23" t="str">
        <f>IFERROR(IF(INDEX(使用レシピ!F:F,MATCH(テンプレート!$C368,使用レシピ!$E:$E,0))&lt;&gt;0,INDEX(使用レシピ!F:F,MATCH(テンプレート!$C368,使用レシピ!$E:$E,0)),""),"")</f>
        <v/>
      </c>
      <c r="E368" t="str">
        <f>IFERROR(IF(INDEX(使用レシピ!G:G,MATCH(テンプレート!$C368,使用レシピ!$E:$E,0))&lt;&gt;0,INDEX(使用レシピ!G:G,MATCH(テンプレート!$C368,使用レシピ!$E:$E,0)),""),"")</f>
        <v/>
      </c>
      <c r="F368" t="str">
        <f>IFERROR(IF(INDEX(使用レシピ!H:H,MATCH(テンプレート!$C368,使用レシピ!$E:$E,0))&lt;&gt;0,INDEX(使用レシピ!H:H,MATCH(テンプレート!$C368,使用レシピ!$E:$E,0)),""),"")</f>
        <v/>
      </c>
      <c r="G368" t="str">
        <f>IFERROR(IF(INDEX(使用レシピ!I:I,MATCH(テンプレート!$C368,使用レシピ!$E:$E,0))&lt;&gt;0,INDEX(使用レシピ!I:I,MATCH(テンプレート!$C368,使用レシピ!$E:$E,0)),""),"")</f>
        <v/>
      </c>
      <c r="H368" s="24" t="str">
        <f>IFERROR(IF(INDEX(使用レシピ!J:J,MATCH(テンプレート!$C368,使用レシピ!$E:$E,0))&lt;&gt;0,INDEX(使用レシピ!J:J,MATCH(テンプレート!$C368,使用レシピ!$E:$E,0)),""),"")</f>
        <v/>
      </c>
      <c r="I368" s="36" t="str">
        <f>IFERROR(IF(INDEX(使用レシピ!P:P,MATCH(テンプレート!$C368,使用レシピ!$E:$E,0))&lt;&gt;0,INDEX(使用レシピ!P:P,MATCH(テンプレート!$C368,使用レシピ!$E:$E,0)),""),"")</f>
        <v/>
      </c>
      <c r="J368" t="str">
        <f>IFERROR(IF(INDEX(使用レシピ!K:K,MATCH(テンプレート!$C368,使用レシピ!$E:$E,0))&lt;&gt;0,INDEX(使用レシピ!K:K,MATCH(テンプレート!$C368,使用レシピ!$E:$E,0)),""),"")</f>
        <v/>
      </c>
      <c r="K368" t="str">
        <f>IFERROR(IF(INDEX(使用レシピ!L:L,MATCH(テンプレート!$C368,使用レシピ!$E:$E,0))&lt;&gt;0,INDEX(使用レシピ!L:L,MATCH(テンプレート!$C368,使用レシピ!$E:$E,0)),""),"")</f>
        <v/>
      </c>
      <c r="L368" t="str">
        <f>IFERROR(IF(INDEX(使用レシピ!M:M,MATCH(テンプレート!$C368,使用レシピ!$E:$E,0))&lt;&gt;0,INDEX(使用レシピ!M:M,MATCH(テンプレート!$C368,使用レシピ!$E:$E,0)),""),"")</f>
        <v/>
      </c>
      <c r="M368" t="str">
        <f>IFERROR(IF(INDEX(使用レシピ!N:N,MATCH(テンプレート!$C368,使用レシピ!$E:$E,0))&lt;&gt;0,INDEX(使用レシピ!N:N,MATCH(テンプレート!$C368,使用レシピ!$E:$E,0)),""),"")</f>
        <v/>
      </c>
      <c r="N368" s="24" t="str">
        <f>IFERROR(IF(INDEX(使用レシピ!O:O,MATCH(テンプレート!$C368,使用レシピ!$E:$E,0))&lt;&gt;0,INDEX(使用レシピ!O:O,MATCH(テンプレート!$C368,使用レシピ!$E:$E,0)),""),"")</f>
        <v/>
      </c>
      <c r="O368" s="36" t="str">
        <f>IFERROR(IF(INDEX(使用レシピ!P:P,MATCH(テンプレート!$C368,使用レシピ!$E:$E,0))&lt;&gt;0,INDEX(使用レシピ!P:P,MATCH(テンプレート!$C368,使用レシピ!$E:$E,0)),""),"")</f>
        <v/>
      </c>
      <c r="P368" t="str">
        <f t="shared" si="31"/>
        <v/>
      </c>
      <c r="Q368" t="str">
        <f t="shared" si="32"/>
        <v/>
      </c>
      <c r="R368" t="str">
        <f t="shared" si="33"/>
        <v/>
      </c>
      <c r="S368" t="str">
        <f t="shared" si="34"/>
        <v/>
      </c>
      <c r="T368" s="24" t="str">
        <f t="shared" si="35"/>
        <v/>
      </c>
    </row>
    <row r="369" spans="2:20" x14ac:dyDescent="0.4">
      <c r="B369" s="49" t="str" cm="1">
        <f t="array" ref="B369">IFERROR((INDEX($P$4:$T$1000,MATCH(VALUE(LEFT($A369,LEN($A369)-1)),$A$4:$A$1000,0),VALUE(RIGHT($A369,1)))/ INDEX($O$4:$O$1000,MATCH(VALUE(LEFT($A369,LEN($A369)-1)),$A$4:$A$1000))) * INDEX($B$4:$B$1000,MATCH(VALUE(LEFT($A369,LEN($A369)-1)),$A$4:$A$1000)),"")</f>
        <v/>
      </c>
      <c r="C369" s="2" t="str" cm="1">
        <f t="array" ref="C369">IFERROR(IF(INDEX($D$4:$H$1000,MATCH(VALUE(LEFT($A369,LEN($A369)-1)),$A$4:$A$1000,0),VALUE(RIGHT($A369,1)))= 0,"",INDEX($D$4:$H$1000,MATCH(VALUE(LEFT($A369,LEN($A369)-1)),$A$4:$A$1000,0),VALUE(RIGHT($A369,1)))),"")</f>
        <v/>
      </c>
      <c r="D369" s="23" t="str">
        <f>IFERROR(IF(INDEX(使用レシピ!F:F,MATCH(テンプレート!$C369,使用レシピ!$E:$E,0))&lt;&gt;0,INDEX(使用レシピ!F:F,MATCH(テンプレート!$C369,使用レシピ!$E:$E,0)),""),"")</f>
        <v/>
      </c>
      <c r="E369" t="str">
        <f>IFERROR(IF(INDEX(使用レシピ!G:G,MATCH(テンプレート!$C369,使用レシピ!$E:$E,0))&lt;&gt;0,INDEX(使用レシピ!G:G,MATCH(テンプレート!$C369,使用レシピ!$E:$E,0)),""),"")</f>
        <v/>
      </c>
      <c r="F369" t="str">
        <f>IFERROR(IF(INDEX(使用レシピ!H:H,MATCH(テンプレート!$C369,使用レシピ!$E:$E,0))&lt;&gt;0,INDEX(使用レシピ!H:H,MATCH(テンプレート!$C369,使用レシピ!$E:$E,0)),""),"")</f>
        <v/>
      </c>
      <c r="G369" t="str">
        <f>IFERROR(IF(INDEX(使用レシピ!I:I,MATCH(テンプレート!$C369,使用レシピ!$E:$E,0))&lt;&gt;0,INDEX(使用レシピ!I:I,MATCH(テンプレート!$C369,使用レシピ!$E:$E,0)),""),"")</f>
        <v/>
      </c>
      <c r="H369" s="24" t="str">
        <f>IFERROR(IF(INDEX(使用レシピ!J:J,MATCH(テンプレート!$C369,使用レシピ!$E:$E,0))&lt;&gt;0,INDEX(使用レシピ!J:J,MATCH(テンプレート!$C369,使用レシピ!$E:$E,0)),""),"")</f>
        <v/>
      </c>
      <c r="I369" s="36" t="str">
        <f>IFERROR(IF(INDEX(使用レシピ!P:P,MATCH(テンプレート!$C369,使用レシピ!$E:$E,0))&lt;&gt;0,INDEX(使用レシピ!P:P,MATCH(テンプレート!$C369,使用レシピ!$E:$E,0)),""),"")</f>
        <v/>
      </c>
      <c r="J369" t="str">
        <f>IFERROR(IF(INDEX(使用レシピ!K:K,MATCH(テンプレート!$C369,使用レシピ!$E:$E,0))&lt;&gt;0,INDEX(使用レシピ!K:K,MATCH(テンプレート!$C369,使用レシピ!$E:$E,0)),""),"")</f>
        <v/>
      </c>
      <c r="K369" t="str">
        <f>IFERROR(IF(INDEX(使用レシピ!L:L,MATCH(テンプレート!$C369,使用レシピ!$E:$E,0))&lt;&gt;0,INDEX(使用レシピ!L:L,MATCH(テンプレート!$C369,使用レシピ!$E:$E,0)),""),"")</f>
        <v/>
      </c>
      <c r="L369" t="str">
        <f>IFERROR(IF(INDEX(使用レシピ!M:M,MATCH(テンプレート!$C369,使用レシピ!$E:$E,0))&lt;&gt;0,INDEX(使用レシピ!M:M,MATCH(テンプレート!$C369,使用レシピ!$E:$E,0)),""),"")</f>
        <v/>
      </c>
      <c r="M369" t="str">
        <f>IFERROR(IF(INDEX(使用レシピ!N:N,MATCH(テンプレート!$C369,使用レシピ!$E:$E,0))&lt;&gt;0,INDEX(使用レシピ!N:N,MATCH(テンプレート!$C369,使用レシピ!$E:$E,0)),""),"")</f>
        <v/>
      </c>
      <c r="N369" s="24" t="str">
        <f>IFERROR(IF(INDEX(使用レシピ!O:O,MATCH(テンプレート!$C369,使用レシピ!$E:$E,0))&lt;&gt;0,INDEX(使用レシピ!O:O,MATCH(テンプレート!$C369,使用レシピ!$E:$E,0)),""),"")</f>
        <v/>
      </c>
      <c r="O369" s="36" t="str">
        <f>IFERROR(IF(INDEX(使用レシピ!P:P,MATCH(テンプレート!$C369,使用レシピ!$E:$E,0))&lt;&gt;0,INDEX(使用レシピ!P:P,MATCH(テンプレート!$C369,使用レシピ!$E:$E,0)),""),"")</f>
        <v/>
      </c>
      <c r="P369" t="str">
        <f t="shared" si="31"/>
        <v/>
      </c>
      <c r="Q369" t="str">
        <f t="shared" si="32"/>
        <v/>
      </c>
      <c r="R369" t="str">
        <f t="shared" si="33"/>
        <v/>
      </c>
      <c r="S369" t="str">
        <f t="shared" si="34"/>
        <v/>
      </c>
      <c r="T369" s="24" t="str">
        <f t="shared" si="35"/>
        <v/>
      </c>
    </row>
    <row r="370" spans="2:20" x14ac:dyDescent="0.4">
      <c r="B370" s="49" t="str" cm="1">
        <f t="array" ref="B370">IFERROR((INDEX($P$4:$T$1000,MATCH(VALUE(LEFT($A370,LEN($A370)-1)),$A$4:$A$1000,0),VALUE(RIGHT($A370,1)))/ INDEX($O$4:$O$1000,MATCH(VALUE(LEFT($A370,LEN($A370)-1)),$A$4:$A$1000))) * INDEX($B$4:$B$1000,MATCH(VALUE(LEFT($A370,LEN($A370)-1)),$A$4:$A$1000)),"")</f>
        <v/>
      </c>
      <c r="C370" s="2" t="str" cm="1">
        <f t="array" ref="C370">IFERROR(IF(INDEX($D$4:$H$1000,MATCH(VALUE(LEFT($A370,LEN($A370)-1)),$A$4:$A$1000,0),VALUE(RIGHT($A370,1)))= 0,"",INDEX($D$4:$H$1000,MATCH(VALUE(LEFT($A370,LEN($A370)-1)),$A$4:$A$1000,0),VALUE(RIGHT($A370,1)))),"")</f>
        <v/>
      </c>
      <c r="D370" s="23" t="str">
        <f>IFERROR(IF(INDEX(使用レシピ!F:F,MATCH(テンプレート!$C370,使用レシピ!$E:$E,0))&lt;&gt;0,INDEX(使用レシピ!F:F,MATCH(テンプレート!$C370,使用レシピ!$E:$E,0)),""),"")</f>
        <v/>
      </c>
      <c r="E370" t="str">
        <f>IFERROR(IF(INDEX(使用レシピ!G:G,MATCH(テンプレート!$C370,使用レシピ!$E:$E,0))&lt;&gt;0,INDEX(使用レシピ!G:G,MATCH(テンプレート!$C370,使用レシピ!$E:$E,0)),""),"")</f>
        <v/>
      </c>
      <c r="F370" t="str">
        <f>IFERROR(IF(INDEX(使用レシピ!H:H,MATCH(テンプレート!$C370,使用レシピ!$E:$E,0))&lt;&gt;0,INDEX(使用レシピ!H:H,MATCH(テンプレート!$C370,使用レシピ!$E:$E,0)),""),"")</f>
        <v/>
      </c>
      <c r="G370" t="str">
        <f>IFERROR(IF(INDEX(使用レシピ!I:I,MATCH(テンプレート!$C370,使用レシピ!$E:$E,0))&lt;&gt;0,INDEX(使用レシピ!I:I,MATCH(テンプレート!$C370,使用レシピ!$E:$E,0)),""),"")</f>
        <v/>
      </c>
      <c r="H370" s="24" t="str">
        <f>IFERROR(IF(INDEX(使用レシピ!J:J,MATCH(テンプレート!$C370,使用レシピ!$E:$E,0))&lt;&gt;0,INDEX(使用レシピ!J:J,MATCH(テンプレート!$C370,使用レシピ!$E:$E,0)),""),"")</f>
        <v/>
      </c>
      <c r="I370" s="36" t="str">
        <f>IFERROR(IF(INDEX(使用レシピ!P:P,MATCH(テンプレート!$C370,使用レシピ!$E:$E,0))&lt;&gt;0,INDEX(使用レシピ!P:P,MATCH(テンプレート!$C370,使用レシピ!$E:$E,0)),""),"")</f>
        <v/>
      </c>
      <c r="J370" t="str">
        <f>IFERROR(IF(INDEX(使用レシピ!K:K,MATCH(テンプレート!$C370,使用レシピ!$E:$E,0))&lt;&gt;0,INDEX(使用レシピ!K:K,MATCH(テンプレート!$C370,使用レシピ!$E:$E,0)),""),"")</f>
        <v/>
      </c>
      <c r="K370" t="str">
        <f>IFERROR(IF(INDEX(使用レシピ!L:L,MATCH(テンプレート!$C370,使用レシピ!$E:$E,0))&lt;&gt;0,INDEX(使用レシピ!L:L,MATCH(テンプレート!$C370,使用レシピ!$E:$E,0)),""),"")</f>
        <v/>
      </c>
      <c r="L370" t="str">
        <f>IFERROR(IF(INDEX(使用レシピ!M:M,MATCH(テンプレート!$C370,使用レシピ!$E:$E,0))&lt;&gt;0,INDEX(使用レシピ!M:M,MATCH(テンプレート!$C370,使用レシピ!$E:$E,0)),""),"")</f>
        <v/>
      </c>
      <c r="M370" t="str">
        <f>IFERROR(IF(INDEX(使用レシピ!N:N,MATCH(テンプレート!$C370,使用レシピ!$E:$E,0))&lt;&gt;0,INDEX(使用レシピ!N:N,MATCH(テンプレート!$C370,使用レシピ!$E:$E,0)),""),"")</f>
        <v/>
      </c>
      <c r="N370" s="24" t="str">
        <f>IFERROR(IF(INDEX(使用レシピ!O:O,MATCH(テンプレート!$C370,使用レシピ!$E:$E,0))&lt;&gt;0,INDEX(使用レシピ!O:O,MATCH(テンプレート!$C370,使用レシピ!$E:$E,0)),""),"")</f>
        <v/>
      </c>
      <c r="O370" s="36" t="str">
        <f>IFERROR(IF(INDEX(使用レシピ!P:P,MATCH(テンプレート!$C370,使用レシピ!$E:$E,0))&lt;&gt;0,INDEX(使用レシピ!P:P,MATCH(テンプレート!$C370,使用レシピ!$E:$E,0)),""),"")</f>
        <v/>
      </c>
      <c r="P370" t="str">
        <f t="shared" si="31"/>
        <v/>
      </c>
      <c r="Q370" t="str">
        <f t="shared" si="32"/>
        <v/>
      </c>
      <c r="R370" t="str">
        <f t="shared" si="33"/>
        <v/>
      </c>
      <c r="S370" t="str">
        <f t="shared" si="34"/>
        <v/>
      </c>
      <c r="T370" s="24" t="str">
        <f t="shared" si="35"/>
        <v/>
      </c>
    </row>
    <row r="371" spans="2:20" x14ac:dyDescent="0.4">
      <c r="B371" s="49" t="str" cm="1">
        <f t="array" ref="B371">IFERROR((INDEX($P$4:$T$1000,MATCH(VALUE(LEFT($A371,LEN($A371)-1)),$A$4:$A$1000,0),VALUE(RIGHT($A371,1)))/ INDEX($O$4:$O$1000,MATCH(VALUE(LEFT($A371,LEN($A371)-1)),$A$4:$A$1000))) * INDEX($B$4:$B$1000,MATCH(VALUE(LEFT($A371,LEN($A371)-1)),$A$4:$A$1000)),"")</f>
        <v/>
      </c>
      <c r="C371" s="2" t="str" cm="1">
        <f t="array" ref="C371">IFERROR(IF(INDEX($D$4:$H$1000,MATCH(VALUE(LEFT($A371,LEN($A371)-1)),$A$4:$A$1000,0),VALUE(RIGHT($A371,1)))= 0,"",INDEX($D$4:$H$1000,MATCH(VALUE(LEFT($A371,LEN($A371)-1)),$A$4:$A$1000,0),VALUE(RIGHT($A371,1)))),"")</f>
        <v/>
      </c>
      <c r="D371" s="23" t="str">
        <f>IFERROR(IF(INDEX(使用レシピ!F:F,MATCH(テンプレート!$C371,使用レシピ!$E:$E,0))&lt;&gt;0,INDEX(使用レシピ!F:F,MATCH(テンプレート!$C371,使用レシピ!$E:$E,0)),""),"")</f>
        <v/>
      </c>
      <c r="E371" t="str">
        <f>IFERROR(IF(INDEX(使用レシピ!G:G,MATCH(テンプレート!$C371,使用レシピ!$E:$E,0))&lt;&gt;0,INDEX(使用レシピ!G:G,MATCH(テンプレート!$C371,使用レシピ!$E:$E,0)),""),"")</f>
        <v/>
      </c>
      <c r="F371" t="str">
        <f>IFERROR(IF(INDEX(使用レシピ!H:H,MATCH(テンプレート!$C371,使用レシピ!$E:$E,0))&lt;&gt;0,INDEX(使用レシピ!H:H,MATCH(テンプレート!$C371,使用レシピ!$E:$E,0)),""),"")</f>
        <v/>
      </c>
      <c r="G371" t="str">
        <f>IFERROR(IF(INDEX(使用レシピ!I:I,MATCH(テンプレート!$C371,使用レシピ!$E:$E,0))&lt;&gt;0,INDEX(使用レシピ!I:I,MATCH(テンプレート!$C371,使用レシピ!$E:$E,0)),""),"")</f>
        <v/>
      </c>
      <c r="H371" s="24" t="str">
        <f>IFERROR(IF(INDEX(使用レシピ!J:J,MATCH(テンプレート!$C371,使用レシピ!$E:$E,0))&lt;&gt;0,INDEX(使用レシピ!J:J,MATCH(テンプレート!$C371,使用レシピ!$E:$E,0)),""),"")</f>
        <v/>
      </c>
      <c r="I371" s="36" t="str">
        <f>IFERROR(IF(INDEX(使用レシピ!P:P,MATCH(テンプレート!$C371,使用レシピ!$E:$E,0))&lt;&gt;0,INDEX(使用レシピ!P:P,MATCH(テンプレート!$C371,使用レシピ!$E:$E,0)),""),"")</f>
        <v/>
      </c>
      <c r="J371" t="str">
        <f>IFERROR(IF(INDEX(使用レシピ!K:K,MATCH(テンプレート!$C371,使用レシピ!$E:$E,0))&lt;&gt;0,INDEX(使用レシピ!K:K,MATCH(テンプレート!$C371,使用レシピ!$E:$E,0)),""),"")</f>
        <v/>
      </c>
      <c r="K371" t="str">
        <f>IFERROR(IF(INDEX(使用レシピ!L:L,MATCH(テンプレート!$C371,使用レシピ!$E:$E,0))&lt;&gt;0,INDEX(使用レシピ!L:L,MATCH(テンプレート!$C371,使用レシピ!$E:$E,0)),""),"")</f>
        <v/>
      </c>
      <c r="L371" t="str">
        <f>IFERROR(IF(INDEX(使用レシピ!M:M,MATCH(テンプレート!$C371,使用レシピ!$E:$E,0))&lt;&gt;0,INDEX(使用レシピ!M:M,MATCH(テンプレート!$C371,使用レシピ!$E:$E,0)),""),"")</f>
        <v/>
      </c>
      <c r="M371" t="str">
        <f>IFERROR(IF(INDEX(使用レシピ!N:N,MATCH(テンプレート!$C371,使用レシピ!$E:$E,0))&lt;&gt;0,INDEX(使用レシピ!N:N,MATCH(テンプレート!$C371,使用レシピ!$E:$E,0)),""),"")</f>
        <v/>
      </c>
      <c r="N371" s="24" t="str">
        <f>IFERROR(IF(INDEX(使用レシピ!O:O,MATCH(テンプレート!$C371,使用レシピ!$E:$E,0))&lt;&gt;0,INDEX(使用レシピ!O:O,MATCH(テンプレート!$C371,使用レシピ!$E:$E,0)),""),"")</f>
        <v/>
      </c>
      <c r="O371" s="36" t="str">
        <f>IFERROR(IF(INDEX(使用レシピ!P:P,MATCH(テンプレート!$C371,使用レシピ!$E:$E,0))&lt;&gt;0,INDEX(使用レシピ!P:P,MATCH(テンプレート!$C371,使用レシピ!$E:$E,0)),""),"")</f>
        <v/>
      </c>
      <c r="P371" t="str">
        <f t="shared" si="31"/>
        <v/>
      </c>
      <c r="Q371" t="str">
        <f t="shared" si="32"/>
        <v/>
      </c>
      <c r="R371" t="str">
        <f t="shared" si="33"/>
        <v/>
      </c>
      <c r="S371" t="str">
        <f t="shared" si="34"/>
        <v/>
      </c>
      <c r="T371" s="24" t="str">
        <f t="shared" si="35"/>
        <v/>
      </c>
    </row>
    <row r="372" spans="2:20" x14ac:dyDescent="0.4">
      <c r="B372" s="49" t="str" cm="1">
        <f t="array" ref="B372">IFERROR((INDEX($P$4:$T$1000,MATCH(VALUE(LEFT($A372,LEN($A372)-1)),$A$4:$A$1000,0),VALUE(RIGHT($A372,1)))/ INDEX($O$4:$O$1000,MATCH(VALUE(LEFT($A372,LEN($A372)-1)),$A$4:$A$1000))) * INDEX($B$4:$B$1000,MATCH(VALUE(LEFT($A372,LEN($A372)-1)),$A$4:$A$1000)),"")</f>
        <v/>
      </c>
      <c r="C372" s="2" t="str" cm="1">
        <f t="array" ref="C372">IFERROR(IF(INDEX($D$4:$H$1000,MATCH(VALUE(LEFT($A372,LEN($A372)-1)),$A$4:$A$1000,0),VALUE(RIGHT($A372,1)))= 0,"",INDEX($D$4:$H$1000,MATCH(VALUE(LEFT($A372,LEN($A372)-1)),$A$4:$A$1000,0),VALUE(RIGHT($A372,1)))),"")</f>
        <v/>
      </c>
      <c r="D372" s="23" t="str">
        <f>IFERROR(IF(INDEX(使用レシピ!F:F,MATCH(テンプレート!$C372,使用レシピ!$E:$E,0))&lt;&gt;0,INDEX(使用レシピ!F:F,MATCH(テンプレート!$C372,使用レシピ!$E:$E,0)),""),"")</f>
        <v/>
      </c>
      <c r="E372" t="str">
        <f>IFERROR(IF(INDEX(使用レシピ!G:G,MATCH(テンプレート!$C372,使用レシピ!$E:$E,0))&lt;&gt;0,INDEX(使用レシピ!G:G,MATCH(テンプレート!$C372,使用レシピ!$E:$E,0)),""),"")</f>
        <v/>
      </c>
      <c r="F372" t="str">
        <f>IFERROR(IF(INDEX(使用レシピ!H:H,MATCH(テンプレート!$C372,使用レシピ!$E:$E,0))&lt;&gt;0,INDEX(使用レシピ!H:H,MATCH(テンプレート!$C372,使用レシピ!$E:$E,0)),""),"")</f>
        <v/>
      </c>
      <c r="G372" t="str">
        <f>IFERROR(IF(INDEX(使用レシピ!I:I,MATCH(テンプレート!$C372,使用レシピ!$E:$E,0))&lt;&gt;0,INDEX(使用レシピ!I:I,MATCH(テンプレート!$C372,使用レシピ!$E:$E,0)),""),"")</f>
        <v/>
      </c>
      <c r="H372" s="24" t="str">
        <f>IFERROR(IF(INDEX(使用レシピ!J:J,MATCH(テンプレート!$C372,使用レシピ!$E:$E,0))&lt;&gt;0,INDEX(使用レシピ!J:J,MATCH(テンプレート!$C372,使用レシピ!$E:$E,0)),""),"")</f>
        <v/>
      </c>
      <c r="I372" s="36" t="str">
        <f>IFERROR(IF(INDEX(使用レシピ!P:P,MATCH(テンプレート!$C372,使用レシピ!$E:$E,0))&lt;&gt;0,INDEX(使用レシピ!P:P,MATCH(テンプレート!$C372,使用レシピ!$E:$E,0)),""),"")</f>
        <v/>
      </c>
      <c r="J372" t="str">
        <f>IFERROR(IF(INDEX(使用レシピ!K:K,MATCH(テンプレート!$C372,使用レシピ!$E:$E,0))&lt;&gt;0,INDEX(使用レシピ!K:K,MATCH(テンプレート!$C372,使用レシピ!$E:$E,0)),""),"")</f>
        <v/>
      </c>
      <c r="K372" t="str">
        <f>IFERROR(IF(INDEX(使用レシピ!L:L,MATCH(テンプレート!$C372,使用レシピ!$E:$E,0))&lt;&gt;0,INDEX(使用レシピ!L:L,MATCH(テンプレート!$C372,使用レシピ!$E:$E,0)),""),"")</f>
        <v/>
      </c>
      <c r="L372" t="str">
        <f>IFERROR(IF(INDEX(使用レシピ!M:M,MATCH(テンプレート!$C372,使用レシピ!$E:$E,0))&lt;&gt;0,INDEX(使用レシピ!M:M,MATCH(テンプレート!$C372,使用レシピ!$E:$E,0)),""),"")</f>
        <v/>
      </c>
      <c r="M372" t="str">
        <f>IFERROR(IF(INDEX(使用レシピ!N:N,MATCH(テンプレート!$C372,使用レシピ!$E:$E,0))&lt;&gt;0,INDEX(使用レシピ!N:N,MATCH(テンプレート!$C372,使用レシピ!$E:$E,0)),""),"")</f>
        <v/>
      </c>
      <c r="N372" s="24" t="str">
        <f>IFERROR(IF(INDEX(使用レシピ!O:O,MATCH(テンプレート!$C372,使用レシピ!$E:$E,0))&lt;&gt;0,INDEX(使用レシピ!O:O,MATCH(テンプレート!$C372,使用レシピ!$E:$E,0)),""),"")</f>
        <v/>
      </c>
      <c r="O372" s="36" t="str">
        <f>IFERROR(IF(INDEX(使用レシピ!P:P,MATCH(テンプレート!$C372,使用レシピ!$E:$E,0))&lt;&gt;0,INDEX(使用レシピ!P:P,MATCH(テンプレート!$C372,使用レシピ!$E:$E,0)),""),"")</f>
        <v/>
      </c>
      <c r="P372" t="str">
        <f t="shared" si="31"/>
        <v/>
      </c>
      <c r="Q372" t="str">
        <f t="shared" si="32"/>
        <v/>
      </c>
      <c r="R372" t="str">
        <f t="shared" si="33"/>
        <v/>
      </c>
      <c r="S372" t="str">
        <f t="shared" si="34"/>
        <v/>
      </c>
      <c r="T372" s="24" t="str">
        <f t="shared" si="35"/>
        <v/>
      </c>
    </row>
    <row r="373" spans="2:20" x14ac:dyDescent="0.4">
      <c r="B373" s="49" t="str" cm="1">
        <f t="array" ref="B373">IFERROR((INDEX($P$4:$T$1000,MATCH(VALUE(LEFT($A373,LEN($A373)-1)),$A$4:$A$1000,0),VALUE(RIGHT($A373,1)))/ INDEX($O$4:$O$1000,MATCH(VALUE(LEFT($A373,LEN($A373)-1)),$A$4:$A$1000))) * INDEX($B$4:$B$1000,MATCH(VALUE(LEFT($A373,LEN($A373)-1)),$A$4:$A$1000)),"")</f>
        <v/>
      </c>
      <c r="C373" s="2" t="str" cm="1">
        <f t="array" ref="C373">IFERROR(IF(INDEX($D$4:$H$1000,MATCH(VALUE(LEFT($A373,LEN($A373)-1)),$A$4:$A$1000,0),VALUE(RIGHT($A373,1)))= 0,"",INDEX($D$4:$H$1000,MATCH(VALUE(LEFT($A373,LEN($A373)-1)),$A$4:$A$1000,0),VALUE(RIGHT($A373,1)))),"")</f>
        <v/>
      </c>
      <c r="D373" s="23" t="str">
        <f>IFERROR(IF(INDEX(使用レシピ!F:F,MATCH(テンプレート!$C373,使用レシピ!$E:$E,0))&lt;&gt;0,INDEX(使用レシピ!F:F,MATCH(テンプレート!$C373,使用レシピ!$E:$E,0)),""),"")</f>
        <v/>
      </c>
      <c r="E373" t="str">
        <f>IFERROR(IF(INDEX(使用レシピ!G:G,MATCH(テンプレート!$C373,使用レシピ!$E:$E,0))&lt;&gt;0,INDEX(使用レシピ!G:G,MATCH(テンプレート!$C373,使用レシピ!$E:$E,0)),""),"")</f>
        <v/>
      </c>
      <c r="F373" t="str">
        <f>IFERROR(IF(INDEX(使用レシピ!H:H,MATCH(テンプレート!$C373,使用レシピ!$E:$E,0))&lt;&gt;0,INDEX(使用レシピ!H:H,MATCH(テンプレート!$C373,使用レシピ!$E:$E,0)),""),"")</f>
        <v/>
      </c>
      <c r="G373" t="str">
        <f>IFERROR(IF(INDEX(使用レシピ!I:I,MATCH(テンプレート!$C373,使用レシピ!$E:$E,0))&lt;&gt;0,INDEX(使用レシピ!I:I,MATCH(テンプレート!$C373,使用レシピ!$E:$E,0)),""),"")</f>
        <v/>
      </c>
      <c r="H373" s="24" t="str">
        <f>IFERROR(IF(INDEX(使用レシピ!J:J,MATCH(テンプレート!$C373,使用レシピ!$E:$E,0))&lt;&gt;0,INDEX(使用レシピ!J:J,MATCH(テンプレート!$C373,使用レシピ!$E:$E,0)),""),"")</f>
        <v/>
      </c>
      <c r="I373" s="36" t="str">
        <f>IFERROR(IF(INDEX(使用レシピ!P:P,MATCH(テンプレート!$C373,使用レシピ!$E:$E,0))&lt;&gt;0,INDEX(使用レシピ!P:P,MATCH(テンプレート!$C373,使用レシピ!$E:$E,0)),""),"")</f>
        <v/>
      </c>
      <c r="J373" t="str">
        <f>IFERROR(IF(INDEX(使用レシピ!K:K,MATCH(テンプレート!$C373,使用レシピ!$E:$E,0))&lt;&gt;0,INDEX(使用レシピ!K:K,MATCH(テンプレート!$C373,使用レシピ!$E:$E,0)),""),"")</f>
        <v/>
      </c>
      <c r="K373" t="str">
        <f>IFERROR(IF(INDEX(使用レシピ!L:L,MATCH(テンプレート!$C373,使用レシピ!$E:$E,0))&lt;&gt;0,INDEX(使用レシピ!L:L,MATCH(テンプレート!$C373,使用レシピ!$E:$E,0)),""),"")</f>
        <v/>
      </c>
      <c r="L373" t="str">
        <f>IFERROR(IF(INDEX(使用レシピ!M:M,MATCH(テンプレート!$C373,使用レシピ!$E:$E,0))&lt;&gt;0,INDEX(使用レシピ!M:M,MATCH(テンプレート!$C373,使用レシピ!$E:$E,0)),""),"")</f>
        <v/>
      </c>
      <c r="M373" t="str">
        <f>IFERROR(IF(INDEX(使用レシピ!N:N,MATCH(テンプレート!$C373,使用レシピ!$E:$E,0))&lt;&gt;0,INDEX(使用レシピ!N:N,MATCH(テンプレート!$C373,使用レシピ!$E:$E,0)),""),"")</f>
        <v/>
      </c>
      <c r="N373" s="24" t="str">
        <f>IFERROR(IF(INDEX(使用レシピ!O:O,MATCH(テンプレート!$C373,使用レシピ!$E:$E,0))&lt;&gt;0,INDEX(使用レシピ!O:O,MATCH(テンプレート!$C373,使用レシピ!$E:$E,0)),""),"")</f>
        <v/>
      </c>
      <c r="O373" s="36" t="str">
        <f>IFERROR(IF(INDEX(使用レシピ!P:P,MATCH(テンプレート!$C373,使用レシピ!$E:$E,0))&lt;&gt;0,INDEX(使用レシピ!P:P,MATCH(テンプレート!$C373,使用レシピ!$E:$E,0)),""),"")</f>
        <v/>
      </c>
      <c r="P373" t="str">
        <f t="shared" si="31"/>
        <v/>
      </c>
      <c r="Q373" t="str">
        <f t="shared" si="32"/>
        <v/>
      </c>
      <c r="R373" t="str">
        <f t="shared" si="33"/>
        <v/>
      </c>
      <c r="S373" t="str">
        <f t="shared" si="34"/>
        <v/>
      </c>
      <c r="T373" s="24" t="str">
        <f t="shared" si="35"/>
        <v/>
      </c>
    </row>
    <row r="374" spans="2:20" x14ac:dyDescent="0.4">
      <c r="B374" s="49" t="str" cm="1">
        <f t="array" ref="B374">IFERROR((INDEX($P$4:$T$1000,MATCH(VALUE(LEFT($A374,LEN($A374)-1)),$A$4:$A$1000,0),VALUE(RIGHT($A374,1)))/ INDEX($O$4:$O$1000,MATCH(VALUE(LEFT($A374,LEN($A374)-1)),$A$4:$A$1000))) * INDEX($B$4:$B$1000,MATCH(VALUE(LEFT($A374,LEN($A374)-1)),$A$4:$A$1000)),"")</f>
        <v/>
      </c>
      <c r="C374" s="2" t="str" cm="1">
        <f t="array" ref="C374">IFERROR(IF(INDEX($D$4:$H$1000,MATCH(VALUE(LEFT($A374,LEN($A374)-1)),$A$4:$A$1000,0),VALUE(RIGHT($A374,1)))= 0,"",INDEX($D$4:$H$1000,MATCH(VALUE(LEFT($A374,LEN($A374)-1)),$A$4:$A$1000,0),VALUE(RIGHT($A374,1)))),"")</f>
        <v/>
      </c>
      <c r="D374" s="23" t="str">
        <f>IFERROR(IF(INDEX(使用レシピ!F:F,MATCH(テンプレート!$C374,使用レシピ!$E:$E,0))&lt;&gt;0,INDEX(使用レシピ!F:F,MATCH(テンプレート!$C374,使用レシピ!$E:$E,0)),""),"")</f>
        <v/>
      </c>
      <c r="E374" t="str">
        <f>IFERROR(IF(INDEX(使用レシピ!G:G,MATCH(テンプレート!$C374,使用レシピ!$E:$E,0))&lt;&gt;0,INDEX(使用レシピ!G:G,MATCH(テンプレート!$C374,使用レシピ!$E:$E,0)),""),"")</f>
        <v/>
      </c>
      <c r="F374" t="str">
        <f>IFERROR(IF(INDEX(使用レシピ!H:H,MATCH(テンプレート!$C374,使用レシピ!$E:$E,0))&lt;&gt;0,INDEX(使用レシピ!H:H,MATCH(テンプレート!$C374,使用レシピ!$E:$E,0)),""),"")</f>
        <v/>
      </c>
      <c r="G374" t="str">
        <f>IFERROR(IF(INDEX(使用レシピ!I:I,MATCH(テンプレート!$C374,使用レシピ!$E:$E,0))&lt;&gt;0,INDEX(使用レシピ!I:I,MATCH(テンプレート!$C374,使用レシピ!$E:$E,0)),""),"")</f>
        <v/>
      </c>
      <c r="H374" s="24" t="str">
        <f>IFERROR(IF(INDEX(使用レシピ!J:J,MATCH(テンプレート!$C374,使用レシピ!$E:$E,0))&lt;&gt;0,INDEX(使用レシピ!J:J,MATCH(テンプレート!$C374,使用レシピ!$E:$E,0)),""),"")</f>
        <v/>
      </c>
      <c r="I374" s="36" t="str">
        <f>IFERROR(IF(INDEX(使用レシピ!P:P,MATCH(テンプレート!$C374,使用レシピ!$E:$E,0))&lt;&gt;0,INDEX(使用レシピ!P:P,MATCH(テンプレート!$C374,使用レシピ!$E:$E,0)),""),"")</f>
        <v/>
      </c>
      <c r="J374" t="str">
        <f>IFERROR(IF(INDEX(使用レシピ!K:K,MATCH(テンプレート!$C374,使用レシピ!$E:$E,0))&lt;&gt;0,INDEX(使用レシピ!K:K,MATCH(テンプレート!$C374,使用レシピ!$E:$E,0)),""),"")</f>
        <v/>
      </c>
      <c r="K374" t="str">
        <f>IFERROR(IF(INDEX(使用レシピ!L:L,MATCH(テンプレート!$C374,使用レシピ!$E:$E,0))&lt;&gt;0,INDEX(使用レシピ!L:L,MATCH(テンプレート!$C374,使用レシピ!$E:$E,0)),""),"")</f>
        <v/>
      </c>
      <c r="L374" t="str">
        <f>IFERROR(IF(INDEX(使用レシピ!M:M,MATCH(テンプレート!$C374,使用レシピ!$E:$E,0))&lt;&gt;0,INDEX(使用レシピ!M:M,MATCH(テンプレート!$C374,使用レシピ!$E:$E,0)),""),"")</f>
        <v/>
      </c>
      <c r="M374" t="str">
        <f>IFERROR(IF(INDEX(使用レシピ!N:N,MATCH(テンプレート!$C374,使用レシピ!$E:$E,0))&lt;&gt;0,INDEX(使用レシピ!N:N,MATCH(テンプレート!$C374,使用レシピ!$E:$E,0)),""),"")</f>
        <v/>
      </c>
      <c r="N374" s="24" t="str">
        <f>IFERROR(IF(INDEX(使用レシピ!O:O,MATCH(テンプレート!$C374,使用レシピ!$E:$E,0))&lt;&gt;0,INDEX(使用レシピ!O:O,MATCH(テンプレート!$C374,使用レシピ!$E:$E,0)),""),"")</f>
        <v/>
      </c>
      <c r="O374" s="36" t="str">
        <f>IFERROR(IF(INDEX(使用レシピ!P:P,MATCH(テンプレート!$C374,使用レシピ!$E:$E,0))&lt;&gt;0,INDEX(使用レシピ!P:P,MATCH(テンプレート!$C374,使用レシピ!$E:$E,0)),""),"")</f>
        <v/>
      </c>
      <c r="P374" t="str">
        <f t="shared" si="31"/>
        <v/>
      </c>
      <c r="Q374" t="str">
        <f t="shared" si="32"/>
        <v/>
      </c>
      <c r="R374" t="str">
        <f t="shared" si="33"/>
        <v/>
      </c>
      <c r="S374" t="str">
        <f t="shared" si="34"/>
        <v/>
      </c>
      <c r="T374" s="24" t="str">
        <f t="shared" si="35"/>
        <v/>
      </c>
    </row>
    <row r="375" spans="2:20" x14ac:dyDescent="0.4">
      <c r="B375" s="49" t="str" cm="1">
        <f t="array" ref="B375">IFERROR((INDEX($P$4:$T$1000,MATCH(VALUE(LEFT($A375,LEN($A375)-1)),$A$4:$A$1000,0),VALUE(RIGHT($A375,1)))/ INDEX($O$4:$O$1000,MATCH(VALUE(LEFT($A375,LEN($A375)-1)),$A$4:$A$1000))) * INDEX($B$4:$B$1000,MATCH(VALUE(LEFT($A375,LEN($A375)-1)),$A$4:$A$1000)),"")</f>
        <v/>
      </c>
      <c r="C375" s="2" t="str" cm="1">
        <f t="array" ref="C375">IFERROR(IF(INDEX($D$4:$H$1000,MATCH(VALUE(LEFT($A375,LEN($A375)-1)),$A$4:$A$1000,0),VALUE(RIGHT($A375,1)))= 0,"",INDEX($D$4:$H$1000,MATCH(VALUE(LEFT($A375,LEN($A375)-1)),$A$4:$A$1000,0),VALUE(RIGHT($A375,1)))),"")</f>
        <v/>
      </c>
      <c r="D375" s="23" t="str">
        <f>IFERROR(IF(INDEX(使用レシピ!F:F,MATCH(テンプレート!$C375,使用レシピ!$E:$E,0))&lt;&gt;0,INDEX(使用レシピ!F:F,MATCH(テンプレート!$C375,使用レシピ!$E:$E,0)),""),"")</f>
        <v/>
      </c>
      <c r="E375" t="str">
        <f>IFERROR(IF(INDEX(使用レシピ!G:G,MATCH(テンプレート!$C375,使用レシピ!$E:$E,0))&lt;&gt;0,INDEX(使用レシピ!G:G,MATCH(テンプレート!$C375,使用レシピ!$E:$E,0)),""),"")</f>
        <v/>
      </c>
      <c r="F375" t="str">
        <f>IFERROR(IF(INDEX(使用レシピ!H:H,MATCH(テンプレート!$C375,使用レシピ!$E:$E,0))&lt;&gt;0,INDEX(使用レシピ!H:H,MATCH(テンプレート!$C375,使用レシピ!$E:$E,0)),""),"")</f>
        <v/>
      </c>
      <c r="G375" t="str">
        <f>IFERROR(IF(INDEX(使用レシピ!I:I,MATCH(テンプレート!$C375,使用レシピ!$E:$E,0))&lt;&gt;0,INDEX(使用レシピ!I:I,MATCH(テンプレート!$C375,使用レシピ!$E:$E,0)),""),"")</f>
        <v/>
      </c>
      <c r="H375" s="24" t="str">
        <f>IFERROR(IF(INDEX(使用レシピ!J:J,MATCH(テンプレート!$C375,使用レシピ!$E:$E,0))&lt;&gt;0,INDEX(使用レシピ!J:J,MATCH(テンプレート!$C375,使用レシピ!$E:$E,0)),""),"")</f>
        <v/>
      </c>
      <c r="I375" s="36" t="str">
        <f>IFERROR(IF(INDEX(使用レシピ!P:P,MATCH(テンプレート!$C375,使用レシピ!$E:$E,0))&lt;&gt;0,INDEX(使用レシピ!P:P,MATCH(テンプレート!$C375,使用レシピ!$E:$E,0)),""),"")</f>
        <v/>
      </c>
      <c r="J375" t="str">
        <f>IFERROR(IF(INDEX(使用レシピ!K:K,MATCH(テンプレート!$C375,使用レシピ!$E:$E,0))&lt;&gt;0,INDEX(使用レシピ!K:K,MATCH(テンプレート!$C375,使用レシピ!$E:$E,0)),""),"")</f>
        <v/>
      </c>
      <c r="K375" t="str">
        <f>IFERROR(IF(INDEX(使用レシピ!L:L,MATCH(テンプレート!$C375,使用レシピ!$E:$E,0))&lt;&gt;0,INDEX(使用レシピ!L:L,MATCH(テンプレート!$C375,使用レシピ!$E:$E,0)),""),"")</f>
        <v/>
      </c>
      <c r="L375" t="str">
        <f>IFERROR(IF(INDEX(使用レシピ!M:M,MATCH(テンプレート!$C375,使用レシピ!$E:$E,0))&lt;&gt;0,INDEX(使用レシピ!M:M,MATCH(テンプレート!$C375,使用レシピ!$E:$E,0)),""),"")</f>
        <v/>
      </c>
      <c r="M375" t="str">
        <f>IFERROR(IF(INDEX(使用レシピ!N:N,MATCH(テンプレート!$C375,使用レシピ!$E:$E,0))&lt;&gt;0,INDEX(使用レシピ!N:N,MATCH(テンプレート!$C375,使用レシピ!$E:$E,0)),""),"")</f>
        <v/>
      </c>
      <c r="N375" s="24" t="str">
        <f>IFERROR(IF(INDEX(使用レシピ!O:O,MATCH(テンプレート!$C375,使用レシピ!$E:$E,0))&lt;&gt;0,INDEX(使用レシピ!O:O,MATCH(テンプレート!$C375,使用レシピ!$E:$E,0)),""),"")</f>
        <v/>
      </c>
      <c r="O375" s="36" t="str">
        <f>IFERROR(IF(INDEX(使用レシピ!P:P,MATCH(テンプレート!$C375,使用レシピ!$E:$E,0))&lt;&gt;0,INDEX(使用レシピ!P:P,MATCH(テンプレート!$C375,使用レシピ!$E:$E,0)),""),"")</f>
        <v/>
      </c>
      <c r="P375" t="str">
        <f t="shared" si="31"/>
        <v/>
      </c>
      <c r="Q375" t="str">
        <f t="shared" si="32"/>
        <v/>
      </c>
      <c r="R375" t="str">
        <f t="shared" si="33"/>
        <v/>
      </c>
      <c r="S375" t="str">
        <f t="shared" si="34"/>
        <v/>
      </c>
      <c r="T375" s="24" t="str">
        <f t="shared" si="35"/>
        <v/>
      </c>
    </row>
    <row r="376" spans="2:20" x14ac:dyDescent="0.4">
      <c r="B376" s="49" t="str" cm="1">
        <f t="array" ref="B376">IFERROR((INDEX($P$4:$T$1000,MATCH(VALUE(LEFT($A376,LEN($A376)-1)),$A$4:$A$1000,0),VALUE(RIGHT($A376,1)))/ INDEX($O$4:$O$1000,MATCH(VALUE(LEFT($A376,LEN($A376)-1)),$A$4:$A$1000))) * INDEX($B$4:$B$1000,MATCH(VALUE(LEFT($A376,LEN($A376)-1)),$A$4:$A$1000)),"")</f>
        <v/>
      </c>
      <c r="C376" s="2" t="str" cm="1">
        <f t="array" ref="C376">IFERROR(IF(INDEX($D$4:$H$1000,MATCH(VALUE(LEFT($A376,LEN($A376)-1)),$A$4:$A$1000,0),VALUE(RIGHT($A376,1)))= 0,"",INDEX($D$4:$H$1000,MATCH(VALUE(LEFT($A376,LEN($A376)-1)),$A$4:$A$1000,0),VALUE(RIGHT($A376,1)))),"")</f>
        <v/>
      </c>
      <c r="D376" s="23" t="str">
        <f>IFERROR(IF(INDEX(使用レシピ!F:F,MATCH(テンプレート!$C376,使用レシピ!$E:$E,0))&lt;&gt;0,INDEX(使用レシピ!F:F,MATCH(テンプレート!$C376,使用レシピ!$E:$E,0)),""),"")</f>
        <v/>
      </c>
      <c r="E376" t="str">
        <f>IFERROR(IF(INDEX(使用レシピ!G:G,MATCH(テンプレート!$C376,使用レシピ!$E:$E,0))&lt;&gt;0,INDEX(使用レシピ!G:G,MATCH(テンプレート!$C376,使用レシピ!$E:$E,0)),""),"")</f>
        <v/>
      </c>
      <c r="F376" t="str">
        <f>IFERROR(IF(INDEX(使用レシピ!H:H,MATCH(テンプレート!$C376,使用レシピ!$E:$E,0))&lt;&gt;0,INDEX(使用レシピ!H:H,MATCH(テンプレート!$C376,使用レシピ!$E:$E,0)),""),"")</f>
        <v/>
      </c>
      <c r="G376" t="str">
        <f>IFERROR(IF(INDEX(使用レシピ!I:I,MATCH(テンプレート!$C376,使用レシピ!$E:$E,0))&lt;&gt;0,INDEX(使用レシピ!I:I,MATCH(テンプレート!$C376,使用レシピ!$E:$E,0)),""),"")</f>
        <v/>
      </c>
      <c r="H376" s="24" t="str">
        <f>IFERROR(IF(INDEX(使用レシピ!J:J,MATCH(テンプレート!$C376,使用レシピ!$E:$E,0))&lt;&gt;0,INDEX(使用レシピ!J:J,MATCH(テンプレート!$C376,使用レシピ!$E:$E,0)),""),"")</f>
        <v/>
      </c>
      <c r="I376" s="36" t="str">
        <f>IFERROR(IF(INDEX(使用レシピ!P:P,MATCH(テンプレート!$C376,使用レシピ!$E:$E,0))&lt;&gt;0,INDEX(使用レシピ!P:P,MATCH(テンプレート!$C376,使用レシピ!$E:$E,0)),""),"")</f>
        <v/>
      </c>
      <c r="J376" t="str">
        <f>IFERROR(IF(INDEX(使用レシピ!K:K,MATCH(テンプレート!$C376,使用レシピ!$E:$E,0))&lt;&gt;0,INDEX(使用レシピ!K:K,MATCH(テンプレート!$C376,使用レシピ!$E:$E,0)),""),"")</f>
        <v/>
      </c>
      <c r="K376" t="str">
        <f>IFERROR(IF(INDEX(使用レシピ!L:L,MATCH(テンプレート!$C376,使用レシピ!$E:$E,0))&lt;&gt;0,INDEX(使用レシピ!L:L,MATCH(テンプレート!$C376,使用レシピ!$E:$E,0)),""),"")</f>
        <v/>
      </c>
      <c r="L376" t="str">
        <f>IFERROR(IF(INDEX(使用レシピ!M:M,MATCH(テンプレート!$C376,使用レシピ!$E:$E,0))&lt;&gt;0,INDEX(使用レシピ!M:M,MATCH(テンプレート!$C376,使用レシピ!$E:$E,0)),""),"")</f>
        <v/>
      </c>
      <c r="M376" t="str">
        <f>IFERROR(IF(INDEX(使用レシピ!N:N,MATCH(テンプレート!$C376,使用レシピ!$E:$E,0))&lt;&gt;0,INDEX(使用レシピ!N:N,MATCH(テンプレート!$C376,使用レシピ!$E:$E,0)),""),"")</f>
        <v/>
      </c>
      <c r="N376" s="24" t="str">
        <f>IFERROR(IF(INDEX(使用レシピ!O:O,MATCH(テンプレート!$C376,使用レシピ!$E:$E,0))&lt;&gt;0,INDEX(使用レシピ!O:O,MATCH(テンプレート!$C376,使用レシピ!$E:$E,0)),""),"")</f>
        <v/>
      </c>
      <c r="O376" s="36" t="str">
        <f>IFERROR(IF(INDEX(使用レシピ!P:P,MATCH(テンプレート!$C376,使用レシピ!$E:$E,0))&lt;&gt;0,INDEX(使用レシピ!P:P,MATCH(テンプレート!$C376,使用レシピ!$E:$E,0)),""),"")</f>
        <v/>
      </c>
      <c r="P376" t="str">
        <f t="shared" si="31"/>
        <v/>
      </c>
      <c r="Q376" t="str">
        <f t="shared" si="32"/>
        <v/>
      </c>
      <c r="R376" t="str">
        <f t="shared" si="33"/>
        <v/>
      </c>
      <c r="S376" t="str">
        <f t="shared" si="34"/>
        <v/>
      </c>
      <c r="T376" s="24" t="str">
        <f t="shared" si="35"/>
        <v/>
      </c>
    </row>
    <row r="377" spans="2:20" x14ac:dyDescent="0.4">
      <c r="B377" s="49" t="str" cm="1">
        <f t="array" ref="B377">IFERROR((INDEX($P$4:$T$1000,MATCH(VALUE(LEFT($A377,LEN($A377)-1)),$A$4:$A$1000,0),VALUE(RIGHT($A377,1)))/ INDEX($O$4:$O$1000,MATCH(VALUE(LEFT($A377,LEN($A377)-1)),$A$4:$A$1000))) * INDEX($B$4:$B$1000,MATCH(VALUE(LEFT($A377,LEN($A377)-1)),$A$4:$A$1000)),"")</f>
        <v/>
      </c>
      <c r="C377" s="2" t="str" cm="1">
        <f t="array" ref="C377">IFERROR(IF(INDEX($D$4:$H$1000,MATCH(VALUE(LEFT($A377,LEN($A377)-1)),$A$4:$A$1000,0),VALUE(RIGHT($A377,1)))= 0,"",INDEX($D$4:$H$1000,MATCH(VALUE(LEFT($A377,LEN($A377)-1)),$A$4:$A$1000,0),VALUE(RIGHT($A377,1)))),"")</f>
        <v/>
      </c>
      <c r="D377" s="23" t="str">
        <f>IFERROR(IF(INDEX(使用レシピ!F:F,MATCH(テンプレート!$C377,使用レシピ!$E:$E,0))&lt;&gt;0,INDEX(使用レシピ!F:F,MATCH(テンプレート!$C377,使用レシピ!$E:$E,0)),""),"")</f>
        <v/>
      </c>
      <c r="E377" t="str">
        <f>IFERROR(IF(INDEX(使用レシピ!G:G,MATCH(テンプレート!$C377,使用レシピ!$E:$E,0))&lt;&gt;0,INDEX(使用レシピ!G:G,MATCH(テンプレート!$C377,使用レシピ!$E:$E,0)),""),"")</f>
        <v/>
      </c>
      <c r="F377" t="str">
        <f>IFERROR(IF(INDEX(使用レシピ!H:H,MATCH(テンプレート!$C377,使用レシピ!$E:$E,0))&lt;&gt;0,INDEX(使用レシピ!H:H,MATCH(テンプレート!$C377,使用レシピ!$E:$E,0)),""),"")</f>
        <v/>
      </c>
      <c r="G377" t="str">
        <f>IFERROR(IF(INDEX(使用レシピ!I:I,MATCH(テンプレート!$C377,使用レシピ!$E:$E,0))&lt;&gt;0,INDEX(使用レシピ!I:I,MATCH(テンプレート!$C377,使用レシピ!$E:$E,0)),""),"")</f>
        <v/>
      </c>
      <c r="H377" s="24" t="str">
        <f>IFERROR(IF(INDEX(使用レシピ!J:J,MATCH(テンプレート!$C377,使用レシピ!$E:$E,0))&lt;&gt;0,INDEX(使用レシピ!J:J,MATCH(テンプレート!$C377,使用レシピ!$E:$E,0)),""),"")</f>
        <v/>
      </c>
      <c r="I377" s="36" t="str">
        <f>IFERROR(IF(INDEX(使用レシピ!P:P,MATCH(テンプレート!$C377,使用レシピ!$E:$E,0))&lt;&gt;0,INDEX(使用レシピ!P:P,MATCH(テンプレート!$C377,使用レシピ!$E:$E,0)),""),"")</f>
        <v/>
      </c>
      <c r="J377" t="str">
        <f>IFERROR(IF(INDEX(使用レシピ!K:K,MATCH(テンプレート!$C377,使用レシピ!$E:$E,0))&lt;&gt;0,INDEX(使用レシピ!K:K,MATCH(テンプレート!$C377,使用レシピ!$E:$E,0)),""),"")</f>
        <v/>
      </c>
      <c r="K377" t="str">
        <f>IFERROR(IF(INDEX(使用レシピ!L:L,MATCH(テンプレート!$C377,使用レシピ!$E:$E,0))&lt;&gt;0,INDEX(使用レシピ!L:L,MATCH(テンプレート!$C377,使用レシピ!$E:$E,0)),""),"")</f>
        <v/>
      </c>
      <c r="L377" t="str">
        <f>IFERROR(IF(INDEX(使用レシピ!M:M,MATCH(テンプレート!$C377,使用レシピ!$E:$E,0))&lt;&gt;0,INDEX(使用レシピ!M:M,MATCH(テンプレート!$C377,使用レシピ!$E:$E,0)),""),"")</f>
        <v/>
      </c>
      <c r="M377" t="str">
        <f>IFERROR(IF(INDEX(使用レシピ!N:N,MATCH(テンプレート!$C377,使用レシピ!$E:$E,0))&lt;&gt;0,INDEX(使用レシピ!N:N,MATCH(テンプレート!$C377,使用レシピ!$E:$E,0)),""),"")</f>
        <v/>
      </c>
      <c r="N377" s="24" t="str">
        <f>IFERROR(IF(INDEX(使用レシピ!O:O,MATCH(テンプレート!$C377,使用レシピ!$E:$E,0))&lt;&gt;0,INDEX(使用レシピ!O:O,MATCH(テンプレート!$C377,使用レシピ!$E:$E,0)),""),"")</f>
        <v/>
      </c>
      <c r="O377" s="36" t="str">
        <f>IFERROR(IF(INDEX(使用レシピ!P:P,MATCH(テンプレート!$C377,使用レシピ!$E:$E,0))&lt;&gt;0,INDEX(使用レシピ!P:P,MATCH(テンプレート!$C377,使用レシピ!$E:$E,0)),""),"")</f>
        <v/>
      </c>
      <c r="P377" t="str">
        <f t="shared" si="31"/>
        <v/>
      </c>
      <c r="Q377" t="str">
        <f t="shared" si="32"/>
        <v/>
      </c>
      <c r="R377" t="str">
        <f t="shared" si="33"/>
        <v/>
      </c>
      <c r="S377" t="str">
        <f t="shared" si="34"/>
        <v/>
      </c>
      <c r="T377" s="24" t="str">
        <f t="shared" si="35"/>
        <v/>
      </c>
    </row>
    <row r="378" spans="2:20" x14ac:dyDescent="0.4">
      <c r="B378" s="49" t="str" cm="1">
        <f t="array" ref="B378">IFERROR((INDEX($P$4:$T$1000,MATCH(VALUE(LEFT($A378,LEN($A378)-1)),$A$4:$A$1000,0),VALUE(RIGHT($A378,1)))/ INDEX($O$4:$O$1000,MATCH(VALUE(LEFT($A378,LEN($A378)-1)),$A$4:$A$1000))) * INDEX($B$4:$B$1000,MATCH(VALUE(LEFT($A378,LEN($A378)-1)),$A$4:$A$1000)),"")</f>
        <v/>
      </c>
      <c r="C378" s="2" t="str" cm="1">
        <f t="array" ref="C378">IFERROR(IF(INDEX($D$4:$H$1000,MATCH(VALUE(LEFT($A378,LEN($A378)-1)),$A$4:$A$1000,0),VALUE(RIGHT($A378,1)))= 0,"",INDEX($D$4:$H$1000,MATCH(VALUE(LEFT($A378,LEN($A378)-1)),$A$4:$A$1000,0),VALUE(RIGHT($A378,1)))),"")</f>
        <v/>
      </c>
      <c r="D378" s="23" t="str">
        <f>IFERROR(IF(INDEX(使用レシピ!F:F,MATCH(テンプレート!$C378,使用レシピ!$E:$E,0))&lt;&gt;0,INDEX(使用レシピ!F:F,MATCH(テンプレート!$C378,使用レシピ!$E:$E,0)),""),"")</f>
        <v/>
      </c>
      <c r="E378" t="str">
        <f>IFERROR(IF(INDEX(使用レシピ!G:G,MATCH(テンプレート!$C378,使用レシピ!$E:$E,0))&lt;&gt;0,INDEX(使用レシピ!G:G,MATCH(テンプレート!$C378,使用レシピ!$E:$E,0)),""),"")</f>
        <v/>
      </c>
      <c r="F378" t="str">
        <f>IFERROR(IF(INDEX(使用レシピ!H:H,MATCH(テンプレート!$C378,使用レシピ!$E:$E,0))&lt;&gt;0,INDEX(使用レシピ!H:H,MATCH(テンプレート!$C378,使用レシピ!$E:$E,0)),""),"")</f>
        <v/>
      </c>
      <c r="G378" t="str">
        <f>IFERROR(IF(INDEX(使用レシピ!I:I,MATCH(テンプレート!$C378,使用レシピ!$E:$E,0))&lt;&gt;0,INDEX(使用レシピ!I:I,MATCH(テンプレート!$C378,使用レシピ!$E:$E,0)),""),"")</f>
        <v/>
      </c>
      <c r="H378" s="24" t="str">
        <f>IFERROR(IF(INDEX(使用レシピ!J:J,MATCH(テンプレート!$C378,使用レシピ!$E:$E,0))&lt;&gt;0,INDEX(使用レシピ!J:J,MATCH(テンプレート!$C378,使用レシピ!$E:$E,0)),""),"")</f>
        <v/>
      </c>
      <c r="I378" s="36" t="str">
        <f>IFERROR(IF(INDEX(使用レシピ!P:P,MATCH(テンプレート!$C378,使用レシピ!$E:$E,0))&lt;&gt;0,INDEX(使用レシピ!P:P,MATCH(テンプレート!$C378,使用レシピ!$E:$E,0)),""),"")</f>
        <v/>
      </c>
      <c r="J378" t="str">
        <f>IFERROR(IF(INDEX(使用レシピ!K:K,MATCH(テンプレート!$C378,使用レシピ!$E:$E,0))&lt;&gt;0,INDEX(使用レシピ!K:K,MATCH(テンプレート!$C378,使用レシピ!$E:$E,0)),""),"")</f>
        <v/>
      </c>
      <c r="K378" t="str">
        <f>IFERROR(IF(INDEX(使用レシピ!L:L,MATCH(テンプレート!$C378,使用レシピ!$E:$E,0))&lt;&gt;0,INDEX(使用レシピ!L:L,MATCH(テンプレート!$C378,使用レシピ!$E:$E,0)),""),"")</f>
        <v/>
      </c>
      <c r="L378" t="str">
        <f>IFERROR(IF(INDEX(使用レシピ!M:M,MATCH(テンプレート!$C378,使用レシピ!$E:$E,0))&lt;&gt;0,INDEX(使用レシピ!M:M,MATCH(テンプレート!$C378,使用レシピ!$E:$E,0)),""),"")</f>
        <v/>
      </c>
      <c r="M378" t="str">
        <f>IFERROR(IF(INDEX(使用レシピ!N:N,MATCH(テンプレート!$C378,使用レシピ!$E:$E,0))&lt;&gt;0,INDEX(使用レシピ!N:N,MATCH(テンプレート!$C378,使用レシピ!$E:$E,0)),""),"")</f>
        <v/>
      </c>
      <c r="N378" s="24" t="str">
        <f>IFERROR(IF(INDEX(使用レシピ!O:O,MATCH(テンプレート!$C378,使用レシピ!$E:$E,0))&lt;&gt;0,INDEX(使用レシピ!O:O,MATCH(テンプレート!$C378,使用レシピ!$E:$E,0)),""),"")</f>
        <v/>
      </c>
      <c r="O378" s="36" t="str">
        <f>IFERROR(IF(INDEX(使用レシピ!P:P,MATCH(テンプレート!$C378,使用レシピ!$E:$E,0))&lt;&gt;0,INDEX(使用レシピ!P:P,MATCH(テンプレート!$C378,使用レシピ!$E:$E,0)),""),"")</f>
        <v/>
      </c>
      <c r="P378" t="str">
        <f t="shared" si="31"/>
        <v/>
      </c>
      <c r="Q378" t="str">
        <f t="shared" si="32"/>
        <v/>
      </c>
      <c r="R378" t="str">
        <f t="shared" si="33"/>
        <v/>
      </c>
      <c r="S378" t="str">
        <f t="shared" si="34"/>
        <v/>
      </c>
      <c r="T378" s="24" t="str">
        <f t="shared" si="35"/>
        <v/>
      </c>
    </row>
    <row r="379" spans="2:20" x14ac:dyDescent="0.4">
      <c r="B379" s="49" t="str" cm="1">
        <f t="array" ref="B379">IFERROR((INDEX($P$4:$T$1000,MATCH(VALUE(LEFT($A379,LEN($A379)-1)),$A$4:$A$1000,0),VALUE(RIGHT($A379,1)))/ INDEX($O$4:$O$1000,MATCH(VALUE(LEFT($A379,LEN($A379)-1)),$A$4:$A$1000))) * INDEX($B$4:$B$1000,MATCH(VALUE(LEFT($A379,LEN($A379)-1)),$A$4:$A$1000)),"")</f>
        <v/>
      </c>
      <c r="C379" s="2" t="str" cm="1">
        <f t="array" ref="C379">IFERROR(IF(INDEX($D$4:$H$1000,MATCH(VALUE(LEFT($A379,LEN($A379)-1)),$A$4:$A$1000,0),VALUE(RIGHT($A379,1)))= 0,"",INDEX($D$4:$H$1000,MATCH(VALUE(LEFT($A379,LEN($A379)-1)),$A$4:$A$1000,0),VALUE(RIGHT($A379,1)))),"")</f>
        <v/>
      </c>
      <c r="D379" s="23" t="str">
        <f>IFERROR(IF(INDEX(使用レシピ!F:F,MATCH(テンプレート!$C379,使用レシピ!$E:$E,0))&lt;&gt;0,INDEX(使用レシピ!F:F,MATCH(テンプレート!$C379,使用レシピ!$E:$E,0)),""),"")</f>
        <v/>
      </c>
      <c r="E379" t="str">
        <f>IFERROR(IF(INDEX(使用レシピ!G:G,MATCH(テンプレート!$C379,使用レシピ!$E:$E,0))&lt;&gt;0,INDEX(使用レシピ!G:G,MATCH(テンプレート!$C379,使用レシピ!$E:$E,0)),""),"")</f>
        <v/>
      </c>
      <c r="F379" t="str">
        <f>IFERROR(IF(INDEX(使用レシピ!H:H,MATCH(テンプレート!$C379,使用レシピ!$E:$E,0))&lt;&gt;0,INDEX(使用レシピ!H:H,MATCH(テンプレート!$C379,使用レシピ!$E:$E,0)),""),"")</f>
        <v/>
      </c>
      <c r="G379" t="str">
        <f>IFERROR(IF(INDEX(使用レシピ!I:I,MATCH(テンプレート!$C379,使用レシピ!$E:$E,0))&lt;&gt;0,INDEX(使用レシピ!I:I,MATCH(テンプレート!$C379,使用レシピ!$E:$E,0)),""),"")</f>
        <v/>
      </c>
      <c r="H379" s="24" t="str">
        <f>IFERROR(IF(INDEX(使用レシピ!J:J,MATCH(テンプレート!$C379,使用レシピ!$E:$E,0))&lt;&gt;0,INDEX(使用レシピ!J:J,MATCH(テンプレート!$C379,使用レシピ!$E:$E,0)),""),"")</f>
        <v/>
      </c>
      <c r="I379" s="36" t="str">
        <f>IFERROR(IF(INDEX(使用レシピ!P:P,MATCH(テンプレート!$C379,使用レシピ!$E:$E,0))&lt;&gt;0,INDEX(使用レシピ!P:P,MATCH(テンプレート!$C379,使用レシピ!$E:$E,0)),""),"")</f>
        <v/>
      </c>
      <c r="J379" t="str">
        <f>IFERROR(IF(INDEX(使用レシピ!K:K,MATCH(テンプレート!$C379,使用レシピ!$E:$E,0))&lt;&gt;0,INDEX(使用レシピ!K:K,MATCH(テンプレート!$C379,使用レシピ!$E:$E,0)),""),"")</f>
        <v/>
      </c>
      <c r="K379" t="str">
        <f>IFERROR(IF(INDEX(使用レシピ!L:L,MATCH(テンプレート!$C379,使用レシピ!$E:$E,0))&lt;&gt;0,INDEX(使用レシピ!L:L,MATCH(テンプレート!$C379,使用レシピ!$E:$E,0)),""),"")</f>
        <v/>
      </c>
      <c r="L379" t="str">
        <f>IFERROR(IF(INDEX(使用レシピ!M:M,MATCH(テンプレート!$C379,使用レシピ!$E:$E,0))&lt;&gt;0,INDEX(使用レシピ!M:M,MATCH(テンプレート!$C379,使用レシピ!$E:$E,0)),""),"")</f>
        <v/>
      </c>
      <c r="M379" t="str">
        <f>IFERROR(IF(INDEX(使用レシピ!N:N,MATCH(テンプレート!$C379,使用レシピ!$E:$E,0))&lt;&gt;0,INDEX(使用レシピ!N:N,MATCH(テンプレート!$C379,使用レシピ!$E:$E,0)),""),"")</f>
        <v/>
      </c>
      <c r="N379" s="24" t="str">
        <f>IFERROR(IF(INDEX(使用レシピ!O:O,MATCH(テンプレート!$C379,使用レシピ!$E:$E,0))&lt;&gt;0,INDEX(使用レシピ!O:O,MATCH(テンプレート!$C379,使用レシピ!$E:$E,0)),""),"")</f>
        <v/>
      </c>
      <c r="O379" s="36" t="str">
        <f>IFERROR(IF(INDEX(使用レシピ!P:P,MATCH(テンプレート!$C379,使用レシピ!$E:$E,0))&lt;&gt;0,INDEX(使用レシピ!P:P,MATCH(テンプレート!$C379,使用レシピ!$E:$E,0)),""),"")</f>
        <v/>
      </c>
      <c r="P379" t="str">
        <f t="shared" si="31"/>
        <v/>
      </c>
      <c r="Q379" t="str">
        <f t="shared" si="32"/>
        <v/>
      </c>
      <c r="R379" t="str">
        <f t="shared" si="33"/>
        <v/>
      </c>
      <c r="S379" t="str">
        <f t="shared" si="34"/>
        <v/>
      </c>
      <c r="T379" s="24" t="str">
        <f t="shared" si="35"/>
        <v/>
      </c>
    </row>
    <row r="380" spans="2:20" x14ac:dyDescent="0.4">
      <c r="B380" s="49" t="str" cm="1">
        <f t="array" ref="B380">IFERROR((INDEX($P$4:$T$1000,MATCH(VALUE(LEFT($A380,LEN($A380)-1)),$A$4:$A$1000,0),VALUE(RIGHT($A380,1)))/ INDEX($O$4:$O$1000,MATCH(VALUE(LEFT($A380,LEN($A380)-1)),$A$4:$A$1000))) * INDEX($B$4:$B$1000,MATCH(VALUE(LEFT($A380,LEN($A380)-1)),$A$4:$A$1000)),"")</f>
        <v/>
      </c>
      <c r="C380" s="2" t="str" cm="1">
        <f t="array" ref="C380">IFERROR(IF(INDEX($D$4:$H$1000,MATCH(VALUE(LEFT($A380,LEN($A380)-1)),$A$4:$A$1000,0),VALUE(RIGHT($A380,1)))= 0,"",INDEX($D$4:$H$1000,MATCH(VALUE(LEFT($A380,LEN($A380)-1)),$A$4:$A$1000,0),VALUE(RIGHT($A380,1)))),"")</f>
        <v/>
      </c>
      <c r="D380" s="23" t="str">
        <f>IFERROR(IF(INDEX(使用レシピ!F:F,MATCH(テンプレート!$C380,使用レシピ!$E:$E,0))&lt;&gt;0,INDEX(使用レシピ!F:F,MATCH(テンプレート!$C380,使用レシピ!$E:$E,0)),""),"")</f>
        <v/>
      </c>
      <c r="E380" t="str">
        <f>IFERROR(IF(INDEX(使用レシピ!G:G,MATCH(テンプレート!$C380,使用レシピ!$E:$E,0))&lt;&gt;0,INDEX(使用レシピ!G:G,MATCH(テンプレート!$C380,使用レシピ!$E:$E,0)),""),"")</f>
        <v/>
      </c>
      <c r="F380" t="str">
        <f>IFERROR(IF(INDEX(使用レシピ!H:H,MATCH(テンプレート!$C380,使用レシピ!$E:$E,0))&lt;&gt;0,INDEX(使用レシピ!H:H,MATCH(テンプレート!$C380,使用レシピ!$E:$E,0)),""),"")</f>
        <v/>
      </c>
      <c r="G380" t="str">
        <f>IFERROR(IF(INDEX(使用レシピ!I:I,MATCH(テンプレート!$C380,使用レシピ!$E:$E,0))&lt;&gt;0,INDEX(使用レシピ!I:I,MATCH(テンプレート!$C380,使用レシピ!$E:$E,0)),""),"")</f>
        <v/>
      </c>
      <c r="H380" s="24" t="str">
        <f>IFERROR(IF(INDEX(使用レシピ!J:J,MATCH(テンプレート!$C380,使用レシピ!$E:$E,0))&lt;&gt;0,INDEX(使用レシピ!J:J,MATCH(テンプレート!$C380,使用レシピ!$E:$E,0)),""),"")</f>
        <v/>
      </c>
      <c r="I380" s="36" t="str">
        <f>IFERROR(IF(INDEX(使用レシピ!P:P,MATCH(テンプレート!$C380,使用レシピ!$E:$E,0))&lt;&gt;0,INDEX(使用レシピ!P:P,MATCH(テンプレート!$C380,使用レシピ!$E:$E,0)),""),"")</f>
        <v/>
      </c>
      <c r="J380" t="str">
        <f>IFERROR(IF(INDEX(使用レシピ!K:K,MATCH(テンプレート!$C380,使用レシピ!$E:$E,0))&lt;&gt;0,INDEX(使用レシピ!K:K,MATCH(テンプレート!$C380,使用レシピ!$E:$E,0)),""),"")</f>
        <v/>
      </c>
      <c r="K380" t="str">
        <f>IFERROR(IF(INDEX(使用レシピ!L:L,MATCH(テンプレート!$C380,使用レシピ!$E:$E,0))&lt;&gt;0,INDEX(使用レシピ!L:L,MATCH(テンプレート!$C380,使用レシピ!$E:$E,0)),""),"")</f>
        <v/>
      </c>
      <c r="L380" t="str">
        <f>IFERROR(IF(INDEX(使用レシピ!M:M,MATCH(テンプレート!$C380,使用レシピ!$E:$E,0))&lt;&gt;0,INDEX(使用レシピ!M:M,MATCH(テンプレート!$C380,使用レシピ!$E:$E,0)),""),"")</f>
        <v/>
      </c>
      <c r="M380" t="str">
        <f>IFERROR(IF(INDEX(使用レシピ!N:N,MATCH(テンプレート!$C380,使用レシピ!$E:$E,0))&lt;&gt;0,INDEX(使用レシピ!N:N,MATCH(テンプレート!$C380,使用レシピ!$E:$E,0)),""),"")</f>
        <v/>
      </c>
      <c r="N380" s="24" t="str">
        <f>IFERROR(IF(INDEX(使用レシピ!O:O,MATCH(テンプレート!$C380,使用レシピ!$E:$E,0))&lt;&gt;0,INDEX(使用レシピ!O:O,MATCH(テンプレート!$C380,使用レシピ!$E:$E,0)),""),"")</f>
        <v/>
      </c>
      <c r="O380" s="36" t="str">
        <f>IFERROR(IF(INDEX(使用レシピ!P:P,MATCH(テンプレート!$C380,使用レシピ!$E:$E,0))&lt;&gt;0,INDEX(使用レシピ!P:P,MATCH(テンプレート!$C380,使用レシピ!$E:$E,0)),""),"")</f>
        <v/>
      </c>
      <c r="P380" t="str">
        <f t="shared" si="31"/>
        <v/>
      </c>
      <c r="Q380" t="str">
        <f t="shared" si="32"/>
        <v/>
      </c>
      <c r="R380" t="str">
        <f t="shared" si="33"/>
        <v/>
      </c>
      <c r="S380" t="str">
        <f t="shared" si="34"/>
        <v/>
      </c>
      <c r="T380" s="24" t="str">
        <f t="shared" si="35"/>
        <v/>
      </c>
    </row>
    <row r="381" spans="2:20" x14ac:dyDescent="0.4">
      <c r="B381" s="49" t="str" cm="1">
        <f t="array" ref="B381">IFERROR((INDEX($P$4:$T$1000,MATCH(VALUE(LEFT($A381,LEN($A381)-1)),$A$4:$A$1000,0),VALUE(RIGHT($A381,1)))/ INDEX($O$4:$O$1000,MATCH(VALUE(LEFT($A381,LEN($A381)-1)),$A$4:$A$1000))) * INDEX($B$4:$B$1000,MATCH(VALUE(LEFT($A381,LEN($A381)-1)),$A$4:$A$1000)),"")</f>
        <v/>
      </c>
      <c r="C381" s="2" t="str" cm="1">
        <f t="array" ref="C381">IFERROR(IF(INDEX($D$4:$H$1000,MATCH(VALUE(LEFT($A381,LEN($A381)-1)),$A$4:$A$1000,0),VALUE(RIGHT($A381,1)))= 0,"",INDEX($D$4:$H$1000,MATCH(VALUE(LEFT($A381,LEN($A381)-1)),$A$4:$A$1000,0),VALUE(RIGHT($A381,1)))),"")</f>
        <v/>
      </c>
      <c r="D381" s="23" t="str">
        <f>IFERROR(IF(INDEX(使用レシピ!F:F,MATCH(テンプレート!$C381,使用レシピ!$E:$E,0))&lt;&gt;0,INDEX(使用レシピ!F:F,MATCH(テンプレート!$C381,使用レシピ!$E:$E,0)),""),"")</f>
        <v/>
      </c>
      <c r="E381" t="str">
        <f>IFERROR(IF(INDEX(使用レシピ!G:G,MATCH(テンプレート!$C381,使用レシピ!$E:$E,0))&lt;&gt;0,INDEX(使用レシピ!G:G,MATCH(テンプレート!$C381,使用レシピ!$E:$E,0)),""),"")</f>
        <v/>
      </c>
      <c r="F381" t="str">
        <f>IFERROR(IF(INDEX(使用レシピ!H:H,MATCH(テンプレート!$C381,使用レシピ!$E:$E,0))&lt;&gt;0,INDEX(使用レシピ!H:H,MATCH(テンプレート!$C381,使用レシピ!$E:$E,0)),""),"")</f>
        <v/>
      </c>
      <c r="G381" t="str">
        <f>IFERROR(IF(INDEX(使用レシピ!I:I,MATCH(テンプレート!$C381,使用レシピ!$E:$E,0))&lt;&gt;0,INDEX(使用レシピ!I:I,MATCH(テンプレート!$C381,使用レシピ!$E:$E,0)),""),"")</f>
        <v/>
      </c>
      <c r="H381" s="24" t="str">
        <f>IFERROR(IF(INDEX(使用レシピ!J:J,MATCH(テンプレート!$C381,使用レシピ!$E:$E,0))&lt;&gt;0,INDEX(使用レシピ!J:J,MATCH(テンプレート!$C381,使用レシピ!$E:$E,0)),""),"")</f>
        <v/>
      </c>
      <c r="I381" s="36" t="str">
        <f>IFERROR(IF(INDEX(使用レシピ!P:P,MATCH(テンプレート!$C381,使用レシピ!$E:$E,0))&lt;&gt;0,INDEX(使用レシピ!P:P,MATCH(テンプレート!$C381,使用レシピ!$E:$E,0)),""),"")</f>
        <v/>
      </c>
      <c r="J381" t="str">
        <f>IFERROR(IF(INDEX(使用レシピ!K:K,MATCH(テンプレート!$C381,使用レシピ!$E:$E,0))&lt;&gt;0,INDEX(使用レシピ!K:K,MATCH(テンプレート!$C381,使用レシピ!$E:$E,0)),""),"")</f>
        <v/>
      </c>
      <c r="K381" t="str">
        <f>IFERROR(IF(INDEX(使用レシピ!L:L,MATCH(テンプレート!$C381,使用レシピ!$E:$E,0))&lt;&gt;0,INDEX(使用レシピ!L:L,MATCH(テンプレート!$C381,使用レシピ!$E:$E,0)),""),"")</f>
        <v/>
      </c>
      <c r="L381" t="str">
        <f>IFERROR(IF(INDEX(使用レシピ!M:M,MATCH(テンプレート!$C381,使用レシピ!$E:$E,0))&lt;&gt;0,INDEX(使用レシピ!M:M,MATCH(テンプレート!$C381,使用レシピ!$E:$E,0)),""),"")</f>
        <v/>
      </c>
      <c r="M381" t="str">
        <f>IFERROR(IF(INDEX(使用レシピ!N:N,MATCH(テンプレート!$C381,使用レシピ!$E:$E,0))&lt;&gt;0,INDEX(使用レシピ!N:N,MATCH(テンプレート!$C381,使用レシピ!$E:$E,0)),""),"")</f>
        <v/>
      </c>
      <c r="N381" s="24" t="str">
        <f>IFERROR(IF(INDEX(使用レシピ!O:O,MATCH(テンプレート!$C381,使用レシピ!$E:$E,0))&lt;&gt;0,INDEX(使用レシピ!O:O,MATCH(テンプレート!$C381,使用レシピ!$E:$E,0)),""),"")</f>
        <v/>
      </c>
      <c r="O381" s="36" t="str">
        <f>IFERROR(IF(INDEX(使用レシピ!P:P,MATCH(テンプレート!$C381,使用レシピ!$E:$E,0))&lt;&gt;0,INDEX(使用レシピ!P:P,MATCH(テンプレート!$C381,使用レシピ!$E:$E,0)),""),"")</f>
        <v/>
      </c>
      <c r="P381" t="str">
        <f t="shared" si="31"/>
        <v/>
      </c>
      <c r="Q381" t="str">
        <f t="shared" si="32"/>
        <v/>
      </c>
      <c r="R381" t="str">
        <f t="shared" si="33"/>
        <v/>
      </c>
      <c r="S381" t="str">
        <f t="shared" si="34"/>
        <v/>
      </c>
      <c r="T381" s="24" t="str">
        <f t="shared" si="35"/>
        <v/>
      </c>
    </row>
    <row r="382" spans="2:20" x14ac:dyDescent="0.4">
      <c r="B382" s="49" t="str" cm="1">
        <f t="array" ref="B382">IFERROR((INDEX($P$4:$T$1000,MATCH(VALUE(LEFT($A382,LEN($A382)-1)),$A$4:$A$1000,0),VALUE(RIGHT($A382,1)))/ INDEX($O$4:$O$1000,MATCH(VALUE(LEFT($A382,LEN($A382)-1)),$A$4:$A$1000))) * INDEX($B$4:$B$1000,MATCH(VALUE(LEFT($A382,LEN($A382)-1)),$A$4:$A$1000)),"")</f>
        <v/>
      </c>
      <c r="C382" s="2" t="str" cm="1">
        <f t="array" ref="C382">IFERROR(IF(INDEX($D$4:$H$1000,MATCH(VALUE(LEFT($A382,LEN($A382)-1)),$A$4:$A$1000,0),VALUE(RIGHT($A382,1)))= 0,"",INDEX($D$4:$H$1000,MATCH(VALUE(LEFT($A382,LEN($A382)-1)),$A$4:$A$1000,0),VALUE(RIGHT($A382,1)))),"")</f>
        <v/>
      </c>
      <c r="D382" s="23" t="str">
        <f>IFERROR(IF(INDEX(使用レシピ!F:F,MATCH(テンプレート!$C382,使用レシピ!$E:$E,0))&lt;&gt;0,INDEX(使用レシピ!F:F,MATCH(テンプレート!$C382,使用レシピ!$E:$E,0)),""),"")</f>
        <v/>
      </c>
      <c r="E382" t="str">
        <f>IFERROR(IF(INDEX(使用レシピ!G:G,MATCH(テンプレート!$C382,使用レシピ!$E:$E,0))&lt;&gt;0,INDEX(使用レシピ!G:G,MATCH(テンプレート!$C382,使用レシピ!$E:$E,0)),""),"")</f>
        <v/>
      </c>
      <c r="F382" t="str">
        <f>IFERROR(IF(INDEX(使用レシピ!H:H,MATCH(テンプレート!$C382,使用レシピ!$E:$E,0))&lt;&gt;0,INDEX(使用レシピ!H:H,MATCH(テンプレート!$C382,使用レシピ!$E:$E,0)),""),"")</f>
        <v/>
      </c>
      <c r="G382" t="str">
        <f>IFERROR(IF(INDEX(使用レシピ!I:I,MATCH(テンプレート!$C382,使用レシピ!$E:$E,0))&lt;&gt;0,INDEX(使用レシピ!I:I,MATCH(テンプレート!$C382,使用レシピ!$E:$E,0)),""),"")</f>
        <v/>
      </c>
      <c r="H382" s="24" t="str">
        <f>IFERROR(IF(INDEX(使用レシピ!J:J,MATCH(テンプレート!$C382,使用レシピ!$E:$E,0))&lt;&gt;0,INDEX(使用レシピ!J:J,MATCH(テンプレート!$C382,使用レシピ!$E:$E,0)),""),"")</f>
        <v/>
      </c>
      <c r="I382" s="36" t="str">
        <f>IFERROR(IF(INDEX(使用レシピ!P:P,MATCH(テンプレート!$C382,使用レシピ!$E:$E,0))&lt;&gt;0,INDEX(使用レシピ!P:P,MATCH(テンプレート!$C382,使用レシピ!$E:$E,0)),""),"")</f>
        <v/>
      </c>
      <c r="J382" t="str">
        <f>IFERROR(IF(INDEX(使用レシピ!K:K,MATCH(テンプレート!$C382,使用レシピ!$E:$E,0))&lt;&gt;0,INDEX(使用レシピ!K:K,MATCH(テンプレート!$C382,使用レシピ!$E:$E,0)),""),"")</f>
        <v/>
      </c>
      <c r="K382" t="str">
        <f>IFERROR(IF(INDEX(使用レシピ!L:L,MATCH(テンプレート!$C382,使用レシピ!$E:$E,0))&lt;&gt;0,INDEX(使用レシピ!L:L,MATCH(テンプレート!$C382,使用レシピ!$E:$E,0)),""),"")</f>
        <v/>
      </c>
      <c r="L382" t="str">
        <f>IFERROR(IF(INDEX(使用レシピ!M:M,MATCH(テンプレート!$C382,使用レシピ!$E:$E,0))&lt;&gt;0,INDEX(使用レシピ!M:M,MATCH(テンプレート!$C382,使用レシピ!$E:$E,0)),""),"")</f>
        <v/>
      </c>
      <c r="M382" t="str">
        <f>IFERROR(IF(INDEX(使用レシピ!N:N,MATCH(テンプレート!$C382,使用レシピ!$E:$E,0))&lt;&gt;0,INDEX(使用レシピ!N:N,MATCH(テンプレート!$C382,使用レシピ!$E:$E,0)),""),"")</f>
        <v/>
      </c>
      <c r="N382" s="24" t="str">
        <f>IFERROR(IF(INDEX(使用レシピ!O:O,MATCH(テンプレート!$C382,使用レシピ!$E:$E,0))&lt;&gt;0,INDEX(使用レシピ!O:O,MATCH(テンプレート!$C382,使用レシピ!$E:$E,0)),""),"")</f>
        <v/>
      </c>
      <c r="O382" s="36" t="str">
        <f>IFERROR(IF(INDEX(使用レシピ!P:P,MATCH(テンプレート!$C382,使用レシピ!$E:$E,0))&lt;&gt;0,INDEX(使用レシピ!P:P,MATCH(テンプレート!$C382,使用レシピ!$E:$E,0)),""),"")</f>
        <v/>
      </c>
      <c r="P382" t="str">
        <f t="shared" si="31"/>
        <v/>
      </c>
      <c r="Q382" t="str">
        <f t="shared" si="32"/>
        <v/>
      </c>
      <c r="R382" t="str">
        <f t="shared" si="33"/>
        <v/>
      </c>
      <c r="S382" t="str">
        <f t="shared" si="34"/>
        <v/>
      </c>
      <c r="T382" s="24" t="str">
        <f t="shared" si="35"/>
        <v/>
      </c>
    </row>
    <row r="383" spans="2:20" x14ac:dyDescent="0.4">
      <c r="B383" s="49" t="str" cm="1">
        <f t="array" ref="B383">IFERROR((INDEX($P$4:$T$1000,MATCH(VALUE(LEFT($A383,LEN($A383)-1)),$A$4:$A$1000,0),VALUE(RIGHT($A383,1)))/ INDEX($O$4:$O$1000,MATCH(VALUE(LEFT($A383,LEN($A383)-1)),$A$4:$A$1000))) * INDEX($B$4:$B$1000,MATCH(VALUE(LEFT($A383,LEN($A383)-1)),$A$4:$A$1000)),"")</f>
        <v/>
      </c>
      <c r="C383" s="2" t="str" cm="1">
        <f t="array" ref="C383">IFERROR(IF(INDEX($D$4:$H$1000,MATCH(VALUE(LEFT($A383,LEN($A383)-1)),$A$4:$A$1000,0),VALUE(RIGHT($A383,1)))= 0,"",INDEX($D$4:$H$1000,MATCH(VALUE(LEFT($A383,LEN($A383)-1)),$A$4:$A$1000,0),VALUE(RIGHT($A383,1)))),"")</f>
        <v/>
      </c>
      <c r="D383" s="23" t="str">
        <f>IFERROR(IF(INDEX(使用レシピ!F:F,MATCH(テンプレート!$C383,使用レシピ!$E:$E,0))&lt;&gt;0,INDEX(使用レシピ!F:F,MATCH(テンプレート!$C383,使用レシピ!$E:$E,0)),""),"")</f>
        <v/>
      </c>
      <c r="E383" t="str">
        <f>IFERROR(IF(INDEX(使用レシピ!G:G,MATCH(テンプレート!$C383,使用レシピ!$E:$E,0))&lt;&gt;0,INDEX(使用レシピ!G:G,MATCH(テンプレート!$C383,使用レシピ!$E:$E,0)),""),"")</f>
        <v/>
      </c>
      <c r="F383" t="str">
        <f>IFERROR(IF(INDEX(使用レシピ!H:H,MATCH(テンプレート!$C383,使用レシピ!$E:$E,0))&lt;&gt;0,INDEX(使用レシピ!H:H,MATCH(テンプレート!$C383,使用レシピ!$E:$E,0)),""),"")</f>
        <v/>
      </c>
      <c r="G383" t="str">
        <f>IFERROR(IF(INDEX(使用レシピ!I:I,MATCH(テンプレート!$C383,使用レシピ!$E:$E,0))&lt;&gt;0,INDEX(使用レシピ!I:I,MATCH(テンプレート!$C383,使用レシピ!$E:$E,0)),""),"")</f>
        <v/>
      </c>
      <c r="H383" s="24" t="str">
        <f>IFERROR(IF(INDEX(使用レシピ!J:J,MATCH(テンプレート!$C383,使用レシピ!$E:$E,0))&lt;&gt;0,INDEX(使用レシピ!J:J,MATCH(テンプレート!$C383,使用レシピ!$E:$E,0)),""),"")</f>
        <v/>
      </c>
      <c r="I383" s="36" t="str">
        <f>IFERROR(IF(INDEX(使用レシピ!P:P,MATCH(テンプレート!$C383,使用レシピ!$E:$E,0))&lt;&gt;0,INDEX(使用レシピ!P:P,MATCH(テンプレート!$C383,使用レシピ!$E:$E,0)),""),"")</f>
        <v/>
      </c>
      <c r="J383" t="str">
        <f>IFERROR(IF(INDEX(使用レシピ!K:K,MATCH(テンプレート!$C383,使用レシピ!$E:$E,0))&lt;&gt;0,INDEX(使用レシピ!K:K,MATCH(テンプレート!$C383,使用レシピ!$E:$E,0)),""),"")</f>
        <v/>
      </c>
      <c r="K383" t="str">
        <f>IFERROR(IF(INDEX(使用レシピ!L:L,MATCH(テンプレート!$C383,使用レシピ!$E:$E,0))&lt;&gt;0,INDEX(使用レシピ!L:L,MATCH(テンプレート!$C383,使用レシピ!$E:$E,0)),""),"")</f>
        <v/>
      </c>
      <c r="L383" t="str">
        <f>IFERROR(IF(INDEX(使用レシピ!M:M,MATCH(テンプレート!$C383,使用レシピ!$E:$E,0))&lt;&gt;0,INDEX(使用レシピ!M:M,MATCH(テンプレート!$C383,使用レシピ!$E:$E,0)),""),"")</f>
        <v/>
      </c>
      <c r="M383" t="str">
        <f>IFERROR(IF(INDEX(使用レシピ!N:N,MATCH(テンプレート!$C383,使用レシピ!$E:$E,0))&lt;&gt;0,INDEX(使用レシピ!N:N,MATCH(テンプレート!$C383,使用レシピ!$E:$E,0)),""),"")</f>
        <v/>
      </c>
      <c r="N383" s="24" t="str">
        <f>IFERROR(IF(INDEX(使用レシピ!O:O,MATCH(テンプレート!$C383,使用レシピ!$E:$E,0))&lt;&gt;0,INDEX(使用レシピ!O:O,MATCH(テンプレート!$C383,使用レシピ!$E:$E,0)),""),"")</f>
        <v/>
      </c>
      <c r="O383" s="36" t="str">
        <f>IFERROR(IF(INDEX(使用レシピ!P:P,MATCH(テンプレート!$C383,使用レシピ!$E:$E,0))&lt;&gt;0,INDEX(使用レシピ!P:P,MATCH(テンプレート!$C383,使用レシピ!$E:$E,0)),""),"")</f>
        <v/>
      </c>
      <c r="P383" t="str">
        <f t="shared" si="31"/>
        <v/>
      </c>
      <c r="Q383" t="str">
        <f t="shared" si="32"/>
        <v/>
      </c>
      <c r="R383" t="str">
        <f t="shared" si="33"/>
        <v/>
      </c>
      <c r="S383" t="str">
        <f t="shared" si="34"/>
        <v/>
      </c>
      <c r="T383" s="24" t="str">
        <f t="shared" si="35"/>
        <v/>
      </c>
    </row>
    <row r="384" spans="2:20" x14ac:dyDescent="0.4">
      <c r="B384" s="49" t="str" cm="1">
        <f t="array" ref="B384">IFERROR((INDEX($P$4:$T$1000,MATCH(VALUE(LEFT($A384,LEN($A384)-1)),$A$4:$A$1000,0),VALUE(RIGHT($A384,1)))/ INDEX($O$4:$O$1000,MATCH(VALUE(LEFT($A384,LEN($A384)-1)),$A$4:$A$1000))) * INDEX($B$4:$B$1000,MATCH(VALUE(LEFT($A384,LEN($A384)-1)),$A$4:$A$1000)),"")</f>
        <v/>
      </c>
      <c r="C384" s="2" t="str" cm="1">
        <f t="array" ref="C384">IFERROR(IF(INDEX($D$4:$H$1000,MATCH(VALUE(LEFT($A384,LEN($A384)-1)),$A$4:$A$1000,0),VALUE(RIGHT($A384,1)))= 0,"",INDEX($D$4:$H$1000,MATCH(VALUE(LEFT($A384,LEN($A384)-1)),$A$4:$A$1000,0),VALUE(RIGHT($A384,1)))),"")</f>
        <v/>
      </c>
      <c r="D384" s="23" t="str">
        <f>IFERROR(IF(INDEX(使用レシピ!F:F,MATCH(テンプレート!$C384,使用レシピ!$E:$E,0))&lt;&gt;0,INDEX(使用レシピ!F:F,MATCH(テンプレート!$C384,使用レシピ!$E:$E,0)),""),"")</f>
        <v/>
      </c>
      <c r="E384" t="str">
        <f>IFERROR(IF(INDEX(使用レシピ!G:G,MATCH(テンプレート!$C384,使用レシピ!$E:$E,0))&lt;&gt;0,INDEX(使用レシピ!G:G,MATCH(テンプレート!$C384,使用レシピ!$E:$E,0)),""),"")</f>
        <v/>
      </c>
      <c r="F384" t="str">
        <f>IFERROR(IF(INDEX(使用レシピ!H:H,MATCH(テンプレート!$C384,使用レシピ!$E:$E,0))&lt;&gt;0,INDEX(使用レシピ!H:H,MATCH(テンプレート!$C384,使用レシピ!$E:$E,0)),""),"")</f>
        <v/>
      </c>
      <c r="G384" t="str">
        <f>IFERROR(IF(INDEX(使用レシピ!I:I,MATCH(テンプレート!$C384,使用レシピ!$E:$E,0))&lt;&gt;0,INDEX(使用レシピ!I:I,MATCH(テンプレート!$C384,使用レシピ!$E:$E,0)),""),"")</f>
        <v/>
      </c>
      <c r="H384" s="24" t="str">
        <f>IFERROR(IF(INDEX(使用レシピ!J:J,MATCH(テンプレート!$C384,使用レシピ!$E:$E,0))&lt;&gt;0,INDEX(使用レシピ!J:J,MATCH(テンプレート!$C384,使用レシピ!$E:$E,0)),""),"")</f>
        <v/>
      </c>
      <c r="I384" s="36" t="str">
        <f>IFERROR(IF(INDEX(使用レシピ!P:P,MATCH(テンプレート!$C384,使用レシピ!$E:$E,0))&lt;&gt;0,INDEX(使用レシピ!P:P,MATCH(テンプレート!$C384,使用レシピ!$E:$E,0)),""),"")</f>
        <v/>
      </c>
      <c r="J384" t="str">
        <f>IFERROR(IF(INDEX(使用レシピ!K:K,MATCH(テンプレート!$C384,使用レシピ!$E:$E,0))&lt;&gt;0,INDEX(使用レシピ!K:K,MATCH(テンプレート!$C384,使用レシピ!$E:$E,0)),""),"")</f>
        <v/>
      </c>
      <c r="K384" t="str">
        <f>IFERROR(IF(INDEX(使用レシピ!L:L,MATCH(テンプレート!$C384,使用レシピ!$E:$E,0))&lt;&gt;0,INDEX(使用レシピ!L:L,MATCH(テンプレート!$C384,使用レシピ!$E:$E,0)),""),"")</f>
        <v/>
      </c>
      <c r="L384" t="str">
        <f>IFERROR(IF(INDEX(使用レシピ!M:M,MATCH(テンプレート!$C384,使用レシピ!$E:$E,0))&lt;&gt;0,INDEX(使用レシピ!M:M,MATCH(テンプレート!$C384,使用レシピ!$E:$E,0)),""),"")</f>
        <v/>
      </c>
      <c r="M384" t="str">
        <f>IFERROR(IF(INDEX(使用レシピ!N:N,MATCH(テンプレート!$C384,使用レシピ!$E:$E,0))&lt;&gt;0,INDEX(使用レシピ!N:N,MATCH(テンプレート!$C384,使用レシピ!$E:$E,0)),""),"")</f>
        <v/>
      </c>
      <c r="N384" s="24" t="str">
        <f>IFERROR(IF(INDEX(使用レシピ!O:O,MATCH(テンプレート!$C384,使用レシピ!$E:$E,0))&lt;&gt;0,INDEX(使用レシピ!O:O,MATCH(テンプレート!$C384,使用レシピ!$E:$E,0)),""),"")</f>
        <v/>
      </c>
      <c r="O384" s="36" t="str">
        <f>IFERROR(IF(INDEX(使用レシピ!P:P,MATCH(テンプレート!$C384,使用レシピ!$E:$E,0))&lt;&gt;0,INDEX(使用レシピ!P:P,MATCH(テンプレート!$C384,使用レシピ!$E:$E,0)),""),"")</f>
        <v/>
      </c>
      <c r="P384" t="str">
        <f t="shared" si="31"/>
        <v/>
      </c>
      <c r="Q384" t="str">
        <f t="shared" si="32"/>
        <v/>
      </c>
      <c r="R384" t="str">
        <f t="shared" si="33"/>
        <v/>
      </c>
      <c r="S384" t="str">
        <f t="shared" si="34"/>
        <v/>
      </c>
      <c r="T384" s="24" t="str">
        <f t="shared" si="35"/>
        <v/>
      </c>
    </row>
    <row r="385" spans="2:20" x14ac:dyDescent="0.4">
      <c r="B385" s="49" t="str" cm="1">
        <f t="array" ref="B385">IFERROR((INDEX($P$4:$T$1000,MATCH(VALUE(LEFT($A385,LEN($A385)-1)),$A$4:$A$1000,0),VALUE(RIGHT($A385,1)))/ INDEX($O$4:$O$1000,MATCH(VALUE(LEFT($A385,LEN($A385)-1)),$A$4:$A$1000))) * INDEX($B$4:$B$1000,MATCH(VALUE(LEFT($A385,LEN($A385)-1)),$A$4:$A$1000)),"")</f>
        <v/>
      </c>
      <c r="C385" s="2" t="str" cm="1">
        <f t="array" ref="C385">IFERROR(IF(INDEX($D$4:$H$1000,MATCH(VALUE(LEFT($A385,LEN($A385)-1)),$A$4:$A$1000,0),VALUE(RIGHT($A385,1)))= 0,"",INDEX($D$4:$H$1000,MATCH(VALUE(LEFT($A385,LEN($A385)-1)),$A$4:$A$1000,0),VALUE(RIGHT($A385,1)))),"")</f>
        <v/>
      </c>
      <c r="D385" s="23" t="str">
        <f>IFERROR(IF(INDEX(使用レシピ!F:F,MATCH(テンプレート!$C385,使用レシピ!$E:$E,0))&lt;&gt;0,INDEX(使用レシピ!F:F,MATCH(テンプレート!$C385,使用レシピ!$E:$E,0)),""),"")</f>
        <v/>
      </c>
      <c r="E385" t="str">
        <f>IFERROR(IF(INDEX(使用レシピ!G:G,MATCH(テンプレート!$C385,使用レシピ!$E:$E,0))&lt;&gt;0,INDEX(使用レシピ!G:G,MATCH(テンプレート!$C385,使用レシピ!$E:$E,0)),""),"")</f>
        <v/>
      </c>
      <c r="F385" t="str">
        <f>IFERROR(IF(INDEX(使用レシピ!H:H,MATCH(テンプレート!$C385,使用レシピ!$E:$E,0))&lt;&gt;0,INDEX(使用レシピ!H:H,MATCH(テンプレート!$C385,使用レシピ!$E:$E,0)),""),"")</f>
        <v/>
      </c>
      <c r="G385" t="str">
        <f>IFERROR(IF(INDEX(使用レシピ!I:I,MATCH(テンプレート!$C385,使用レシピ!$E:$E,0))&lt;&gt;0,INDEX(使用レシピ!I:I,MATCH(テンプレート!$C385,使用レシピ!$E:$E,0)),""),"")</f>
        <v/>
      </c>
      <c r="H385" s="24" t="str">
        <f>IFERROR(IF(INDEX(使用レシピ!J:J,MATCH(テンプレート!$C385,使用レシピ!$E:$E,0))&lt;&gt;0,INDEX(使用レシピ!J:J,MATCH(テンプレート!$C385,使用レシピ!$E:$E,0)),""),"")</f>
        <v/>
      </c>
      <c r="I385" s="36" t="str">
        <f>IFERROR(IF(INDEX(使用レシピ!P:P,MATCH(テンプレート!$C385,使用レシピ!$E:$E,0))&lt;&gt;0,INDEX(使用レシピ!P:P,MATCH(テンプレート!$C385,使用レシピ!$E:$E,0)),""),"")</f>
        <v/>
      </c>
      <c r="J385" t="str">
        <f>IFERROR(IF(INDEX(使用レシピ!K:K,MATCH(テンプレート!$C385,使用レシピ!$E:$E,0))&lt;&gt;0,INDEX(使用レシピ!K:K,MATCH(テンプレート!$C385,使用レシピ!$E:$E,0)),""),"")</f>
        <v/>
      </c>
      <c r="K385" t="str">
        <f>IFERROR(IF(INDEX(使用レシピ!L:L,MATCH(テンプレート!$C385,使用レシピ!$E:$E,0))&lt;&gt;0,INDEX(使用レシピ!L:L,MATCH(テンプレート!$C385,使用レシピ!$E:$E,0)),""),"")</f>
        <v/>
      </c>
      <c r="L385" t="str">
        <f>IFERROR(IF(INDEX(使用レシピ!M:M,MATCH(テンプレート!$C385,使用レシピ!$E:$E,0))&lt;&gt;0,INDEX(使用レシピ!M:M,MATCH(テンプレート!$C385,使用レシピ!$E:$E,0)),""),"")</f>
        <v/>
      </c>
      <c r="M385" t="str">
        <f>IFERROR(IF(INDEX(使用レシピ!N:N,MATCH(テンプレート!$C385,使用レシピ!$E:$E,0))&lt;&gt;0,INDEX(使用レシピ!N:N,MATCH(テンプレート!$C385,使用レシピ!$E:$E,0)),""),"")</f>
        <v/>
      </c>
      <c r="N385" s="24" t="str">
        <f>IFERROR(IF(INDEX(使用レシピ!O:O,MATCH(テンプレート!$C385,使用レシピ!$E:$E,0))&lt;&gt;0,INDEX(使用レシピ!O:O,MATCH(テンプレート!$C385,使用レシピ!$E:$E,0)),""),"")</f>
        <v/>
      </c>
      <c r="O385" s="36" t="str">
        <f>IFERROR(IF(INDEX(使用レシピ!P:P,MATCH(テンプレート!$C385,使用レシピ!$E:$E,0))&lt;&gt;0,INDEX(使用レシピ!P:P,MATCH(テンプレート!$C385,使用レシピ!$E:$E,0)),""),"")</f>
        <v/>
      </c>
      <c r="P385" t="str">
        <f t="shared" si="31"/>
        <v/>
      </c>
      <c r="Q385" t="str">
        <f t="shared" si="32"/>
        <v/>
      </c>
      <c r="R385" t="str">
        <f t="shared" si="33"/>
        <v/>
      </c>
      <c r="S385" t="str">
        <f t="shared" si="34"/>
        <v/>
      </c>
      <c r="T385" s="24" t="str">
        <f t="shared" si="35"/>
        <v/>
      </c>
    </row>
    <row r="386" spans="2:20" x14ac:dyDescent="0.4">
      <c r="B386" s="49" t="str" cm="1">
        <f t="array" ref="B386">IFERROR((INDEX($P$4:$T$1000,MATCH(VALUE(LEFT($A386,LEN($A386)-1)),$A$4:$A$1000,0),VALUE(RIGHT($A386,1)))/ INDEX($O$4:$O$1000,MATCH(VALUE(LEFT($A386,LEN($A386)-1)),$A$4:$A$1000))) * INDEX($B$4:$B$1000,MATCH(VALUE(LEFT($A386,LEN($A386)-1)),$A$4:$A$1000)),"")</f>
        <v/>
      </c>
      <c r="C386" s="2" t="str" cm="1">
        <f t="array" ref="C386">IFERROR(IF(INDEX($D$4:$H$1000,MATCH(VALUE(LEFT($A386,LEN($A386)-1)),$A$4:$A$1000,0),VALUE(RIGHT($A386,1)))= 0,"",INDEX($D$4:$H$1000,MATCH(VALUE(LEFT($A386,LEN($A386)-1)),$A$4:$A$1000,0),VALUE(RIGHT($A386,1)))),"")</f>
        <v/>
      </c>
      <c r="D386" s="23" t="str">
        <f>IFERROR(IF(INDEX(使用レシピ!F:F,MATCH(テンプレート!$C386,使用レシピ!$E:$E,0))&lt;&gt;0,INDEX(使用レシピ!F:F,MATCH(テンプレート!$C386,使用レシピ!$E:$E,0)),""),"")</f>
        <v/>
      </c>
      <c r="E386" t="str">
        <f>IFERROR(IF(INDEX(使用レシピ!G:G,MATCH(テンプレート!$C386,使用レシピ!$E:$E,0))&lt;&gt;0,INDEX(使用レシピ!G:G,MATCH(テンプレート!$C386,使用レシピ!$E:$E,0)),""),"")</f>
        <v/>
      </c>
      <c r="F386" t="str">
        <f>IFERROR(IF(INDEX(使用レシピ!H:H,MATCH(テンプレート!$C386,使用レシピ!$E:$E,0))&lt;&gt;0,INDEX(使用レシピ!H:H,MATCH(テンプレート!$C386,使用レシピ!$E:$E,0)),""),"")</f>
        <v/>
      </c>
      <c r="G386" t="str">
        <f>IFERROR(IF(INDEX(使用レシピ!I:I,MATCH(テンプレート!$C386,使用レシピ!$E:$E,0))&lt;&gt;0,INDEX(使用レシピ!I:I,MATCH(テンプレート!$C386,使用レシピ!$E:$E,0)),""),"")</f>
        <v/>
      </c>
      <c r="H386" s="24" t="str">
        <f>IFERROR(IF(INDEX(使用レシピ!J:J,MATCH(テンプレート!$C386,使用レシピ!$E:$E,0))&lt;&gt;0,INDEX(使用レシピ!J:J,MATCH(テンプレート!$C386,使用レシピ!$E:$E,0)),""),"")</f>
        <v/>
      </c>
      <c r="I386" s="36" t="str">
        <f>IFERROR(IF(INDEX(使用レシピ!P:P,MATCH(テンプレート!$C386,使用レシピ!$E:$E,0))&lt;&gt;0,INDEX(使用レシピ!P:P,MATCH(テンプレート!$C386,使用レシピ!$E:$E,0)),""),"")</f>
        <v/>
      </c>
      <c r="J386" t="str">
        <f>IFERROR(IF(INDEX(使用レシピ!K:K,MATCH(テンプレート!$C386,使用レシピ!$E:$E,0))&lt;&gt;0,INDEX(使用レシピ!K:K,MATCH(テンプレート!$C386,使用レシピ!$E:$E,0)),""),"")</f>
        <v/>
      </c>
      <c r="K386" t="str">
        <f>IFERROR(IF(INDEX(使用レシピ!L:L,MATCH(テンプレート!$C386,使用レシピ!$E:$E,0))&lt;&gt;0,INDEX(使用レシピ!L:L,MATCH(テンプレート!$C386,使用レシピ!$E:$E,0)),""),"")</f>
        <v/>
      </c>
      <c r="L386" t="str">
        <f>IFERROR(IF(INDEX(使用レシピ!M:M,MATCH(テンプレート!$C386,使用レシピ!$E:$E,0))&lt;&gt;0,INDEX(使用レシピ!M:M,MATCH(テンプレート!$C386,使用レシピ!$E:$E,0)),""),"")</f>
        <v/>
      </c>
      <c r="M386" t="str">
        <f>IFERROR(IF(INDEX(使用レシピ!N:N,MATCH(テンプレート!$C386,使用レシピ!$E:$E,0))&lt;&gt;0,INDEX(使用レシピ!N:N,MATCH(テンプレート!$C386,使用レシピ!$E:$E,0)),""),"")</f>
        <v/>
      </c>
      <c r="N386" s="24" t="str">
        <f>IFERROR(IF(INDEX(使用レシピ!O:O,MATCH(テンプレート!$C386,使用レシピ!$E:$E,0))&lt;&gt;0,INDEX(使用レシピ!O:O,MATCH(テンプレート!$C386,使用レシピ!$E:$E,0)),""),"")</f>
        <v/>
      </c>
      <c r="O386" s="36" t="str">
        <f>IFERROR(IF(INDEX(使用レシピ!P:P,MATCH(テンプレート!$C386,使用レシピ!$E:$E,0))&lt;&gt;0,INDEX(使用レシピ!P:P,MATCH(テンプレート!$C386,使用レシピ!$E:$E,0)),""),"")</f>
        <v/>
      </c>
      <c r="P386" t="str">
        <f t="shared" si="31"/>
        <v/>
      </c>
      <c r="Q386" t="str">
        <f t="shared" si="32"/>
        <v/>
      </c>
      <c r="R386" t="str">
        <f t="shared" si="33"/>
        <v/>
      </c>
      <c r="S386" t="str">
        <f t="shared" si="34"/>
        <v/>
      </c>
      <c r="T386" s="24" t="str">
        <f t="shared" si="35"/>
        <v/>
      </c>
    </row>
    <row r="387" spans="2:20" x14ac:dyDescent="0.4">
      <c r="B387" s="49" t="str" cm="1">
        <f t="array" ref="B387">IFERROR((INDEX($P$4:$T$1000,MATCH(VALUE(LEFT($A387,LEN($A387)-1)),$A$4:$A$1000,0),VALUE(RIGHT($A387,1)))/ INDEX($O$4:$O$1000,MATCH(VALUE(LEFT($A387,LEN($A387)-1)),$A$4:$A$1000))) * INDEX($B$4:$B$1000,MATCH(VALUE(LEFT($A387,LEN($A387)-1)),$A$4:$A$1000)),"")</f>
        <v/>
      </c>
      <c r="C387" s="2" t="str" cm="1">
        <f t="array" ref="C387">IFERROR(IF(INDEX($D$4:$H$1000,MATCH(VALUE(LEFT($A387,LEN($A387)-1)),$A$4:$A$1000,0),VALUE(RIGHT($A387,1)))= 0,"",INDEX($D$4:$H$1000,MATCH(VALUE(LEFT($A387,LEN($A387)-1)),$A$4:$A$1000,0),VALUE(RIGHT($A387,1)))),"")</f>
        <v/>
      </c>
      <c r="D387" s="23" t="str">
        <f>IFERROR(IF(INDEX(使用レシピ!F:F,MATCH(テンプレート!$C387,使用レシピ!$E:$E,0))&lt;&gt;0,INDEX(使用レシピ!F:F,MATCH(テンプレート!$C387,使用レシピ!$E:$E,0)),""),"")</f>
        <v/>
      </c>
      <c r="E387" t="str">
        <f>IFERROR(IF(INDEX(使用レシピ!G:G,MATCH(テンプレート!$C387,使用レシピ!$E:$E,0))&lt;&gt;0,INDEX(使用レシピ!G:G,MATCH(テンプレート!$C387,使用レシピ!$E:$E,0)),""),"")</f>
        <v/>
      </c>
      <c r="F387" t="str">
        <f>IFERROR(IF(INDEX(使用レシピ!H:H,MATCH(テンプレート!$C387,使用レシピ!$E:$E,0))&lt;&gt;0,INDEX(使用レシピ!H:H,MATCH(テンプレート!$C387,使用レシピ!$E:$E,0)),""),"")</f>
        <v/>
      </c>
      <c r="G387" t="str">
        <f>IFERROR(IF(INDEX(使用レシピ!I:I,MATCH(テンプレート!$C387,使用レシピ!$E:$E,0))&lt;&gt;0,INDEX(使用レシピ!I:I,MATCH(テンプレート!$C387,使用レシピ!$E:$E,0)),""),"")</f>
        <v/>
      </c>
      <c r="H387" s="24" t="str">
        <f>IFERROR(IF(INDEX(使用レシピ!J:J,MATCH(テンプレート!$C387,使用レシピ!$E:$E,0))&lt;&gt;0,INDEX(使用レシピ!J:J,MATCH(テンプレート!$C387,使用レシピ!$E:$E,0)),""),"")</f>
        <v/>
      </c>
      <c r="I387" s="36" t="str">
        <f>IFERROR(IF(INDEX(使用レシピ!P:P,MATCH(テンプレート!$C387,使用レシピ!$E:$E,0))&lt;&gt;0,INDEX(使用レシピ!P:P,MATCH(テンプレート!$C387,使用レシピ!$E:$E,0)),""),"")</f>
        <v/>
      </c>
      <c r="J387" t="str">
        <f>IFERROR(IF(INDEX(使用レシピ!K:K,MATCH(テンプレート!$C387,使用レシピ!$E:$E,0))&lt;&gt;0,INDEX(使用レシピ!K:K,MATCH(テンプレート!$C387,使用レシピ!$E:$E,0)),""),"")</f>
        <v/>
      </c>
      <c r="K387" t="str">
        <f>IFERROR(IF(INDEX(使用レシピ!L:L,MATCH(テンプレート!$C387,使用レシピ!$E:$E,0))&lt;&gt;0,INDEX(使用レシピ!L:L,MATCH(テンプレート!$C387,使用レシピ!$E:$E,0)),""),"")</f>
        <v/>
      </c>
      <c r="L387" t="str">
        <f>IFERROR(IF(INDEX(使用レシピ!M:M,MATCH(テンプレート!$C387,使用レシピ!$E:$E,0))&lt;&gt;0,INDEX(使用レシピ!M:M,MATCH(テンプレート!$C387,使用レシピ!$E:$E,0)),""),"")</f>
        <v/>
      </c>
      <c r="M387" t="str">
        <f>IFERROR(IF(INDEX(使用レシピ!N:N,MATCH(テンプレート!$C387,使用レシピ!$E:$E,0))&lt;&gt;0,INDEX(使用レシピ!N:N,MATCH(テンプレート!$C387,使用レシピ!$E:$E,0)),""),"")</f>
        <v/>
      </c>
      <c r="N387" s="24" t="str">
        <f>IFERROR(IF(INDEX(使用レシピ!O:O,MATCH(テンプレート!$C387,使用レシピ!$E:$E,0))&lt;&gt;0,INDEX(使用レシピ!O:O,MATCH(テンプレート!$C387,使用レシピ!$E:$E,0)),""),"")</f>
        <v/>
      </c>
      <c r="O387" s="36" t="str">
        <f>IFERROR(IF(INDEX(使用レシピ!P:P,MATCH(テンプレート!$C387,使用レシピ!$E:$E,0))&lt;&gt;0,INDEX(使用レシピ!P:P,MATCH(テンプレート!$C387,使用レシピ!$E:$E,0)),""),"")</f>
        <v/>
      </c>
      <c r="P387" t="str">
        <f t="shared" si="31"/>
        <v/>
      </c>
      <c r="Q387" t="str">
        <f t="shared" si="32"/>
        <v/>
      </c>
      <c r="R387" t="str">
        <f t="shared" si="33"/>
        <v/>
      </c>
      <c r="S387" t="str">
        <f t="shared" si="34"/>
        <v/>
      </c>
      <c r="T387" s="24" t="str">
        <f t="shared" si="35"/>
        <v/>
      </c>
    </row>
    <row r="388" spans="2:20" x14ac:dyDescent="0.4">
      <c r="B388" s="49" t="str" cm="1">
        <f t="array" ref="B388">IFERROR((INDEX($P$4:$T$1000,MATCH(VALUE(LEFT($A388,LEN($A388)-1)),$A$4:$A$1000,0),VALUE(RIGHT($A388,1)))/ INDEX($O$4:$O$1000,MATCH(VALUE(LEFT($A388,LEN($A388)-1)),$A$4:$A$1000))) * INDEX($B$4:$B$1000,MATCH(VALUE(LEFT($A388,LEN($A388)-1)),$A$4:$A$1000)),"")</f>
        <v/>
      </c>
      <c r="C388" s="2" t="str" cm="1">
        <f t="array" ref="C388">IFERROR(IF(INDEX($D$4:$H$1000,MATCH(VALUE(LEFT($A388,LEN($A388)-1)),$A$4:$A$1000,0),VALUE(RIGHT($A388,1)))= 0,"",INDEX($D$4:$H$1000,MATCH(VALUE(LEFT($A388,LEN($A388)-1)),$A$4:$A$1000,0),VALUE(RIGHT($A388,1)))),"")</f>
        <v/>
      </c>
      <c r="D388" s="23" t="str">
        <f>IFERROR(IF(INDEX(使用レシピ!F:F,MATCH(テンプレート!$C388,使用レシピ!$E:$E,0))&lt;&gt;0,INDEX(使用レシピ!F:F,MATCH(テンプレート!$C388,使用レシピ!$E:$E,0)),""),"")</f>
        <v/>
      </c>
      <c r="E388" t="str">
        <f>IFERROR(IF(INDEX(使用レシピ!G:G,MATCH(テンプレート!$C388,使用レシピ!$E:$E,0))&lt;&gt;0,INDEX(使用レシピ!G:G,MATCH(テンプレート!$C388,使用レシピ!$E:$E,0)),""),"")</f>
        <v/>
      </c>
      <c r="F388" t="str">
        <f>IFERROR(IF(INDEX(使用レシピ!H:H,MATCH(テンプレート!$C388,使用レシピ!$E:$E,0))&lt;&gt;0,INDEX(使用レシピ!H:H,MATCH(テンプレート!$C388,使用レシピ!$E:$E,0)),""),"")</f>
        <v/>
      </c>
      <c r="G388" t="str">
        <f>IFERROR(IF(INDEX(使用レシピ!I:I,MATCH(テンプレート!$C388,使用レシピ!$E:$E,0))&lt;&gt;0,INDEX(使用レシピ!I:I,MATCH(テンプレート!$C388,使用レシピ!$E:$E,0)),""),"")</f>
        <v/>
      </c>
      <c r="H388" s="24" t="str">
        <f>IFERROR(IF(INDEX(使用レシピ!J:J,MATCH(テンプレート!$C388,使用レシピ!$E:$E,0))&lt;&gt;0,INDEX(使用レシピ!J:J,MATCH(テンプレート!$C388,使用レシピ!$E:$E,0)),""),"")</f>
        <v/>
      </c>
      <c r="I388" s="36" t="str">
        <f>IFERROR(IF(INDEX(使用レシピ!P:P,MATCH(テンプレート!$C388,使用レシピ!$E:$E,0))&lt;&gt;0,INDEX(使用レシピ!P:P,MATCH(テンプレート!$C388,使用レシピ!$E:$E,0)),""),"")</f>
        <v/>
      </c>
      <c r="J388" t="str">
        <f>IFERROR(IF(INDEX(使用レシピ!K:K,MATCH(テンプレート!$C388,使用レシピ!$E:$E,0))&lt;&gt;0,INDEX(使用レシピ!K:K,MATCH(テンプレート!$C388,使用レシピ!$E:$E,0)),""),"")</f>
        <v/>
      </c>
      <c r="K388" t="str">
        <f>IFERROR(IF(INDEX(使用レシピ!L:L,MATCH(テンプレート!$C388,使用レシピ!$E:$E,0))&lt;&gt;0,INDEX(使用レシピ!L:L,MATCH(テンプレート!$C388,使用レシピ!$E:$E,0)),""),"")</f>
        <v/>
      </c>
      <c r="L388" t="str">
        <f>IFERROR(IF(INDEX(使用レシピ!M:M,MATCH(テンプレート!$C388,使用レシピ!$E:$E,0))&lt;&gt;0,INDEX(使用レシピ!M:M,MATCH(テンプレート!$C388,使用レシピ!$E:$E,0)),""),"")</f>
        <v/>
      </c>
      <c r="M388" t="str">
        <f>IFERROR(IF(INDEX(使用レシピ!N:N,MATCH(テンプレート!$C388,使用レシピ!$E:$E,0))&lt;&gt;0,INDEX(使用レシピ!N:N,MATCH(テンプレート!$C388,使用レシピ!$E:$E,0)),""),"")</f>
        <v/>
      </c>
      <c r="N388" s="24" t="str">
        <f>IFERROR(IF(INDEX(使用レシピ!O:O,MATCH(テンプレート!$C388,使用レシピ!$E:$E,0))&lt;&gt;0,INDEX(使用レシピ!O:O,MATCH(テンプレート!$C388,使用レシピ!$E:$E,0)),""),"")</f>
        <v/>
      </c>
      <c r="O388" s="36" t="str">
        <f>IFERROR(IF(INDEX(使用レシピ!P:P,MATCH(テンプレート!$C388,使用レシピ!$E:$E,0))&lt;&gt;0,INDEX(使用レシピ!P:P,MATCH(テンプレート!$C388,使用レシピ!$E:$E,0)),""),"")</f>
        <v/>
      </c>
      <c r="P388" t="str">
        <f t="shared" si="31"/>
        <v/>
      </c>
      <c r="Q388" t="str">
        <f t="shared" si="32"/>
        <v/>
      </c>
      <c r="R388" t="str">
        <f t="shared" si="33"/>
        <v/>
      </c>
      <c r="S388" t="str">
        <f t="shared" si="34"/>
        <v/>
      </c>
      <c r="T388" s="24" t="str">
        <f t="shared" si="35"/>
        <v/>
      </c>
    </row>
    <row r="389" spans="2:20" x14ac:dyDescent="0.4">
      <c r="B389" s="49" t="str" cm="1">
        <f t="array" ref="B389">IFERROR((INDEX($P$4:$T$1000,MATCH(VALUE(LEFT($A389,LEN($A389)-1)),$A$4:$A$1000,0),VALUE(RIGHT($A389,1)))/ INDEX($O$4:$O$1000,MATCH(VALUE(LEFT($A389,LEN($A389)-1)),$A$4:$A$1000))) * INDEX($B$4:$B$1000,MATCH(VALUE(LEFT($A389,LEN($A389)-1)),$A$4:$A$1000)),"")</f>
        <v/>
      </c>
      <c r="C389" s="2" t="str" cm="1">
        <f t="array" ref="C389">IFERROR(IF(INDEX($D$4:$H$1000,MATCH(VALUE(LEFT($A389,LEN($A389)-1)),$A$4:$A$1000,0),VALUE(RIGHT($A389,1)))= 0,"",INDEX($D$4:$H$1000,MATCH(VALUE(LEFT($A389,LEN($A389)-1)),$A$4:$A$1000,0),VALUE(RIGHT($A389,1)))),"")</f>
        <v/>
      </c>
      <c r="D389" s="23" t="str">
        <f>IFERROR(IF(INDEX(使用レシピ!F:F,MATCH(テンプレート!$C389,使用レシピ!$E:$E,0))&lt;&gt;0,INDEX(使用レシピ!F:F,MATCH(テンプレート!$C389,使用レシピ!$E:$E,0)),""),"")</f>
        <v/>
      </c>
      <c r="E389" t="str">
        <f>IFERROR(IF(INDEX(使用レシピ!G:G,MATCH(テンプレート!$C389,使用レシピ!$E:$E,0))&lt;&gt;0,INDEX(使用レシピ!G:G,MATCH(テンプレート!$C389,使用レシピ!$E:$E,0)),""),"")</f>
        <v/>
      </c>
      <c r="F389" t="str">
        <f>IFERROR(IF(INDEX(使用レシピ!H:H,MATCH(テンプレート!$C389,使用レシピ!$E:$E,0))&lt;&gt;0,INDEX(使用レシピ!H:H,MATCH(テンプレート!$C389,使用レシピ!$E:$E,0)),""),"")</f>
        <v/>
      </c>
      <c r="G389" t="str">
        <f>IFERROR(IF(INDEX(使用レシピ!I:I,MATCH(テンプレート!$C389,使用レシピ!$E:$E,0))&lt;&gt;0,INDEX(使用レシピ!I:I,MATCH(テンプレート!$C389,使用レシピ!$E:$E,0)),""),"")</f>
        <v/>
      </c>
      <c r="H389" s="24" t="str">
        <f>IFERROR(IF(INDEX(使用レシピ!J:J,MATCH(テンプレート!$C389,使用レシピ!$E:$E,0))&lt;&gt;0,INDEX(使用レシピ!J:J,MATCH(テンプレート!$C389,使用レシピ!$E:$E,0)),""),"")</f>
        <v/>
      </c>
      <c r="I389" s="36" t="str">
        <f>IFERROR(IF(INDEX(使用レシピ!P:P,MATCH(テンプレート!$C389,使用レシピ!$E:$E,0))&lt;&gt;0,INDEX(使用レシピ!P:P,MATCH(テンプレート!$C389,使用レシピ!$E:$E,0)),""),"")</f>
        <v/>
      </c>
      <c r="J389" t="str">
        <f>IFERROR(IF(INDEX(使用レシピ!K:K,MATCH(テンプレート!$C389,使用レシピ!$E:$E,0))&lt;&gt;0,INDEX(使用レシピ!K:K,MATCH(テンプレート!$C389,使用レシピ!$E:$E,0)),""),"")</f>
        <v/>
      </c>
      <c r="K389" t="str">
        <f>IFERROR(IF(INDEX(使用レシピ!L:L,MATCH(テンプレート!$C389,使用レシピ!$E:$E,0))&lt;&gt;0,INDEX(使用レシピ!L:L,MATCH(テンプレート!$C389,使用レシピ!$E:$E,0)),""),"")</f>
        <v/>
      </c>
      <c r="L389" t="str">
        <f>IFERROR(IF(INDEX(使用レシピ!M:M,MATCH(テンプレート!$C389,使用レシピ!$E:$E,0))&lt;&gt;0,INDEX(使用レシピ!M:M,MATCH(テンプレート!$C389,使用レシピ!$E:$E,0)),""),"")</f>
        <v/>
      </c>
      <c r="M389" t="str">
        <f>IFERROR(IF(INDEX(使用レシピ!N:N,MATCH(テンプレート!$C389,使用レシピ!$E:$E,0))&lt;&gt;0,INDEX(使用レシピ!N:N,MATCH(テンプレート!$C389,使用レシピ!$E:$E,0)),""),"")</f>
        <v/>
      </c>
      <c r="N389" s="24" t="str">
        <f>IFERROR(IF(INDEX(使用レシピ!O:O,MATCH(テンプレート!$C389,使用レシピ!$E:$E,0))&lt;&gt;0,INDEX(使用レシピ!O:O,MATCH(テンプレート!$C389,使用レシピ!$E:$E,0)),""),"")</f>
        <v/>
      </c>
      <c r="O389" s="36" t="str">
        <f>IFERROR(IF(INDEX(使用レシピ!P:P,MATCH(テンプレート!$C389,使用レシピ!$E:$E,0))&lt;&gt;0,INDEX(使用レシピ!P:P,MATCH(テンプレート!$C389,使用レシピ!$E:$E,0)),""),"")</f>
        <v/>
      </c>
      <c r="P389" t="str">
        <f t="shared" si="31"/>
        <v/>
      </c>
      <c r="Q389" t="str">
        <f t="shared" si="32"/>
        <v/>
      </c>
      <c r="R389" t="str">
        <f t="shared" si="33"/>
        <v/>
      </c>
      <c r="S389" t="str">
        <f t="shared" si="34"/>
        <v/>
      </c>
      <c r="T389" s="24" t="str">
        <f t="shared" si="35"/>
        <v/>
      </c>
    </row>
    <row r="390" spans="2:20" x14ac:dyDescent="0.4">
      <c r="B390" s="49" t="str" cm="1">
        <f t="array" ref="B390">IFERROR((INDEX($P$4:$T$1000,MATCH(VALUE(LEFT($A390,LEN($A390)-1)),$A$4:$A$1000,0),VALUE(RIGHT($A390,1)))/ INDEX($O$4:$O$1000,MATCH(VALUE(LEFT($A390,LEN($A390)-1)),$A$4:$A$1000))) * INDEX($B$4:$B$1000,MATCH(VALUE(LEFT($A390,LEN($A390)-1)),$A$4:$A$1000)),"")</f>
        <v/>
      </c>
      <c r="C390" s="2" t="str" cm="1">
        <f t="array" ref="C390">IFERROR(IF(INDEX($D$4:$H$1000,MATCH(VALUE(LEFT($A390,LEN($A390)-1)),$A$4:$A$1000,0),VALUE(RIGHT($A390,1)))= 0,"",INDEX($D$4:$H$1000,MATCH(VALUE(LEFT($A390,LEN($A390)-1)),$A$4:$A$1000,0),VALUE(RIGHT($A390,1)))),"")</f>
        <v/>
      </c>
      <c r="D390" s="23" t="str">
        <f>IFERROR(IF(INDEX(使用レシピ!F:F,MATCH(テンプレート!$C390,使用レシピ!$E:$E,0))&lt;&gt;0,INDEX(使用レシピ!F:F,MATCH(テンプレート!$C390,使用レシピ!$E:$E,0)),""),"")</f>
        <v/>
      </c>
      <c r="E390" t="str">
        <f>IFERROR(IF(INDEX(使用レシピ!G:G,MATCH(テンプレート!$C390,使用レシピ!$E:$E,0))&lt;&gt;0,INDEX(使用レシピ!G:G,MATCH(テンプレート!$C390,使用レシピ!$E:$E,0)),""),"")</f>
        <v/>
      </c>
      <c r="F390" t="str">
        <f>IFERROR(IF(INDEX(使用レシピ!H:H,MATCH(テンプレート!$C390,使用レシピ!$E:$E,0))&lt;&gt;0,INDEX(使用レシピ!H:H,MATCH(テンプレート!$C390,使用レシピ!$E:$E,0)),""),"")</f>
        <v/>
      </c>
      <c r="G390" t="str">
        <f>IFERROR(IF(INDEX(使用レシピ!I:I,MATCH(テンプレート!$C390,使用レシピ!$E:$E,0))&lt;&gt;0,INDEX(使用レシピ!I:I,MATCH(テンプレート!$C390,使用レシピ!$E:$E,0)),""),"")</f>
        <v/>
      </c>
      <c r="H390" s="24" t="str">
        <f>IFERROR(IF(INDEX(使用レシピ!J:J,MATCH(テンプレート!$C390,使用レシピ!$E:$E,0))&lt;&gt;0,INDEX(使用レシピ!J:J,MATCH(テンプレート!$C390,使用レシピ!$E:$E,0)),""),"")</f>
        <v/>
      </c>
      <c r="I390" s="36" t="str">
        <f>IFERROR(IF(INDEX(使用レシピ!P:P,MATCH(テンプレート!$C390,使用レシピ!$E:$E,0))&lt;&gt;0,INDEX(使用レシピ!P:P,MATCH(テンプレート!$C390,使用レシピ!$E:$E,0)),""),"")</f>
        <v/>
      </c>
      <c r="J390" t="str">
        <f>IFERROR(IF(INDEX(使用レシピ!K:K,MATCH(テンプレート!$C390,使用レシピ!$E:$E,0))&lt;&gt;0,INDEX(使用レシピ!K:K,MATCH(テンプレート!$C390,使用レシピ!$E:$E,0)),""),"")</f>
        <v/>
      </c>
      <c r="K390" t="str">
        <f>IFERROR(IF(INDEX(使用レシピ!L:L,MATCH(テンプレート!$C390,使用レシピ!$E:$E,0))&lt;&gt;0,INDEX(使用レシピ!L:L,MATCH(テンプレート!$C390,使用レシピ!$E:$E,0)),""),"")</f>
        <v/>
      </c>
      <c r="L390" t="str">
        <f>IFERROR(IF(INDEX(使用レシピ!M:M,MATCH(テンプレート!$C390,使用レシピ!$E:$E,0))&lt;&gt;0,INDEX(使用レシピ!M:M,MATCH(テンプレート!$C390,使用レシピ!$E:$E,0)),""),"")</f>
        <v/>
      </c>
      <c r="M390" t="str">
        <f>IFERROR(IF(INDEX(使用レシピ!N:N,MATCH(テンプレート!$C390,使用レシピ!$E:$E,0))&lt;&gt;0,INDEX(使用レシピ!N:N,MATCH(テンプレート!$C390,使用レシピ!$E:$E,0)),""),"")</f>
        <v/>
      </c>
      <c r="N390" s="24" t="str">
        <f>IFERROR(IF(INDEX(使用レシピ!O:O,MATCH(テンプレート!$C390,使用レシピ!$E:$E,0))&lt;&gt;0,INDEX(使用レシピ!O:O,MATCH(テンプレート!$C390,使用レシピ!$E:$E,0)),""),"")</f>
        <v/>
      </c>
      <c r="O390" s="36" t="str">
        <f>IFERROR(IF(INDEX(使用レシピ!P:P,MATCH(テンプレート!$C390,使用レシピ!$E:$E,0))&lt;&gt;0,INDEX(使用レシピ!P:P,MATCH(テンプレート!$C390,使用レシピ!$E:$E,0)),""),"")</f>
        <v/>
      </c>
      <c r="P390" t="str">
        <f t="shared" si="31"/>
        <v/>
      </c>
      <c r="Q390" t="str">
        <f t="shared" si="32"/>
        <v/>
      </c>
      <c r="R390" t="str">
        <f t="shared" si="33"/>
        <v/>
      </c>
      <c r="S390" t="str">
        <f t="shared" si="34"/>
        <v/>
      </c>
      <c r="T390" s="24" t="str">
        <f t="shared" si="35"/>
        <v/>
      </c>
    </row>
    <row r="391" spans="2:20" x14ac:dyDescent="0.4">
      <c r="B391" s="49" t="str" cm="1">
        <f t="array" ref="B391">IFERROR((INDEX($P$4:$T$1000,MATCH(VALUE(LEFT($A391,LEN($A391)-1)),$A$4:$A$1000,0),VALUE(RIGHT($A391,1)))/ INDEX($O$4:$O$1000,MATCH(VALUE(LEFT($A391,LEN($A391)-1)),$A$4:$A$1000))) * INDEX($B$4:$B$1000,MATCH(VALUE(LEFT($A391,LEN($A391)-1)),$A$4:$A$1000)),"")</f>
        <v/>
      </c>
      <c r="C391" s="2" t="str" cm="1">
        <f t="array" ref="C391">IFERROR(IF(INDEX($D$4:$H$1000,MATCH(VALUE(LEFT($A391,LEN($A391)-1)),$A$4:$A$1000,0),VALUE(RIGHT($A391,1)))= 0,"",INDEX($D$4:$H$1000,MATCH(VALUE(LEFT($A391,LEN($A391)-1)),$A$4:$A$1000,0),VALUE(RIGHT($A391,1)))),"")</f>
        <v/>
      </c>
      <c r="D391" s="23" t="str">
        <f>IFERROR(IF(INDEX(使用レシピ!F:F,MATCH(テンプレート!$C391,使用レシピ!$E:$E,0))&lt;&gt;0,INDEX(使用レシピ!F:F,MATCH(テンプレート!$C391,使用レシピ!$E:$E,0)),""),"")</f>
        <v/>
      </c>
      <c r="E391" t="str">
        <f>IFERROR(IF(INDEX(使用レシピ!G:G,MATCH(テンプレート!$C391,使用レシピ!$E:$E,0))&lt;&gt;0,INDEX(使用レシピ!G:G,MATCH(テンプレート!$C391,使用レシピ!$E:$E,0)),""),"")</f>
        <v/>
      </c>
      <c r="F391" t="str">
        <f>IFERROR(IF(INDEX(使用レシピ!H:H,MATCH(テンプレート!$C391,使用レシピ!$E:$E,0))&lt;&gt;0,INDEX(使用レシピ!H:H,MATCH(テンプレート!$C391,使用レシピ!$E:$E,0)),""),"")</f>
        <v/>
      </c>
      <c r="G391" t="str">
        <f>IFERROR(IF(INDEX(使用レシピ!I:I,MATCH(テンプレート!$C391,使用レシピ!$E:$E,0))&lt;&gt;0,INDEX(使用レシピ!I:I,MATCH(テンプレート!$C391,使用レシピ!$E:$E,0)),""),"")</f>
        <v/>
      </c>
      <c r="H391" s="24" t="str">
        <f>IFERROR(IF(INDEX(使用レシピ!J:J,MATCH(テンプレート!$C391,使用レシピ!$E:$E,0))&lt;&gt;0,INDEX(使用レシピ!J:J,MATCH(テンプレート!$C391,使用レシピ!$E:$E,0)),""),"")</f>
        <v/>
      </c>
      <c r="I391" s="36" t="str">
        <f>IFERROR(IF(INDEX(使用レシピ!P:P,MATCH(テンプレート!$C391,使用レシピ!$E:$E,0))&lt;&gt;0,INDEX(使用レシピ!P:P,MATCH(テンプレート!$C391,使用レシピ!$E:$E,0)),""),"")</f>
        <v/>
      </c>
      <c r="J391" t="str">
        <f>IFERROR(IF(INDEX(使用レシピ!K:K,MATCH(テンプレート!$C391,使用レシピ!$E:$E,0))&lt;&gt;0,INDEX(使用レシピ!K:K,MATCH(テンプレート!$C391,使用レシピ!$E:$E,0)),""),"")</f>
        <v/>
      </c>
      <c r="K391" t="str">
        <f>IFERROR(IF(INDEX(使用レシピ!L:L,MATCH(テンプレート!$C391,使用レシピ!$E:$E,0))&lt;&gt;0,INDEX(使用レシピ!L:L,MATCH(テンプレート!$C391,使用レシピ!$E:$E,0)),""),"")</f>
        <v/>
      </c>
      <c r="L391" t="str">
        <f>IFERROR(IF(INDEX(使用レシピ!M:M,MATCH(テンプレート!$C391,使用レシピ!$E:$E,0))&lt;&gt;0,INDEX(使用レシピ!M:M,MATCH(テンプレート!$C391,使用レシピ!$E:$E,0)),""),"")</f>
        <v/>
      </c>
      <c r="M391" t="str">
        <f>IFERROR(IF(INDEX(使用レシピ!N:N,MATCH(テンプレート!$C391,使用レシピ!$E:$E,0))&lt;&gt;0,INDEX(使用レシピ!N:N,MATCH(テンプレート!$C391,使用レシピ!$E:$E,0)),""),"")</f>
        <v/>
      </c>
      <c r="N391" s="24" t="str">
        <f>IFERROR(IF(INDEX(使用レシピ!O:O,MATCH(テンプレート!$C391,使用レシピ!$E:$E,0))&lt;&gt;0,INDEX(使用レシピ!O:O,MATCH(テンプレート!$C391,使用レシピ!$E:$E,0)),""),"")</f>
        <v/>
      </c>
      <c r="O391" s="36" t="str">
        <f>IFERROR(IF(INDEX(使用レシピ!P:P,MATCH(テンプレート!$C391,使用レシピ!$E:$E,0))&lt;&gt;0,INDEX(使用レシピ!P:P,MATCH(テンプレート!$C391,使用レシピ!$E:$E,0)),""),"")</f>
        <v/>
      </c>
      <c r="P391" t="str">
        <f t="shared" si="31"/>
        <v/>
      </c>
      <c r="Q391" t="str">
        <f t="shared" si="32"/>
        <v/>
      </c>
      <c r="R391" t="str">
        <f t="shared" si="33"/>
        <v/>
      </c>
      <c r="S391" t="str">
        <f t="shared" si="34"/>
        <v/>
      </c>
      <c r="T391" s="24" t="str">
        <f t="shared" si="35"/>
        <v/>
      </c>
    </row>
    <row r="392" spans="2:20" x14ac:dyDescent="0.4">
      <c r="B392" s="49" t="str" cm="1">
        <f t="array" ref="B392">IFERROR((INDEX($P$4:$T$1000,MATCH(VALUE(LEFT($A392,LEN($A392)-1)),$A$4:$A$1000,0),VALUE(RIGHT($A392,1)))/ INDEX($O$4:$O$1000,MATCH(VALUE(LEFT($A392,LEN($A392)-1)),$A$4:$A$1000))) * INDEX($B$4:$B$1000,MATCH(VALUE(LEFT($A392,LEN($A392)-1)),$A$4:$A$1000)),"")</f>
        <v/>
      </c>
      <c r="C392" s="2" t="str" cm="1">
        <f t="array" ref="C392">IFERROR(IF(INDEX($D$4:$H$1000,MATCH(VALUE(LEFT($A392,LEN($A392)-1)),$A$4:$A$1000,0),VALUE(RIGHT($A392,1)))= 0,"",INDEX($D$4:$H$1000,MATCH(VALUE(LEFT($A392,LEN($A392)-1)),$A$4:$A$1000,0),VALUE(RIGHT($A392,1)))),"")</f>
        <v/>
      </c>
      <c r="D392" s="23" t="str">
        <f>IFERROR(IF(INDEX(使用レシピ!F:F,MATCH(テンプレート!$C392,使用レシピ!$E:$E,0))&lt;&gt;0,INDEX(使用レシピ!F:F,MATCH(テンプレート!$C392,使用レシピ!$E:$E,0)),""),"")</f>
        <v/>
      </c>
      <c r="E392" t="str">
        <f>IFERROR(IF(INDEX(使用レシピ!G:G,MATCH(テンプレート!$C392,使用レシピ!$E:$E,0))&lt;&gt;0,INDEX(使用レシピ!G:G,MATCH(テンプレート!$C392,使用レシピ!$E:$E,0)),""),"")</f>
        <v/>
      </c>
      <c r="F392" t="str">
        <f>IFERROR(IF(INDEX(使用レシピ!H:H,MATCH(テンプレート!$C392,使用レシピ!$E:$E,0))&lt;&gt;0,INDEX(使用レシピ!H:H,MATCH(テンプレート!$C392,使用レシピ!$E:$E,0)),""),"")</f>
        <v/>
      </c>
      <c r="G392" t="str">
        <f>IFERROR(IF(INDEX(使用レシピ!I:I,MATCH(テンプレート!$C392,使用レシピ!$E:$E,0))&lt;&gt;0,INDEX(使用レシピ!I:I,MATCH(テンプレート!$C392,使用レシピ!$E:$E,0)),""),"")</f>
        <v/>
      </c>
      <c r="H392" s="24" t="str">
        <f>IFERROR(IF(INDEX(使用レシピ!J:J,MATCH(テンプレート!$C392,使用レシピ!$E:$E,0))&lt;&gt;0,INDEX(使用レシピ!J:J,MATCH(テンプレート!$C392,使用レシピ!$E:$E,0)),""),"")</f>
        <v/>
      </c>
      <c r="I392" s="36" t="str">
        <f>IFERROR(IF(INDEX(使用レシピ!P:P,MATCH(テンプレート!$C392,使用レシピ!$E:$E,0))&lt;&gt;0,INDEX(使用レシピ!P:P,MATCH(テンプレート!$C392,使用レシピ!$E:$E,0)),""),"")</f>
        <v/>
      </c>
      <c r="J392" t="str">
        <f>IFERROR(IF(INDEX(使用レシピ!K:K,MATCH(テンプレート!$C392,使用レシピ!$E:$E,0))&lt;&gt;0,INDEX(使用レシピ!K:K,MATCH(テンプレート!$C392,使用レシピ!$E:$E,0)),""),"")</f>
        <v/>
      </c>
      <c r="K392" t="str">
        <f>IFERROR(IF(INDEX(使用レシピ!L:L,MATCH(テンプレート!$C392,使用レシピ!$E:$E,0))&lt;&gt;0,INDEX(使用レシピ!L:L,MATCH(テンプレート!$C392,使用レシピ!$E:$E,0)),""),"")</f>
        <v/>
      </c>
      <c r="L392" t="str">
        <f>IFERROR(IF(INDEX(使用レシピ!M:M,MATCH(テンプレート!$C392,使用レシピ!$E:$E,0))&lt;&gt;0,INDEX(使用レシピ!M:M,MATCH(テンプレート!$C392,使用レシピ!$E:$E,0)),""),"")</f>
        <v/>
      </c>
      <c r="M392" t="str">
        <f>IFERROR(IF(INDEX(使用レシピ!N:N,MATCH(テンプレート!$C392,使用レシピ!$E:$E,0))&lt;&gt;0,INDEX(使用レシピ!N:N,MATCH(テンプレート!$C392,使用レシピ!$E:$E,0)),""),"")</f>
        <v/>
      </c>
      <c r="N392" s="24" t="str">
        <f>IFERROR(IF(INDEX(使用レシピ!O:O,MATCH(テンプレート!$C392,使用レシピ!$E:$E,0))&lt;&gt;0,INDEX(使用レシピ!O:O,MATCH(テンプレート!$C392,使用レシピ!$E:$E,0)),""),"")</f>
        <v/>
      </c>
      <c r="O392" s="36" t="str">
        <f>IFERROR(IF(INDEX(使用レシピ!P:P,MATCH(テンプレート!$C392,使用レシピ!$E:$E,0))&lt;&gt;0,INDEX(使用レシピ!P:P,MATCH(テンプレート!$C392,使用レシピ!$E:$E,0)),""),"")</f>
        <v/>
      </c>
      <c r="P392" t="str">
        <f t="shared" si="31"/>
        <v/>
      </c>
      <c r="Q392" t="str">
        <f t="shared" si="32"/>
        <v/>
      </c>
      <c r="R392" t="str">
        <f t="shared" si="33"/>
        <v/>
      </c>
      <c r="S392" t="str">
        <f t="shared" si="34"/>
        <v/>
      </c>
      <c r="T392" s="24" t="str">
        <f t="shared" si="35"/>
        <v/>
      </c>
    </row>
    <row r="393" spans="2:20" x14ac:dyDescent="0.4">
      <c r="B393" s="49" t="str" cm="1">
        <f t="array" ref="B393">IFERROR((INDEX($P$4:$T$1000,MATCH(VALUE(LEFT($A393,LEN($A393)-1)),$A$4:$A$1000,0),VALUE(RIGHT($A393,1)))/ INDEX($O$4:$O$1000,MATCH(VALUE(LEFT($A393,LEN($A393)-1)),$A$4:$A$1000))) * INDEX($B$4:$B$1000,MATCH(VALUE(LEFT($A393,LEN($A393)-1)),$A$4:$A$1000)),"")</f>
        <v/>
      </c>
      <c r="C393" s="2" t="str" cm="1">
        <f t="array" ref="C393">IFERROR(IF(INDEX($D$4:$H$1000,MATCH(VALUE(LEFT($A393,LEN($A393)-1)),$A$4:$A$1000,0),VALUE(RIGHT($A393,1)))= 0,"",INDEX($D$4:$H$1000,MATCH(VALUE(LEFT($A393,LEN($A393)-1)),$A$4:$A$1000,0),VALUE(RIGHT($A393,1)))),"")</f>
        <v/>
      </c>
      <c r="D393" s="23" t="str">
        <f>IFERROR(IF(INDEX(使用レシピ!F:F,MATCH(テンプレート!$C393,使用レシピ!$E:$E,0))&lt;&gt;0,INDEX(使用レシピ!F:F,MATCH(テンプレート!$C393,使用レシピ!$E:$E,0)),""),"")</f>
        <v/>
      </c>
      <c r="E393" t="str">
        <f>IFERROR(IF(INDEX(使用レシピ!G:G,MATCH(テンプレート!$C393,使用レシピ!$E:$E,0))&lt;&gt;0,INDEX(使用レシピ!G:G,MATCH(テンプレート!$C393,使用レシピ!$E:$E,0)),""),"")</f>
        <v/>
      </c>
      <c r="F393" t="str">
        <f>IFERROR(IF(INDEX(使用レシピ!H:H,MATCH(テンプレート!$C393,使用レシピ!$E:$E,0))&lt;&gt;0,INDEX(使用レシピ!H:H,MATCH(テンプレート!$C393,使用レシピ!$E:$E,0)),""),"")</f>
        <v/>
      </c>
      <c r="G393" t="str">
        <f>IFERROR(IF(INDEX(使用レシピ!I:I,MATCH(テンプレート!$C393,使用レシピ!$E:$E,0))&lt;&gt;0,INDEX(使用レシピ!I:I,MATCH(テンプレート!$C393,使用レシピ!$E:$E,0)),""),"")</f>
        <v/>
      </c>
      <c r="H393" s="24" t="str">
        <f>IFERROR(IF(INDEX(使用レシピ!J:J,MATCH(テンプレート!$C393,使用レシピ!$E:$E,0))&lt;&gt;0,INDEX(使用レシピ!J:J,MATCH(テンプレート!$C393,使用レシピ!$E:$E,0)),""),"")</f>
        <v/>
      </c>
      <c r="I393" s="36" t="str">
        <f>IFERROR(IF(INDEX(使用レシピ!P:P,MATCH(テンプレート!$C393,使用レシピ!$E:$E,0))&lt;&gt;0,INDEX(使用レシピ!P:P,MATCH(テンプレート!$C393,使用レシピ!$E:$E,0)),""),"")</f>
        <v/>
      </c>
      <c r="J393" t="str">
        <f>IFERROR(IF(INDEX(使用レシピ!K:K,MATCH(テンプレート!$C393,使用レシピ!$E:$E,0))&lt;&gt;0,INDEX(使用レシピ!K:K,MATCH(テンプレート!$C393,使用レシピ!$E:$E,0)),""),"")</f>
        <v/>
      </c>
      <c r="K393" t="str">
        <f>IFERROR(IF(INDEX(使用レシピ!L:L,MATCH(テンプレート!$C393,使用レシピ!$E:$E,0))&lt;&gt;0,INDEX(使用レシピ!L:L,MATCH(テンプレート!$C393,使用レシピ!$E:$E,0)),""),"")</f>
        <v/>
      </c>
      <c r="L393" t="str">
        <f>IFERROR(IF(INDEX(使用レシピ!M:M,MATCH(テンプレート!$C393,使用レシピ!$E:$E,0))&lt;&gt;0,INDEX(使用レシピ!M:M,MATCH(テンプレート!$C393,使用レシピ!$E:$E,0)),""),"")</f>
        <v/>
      </c>
      <c r="M393" t="str">
        <f>IFERROR(IF(INDEX(使用レシピ!N:N,MATCH(テンプレート!$C393,使用レシピ!$E:$E,0))&lt;&gt;0,INDEX(使用レシピ!N:N,MATCH(テンプレート!$C393,使用レシピ!$E:$E,0)),""),"")</f>
        <v/>
      </c>
      <c r="N393" s="24" t="str">
        <f>IFERROR(IF(INDEX(使用レシピ!O:O,MATCH(テンプレート!$C393,使用レシピ!$E:$E,0))&lt;&gt;0,INDEX(使用レシピ!O:O,MATCH(テンプレート!$C393,使用レシピ!$E:$E,0)),""),"")</f>
        <v/>
      </c>
      <c r="O393" s="36" t="str">
        <f>IFERROR(IF(INDEX(使用レシピ!P:P,MATCH(テンプレート!$C393,使用レシピ!$E:$E,0))&lt;&gt;0,INDEX(使用レシピ!P:P,MATCH(テンプレート!$C393,使用レシピ!$E:$E,0)),""),"")</f>
        <v/>
      </c>
      <c r="P393" t="str">
        <f t="shared" si="31"/>
        <v/>
      </c>
      <c r="Q393" t="str">
        <f t="shared" si="32"/>
        <v/>
      </c>
      <c r="R393" t="str">
        <f t="shared" si="33"/>
        <v/>
      </c>
      <c r="S393" t="str">
        <f t="shared" si="34"/>
        <v/>
      </c>
      <c r="T393" s="24" t="str">
        <f t="shared" si="35"/>
        <v/>
      </c>
    </row>
    <row r="394" spans="2:20" x14ac:dyDescent="0.4">
      <c r="B394" s="49" t="str" cm="1">
        <f t="array" ref="B394">IFERROR((INDEX($P$4:$T$1000,MATCH(VALUE(LEFT($A394,LEN($A394)-1)),$A$4:$A$1000,0),VALUE(RIGHT($A394,1)))/ INDEX($O$4:$O$1000,MATCH(VALUE(LEFT($A394,LEN($A394)-1)),$A$4:$A$1000))) * INDEX($B$4:$B$1000,MATCH(VALUE(LEFT($A394,LEN($A394)-1)),$A$4:$A$1000)),"")</f>
        <v/>
      </c>
      <c r="C394" s="2" t="str" cm="1">
        <f t="array" ref="C394">IFERROR(IF(INDEX($D$4:$H$1000,MATCH(VALUE(LEFT($A394,LEN($A394)-1)),$A$4:$A$1000,0),VALUE(RIGHT($A394,1)))= 0,"",INDEX($D$4:$H$1000,MATCH(VALUE(LEFT($A394,LEN($A394)-1)),$A$4:$A$1000,0),VALUE(RIGHT($A394,1)))),"")</f>
        <v/>
      </c>
      <c r="D394" s="23" t="str">
        <f>IFERROR(IF(INDEX(使用レシピ!F:F,MATCH(テンプレート!$C394,使用レシピ!$E:$E,0))&lt;&gt;0,INDEX(使用レシピ!F:F,MATCH(テンプレート!$C394,使用レシピ!$E:$E,0)),""),"")</f>
        <v/>
      </c>
      <c r="E394" t="str">
        <f>IFERROR(IF(INDEX(使用レシピ!G:G,MATCH(テンプレート!$C394,使用レシピ!$E:$E,0))&lt;&gt;0,INDEX(使用レシピ!G:G,MATCH(テンプレート!$C394,使用レシピ!$E:$E,0)),""),"")</f>
        <v/>
      </c>
      <c r="F394" t="str">
        <f>IFERROR(IF(INDEX(使用レシピ!H:H,MATCH(テンプレート!$C394,使用レシピ!$E:$E,0))&lt;&gt;0,INDEX(使用レシピ!H:H,MATCH(テンプレート!$C394,使用レシピ!$E:$E,0)),""),"")</f>
        <v/>
      </c>
      <c r="G394" t="str">
        <f>IFERROR(IF(INDEX(使用レシピ!I:I,MATCH(テンプレート!$C394,使用レシピ!$E:$E,0))&lt;&gt;0,INDEX(使用レシピ!I:I,MATCH(テンプレート!$C394,使用レシピ!$E:$E,0)),""),"")</f>
        <v/>
      </c>
      <c r="H394" s="24" t="str">
        <f>IFERROR(IF(INDEX(使用レシピ!J:J,MATCH(テンプレート!$C394,使用レシピ!$E:$E,0))&lt;&gt;0,INDEX(使用レシピ!J:J,MATCH(テンプレート!$C394,使用レシピ!$E:$E,0)),""),"")</f>
        <v/>
      </c>
      <c r="I394" s="36" t="str">
        <f>IFERROR(IF(INDEX(使用レシピ!P:P,MATCH(テンプレート!$C394,使用レシピ!$E:$E,0))&lt;&gt;0,INDEX(使用レシピ!P:P,MATCH(テンプレート!$C394,使用レシピ!$E:$E,0)),""),"")</f>
        <v/>
      </c>
      <c r="J394" t="str">
        <f>IFERROR(IF(INDEX(使用レシピ!K:K,MATCH(テンプレート!$C394,使用レシピ!$E:$E,0))&lt;&gt;0,INDEX(使用レシピ!K:K,MATCH(テンプレート!$C394,使用レシピ!$E:$E,0)),""),"")</f>
        <v/>
      </c>
      <c r="K394" t="str">
        <f>IFERROR(IF(INDEX(使用レシピ!L:L,MATCH(テンプレート!$C394,使用レシピ!$E:$E,0))&lt;&gt;0,INDEX(使用レシピ!L:L,MATCH(テンプレート!$C394,使用レシピ!$E:$E,0)),""),"")</f>
        <v/>
      </c>
      <c r="L394" t="str">
        <f>IFERROR(IF(INDEX(使用レシピ!M:M,MATCH(テンプレート!$C394,使用レシピ!$E:$E,0))&lt;&gt;0,INDEX(使用レシピ!M:M,MATCH(テンプレート!$C394,使用レシピ!$E:$E,0)),""),"")</f>
        <v/>
      </c>
      <c r="M394" t="str">
        <f>IFERROR(IF(INDEX(使用レシピ!N:N,MATCH(テンプレート!$C394,使用レシピ!$E:$E,0))&lt;&gt;0,INDEX(使用レシピ!N:N,MATCH(テンプレート!$C394,使用レシピ!$E:$E,0)),""),"")</f>
        <v/>
      </c>
      <c r="N394" s="24" t="str">
        <f>IFERROR(IF(INDEX(使用レシピ!O:O,MATCH(テンプレート!$C394,使用レシピ!$E:$E,0))&lt;&gt;0,INDEX(使用レシピ!O:O,MATCH(テンプレート!$C394,使用レシピ!$E:$E,0)),""),"")</f>
        <v/>
      </c>
      <c r="O394" s="36" t="str">
        <f>IFERROR(IF(INDEX(使用レシピ!P:P,MATCH(テンプレート!$C394,使用レシピ!$E:$E,0))&lt;&gt;0,INDEX(使用レシピ!P:P,MATCH(テンプレート!$C394,使用レシピ!$E:$E,0)),""),"")</f>
        <v/>
      </c>
      <c r="P394" t="str">
        <f t="shared" si="31"/>
        <v/>
      </c>
      <c r="Q394" t="str">
        <f t="shared" si="32"/>
        <v/>
      </c>
      <c r="R394" t="str">
        <f t="shared" si="33"/>
        <v/>
      </c>
      <c r="S394" t="str">
        <f t="shared" si="34"/>
        <v/>
      </c>
      <c r="T394" s="24" t="str">
        <f t="shared" si="35"/>
        <v/>
      </c>
    </row>
    <row r="395" spans="2:20" x14ac:dyDescent="0.4">
      <c r="B395" s="49" t="str" cm="1">
        <f t="array" ref="B395">IFERROR((INDEX($P$4:$T$1000,MATCH(VALUE(LEFT($A395,LEN($A395)-1)),$A$4:$A$1000,0),VALUE(RIGHT($A395,1)))/ INDEX($O$4:$O$1000,MATCH(VALUE(LEFT($A395,LEN($A395)-1)),$A$4:$A$1000))) * INDEX($B$4:$B$1000,MATCH(VALUE(LEFT($A395,LEN($A395)-1)),$A$4:$A$1000)),"")</f>
        <v/>
      </c>
      <c r="C395" s="2" t="str" cm="1">
        <f t="array" ref="C395">IFERROR(IF(INDEX($D$4:$H$1000,MATCH(VALUE(LEFT($A395,LEN($A395)-1)),$A$4:$A$1000,0),VALUE(RIGHT($A395,1)))= 0,"",INDEX($D$4:$H$1000,MATCH(VALUE(LEFT($A395,LEN($A395)-1)),$A$4:$A$1000,0),VALUE(RIGHT($A395,1)))),"")</f>
        <v/>
      </c>
      <c r="D395" s="23" t="str">
        <f>IFERROR(IF(INDEX(使用レシピ!F:F,MATCH(テンプレート!$C395,使用レシピ!$E:$E,0))&lt;&gt;0,INDEX(使用レシピ!F:F,MATCH(テンプレート!$C395,使用レシピ!$E:$E,0)),""),"")</f>
        <v/>
      </c>
      <c r="E395" t="str">
        <f>IFERROR(IF(INDEX(使用レシピ!G:G,MATCH(テンプレート!$C395,使用レシピ!$E:$E,0))&lt;&gt;0,INDEX(使用レシピ!G:G,MATCH(テンプレート!$C395,使用レシピ!$E:$E,0)),""),"")</f>
        <v/>
      </c>
      <c r="F395" t="str">
        <f>IFERROR(IF(INDEX(使用レシピ!H:H,MATCH(テンプレート!$C395,使用レシピ!$E:$E,0))&lt;&gt;0,INDEX(使用レシピ!H:H,MATCH(テンプレート!$C395,使用レシピ!$E:$E,0)),""),"")</f>
        <v/>
      </c>
      <c r="G395" t="str">
        <f>IFERROR(IF(INDEX(使用レシピ!I:I,MATCH(テンプレート!$C395,使用レシピ!$E:$E,0))&lt;&gt;0,INDEX(使用レシピ!I:I,MATCH(テンプレート!$C395,使用レシピ!$E:$E,0)),""),"")</f>
        <v/>
      </c>
      <c r="H395" s="24" t="str">
        <f>IFERROR(IF(INDEX(使用レシピ!J:J,MATCH(テンプレート!$C395,使用レシピ!$E:$E,0))&lt;&gt;0,INDEX(使用レシピ!J:J,MATCH(テンプレート!$C395,使用レシピ!$E:$E,0)),""),"")</f>
        <v/>
      </c>
      <c r="I395" s="36" t="str">
        <f>IFERROR(IF(INDEX(使用レシピ!P:P,MATCH(テンプレート!$C395,使用レシピ!$E:$E,0))&lt;&gt;0,INDEX(使用レシピ!P:P,MATCH(テンプレート!$C395,使用レシピ!$E:$E,0)),""),"")</f>
        <v/>
      </c>
      <c r="J395" t="str">
        <f>IFERROR(IF(INDEX(使用レシピ!K:K,MATCH(テンプレート!$C395,使用レシピ!$E:$E,0))&lt;&gt;0,INDEX(使用レシピ!K:K,MATCH(テンプレート!$C395,使用レシピ!$E:$E,0)),""),"")</f>
        <v/>
      </c>
      <c r="K395" t="str">
        <f>IFERROR(IF(INDEX(使用レシピ!L:L,MATCH(テンプレート!$C395,使用レシピ!$E:$E,0))&lt;&gt;0,INDEX(使用レシピ!L:L,MATCH(テンプレート!$C395,使用レシピ!$E:$E,0)),""),"")</f>
        <v/>
      </c>
      <c r="L395" t="str">
        <f>IFERROR(IF(INDEX(使用レシピ!M:M,MATCH(テンプレート!$C395,使用レシピ!$E:$E,0))&lt;&gt;0,INDEX(使用レシピ!M:M,MATCH(テンプレート!$C395,使用レシピ!$E:$E,0)),""),"")</f>
        <v/>
      </c>
      <c r="M395" t="str">
        <f>IFERROR(IF(INDEX(使用レシピ!N:N,MATCH(テンプレート!$C395,使用レシピ!$E:$E,0))&lt;&gt;0,INDEX(使用レシピ!N:N,MATCH(テンプレート!$C395,使用レシピ!$E:$E,0)),""),"")</f>
        <v/>
      </c>
      <c r="N395" s="24" t="str">
        <f>IFERROR(IF(INDEX(使用レシピ!O:O,MATCH(テンプレート!$C395,使用レシピ!$E:$E,0))&lt;&gt;0,INDEX(使用レシピ!O:O,MATCH(テンプレート!$C395,使用レシピ!$E:$E,0)),""),"")</f>
        <v/>
      </c>
      <c r="O395" s="36" t="str">
        <f>IFERROR(IF(INDEX(使用レシピ!P:P,MATCH(テンプレート!$C395,使用レシピ!$E:$E,0))&lt;&gt;0,INDEX(使用レシピ!P:P,MATCH(テンプレート!$C395,使用レシピ!$E:$E,0)),""),"")</f>
        <v/>
      </c>
      <c r="P395" t="str">
        <f t="shared" si="31"/>
        <v/>
      </c>
      <c r="Q395" t="str">
        <f t="shared" si="32"/>
        <v/>
      </c>
      <c r="R395" t="str">
        <f t="shared" si="33"/>
        <v/>
      </c>
      <c r="S395" t="str">
        <f t="shared" si="34"/>
        <v/>
      </c>
      <c r="T395" s="24" t="str">
        <f t="shared" si="35"/>
        <v/>
      </c>
    </row>
    <row r="396" spans="2:20" x14ac:dyDescent="0.4">
      <c r="B396" s="49" t="str" cm="1">
        <f t="array" ref="B396">IFERROR((INDEX($P$4:$T$1000,MATCH(VALUE(LEFT($A396,LEN($A396)-1)),$A$4:$A$1000,0),VALUE(RIGHT($A396,1)))/ INDEX($O$4:$O$1000,MATCH(VALUE(LEFT($A396,LEN($A396)-1)),$A$4:$A$1000))) * INDEX($B$4:$B$1000,MATCH(VALUE(LEFT($A396,LEN($A396)-1)),$A$4:$A$1000)),"")</f>
        <v/>
      </c>
      <c r="C396" s="2" t="str" cm="1">
        <f t="array" ref="C396">IFERROR(IF(INDEX($D$4:$H$1000,MATCH(VALUE(LEFT($A396,LEN($A396)-1)),$A$4:$A$1000,0),VALUE(RIGHT($A396,1)))= 0,"",INDEX($D$4:$H$1000,MATCH(VALUE(LEFT($A396,LEN($A396)-1)),$A$4:$A$1000,0),VALUE(RIGHT($A396,1)))),"")</f>
        <v/>
      </c>
      <c r="D396" s="23" t="str">
        <f>IFERROR(IF(INDEX(使用レシピ!F:F,MATCH(テンプレート!$C396,使用レシピ!$E:$E,0))&lt;&gt;0,INDEX(使用レシピ!F:F,MATCH(テンプレート!$C396,使用レシピ!$E:$E,0)),""),"")</f>
        <v/>
      </c>
      <c r="E396" t="str">
        <f>IFERROR(IF(INDEX(使用レシピ!G:G,MATCH(テンプレート!$C396,使用レシピ!$E:$E,0))&lt;&gt;0,INDEX(使用レシピ!G:G,MATCH(テンプレート!$C396,使用レシピ!$E:$E,0)),""),"")</f>
        <v/>
      </c>
      <c r="F396" t="str">
        <f>IFERROR(IF(INDEX(使用レシピ!H:H,MATCH(テンプレート!$C396,使用レシピ!$E:$E,0))&lt;&gt;0,INDEX(使用レシピ!H:H,MATCH(テンプレート!$C396,使用レシピ!$E:$E,0)),""),"")</f>
        <v/>
      </c>
      <c r="G396" t="str">
        <f>IFERROR(IF(INDEX(使用レシピ!I:I,MATCH(テンプレート!$C396,使用レシピ!$E:$E,0))&lt;&gt;0,INDEX(使用レシピ!I:I,MATCH(テンプレート!$C396,使用レシピ!$E:$E,0)),""),"")</f>
        <v/>
      </c>
      <c r="H396" s="24" t="str">
        <f>IFERROR(IF(INDEX(使用レシピ!J:J,MATCH(テンプレート!$C396,使用レシピ!$E:$E,0))&lt;&gt;0,INDEX(使用レシピ!J:J,MATCH(テンプレート!$C396,使用レシピ!$E:$E,0)),""),"")</f>
        <v/>
      </c>
      <c r="I396" s="36" t="str">
        <f>IFERROR(IF(INDEX(使用レシピ!P:P,MATCH(テンプレート!$C396,使用レシピ!$E:$E,0))&lt;&gt;0,INDEX(使用レシピ!P:P,MATCH(テンプレート!$C396,使用レシピ!$E:$E,0)),""),"")</f>
        <v/>
      </c>
      <c r="J396" t="str">
        <f>IFERROR(IF(INDEX(使用レシピ!K:K,MATCH(テンプレート!$C396,使用レシピ!$E:$E,0))&lt;&gt;0,INDEX(使用レシピ!K:K,MATCH(テンプレート!$C396,使用レシピ!$E:$E,0)),""),"")</f>
        <v/>
      </c>
      <c r="K396" t="str">
        <f>IFERROR(IF(INDEX(使用レシピ!L:L,MATCH(テンプレート!$C396,使用レシピ!$E:$E,0))&lt;&gt;0,INDEX(使用レシピ!L:L,MATCH(テンプレート!$C396,使用レシピ!$E:$E,0)),""),"")</f>
        <v/>
      </c>
      <c r="L396" t="str">
        <f>IFERROR(IF(INDEX(使用レシピ!M:M,MATCH(テンプレート!$C396,使用レシピ!$E:$E,0))&lt;&gt;0,INDEX(使用レシピ!M:M,MATCH(テンプレート!$C396,使用レシピ!$E:$E,0)),""),"")</f>
        <v/>
      </c>
      <c r="M396" t="str">
        <f>IFERROR(IF(INDEX(使用レシピ!N:N,MATCH(テンプレート!$C396,使用レシピ!$E:$E,0))&lt;&gt;0,INDEX(使用レシピ!N:N,MATCH(テンプレート!$C396,使用レシピ!$E:$E,0)),""),"")</f>
        <v/>
      </c>
      <c r="N396" s="24" t="str">
        <f>IFERROR(IF(INDEX(使用レシピ!O:O,MATCH(テンプレート!$C396,使用レシピ!$E:$E,0))&lt;&gt;0,INDEX(使用レシピ!O:O,MATCH(テンプレート!$C396,使用レシピ!$E:$E,0)),""),"")</f>
        <v/>
      </c>
      <c r="O396" s="36" t="str">
        <f>IFERROR(IF(INDEX(使用レシピ!P:P,MATCH(テンプレート!$C396,使用レシピ!$E:$E,0))&lt;&gt;0,INDEX(使用レシピ!P:P,MATCH(テンプレート!$C396,使用レシピ!$E:$E,0)),""),"")</f>
        <v/>
      </c>
      <c r="P396" t="str">
        <f t="shared" si="31"/>
        <v/>
      </c>
      <c r="Q396" t="str">
        <f t="shared" si="32"/>
        <v/>
      </c>
      <c r="R396" t="str">
        <f t="shared" si="33"/>
        <v/>
      </c>
      <c r="S396" t="str">
        <f t="shared" si="34"/>
        <v/>
      </c>
      <c r="T396" s="24" t="str">
        <f t="shared" si="35"/>
        <v/>
      </c>
    </row>
    <row r="397" spans="2:20" x14ac:dyDescent="0.4">
      <c r="B397" s="49" t="str" cm="1">
        <f t="array" ref="B397">IFERROR((INDEX($P$4:$T$1000,MATCH(VALUE(LEFT($A397,LEN($A397)-1)),$A$4:$A$1000,0),VALUE(RIGHT($A397,1)))/ INDEX($O$4:$O$1000,MATCH(VALUE(LEFT($A397,LEN($A397)-1)),$A$4:$A$1000))) * INDEX($B$4:$B$1000,MATCH(VALUE(LEFT($A397,LEN($A397)-1)),$A$4:$A$1000)),"")</f>
        <v/>
      </c>
      <c r="C397" s="2" t="str" cm="1">
        <f t="array" ref="C397">IFERROR(IF(INDEX($D$4:$H$1000,MATCH(VALUE(LEFT($A397,LEN($A397)-1)),$A$4:$A$1000,0),VALUE(RIGHT($A397,1)))= 0,"",INDEX($D$4:$H$1000,MATCH(VALUE(LEFT($A397,LEN($A397)-1)),$A$4:$A$1000,0),VALUE(RIGHT($A397,1)))),"")</f>
        <v/>
      </c>
      <c r="D397" s="23" t="str">
        <f>IFERROR(IF(INDEX(使用レシピ!F:F,MATCH(テンプレート!$C397,使用レシピ!$E:$E,0))&lt;&gt;0,INDEX(使用レシピ!F:F,MATCH(テンプレート!$C397,使用レシピ!$E:$E,0)),""),"")</f>
        <v/>
      </c>
      <c r="E397" t="str">
        <f>IFERROR(IF(INDEX(使用レシピ!G:G,MATCH(テンプレート!$C397,使用レシピ!$E:$E,0))&lt;&gt;0,INDEX(使用レシピ!G:G,MATCH(テンプレート!$C397,使用レシピ!$E:$E,0)),""),"")</f>
        <v/>
      </c>
      <c r="F397" t="str">
        <f>IFERROR(IF(INDEX(使用レシピ!H:H,MATCH(テンプレート!$C397,使用レシピ!$E:$E,0))&lt;&gt;0,INDEX(使用レシピ!H:H,MATCH(テンプレート!$C397,使用レシピ!$E:$E,0)),""),"")</f>
        <v/>
      </c>
      <c r="G397" t="str">
        <f>IFERROR(IF(INDEX(使用レシピ!I:I,MATCH(テンプレート!$C397,使用レシピ!$E:$E,0))&lt;&gt;0,INDEX(使用レシピ!I:I,MATCH(テンプレート!$C397,使用レシピ!$E:$E,0)),""),"")</f>
        <v/>
      </c>
      <c r="H397" s="24" t="str">
        <f>IFERROR(IF(INDEX(使用レシピ!J:J,MATCH(テンプレート!$C397,使用レシピ!$E:$E,0))&lt;&gt;0,INDEX(使用レシピ!J:J,MATCH(テンプレート!$C397,使用レシピ!$E:$E,0)),""),"")</f>
        <v/>
      </c>
      <c r="I397" s="36" t="str">
        <f>IFERROR(IF(INDEX(使用レシピ!P:P,MATCH(テンプレート!$C397,使用レシピ!$E:$E,0))&lt;&gt;0,INDEX(使用レシピ!P:P,MATCH(テンプレート!$C397,使用レシピ!$E:$E,0)),""),"")</f>
        <v/>
      </c>
      <c r="J397" t="str">
        <f>IFERROR(IF(INDEX(使用レシピ!K:K,MATCH(テンプレート!$C397,使用レシピ!$E:$E,0))&lt;&gt;0,INDEX(使用レシピ!K:K,MATCH(テンプレート!$C397,使用レシピ!$E:$E,0)),""),"")</f>
        <v/>
      </c>
      <c r="K397" t="str">
        <f>IFERROR(IF(INDEX(使用レシピ!L:L,MATCH(テンプレート!$C397,使用レシピ!$E:$E,0))&lt;&gt;0,INDEX(使用レシピ!L:L,MATCH(テンプレート!$C397,使用レシピ!$E:$E,0)),""),"")</f>
        <v/>
      </c>
      <c r="L397" t="str">
        <f>IFERROR(IF(INDEX(使用レシピ!M:M,MATCH(テンプレート!$C397,使用レシピ!$E:$E,0))&lt;&gt;0,INDEX(使用レシピ!M:M,MATCH(テンプレート!$C397,使用レシピ!$E:$E,0)),""),"")</f>
        <v/>
      </c>
      <c r="M397" t="str">
        <f>IFERROR(IF(INDEX(使用レシピ!N:N,MATCH(テンプレート!$C397,使用レシピ!$E:$E,0))&lt;&gt;0,INDEX(使用レシピ!N:N,MATCH(テンプレート!$C397,使用レシピ!$E:$E,0)),""),"")</f>
        <v/>
      </c>
      <c r="N397" s="24" t="str">
        <f>IFERROR(IF(INDEX(使用レシピ!O:O,MATCH(テンプレート!$C397,使用レシピ!$E:$E,0))&lt;&gt;0,INDEX(使用レシピ!O:O,MATCH(テンプレート!$C397,使用レシピ!$E:$E,0)),""),"")</f>
        <v/>
      </c>
      <c r="O397" s="36" t="str">
        <f>IFERROR(IF(INDEX(使用レシピ!P:P,MATCH(テンプレート!$C397,使用レシピ!$E:$E,0))&lt;&gt;0,INDEX(使用レシピ!P:P,MATCH(テンプレート!$C397,使用レシピ!$E:$E,0)),""),"")</f>
        <v/>
      </c>
      <c r="P397" t="str">
        <f t="shared" si="31"/>
        <v/>
      </c>
      <c r="Q397" t="str">
        <f t="shared" si="32"/>
        <v/>
      </c>
      <c r="R397" t="str">
        <f t="shared" si="33"/>
        <v/>
      </c>
      <c r="S397" t="str">
        <f t="shared" si="34"/>
        <v/>
      </c>
      <c r="T397" s="24" t="str">
        <f t="shared" si="35"/>
        <v/>
      </c>
    </row>
    <row r="398" spans="2:20" x14ac:dyDescent="0.4">
      <c r="B398" s="49" t="str" cm="1">
        <f t="array" ref="B398">IFERROR((INDEX($P$4:$T$1000,MATCH(VALUE(LEFT($A398,LEN($A398)-1)),$A$4:$A$1000,0),VALUE(RIGHT($A398,1)))/ INDEX($O$4:$O$1000,MATCH(VALUE(LEFT($A398,LEN($A398)-1)),$A$4:$A$1000))) * INDEX($B$4:$B$1000,MATCH(VALUE(LEFT($A398,LEN($A398)-1)),$A$4:$A$1000)),"")</f>
        <v/>
      </c>
      <c r="C398" s="2" t="str" cm="1">
        <f t="array" ref="C398">IFERROR(IF(INDEX($D$4:$H$1000,MATCH(VALUE(LEFT($A398,LEN($A398)-1)),$A$4:$A$1000,0),VALUE(RIGHT($A398,1)))= 0,"",INDEX($D$4:$H$1000,MATCH(VALUE(LEFT($A398,LEN($A398)-1)),$A$4:$A$1000,0),VALUE(RIGHT($A398,1)))),"")</f>
        <v/>
      </c>
      <c r="D398" s="23" t="str">
        <f>IFERROR(IF(INDEX(使用レシピ!F:F,MATCH(テンプレート!$C398,使用レシピ!$E:$E,0))&lt;&gt;0,INDEX(使用レシピ!F:F,MATCH(テンプレート!$C398,使用レシピ!$E:$E,0)),""),"")</f>
        <v/>
      </c>
      <c r="E398" t="str">
        <f>IFERROR(IF(INDEX(使用レシピ!G:G,MATCH(テンプレート!$C398,使用レシピ!$E:$E,0))&lt;&gt;0,INDEX(使用レシピ!G:G,MATCH(テンプレート!$C398,使用レシピ!$E:$E,0)),""),"")</f>
        <v/>
      </c>
      <c r="F398" t="str">
        <f>IFERROR(IF(INDEX(使用レシピ!H:H,MATCH(テンプレート!$C398,使用レシピ!$E:$E,0))&lt;&gt;0,INDEX(使用レシピ!H:H,MATCH(テンプレート!$C398,使用レシピ!$E:$E,0)),""),"")</f>
        <v/>
      </c>
      <c r="G398" t="str">
        <f>IFERROR(IF(INDEX(使用レシピ!I:I,MATCH(テンプレート!$C398,使用レシピ!$E:$E,0))&lt;&gt;0,INDEX(使用レシピ!I:I,MATCH(テンプレート!$C398,使用レシピ!$E:$E,0)),""),"")</f>
        <v/>
      </c>
      <c r="H398" s="24" t="str">
        <f>IFERROR(IF(INDEX(使用レシピ!J:J,MATCH(テンプレート!$C398,使用レシピ!$E:$E,0))&lt;&gt;0,INDEX(使用レシピ!J:J,MATCH(テンプレート!$C398,使用レシピ!$E:$E,0)),""),"")</f>
        <v/>
      </c>
      <c r="I398" s="36" t="str">
        <f>IFERROR(IF(INDEX(使用レシピ!P:P,MATCH(テンプレート!$C398,使用レシピ!$E:$E,0))&lt;&gt;0,INDEX(使用レシピ!P:P,MATCH(テンプレート!$C398,使用レシピ!$E:$E,0)),""),"")</f>
        <v/>
      </c>
      <c r="J398" t="str">
        <f>IFERROR(IF(INDEX(使用レシピ!K:K,MATCH(テンプレート!$C398,使用レシピ!$E:$E,0))&lt;&gt;0,INDEX(使用レシピ!K:K,MATCH(テンプレート!$C398,使用レシピ!$E:$E,0)),""),"")</f>
        <v/>
      </c>
      <c r="K398" t="str">
        <f>IFERROR(IF(INDEX(使用レシピ!L:L,MATCH(テンプレート!$C398,使用レシピ!$E:$E,0))&lt;&gt;0,INDEX(使用レシピ!L:L,MATCH(テンプレート!$C398,使用レシピ!$E:$E,0)),""),"")</f>
        <v/>
      </c>
      <c r="L398" t="str">
        <f>IFERROR(IF(INDEX(使用レシピ!M:M,MATCH(テンプレート!$C398,使用レシピ!$E:$E,0))&lt;&gt;0,INDEX(使用レシピ!M:M,MATCH(テンプレート!$C398,使用レシピ!$E:$E,0)),""),"")</f>
        <v/>
      </c>
      <c r="M398" t="str">
        <f>IFERROR(IF(INDEX(使用レシピ!N:N,MATCH(テンプレート!$C398,使用レシピ!$E:$E,0))&lt;&gt;0,INDEX(使用レシピ!N:N,MATCH(テンプレート!$C398,使用レシピ!$E:$E,0)),""),"")</f>
        <v/>
      </c>
      <c r="N398" s="24" t="str">
        <f>IFERROR(IF(INDEX(使用レシピ!O:O,MATCH(テンプレート!$C398,使用レシピ!$E:$E,0))&lt;&gt;0,INDEX(使用レシピ!O:O,MATCH(テンプレート!$C398,使用レシピ!$E:$E,0)),""),"")</f>
        <v/>
      </c>
      <c r="O398" s="36" t="str">
        <f>IFERROR(IF(INDEX(使用レシピ!P:P,MATCH(テンプレート!$C398,使用レシピ!$E:$E,0))&lt;&gt;0,INDEX(使用レシピ!P:P,MATCH(テンプレート!$C398,使用レシピ!$E:$E,0)),""),"")</f>
        <v/>
      </c>
      <c r="P398" t="str">
        <f t="shared" si="31"/>
        <v/>
      </c>
      <c r="Q398" t="str">
        <f t="shared" si="32"/>
        <v/>
      </c>
      <c r="R398" t="str">
        <f t="shared" si="33"/>
        <v/>
      </c>
      <c r="S398" t="str">
        <f t="shared" si="34"/>
        <v/>
      </c>
      <c r="T398" s="24" t="str">
        <f t="shared" si="35"/>
        <v/>
      </c>
    </row>
    <row r="399" spans="2:20" x14ac:dyDescent="0.4">
      <c r="B399" s="49" t="str" cm="1">
        <f t="array" ref="B399">IFERROR((INDEX($P$4:$T$1000,MATCH(VALUE(LEFT($A399,LEN($A399)-1)),$A$4:$A$1000,0),VALUE(RIGHT($A399,1)))/ INDEX($O$4:$O$1000,MATCH(VALUE(LEFT($A399,LEN($A399)-1)),$A$4:$A$1000))) * INDEX($B$4:$B$1000,MATCH(VALUE(LEFT($A399,LEN($A399)-1)),$A$4:$A$1000)),"")</f>
        <v/>
      </c>
      <c r="C399" s="2" t="str" cm="1">
        <f t="array" ref="C399">IFERROR(IF(INDEX($D$4:$H$1000,MATCH(VALUE(LEFT($A399,LEN($A399)-1)),$A$4:$A$1000,0),VALUE(RIGHT($A399,1)))= 0,"",INDEX($D$4:$H$1000,MATCH(VALUE(LEFT($A399,LEN($A399)-1)),$A$4:$A$1000,0),VALUE(RIGHT($A399,1)))),"")</f>
        <v/>
      </c>
      <c r="D399" s="23" t="str">
        <f>IFERROR(IF(INDEX(使用レシピ!F:F,MATCH(テンプレート!$C399,使用レシピ!$E:$E,0))&lt;&gt;0,INDEX(使用レシピ!F:F,MATCH(テンプレート!$C399,使用レシピ!$E:$E,0)),""),"")</f>
        <v/>
      </c>
      <c r="E399" t="str">
        <f>IFERROR(IF(INDEX(使用レシピ!G:G,MATCH(テンプレート!$C399,使用レシピ!$E:$E,0))&lt;&gt;0,INDEX(使用レシピ!G:G,MATCH(テンプレート!$C399,使用レシピ!$E:$E,0)),""),"")</f>
        <v/>
      </c>
      <c r="F399" t="str">
        <f>IFERROR(IF(INDEX(使用レシピ!H:H,MATCH(テンプレート!$C399,使用レシピ!$E:$E,0))&lt;&gt;0,INDEX(使用レシピ!H:H,MATCH(テンプレート!$C399,使用レシピ!$E:$E,0)),""),"")</f>
        <v/>
      </c>
      <c r="G399" t="str">
        <f>IFERROR(IF(INDEX(使用レシピ!I:I,MATCH(テンプレート!$C399,使用レシピ!$E:$E,0))&lt;&gt;0,INDEX(使用レシピ!I:I,MATCH(テンプレート!$C399,使用レシピ!$E:$E,0)),""),"")</f>
        <v/>
      </c>
      <c r="H399" s="24" t="str">
        <f>IFERROR(IF(INDEX(使用レシピ!J:J,MATCH(テンプレート!$C399,使用レシピ!$E:$E,0))&lt;&gt;0,INDEX(使用レシピ!J:J,MATCH(テンプレート!$C399,使用レシピ!$E:$E,0)),""),"")</f>
        <v/>
      </c>
      <c r="I399" s="36" t="str">
        <f>IFERROR(IF(INDEX(使用レシピ!P:P,MATCH(テンプレート!$C399,使用レシピ!$E:$E,0))&lt;&gt;0,INDEX(使用レシピ!P:P,MATCH(テンプレート!$C399,使用レシピ!$E:$E,0)),""),"")</f>
        <v/>
      </c>
      <c r="J399" t="str">
        <f>IFERROR(IF(INDEX(使用レシピ!K:K,MATCH(テンプレート!$C399,使用レシピ!$E:$E,0))&lt;&gt;0,INDEX(使用レシピ!K:K,MATCH(テンプレート!$C399,使用レシピ!$E:$E,0)),""),"")</f>
        <v/>
      </c>
      <c r="K399" t="str">
        <f>IFERROR(IF(INDEX(使用レシピ!L:L,MATCH(テンプレート!$C399,使用レシピ!$E:$E,0))&lt;&gt;0,INDEX(使用レシピ!L:L,MATCH(テンプレート!$C399,使用レシピ!$E:$E,0)),""),"")</f>
        <v/>
      </c>
      <c r="L399" t="str">
        <f>IFERROR(IF(INDEX(使用レシピ!M:M,MATCH(テンプレート!$C399,使用レシピ!$E:$E,0))&lt;&gt;0,INDEX(使用レシピ!M:M,MATCH(テンプレート!$C399,使用レシピ!$E:$E,0)),""),"")</f>
        <v/>
      </c>
      <c r="M399" t="str">
        <f>IFERROR(IF(INDEX(使用レシピ!N:N,MATCH(テンプレート!$C399,使用レシピ!$E:$E,0))&lt;&gt;0,INDEX(使用レシピ!N:N,MATCH(テンプレート!$C399,使用レシピ!$E:$E,0)),""),"")</f>
        <v/>
      </c>
      <c r="N399" s="24" t="str">
        <f>IFERROR(IF(INDEX(使用レシピ!O:O,MATCH(テンプレート!$C399,使用レシピ!$E:$E,0))&lt;&gt;0,INDEX(使用レシピ!O:O,MATCH(テンプレート!$C399,使用レシピ!$E:$E,0)),""),"")</f>
        <v/>
      </c>
      <c r="O399" s="36" t="str">
        <f>IFERROR(IF(INDEX(使用レシピ!P:P,MATCH(テンプレート!$C399,使用レシピ!$E:$E,0))&lt;&gt;0,INDEX(使用レシピ!P:P,MATCH(テンプレート!$C399,使用レシピ!$E:$E,0)),""),"")</f>
        <v/>
      </c>
      <c r="P399" t="str">
        <f t="shared" si="31"/>
        <v/>
      </c>
      <c r="Q399" t="str">
        <f t="shared" si="32"/>
        <v/>
      </c>
      <c r="R399" t="str">
        <f t="shared" si="33"/>
        <v/>
      </c>
      <c r="S399" t="str">
        <f t="shared" si="34"/>
        <v/>
      </c>
      <c r="T399" s="24" t="str">
        <f t="shared" si="35"/>
        <v/>
      </c>
    </row>
    <row r="400" spans="2:20" x14ac:dyDescent="0.4">
      <c r="B400" s="49" t="str" cm="1">
        <f t="array" ref="B400">IFERROR((INDEX($P$4:$T$1000,MATCH(VALUE(LEFT($A400,LEN($A400)-1)),$A$4:$A$1000,0),VALUE(RIGHT($A400,1)))/ INDEX($O$4:$O$1000,MATCH(VALUE(LEFT($A400,LEN($A400)-1)),$A$4:$A$1000))) * INDEX($B$4:$B$1000,MATCH(VALUE(LEFT($A400,LEN($A400)-1)),$A$4:$A$1000)),"")</f>
        <v/>
      </c>
      <c r="C400" s="2" t="str" cm="1">
        <f t="array" ref="C400">IFERROR(IF(INDEX($D$4:$H$1000,MATCH(VALUE(LEFT($A400,LEN($A400)-1)),$A$4:$A$1000,0),VALUE(RIGHT($A400,1)))= 0,"",INDEX($D$4:$H$1000,MATCH(VALUE(LEFT($A400,LEN($A400)-1)),$A$4:$A$1000,0),VALUE(RIGHT($A400,1)))),"")</f>
        <v/>
      </c>
      <c r="D400" s="23" t="str">
        <f>IFERROR(IF(INDEX(使用レシピ!F:F,MATCH(テンプレート!$C400,使用レシピ!$E:$E,0))&lt;&gt;0,INDEX(使用レシピ!F:F,MATCH(テンプレート!$C400,使用レシピ!$E:$E,0)),""),"")</f>
        <v/>
      </c>
      <c r="E400" t="str">
        <f>IFERROR(IF(INDEX(使用レシピ!G:G,MATCH(テンプレート!$C400,使用レシピ!$E:$E,0))&lt;&gt;0,INDEX(使用レシピ!G:G,MATCH(テンプレート!$C400,使用レシピ!$E:$E,0)),""),"")</f>
        <v/>
      </c>
      <c r="F400" t="str">
        <f>IFERROR(IF(INDEX(使用レシピ!H:H,MATCH(テンプレート!$C400,使用レシピ!$E:$E,0))&lt;&gt;0,INDEX(使用レシピ!H:H,MATCH(テンプレート!$C400,使用レシピ!$E:$E,0)),""),"")</f>
        <v/>
      </c>
      <c r="G400" t="str">
        <f>IFERROR(IF(INDEX(使用レシピ!I:I,MATCH(テンプレート!$C400,使用レシピ!$E:$E,0))&lt;&gt;0,INDEX(使用レシピ!I:I,MATCH(テンプレート!$C400,使用レシピ!$E:$E,0)),""),"")</f>
        <v/>
      </c>
      <c r="H400" s="24" t="str">
        <f>IFERROR(IF(INDEX(使用レシピ!J:J,MATCH(テンプレート!$C400,使用レシピ!$E:$E,0))&lt;&gt;0,INDEX(使用レシピ!J:J,MATCH(テンプレート!$C400,使用レシピ!$E:$E,0)),""),"")</f>
        <v/>
      </c>
      <c r="I400" s="36" t="str">
        <f>IFERROR(IF(INDEX(使用レシピ!P:P,MATCH(テンプレート!$C400,使用レシピ!$E:$E,0))&lt;&gt;0,INDEX(使用レシピ!P:P,MATCH(テンプレート!$C400,使用レシピ!$E:$E,0)),""),"")</f>
        <v/>
      </c>
      <c r="J400" t="str">
        <f>IFERROR(IF(INDEX(使用レシピ!K:K,MATCH(テンプレート!$C400,使用レシピ!$E:$E,0))&lt;&gt;0,INDEX(使用レシピ!K:K,MATCH(テンプレート!$C400,使用レシピ!$E:$E,0)),""),"")</f>
        <v/>
      </c>
      <c r="K400" t="str">
        <f>IFERROR(IF(INDEX(使用レシピ!L:L,MATCH(テンプレート!$C400,使用レシピ!$E:$E,0))&lt;&gt;0,INDEX(使用レシピ!L:L,MATCH(テンプレート!$C400,使用レシピ!$E:$E,0)),""),"")</f>
        <v/>
      </c>
      <c r="L400" t="str">
        <f>IFERROR(IF(INDEX(使用レシピ!M:M,MATCH(テンプレート!$C400,使用レシピ!$E:$E,0))&lt;&gt;0,INDEX(使用レシピ!M:M,MATCH(テンプレート!$C400,使用レシピ!$E:$E,0)),""),"")</f>
        <v/>
      </c>
      <c r="M400" t="str">
        <f>IFERROR(IF(INDEX(使用レシピ!N:N,MATCH(テンプレート!$C400,使用レシピ!$E:$E,0))&lt;&gt;0,INDEX(使用レシピ!N:N,MATCH(テンプレート!$C400,使用レシピ!$E:$E,0)),""),"")</f>
        <v/>
      </c>
      <c r="N400" s="24" t="str">
        <f>IFERROR(IF(INDEX(使用レシピ!O:O,MATCH(テンプレート!$C400,使用レシピ!$E:$E,0))&lt;&gt;0,INDEX(使用レシピ!O:O,MATCH(テンプレート!$C400,使用レシピ!$E:$E,0)),""),"")</f>
        <v/>
      </c>
      <c r="O400" s="36" t="str">
        <f>IFERROR(IF(INDEX(使用レシピ!P:P,MATCH(テンプレート!$C400,使用レシピ!$E:$E,0))&lt;&gt;0,INDEX(使用レシピ!P:P,MATCH(テンプレート!$C400,使用レシピ!$E:$E,0)),""),"")</f>
        <v/>
      </c>
      <c r="P400" t="str">
        <f t="shared" si="31"/>
        <v/>
      </c>
      <c r="Q400" t="str">
        <f t="shared" si="32"/>
        <v/>
      </c>
      <c r="R400" t="str">
        <f t="shared" si="33"/>
        <v/>
      </c>
      <c r="S400" t="str">
        <f t="shared" si="34"/>
        <v/>
      </c>
      <c r="T400" s="24" t="str">
        <f t="shared" si="35"/>
        <v/>
      </c>
    </row>
    <row r="401" spans="2:20" x14ac:dyDescent="0.4">
      <c r="B401" s="49" t="str" cm="1">
        <f t="array" ref="B401">IFERROR((INDEX($P$4:$T$1000,MATCH(VALUE(LEFT($A401,LEN($A401)-1)),$A$4:$A$1000,0),VALUE(RIGHT($A401,1)))/ INDEX($O$4:$O$1000,MATCH(VALUE(LEFT($A401,LEN($A401)-1)),$A$4:$A$1000))) * INDEX($B$4:$B$1000,MATCH(VALUE(LEFT($A401,LEN($A401)-1)),$A$4:$A$1000)),"")</f>
        <v/>
      </c>
      <c r="C401" s="2" t="str" cm="1">
        <f t="array" ref="C401">IFERROR(IF(INDEX($D$4:$H$1000,MATCH(VALUE(LEFT($A401,LEN($A401)-1)),$A$4:$A$1000,0),VALUE(RIGHT($A401,1)))= 0,"",INDEX($D$4:$H$1000,MATCH(VALUE(LEFT($A401,LEN($A401)-1)),$A$4:$A$1000,0),VALUE(RIGHT($A401,1)))),"")</f>
        <v/>
      </c>
      <c r="D401" s="23" t="str">
        <f>IFERROR(IF(INDEX(使用レシピ!F:F,MATCH(テンプレート!$C401,使用レシピ!$E:$E,0))&lt;&gt;0,INDEX(使用レシピ!F:F,MATCH(テンプレート!$C401,使用レシピ!$E:$E,0)),""),"")</f>
        <v/>
      </c>
      <c r="E401" t="str">
        <f>IFERROR(IF(INDEX(使用レシピ!G:G,MATCH(テンプレート!$C401,使用レシピ!$E:$E,0))&lt;&gt;0,INDEX(使用レシピ!G:G,MATCH(テンプレート!$C401,使用レシピ!$E:$E,0)),""),"")</f>
        <v/>
      </c>
      <c r="F401" t="str">
        <f>IFERROR(IF(INDEX(使用レシピ!H:H,MATCH(テンプレート!$C401,使用レシピ!$E:$E,0))&lt;&gt;0,INDEX(使用レシピ!H:H,MATCH(テンプレート!$C401,使用レシピ!$E:$E,0)),""),"")</f>
        <v/>
      </c>
      <c r="G401" t="str">
        <f>IFERROR(IF(INDEX(使用レシピ!I:I,MATCH(テンプレート!$C401,使用レシピ!$E:$E,0))&lt;&gt;0,INDEX(使用レシピ!I:I,MATCH(テンプレート!$C401,使用レシピ!$E:$E,0)),""),"")</f>
        <v/>
      </c>
      <c r="H401" s="24" t="str">
        <f>IFERROR(IF(INDEX(使用レシピ!J:J,MATCH(テンプレート!$C401,使用レシピ!$E:$E,0))&lt;&gt;0,INDEX(使用レシピ!J:J,MATCH(テンプレート!$C401,使用レシピ!$E:$E,0)),""),"")</f>
        <v/>
      </c>
      <c r="I401" s="36" t="str">
        <f>IFERROR(IF(INDEX(使用レシピ!P:P,MATCH(テンプレート!$C401,使用レシピ!$E:$E,0))&lt;&gt;0,INDEX(使用レシピ!P:P,MATCH(テンプレート!$C401,使用レシピ!$E:$E,0)),""),"")</f>
        <v/>
      </c>
      <c r="J401" t="str">
        <f>IFERROR(IF(INDEX(使用レシピ!K:K,MATCH(テンプレート!$C401,使用レシピ!$E:$E,0))&lt;&gt;0,INDEX(使用レシピ!K:K,MATCH(テンプレート!$C401,使用レシピ!$E:$E,0)),""),"")</f>
        <v/>
      </c>
      <c r="K401" t="str">
        <f>IFERROR(IF(INDEX(使用レシピ!L:L,MATCH(テンプレート!$C401,使用レシピ!$E:$E,0))&lt;&gt;0,INDEX(使用レシピ!L:L,MATCH(テンプレート!$C401,使用レシピ!$E:$E,0)),""),"")</f>
        <v/>
      </c>
      <c r="L401" t="str">
        <f>IFERROR(IF(INDEX(使用レシピ!M:M,MATCH(テンプレート!$C401,使用レシピ!$E:$E,0))&lt;&gt;0,INDEX(使用レシピ!M:M,MATCH(テンプレート!$C401,使用レシピ!$E:$E,0)),""),"")</f>
        <v/>
      </c>
      <c r="M401" t="str">
        <f>IFERROR(IF(INDEX(使用レシピ!N:N,MATCH(テンプレート!$C401,使用レシピ!$E:$E,0))&lt;&gt;0,INDEX(使用レシピ!N:N,MATCH(テンプレート!$C401,使用レシピ!$E:$E,0)),""),"")</f>
        <v/>
      </c>
      <c r="N401" s="24" t="str">
        <f>IFERROR(IF(INDEX(使用レシピ!O:O,MATCH(テンプレート!$C401,使用レシピ!$E:$E,0))&lt;&gt;0,INDEX(使用レシピ!O:O,MATCH(テンプレート!$C401,使用レシピ!$E:$E,0)),""),"")</f>
        <v/>
      </c>
      <c r="O401" s="36" t="str">
        <f>IFERROR(IF(INDEX(使用レシピ!P:P,MATCH(テンプレート!$C401,使用レシピ!$E:$E,0))&lt;&gt;0,INDEX(使用レシピ!P:P,MATCH(テンプレート!$C401,使用レシピ!$E:$E,0)),""),"")</f>
        <v/>
      </c>
      <c r="P401" t="str">
        <f t="shared" si="31"/>
        <v/>
      </c>
      <c r="Q401" t="str">
        <f t="shared" si="32"/>
        <v/>
      </c>
      <c r="R401" t="str">
        <f t="shared" si="33"/>
        <v/>
      </c>
      <c r="S401" t="str">
        <f t="shared" si="34"/>
        <v/>
      </c>
      <c r="T401" s="24" t="str">
        <f t="shared" si="35"/>
        <v/>
      </c>
    </row>
    <row r="402" spans="2:20" x14ac:dyDescent="0.4">
      <c r="B402" s="49" t="str" cm="1">
        <f t="array" ref="B402">IFERROR((INDEX($P$4:$T$1000,MATCH(VALUE(LEFT($A402,LEN($A402)-1)),$A$4:$A$1000,0),VALUE(RIGHT($A402,1)))/ INDEX($O$4:$O$1000,MATCH(VALUE(LEFT($A402,LEN($A402)-1)),$A$4:$A$1000))) * INDEX($B$4:$B$1000,MATCH(VALUE(LEFT($A402,LEN($A402)-1)),$A$4:$A$1000)),"")</f>
        <v/>
      </c>
      <c r="C402" s="2" t="str" cm="1">
        <f t="array" ref="C402">IFERROR(IF(INDEX($D$4:$H$1000,MATCH(VALUE(LEFT($A402,LEN($A402)-1)),$A$4:$A$1000,0),VALUE(RIGHT($A402,1)))= 0,"",INDEX($D$4:$H$1000,MATCH(VALUE(LEFT($A402,LEN($A402)-1)),$A$4:$A$1000,0),VALUE(RIGHT($A402,1)))),"")</f>
        <v/>
      </c>
      <c r="D402" s="23" t="str">
        <f>IFERROR(IF(INDEX(使用レシピ!F:F,MATCH(テンプレート!$C402,使用レシピ!$E:$E,0))&lt;&gt;0,INDEX(使用レシピ!F:F,MATCH(テンプレート!$C402,使用レシピ!$E:$E,0)),""),"")</f>
        <v/>
      </c>
      <c r="E402" t="str">
        <f>IFERROR(IF(INDEX(使用レシピ!G:G,MATCH(テンプレート!$C402,使用レシピ!$E:$E,0))&lt;&gt;0,INDEX(使用レシピ!G:G,MATCH(テンプレート!$C402,使用レシピ!$E:$E,0)),""),"")</f>
        <v/>
      </c>
      <c r="F402" t="str">
        <f>IFERROR(IF(INDEX(使用レシピ!H:H,MATCH(テンプレート!$C402,使用レシピ!$E:$E,0))&lt;&gt;0,INDEX(使用レシピ!H:H,MATCH(テンプレート!$C402,使用レシピ!$E:$E,0)),""),"")</f>
        <v/>
      </c>
      <c r="G402" t="str">
        <f>IFERROR(IF(INDEX(使用レシピ!I:I,MATCH(テンプレート!$C402,使用レシピ!$E:$E,0))&lt;&gt;0,INDEX(使用レシピ!I:I,MATCH(テンプレート!$C402,使用レシピ!$E:$E,0)),""),"")</f>
        <v/>
      </c>
      <c r="H402" s="24" t="str">
        <f>IFERROR(IF(INDEX(使用レシピ!J:J,MATCH(テンプレート!$C402,使用レシピ!$E:$E,0))&lt;&gt;0,INDEX(使用レシピ!J:J,MATCH(テンプレート!$C402,使用レシピ!$E:$E,0)),""),"")</f>
        <v/>
      </c>
      <c r="I402" s="36" t="str">
        <f>IFERROR(IF(INDEX(使用レシピ!P:P,MATCH(テンプレート!$C402,使用レシピ!$E:$E,0))&lt;&gt;0,INDEX(使用レシピ!P:P,MATCH(テンプレート!$C402,使用レシピ!$E:$E,0)),""),"")</f>
        <v/>
      </c>
      <c r="J402" t="str">
        <f>IFERROR(IF(INDEX(使用レシピ!K:K,MATCH(テンプレート!$C402,使用レシピ!$E:$E,0))&lt;&gt;0,INDEX(使用レシピ!K:K,MATCH(テンプレート!$C402,使用レシピ!$E:$E,0)),""),"")</f>
        <v/>
      </c>
      <c r="K402" t="str">
        <f>IFERROR(IF(INDEX(使用レシピ!L:L,MATCH(テンプレート!$C402,使用レシピ!$E:$E,0))&lt;&gt;0,INDEX(使用レシピ!L:L,MATCH(テンプレート!$C402,使用レシピ!$E:$E,0)),""),"")</f>
        <v/>
      </c>
      <c r="L402" t="str">
        <f>IFERROR(IF(INDEX(使用レシピ!M:M,MATCH(テンプレート!$C402,使用レシピ!$E:$E,0))&lt;&gt;0,INDEX(使用レシピ!M:M,MATCH(テンプレート!$C402,使用レシピ!$E:$E,0)),""),"")</f>
        <v/>
      </c>
      <c r="M402" t="str">
        <f>IFERROR(IF(INDEX(使用レシピ!N:N,MATCH(テンプレート!$C402,使用レシピ!$E:$E,0))&lt;&gt;0,INDEX(使用レシピ!N:N,MATCH(テンプレート!$C402,使用レシピ!$E:$E,0)),""),"")</f>
        <v/>
      </c>
      <c r="N402" s="24" t="str">
        <f>IFERROR(IF(INDEX(使用レシピ!O:O,MATCH(テンプレート!$C402,使用レシピ!$E:$E,0))&lt;&gt;0,INDEX(使用レシピ!O:O,MATCH(テンプレート!$C402,使用レシピ!$E:$E,0)),""),"")</f>
        <v/>
      </c>
      <c r="O402" s="36" t="str">
        <f>IFERROR(IF(INDEX(使用レシピ!P:P,MATCH(テンプレート!$C402,使用レシピ!$E:$E,0))&lt;&gt;0,INDEX(使用レシピ!P:P,MATCH(テンプレート!$C402,使用レシピ!$E:$E,0)),""),"")</f>
        <v/>
      </c>
      <c r="P402" t="str">
        <f t="shared" si="31"/>
        <v/>
      </c>
      <c r="Q402" t="str">
        <f t="shared" si="32"/>
        <v/>
      </c>
      <c r="R402" t="str">
        <f t="shared" si="33"/>
        <v/>
      </c>
      <c r="S402" t="str">
        <f t="shared" si="34"/>
        <v/>
      </c>
      <c r="T402" s="24" t="str">
        <f t="shared" si="35"/>
        <v/>
      </c>
    </row>
    <row r="403" spans="2:20" x14ac:dyDescent="0.4">
      <c r="B403" s="49" t="str" cm="1">
        <f t="array" ref="B403">IFERROR((INDEX($P$4:$T$1000,MATCH(VALUE(LEFT($A403,LEN($A403)-1)),$A$4:$A$1000,0),VALUE(RIGHT($A403,1)))/ INDEX($O$4:$O$1000,MATCH(VALUE(LEFT($A403,LEN($A403)-1)),$A$4:$A$1000))) * INDEX($B$4:$B$1000,MATCH(VALUE(LEFT($A403,LEN($A403)-1)),$A$4:$A$1000)),"")</f>
        <v/>
      </c>
      <c r="C403" s="2" t="str" cm="1">
        <f t="array" ref="C403">IFERROR(IF(INDEX($D$4:$H$1000,MATCH(VALUE(LEFT($A403,LEN($A403)-1)),$A$4:$A$1000,0),VALUE(RIGHT($A403,1)))= 0,"",INDEX($D$4:$H$1000,MATCH(VALUE(LEFT($A403,LEN($A403)-1)),$A$4:$A$1000,0),VALUE(RIGHT($A403,1)))),"")</f>
        <v/>
      </c>
      <c r="D403" s="23" t="str">
        <f>IFERROR(IF(INDEX(使用レシピ!F:F,MATCH(テンプレート!$C403,使用レシピ!$E:$E,0))&lt;&gt;0,INDEX(使用レシピ!F:F,MATCH(テンプレート!$C403,使用レシピ!$E:$E,0)),""),"")</f>
        <v/>
      </c>
      <c r="E403" t="str">
        <f>IFERROR(IF(INDEX(使用レシピ!G:G,MATCH(テンプレート!$C403,使用レシピ!$E:$E,0))&lt;&gt;0,INDEX(使用レシピ!G:G,MATCH(テンプレート!$C403,使用レシピ!$E:$E,0)),""),"")</f>
        <v/>
      </c>
      <c r="F403" t="str">
        <f>IFERROR(IF(INDEX(使用レシピ!H:H,MATCH(テンプレート!$C403,使用レシピ!$E:$E,0))&lt;&gt;0,INDEX(使用レシピ!H:H,MATCH(テンプレート!$C403,使用レシピ!$E:$E,0)),""),"")</f>
        <v/>
      </c>
      <c r="G403" t="str">
        <f>IFERROR(IF(INDEX(使用レシピ!I:I,MATCH(テンプレート!$C403,使用レシピ!$E:$E,0))&lt;&gt;0,INDEX(使用レシピ!I:I,MATCH(テンプレート!$C403,使用レシピ!$E:$E,0)),""),"")</f>
        <v/>
      </c>
      <c r="H403" s="24" t="str">
        <f>IFERROR(IF(INDEX(使用レシピ!J:J,MATCH(テンプレート!$C403,使用レシピ!$E:$E,0))&lt;&gt;0,INDEX(使用レシピ!J:J,MATCH(テンプレート!$C403,使用レシピ!$E:$E,0)),""),"")</f>
        <v/>
      </c>
      <c r="I403" s="36" t="str">
        <f>IFERROR(IF(INDEX(使用レシピ!P:P,MATCH(テンプレート!$C403,使用レシピ!$E:$E,0))&lt;&gt;0,INDEX(使用レシピ!P:P,MATCH(テンプレート!$C403,使用レシピ!$E:$E,0)),""),"")</f>
        <v/>
      </c>
      <c r="J403" t="str">
        <f>IFERROR(IF(INDEX(使用レシピ!K:K,MATCH(テンプレート!$C403,使用レシピ!$E:$E,0))&lt;&gt;0,INDEX(使用レシピ!K:K,MATCH(テンプレート!$C403,使用レシピ!$E:$E,0)),""),"")</f>
        <v/>
      </c>
      <c r="K403" t="str">
        <f>IFERROR(IF(INDEX(使用レシピ!L:L,MATCH(テンプレート!$C403,使用レシピ!$E:$E,0))&lt;&gt;0,INDEX(使用レシピ!L:L,MATCH(テンプレート!$C403,使用レシピ!$E:$E,0)),""),"")</f>
        <v/>
      </c>
      <c r="L403" t="str">
        <f>IFERROR(IF(INDEX(使用レシピ!M:M,MATCH(テンプレート!$C403,使用レシピ!$E:$E,0))&lt;&gt;0,INDEX(使用レシピ!M:M,MATCH(テンプレート!$C403,使用レシピ!$E:$E,0)),""),"")</f>
        <v/>
      </c>
      <c r="M403" t="str">
        <f>IFERROR(IF(INDEX(使用レシピ!N:N,MATCH(テンプレート!$C403,使用レシピ!$E:$E,0))&lt;&gt;0,INDEX(使用レシピ!N:N,MATCH(テンプレート!$C403,使用レシピ!$E:$E,0)),""),"")</f>
        <v/>
      </c>
      <c r="N403" s="24" t="str">
        <f>IFERROR(IF(INDEX(使用レシピ!O:O,MATCH(テンプレート!$C403,使用レシピ!$E:$E,0))&lt;&gt;0,INDEX(使用レシピ!O:O,MATCH(テンプレート!$C403,使用レシピ!$E:$E,0)),""),"")</f>
        <v/>
      </c>
      <c r="O403" s="36" t="str">
        <f>IFERROR(IF(INDEX(使用レシピ!P:P,MATCH(テンプレート!$C403,使用レシピ!$E:$E,0))&lt;&gt;0,INDEX(使用レシピ!P:P,MATCH(テンプレート!$C403,使用レシピ!$E:$E,0)),""),"")</f>
        <v/>
      </c>
      <c r="P403" t="str">
        <f t="shared" si="31"/>
        <v/>
      </c>
      <c r="Q403" t="str">
        <f t="shared" si="32"/>
        <v/>
      </c>
      <c r="R403" t="str">
        <f t="shared" si="33"/>
        <v/>
      </c>
      <c r="S403" t="str">
        <f t="shared" si="34"/>
        <v/>
      </c>
      <c r="T403" s="24" t="str">
        <f t="shared" si="35"/>
        <v/>
      </c>
    </row>
    <row r="404" spans="2:20" x14ac:dyDescent="0.4">
      <c r="B404" s="49" t="str" cm="1">
        <f t="array" ref="B404">IFERROR((INDEX($P$4:$T$1000,MATCH(VALUE(LEFT($A404,LEN($A404)-1)),$A$4:$A$1000,0),VALUE(RIGHT($A404,1)))/ INDEX($O$4:$O$1000,MATCH(VALUE(LEFT($A404,LEN($A404)-1)),$A$4:$A$1000))) * INDEX($B$4:$B$1000,MATCH(VALUE(LEFT($A404,LEN($A404)-1)),$A$4:$A$1000)),"")</f>
        <v/>
      </c>
      <c r="C404" s="2" t="str" cm="1">
        <f t="array" ref="C404">IFERROR(IF(INDEX($D$4:$H$1000,MATCH(VALUE(LEFT($A404,LEN($A404)-1)),$A$4:$A$1000,0),VALUE(RIGHT($A404,1)))= 0,"",INDEX($D$4:$H$1000,MATCH(VALUE(LEFT($A404,LEN($A404)-1)),$A$4:$A$1000,0),VALUE(RIGHT($A404,1)))),"")</f>
        <v/>
      </c>
      <c r="D404" s="23" t="str">
        <f>IFERROR(IF(INDEX(使用レシピ!F:F,MATCH(テンプレート!$C404,使用レシピ!$E:$E,0))&lt;&gt;0,INDEX(使用レシピ!F:F,MATCH(テンプレート!$C404,使用レシピ!$E:$E,0)),""),"")</f>
        <v/>
      </c>
      <c r="E404" t="str">
        <f>IFERROR(IF(INDEX(使用レシピ!G:G,MATCH(テンプレート!$C404,使用レシピ!$E:$E,0))&lt;&gt;0,INDEX(使用レシピ!G:G,MATCH(テンプレート!$C404,使用レシピ!$E:$E,0)),""),"")</f>
        <v/>
      </c>
      <c r="F404" t="str">
        <f>IFERROR(IF(INDEX(使用レシピ!H:H,MATCH(テンプレート!$C404,使用レシピ!$E:$E,0))&lt;&gt;0,INDEX(使用レシピ!H:H,MATCH(テンプレート!$C404,使用レシピ!$E:$E,0)),""),"")</f>
        <v/>
      </c>
      <c r="G404" t="str">
        <f>IFERROR(IF(INDEX(使用レシピ!I:I,MATCH(テンプレート!$C404,使用レシピ!$E:$E,0))&lt;&gt;0,INDEX(使用レシピ!I:I,MATCH(テンプレート!$C404,使用レシピ!$E:$E,0)),""),"")</f>
        <v/>
      </c>
      <c r="H404" s="24" t="str">
        <f>IFERROR(IF(INDEX(使用レシピ!J:J,MATCH(テンプレート!$C404,使用レシピ!$E:$E,0))&lt;&gt;0,INDEX(使用レシピ!J:J,MATCH(テンプレート!$C404,使用レシピ!$E:$E,0)),""),"")</f>
        <v/>
      </c>
      <c r="I404" s="36" t="str">
        <f>IFERROR(IF(INDEX(使用レシピ!P:P,MATCH(テンプレート!$C404,使用レシピ!$E:$E,0))&lt;&gt;0,INDEX(使用レシピ!P:P,MATCH(テンプレート!$C404,使用レシピ!$E:$E,0)),""),"")</f>
        <v/>
      </c>
      <c r="J404" t="str">
        <f>IFERROR(IF(INDEX(使用レシピ!K:K,MATCH(テンプレート!$C404,使用レシピ!$E:$E,0))&lt;&gt;0,INDEX(使用レシピ!K:K,MATCH(テンプレート!$C404,使用レシピ!$E:$E,0)),""),"")</f>
        <v/>
      </c>
      <c r="K404" t="str">
        <f>IFERROR(IF(INDEX(使用レシピ!L:L,MATCH(テンプレート!$C404,使用レシピ!$E:$E,0))&lt;&gt;0,INDEX(使用レシピ!L:L,MATCH(テンプレート!$C404,使用レシピ!$E:$E,0)),""),"")</f>
        <v/>
      </c>
      <c r="L404" t="str">
        <f>IFERROR(IF(INDEX(使用レシピ!M:M,MATCH(テンプレート!$C404,使用レシピ!$E:$E,0))&lt;&gt;0,INDEX(使用レシピ!M:M,MATCH(テンプレート!$C404,使用レシピ!$E:$E,0)),""),"")</f>
        <v/>
      </c>
      <c r="M404" t="str">
        <f>IFERROR(IF(INDEX(使用レシピ!N:N,MATCH(テンプレート!$C404,使用レシピ!$E:$E,0))&lt;&gt;0,INDEX(使用レシピ!N:N,MATCH(テンプレート!$C404,使用レシピ!$E:$E,0)),""),"")</f>
        <v/>
      </c>
      <c r="N404" s="24" t="str">
        <f>IFERROR(IF(INDEX(使用レシピ!O:O,MATCH(テンプレート!$C404,使用レシピ!$E:$E,0))&lt;&gt;0,INDEX(使用レシピ!O:O,MATCH(テンプレート!$C404,使用レシピ!$E:$E,0)),""),"")</f>
        <v/>
      </c>
      <c r="O404" s="36" t="str">
        <f>IFERROR(IF(INDEX(使用レシピ!P:P,MATCH(テンプレート!$C404,使用レシピ!$E:$E,0))&lt;&gt;0,INDEX(使用レシピ!P:P,MATCH(テンプレート!$C404,使用レシピ!$E:$E,0)),""),"")</f>
        <v/>
      </c>
      <c r="P404" t="str">
        <f t="shared" si="31"/>
        <v/>
      </c>
      <c r="Q404" t="str">
        <f t="shared" si="32"/>
        <v/>
      </c>
      <c r="R404" t="str">
        <f t="shared" si="33"/>
        <v/>
      </c>
      <c r="S404" t="str">
        <f t="shared" si="34"/>
        <v/>
      </c>
      <c r="T404" s="24" t="str">
        <f t="shared" si="35"/>
        <v/>
      </c>
    </row>
    <row r="405" spans="2:20" x14ac:dyDescent="0.4">
      <c r="B405" s="49" t="str" cm="1">
        <f t="array" ref="B405">IFERROR((INDEX($P$4:$T$1000,MATCH(VALUE(LEFT($A405,LEN($A405)-1)),$A$4:$A$1000,0),VALUE(RIGHT($A405,1)))/ INDEX($O$4:$O$1000,MATCH(VALUE(LEFT($A405,LEN($A405)-1)),$A$4:$A$1000))) * INDEX($B$4:$B$1000,MATCH(VALUE(LEFT($A405,LEN($A405)-1)),$A$4:$A$1000)),"")</f>
        <v/>
      </c>
      <c r="C405" s="2" t="str" cm="1">
        <f t="array" ref="C405">IFERROR(IF(INDEX($D$4:$H$1000,MATCH(VALUE(LEFT($A405,LEN($A405)-1)),$A$4:$A$1000,0),VALUE(RIGHT($A405,1)))= 0,"",INDEX($D$4:$H$1000,MATCH(VALUE(LEFT($A405,LEN($A405)-1)),$A$4:$A$1000,0),VALUE(RIGHT($A405,1)))),"")</f>
        <v/>
      </c>
      <c r="D405" s="23" t="str">
        <f>IFERROR(IF(INDEX(使用レシピ!F:F,MATCH(テンプレート!$C405,使用レシピ!$E:$E,0))&lt;&gt;0,INDEX(使用レシピ!F:F,MATCH(テンプレート!$C405,使用レシピ!$E:$E,0)),""),"")</f>
        <v/>
      </c>
      <c r="E405" t="str">
        <f>IFERROR(IF(INDEX(使用レシピ!G:G,MATCH(テンプレート!$C405,使用レシピ!$E:$E,0))&lt;&gt;0,INDEX(使用レシピ!G:G,MATCH(テンプレート!$C405,使用レシピ!$E:$E,0)),""),"")</f>
        <v/>
      </c>
      <c r="F405" t="str">
        <f>IFERROR(IF(INDEX(使用レシピ!H:H,MATCH(テンプレート!$C405,使用レシピ!$E:$E,0))&lt;&gt;0,INDEX(使用レシピ!H:H,MATCH(テンプレート!$C405,使用レシピ!$E:$E,0)),""),"")</f>
        <v/>
      </c>
      <c r="G405" t="str">
        <f>IFERROR(IF(INDEX(使用レシピ!I:I,MATCH(テンプレート!$C405,使用レシピ!$E:$E,0))&lt;&gt;0,INDEX(使用レシピ!I:I,MATCH(テンプレート!$C405,使用レシピ!$E:$E,0)),""),"")</f>
        <v/>
      </c>
      <c r="H405" s="24" t="str">
        <f>IFERROR(IF(INDEX(使用レシピ!J:J,MATCH(テンプレート!$C405,使用レシピ!$E:$E,0))&lt;&gt;0,INDEX(使用レシピ!J:J,MATCH(テンプレート!$C405,使用レシピ!$E:$E,0)),""),"")</f>
        <v/>
      </c>
      <c r="I405" s="36" t="str">
        <f>IFERROR(IF(INDEX(使用レシピ!P:P,MATCH(テンプレート!$C405,使用レシピ!$E:$E,0))&lt;&gt;0,INDEX(使用レシピ!P:P,MATCH(テンプレート!$C405,使用レシピ!$E:$E,0)),""),"")</f>
        <v/>
      </c>
      <c r="J405" t="str">
        <f>IFERROR(IF(INDEX(使用レシピ!K:K,MATCH(テンプレート!$C405,使用レシピ!$E:$E,0))&lt;&gt;0,INDEX(使用レシピ!K:K,MATCH(テンプレート!$C405,使用レシピ!$E:$E,0)),""),"")</f>
        <v/>
      </c>
      <c r="K405" t="str">
        <f>IFERROR(IF(INDEX(使用レシピ!L:L,MATCH(テンプレート!$C405,使用レシピ!$E:$E,0))&lt;&gt;0,INDEX(使用レシピ!L:L,MATCH(テンプレート!$C405,使用レシピ!$E:$E,0)),""),"")</f>
        <v/>
      </c>
      <c r="L405" t="str">
        <f>IFERROR(IF(INDEX(使用レシピ!M:M,MATCH(テンプレート!$C405,使用レシピ!$E:$E,0))&lt;&gt;0,INDEX(使用レシピ!M:M,MATCH(テンプレート!$C405,使用レシピ!$E:$E,0)),""),"")</f>
        <v/>
      </c>
      <c r="M405" t="str">
        <f>IFERROR(IF(INDEX(使用レシピ!N:N,MATCH(テンプレート!$C405,使用レシピ!$E:$E,0))&lt;&gt;0,INDEX(使用レシピ!N:N,MATCH(テンプレート!$C405,使用レシピ!$E:$E,0)),""),"")</f>
        <v/>
      </c>
      <c r="N405" s="24" t="str">
        <f>IFERROR(IF(INDEX(使用レシピ!O:O,MATCH(テンプレート!$C405,使用レシピ!$E:$E,0))&lt;&gt;0,INDEX(使用レシピ!O:O,MATCH(テンプレート!$C405,使用レシピ!$E:$E,0)),""),"")</f>
        <v/>
      </c>
      <c r="O405" s="36" t="str">
        <f>IFERROR(IF(INDEX(使用レシピ!P:P,MATCH(テンプレート!$C405,使用レシピ!$E:$E,0))&lt;&gt;0,INDEX(使用レシピ!P:P,MATCH(テンプレート!$C405,使用レシピ!$E:$E,0)),""),"")</f>
        <v/>
      </c>
      <c r="P405" t="str">
        <f t="shared" si="31"/>
        <v/>
      </c>
      <c r="Q405" t="str">
        <f t="shared" si="32"/>
        <v/>
      </c>
      <c r="R405" t="str">
        <f t="shared" si="33"/>
        <v/>
      </c>
      <c r="S405" t="str">
        <f t="shared" si="34"/>
        <v/>
      </c>
      <c r="T405" s="24" t="str">
        <f t="shared" si="35"/>
        <v/>
      </c>
    </row>
    <row r="406" spans="2:20" x14ac:dyDescent="0.4">
      <c r="B406" s="49" t="str" cm="1">
        <f t="array" ref="B406">IFERROR((INDEX($P$4:$T$1000,MATCH(VALUE(LEFT($A406,LEN($A406)-1)),$A$4:$A$1000,0),VALUE(RIGHT($A406,1)))/ INDEX($O$4:$O$1000,MATCH(VALUE(LEFT($A406,LEN($A406)-1)),$A$4:$A$1000))) * INDEX($B$4:$B$1000,MATCH(VALUE(LEFT($A406,LEN($A406)-1)),$A$4:$A$1000)),"")</f>
        <v/>
      </c>
      <c r="C406" s="2" t="str" cm="1">
        <f t="array" ref="C406">IFERROR(IF(INDEX($D$4:$H$1000,MATCH(VALUE(LEFT($A406,LEN($A406)-1)),$A$4:$A$1000,0),VALUE(RIGHT($A406,1)))= 0,"",INDEX($D$4:$H$1000,MATCH(VALUE(LEFT($A406,LEN($A406)-1)),$A$4:$A$1000,0),VALUE(RIGHT($A406,1)))),"")</f>
        <v/>
      </c>
      <c r="D406" s="23" t="str">
        <f>IFERROR(IF(INDEX(使用レシピ!F:F,MATCH(テンプレート!$C406,使用レシピ!$E:$E,0))&lt;&gt;0,INDEX(使用レシピ!F:F,MATCH(テンプレート!$C406,使用レシピ!$E:$E,0)),""),"")</f>
        <v/>
      </c>
      <c r="E406" t="str">
        <f>IFERROR(IF(INDEX(使用レシピ!G:G,MATCH(テンプレート!$C406,使用レシピ!$E:$E,0))&lt;&gt;0,INDEX(使用レシピ!G:G,MATCH(テンプレート!$C406,使用レシピ!$E:$E,0)),""),"")</f>
        <v/>
      </c>
      <c r="F406" t="str">
        <f>IFERROR(IF(INDEX(使用レシピ!H:H,MATCH(テンプレート!$C406,使用レシピ!$E:$E,0))&lt;&gt;0,INDEX(使用レシピ!H:H,MATCH(テンプレート!$C406,使用レシピ!$E:$E,0)),""),"")</f>
        <v/>
      </c>
      <c r="G406" t="str">
        <f>IFERROR(IF(INDEX(使用レシピ!I:I,MATCH(テンプレート!$C406,使用レシピ!$E:$E,0))&lt;&gt;0,INDEX(使用レシピ!I:I,MATCH(テンプレート!$C406,使用レシピ!$E:$E,0)),""),"")</f>
        <v/>
      </c>
      <c r="H406" s="24" t="str">
        <f>IFERROR(IF(INDEX(使用レシピ!J:J,MATCH(テンプレート!$C406,使用レシピ!$E:$E,0))&lt;&gt;0,INDEX(使用レシピ!J:J,MATCH(テンプレート!$C406,使用レシピ!$E:$E,0)),""),"")</f>
        <v/>
      </c>
      <c r="I406" s="36" t="str">
        <f>IFERROR(IF(INDEX(使用レシピ!P:P,MATCH(テンプレート!$C406,使用レシピ!$E:$E,0))&lt;&gt;0,INDEX(使用レシピ!P:P,MATCH(テンプレート!$C406,使用レシピ!$E:$E,0)),""),"")</f>
        <v/>
      </c>
      <c r="J406" t="str">
        <f>IFERROR(IF(INDEX(使用レシピ!K:K,MATCH(テンプレート!$C406,使用レシピ!$E:$E,0))&lt;&gt;0,INDEX(使用レシピ!K:K,MATCH(テンプレート!$C406,使用レシピ!$E:$E,0)),""),"")</f>
        <v/>
      </c>
      <c r="K406" t="str">
        <f>IFERROR(IF(INDEX(使用レシピ!L:L,MATCH(テンプレート!$C406,使用レシピ!$E:$E,0))&lt;&gt;0,INDEX(使用レシピ!L:L,MATCH(テンプレート!$C406,使用レシピ!$E:$E,0)),""),"")</f>
        <v/>
      </c>
      <c r="L406" t="str">
        <f>IFERROR(IF(INDEX(使用レシピ!M:M,MATCH(テンプレート!$C406,使用レシピ!$E:$E,0))&lt;&gt;0,INDEX(使用レシピ!M:M,MATCH(テンプレート!$C406,使用レシピ!$E:$E,0)),""),"")</f>
        <v/>
      </c>
      <c r="M406" t="str">
        <f>IFERROR(IF(INDEX(使用レシピ!N:N,MATCH(テンプレート!$C406,使用レシピ!$E:$E,0))&lt;&gt;0,INDEX(使用レシピ!N:N,MATCH(テンプレート!$C406,使用レシピ!$E:$E,0)),""),"")</f>
        <v/>
      </c>
      <c r="N406" s="24" t="str">
        <f>IFERROR(IF(INDEX(使用レシピ!O:O,MATCH(テンプレート!$C406,使用レシピ!$E:$E,0))&lt;&gt;0,INDEX(使用レシピ!O:O,MATCH(テンプレート!$C406,使用レシピ!$E:$E,0)),""),"")</f>
        <v/>
      </c>
      <c r="O406" s="36" t="str">
        <f>IFERROR(IF(INDEX(使用レシピ!P:P,MATCH(テンプレート!$C406,使用レシピ!$E:$E,0))&lt;&gt;0,INDEX(使用レシピ!P:P,MATCH(テンプレート!$C406,使用レシピ!$E:$E,0)),""),"")</f>
        <v/>
      </c>
      <c r="P406" t="str">
        <f t="shared" si="31"/>
        <v/>
      </c>
      <c r="Q406" t="str">
        <f t="shared" si="32"/>
        <v/>
      </c>
      <c r="R406" t="str">
        <f t="shared" si="33"/>
        <v/>
      </c>
      <c r="S406" t="str">
        <f t="shared" si="34"/>
        <v/>
      </c>
      <c r="T406" s="24" t="str">
        <f t="shared" si="35"/>
        <v/>
      </c>
    </row>
    <row r="407" spans="2:20" x14ac:dyDescent="0.4">
      <c r="B407" s="49" t="str" cm="1">
        <f t="array" ref="B407">IFERROR((INDEX($P$4:$T$1000,MATCH(VALUE(LEFT($A407,LEN($A407)-1)),$A$4:$A$1000,0),VALUE(RIGHT($A407,1)))/ INDEX($O$4:$O$1000,MATCH(VALUE(LEFT($A407,LEN($A407)-1)),$A$4:$A$1000))) * INDEX($B$4:$B$1000,MATCH(VALUE(LEFT($A407,LEN($A407)-1)),$A$4:$A$1000)),"")</f>
        <v/>
      </c>
      <c r="C407" s="2" t="str" cm="1">
        <f t="array" ref="C407">IFERROR(IF(INDEX($D$4:$H$1000,MATCH(VALUE(LEFT($A407,LEN($A407)-1)),$A$4:$A$1000,0),VALUE(RIGHT($A407,1)))= 0,"",INDEX($D$4:$H$1000,MATCH(VALUE(LEFT($A407,LEN($A407)-1)),$A$4:$A$1000,0),VALUE(RIGHT($A407,1)))),"")</f>
        <v/>
      </c>
      <c r="D407" s="23" t="str">
        <f>IFERROR(IF(INDEX(使用レシピ!F:F,MATCH(テンプレート!$C407,使用レシピ!$E:$E,0))&lt;&gt;0,INDEX(使用レシピ!F:F,MATCH(テンプレート!$C407,使用レシピ!$E:$E,0)),""),"")</f>
        <v/>
      </c>
      <c r="E407" t="str">
        <f>IFERROR(IF(INDEX(使用レシピ!G:G,MATCH(テンプレート!$C407,使用レシピ!$E:$E,0))&lt;&gt;0,INDEX(使用レシピ!G:G,MATCH(テンプレート!$C407,使用レシピ!$E:$E,0)),""),"")</f>
        <v/>
      </c>
      <c r="F407" t="str">
        <f>IFERROR(IF(INDEX(使用レシピ!H:H,MATCH(テンプレート!$C407,使用レシピ!$E:$E,0))&lt;&gt;0,INDEX(使用レシピ!H:H,MATCH(テンプレート!$C407,使用レシピ!$E:$E,0)),""),"")</f>
        <v/>
      </c>
      <c r="G407" t="str">
        <f>IFERROR(IF(INDEX(使用レシピ!I:I,MATCH(テンプレート!$C407,使用レシピ!$E:$E,0))&lt;&gt;0,INDEX(使用レシピ!I:I,MATCH(テンプレート!$C407,使用レシピ!$E:$E,0)),""),"")</f>
        <v/>
      </c>
      <c r="H407" s="24" t="str">
        <f>IFERROR(IF(INDEX(使用レシピ!J:J,MATCH(テンプレート!$C407,使用レシピ!$E:$E,0))&lt;&gt;0,INDEX(使用レシピ!J:J,MATCH(テンプレート!$C407,使用レシピ!$E:$E,0)),""),"")</f>
        <v/>
      </c>
      <c r="I407" s="36" t="str">
        <f>IFERROR(IF(INDEX(使用レシピ!P:P,MATCH(テンプレート!$C407,使用レシピ!$E:$E,0))&lt;&gt;0,INDEX(使用レシピ!P:P,MATCH(テンプレート!$C407,使用レシピ!$E:$E,0)),""),"")</f>
        <v/>
      </c>
      <c r="J407" t="str">
        <f>IFERROR(IF(INDEX(使用レシピ!K:K,MATCH(テンプレート!$C407,使用レシピ!$E:$E,0))&lt;&gt;0,INDEX(使用レシピ!K:K,MATCH(テンプレート!$C407,使用レシピ!$E:$E,0)),""),"")</f>
        <v/>
      </c>
      <c r="K407" t="str">
        <f>IFERROR(IF(INDEX(使用レシピ!L:L,MATCH(テンプレート!$C407,使用レシピ!$E:$E,0))&lt;&gt;0,INDEX(使用レシピ!L:L,MATCH(テンプレート!$C407,使用レシピ!$E:$E,0)),""),"")</f>
        <v/>
      </c>
      <c r="L407" t="str">
        <f>IFERROR(IF(INDEX(使用レシピ!M:M,MATCH(テンプレート!$C407,使用レシピ!$E:$E,0))&lt;&gt;0,INDEX(使用レシピ!M:M,MATCH(テンプレート!$C407,使用レシピ!$E:$E,0)),""),"")</f>
        <v/>
      </c>
      <c r="M407" t="str">
        <f>IFERROR(IF(INDEX(使用レシピ!N:N,MATCH(テンプレート!$C407,使用レシピ!$E:$E,0))&lt;&gt;0,INDEX(使用レシピ!N:N,MATCH(テンプレート!$C407,使用レシピ!$E:$E,0)),""),"")</f>
        <v/>
      </c>
      <c r="N407" s="24" t="str">
        <f>IFERROR(IF(INDEX(使用レシピ!O:O,MATCH(テンプレート!$C407,使用レシピ!$E:$E,0))&lt;&gt;0,INDEX(使用レシピ!O:O,MATCH(テンプレート!$C407,使用レシピ!$E:$E,0)),""),"")</f>
        <v/>
      </c>
      <c r="O407" s="36" t="str">
        <f>IFERROR(IF(INDEX(使用レシピ!P:P,MATCH(テンプレート!$C407,使用レシピ!$E:$E,0))&lt;&gt;0,INDEX(使用レシピ!P:P,MATCH(テンプレート!$C407,使用レシピ!$E:$E,0)),""),"")</f>
        <v/>
      </c>
      <c r="P407" t="str">
        <f t="shared" si="31"/>
        <v/>
      </c>
      <c r="Q407" t="str">
        <f t="shared" si="32"/>
        <v/>
      </c>
      <c r="R407" t="str">
        <f t="shared" si="33"/>
        <v/>
      </c>
      <c r="S407" t="str">
        <f t="shared" si="34"/>
        <v/>
      </c>
      <c r="T407" s="24" t="str">
        <f t="shared" si="35"/>
        <v/>
      </c>
    </row>
    <row r="408" spans="2:20" x14ac:dyDescent="0.4">
      <c r="B408" s="49" t="str" cm="1">
        <f t="array" ref="B408">IFERROR((INDEX($P$4:$T$1000,MATCH(VALUE(LEFT($A408,LEN($A408)-1)),$A$4:$A$1000,0),VALUE(RIGHT($A408,1)))/ INDEX($O$4:$O$1000,MATCH(VALUE(LEFT($A408,LEN($A408)-1)),$A$4:$A$1000))) * INDEX($B$4:$B$1000,MATCH(VALUE(LEFT($A408,LEN($A408)-1)),$A$4:$A$1000)),"")</f>
        <v/>
      </c>
      <c r="C408" s="2" t="str" cm="1">
        <f t="array" ref="C408">IFERROR(IF(INDEX($D$4:$H$1000,MATCH(VALUE(LEFT($A408,LEN($A408)-1)),$A$4:$A$1000,0),VALUE(RIGHT($A408,1)))= 0,"",INDEX($D$4:$H$1000,MATCH(VALUE(LEFT($A408,LEN($A408)-1)),$A$4:$A$1000,0),VALUE(RIGHT($A408,1)))),"")</f>
        <v/>
      </c>
      <c r="D408" s="23" t="str">
        <f>IFERROR(IF(INDEX(使用レシピ!F:F,MATCH(テンプレート!$C408,使用レシピ!$E:$E,0))&lt;&gt;0,INDEX(使用レシピ!F:F,MATCH(テンプレート!$C408,使用レシピ!$E:$E,0)),""),"")</f>
        <v/>
      </c>
      <c r="E408" t="str">
        <f>IFERROR(IF(INDEX(使用レシピ!G:G,MATCH(テンプレート!$C408,使用レシピ!$E:$E,0))&lt;&gt;0,INDEX(使用レシピ!G:G,MATCH(テンプレート!$C408,使用レシピ!$E:$E,0)),""),"")</f>
        <v/>
      </c>
      <c r="F408" t="str">
        <f>IFERROR(IF(INDEX(使用レシピ!H:H,MATCH(テンプレート!$C408,使用レシピ!$E:$E,0))&lt;&gt;0,INDEX(使用レシピ!H:H,MATCH(テンプレート!$C408,使用レシピ!$E:$E,0)),""),"")</f>
        <v/>
      </c>
      <c r="G408" t="str">
        <f>IFERROR(IF(INDEX(使用レシピ!I:I,MATCH(テンプレート!$C408,使用レシピ!$E:$E,0))&lt;&gt;0,INDEX(使用レシピ!I:I,MATCH(テンプレート!$C408,使用レシピ!$E:$E,0)),""),"")</f>
        <v/>
      </c>
      <c r="H408" s="24" t="str">
        <f>IFERROR(IF(INDEX(使用レシピ!J:J,MATCH(テンプレート!$C408,使用レシピ!$E:$E,0))&lt;&gt;0,INDEX(使用レシピ!J:J,MATCH(テンプレート!$C408,使用レシピ!$E:$E,0)),""),"")</f>
        <v/>
      </c>
      <c r="I408" s="36" t="str">
        <f>IFERROR(IF(INDEX(使用レシピ!P:P,MATCH(テンプレート!$C408,使用レシピ!$E:$E,0))&lt;&gt;0,INDEX(使用レシピ!P:P,MATCH(テンプレート!$C408,使用レシピ!$E:$E,0)),""),"")</f>
        <v/>
      </c>
      <c r="J408" t="str">
        <f>IFERROR(IF(INDEX(使用レシピ!K:K,MATCH(テンプレート!$C408,使用レシピ!$E:$E,0))&lt;&gt;0,INDEX(使用レシピ!K:K,MATCH(テンプレート!$C408,使用レシピ!$E:$E,0)),""),"")</f>
        <v/>
      </c>
      <c r="K408" t="str">
        <f>IFERROR(IF(INDEX(使用レシピ!L:L,MATCH(テンプレート!$C408,使用レシピ!$E:$E,0))&lt;&gt;0,INDEX(使用レシピ!L:L,MATCH(テンプレート!$C408,使用レシピ!$E:$E,0)),""),"")</f>
        <v/>
      </c>
      <c r="L408" t="str">
        <f>IFERROR(IF(INDEX(使用レシピ!M:M,MATCH(テンプレート!$C408,使用レシピ!$E:$E,0))&lt;&gt;0,INDEX(使用レシピ!M:M,MATCH(テンプレート!$C408,使用レシピ!$E:$E,0)),""),"")</f>
        <v/>
      </c>
      <c r="M408" t="str">
        <f>IFERROR(IF(INDEX(使用レシピ!N:N,MATCH(テンプレート!$C408,使用レシピ!$E:$E,0))&lt;&gt;0,INDEX(使用レシピ!N:N,MATCH(テンプレート!$C408,使用レシピ!$E:$E,0)),""),"")</f>
        <v/>
      </c>
      <c r="N408" s="24" t="str">
        <f>IFERROR(IF(INDEX(使用レシピ!O:O,MATCH(テンプレート!$C408,使用レシピ!$E:$E,0))&lt;&gt;0,INDEX(使用レシピ!O:O,MATCH(テンプレート!$C408,使用レシピ!$E:$E,0)),""),"")</f>
        <v/>
      </c>
      <c r="O408" s="36" t="str">
        <f>IFERROR(IF(INDEX(使用レシピ!P:P,MATCH(テンプレート!$C408,使用レシピ!$E:$E,0))&lt;&gt;0,INDEX(使用レシピ!P:P,MATCH(テンプレート!$C408,使用レシピ!$E:$E,0)),""),"")</f>
        <v/>
      </c>
      <c r="P408" t="str">
        <f t="shared" si="31"/>
        <v/>
      </c>
      <c r="Q408" t="str">
        <f t="shared" si="32"/>
        <v/>
      </c>
      <c r="R408" t="str">
        <f t="shared" si="33"/>
        <v/>
      </c>
      <c r="S408" t="str">
        <f t="shared" si="34"/>
        <v/>
      </c>
      <c r="T408" s="24" t="str">
        <f t="shared" si="35"/>
        <v/>
      </c>
    </row>
    <row r="409" spans="2:20" x14ac:dyDescent="0.4">
      <c r="B409" s="49" t="str" cm="1">
        <f t="array" ref="B409">IFERROR((INDEX($P$4:$T$1000,MATCH(VALUE(LEFT($A409,LEN($A409)-1)),$A$4:$A$1000,0),VALUE(RIGHT($A409,1)))/ INDEX($O$4:$O$1000,MATCH(VALUE(LEFT($A409,LEN($A409)-1)),$A$4:$A$1000))) * INDEX($B$4:$B$1000,MATCH(VALUE(LEFT($A409,LEN($A409)-1)),$A$4:$A$1000)),"")</f>
        <v/>
      </c>
      <c r="C409" s="2" t="str" cm="1">
        <f t="array" ref="C409">IFERROR(IF(INDEX($D$4:$H$1000,MATCH(VALUE(LEFT($A409,LEN($A409)-1)),$A$4:$A$1000,0),VALUE(RIGHT($A409,1)))= 0,"",INDEX($D$4:$H$1000,MATCH(VALUE(LEFT($A409,LEN($A409)-1)),$A$4:$A$1000,0),VALUE(RIGHT($A409,1)))),"")</f>
        <v/>
      </c>
      <c r="D409" s="23" t="str">
        <f>IFERROR(IF(INDEX(使用レシピ!F:F,MATCH(テンプレート!$C409,使用レシピ!$E:$E,0))&lt;&gt;0,INDEX(使用レシピ!F:F,MATCH(テンプレート!$C409,使用レシピ!$E:$E,0)),""),"")</f>
        <v/>
      </c>
      <c r="E409" t="str">
        <f>IFERROR(IF(INDEX(使用レシピ!G:G,MATCH(テンプレート!$C409,使用レシピ!$E:$E,0))&lt;&gt;0,INDEX(使用レシピ!G:G,MATCH(テンプレート!$C409,使用レシピ!$E:$E,0)),""),"")</f>
        <v/>
      </c>
      <c r="F409" t="str">
        <f>IFERROR(IF(INDEX(使用レシピ!H:H,MATCH(テンプレート!$C409,使用レシピ!$E:$E,0))&lt;&gt;0,INDEX(使用レシピ!H:H,MATCH(テンプレート!$C409,使用レシピ!$E:$E,0)),""),"")</f>
        <v/>
      </c>
      <c r="G409" t="str">
        <f>IFERROR(IF(INDEX(使用レシピ!I:I,MATCH(テンプレート!$C409,使用レシピ!$E:$E,0))&lt;&gt;0,INDEX(使用レシピ!I:I,MATCH(テンプレート!$C409,使用レシピ!$E:$E,0)),""),"")</f>
        <v/>
      </c>
      <c r="H409" s="24" t="str">
        <f>IFERROR(IF(INDEX(使用レシピ!J:J,MATCH(テンプレート!$C409,使用レシピ!$E:$E,0))&lt;&gt;0,INDEX(使用レシピ!J:J,MATCH(テンプレート!$C409,使用レシピ!$E:$E,0)),""),"")</f>
        <v/>
      </c>
      <c r="I409" s="36" t="str">
        <f>IFERROR(IF(INDEX(使用レシピ!P:P,MATCH(テンプレート!$C409,使用レシピ!$E:$E,0))&lt;&gt;0,INDEX(使用レシピ!P:P,MATCH(テンプレート!$C409,使用レシピ!$E:$E,0)),""),"")</f>
        <v/>
      </c>
      <c r="J409" t="str">
        <f>IFERROR(IF(INDEX(使用レシピ!K:K,MATCH(テンプレート!$C409,使用レシピ!$E:$E,0))&lt;&gt;0,INDEX(使用レシピ!K:K,MATCH(テンプレート!$C409,使用レシピ!$E:$E,0)),""),"")</f>
        <v/>
      </c>
      <c r="K409" t="str">
        <f>IFERROR(IF(INDEX(使用レシピ!L:L,MATCH(テンプレート!$C409,使用レシピ!$E:$E,0))&lt;&gt;0,INDEX(使用レシピ!L:L,MATCH(テンプレート!$C409,使用レシピ!$E:$E,0)),""),"")</f>
        <v/>
      </c>
      <c r="L409" t="str">
        <f>IFERROR(IF(INDEX(使用レシピ!M:M,MATCH(テンプレート!$C409,使用レシピ!$E:$E,0))&lt;&gt;0,INDEX(使用レシピ!M:M,MATCH(テンプレート!$C409,使用レシピ!$E:$E,0)),""),"")</f>
        <v/>
      </c>
      <c r="M409" t="str">
        <f>IFERROR(IF(INDEX(使用レシピ!N:N,MATCH(テンプレート!$C409,使用レシピ!$E:$E,0))&lt;&gt;0,INDEX(使用レシピ!N:N,MATCH(テンプレート!$C409,使用レシピ!$E:$E,0)),""),"")</f>
        <v/>
      </c>
      <c r="N409" s="24" t="str">
        <f>IFERROR(IF(INDEX(使用レシピ!O:O,MATCH(テンプレート!$C409,使用レシピ!$E:$E,0))&lt;&gt;0,INDEX(使用レシピ!O:O,MATCH(テンプレート!$C409,使用レシピ!$E:$E,0)),""),"")</f>
        <v/>
      </c>
      <c r="O409" s="36" t="str">
        <f>IFERROR(IF(INDEX(使用レシピ!P:P,MATCH(テンプレート!$C409,使用レシピ!$E:$E,0))&lt;&gt;0,INDEX(使用レシピ!P:P,MATCH(テンプレート!$C409,使用レシピ!$E:$E,0)),""),"")</f>
        <v/>
      </c>
      <c r="P409" t="str">
        <f t="shared" si="31"/>
        <v/>
      </c>
      <c r="Q409" t="str">
        <f t="shared" si="32"/>
        <v/>
      </c>
      <c r="R409" t="str">
        <f t="shared" si="33"/>
        <v/>
      </c>
      <c r="S409" t="str">
        <f t="shared" si="34"/>
        <v/>
      </c>
      <c r="T409" s="24" t="str">
        <f t="shared" si="35"/>
        <v/>
      </c>
    </row>
    <row r="410" spans="2:20" x14ac:dyDescent="0.4">
      <c r="B410" s="49" t="str" cm="1">
        <f t="array" ref="B410">IFERROR((INDEX($P$4:$T$1000,MATCH(VALUE(LEFT($A410,LEN($A410)-1)),$A$4:$A$1000,0),VALUE(RIGHT($A410,1)))/ INDEX($O$4:$O$1000,MATCH(VALUE(LEFT($A410,LEN($A410)-1)),$A$4:$A$1000))) * INDEX($B$4:$B$1000,MATCH(VALUE(LEFT($A410,LEN($A410)-1)),$A$4:$A$1000)),"")</f>
        <v/>
      </c>
      <c r="C410" s="2" t="str" cm="1">
        <f t="array" ref="C410">IFERROR(IF(INDEX($D$4:$H$1000,MATCH(VALUE(LEFT($A410,LEN($A410)-1)),$A$4:$A$1000,0),VALUE(RIGHT($A410,1)))= 0,"",INDEX($D$4:$H$1000,MATCH(VALUE(LEFT($A410,LEN($A410)-1)),$A$4:$A$1000,0),VALUE(RIGHT($A410,1)))),"")</f>
        <v/>
      </c>
      <c r="D410" s="23" t="str">
        <f>IFERROR(IF(INDEX(使用レシピ!F:F,MATCH(テンプレート!$C410,使用レシピ!$E:$E,0))&lt;&gt;0,INDEX(使用レシピ!F:F,MATCH(テンプレート!$C410,使用レシピ!$E:$E,0)),""),"")</f>
        <v/>
      </c>
      <c r="E410" t="str">
        <f>IFERROR(IF(INDEX(使用レシピ!G:G,MATCH(テンプレート!$C410,使用レシピ!$E:$E,0))&lt;&gt;0,INDEX(使用レシピ!G:G,MATCH(テンプレート!$C410,使用レシピ!$E:$E,0)),""),"")</f>
        <v/>
      </c>
      <c r="F410" t="str">
        <f>IFERROR(IF(INDEX(使用レシピ!H:H,MATCH(テンプレート!$C410,使用レシピ!$E:$E,0))&lt;&gt;0,INDEX(使用レシピ!H:H,MATCH(テンプレート!$C410,使用レシピ!$E:$E,0)),""),"")</f>
        <v/>
      </c>
      <c r="G410" t="str">
        <f>IFERROR(IF(INDEX(使用レシピ!I:I,MATCH(テンプレート!$C410,使用レシピ!$E:$E,0))&lt;&gt;0,INDEX(使用レシピ!I:I,MATCH(テンプレート!$C410,使用レシピ!$E:$E,0)),""),"")</f>
        <v/>
      </c>
      <c r="H410" s="24" t="str">
        <f>IFERROR(IF(INDEX(使用レシピ!J:J,MATCH(テンプレート!$C410,使用レシピ!$E:$E,0))&lt;&gt;0,INDEX(使用レシピ!J:J,MATCH(テンプレート!$C410,使用レシピ!$E:$E,0)),""),"")</f>
        <v/>
      </c>
      <c r="I410" s="36" t="str">
        <f>IFERROR(IF(INDEX(使用レシピ!P:P,MATCH(テンプレート!$C410,使用レシピ!$E:$E,0))&lt;&gt;0,INDEX(使用レシピ!P:P,MATCH(テンプレート!$C410,使用レシピ!$E:$E,0)),""),"")</f>
        <v/>
      </c>
      <c r="J410" t="str">
        <f>IFERROR(IF(INDEX(使用レシピ!K:K,MATCH(テンプレート!$C410,使用レシピ!$E:$E,0))&lt;&gt;0,INDEX(使用レシピ!K:K,MATCH(テンプレート!$C410,使用レシピ!$E:$E,0)),""),"")</f>
        <v/>
      </c>
      <c r="K410" t="str">
        <f>IFERROR(IF(INDEX(使用レシピ!L:L,MATCH(テンプレート!$C410,使用レシピ!$E:$E,0))&lt;&gt;0,INDEX(使用レシピ!L:L,MATCH(テンプレート!$C410,使用レシピ!$E:$E,0)),""),"")</f>
        <v/>
      </c>
      <c r="L410" t="str">
        <f>IFERROR(IF(INDEX(使用レシピ!M:M,MATCH(テンプレート!$C410,使用レシピ!$E:$E,0))&lt;&gt;0,INDEX(使用レシピ!M:M,MATCH(テンプレート!$C410,使用レシピ!$E:$E,0)),""),"")</f>
        <v/>
      </c>
      <c r="M410" t="str">
        <f>IFERROR(IF(INDEX(使用レシピ!N:N,MATCH(テンプレート!$C410,使用レシピ!$E:$E,0))&lt;&gt;0,INDEX(使用レシピ!N:N,MATCH(テンプレート!$C410,使用レシピ!$E:$E,0)),""),"")</f>
        <v/>
      </c>
      <c r="N410" s="24" t="str">
        <f>IFERROR(IF(INDEX(使用レシピ!O:O,MATCH(テンプレート!$C410,使用レシピ!$E:$E,0))&lt;&gt;0,INDEX(使用レシピ!O:O,MATCH(テンプレート!$C410,使用レシピ!$E:$E,0)),""),"")</f>
        <v/>
      </c>
      <c r="O410" s="36" t="str">
        <f>IFERROR(IF(INDEX(使用レシピ!P:P,MATCH(テンプレート!$C410,使用レシピ!$E:$E,0))&lt;&gt;0,INDEX(使用レシピ!P:P,MATCH(テンプレート!$C410,使用レシピ!$E:$E,0)),""),"")</f>
        <v/>
      </c>
      <c r="P410" t="str">
        <f t="shared" si="31"/>
        <v/>
      </c>
      <c r="Q410" t="str">
        <f t="shared" si="32"/>
        <v/>
      </c>
      <c r="R410" t="str">
        <f t="shared" si="33"/>
        <v/>
      </c>
      <c r="S410" t="str">
        <f t="shared" si="34"/>
        <v/>
      </c>
      <c r="T410" s="24" t="str">
        <f t="shared" si="35"/>
        <v/>
      </c>
    </row>
    <row r="411" spans="2:20" x14ac:dyDescent="0.4">
      <c r="B411" s="49" t="str" cm="1">
        <f t="array" ref="B411">IFERROR((INDEX($P$4:$T$1000,MATCH(VALUE(LEFT($A411,LEN($A411)-1)),$A$4:$A$1000,0),VALUE(RIGHT($A411,1)))/ INDEX($O$4:$O$1000,MATCH(VALUE(LEFT($A411,LEN($A411)-1)),$A$4:$A$1000))) * INDEX($B$4:$B$1000,MATCH(VALUE(LEFT($A411,LEN($A411)-1)),$A$4:$A$1000)),"")</f>
        <v/>
      </c>
      <c r="C411" s="2" t="str" cm="1">
        <f t="array" ref="C411">IFERROR(IF(INDEX($D$4:$H$1000,MATCH(VALUE(LEFT($A411,LEN($A411)-1)),$A$4:$A$1000,0),VALUE(RIGHT($A411,1)))= 0,"",INDEX($D$4:$H$1000,MATCH(VALUE(LEFT($A411,LEN($A411)-1)),$A$4:$A$1000,0),VALUE(RIGHT($A411,1)))),"")</f>
        <v/>
      </c>
      <c r="D411" s="23" t="str">
        <f>IFERROR(IF(INDEX(使用レシピ!F:F,MATCH(テンプレート!$C411,使用レシピ!$E:$E,0))&lt;&gt;0,INDEX(使用レシピ!F:F,MATCH(テンプレート!$C411,使用レシピ!$E:$E,0)),""),"")</f>
        <v/>
      </c>
      <c r="E411" t="str">
        <f>IFERROR(IF(INDEX(使用レシピ!G:G,MATCH(テンプレート!$C411,使用レシピ!$E:$E,0))&lt;&gt;0,INDEX(使用レシピ!G:G,MATCH(テンプレート!$C411,使用レシピ!$E:$E,0)),""),"")</f>
        <v/>
      </c>
      <c r="F411" t="str">
        <f>IFERROR(IF(INDEX(使用レシピ!H:H,MATCH(テンプレート!$C411,使用レシピ!$E:$E,0))&lt;&gt;0,INDEX(使用レシピ!H:H,MATCH(テンプレート!$C411,使用レシピ!$E:$E,0)),""),"")</f>
        <v/>
      </c>
      <c r="G411" t="str">
        <f>IFERROR(IF(INDEX(使用レシピ!I:I,MATCH(テンプレート!$C411,使用レシピ!$E:$E,0))&lt;&gt;0,INDEX(使用レシピ!I:I,MATCH(テンプレート!$C411,使用レシピ!$E:$E,0)),""),"")</f>
        <v/>
      </c>
      <c r="H411" s="24" t="str">
        <f>IFERROR(IF(INDEX(使用レシピ!J:J,MATCH(テンプレート!$C411,使用レシピ!$E:$E,0))&lt;&gt;0,INDEX(使用レシピ!J:J,MATCH(テンプレート!$C411,使用レシピ!$E:$E,0)),""),"")</f>
        <v/>
      </c>
      <c r="I411" s="36" t="str">
        <f>IFERROR(IF(INDEX(使用レシピ!P:P,MATCH(テンプレート!$C411,使用レシピ!$E:$E,0))&lt;&gt;0,INDEX(使用レシピ!P:P,MATCH(テンプレート!$C411,使用レシピ!$E:$E,0)),""),"")</f>
        <v/>
      </c>
      <c r="J411" t="str">
        <f>IFERROR(IF(INDEX(使用レシピ!K:K,MATCH(テンプレート!$C411,使用レシピ!$E:$E,0))&lt;&gt;0,INDEX(使用レシピ!K:K,MATCH(テンプレート!$C411,使用レシピ!$E:$E,0)),""),"")</f>
        <v/>
      </c>
      <c r="K411" t="str">
        <f>IFERROR(IF(INDEX(使用レシピ!L:L,MATCH(テンプレート!$C411,使用レシピ!$E:$E,0))&lt;&gt;0,INDEX(使用レシピ!L:L,MATCH(テンプレート!$C411,使用レシピ!$E:$E,0)),""),"")</f>
        <v/>
      </c>
      <c r="L411" t="str">
        <f>IFERROR(IF(INDEX(使用レシピ!M:M,MATCH(テンプレート!$C411,使用レシピ!$E:$E,0))&lt;&gt;0,INDEX(使用レシピ!M:M,MATCH(テンプレート!$C411,使用レシピ!$E:$E,0)),""),"")</f>
        <v/>
      </c>
      <c r="M411" t="str">
        <f>IFERROR(IF(INDEX(使用レシピ!N:N,MATCH(テンプレート!$C411,使用レシピ!$E:$E,0))&lt;&gt;0,INDEX(使用レシピ!N:N,MATCH(テンプレート!$C411,使用レシピ!$E:$E,0)),""),"")</f>
        <v/>
      </c>
      <c r="N411" s="24" t="str">
        <f>IFERROR(IF(INDEX(使用レシピ!O:O,MATCH(テンプレート!$C411,使用レシピ!$E:$E,0))&lt;&gt;0,INDEX(使用レシピ!O:O,MATCH(テンプレート!$C411,使用レシピ!$E:$E,0)),""),"")</f>
        <v/>
      </c>
      <c r="O411" s="36" t="str">
        <f>IFERROR(IF(INDEX(使用レシピ!P:P,MATCH(テンプレート!$C411,使用レシピ!$E:$E,0))&lt;&gt;0,INDEX(使用レシピ!P:P,MATCH(テンプレート!$C411,使用レシピ!$E:$E,0)),""),"")</f>
        <v/>
      </c>
      <c r="P411" t="str">
        <f t="shared" si="31"/>
        <v/>
      </c>
      <c r="Q411" t="str">
        <f t="shared" si="32"/>
        <v/>
      </c>
      <c r="R411" t="str">
        <f t="shared" si="33"/>
        <v/>
      </c>
      <c r="S411" t="str">
        <f t="shared" si="34"/>
        <v/>
      </c>
      <c r="T411" s="24" t="str">
        <f t="shared" si="35"/>
        <v/>
      </c>
    </row>
    <row r="412" spans="2:20" x14ac:dyDescent="0.4">
      <c r="B412" s="49" t="str" cm="1">
        <f t="array" ref="B412">IFERROR((INDEX($P$4:$T$1000,MATCH(VALUE(LEFT($A412,LEN($A412)-1)),$A$4:$A$1000,0),VALUE(RIGHT($A412,1)))/ INDEX($O$4:$O$1000,MATCH(VALUE(LEFT($A412,LEN($A412)-1)),$A$4:$A$1000))) * INDEX($B$4:$B$1000,MATCH(VALUE(LEFT($A412,LEN($A412)-1)),$A$4:$A$1000)),"")</f>
        <v/>
      </c>
      <c r="C412" s="2" t="str" cm="1">
        <f t="array" ref="C412">IFERROR(IF(INDEX($D$4:$H$1000,MATCH(VALUE(LEFT($A412,LEN($A412)-1)),$A$4:$A$1000,0),VALUE(RIGHT($A412,1)))= 0,"",INDEX($D$4:$H$1000,MATCH(VALUE(LEFT($A412,LEN($A412)-1)),$A$4:$A$1000,0),VALUE(RIGHT($A412,1)))),"")</f>
        <v/>
      </c>
      <c r="D412" s="23" t="str">
        <f>IFERROR(IF(INDEX(使用レシピ!F:F,MATCH(テンプレート!$C412,使用レシピ!$E:$E,0))&lt;&gt;0,INDEX(使用レシピ!F:F,MATCH(テンプレート!$C412,使用レシピ!$E:$E,0)),""),"")</f>
        <v/>
      </c>
      <c r="E412" t="str">
        <f>IFERROR(IF(INDEX(使用レシピ!G:G,MATCH(テンプレート!$C412,使用レシピ!$E:$E,0))&lt;&gt;0,INDEX(使用レシピ!G:G,MATCH(テンプレート!$C412,使用レシピ!$E:$E,0)),""),"")</f>
        <v/>
      </c>
      <c r="F412" t="str">
        <f>IFERROR(IF(INDEX(使用レシピ!H:H,MATCH(テンプレート!$C412,使用レシピ!$E:$E,0))&lt;&gt;0,INDEX(使用レシピ!H:H,MATCH(テンプレート!$C412,使用レシピ!$E:$E,0)),""),"")</f>
        <v/>
      </c>
      <c r="G412" t="str">
        <f>IFERROR(IF(INDEX(使用レシピ!I:I,MATCH(テンプレート!$C412,使用レシピ!$E:$E,0))&lt;&gt;0,INDEX(使用レシピ!I:I,MATCH(テンプレート!$C412,使用レシピ!$E:$E,0)),""),"")</f>
        <v/>
      </c>
      <c r="H412" s="24" t="str">
        <f>IFERROR(IF(INDEX(使用レシピ!J:J,MATCH(テンプレート!$C412,使用レシピ!$E:$E,0))&lt;&gt;0,INDEX(使用レシピ!J:J,MATCH(テンプレート!$C412,使用レシピ!$E:$E,0)),""),"")</f>
        <v/>
      </c>
      <c r="I412" s="36" t="str">
        <f>IFERROR(IF(INDEX(使用レシピ!P:P,MATCH(テンプレート!$C412,使用レシピ!$E:$E,0))&lt;&gt;0,INDEX(使用レシピ!P:P,MATCH(テンプレート!$C412,使用レシピ!$E:$E,0)),""),"")</f>
        <v/>
      </c>
      <c r="J412" t="str">
        <f>IFERROR(IF(INDEX(使用レシピ!K:K,MATCH(テンプレート!$C412,使用レシピ!$E:$E,0))&lt;&gt;0,INDEX(使用レシピ!K:K,MATCH(テンプレート!$C412,使用レシピ!$E:$E,0)),""),"")</f>
        <v/>
      </c>
      <c r="K412" t="str">
        <f>IFERROR(IF(INDEX(使用レシピ!L:L,MATCH(テンプレート!$C412,使用レシピ!$E:$E,0))&lt;&gt;0,INDEX(使用レシピ!L:L,MATCH(テンプレート!$C412,使用レシピ!$E:$E,0)),""),"")</f>
        <v/>
      </c>
      <c r="L412" t="str">
        <f>IFERROR(IF(INDEX(使用レシピ!M:M,MATCH(テンプレート!$C412,使用レシピ!$E:$E,0))&lt;&gt;0,INDEX(使用レシピ!M:M,MATCH(テンプレート!$C412,使用レシピ!$E:$E,0)),""),"")</f>
        <v/>
      </c>
      <c r="M412" t="str">
        <f>IFERROR(IF(INDEX(使用レシピ!N:N,MATCH(テンプレート!$C412,使用レシピ!$E:$E,0))&lt;&gt;0,INDEX(使用レシピ!N:N,MATCH(テンプレート!$C412,使用レシピ!$E:$E,0)),""),"")</f>
        <v/>
      </c>
      <c r="N412" s="24" t="str">
        <f>IFERROR(IF(INDEX(使用レシピ!O:O,MATCH(テンプレート!$C412,使用レシピ!$E:$E,0))&lt;&gt;0,INDEX(使用レシピ!O:O,MATCH(テンプレート!$C412,使用レシピ!$E:$E,0)),""),"")</f>
        <v/>
      </c>
      <c r="O412" s="36" t="str">
        <f>IFERROR(IF(INDEX(使用レシピ!P:P,MATCH(テンプレート!$C412,使用レシピ!$E:$E,0))&lt;&gt;0,INDEX(使用レシピ!P:P,MATCH(テンプレート!$C412,使用レシピ!$E:$E,0)),""),"")</f>
        <v/>
      </c>
      <c r="P412" t="str">
        <f t="shared" si="31"/>
        <v/>
      </c>
      <c r="Q412" t="str">
        <f t="shared" si="32"/>
        <v/>
      </c>
      <c r="R412" t="str">
        <f t="shared" si="33"/>
        <v/>
      </c>
      <c r="S412" t="str">
        <f t="shared" si="34"/>
        <v/>
      </c>
      <c r="T412" s="24" t="str">
        <f t="shared" si="35"/>
        <v/>
      </c>
    </row>
    <row r="413" spans="2:20" x14ac:dyDescent="0.4">
      <c r="B413" s="49" t="str" cm="1">
        <f t="array" ref="B413">IFERROR((INDEX($P$4:$T$1000,MATCH(VALUE(LEFT($A413,LEN($A413)-1)),$A$4:$A$1000,0),VALUE(RIGHT($A413,1)))/ INDEX($O$4:$O$1000,MATCH(VALUE(LEFT($A413,LEN($A413)-1)),$A$4:$A$1000))) * INDEX($B$4:$B$1000,MATCH(VALUE(LEFT($A413,LEN($A413)-1)),$A$4:$A$1000)),"")</f>
        <v/>
      </c>
      <c r="C413" s="2" t="str" cm="1">
        <f t="array" ref="C413">IFERROR(IF(INDEX($D$4:$H$1000,MATCH(VALUE(LEFT($A413,LEN($A413)-1)),$A$4:$A$1000,0),VALUE(RIGHT($A413,1)))= 0,"",INDEX($D$4:$H$1000,MATCH(VALUE(LEFT($A413,LEN($A413)-1)),$A$4:$A$1000,0),VALUE(RIGHT($A413,1)))),"")</f>
        <v/>
      </c>
      <c r="D413" s="23" t="str">
        <f>IFERROR(IF(INDEX(使用レシピ!F:F,MATCH(テンプレート!$C413,使用レシピ!$E:$E,0))&lt;&gt;0,INDEX(使用レシピ!F:F,MATCH(テンプレート!$C413,使用レシピ!$E:$E,0)),""),"")</f>
        <v/>
      </c>
      <c r="E413" t="str">
        <f>IFERROR(IF(INDEX(使用レシピ!G:G,MATCH(テンプレート!$C413,使用レシピ!$E:$E,0))&lt;&gt;0,INDEX(使用レシピ!G:G,MATCH(テンプレート!$C413,使用レシピ!$E:$E,0)),""),"")</f>
        <v/>
      </c>
      <c r="F413" t="str">
        <f>IFERROR(IF(INDEX(使用レシピ!H:H,MATCH(テンプレート!$C413,使用レシピ!$E:$E,0))&lt;&gt;0,INDEX(使用レシピ!H:H,MATCH(テンプレート!$C413,使用レシピ!$E:$E,0)),""),"")</f>
        <v/>
      </c>
      <c r="G413" t="str">
        <f>IFERROR(IF(INDEX(使用レシピ!I:I,MATCH(テンプレート!$C413,使用レシピ!$E:$E,0))&lt;&gt;0,INDEX(使用レシピ!I:I,MATCH(テンプレート!$C413,使用レシピ!$E:$E,0)),""),"")</f>
        <v/>
      </c>
      <c r="H413" s="24" t="str">
        <f>IFERROR(IF(INDEX(使用レシピ!J:J,MATCH(テンプレート!$C413,使用レシピ!$E:$E,0))&lt;&gt;0,INDEX(使用レシピ!J:J,MATCH(テンプレート!$C413,使用レシピ!$E:$E,0)),""),"")</f>
        <v/>
      </c>
      <c r="I413" s="36" t="str">
        <f>IFERROR(IF(INDEX(使用レシピ!P:P,MATCH(テンプレート!$C413,使用レシピ!$E:$E,0))&lt;&gt;0,INDEX(使用レシピ!P:P,MATCH(テンプレート!$C413,使用レシピ!$E:$E,0)),""),"")</f>
        <v/>
      </c>
      <c r="J413" t="str">
        <f>IFERROR(IF(INDEX(使用レシピ!K:K,MATCH(テンプレート!$C413,使用レシピ!$E:$E,0))&lt;&gt;0,INDEX(使用レシピ!K:K,MATCH(テンプレート!$C413,使用レシピ!$E:$E,0)),""),"")</f>
        <v/>
      </c>
      <c r="K413" t="str">
        <f>IFERROR(IF(INDEX(使用レシピ!L:L,MATCH(テンプレート!$C413,使用レシピ!$E:$E,0))&lt;&gt;0,INDEX(使用レシピ!L:L,MATCH(テンプレート!$C413,使用レシピ!$E:$E,0)),""),"")</f>
        <v/>
      </c>
      <c r="L413" t="str">
        <f>IFERROR(IF(INDEX(使用レシピ!M:M,MATCH(テンプレート!$C413,使用レシピ!$E:$E,0))&lt;&gt;0,INDEX(使用レシピ!M:M,MATCH(テンプレート!$C413,使用レシピ!$E:$E,0)),""),"")</f>
        <v/>
      </c>
      <c r="M413" t="str">
        <f>IFERROR(IF(INDEX(使用レシピ!N:N,MATCH(テンプレート!$C413,使用レシピ!$E:$E,0))&lt;&gt;0,INDEX(使用レシピ!N:N,MATCH(テンプレート!$C413,使用レシピ!$E:$E,0)),""),"")</f>
        <v/>
      </c>
      <c r="N413" s="24" t="str">
        <f>IFERROR(IF(INDEX(使用レシピ!O:O,MATCH(テンプレート!$C413,使用レシピ!$E:$E,0))&lt;&gt;0,INDEX(使用レシピ!O:O,MATCH(テンプレート!$C413,使用レシピ!$E:$E,0)),""),"")</f>
        <v/>
      </c>
      <c r="O413" s="36" t="str">
        <f>IFERROR(IF(INDEX(使用レシピ!P:P,MATCH(テンプレート!$C413,使用レシピ!$E:$E,0))&lt;&gt;0,INDEX(使用レシピ!P:P,MATCH(テンプレート!$C413,使用レシピ!$E:$E,0)),""),"")</f>
        <v/>
      </c>
      <c r="P413" t="str">
        <f t="shared" si="31"/>
        <v/>
      </c>
      <c r="Q413" t="str">
        <f t="shared" si="32"/>
        <v/>
      </c>
      <c r="R413" t="str">
        <f t="shared" si="33"/>
        <v/>
      </c>
      <c r="S413" t="str">
        <f t="shared" si="34"/>
        <v/>
      </c>
      <c r="T413" s="24" t="str">
        <f t="shared" si="35"/>
        <v/>
      </c>
    </row>
    <row r="414" spans="2:20" x14ac:dyDescent="0.4">
      <c r="B414" s="49" t="str" cm="1">
        <f t="array" ref="B414">IFERROR((INDEX($P$4:$T$1000,MATCH(VALUE(LEFT($A414,LEN($A414)-1)),$A$4:$A$1000,0),VALUE(RIGHT($A414,1)))/ INDEX($O$4:$O$1000,MATCH(VALUE(LEFT($A414,LEN($A414)-1)),$A$4:$A$1000))) * INDEX($B$4:$B$1000,MATCH(VALUE(LEFT($A414,LEN($A414)-1)),$A$4:$A$1000)),"")</f>
        <v/>
      </c>
      <c r="C414" s="2" t="str" cm="1">
        <f t="array" ref="C414">IFERROR(IF(INDEX($D$4:$H$1000,MATCH(VALUE(LEFT($A414,LEN($A414)-1)),$A$4:$A$1000,0),VALUE(RIGHT($A414,1)))= 0,"",INDEX($D$4:$H$1000,MATCH(VALUE(LEFT($A414,LEN($A414)-1)),$A$4:$A$1000,0),VALUE(RIGHT($A414,1)))),"")</f>
        <v/>
      </c>
      <c r="D414" s="23" t="str">
        <f>IFERROR(IF(INDEX(使用レシピ!F:F,MATCH(テンプレート!$C414,使用レシピ!$E:$E,0))&lt;&gt;0,INDEX(使用レシピ!F:F,MATCH(テンプレート!$C414,使用レシピ!$E:$E,0)),""),"")</f>
        <v/>
      </c>
      <c r="E414" t="str">
        <f>IFERROR(IF(INDEX(使用レシピ!G:G,MATCH(テンプレート!$C414,使用レシピ!$E:$E,0))&lt;&gt;0,INDEX(使用レシピ!G:G,MATCH(テンプレート!$C414,使用レシピ!$E:$E,0)),""),"")</f>
        <v/>
      </c>
      <c r="F414" t="str">
        <f>IFERROR(IF(INDEX(使用レシピ!H:H,MATCH(テンプレート!$C414,使用レシピ!$E:$E,0))&lt;&gt;0,INDEX(使用レシピ!H:H,MATCH(テンプレート!$C414,使用レシピ!$E:$E,0)),""),"")</f>
        <v/>
      </c>
      <c r="G414" t="str">
        <f>IFERROR(IF(INDEX(使用レシピ!I:I,MATCH(テンプレート!$C414,使用レシピ!$E:$E,0))&lt;&gt;0,INDEX(使用レシピ!I:I,MATCH(テンプレート!$C414,使用レシピ!$E:$E,0)),""),"")</f>
        <v/>
      </c>
      <c r="H414" s="24" t="str">
        <f>IFERROR(IF(INDEX(使用レシピ!J:J,MATCH(テンプレート!$C414,使用レシピ!$E:$E,0))&lt;&gt;0,INDEX(使用レシピ!J:J,MATCH(テンプレート!$C414,使用レシピ!$E:$E,0)),""),"")</f>
        <v/>
      </c>
      <c r="I414" s="36" t="str">
        <f>IFERROR(IF(INDEX(使用レシピ!P:P,MATCH(テンプレート!$C414,使用レシピ!$E:$E,0))&lt;&gt;0,INDEX(使用レシピ!P:P,MATCH(テンプレート!$C414,使用レシピ!$E:$E,0)),""),"")</f>
        <v/>
      </c>
      <c r="J414" t="str">
        <f>IFERROR(IF(INDEX(使用レシピ!K:K,MATCH(テンプレート!$C414,使用レシピ!$E:$E,0))&lt;&gt;0,INDEX(使用レシピ!K:K,MATCH(テンプレート!$C414,使用レシピ!$E:$E,0)),""),"")</f>
        <v/>
      </c>
      <c r="K414" t="str">
        <f>IFERROR(IF(INDEX(使用レシピ!L:L,MATCH(テンプレート!$C414,使用レシピ!$E:$E,0))&lt;&gt;0,INDEX(使用レシピ!L:L,MATCH(テンプレート!$C414,使用レシピ!$E:$E,0)),""),"")</f>
        <v/>
      </c>
      <c r="L414" t="str">
        <f>IFERROR(IF(INDEX(使用レシピ!M:M,MATCH(テンプレート!$C414,使用レシピ!$E:$E,0))&lt;&gt;0,INDEX(使用レシピ!M:M,MATCH(テンプレート!$C414,使用レシピ!$E:$E,0)),""),"")</f>
        <v/>
      </c>
      <c r="M414" t="str">
        <f>IFERROR(IF(INDEX(使用レシピ!N:N,MATCH(テンプレート!$C414,使用レシピ!$E:$E,0))&lt;&gt;0,INDEX(使用レシピ!N:N,MATCH(テンプレート!$C414,使用レシピ!$E:$E,0)),""),"")</f>
        <v/>
      </c>
      <c r="N414" s="24" t="str">
        <f>IFERROR(IF(INDEX(使用レシピ!O:O,MATCH(テンプレート!$C414,使用レシピ!$E:$E,0))&lt;&gt;0,INDEX(使用レシピ!O:O,MATCH(テンプレート!$C414,使用レシピ!$E:$E,0)),""),"")</f>
        <v/>
      </c>
      <c r="O414" s="36" t="str">
        <f>IFERROR(IF(INDEX(使用レシピ!P:P,MATCH(テンプレート!$C414,使用レシピ!$E:$E,0))&lt;&gt;0,INDEX(使用レシピ!P:P,MATCH(テンプレート!$C414,使用レシピ!$E:$E,0)),""),"")</f>
        <v/>
      </c>
      <c r="P414" t="str">
        <f t="shared" si="31"/>
        <v/>
      </c>
      <c r="Q414" t="str">
        <f t="shared" si="32"/>
        <v/>
      </c>
      <c r="R414" t="str">
        <f t="shared" si="33"/>
        <v/>
      </c>
      <c r="S414" t="str">
        <f t="shared" si="34"/>
        <v/>
      </c>
      <c r="T414" s="24" t="str">
        <f t="shared" si="35"/>
        <v/>
      </c>
    </row>
    <row r="415" spans="2:20" x14ac:dyDescent="0.4">
      <c r="B415" s="49" t="str" cm="1">
        <f t="array" ref="B415">IFERROR((INDEX($P$4:$T$1000,MATCH(VALUE(LEFT($A415,LEN($A415)-1)),$A$4:$A$1000,0),VALUE(RIGHT($A415,1)))/ INDEX($O$4:$O$1000,MATCH(VALUE(LEFT($A415,LEN($A415)-1)),$A$4:$A$1000))) * INDEX($B$4:$B$1000,MATCH(VALUE(LEFT($A415,LEN($A415)-1)),$A$4:$A$1000)),"")</f>
        <v/>
      </c>
      <c r="C415" s="2" t="str" cm="1">
        <f t="array" ref="C415">IFERROR(IF(INDEX($D$4:$H$1000,MATCH(VALUE(LEFT($A415,LEN($A415)-1)),$A$4:$A$1000,0),VALUE(RIGHT($A415,1)))= 0,"",INDEX($D$4:$H$1000,MATCH(VALUE(LEFT($A415,LEN($A415)-1)),$A$4:$A$1000,0),VALUE(RIGHT($A415,1)))),"")</f>
        <v/>
      </c>
      <c r="D415" s="23" t="str">
        <f>IFERROR(IF(INDEX(使用レシピ!F:F,MATCH(テンプレート!$C415,使用レシピ!$E:$E,0))&lt;&gt;0,INDEX(使用レシピ!F:F,MATCH(テンプレート!$C415,使用レシピ!$E:$E,0)),""),"")</f>
        <v/>
      </c>
      <c r="E415" t="str">
        <f>IFERROR(IF(INDEX(使用レシピ!G:G,MATCH(テンプレート!$C415,使用レシピ!$E:$E,0))&lt;&gt;0,INDEX(使用レシピ!G:G,MATCH(テンプレート!$C415,使用レシピ!$E:$E,0)),""),"")</f>
        <v/>
      </c>
      <c r="F415" t="str">
        <f>IFERROR(IF(INDEX(使用レシピ!H:H,MATCH(テンプレート!$C415,使用レシピ!$E:$E,0))&lt;&gt;0,INDEX(使用レシピ!H:H,MATCH(テンプレート!$C415,使用レシピ!$E:$E,0)),""),"")</f>
        <v/>
      </c>
      <c r="G415" t="str">
        <f>IFERROR(IF(INDEX(使用レシピ!I:I,MATCH(テンプレート!$C415,使用レシピ!$E:$E,0))&lt;&gt;0,INDEX(使用レシピ!I:I,MATCH(テンプレート!$C415,使用レシピ!$E:$E,0)),""),"")</f>
        <v/>
      </c>
      <c r="H415" s="24" t="str">
        <f>IFERROR(IF(INDEX(使用レシピ!J:J,MATCH(テンプレート!$C415,使用レシピ!$E:$E,0))&lt;&gt;0,INDEX(使用レシピ!J:J,MATCH(テンプレート!$C415,使用レシピ!$E:$E,0)),""),"")</f>
        <v/>
      </c>
      <c r="I415" s="36" t="str">
        <f>IFERROR(IF(INDEX(使用レシピ!P:P,MATCH(テンプレート!$C415,使用レシピ!$E:$E,0))&lt;&gt;0,INDEX(使用レシピ!P:P,MATCH(テンプレート!$C415,使用レシピ!$E:$E,0)),""),"")</f>
        <v/>
      </c>
      <c r="J415" t="str">
        <f>IFERROR(IF(INDEX(使用レシピ!K:K,MATCH(テンプレート!$C415,使用レシピ!$E:$E,0))&lt;&gt;0,INDEX(使用レシピ!K:K,MATCH(テンプレート!$C415,使用レシピ!$E:$E,0)),""),"")</f>
        <v/>
      </c>
      <c r="K415" t="str">
        <f>IFERROR(IF(INDEX(使用レシピ!L:L,MATCH(テンプレート!$C415,使用レシピ!$E:$E,0))&lt;&gt;0,INDEX(使用レシピ!L:L,MATCH(テンプレート!$C415,使用レシピ!$E:$E,0)),""),"")</f>
        <v/>
      </c>
      <c r="L415" t="str">
        <f>IFERROR(IF(INDEX(使用レシピ!M:M,MATCH(テンプレート!$C415,使用レシピ!$E:$E,0))&lt;&gt;0,INDEX(使用レシピ!M:M,MATCH(テンプレート!$C415,使用レシピ!$E:$E,0)),""),"")</f>
        <v/>
      </c>
      <c r="M415" t="str">
        <f>IFERROR(IF(INDEX(使用レシピ!N:N,MATCH(テンプレート!$C415,使用レシピ!$E:$E,0))&lt;&gt;0,INDEX(使用レシピ!N:N,MATCH(テンプレート!$C415,使用レシピ!$E:$E,0)),""),"")</f>
        <v/>
      </c>
      <c r="N415" s="24" t="str">
        <f>IFERROR(IF(INDEX(使用レシピ!O:O,MATCH(テンプレート!$C415,使用レシピ!$E:$E,0))&lt;&gt;0,INDEX(使用レシピ!O:O,MATCH(テンプレート!$C415,使用レシピ!$E:$E,0)),""),"")</f>
        <v/>
      </c>
      <c r="O415" s="36" t="str">
        <f>IFERROR(IF(INDEX(使用レシピ!P:P,MATCH(テンプレート!$C415,使用レシピ!$E:$E,0))&lt;&gt;0,INDEX(使用レシピ!P:P,MATCH(テンプレート!$C415,使用レシピ!$E:$E,0)),""),"")</f>
        <v/>
      </c>
      <c r="P415" t="str">
        <f t="shared" si="31"/>
        <v/>
      </c>
      <c r="Q415" t="str">
        <f t="shared" si="32"/>
        <v/>
      </c>
      <c r="R415" t="str">
        <f t="shared" si="33"/>
        <v/>
      </c>
      <c r="S415" t="str">
        <f t="shared" si="34"/>
        <v/>
      </c>
      <c r="T415" s="24" t="str">
        <f t="shared" si="35"/>
        <v/>
      </c>
    </row>
    <row r="416" spans="2:20" x14ac:dyDescent="0.4">
      <c r="B416" s="49" t="str" cm="1">
        <f t="array" ref="B416">IFERROR((INDEX($P$4:$T$1000,MATCH(VALUE(LEFT($A416,LEN($A416)-1)),$A$4:$A$1000,0),VALUE(RIGHT($A416,1)))/ INDEX($O$4:$O$1000,MATCH(VALUE(LEFT($A416,LEN($A416)-1)),$A$4:$A$1000))) * INDEX($B$4:$B$1000,MATCH(VALUE(LEFT($A416,LEN($A416)-1)),$A$4:$A$1000)),"")</f>
        <v/>
      </c>
      <c r="C416" s="2" t="str" cm="1">
        <f t="array" ref="C416">IFERROR(IF(INDEX($D$4:$H$1000,MATCH(VALUE(LEFT($A416,LEN($A416)-1)),$A$4:$A$1000,0),VALUE(RIGHT($A416,1)))= 0,"",INDEX($D$4:$H$1000,MATCH(VALUE(LEFT($A416,LEN($A416)-1)),$A$4:$A$1000,0),VALUE(RIGHT($A416,1)))),"")</f>
        <v/>
      </c>
      <c r="D416" s="23" t="str">
        <f>IFERROR(IF(INDEX(使用レシピ!F:F,MATCH(テンプレート!$C416,使用レシピ!$E:$E,0))&lt;&gt;0,INDEX(使用レシピ!F:F,MATCH(テンプレート!$C416,使用レシピ!$E:$E,0)),""),"")</f>
        <v/>
      </c>
      <c r="E416" t="str">
        <f>IFERROR(IF(INDEX(使用レシピ!G:G,MATCH(テンプレート!$C416,使用レシピ!$E:$E,0))&lt;&gt;0,INDEX(使用レシピ!G:G,MATCH(テンプレート!$C416,使用レシピ!$E:$E,0)),""),"")</f>
        <v/>
      </c>
      <c r="F416" t="str">
        <f>IFERROR(IF(INDEX(使用レシピ!H:H,MATCH(テンプレート!$C416,使用レシピ!$E:$E,0))&lt;&gt;0,INDEX(使用レシピ!H:H,MATCH(テンプレート!$C416,使用レシピ!$E:$E,0)),""),"")</f>
        <v/>
      </c>
      <c r="G416" t="str">
        <f>IFERROR(IF(INDEX(使用レシピ!I:I,MATCH(テンプレート!$C416,使用レシピ!$E:$E,0))&lt;&gt;0,INDEX(使用レシピ!I:I,MATCH(テンプレート!$C416,使用レシピ!$E:$E,0)),""),"")</f>
        <v/>
      </c>
      <c r="H416" s="24" t="str">
        <f>IFERROR(IF(INDEX(使用レシピ!J:J,MATCH(テンプレート!$C416,使用レシピ!$E:$E,0))&lt;&gt;0,INDEX(使用レシピ!J:J,MATCH(テンプレート!$C416,使用レシピ!$E:$E,0)),""),"")</f>
        <v/>
      </c>
      <c r="I416" s="36" t="str">
        <f>IFERROR(IF(INDEX(使用レシピ!P:P,MATCH(テンプレート!$C416,使用レシピ!$E:$E,0))&lt;&gt;0,INDEX(使用レシピ!P:P,MATCH(テンプレート!$C416,使用レシピ!$E:$E,0)),""),"")</f>
        <v/>
      </c>
      <c r="J416" t="str">
        <f>IFERROR(IF(INDEX(使用レシピ!K:K,MATCH(テンプレート!$C416,使用レシピ!$E:$E,0))&lt;&gt;0,INDEX(使用レシピ!K:K,MATCH(テンプレート!$C416,使用レシピ!$E:$E,0)),""),"")</f>
        <v/>
      </c>
      <c r="K416" t="str">
        <f>IFERROR(IF(INDEX(使用レシピ!L:L,MATCH(テンプレート!$C416,使用レシピ!$E:$E,0))&lt;&gt;0,INDEX(使用レシピ!L:L,MATCH(テンプレート!$C416,使用レシピ!$E:$E,0)),""),"")</f>
        <v/>
      </c>
      <c r="L416" t="str">
        <f>IFERROR(IF(INDEX(使用レシピ!M:M,MATCH(テンプレート!$C416,使用レシピ!$E:$E,0))&lt;&gt;0,INDEX(使用レシピ!M:M,MATCH(テンプレート!$C416,使用レシピ!$E:$E,0)),""),"")</f>
        <v/>
      </c>
      <c r="M416" t="str">
        <f>IFERROR(IF(INDEX(使用レシピ!N:N,MATCH(テンプレート!$C416,使用レシピ!$E:$E,0))&lt;&gt;0,INDEX(使用レシピ!N:N,MATCH(テンプレート!$C416,使用レシピ!$E:$E,0)),""),"")</f>
        <v/>
      </c>
      <c r="N416" s="24" t="str">
        <f>IFERROR(IF(INDEX(使用レシピ!O:O,MATCH(テンプレート!$C416,使用レシピ!$E:$E,0))&lt;&gt;0,INDEX(使用レシピ!O:O,MATCH(テンプレート!$C416,使用レシピ!$E:$E,0)),""),"")</f>
        <v/>
      </c>
      <c r="O416" s="36" t="str">
        <f>IFERROR(IF(INDEX(使用レシピ!P:P,MATCH(テンプレート!$C416,使用レシピ!$E:$E,0))&lt;&gt;0,INDEX(使用レシピ!P:P,MATCH(テンプレート!$C416,使用レシピ!$E:$E,0)),""),"")</f>
        <v/>
      </c>
      <c r="P416" t="str">
        <f t="shared" si="31"/>
        <v/>
      </c>
      <c r="Q416" t="str">
        <f t="shared" si="32"/>
        <v/>
      </c>
      <c r="R416" t="str">
        <f t="shared" si="33"/>
        <v/>
      </c>
      <c r="S416" t="str">
        <f t="shared" si="34"/>
        <v/>
      </c>
      <c r="T416" s="24" t="str">
        <f t="shared" si="35"/>
        <v/>
      </c>
    </row>
    <row r="417" spans="2:20" x14ac:dyDescent="0.4">
      <c r="B417" s="49" t="str" cm="1">
        <f t="array" ref="B417">IFERROR((INDEX($P$4:$T$1000,MATCH(VALUE(LEFT($A417,LEN($A417)-1)),$A$4:$A$1000,0),VALUE(RIGHT($A417,1)))/ INDEX($O$4:$O$1000,MATCH(VALUE(LEFT($A417,LEN($A417)-1)),$A$4:$A$1000))) * INDEX($B$4:$B$1000,MATCH(VALUE(LEFT($A417,LEN($A417)-1)),$A$4:$A$1000)),"")</f>
        <v/>
      </c>
      <c r="C417" s="2" t="str" cm="1">
        <f t="array" ref="C417">IFERROR(IF(INDEX($D$4:$H$1000,MATCH(VALUE(LEFT($A417,LEN($A417)-1)),$A$4:$A$1000,0),VALUE(RIGHT($A417,1)))= 0,"",INDEX($D$4:$H$1000,MATCH(VALUE(LEFT($A417,LEN($A417)-1)),$A$4:$A$1000,0),VALUE(RIGHT($A417,1)))),"")</f>
        <v/>
      </c>
      <c r="D417" s="23" t="str">
        <f>IFERROR(IF(INDEX(使用レシピ!F:F,MATCH(テンプレート!$C417,使用レシピ!$E:$E,0))&lt;&gt;0,INDEX(使用レシピ!F:F,MATCH(テンプレート!$C417,使用レシピ!$E:$E,0)),""),"")</f>
        <v/>
      </c>
      <c r="E417" t="str">
        <f>IFERROR(IF(INDEX(使用レシピ!G:G,MATCH(テンプレート!$C417,使用レシピ!$E:$E,0))&lt;&gt;0,INDEX(使用レシピ!G:G,MATCH(テンプレート!$C417,使用レシピ!$E:$E,0)),""),"")</f>
        <v/>
      </c>
      <c r="F417" t="str">
        <f>IFERROR(IF(INDEX(使用レシピ!H:H,MATCH(テンプレート!$C417,使用レシピ!$E:$E,0))&lt;&gt;0,INDEX(使用レシピ!H:H,MATCH(テンプレート!$C417,使用レシピ!$E:$E,0)),""),"")</f>
        <v/>
      </c>
      <c r="G417" t="str">
        <f>IFERROR(IF(INDEX(使用レシピ!I:I,MATCH(テンプレート!$C417,使用レシピ!$E:$E,0))&lt;&gt;0,INDEX(使用レシピ!I:I,MATCH(テンプレート!$C417,使用レシピ!$E:$E,0)),""),"")</f>
        <v/>
      </c>
      <c r="H417" s="24" t="str">
        <f>IFERROR(IF(INDEX(使用レシピ!J:J,MATCH(テンプレート!$C417,使用レシピ!$E:$E,0))&lt;&gt;0,INDEX(使用レシピ!J:J,MATCH(テンプレート!$C417,使用レシピ!$E:$E,0)),""),"")</f>
        <v/>
      </c>
      <c r="I417" s="36" t="str">
        <f>IFERROR(IF(INDEX(使用レシピ!P:P,MATCH(テンプレート!$C417,使用レシピ!$E:$E,0))&lt;&gt;0,INDEX(使用レシピ!P:P,MATCH(テンプレート!$C417,使用レシピ!$E:$E,0)),""),"")</f>
        <v/>
      </c>
      <c r="J417" t="str">
        <f>IFERROR(IF(INDEX(使用レシピ!K:K,MATCH(テンプレート!$C417,使用レシピ!$E:$E,0))&lt;&gt;0,INDEX(使用レシピ!K:K,MATCH(テンプレート!$C417,使用レシピ!$E:$E,0)),""),"")</f>
        <v/>
      </c>
      <c r="K417" t="str">
        <f>IFERROR(IF(INDEX(使用レシピ!L:L,MATCH(テンプレート!$C417,使用レシピ!$E:$E,0))&lt;&gt;0,INDEX(使用レシピ!L:L,MATCH(テンプレート!$C417,使用レシピ!$E:$E,0)),""),"")</f>
        <v/>
      </c>
      <c r="L417" t="str">
        <f>IFERROR(IF(INDEX(使用レシピ!M:M,MATCH(テンプレート!$C417,使用レシピ!$E:$E,0))&lt;&gt;0,INDEX(使用レシピ!M:M,MATCH(テンプレート!$C417,使用レシピ!$E:$E,0)),""),"")</f>
        <v/>
      </c>
      <c r="M417" t="str">
        <f>IFERROR(IF(INDEX(使用レシピ!N:N,MATCH(テンプレート!$C417,使用レシピ!$E:$E,0))&lt;&gt;0,INDEX(使用レシピ!N:N,MATCH(テンプレート!$C417,使用レシピ!$E:$E,0)),""),"")</f>
        <v/>
      </c>
      <c r="N417" s="24" t="str">
        <f>IFERROR(IF(INDEX(使用レシピ!O:O,MATCH(テンプレート!$C417,使用レシピ!$E:$E,0))&lt;&gt;0,INDEX(使用レシピ!O:O,MATCH(テンプレート!$C417,使用レシピ!$E:$E,0)),""),"")</f>
        <v/>
      </c>
      <c r="O417" s="36" t="str">
        <f>IFERROR(IF(INDEX(使用レシピ!P:P,MATCH(テンプレート!$C417,使用レシピ!$E:$E,0))&lt;&gt;0,INDEX(使用レシピ!P:P,MATCH(テンプレート!$C417,使用レシピ!$E:$E,0)),""),"")</f>
        <v/>
      </c>
      <c r="P417" t="str">
        <f t="shared" si="31"/>
        <v/>
      </c>
      <c r="Q417" t="str">
        <f t="shared" si="32"/>
        <v/>
      </c>
      <c r="R417" t="str">
        <f t="shared" si="33"/>
        <v/>
      </c>
      <c r="S417" t="str">
        <f t="shared" si="34"/>
        <v/>
      </c>
      <c r="T417" s="24" t="str">
        <f t="shared" si="35"/>
        <v/>
      </c>
    </row>
    <row r="418" spans="2:20" x14ac:dyDescent="0.4">
      <c r="B418" s="49" t="str" cm="1">
        <f t="array" ref="B418">IFERROR((INDEX($P$4:$T$1000,MATCH(VALUE(LEFT($A418,LEN($A418)-1)),$A$4:$A$1000,0),VALUE(RIGHT($A418,1)))/ INDEX($O$4:$O$1000,MATCH(VALUE(LEFT($A418,LEN($A418)-1)),$A$4:$A$1000))) * INDEX($B$4:$B$1000,MATCH(VALUE(LEFT($A418,LEN($A418)-1)),$A$4:$A$1000)),"")</f>
        <v/>
      </c>
      <c r="C418" s="2" t="str" cm="1">
        <f t="array" ref="C418">IFERROR(IF(INDEX($D$4:$H$1000,MATCH(VALUE(LEFT($A418,LEN($A418)-1)),$A$4:$A$1000,0),VALUE(RIGHT($A418,1)))= 0,"",INDEX($D$4:$H$1000,MATCH(VALUE(LEFT($A418,LEN($A418)-1)),$A$4:$A$1000,0),VALUE(RIGHT($A418,1)))),"")</f>
        <v/>
      </c>
      <c r="D418" s="23" t="str">
        <f>IFERROR(IF(INDEX(使用レシピ!F:F,MATCH(テンプレート!$C418,使用レシピ!$E:$E,0))&lt;&gt;0,INDEX(使用レシピ!F:F,MATCH(テンプレート!$C418,使用レシピ!$E:$E,0)),""),"")</f>
        <v/>
      </c>
      <c r="E418" t="str">
        <f>IFERROR(IF(INDEX(使用レシピ!G:G,MATCH(テンプレート!$C418,使用レシピ!$E:$E,0))&lt;&gt;0,INDEX(使用レシピ!G:G,MATCH(テンプレート!$C418,使用レシピ!$E:$E,0)),""),"")</f>
        <v/>
      </c>
      <c r="F418" t="str">
        <f>IFERROR(IF(INDEX(使用レシピ!H:H,MATCH(テンプレート!$C418,使用レシピ!$E:$E,0))&lt;&gt;0,INDEX(使用レシピ!H:H,MATCH(テンプレート!$C418,使用レシピ!$E:$E,0)),""),"")</f>
        <v/>
      </c>
      <c r="G418" t="str">
        <f>IFERROR(IF(INDEX(使用レシピ!I:I,MATCH(テンプレート!$C418,使用レシピ!$E:$E,0))&lt;&gt;0,INDEX(使用レシピ!I:I,MATCH(テンプレート!$C418,使用レシピ!$E:$E,0)),""),"")</f>
        <v/>
      </c>
      <c r="H418" s="24" t="str">
        <f>IFERROR(IF(INDEX(使用レシピ!J:J,MATCH(テンプレート!$C418,使用レシピ!$E:$E,0))&lt;&gt;0,INDEX(使用レシピ!J:J,MATCH(テンプレート!$C418,使用レシピ!$E:$E,0)),""),"")</f>
        <v/>
      </c>
      <c r="I418" s="36" t="str">
        <f>IFERROR(IF(INDEX(使用レシピ!P:P,MATCH(テンプレート!$C418,使用レシピ!$E:$E,0))&lt;&gt;0,INDEX(使用レシピ!P:P,MATCH(テンプレート!$C418,使用レシピ!$E:$E,0)),""),"")</f>
        <v/>
      </c>
      <c r="J418" t="str">
        <f>IFERROR(IF(INDEX(使用レシピ!K:K,MATCH(テンプレート!$C418,使用レシピ!$E:$E,0))&lt;&gt;0,INDEX(使用レシピ!K:K,MATCH(テンプレート!$C418,使用レシピ!$E:$E,0)),""),"")</f>
        <v/>
      </c>
      <c r="K418" t="str">
        <f>IFERROR(IF(INDEX(使用レシピ!L:L,MATCH(テンプレート!$C418,使用レシピ!$E:$E,0))&lt;&gt;0,INDEX(使用レシピ!L:L,MATCH(テンプレート!$C418,使用レシピ!$E:$E,0)),""),"")</f>
        <v/>
      </c>
      <c r="L418" t="str">
        <f>IFERROR(IF(INDEX(使用レシピ!M:M,MATCH(テンプレート!$C418,使用レシピ!$E:$E,0))&lt;&gt;0,INDEX(使用レシピ!M:M,MATCH(テンプレート!$C418,使用レシピ!$E:$E,0)),""),"")</f>
        <v/>
      </c>
      <c r="M418" t="str">
        <f>IFERROR(IF(INDEX(使用レシピ!N:N,MATCH(テンプレート!$C418,使用レシピ!$E:$E,0))&lt;&gt;0,INDEX(使用レシピ!N:N,MATCH(テンプレート!$C418,使用レシピ!$E:$E,0)),""),"")</f>
        <v/>
      </c>
      <c r="N418" s="24" t="str">
        <f>IFERROR(IF(INDEX(使用レシピ!O:O,MATCH(テンプレート!$C418,使用レシピ!$E:$E,0))&lt;&gt;0,INDEX(使用レシピ!O:O,MATCH(テンプレート!$C418,使用レシピ!$E:$E,0)),""),"")</f>
        <v/>
      </c>
      <c r="O418" s="36" t="str">
        <f>IFERROR(IF(INDEX(使用レシピ!P:P,MATCH(テンプレート!$C418,使用レシピ!$E:$E,0))&lt;&gt;0,INDEX(使用レシピ!P:P,MATCH(テンプレート!$C418,使用レシピ!$E:$E,0)),""),"")</f>
        <v/>
      </c>
      <c r="P418" t="str">
        <f t="shared" si="31"/>
        <v/>
      </c>
      <c r="Q418" t="str">
        <f t="shared" si="32"/>
        <v/>
      </c>
      <c r="R418" t="str">
        <f t="shared" si="33"/>
        <v/>
      </c>
      <c r="S418" t="str">
        <f t="shared" si="34"/>
        <v/>
      </c>
      <c r="T418" s="24" t="str">
        <f t="shared" si="35"/>
        <v/>
      </c>
    </row>
    <row r="419" spans="2:20" x14ac:dyDescent="0.4">
      <c r="B419" s="49" t="str" cm="1">
        <f t="array" ref="B419">IFERROR((INDEX($P$4:$T$1000,MATCH(VALUE(LEFT($A419,LEN($A419)-1)),$A$4:$A$1000,0),VALUE(RIGHT($A419,1)))/ INDEX($O$4:$O$1000,MATCH(VALUE(LEFT($A419,LEN($A419)-1)),$A$4:$A$1000))) * INDEX($B$4:$B$1000,MATCH(VALUE(LEFT($A419,LEN($A419)-1)),$A$4:$A$1000)),"")</f>
        <v/>
      </c>
      <c r="C419" s="2" t="str" cm="1">
        <f t="array" ref="C419">IFERROR(IF(INDEX($D$4:$H$1000,MATCH(VALUE(LEFT($A419,LEN($A419)-1)),$A$4:$A$1000,0),VALUE(RIGHT($A419,1)))= 0,"",INDEX($D$4:$H$1000,MATCH(VALUE(LEFT($A419,LEN($A419)-1)),$A$4:$A$1000,0),VALUE(RIGHT($A419,1)))),"")</f>
        <v/>
      </c>
      <c r="D419" s="23" t="str">
        <f>IFERROR(IF(INDEX(使用レシピ!F:F,MATCH(テンプレート!$C419,使用レシピ!$E:$E,0))&lt;&gt;0,INDEX(使用レシピ!F:F,MATCH(テンプレート!$C419,使用レシピ!$E:$E,0)),""),"")</f>
        <v/>
      </c>
      <c r="E419" t="str">
        <f>IFERROR(IF(INDEX(使用レシピ!G:G,MATCH(テンプレート!$C419,使用レシピ!$E:$E,0))&lt;&gt;0,INDEX(使用レシピ!G:G,MATCH(テンプレート!$C419,使用レシピ!$E:$E,0)),""),"")</f>
        <v/>
      </c>
      <c r="F419" t="str">
        <f>IFERROR(IF(INDEX(使用レシピ!H:H,MATCH(テンプレート!$C419,使用レシピ!$E:$E,0))&lt;&gt;0,INDEX(使用レシピ!H:H,MATCH(テンプレート!$C419,使用レシピ!$E:$E,0)),""),"")</f>
        <v/>
      </c>
      <c r="G419" t="str">
        <f>IFERROR(IF(INDEX(使用レシピ!I:I,MATCH(テンプレート!$C419,使用レシピ!$E:$E,0))&lt;&gt;0,INDEX(使用レシピ!I:I,MATCH(テンプレート!$C419,使用レシピ!$E:$E,0)),""),"")</f>
        <v/>
      </c>
      <c r="H419" s="24" t="str">
        <f>IFERROR(IF(INDEX(使用レシピ!J:J,MATCH(テンプレート!$C419,使用レシピ!$E:$E,0))&lt;&gt;0,INDEX(使用レシピ!J:J,MATCH(テンプレート!$C419,使用レシピ!$E:$E,0)),""),"")</f>
        <v/>
      </c>
      <c r="I419" s="36" t="str">
        <f>IFERROR(IF(INDEX(使用レシピ!P:P,MATCH(テンプレート!$C419,使用レシピ!$E:$E,0))&lt;&gt;0,INDEX(使用レシピ!P:P,MATCH(テンプレート!$C419,使用レシピ!$E:$E,0)),""),"")</f>
        <v/>
      </c>
      <c r="J419" t="str">
        <f>IFERROR(IF(INDEX(使用レシピ!K:K,MATCH(テンプレート!$C419,使用レシピ!$E:$E,0))&lt;&gt;0,INDEX(使用レシピ!K:K,MATCH(テンプレート!$C419,使用レシピ!$E:$E,0)),""),"")</f>
        <v/>
      </c>
      <c r="K419" t="str">
        <f>IFERROR(IF(INDEX(使用レシピ!L:L,MATCH(テンプレート!$C419,使用レシピ!$E:$E,0))&lt;&gt;0,INDEX(使用レシピ!L:L,MATCH(テンプレート!$C419,使用レシピ!$E:$E,0)),""),"")</f>
        <v/>
      </c>
      <c r="L419" t="str">
        <f>IFERROR(IF(INDEX(使用レシピ!M:M,MATCH(テンプレート!$C419,使用レシピ!$E:$E,0))&lt;&gt;0,INDEX(使用レシピ!M:M,MATCH(テンプレート!$C419,使用レシピ!$E:$E,0)),""),"")</f>
        <v/>
      </c>
      <c r="M419" t="str">
        <f>IFERROR(IF(INDEX(使用レシピ!N:N,MATCH(テンプレート!$C419,使用レシピ!$E:$E,0))&lt;&gt;0,INDEX(使用レシピ!N:N,MATCH(テンプレート!$C419,使用レシピ!$E:$E,0)),""),"")</f>
        <v/>
      </c>
      <c r="N419" s="24" t="str">
        <f>IFERROR(IF(INDEX(使用レシピ!O:O,MATCH(テンプレート!$C419,使用レシピ!$E:$E,0))&lt;&gt;0,INDEX(使用レシピ!O:O,MATCH(テンプレート!$C419,使用レシピ!$E:$E,0)),""),"")</f>
        <v/>
      </c>
      <c r="O419" s="36" t="str">
        <f>IFERROR(IF(INDEX(使用レシピ!P:P,MATCH(テンプレート!$C419,使用レシピ!$E:$E,0))&lt;&gt;0,INDEX(使用レシピ!P:P,MATCH(テンプレート!$C419,使用レシピ!$E:$E,0)),""),"")</f>
        <v/>
      </c>
      <c r="P419" t="str">
        <f t="shared" si="31"/>
        <v/>
      </c>
      <c r="Q419" t="str">
        <f t="shared" si="32"/>
        <v/>
      </c>
      <c r="R419" t="str">
        <f t="shared" si="33"/>
        <v/>
      </c>
      <c r="S419" t="str">
        <f t="shared" si="34"/>
        <v/>
      </c>
      <c r="T419" s="24" t="str">
        <f t="shared" si="35"/>
        <v/>
      </c>
    </row>
    <row r="420" spans="2:20" x14ac:dyDescent="0.4">
      <c r="B420" s="49" t="str" cm="1">
        <f t="array" ref="B420">IFERROR((INDEX($P$4:$T$1000,MATCH(VALUE(LEFT($A420,LEN($A420)-1)),$A$4:$A$1000,0),VALUE(RIGHT($A420,1)))/ INDEX($O$4:$O$1000,MATCH(VALUE(LEFT($A420,LEN($A420)-1)),$A$4:$A$1000))) * INDEX($B$4:$B$1000,MATCH(VALUE(LEFT($A420,LEN($A420)-1)),$A$4:$A$1000)),"")</f>
        <v/>
      </c>
      <c r="C420" s="2" t="str" cm="1">
        <f t="array" ref="C420">IFERROR(IF(INDEX($D$4:$H$1000,MATCH(VALUE(LEFT($A420,LEN($A420)-1)),$A$4:$A$1000,0),VALUE(RIGHT($A420,1)))= 0,"",INDEX($D$4:$H$1000,MATCH(VALUE(LEFT($A420,LEN($A420)-1)),$A$4:$A$1000,0),VALUE(RIGHT($A420,1)))),"")</f>
        <v/>
      </c>
      <c r="D420" s="23" t="str">
        <f>IFERROR(IF(INDEX(使用レシピ!F:F,MATCH(テンプレート!$C420,使用レシピ!$E:$E,0))&lt;&gt;0,INDEX(使用レシピ!F:F,MATCH(テンプレート!$C420,使用レシピ!$E:$E,0)),""),"")</f>
        <v/>
      </c>
      <c r="E420" t="str">
        <f>IFERROR(IF(INDEX(使用レシピ!G:G,MATCH(テンプレート!$C420,使用レシピ!$E:$E,0))&lt;&gt;0,INDEX(使用レシピ!G:G,MATCH(テンプレート!$C420,使用レシピ!$E:$E,0)),""),"")</f>
        <v/>
      </c>
      <c r="F420" t="str">
        <f>IFERROR(IF(INDEX(使用レシピ!H:H,MATCH(テンプレート!$C420,使用レシピ!$E:$E,0))&lt;&gt;0,INDEX(使用レシピ!H:H,MATCH(テンプレート!$C420,使用レシピ!$E:$E,0)),""),"")</f>
        <v/>
      </c>
      <c r="G420" t="str">
        <f>IFERROR(IF(INDEX(使用レシピ!I:I,MATCH(テンプレート!$C420,使用レシピ!$E:$E,0))&lt;&gt;0,INDEX(使用レシピ!I:I,MATCH(テンプレート!$C420,使用レシピ!$E:$E,0)),""),"")</f>
        <v/>
      </c>
      <c r="H420" s="24" t="str">
        <f>IFERROR(IF(INDEX(使用レシピ!J:J,MATCH(テンプレート!$C420,使用レシピ!$E:$E,0))&lt;&gt;0,INDEX(使用レシピ!J:J,MATCH(テンプレート!$C420,使用レシピ!$E:$E,0)),""),"")</f>
        <v/>
      </c>
      <c r="I420" s="36" t="str">
        <f>IFERROR(IF(INDEX(使用レシピ!P:P,MATCH(テンプレート!$C420,使用レシピ!$E:$E,0))&lt;&gt;0,INDEX(使用レシピ!P:P,MATCH(テンプレート!$C420,使用レシピ!$E:$E,0)),""),"")</f>
        <v/>
      </c>
      <c r="J420" t="str">
        <f>IFERROR(IF(INDEX(使用レシピ!K:K,MATCH(テンプレート!$C420,使用レシピ!$E:$E,0))&lt;&gt;0,INDEX(使用レシピ!K:K,MATCH(テンプレート!$C420,使用レシピ!$E:$E,0)),""),"")</f>
        <v/>
      </c>
      <c r="K420" t="str">
        <f>IFERROR(IF(INDEX(使用レシピ!L:L,MATCH(テンプレート!$C420,使用レシピ!$E:$E,0))&lt;&gt;0,INDEX(使用レシピ!L:L,MATCH(テンプレート!$C420,使用レシピ!$E:$E,0)),""),"")</f>
        <v/>
      </c>
      <c r="L420" t="str">
        <f>IFERROR(IF(INDEX(使用レシピ!M:M,MATCH(テンプレート!$C420,使用レシピ!$E:$E,0))&lt;&gt;0,INDEX(使用レシピ!M:M,MATCH(テンプレート!$C420,使用レシピ!$E:$E,0)),""),"")</f>
        <v/>
      </c>
      <c r="M420" t="str">
        <f>IFERROR(IF(INDEX(使用レシピ!N:N,MATCH(テンプレート!$C420,使用レシピ!$E:$E,0))&lt;&gt;0,INDEX(使用レシピ!N:N,MATCH(テンプレート!$C420,使用レシピ!$E:$E,0)),""),"")</f>
        <v/>
      </c>
      <c r="N420" s="24" t="str">
        <f>IFERROR(IF(INDEX(使用レシピ!O:O,MATCH(テンプレート!$C420,使用レシピ!$E:$E,0))&lt;&gt;0,INDEX(使用レシピ!O:O,MATCH(テンプレート!$C420,使用レシピ!$E:$E,0)),""),"")</f>
        <v/>
      </c>
      <c r="O420" s="36" t="str">
        <f>IFERROR(IF(INDEX(使用レシピ!P:P,MATCH(テンプレート!$C420,使用レシピ!$E:$E,0))&lt;&gt;0,INDEX(使用レシピ!P:P,MATCH(テンプレート!$C420,使用レシピ!$E:$E,0)),""),"")</f>
        <v/>
      </c>
      <c r="P420" t="str">
        <f t="shared" si="31"/>
        <v/>
      </c>
      <c r="Q420" t="str">
        <f t="shared" si="32"/>
        <v/>
      </c>
      <c r="R420" t="str">
        <f t="shared" si="33"/>
        <v/>
      </c>
      <c r="S420" t="str">
        <f t="shared" si="34"/>
        <v/>
      </c>
      <c r="T420" s="24" t="str">
        <f t="shared" si="35"/>
        <v/>
      </c>
    </row>
    <row r="421" spans="2:20" x14ac:dyDescent="0.4">
      <c r="B421" s="49" t="str" cm="1">
        <f t="array" ref="B421">IFERROR((INDEX($P$4:$T$1000,MATCH(VALUE(LEFT($A421,LEN($A421)-1)),$A$4:$A$1000,0),VALUE(RIGHT($A421,1)))/ INDEX($O$4:$O$1000,MATCH(VALUE(LEFT($A421,LEN($A421)-1)),$A$4:$A$1000))) * INDEX($B$4:$B$1000,MATCH(VALUE(LEFT($A421,LEN($A421)-1)),$A$4:$A$1000)),"")</f>
        <v/>
      </c>
      <c r="C421" s="2" t="str" cm="1">
        <f t="array" ref="C421">IFERROR(IF(INDEX($D$4:$H$1000,MATCH(VALUE(LEFT($A421,LEN($A421)-1)),$A$4:$A$1000,0),VALUE(RIGHT($A421,1)))= 0,"",INDEX($D$4:$H$1000,MATCH(VALUE(LEFT($A421,LEN($A421)-1)),$A$4:$A$1000,0),VALUE(RIGHT($A421,1)))),"")</f>
        <v/>
      </c>
      <c r="D421" s="23" t="str">
        <f>IFERROR(IF(INDEX(使用レシピ!F:F,MATCH(テンプレート!$C421,使用レシピ!$E:$E,0))&lt;&gt;0,INDEX(使用レシピ!F:F,MATCH(テンプレート!$C421,使用レシピ!$E:$E,0)),""),"")</f>
        <v/>
      </c>
      <c r="E421" t="str">
        <f>IFERROR(IF(INDEX(使用レシピ!G:G,MATCH(テンプレート!$C421,使用レシピ!$E:$E,0))&lt;&gt;0,INDEX(使用レシピ!G:G,MATCH(テンプレート!$C421,使用レシピ!$E:$E,0)),""),"")</f>
        <v/>
      </c>
      <c r="F421" t="str">
        <f>IFERROR(IF(INDEX(使用レシピ!H:H,MATCH(テンプレート!$C421,使用レシピ!$E:$E,0))&lt;&gt;0,INDEX(使用レシピ!H:H,MATCH(テンプレート!$C421,使用レシピ!$E:$E,0)),""),"")</f>
        <v/>
      </c>
      <c r="G421" t="str">
        <f>IFERROR(IF(INDEX(使用レシピ!I:I,MATCH(テンプレート!$C421,使用レシピ!$E:$E,0))&lt;&gt;0,INDEX(使用レシピ!I:I,MATCH(テンプレート!$C421,使用レシピ!$E:$E,0)),""),"")</f>
        <v/>
      </c>
      <c r="H421" s="24" t="str">
        <f>IFERROR(IF(INDEX(使用レシピ!J:J,MATCH(テンプレート!$C421,使用レシピ!$E:$E,0))&lt;&gt;0,INDEX(使用レシピ!J:J,MATCH(テンプレート!$C421,使用レシピ!$E:$E,0)),""),"")</f>
        <v/>
      </c>
      <c r="I421" s="36" t="str">
        <f>IFERROR(IF(INDEX(使用レシピ!P:P,MATCH(テンプレート!$C421,使用レシピ!$E:$E,0))&lt;&gt;0,INDEX(使用レシピ!P:P,MATCH(テンプレート!$C421,使用レシピ!$E:$E,0)),""),"")</f>
        <v/>
      </c>
      <c r="J421" t="str">
        <f>IFERROR(IF(INDEX(使用レシピ!K:K,MATCH(テンプレート!$C421,使用レシピ!$E:$E,0))&lt;&gt;0,INDEX(使用レシピ!K:K,MATCH(テンプレート!$C421,使用レシピ!$E:$E,0)),""),"")</f>
        <v/>
      </c>
      <c r="K421" t="str">
        <f>IFERROR(IF(INDEX(使用レシピ!L:L,MATCH(テンプレート!$C421,使用レシピ!$E:$E,0))&lt;&gt;0,INDEX(使用レシピ!L:L,MATCH(テンプレート!$C421,使用レシピ!$E:$E,0)),""),"")</f>
        <v/>
      </c>
      <c r="L421" t="str">
        <f>IFERROR(IF(INDEX(使用レシピ!M:M,MATCH(テンプレート!$C421,使用レシピ!$E:$E,0))&lt;&gt;0,INDEX(使用レシピ!M:M,MATCH(テンプレート!$C421,使用レシピ!$E:$E,0)),""),"")</f>
        <v/>
      </c>
      <c r="M421" t="str">
        <f>IFERROR(IF(INDEX(使用レシピ!N:N,MATCH(テンプレート!$C421,使用レシピ!$E:$E,0))&lt;&gt;0,INDEX(使用レシピ!N:N,MATCH(テンプレート!$C421,使用レシピ!$E:$E,0)),""),"")</f>
        <v/>
      </c>
      <c r="N421" s="24" t="str">
        <f>IFERROR(IF(INDEX(使用レシピ!O:O,MATCH(テンプレート!$C421,使用レシピ!$E:$E,0))&lt;&gt;0,INDEX(使用レシピ!O:O,MATCH(テンプレート!$C421,使用レシピ!$E:$E,0)),""),"")</f>
        <v/>
      </c>
      <c r="O421" s="36" t="str">
        <f>IFERROR(IF(INDEX(使用レシピ!P:P,MATCH(テンプレート!$C421,使用レシピ!$E:$E,0))&lt;&gt;0,INDEX(使用レシピ!P:P,MATCH(テンプレート!$C421,使用レシピ!$E:$E,0)),""),"")</f>
        <v/>
      </c>
      <c r="P421" t="str">
        <f t="shared" si="31"/>
        <v/>
      </c>
      <c r="Q421" t="str">
        <f t="shared" si="32"/>
        <v/>
      </c>
      <c r="R421" t="str">
        <f t="shared" si="33"/>
        <v/>
      </c>
      <c r="S421" t="str">
        <f t="shared" si="34"/>
        <v/>
      </c>
      <c r="T421" s="24" t="str">
        <f t="shared" si="35"/>
        <v/>
      </c>
    </row>
    <row r="422" spans="2:20" x14ac:dyDescent="0.4">
      <c r="B422" s="49" t="str" cm="1">
        <f t="array" ref="B422">IFERROR((INDEX($P$4:$T$1000,MATCH(VALUE(LEFT($A422,LEN($A422)-1)),$A$4:$A$1000,0),VALUE(RIGHT($A422,1)))/ INDEX($O$4:$O$1000,MATCH(VALUE(LEFT($A422,LEN($A422)-1)),$A$4:$A$1000))) * INDEX($B$4:$B$1000,MATCH(VALUE(LEFT($A422,LEN($A422)-1)),$A$4:$A$1000)),"")</f>
        <v/>
      </c>
      <c r="C422" s="2" t="str" cm="1">
        <f t="array" ref="C422">IFERROR(IF(INDEX($D$4:$H$1000,MATCH(VALUE(LEFT($A422,LEN($A422)-1)),$A$4:$A$1000,0),VALUE(RIGHT($A422,1)))= 0,"",INDEX($D$4:$H$1000,MATCH(VALUE(LEFT($A422,LEN($A422)-1)),$A$4:$A$1000,0),VALUE(RIGHT($A422,1)))),"")</f>
        <v/>
      </c>
      <c r="D422" s="23" t="str">
        <f>IFERROR(IF(INDEX(使用レシピ!F:F,MATCH(テンプレート!$C422,使用レシピ!$E:$E,0))&lt;&gt;0,INDEX(使用レシピ!F:F,MATCH(テンプレート!$C422,使用レシピ!$E:$E,0)),""),"")</f>
        <v/>
      </c>
      <c r="E422" t="str">
        <f>IFERROR(IF(INDEX(使用レシピ!G:G,MATCH(テンプレート!$C422,使用レシピ!$E:$E,0))&lt;&gt;0,INDEX(使用レシピ!G:G,MATCH(テンプレート!$C422,使用レシピ!$E:$E,0)),""),"")</f>
        <v/>
      </c>
      <c r="F422" t="str">
        <f>IFERROR(IF(INDEX(使用レシピ!H:H,MATCH(テンプレート!$C422,使用レシピ!$E:$E,0))&lt;&gt;0,INDEX(使用レシピ!H:H,MATCH(テンプレート!$C422,使用レシピ!$E:$E,0)),""),"")</f>
        <v/>
      </c>
      <c r="G422" t="str">
        <f>IFERROR(IF(INDEX(使用レシピ!I:I,MATCH(テンプレート!$C422,使用レシピ!$E:$E,0))&lt;&gt;0,INDEX(使用レシピ!I:I,MATCH(テンプレート!$C422,使用レシピ!$E:$E,0)),""),"")</f>
        <v/>
      </c>
      <c r="H422" s="24" t="str">
        <f>IFERROR(IF(INDEX(使用レシピ!J:J,MATCH(テンプレート!$C422,使用レシピ!$E:$E,0))&lt;&gt;0,INDEX(使用レシピ!J:J,MATCH(テンプレート!$C422,使用レシピ!$E:$E,0)),""),"")</f>
        <v/>
      </c>
      <c r="I422" s="36" t="str">
        <f>IFERROR(IF(INDEX(使用レシピ!P:P,MATCH(テンプレート!$C422,使用レシピ!$E:$E,0))&lt;&gt;0,INDEX(使用レシピ!P:P,MATCH(テンプレート!$C422,使用レシピ!$E:$E,0)),""),"")</f>
        <v/>
      </c>
      <c r="J422" t="str">
        <f>IFERROR(IF(INDEX(使用レシピ!K:K,MATCH(テンプレート!$C422,使用レシピ!$E:$E,0))&lt;&gt;0,INDEX(使用レシピ!K:K,MATCH(テンプレート!$C422,使用レシピ!$E:$E,0)),""),"")</f>
        <v/>
      </c>
      <c r="K422" t="str">
        <f>IFERROR(IF(INDEX(使用レシピ!L:L,MATCH(テンプレート!$C422,使用レシピ!$E:$E,0))&lt;&gt;0,INDEX(使用レシピ!L:L,MATCH(テンプレート!$C422,使用レシピ!$E:$E,0)),""),"")</f>
        <v/>
      </c>
      <c r="L422" t="str">
        <f>IFERROR(IF(INDEX(使用レシピ!M:M,MATCH(テンプレート!$C422,使用レシピ!$E:$E,0))&lt;&gt;0,INDEX(使用レシピ!M:M,MATCH(テンプレート!$C422,使用レシピ!$E:$E,0)),""),"")</f>
        <v/>
      </c>
      <c r="M422" t="str">
        <f>IFERROR(IF(INDEX(使用レシピ!N:N,MATCH(テンプレート!$C422,使用レシピ!$E:$E,0))&lt;&gt;0,INDEX(使用レシピ!N:N,MATCH(テンプレート!$C422,使用レシピ!$E:$E,0)),""),"")</f>
        <v/>
      </c>
      <c r="N422" s="24" t="str">
        <f>IFERROR(IF(INDEX(使用レシピ!O:O,MATCH(テンプレート!$C422,使用レシピ!$E:$E,0))&lt;&gt;0,INDEX(使用レシピ!O:O,MATCH(テンプレート!$C422,使用レシピ!$E:$E,0)),""),"")</f>
        <v/>
      </c>
      <c r="O422" s="36" t="str">
        <f>IFERROR(IF(INDEX(使用レシピ!P:P,MATCH(テンプレート!$C422,使用レシピ!$E:$E,0))&lt;&gt;0,INDEX(使用レシピ!P:P,MATCH(テンプレート!$C422,使用レシピ!$E:$E,0)),""),"")</f>
        <v/>
      </c>
      <c r="P422" t="str">
        <f t="shared" si="31"/>
        <v/>
      </c>
      <c r="Q422" t="str">
        <f t="shared" si="32"/>
        <v/>
      </c>
      <c r="R422" t="str">
        <f t="shared" si="33"/>
        <v/>
      </c>
      <c r="S422" t="str">
        <f t="shared" si="34"/>
        <v/>
      </c>
      <c r="T422" s="24" t="str">
        <f t="shared" si="35"/>
        <v/>
      </c>
    </row>
    <row r="423" spans="2:20" x14ac:dyDescent="0.4">
      <c r="B423" s="49" t="str" cm="1">
        <f t="array" ref="B423">IFERROR((INDEX($P$4:$T$1000,MATCH(VALUE(LEFT($A423,LEN($A423)-1)),$A$4:$A$1000,0),VALUE(RIGHT($A423,1)))/ INDEX($O$4:$O$1000,MATCH(VALUE(LEFT($A423,LEN($A423)-1)),$A$4:$A$1000))) * INDEX($B$4:$B$1000,MATCH(VALUE(LEFT($A423,LEN($A423)-1)),$A$4:$A$1000)),"")</f>
        <v/>
      </c>
      <c r="C423" s="2" t="str" cm="1">
        <f t="array" ref="C423">IFERROR(IF(INDEX($D$4:$H$1000,MATCH(VALUE(LEFT($A423,LEN($A423)-1)),$A$4:$A$1000,0),VALUE(RIGHT($A423,1)))= 0,"",INDEX($D$4:$H$1000,MATCH(VALUE(LEFT($A423,LEN($A423)-1)),$A$4:$A$1000,0),VALUE(RIGHT($A423,1)))),"")</f>
        <v/>
      </c>
      <c r="D423" s="23" t="str">
        <f>IFERROR(IF(INDEX(使用レシピ!F:F,MATCH(テンプレート!$C423,使用レシピ!$E:$E,0))&lt;&gt;0,INDEX(使用レシピ!F:F,MATCH(テンプレート!$C423,使用レシピ!$E:$E,0)),""),"")</f>
        <v/>
      </c>
      <c r="E423" t="str">
        <f>IFERROR(IF(INDEX(使用レシピ!G:G,MATCH(テンプレート!$C423,使用レシピ!$E:$E,0))&lt;&gt;0,INDEX(使用レシピ!G:G,MATCH(テンプレート!$C423,使用レシピ!$E:$E,0)),""),"")</f>
        <v/>
      </c>
      <c r="F423" t="str">
        <f>IFERROR(IF(INDEX(使用レシピ!H:H,MATCH(テンプレート!$C423,使用レシピ!$E:$E,0))&lt;&gt;0,INDEX(使用レシピ!H:H,MATCH(テンプレート!$C423,使用レシピ!$E:$E,0)),""),"")</f>
        <v/>
      </c>
      <c r="G423" t="str">
        <f>IFERROR(IF(INDEX(使用レシピ!I:I,MATCH(テンプレート!$C423,使用レシピ!$E:$E,0))&lt;&gt;0,INDEX(使用レシピ!I:I,MATCH(テンプレート!$C423,使用レシピ!$E:$E,0)),""),"")</f>
        <v/>
      </c>
      <c r="H423" s="24" t="str">
        <f>IFERROR(IF(INDEX(使用レシピ!J:J,MATCH(テンプレート!$C423,使用レシピ!$E:$E,0))&lt;&gt;0,INDEX(使用レシピ!J:J,MATCH(テンプレート!$C423,使用レシピ!$E:$E,0)),""),"")</f>
        <v/>
      </c>
      <c r="I423" s="36" t="str">
        <f>IFERROR(IF(INDEX(使用レシピ!P:P,MATCH(テンプレート!$C423,使用レシピ!$E:$E,0))&lt;&gt;0,INDEX(使用レシピ!P:P,MATCH(テンプレート!$C423,使用レシピ!$E:$E,0)),""),"")</f>
        <v/>
      </c>
      <c r="J423" t="str">
        <f>IFERROR(IF(INDEX(使用レシピ!K:K,MATCH(テンプレート!$C423,使用レシピ!$E:$E,0))&lt;&gt;0,INDEX(使用レシピ!K:K,MATCH(テンプレート!$C423,使用レシピ!$E:$E,0)),""),"")</f>
        <v/>
      </c>
      <c r="K423" t="str">
        <f>IFERROR(IF(INDEX(使用レシピ!L:L,MATCH(テンプレート!$C423,使用レシピ!$E:$E,0))&lt;&gt;0,INDEX(使用レシピ!L:L,MATCH(テンプレート!$C423,使用レシピ!$E:$E,0)),""),"")</f>
        <v/>
      </c>
      <c r="L423" t="str">
        <f>IFERROR(IF(INDEX(使用レシピ!M:M,MATCH(テンプレート!$C423,使用レシピ!$E:$E,0))&lt;&gt;0,INDEX(使用レシピ!M:M,MATCH(テンプレート!$C423,使用レシピ!$E:$E,0)),""),"")</f>
        <v/>
      </c>
      <c r="M423" t="str">
        <f>IFERROR(IF(INDEX(使用レシピ!N:N,MATCH(テンプレート!$C423,使用レシピ!$E:$E,0))&lt;&gt;0,INDEX(使用レシピ!N:N,MATCH(テンプレート!$C423,使用レシピ!$E:$E,0)),""),"")</f>
        <v/>
      </c>
      <c r="N423" s="24" t="str">
        <f>IFERROR(IF(INDEX(使用レシピ!O:O,MATCH(テンプレート!$C423,使用レシピ!$E:$E,0))&lt;&gt;0,INDEX(使用レシピ!O:O,MATCH(テンプレート!$C423,使用レシピ!$E:$E,0)),""),"")</f>
        <v/>
      </c>
      <c r="O423" s="36" t="str">
        <f>IFERROR(IF(INDEX(使用レシピ!P:P,MATCH(テンプレート!$C423,使用レシピ!$E:$E,0))&lt;&gt;0,INDEX(使用レシピ!P:P,MATCH(テンプレート!$C423,使用レシピ!$E:$E,0)),""),"")</f>
        <v/>
      </c>
      <c r="P423" t="str">
        <f t="shared" si="31"/>
        <v/>
      </c>
      <c r="Q423" t="str">
        <f t="shared" si="32"/>
        <v/>
      </c>
      <c r="R423" t="str">
        <f t="shared" si="33"/>
        <v/>
      </c>
      <c r="S423" t="str">
        <f t="shared" si="34"/>
        <v/>
      </c>
      <c r="T423" s="24" t="str">
        <f t="shared" si="35"/>
        <v/>
      </c>
    </row>
    <row r="424" spans="2:20" x14ac:dyDescent="0.4">
      <c r="B424" s="49" t="str" cm="1">
        <f t="array" ref="B424">IFERROR((INDEX($P$4:$T$1000,MATCH(VALUE(LEFT($A424,LEN($A424)-1)),$A$4:$A$1000,0),VALUE(RIGHT($A424,1)))/ INDEX($O$4:$O$1000,MATCH(VALUE(LEFT($A424,LEN($A424)-1)),$A$4:$A$1000))) * INDEX($B$4:$B$1000,MATCH(VALUE(LEFT($A424,LEN($A424)-1)),$A$4:$A$1000)),"")</f>
        <v/>
      </c>
      <c r="C424" s="2" t="str" cm="1">
        <f t="array" ref="C424">IFERROR(IF(INDEX($D$4:$H$1000,MATCH(VALUE(LEFT($A424,LEN($A424)-1)),$A$4:$A$1000,0),VALUE(RIGHT($A424,1)))= 0,"",INDEX($D$4:$H$1000,MATCH(VALUE(LEFT($A424,LEN($A424)-1)),$A$4:$A$1000,0),VALUE(RIGHT($A424,1)))),"")</f>
        <v/>
      </c>
      <c r="D424" s="23" t="str">
        <f>IFERROR(IF(INDEX(使用レシピ!F:F,MATCH(テンプレート!$C424,使用レシピ!$E:$E,0))&lt;&gt;0,INDEX(使用レシピ!F:F,MATCH(テンプレート!$C424,使用レシピ!$E:$E,0)),""),"")</f>
        <v/>
      </c>
      <c r="E424" t="str">
        <f>IFERROR(IF(INDEX(使用レシピ!G:G,MATCH(テンプレート!$C424,使用レシピ!$E:$E,0))&lt;&gt;0,INDEX(使用レシピ!G:G,MATCH(テンプレート!$C424,使用レシピ!$E:$E,0)),""),"")</f>
        <v/>
      </c>
      <c r="F424" t="str">
        <f>IFERROR(IF(INDEX(使用レシピ!H:H,MATCH(テンプレート!$C424,使用レシピ!$E:$E,0))&lt;&gt;0,INDEX(使用レシピ!H:H,MATCH(テンプレート!$C424,使用レシピ!$E:$E,0)),""),"")</f>
        <v/>
      </c>
      <c r="G424" t="str">
        <f>IFERROR(IF(INDEX(使用レシピ!I:I,MATCH(テンプレート!$C424,使用レシピ!$E:$E,0))&lt;&gt;0,INDEX(使用レシピ!I:I,MATCH(テンプレート!$C424,使用レシピ!$E:$E,0)),""),"")</f>
        <v/>
      </c>
      <c r="H424" s="24" t="str">
        <f>IFERROR(IF(INDEX(使用レシピ!J:J,MATCH(テンプレート!$C424,使用レシピ!$E:$E,0))&lt;&gt;0,INDEX(使用レシピ!J:J,MATCH(テンプレート!$C424,使用レシピ!$E:$E,0)),""),"")</f>
        <v/>
      </c>
      <c r="I424" s="36" t="str">
        <f>IFERROR(IF(INDEX(使用レシピ!P:P,MATCH(テンプレート!$C424,使用レシピ!$E:$E,0))&lt;&gt;0,INDEX(使用レシピ!P:P,MATCH(テンプレート!$C424,使用レシピ!$E:$E,0)),""),"")</f>
        <v/>
      </c>
      <c r="J424" t="str">
        <f>IFERROR(IF(INDEX(使用レシピ!K:K,MATCH(テンプレート!$C424,使用レシピ!$E:$E,0))&lt;&gt;0,INDEX(使用レシピ!K:K,MATCH(テンプレート!$C424,使用レシピ!$E:$E,0)),""),"")</f>
        <v/>
      </c>
      <c r="K424" t="str">
        <f>IFERROR(IF(INDEX(使用レシピ!L:L,MATCH(テンプレート!$C424,使用レシピ!$E:$E,0))&lt;&gt;0,INDEX(使用レシピ!L:L,MATCH(テンプレート!$C424,使用レシピ!$E:$E,0)),""),"")</f>
        <v/>
      </c>
      <c r="L424" t="str">
        <f>IFERROR(IF(INDEX(使用レシピ!M:M,MATCH(テンプレート!$C424,使用レシピ!$E:$E,0))&lt;&gt;0,INDEX(使用レシピ!M:M,MATCH(テンプレート!$C424,使用レシピ!$E:$E,0)),""),"")</f>
        <v/>
      </c>
      <c r="M424" t="str">
        <f>IFERROR(IF(INDEX(使用レシピ!N:N,MATCH(テンプレート!$C424,使用レシピ!$E:$E,0))&lt;&gt;0,INDEX(使用レシピ!N:N,MATCH(テンプレート!$C424,使用レシピ!$E:$E,0)),""),"")</f>
        <v/>
      </c>
      <c r="N424" s="24" t="str">
        <f>IFERROR(IF(INDEX(使用レシピ!O:O,MATCH(テンプレート!$C424,使用レシピ!$E:$E,0))&lt;&gt;0,INDEX(使用レシピ!O:O,MATCH(テンプレート!$C424,使用レシピ!$E:$E,0)),""),"")</f>
        <v/>
      </c>
      <c r="O424" s="36" t="str">
        <f>IFERROR(IF(INDEX(使用レシピ!P:P,MATCH(テンプレート!$C424,使用レシピ!$E:$E,0))&lt;&gt;0,INDEX(使用レシピ!P:P,MATCH(テンプレート!$C424,使用レシピ!$E:$E,0)),""),"")</f>
        <v/>
      </c>
      <c r="P424" t="str">
        <f t="shared" si="31"/>
        <v/>
      </c>
      <c r="Q424" t="str">
        <f t="shared" si="32"/>
        <v/>
      </c>
      <c r="R424" t="str">
        <f t="shared" si="33"/>
        <v/>
      </c>
      <c r="S424" t="str">
        <f t="shared" si="34"/>
        <v/>
      </c>
      <c r="T424" s="24" t="str">
        <f t="shared" si="35"/>
        <v/>
      </c>
    </row>
    <row r="425" spans="2:20" x14ac:dyDescent="0.4">
      <c r="B425" s="49" t="str" cm="1">
        <f t="array" ref="B425">IFERROR((INDEX($P$4:$T$1000,MATCH(VALUE(LEFT($A425,LEN($A425)-1)),$A$4:$A$1000,0),VALUE(RIGHT($A425,1)))/ INDEX($O$4:$O$1000,MATCH(VALUE(LEFT($A425,LEN($A425)-1)),$A$4:$A$1000))) * INDEX($B$4:$B$1000,MATCH(VALUE(LEFT($A425,LEN($A425)-1)),$A$4:$A$1000)),"")</f>
        <v/>
      </c>
      <c r="C425" s="2" t="str" cm="1">
        <f t="array" ref="C425">IFERROR(IF(INDEX($D$4:$H$1000,MATCH(VALUE(LEFT($A425,LEN($A425)-1)),$A$4:$A$1000,0),VALUE(RIGHT($A425,1)))= 0,"",INDEX($D$4:$H$1000,MATCH(VALUE(LEFT($A425,LEN($A425)-1)),$A$4:$A$1000,0),VALUE(RIGHT($A425,1)))),"")</f>
        <v/>
      </c>
      <c r="D425" s="23" t="str">
        <f>IFERROR(IF(INDEX(使用レシピ!F:F,MATCH(テンプレート!$C425,使用レシピ!$E:$E,0))&lt;&gt;0,INDEX(使用レシピ!F:F,MATCH(テンプレート!$C425,使用レシピ!$E:$E,0)),""),"")</f>
        <v/>
      </c>
      <c r="E425" t="str">
        <f>IFERROR(IF(INDEX(使用レシピ!G:G,MATCH(テンプレート!$C425,使用レシピ!$E:$E,0))&lt;&gt;0,INDEX(使用レシピ!G:G,MATCH(テンプレート!$C425,使用レシピ!$E:$E,0)),""),"")</f>
        <v/>
      </c>
      <c r="F425" t="str">
        <f>IFERROR(IF(INDEX(使用レシピ!H:H,MATCH(テンプレート!$C425,使用レシピ!$E:$E,0))&lt;&gt;0,INDEX(使用レシピ!H:H,MATCH(テンプレート!$C425,使用レシピ!$E:$E,0)),""),"")</f>
        <v/>
      </c>
      <c r="G425" t="str">
        <f>IFERROR(IF(INDEX(使用レシピ!I:I,MATCH(テンプレート!$C425,使用レシピ!$E:$E,0))&lt;&gt;0,INDEX(使用レシピ!I:I,MATCH(テンプレート!$C425,使用レシピ!$E:$E,0)),""),"")</f>
        <v/>
      </c>
      <c r="H425" s="24" t="str">
        <f>IFERROR(IF(INDEX(使用レシピ!J:J,MATCH(テンプレート!$C425,使用レシピ!$E:$E,0))&lt;&gt;0,INDEX(使用レシピ!J:J,MATCH(テンプレート!$C425,使用レシピ!$E:$E,0)),""),"")</f>
        <v/>
      </c>
      <c r="I425" s="36" t="str">
        <f>IFERROR(IF(INDEX(使用レシピ!P:P,MATCH(テンプレート!$C425,使用レシピ!$E:$E,0))&lt;&gt;0,INDEX(使用レシピ!P:P,MATCH(テンプレート!$C425,使用レシピ!$E:$E,0)),""),"")</f>
        <v/>
      </c>
      <c r="J425" t="str">
        <f>IFERROR(IF(INDEX(使用レシピ!K:K,MATCH(テンプレート!$C425,使用レシピ!$E:$E,0))&lt;&gt;0,INDEX(使用レシピ!K:K,MATCH(テンプレート!$C425,使用レシピ!$E:$E,0)),""),"")</f>
        <v/>
      </c>
      <c r="K425" t="str">
        <f>IFERROR(IF(INDEX(使用レシピ!L:L,MATCH(テンプレート!$C425,使用レシピ!$E:$E,0))&lt;&gt;0,INDEX(使用レシピ!L:L,MATCH(テンプレート!$C425,使用レシピ!$E:$E,0)),""),"")</f>
        <v/>
      </c>
      <c r="L425" t="str">
        <f>IFERROR(IF(INDEX(使用レシピ!M:M,MATCH(テンプレート!$C425,使用レシピ!$E:$E,0))&lt;&gt;0,INDEX(使用レシピ!M:M,MATCH(テンプレート!$C425,使用レシピ!$E:$E,0)),""),"")</f>
        <v/>
      </c>
      <c r="M425" t="str">
        <f>IFERROR(IF(INDEX(使用レシピ!N:N,MATCH(テンプレート!$C425,使用レシピ!$E:$E,0))&lt;&gt;0,INDEX(使用レシピ!N:N,MATCH(テンプレート!$C425,使用レシピ!$E:$E,0)),""),"")</f>
        <v/>
      </c>
      <c r="N425" s="24" t="str">
        <f>IFERROR(IF(INDEX(使用レシピ!O:O,MATCH(テンプレート!$C425,使用レシピ!$E:$E,0))&lt;&gt;0,INDEX(使用レシピ!O:O,MATCH(テンプレート!$C425,使用レシピ!$E:$E,0)),""),"")</f>
        <v/>
      </c>
      <c r="O425" s="36" t="str">
        <f>IFERROR(IF(INDEX(使用レシピ!P:P,MATCH(テンプレート!$C425,使用レシピ!$E:$E,0))&lt;&gt;0,INDEX(使用レシピ!P:P,MATCH(テンプレート!$C425,使用レシピ!$E:$E,0)),""),"")</f>
        <v/>
      </c>
      <c r="P425" t="str">
        <f t="shared" si="31"/>
        <v/>
      </c>
      <c r="Q425" t="str">
        <f t="shared" si="32"/>
        <v/>
      </c>
      <c r="R425" t="str">
        <f t="shared" si="33"/>
        <v/>
      </c>
      <c r="S425" t="str">
        <f t="shared" si="34"/>
        <v/>
      </c>
      <c r="T425" s="24" t="str">
        <f t="shared" si="35"/>
        <v/>
      </c>
    </row>
    <row r="426" spans="2:20" x14ac:dyDescent="0.4">
      <c r="B426" s="49" t="str" cm="1">
        <f t="array" ref="B426">IFERROR((INDEX($P$4:$T$1000,MATCH(VALUE(LEFT($A426,LEN($A426)-1)),$A$4:$A$1000,0),VALUE(RIGHT($A426,1)))/ INDEX($O$4:$O$1000,MATCH(VALUE(LEFT($A426,LEN($A426)-1)),$A$4:$A$1000))) * INDEX($B$4:$B$1000,MATCH(VALUE(LEFT($A426,LEN($A426)-1)),$A$4:$A$1000)),"")</f>
        <v/>
      </c>
      <c r="C426" s="2" t="str" cm="1">
        <f t="array" ref="C426">IFERROR(IF(INDEX($D$4:$H$1000,MATCH(VALUE(LEFT($A426,LEN($A426)-1)),$A$4:$A$1000,0),VALUE(RIGHT($A426,1)))= 0,"",INDEX($D$4:$H$1000,MATCH(VALUE(LEFT($A426,LEN($A426)-1)),$A$4:$A$1000,0),VALUE(RIGHT($A426,1)))),"")</f>
        <v/>
      </c>
      <c r="D426" s="23" t="str">
        <f>IFERROR(IF(INDEX(使用レシピ!F:F,MATCH(テンプレート!$C426,使用レシピ!$E:$E,0))&lt;&gt;0,INDEX(使用レシピ!F:F,MATCH(テンプレート!$C426,使用レシピ!$E:$E,0)),""),"")</f>
        <v/>
      </c>
      <c r="E426" t="str">
        <f>IFERROR(IF(INDEX(使用レシピ!G:G,MATCH(テンプレート!$C426,使用レシピ!$E:$E,0))&lt;&gt;0,INDEX(使用レシピ!G:G,MATCH(テンプレート!$C426,使用レシピ!$E:$E,0)),""),"")</f>
        <v/>
      </c>
      <c r="F426" t="str">
        <f>IFERROR(IF(INDEX(使用レシピ!H:H,MATCH(テンプレート!$C426,使用レシピ!$E:$E,0))&lt;&gt;0,INDEX(使用レシピ!H:H,MATCH(テンプレート!$C426,使用レシピ!$E:$E,0)),""),"")</f>
        <v/>
      </c>
      <c r="G426" t="str">
        <f>IFERROR(IF(INDEX(使用レシピ!I:I,MATCH(テンプレート!$C426,使用レシピ!$E:$E,0))&lt;&gt;0,INDEX(使用レシピ!I:I,MATCH(テンプレート!$C426,使用レシピ!$E:$E,0)),""),"")</f>
        <v/>
      </c>
      <c r="H426" s="24" t="str">
        <f>IFERROR(IF(INDEX(使用レシピ!J:J,MATCH(テンプレート!$C426,使用レシピ!$E:$E,0))&lt;&gt;0,INDEX(使用レシピ!J:J,MATCH(テンプレート!$C426,使用レシピ!$E:$E,0)),""),"")</f>
        <v/>
      </c>
      <c r="I426" s="36" t="str">
        <f>IFERROR(IF(INDEX(使用レシピ!P:P,MATCH(テンプレート!$C426,使用レシピ!$E:$E,0))&lt;&gt;0,INDEX(使用レシピ!P:P,MATCH(テンプレート!$C426,使用レシピ!$E:$E,0)),""),"")</f>
        <v/>
      </c>
      <c r="J426" t="str">
        <f>IFERROR(IF(INDEX(使用レシピ!K:K,MATCH(テンプレート!$C426,使用レシピ!$E:$E,0))&lt;&gt;0,INDEX(使用レシピ!K:K,MATCH(テンプレート!$C426,使用レシピ!$E:$E,0)),""),"")</f>
        <v/>
      </c>
      <c r="K426" t="str">
        <f>IFERROR(IF(INDEX(使用レシピ!L:L,MATCH(テンプレート!$C426,使用レシピ!$E:$E,0))&lt;&gt;0,INDEX(使用レシピ!L:L,MATCH(テンプレート!$C426,使用レシピ!$E:$E,0)),""),"")</f>
        <v/>
      </c>
      <c r="L426" t="str">
        <f>IFERROR(IF(INDEX(使用レシピ!M:M,MATCH(テンプレート!$C426,使用レシピ!$E:$E,0))&lt;&gt;0,INDEX(使用レシピ!M:M,MATCH(テンプレート!$C426,使用レシピ!$E:$E,0)),""),"")</f>
        <v/>
      </c>
      <c r="M426" t="str">
        <f>IFERROR(IF(INDEX(使用レシピ!N:N,MATCH(テンプレート!$C426,使用レシピ!$E:$E,0))&lt;&gt;0,INDEX(使用レシピ!N:N,MATCH(テンプレート!$C426,使用レシピ!$E:$E,0)),""),"")</f>
        <v/>
      </c>
      <c r="N426" s="24" t="str">
        <f>IFERROR(IF(INDEX(使用レシピ!O:O,MATCH(テンプレート!$C426,使用レシピ!$E:$E,0))&lt;&gt;0,INDEX(使用レシピ!O:O,MATCH(テンプレート!$C426,使用レシピ!$E:$E,0)),""),"")</f>
        <v/>
      </c>
      <c r="O426" s="36" t="str">
        <f>IFERROR(IF(INDEX(使用レシピ!P:P,MATCH(テンプレート!$C426,使用レシピ!$E:$E,0))&lt;&gt;0,INDEX(使用レシピ!P:P,MATCH(テンプレート!$C426,使用レシピ!$E:$E,0)),""),"")</f>
        <v/>
      </c>
      <c r="P426" t="str">
        <f t="shared" si="31"/>
        <v/>
      </c>
      <c r="Q426" t="str">
        <f t="shared" si="32"/>
        <v/>
      </c>
      <c r="R426" t="str">
        <f t="shared" si="33"/>
        <v/>
      </c>
      <c r="S426" t="str">
        <f t="shared" si="34"/>
        <v/>
      </c>
      <c r="T426" s="24" t="str">
        <f t="shared" si="35"/>
        <v/>
      </c>
    </row>
    <row r="427" spans="2:20" x14ac:dyDescent="0.4">
      <c r="B427" s="49" t="str" cm="1">
        <f t="array" ref="B427">IFERROR((INDEX($P$4:$T$1000,MATCH(VALUE(LEFT($A427,LEN($A427)-1)),$A$4:$A$1000,0),VALUE(RIGHT($A427,1)))/ INDEX($O$4:$O$1000,MATCH(VALUE(LEFT($A427,LEN($A427)-1)),$A$4:$A$1000))) * INDEX($B$4:$B$1000,MATCH(VALUE(LEFT($A427,LEN($A427)-1)),$A$4:$A$1000)),"")</f>
        <v/>
      </c>
      <c r="C427" s="2" t="str" cm="1">
        <f t="array" ref="C427">IFERROR(IF(INDEX($D$4:$H$1000,MATCH(VALUE(LEFT($A427,LEN($A427)-1)),$A$4:$A$1000,0),VALUE(RIGHT($A427,1)))= 0,"",INDEX($D$4:$H$1000,MATCH(VALUE(LEFT($A427,LEN($A427)-1)),$A$4:$A$1000,0),VALUE(RIGHT($A427,1)))),"")</f>
        <v/>
      </c>
      <c r="D427" s="23" t="str">
        <f>IFERROR(IF(INDEX(使用レシピ!F:F,MATCH(テンプレート!$C427,使用レシピ!$E:$E,0))&lt;&gt;0,INDEX(使用レシピ!F:F,MATCH(テンプレート!$C427,使用レシピ!$E:$E,0)),""),"")</f>
        <v/>
      </c>
      <c r="E427" t="str">
        <f>IFERROR(IF(INDEX(使用レシピ!G:G,MATCH(テンプレート!$C427,使用レシピ!$E:$E,0))&lt;&gt;0,INDEX(使用レシピ!G:G,MATCH(テンプレート!$C427,使用レシピ!$E:$E,0)),""),"")</f>
        <v/>
      </c>
      <c r="F427" t="str">
        <f>IFERROR(IF(INDEX(使用レシピ!H:H,MATCH(テンプレート!$C427,使用レシピ!$E:$E,0))&lt;&gt;0,INDEX(使用レシピ!H:H,MATCH(テンプレート!$C427,使用レシピ!$E:$E,0)),""),"")</f>
        <v/>
      </c>
      <c r="G427" t="str">
        <f>IFERROR(IF(INDEX(使用レシピ!I:I,MATCH(テンプレート!$C427,使用レシピ!$E:$E,0))&lt;&gt;0,INDEX(使用レシピ!I:I,MATCH(テンプレート!$C427,使用レシピ!$E:$E,0)),""),"")</f>
        <v/>
      </c>
      <c r="H427" s="24" t="str">
        <f>IFERROR(IF(INDEX(使用レシピ!J:J,MATCH(テンプレート!$C427,使用レシピ!$E:$E,0))&lt;&gt;0,INDEX(使用レシピ!J:J,MATCH(テンプレート!$C427,使用レシピ!$E:$E,0)),""),"")</f>
        <v/>
      </c>
      <c r="I427" s="36" t="str">
        <f>IFERROR(IF(INDEX(使用レシピ!P:P,MATCH(テンプレート!$C427,使用レシピ!$E:$E,0))&lt;&gt;0,INDEX(使用レシピ!P:P,MATCH(テンプレート!$C427,使用レシピ!$E:$E,0)),""),"")</f>
        <v/>
      </c>
      <c r="J427" t="str">
        <f>IFERROR(IF(INDEX(使用レシピ!K:K,MATCH(テンプレート!$C427,使用レシピ!$E:$E,0))&lt;&gt;0,INDEX(使用レシピ!K:K,MATCH(テンプレート!$C427,使用レシピ!$E:$E,0)),""),"")</f>
        <v/>
      </c>
      <c r="K427" t="str">
        <f>IFERROR(IF(INDEX(使用レシピ!L:L,MATCH(テンプレート!$C427,使用レシピ!$E:$E,0))&lt;&gt;0,INDEX(使用レシピ!L:L,MATCH(テンプレート!$C427,使用レシピ!$E:$E,0)),""),"")</f>
        <v/>
      </c>
      <c r="L427" t="str">
        <f>IFERROR(IF(INDEX(使用レシピ!M:M,MATCH(テンプレート!$C427,使用レシピ!$E:$E,0))&lt;&gt;0,INDEX(使用レシピ!M:M,MATCH(テンプレート!$C427,使用レシピ!$E:$E,0)),""),"")</f>
        <v/>
      </c>
      <c r="M427" t="str">
        <f>IFERROR(IF(INDEX(使用レシピ!N:N,MATCH(テンプレート!$C427,使用レシピ!$E:$E,0))&lt;&gt;0,INDEX(使用レシピ!N:N,MATCH(テンプレート!$C427,使用レシピ!$E:$E,0)),""),"")</f>
        <v/>
      </c>
      <c r="N427" s="24" t="str">
        <f>IFERROR(IF(INDEX(使用レシピ!O:O,MATCH(テンプレート!$C427,使用レシピ!$E:$E,0))&lt;&gt;0,INDEX(使用レシピ!O:O,MATCH(テンプレート!$C427,使用レシピ!$E:$E,0)),""),"")</f>
        <v/>
      </c>
      <c r="O427" s="36" t="str">
        <f>IFERROR(IF(INDEX(使用レシピ!P:P,MATCH(テンプレート!$C427,使用レシピ!$E:$E,0))&lt;&gt;0,INDEX(使用レシピ!P:P,MATCH(テンプレート!$C427,使用レシピ!$E:$E,0)),""),"")</f>
        <v/>
      </c>
      <c r="P427" t="str">
        <f t="shared" si="31"/>
        <v/>
      </c>
      <c r="Q427" t="str">
        <f t="shared" si="32"/>
        <v/>
      </c>
      <c r="R427" t="str">
        <f t="shared" si="33"/>
        <v/>
      </c>
      <c r="S427" t="str">
        <f t="shared" si="34"/>
        <v/>
      </c>
      <c r="T427" s="24" t="str">
        <f t="shared" si="35"/>
        <v/>
      </c>
    </row>
    <row r="428" spans="2:20" x14ac:dyDescent="0.4">
      <c r="B428" s="49" t="str" cm="1">
        <f t="array" ref="B428">IFERROR((INDEX($P$4:$T$1000,MATCH(VALUE(LEFT($A428,LEN($A428)-1)),$A$4:$A$1000,0),VALUE(RIGHT($A428,1)))/ INDEX($O$4:$O$1000,MATCH(VALUE(LEFT($A428,LEN($A428)-1)),$A$4:$A$1000))) * INDEX($B$4:$B$1000,MATCH(VALUE(LEFT($A428,LEN($A428)-1)),$A$4:$A$1000)),"")</f>
        <v/>
      </c>
      <c r="C428" s="2" t="str" cm="1">
        <f t="array" ref="C428">IFERROR(IF(INDEX($D$4:$H$1000,MATCH(VALUE(LEFT($A428,LEN($A428)-1)),$A$4:$A$1000,0),VALUE(RIGHT($A428,1)))= 0,"",INDEX($D$4:$H$1000,MATCH(VALUE(LEFT($A428,LEN($A428)-1)),$A$4:$A$1000,0),VALUE(RIGHT($A428,1)))),"")</f>
        <v/>
      </c>
      <c r="D428" s="23" t="str">
        <f>IFERROR(IF(INDEX(使用レシピ!F:F,MATCH(テンプレート!$C428,使用レシピ!$E:$E,0))&lt;&gt;0,INDEX(使用レシピ!F:F,MATCH(テンプレート!$C428,使用レシピ!$E:$E,0)),""),"")</f>
        <v/>
      </c>
      <c r="E428" t="str">
        <f>IFERROR(IF(INDEX(使用レシピ!G:G,MATCH(テンプレート!$C428,使用レシピ!$E:$E,0))&lt;&gt;0,INDEX(使用レシピ!G:G,MATCH(テンプレート!$C428,使用レシピ!$E:$E,0)),""),"")</f>
        <v/>
      </c>
      <c r="F428" t="str">
        <f>IFERROR(IF(INDEX(使用レシピ!H:H,MATCH(テンプレート!$C428,使用レシピ!$E:$E,0))&lt;&gt;0,INDEX(使用レシピ!H:H,MATCH(テンプレート!$C428,使用レシピ!$E:$E,0)),""),"")</f>
        <v/>
      </c>
      <c r="G428" t="str">
        <f>IFERROR(IF(INDEX(使用レシピ!I:I,MATCH(テンプレート!$C428,使用レシピ!$E:$E,0))&lt;&gt;0,INDEX(使用レシピ!I:I,MATCH(テンプレート!$C428,使用レシピ!$E:$E,0)),""),"")</f>
        <v/>
      </c>
      <c r="H428" s="24" t="str">
        <f>IFERROR(IF(INDEX(使用レシピ!J:J,MATCH(テンプレート!$C428,使用レシピ!$E:$E,0))&lt;&gt;0,INDEX(使用レシピ!J:J,MATCH(テンプレート!$C428,使用レシピ!$E:$E,0)),""),"")</f>
        <v/>
      </c>
      <c r="I428" s="36" t="str">
        <f>IFERROR(IF(INDEX(使用レシピ!P:P,MATCH(テンプレート!$C428,使用レシピ!$E:$E,0))&lt;&gt;0,INDEX(使用レシピ!P:P,MATCH(テンプレート!$C428,使用レシピ!$E:$E,0)),""),"")</f>
        <v/>
      </c>
      <c r="J428" t="str">
        <f>IFERROR(IF(INDEX(使用レシピ!K:K,MATCH(テンプレート!$C428,使用レシピ!$E:$E,0))&lt;&gt;0,INDEX(使用レシピ!K:K,MATCH(テンプレート!$C428,使用レシピ!$E:$E,0)),""),"")</f>
        <v/>
      </c>
      <c r="K428" t="str">
        <f>IFERROR(IF(INDEX(使用レシピ!L:L,MATCH(テンプレート!$C428,使用レシピ!$E:$E,0))&lt;&gt;0,INDEX(使用レシピ!L:L,MATCH(テンプレート!$C428,使用レシピ!$E:$E,0)),""),"")</f>
        <v/>
      </c>
      <c r="L428" t="str">
        <f>IFERROR(IF(INDEX(使用レシピ!M:M,MATCH(テンプレート!$C428,使用レシピ!$E:$E,0))&lt;&gt;0,INDEX(使用レシピ!M:M,MATCH(テンプレート!$C428,使用レシピ!$E:$E,0)),""),"")</f>
        <v/>
      </c>
      <c r="M428" t="str">
        <f>IFERROR(IF(INDEX(使用レシピ!N:N,MATCH(テンプレート!$C428,使用レシピ!$E:$E,0))&lt;&gt;0,INDEX(使用レシピ!N:N,MATCH(テンプレート!$C428,使用レシピ!$E:$E,0)),""),"")</f>
        <v/>
      </c>
      <c r="N428" s="24" t="str">
        <f>IFERROR(IF(INDEX(使用レシピ!O:O,MATCH(テンプレート!$C428,使用レシピ!$E:$E,0))&lt;&gt;0,INDEX(使用レシピ!O:O,MATCH(テンプレート!$C428,使用レシピ!$E:$E,0)),""),"")</f>
        <v/>
      </c>
      <c r="O428" s="36" t="str">
        <f>IFERROR(IF(INDEX(使用レシピ!P:P,MATCH(テンプレート!$C428,使用レシピ!$E:$E,0))&lt;&gt;0,INDEX(使用レシピ!P:P,MATCH(テンプレート!$C428,使用レシピ!$E:$E,0)),""),"")</f>
        <v/>
      </c>
      <c r="P428" t="str">
        <f t="shared" si="31"/>
        <v/>
      </c>
      <c r="Q428" t="str">
        <f t="shared" si="32"/>
        <v/>
      </c>
      <c r="R428" t="str">
        <f t="shared" si="33"/>
        <v/>
      </c>
      <c r="S428" t="str">
        <f t="shared" si="34"/>
        <v/>
      </c>
      <c r="T428" s="24" t="str">
        <f t="shared" si="35"/>
        <v/>
      </c>
    </row>
    <row r="429" spans="2:20" x14ac:dyDescent="0.4">
      <c r="B429" s="49" t="str" cm="1">
        <f t="array" ref="B429">IFERROR((INDEX($P$4:$T$1000,MATCH(VALUE(LEFT($A429,LEN($A429)-1)),$A$4:$A$1000,0),VALUE(RIGHT($A429,1)))/ INDEX($O$4:$O$1000,MATCH(VALUE(LEFT($A429,LEN($A429)-1)),$A$4:$A$1000))) * INDEX($B$4:$B$1000,MATCH(VALUE(LEFT($A429,LEN($A429)-1)),$A$4:$A$1000)),"")</f>
        <v/>
      </c>
      <c r="C429" s="2" t="str" cm="1">
        <f t="array" ref="C429">IFERROR(IF(INDEX($D$4:$H$1000,MATCH(VALUE(LEFT($A429,LEN($A429)-1)),$A$4:$A$1000,0),VALUE(RIGHT($A429,1)))= 0,"",INDEX($D$4:$H$1000,MATCH(VALUE(LEFT($A429,LEN($A429)-1)),$A$4:$A$1000,0),VALUE(RIGHT($A429,1)))),"")</f>
        <v/>
      </c>
      <c r="D429" s="23" t="str">
        <f>IFERROR(IF(INDEX(使用レシピ!F:F,MATCH(テンプレート!$C429,使用レシピ!$E:$E,0))&lt;&gt;0,INDEX(使用レシピ!F:F,MATCH(テンプレート!$C429,使用レシピ!$E:$E,0)),""),"")</f>
        <v/>
      </c>
      <c r="E429" t="str">
        <f>IFERROR(IF(INDEX(使用レシピ!G:G,MATCH(テンプレート!$C429,使用レシピ!$E:$E,0))&lt;&gt;0,INDEX(使用レシピ!G:G,MATCH(テンプレート!$C429,使用レシピ!$E:$E,0)),""),"")</f>
        <v/>
      </c>
      <c r="F429" t="str">
        <f>IFERROR(IF(INDEX(使用レシピ!H:H,MATCH(テンプレート!$C429,使用レシピ!$E:$E,0))&lt;&gt;0,INDEX(使用レシピ!H:H,MATCH(テンプレート!$C429,使用レシピ!$E:$E,0)),""),"")</f>
        <v/>
      </c>
      <c r="G429" t="str">
        <f>IFERROR(IF(INDEX(使用レシピ!I:I,MATCH(テンプレート!$C429,使用レシピ!$E:$E,0))&lt;&gt;0,INDEX(使用レシピ!I:I,MATCH(テンプレート!$C429,使用レシピ!$E:$E,0)),""),"")</f>
        <v/>
      </c>
      <c r="H429" s="24" t="str">
        <f>IFERROR(IF(INDEX(使用レシピ!J:J,MATCH(テンプレート!$C429,使用レシピ!$E:$E,0))&lt;&gt;0,INDEX(使用レシピ!J:J,MATCH(テンプレート!$C429,使用レシピ!$E:$E,0)),""),"")</f>
        <v/>
      </c>
      <c r="I429" s="36" t="str">
        <f>IFERROR(IF(INDEX(使用レシピ!P:P,MATCH(テンプレート!$C429,使用レシピ!$E:$E,0))&lt;&gt;0,INDEX(使用レシピ!P:P,MATCH(テンプレート!$C429,使用レシピ!$E:$E,0)),""),"")</f>
        <v/>
      </c>
      <c r="J429" t="str">
        <f>IFERROR(IF(INDEX(使用レシピ!K:K,MATCH(テンプレート!$C429,使用レシピ!$E:$E,0))&lt;&gt;0,INDEX(使用レシピ!K:K,MATCH(テンプレート!$C429,使用レシピ!$E:$E,0)),""),"")</f>
        <v/>
      </c>
      <c r="K429" t="str">
        <f>IFERROR(IF(INDEX(使用レシピ!L:L,MATCH(テンプレート!$C429,使用レシピ!$E:$E,0))&lt;&gt;0,INDEX(使用レシピ!L:L,MATCH(テンプレート!$C429,使用レシピ!$E:$E,0)),""),"")</f>
        <v/>
      </c>
      <c r="L429" t="str">
        <f>IFERROR(IF(INDEX(使用レシピ!M:M,MATCH(テンプレート!$C429,使用レシピ!$E:$E,0))&lt;&gt;0,INDEX(使用レシピ!M:M,MATCH(テンプレート!$C429,使用レシピ!$E:$E,0)),""),"")</f>
        <v/>
      </c>
      <c r="M429" t="str">
        <f>IFERROR(IF(INDEX(使用レシピ!N:N,MATCH(テンプレート!$C429,使用レシピ!$E:$E,0))&lt;&gt;0,INDEX(使用レシピ!N:N,MATCH(テンプレート!$C429,使用レシピ!$E:$E,0)),""),"")</f>
        <v/>
      </c>
      <c r="N429" s="24" t="str">
        <f>IFERROR(IF(INDEX(使用レシピ!O:O,MATCH(テンプレート!$C429,使用レシピ!$E:$E,0))&lt;&gt;0,INDEX(使用レシピ!O:O,MATCH(テンプレート!$C429,使用レシピ!$E:$E,0)),""),"")</f>
        <v/>
      </c>
      <c r="O429" s="36" t="str">
        <f>IFERROR(IF(INDEX(使用レシピ!P:P,MATCH(テンプレート!$C429,使用レシピ!$E:$E,0))&lt;&gt;0,INDEX(使用レシピ!P:P,MATCH(テンプレート!$C429,使用レシピ!$E:$E,0)),""),"")</f>
        <v/>
      </c>
      <c r="P429" t="str">
        <f t="shared" ref="P429:P492" si="36">IFERROR(IF($O429/$I429*J429 &gt; 0,$O429/$I429*J429,""),"")</f>
        <v/>
      </c>
      <c r="Q429" t="str">
        <f t="shared" ref="Q429:Q492" si="37">IFERROR(IF($O429/$I429*K429 &gt; 0,$O429/$I429*K429,""),"")</f>
        <v/>
      </c>
      <c r="R429" t="str">
        <f t="shared" ref="R429:R492" si="38">IFERROR(IF($O429/$I429*L429 &gt; 0,$O429/$I429*L429,""),"")</f>
        <v/>
      </c>
      <c r="S429" t="str">
        <f t="shared" ref="S429:S492" si="39">IFERROR(IF($O429/$I429*M429 &gt; 0,$O429/$I429*M429,""),"")</f>
        <v/>
      </c>
      <c r="T429" s="24" t="str">
        <f t="shared" ref="T429:T492" si="40">IFERROR(IF($O429/$I429*N429 &gt; 0,$O429/$I429*N429,""),"")</f>
        <v/>
      </c>
    </row>
    <row r="430" spans="2:20" x14ac:dyDescent="0.4">
      <c r="B430" s="49" t="str" cm="1">
        <f t="array" ref="B430">IFERROR((INDEX($P$4:$T$1000,MATCH(VALUE(LEFT($A430,LEN($A430)-1)),$A$4:$A$1000,0),VALUE(RIGHT($A430,1)))/ INDEX($O$4:$O$1000,MATCH(VALUE(LEFT($A430,LEN($A430)-1)),$A$4:$A$1000))) * INDEX($B$4:$B$1000,MATCH(VALUE(LEFT($A430,LEN($A430)-1)),$A$4:$A$1000)),"")</f>
        <v/>
      </c>
      <c r="C430" s="2" t="str" cm="1">
        <f t="array" ref="C430">IFERROR(IF(INDEX($D$4:$H$1000,MATCH(VALUE(LEFT($A430,LEN($A430)-1)),$A$4:$A$1000,0),VALUE(RIGHT($A430,1)))= 0,"",INDEX($D$4:$H$1000,MATCH(VALUE(LEFT($A430,LEN($A430)-1)),$A$4:$A$1000,0),VALUE(RIGHT($A430,1)))),"")</f>
        <v/>
      </c>
      <c r="D430" s="23" t="str">
        <f>IFERROR(IF(INDEX(使用レシピ!F:F,MATCH(テンプレート!$C430,使用レシピ!$E:$E,0))&lt;&gt;0,INDEX(使用レシピ!F:F,MATCH(テンプレート!$C430,使用レシピ!$E:$E,0)),""),"")</f>
        <v/>
      </c>
      <c r="E430" t="str">
        <f>IFERROR(IF(INDEX(使用レシピ!G:G,MATCH(テンプレート!$C430,使用レシピ!$E:$E,0))&lt;&gt;0,INDEX(使用レシピ!G:G,MATCH(テンプレート!$C430,使用レシピ!$E:$E,0)),""),"")</f>
        <v/>
      </c>
      <c r="F430" t="str">
        <f>IFERROR(IF(INDEX(使用レシピ!H:H,MATCH(テンプレート!$C430,使用レシピ!$E:$E,0))&lt;&gt;0,INDEX(使用レシピ!H:H,MATCH(テンプレート!$C430,使用レシピ!$E:$E,0)),""),"")</f>
        <v/>
      </c>
      <c r="G430" t="str">
        <f>IFERROR(IF(INDEX(使用レシピ!I:I,MATCH(テンプレート!$C430,使用レシピ!$E:$E,0))&lt;&gt;0,INDEX(使用レシピ!I:I,MATCH(テンプレート!$C430,使用レシピ!$E:$E,0)),""),"")</f>
        <v/>
      </c>
      <c r="H430" s="24" t="str">
        <f>IFERROR(IF(INDEX(使用レシピ!J:J,MATCH(テンプレート!$C430,使用レシピ!$E:$E,0))&lt;&gt;0,INDEX(使用レシピ!J:J,MATCH(テンプレート!$C430,使用レシピ!$E:$E,0)),""),"")</f>
        <v/>
      </c>
      <c r="I430" s="36" t="str">
        <f>IFERROR(IF(INDEX(使用レシピ!P:P,MATCH(テンプレート!$C430,使用レシピ!$E:$E,0))&lt;&gt;0,INDEX(使用レシピ!P:P,MATCH(テンプレート!$C430,使用レシピ!$E:$E,0)),""),"")</f>
        <v/>
      </c>
      <c r="J430" t="str">
        <f>IFERROR(IF(INDEX(使用レシピ!K:K,MATCH(テンプレート!$C430,使用レシピ!$E:$E,0))&lt;&gt;0,INDEX(使用レシピ!K:K,MATCH(テンプレート!$C430,使用レシピ!$E:$E,0)),""),"")</f>
        <v/>
      </c>
      <c r="K430" t="str">
        <f>IFERROR(IF(INDEX(使用レシピ!L:L,MATCH(テンプレート!$C430,使用レシピ!$E:$E,0))&lt;&gt;0,INDEX(使用レシピ!L:L,MATCH(テンプレート!$C430,使用レシピ!$E:$E,0)),""),"")</f>
        <v/>
      </c>
      <c r="L430" t="str">
        <f>IFERROR(IF(INDEX(使用レシピ!M:M,MATCH(テンプレート!$C430,使用レシピ!$E:$E,0))&lt;&gt;0,INDEX(使用レシピ!M:M,MATCH(テンプレート!$C430,使用レシピ!$E:$E,0)),""),"")</f>
        <v/>
      </c>
      <c r="M430" t="str">
        <f>IFERROR(IF(INDEX(使用レシピ!N:N,MATCH(テンプレート!$C430,使用レシピ!$E:$E,0))&lt;&gt;0,INDEX(使用レシピ!N:N,MATCH(テンプレート!$C430,使用レシピ!$E:$E,0)),""),"")</f>
        <v/>
      </c>
      <c r="N430" s="24" t="str">
        <f>IFERROR(IF(INDEX(使用レシピ!O:O,MATCH(テンプレート!$C430,使用レシピ!$E:$E,0))&lt;&gt;0,INDEX(使用レシピ!O:O,MATCH(テンプレート!$C430,使用レシピ!$E:$E,0)),""),"")</f>
        <v/>
      </c>
      <c r="O430" s="36" t="str">
        <f>IFERROR(IF(INDEX(使用レシピ!P:P,MATCH(テンプレート!$C430,使用レシピ!$E:$E,0))&lt;&gt;0,INDEX(使用レシピ!P:P,MATCH(テンプレート!$C430,使用レシピ!$E:$E,0)),""),"")</f>
        <v/>
      </c>
      <c r="P430" t="str">
        <f t="shared" si="36"/>
        <v/>
      </c>
      <c r="Q430" t="str">
        <f t="shared" si="37"/>
        <v/>
      </c>
      <c r="R430" t="str">
        <f t="shared" si="38"/>
        <v/>
      </c>
      <c r="S430" t="str">
        <f t="shared" si="39"/>
        <v/>
      </c>
      <c r="T430" s="24" t="str">
        <f t="shared" si="40"/>
        <v/>
      </c>
    </row>
    <row r="431" spans="2:20" x14ac:dyDescent="0.4">
      <c r="B431" s="49" t="str" cm="1">
        <f t="array" ref="B431">IFERROR((INDEX($P$4:$T$1000,MATCH(VALUE(LEFT($A431,LEN($A431)-1)),$A$4:$A$1000,0),VALUE(RIGHT($A431,1)))/ INDEX($O$4:$O$1000,MATCH(VALUE(LEFT($A431,LEN($A431)-1)),$A$4:$A$1000))) * INDEX($B$4:$B$1000,MATCH(VALUE(LEFT($A431,LEN($A431)-1)),$A$4:$A$1000)),"")</f>
        <v/>
      </c>
      <c r="C431" s="2" t="str" cm="1">
        <f t="array" ref="C431">IFERROR(IF(INDEX($D$4:$H$1000,MATCH(VALUE(LEFT($A431,LEN($A431)-1)),$A$4:$A$1000,0),VALUE(RIGHT($A431,1)))= 0,"",INDEX($D$4:$H$1000,MATCH(VALUE(LEFT($A431,LEN($A431)-1)),$A$4:$A$1000,0),VALUE(RIGHT($A431,1)))),"")</f>
        <v/>
      </c>
      <c r="D431" s="23" t="str">
        <f>IFERROR(IF(INDEX(使用レシピ!F:F,MATCH(テンプレート!$C431,使用レシピ!$E:$E,0))&lt;&gt;0,INDEX(使用レシピ!F:F,MATCH(テンプレート!$C431,使用レシピ!$E:$E,0)),""),"")</f>
        <v/>
      </c>
      <c r="E431" t="str">
        <f>IFERROR(IF(INDEX(使用レシピ!G:G,MATCH(テンプレート!$C431,使用レシピ!$E:$E,0))&lt;&gt;0,INDEX(使用レシピ!G:G,MATCH(テンプレート!$C431,使用レシピ!$E:$E,0)),""),"")</f>
        <v/>
      </c>
      <c r="F431" t="str">
        <f>IFERROR(IF(INDEX(使用レシピ!H:H,MATCH(テンプレート!$C431,使用レシピ!$E:$E,0))&lt;&gt;0,INDEX(使用レシピ!H:H,MATCH(テンプレート!$C431,使用レシピ!$E:$E,0)),""),"")</f>
        <v/>
      </c>
      <c r="G431" t="str">
        <f>IFERROR(IF(INDEX(使用レシピ!I:I,MATCH(テンプレート!$C431,使用レシピ!$E:$E,0))&lt;&gt;0,INDEX(使用レシピ!I:I,MATCH(テンプレート!$C431,使用レシピ!$E:$E,0)),""),"")</f>
        <v/>
      </c>
      <c r="H431" s="24" t="str">
        <f>IFERROR(IF(INDEX(使用レシピ!J:J,MATCH(テンプレート!$C431,使用レシピ!$E:$E,0))&lt;&gt;0,INDEX(使用レシピ!J:J,MATCH(テンプレート!$C431,使用レシピ!$E:$E,0)),""),"")</f>
        <v/>
      </c>
      <c r="I431" s="36" t="str">
        <f>IFERROR(IF(INDEX(使用レシピ!P:P,MATCH(テンプレート!$C431,使用レシピ!$E:$E,0))&lt;&gt;0,INDEX(使用レシピ!P:P,MATCH(テンプレート!$C431,使用レシピ!$E:$E,0)),""),"")</f>
        <v/>
      </c>
      <c r="J431" t="str">
        <f>IFERROR(IF(INDEX(使用レシピ!K:K,MATCH(テンプレート!$C431,使用レシピ!$E:$E,0))&lt;&gt;0,INDEX(使用レシピ!K:K,MATCH(テンプレート!$C431,使用レシピ!$E:$E,0)),""),"")</f>
        <v/>
      </c>
      <c r="K431" t="str">
        <f>IFERROR(IF(INDEX(使用レシピ!L:L,MATCH(テンプレート!$C431,使用レシピ!$E:$E,0))&lt;&gt;0,INDEX(使用レシピ!L:L,MATCH(テンプレート!$C431,使用レシピ!$E:$E,0)),""),"")</f>
        <v/>
      </c>
      <c r="L431" t="str">
        <f>IFERROR(IF(INDEX(使用レシピ!M:M,MATCH(テンプレート!$C431,使用レシピ!$E:$E,0))&lt;&gt;0,INDEX(使用レシピ!M:M,MATCH(テンプレート!$C431,使用レシピ!$E:$E,0)),""),"")</f>
        <v/>
      </c>
      <c r="M431" t="str">
        <f>IFERROR(IF(INDEX(使用レシピ!N:N,MATCH(テンプレート!$C431,使用レシピ!$E:$E,0))&lt;&gt;0,INDEX(使用レシピ!N:N,MATCH(テンプレート!$C431,使用レシピ!$E:$E,0)),""),"")</f>
        <v/>
      </c>
      <c r="N431" s="24" t="str">
        <f>IFERROR(IF(INDEX(使用レシピ!O:O,MATCH(テンプレート!$C431,使用レシピ!$E:$E,0))&lt;&gt;0,INDEX(使用レシピ!O:O,MATCH(テンプレート!$C431,使用レシピ!$E:$E,0)),""),"")</f>
        <v/>
      </c>
      <c r="O431" s="36" t="str">
        <f>IFERROR(IF(INDEX(使用レシピ!P:P,MATCH(テンプレート!$C431,使用レシピ!$E:$E,0))&lt;&gt;0,INDEX(使用レシピ!P:P,MATCH(テンプレート!$C431,使用レシピ!$E:$E,0)),""),"")</f>
        <v/>
      </c>
      <c r="P431" t="str">
        <f t="shared" si="36"/>
        <v/>
      </c>
      <c r="Q431" t="str">
        <f t="shared" si="37"/>
        <v/>
      </c>
      <c r="R431" t="str">
        <f t="shared" si="38"/>
        <v/>
      </c>
      <c r="S431" t="str">
        <f t="shared" si="39"/>
        <v/>
      </c>
      <c r="T431" s="24" t="str">
        <f t="shared" si="40"/>
        <v/>
      </c>
    </row>
    <row r="432" spans="2:20" x14ac:dyDescent="0.4">
      <c r="B432" s="49" t="str" cm="1">
        <f t="array" ref="B432">IFERROR((INDEX($P$4:$T$1000,MATCH(VALUE(LEFT($A432,LEN($A432)-1)),$A$4:$A$1000,0),VALUE(RIGHT($A432,1)))/ INDEX($O$4:$O$1000,MATCH(VALUE(LEFT($A432,LEN($A432)-1)),$A$4:$A$1000))) * INDEX($B$4:$B$1000,MATCH(VALUE(LEFT($A432,LEN($A432)-1)),$A$4:$A$1000)),"")</f>
        <v/>
      </c>
      <c r="C432" s="2" t="str" cm="1">
        <f t="array" ref="C432">IFERROR(IF(INDEX($D$4:$H$1000,MATCH(VALUE(LEFT($A432,LEN($A432)-1)),$A$4:$A$1000,0),VALUE(RIGHT($A432,1)))= 0,"",INDEX($D$4:$H$1000,MATCH(VALUE(LEFT($A432,LEN($A432)-1)),$A$4:$A$1000,0),VALUE(RIGHT($A432,1)))),"")</f>
        <v/>
      </c>
      <c r="D432" s="23" t="str">
        <f>IFERROR(IF(INDEX(使用レシピ!F:F,MATCH(テンプレート!$C432,使用レシピ!$E:$E,0))&lt;&gt;0,INDEX(使用レシピ!F:F,MATCH(テンプレート!$C432,使用レシピ!$E:$E,0)),""),"")</f>
        <v/>
      </c>
      <c r="E432" t="str">
        <f>IFERROR(IF(INDEX(使用レシピ!G:G,MATCH(テンプレート!$C432,使用レシピ!$E:$E,0))&lt;&gt;0,INDEX(使用レシピ!G:G,MATCH(テンプレート!$C432,使用レシピ!$E:$E,0)),""),"")</f>
        <v/>
      </c>
      <c r="F432" t="str">
        <f>IFERROR(IF(INDEX(使用レシピ!H:H,MATCH(テンプレート!$C432,使用レシピ!$E:$E,0))&lt;&gt;0,INDEX(使用レシピ!H:H,MATCH(テンプレート!$C432,使用レシピ!$E:$E,0)),""),"")</f>
        <v/>
      </c>
      <c r="G432" t="str">
        <f>IFERROR(IF(INDEX(使用レシピ!I:I,MATCH(テンプレート!$C432,使用レシピ!$E:$E,0))&lt;&gt;0,INDEX(使用レシピ!I:I,MATCH(テンプレート!$C432,使用レシピ!$E:$E,0)),""),"")</f>
        <v/>
      </c>
      <c r="H432" s="24" t="str">
        <f>IFERROR(IF(INDEX(使用レシピ!J:J,MATCH(テンプレート!$C432,使用レシピ!$E:$E,0))&lt;&gt;0,INDEX(使用レシピ!J:J,MATCH(テンプレート!$C432,使用レシピ!$E:$E,0)),""),"")</f>
        <v/>
      </c>
      <c r="I432" s="36" t="str">
        <f>IFERROR(IF(INDEX(使用レシピ!P:P,MATCH(テンプレート!$C432,使用レシピ!$E:$E,0))&lt;&gt;0,INDEX(使用レシピ!P:P,MATCH(テンプレート!$C432,使用レシピ!$E:$E,0)),""),"")</f>
        <v/>
      </c>
      <c r="J432" t="str">
        <f>IFERROR(IF(INDEX(使用レシピ!K:K,MATCH(テンプレート!$C432,使用レシピ!$E:$E,0))&lt;&gt;0,INDEX(使用レシピ!K:K,MATCH(テンプレート!$C432,使用レシピ!$E:$E,0)),""),"")</f>
        <v/>
      </c>
      <c r="K432" t="str">
        <f>IFERROR(IF(INDEX(使用レシピ!L:L,MATCH(テンプレート!$C432,使用レシピ!$E:$E,0))&lt;&gt;0,INDEX(使用レシピ!L:L,MATCH(テンプレート!$C432,使用レシピ!$E:$E,0)),""),"")</f>
        <v/>
      </c>
      <c r="L432" t="str">
        <f>IFERROR(IF(INDEX(使用レシピ!M:M,MATCH(テンプレート!$C432,使用レシピ!$E:$E,0))&lt;&gt;0,INDEX(使用レシピ!M:M,MATCH(テンプレート!$C432,使用レシピ!$E:$E,0)),""),"")</f>
        <v/>
      </c>
      <c r="M432" t="str">
        <f>IFERROR(IF(INDEX(使用レシピ!N:N,MATCH(テンプレート!$C432,使用レシピ!$E:$E,0))&lt;&gt;0,INDEX(使用レシピ!N:N,MATCH(テンプレート!$C432,使用レシピ!$E:$E,0)),""),"")</f>
        <v/>
      </c>
      <c r="N432" s="24" t="str">
        <f>IFERROR(IF(INDEX(使用レシピ!O:O,MATCH(テンプレート!$C432,使用レシピ!$E:$E,0))&lt;&gt;0,INDEX(使用レシピ!O:O,MATCH(テンプレート!$C432,使用レシピ!$E:$E,0)),""),"")</f>
        <v/>
      </c>
      <c r="O432" s="36" t="str">
        <f>IFERROR(IF(INDEX(使用レシピ!P:P,MATCH(テンプレート!$C432,使用レシピ!$E:$E,0))&lt;&gt;0,INDEX(使用レシピ!P:P,MATCH(テンプレート!$C432,使用レシピ!$E:$E,0)),""),"")</f>
        <v/>
      </c>
      <c r="P432" t="str">
        <f t="shared" si="36"/>
        <v/>
      </c>
      <c r="Q432" t="str">
        <f t="shared" si="37"/>
        <v/>
      </c>
      <c r="R432" t="str">
        <f t="shared" si="38"/>
        <v/>
      </c>
      <c r="S432" t="str">
        <f t="shared" si="39"/>
        <v/>
      </c>
      <c r="T432" s="24" t="str">
        <f t="shared" si="40"/>
        <v/>
      </c>
    </row>
    <row r="433" spans="2:20" x14ac:dyDescent="0.4">
      <c r="B433" s="49" t="str" cm="1">
        <f t="array" ref="B433">IFERROR((INDEX($P$4:$T$1000,MATCH(VALUE(LEFT($A433,LEN($A433)-1)),$A$4:$A$1000,0),VALUE(RIGHT($A433,1)))/ INDEX($O$4:$O$1000,MATCH(VALUE(LEFT($A433,LEN($A433)-1)),$A$4:$A$1000))) * INDEX($B$4:$B$1000,MATCH(VALUE(LEFT($A433,LEN($A433)-1)),$A$4:$A$1000)),"")</f>
        <v/>
      </c>
      <c r="C433" s="2" t="str" cm="1">
        <f t="array" ref="C433">IFERROR(IF(INDEX($D$4:$H$1000,MATCH(VALUE(LEFT($A433,LEN($A433)-1)),$A$4:$A$1000,0),VALUE(RIGHT($A433,1)))= 0,"",INDEX($D$4:$H$1000,MATCH(VALUE(LEFT($A433,LEN($A433)-1)),$A$4:$A$1000,0),VALUE(RIGHT($A433,1)))),"")</f>
        <v/>
      </c>
      <c r="D433" s="23" t="str">
        <f>IFERROR(IF(INDEX(使用レシピ!F:F,MATCH(テンプレート!$C433,使用レシピ!$E:$E,0))&lt;&gt;0,INDEX(使用レシピ!F:F,MATCH(テンプレート!$C433,使用レシピ!$E:$E,0)),""),"")</f>
        <v/>
      </c>
      <c r="E433" t="str">
        <f>IFERROR(IF(INDEX(使用レシピ!G:G,MATCH(テンプレート!$C433,使用レシピ!$E:$E,0))&lt;&gt;0,INDEX(使用レシピ!G:G,MATCH(テンプレート!$C433,使用レシピ!$E:$E,0)),""),"")</f>
        <v/>
      </c>
      <c r="F433" t="str">
        <f>IFERROR(IF(INDEX(使用レシピ!H:H,MATCH(テンプレート!$C433,使用レシピ!$E:$E,0))&lt;&gt;0,INDEX(使用レシピ!H:H,MATCH(テンプレート!$C433,使用レシピ!$E:$E,0)),""),"")</f>
        <v/>
      </c>
      <c r="G433" t="str">
        <f>IFERROR(IF(INDEX(使用レシピ!I:I,MATCH(テンプレート!$C433,使用レシピ!$E:$E,0))&lt;&gt;0,INDEX(使用レシピ!I:I,MATCH(テンプレート!$C433,使用レシピ!$E:$E,0)),""),"")</f>
        <v/>
      </c>
      <c r="H433" s="24" t="str">
        <f>IFERROR(IF(INDEX(使用レシピ!J:J,MATCH(テンプレート!$C433,使用レシピ!$E:$E,0))&lt;&gt;0,INDEX(使用レシピ!J:J,MATCH(テンプレート!$C433,使用レシピ!$E:$E,0)),""),"")</f>
        <v/>
      </c>
      <c r="I433" s="36" t="str">
        <f>IFERROR(IF(INDEX(使用レシピ!P:P,MATCH(テンプレート!$C433,使用レシピ!$E:$E,0))&lt;&gt;0,INDEX(使用レシピ!P:P,MATCH(テンプレート!$C433,使用レシピ!$E:$E,0)),""),"")</f>
        <v/>
      </c>
      <c r="J433" t="str">
        <f>IFERROR(IF(INDEX(使用レシピ!K:K,MATCH(テンプレート!$C433,使用レシピ!$E:$E,0))&lt;&gt;0,INDEX(使用レシピ!K:K,MATCH(テンプレート!$C433,使用レシピ!$E:$E,0)),""),"")</f>
        <v/>
      </c>
      <c r="K433" t="str">
        <f>IFERROR(IF(INDEX(使用レシピ!L:L,MATCH(テンプレート!$C433,使用レシピ!$E:$E,0))&lt;&gt;0,INDEX(使用レシピ!L:L,MATCH(テンプレート!$C433,使用レシピ!$E:$E,0)),""),"")</f>
        <v/>
      </c>
      <c r="L433" t="str">
        <f>IFERROR(IF(INDEX(使用レシピ!M:M,MATCH(テンプレート!$C433,使用レシピ!$E:$E,0))&lt;&gt;0,INDEX(使用レシピ!M:M,MATCH(テンプレート!$C433,使用レシピ!$E:$E,0)),""),"")</f>
        <v/>
      </c>
      <c r="M433" t="str">
        <f>IFERROR(IF(INDEX(使用レシピ!N:N,MATCH(テンプレート!$C433,使用レシピ!$E:$E,0))&lt;&gt;0,INDEX(使用レシピ!N:N,MATCH(テンプレート!$C433,使用レシピ!$E:$E,0)),""),"")</f>
        <v/>
      </c>
      <c r="N433" s="24" t="str">
        <f>IFERROR(IF(INDEX(使用レシピ!O:O,MATCH(テンプレート!$C433,使用レシピ!$E:$E,0))&lt;&gt;0,INDEX(使用レシピ!O:O,MATCH(テンプレート!$C433,使用レシピ!$E:$E,0)),""),"")</f>
        <v/>
      </c>
      <c r="O433" s="36" t="str">
        <f>IFERROR(IF(INDEX(使用レシピ!P:P,MATCH(テンプレート!$C433,使用レシピ!$E:$E,0))&lt;&gt;0,INDEX(使用レシピ!P:P,MATCH(テンプレート!$C433,使用レシピ!$E:$E,0)),""),"")</f>
        <v/>
      </c>
      <c r="P433" t="str">
        <f t="shared" si="36"/>
        <v/>
      </c>
      <c r="Q433" t="str">
        <f t="shared" si="37"/>
        <v/>
      </c>
      <c r="R433" t="str">
        <f t="shared" si="38"/>
        <v/>
      </c>
      <c r="S433" t="str">
        <f t="shared" si="39"/>
        <v/>
      </c>
      <c r="T433" s="24" t="str">
        <f t="shared" si="40"/>
        <v/>
      </c>
    </row>
    <row r="434" spans="2:20" x14ac:dyDescent="0.4">
      <c r="B434" s="49" t="str" cm="1">
        <f t="array" ref="B434">IFERROR((INDEX($P$4:$T$1000,MATCH(VALUE(LEFT($A434,LEN($A434)-1)),$A$4:$A$1000,0),VALUE(RIGHT($A434,1)))/ INDEX($O$4:$O$1000,MATCH(VALUE(LEFT($A434,LEN($A434)-1)),$A$4:$A$1000))) * INDEX($B$4:$B$1000,MATCH(VALUE(LEFT($A434,LEN($A434)-1)),$A$4:$A$1000)),"")</f>
        <v/>
      </c>
      <c r="C434" s="2" t="str" cm="1">
        <f t="array" ref="C434">IFERROR(IF(INDEX($D$4:$H$1000,MATCH(VALUE(LEFT($A434,LEN($A434)-1)),$A$4:$A$1000,0),VALUE(RIGHT($A434,1)))= 0,"",INDEX($D$4:$H$1000,MATCH(VALUE(LEFT($A434,LEN($A434)-1)),$A$4:$A$1000,0),VALUE(RIGHT($A434,1)))),"")</f>
        <v/>
      </c>
      <c r="D434" s="23" t="str">
        <f>IFERROR(IF(INDEX(使用レシピ!F:F,MATCH(テンプレート!$C434,使用レシピ!$E:$E,0))&lt;&gt;0,INDEX(使用レシピ!F:F,MATCH(テンプレート!$C434,使用レシピ!$E:$E,0)),""),"")</f>
        <v/>
      </c>
      <c r="E434" t="str">
        <f>IFERROR(IF(INDEX(使用レシピ!G:G,MATCH(テンプレート!$C434,使用レシピ!$E:$E,0))&lt;&gt;0,INDEX(使用レシピ!G:G,MATCH(テンプレート!$C434,使用レシピ!$E:$E,0)),""),"")</f>
        <v/>
      </c>
      <c r="F434" t="str">
        <f>IFERROR(IF(INDEX(使用レシピ!H:H,MATCH(テンプレート!$C434,使用レシピ!$E:$E,0))&lt;&gt;0,INDEX(使用レシピ!H:H,MATCH(テンプレート!$C434,使用レシピ!$E:$E,0)),""),"")</f>
        <v/>
      </c>
      <c r="G434" t="str">
        <f>IFERROR(IF(INDEX(使用レシピ!I:I,MATCH(テンプレート!$C434,使用レシピ!$E:$E,0))&lt;&gt;0,INDEX(使用レシピ!I:I,MATCH(テンプレート!$C434,使用レシピ!$E:$E,0)),""),"")</f>
        <v/>
      </c>
      <c r="H434" s="24" t="str">
        <f>IFERROR(IF(INDEX(使用レシピ!J:J,MATCH(テンプレート!$C434,使用レシピ!$E:$E,0))&lt;&gt;0,INDEX(使用レシピ!J:J,MATCH(テンプレート!$C434,使用レシピ!$E:$E,0)),""),"")</f>
        <v/>
      </c>
      <c r="I434" s="36" t="str">
        <f>IFERROR(IF(INDEX(使用レシピ!P:P,MATCH(テンプレート!$C434,使用レシピ!$E:$E,0))&lt;&gt;0,INDEX(使用レシピ!P:P,MATCH(テンプレート!$C434,使用レシピ!$E:$E,0)),""),"")</f>
        <v/>
      </c>
      <c r="J434" t="str">
        <f>IFERROR(IF(INDEX(使用レシピ!K:K,MATCH(テンプレート!$C434,使用レシピ!$E:$E,0))&lt;&gt;0,INDEX(使用レシピ!K:K,MATCH(テンプレート!$C434,使用レシピ!$E:$E,0)),""),"")</f>
        <v/>
      </c>
      <c r="K434" t="str">
        <f>IFERROR(IF(INDEX(使用レシピ!L:L,MATCH(テンプレート!$C434,使用レシピ!$E:$E,0))&lt;&gt;0,INDEX(使用レシピ!L:L,MATCH(テンプレート!$C434,使用レシピ!$E:$E,0)),""),"")</f>
        <v/>
      </c>
      <c r="L434" t="str">
        <f>IFERROR(IF(INDEX(使用レシピ!M:M,MATCH(テンプレート!$C434,使用レシピ!$E:$E,0))&lt;&gt;0,INDEX(使用レシピ!M:M,MATCH(テンプレート!$C434,使用レシピ!$E:$E,0)),""),"")</f>
        <v/>
      </c>
      <c r="M434" t="str">
        <f>IFERROR(IF(INDEX(使用レシピ!N:N,MATCH(テンプレート!$C434,使用レシピ!$E:$E,0))&lt;&gt;0,INDEX(使用レシピ!N:N,MATCH(テンプレート!$C434,使用レシピ!$E:$E,0)),""),"")</f>
        <v/>
      </c>
      <c r="N434" s="24" t="str">
        <f>IFERROR(IF(INDEX(使用レシピ!O:O,MATCH(テンプレート!$C434,使用レシピ!$E:$E,0))&lt;&gt;0,INDEX(使用レシピ!O:O,MATCH(テンプレート!$C434,使用レシピ!$E:$E,0)),""),"")</f>
        <v/>
      </c>
      <c r="O434" s="36" t="str">
        <f>IFERROR(IF(INDEX(使用レシピ!P:P,MATCH(テンプレート!$C434,使用レシピ!$E:$E,0))&lt;&gt;0,INDEX(使用レシピ!P:P,MATCH(テンプレート!$C434,使用レシピ!$E:$E,0)),""),"")</f>
        <v/>
      </c>
      <c r="P434" t="str">
        <f t="shared" si="36"/>
        <v/>
      </c>
      <c r="Q434" t="str">
        <f t="shared" si="37"/>
        <v/>
      </c>
      <c r="R434" t="str">
        <f t="shared" si="38"/>
        <v/>
      </c>
      <c r="S434" t="str">
        <f t="shared" si="39"/>
        <v/>
      </c>
      <c r="T434" s="24" t="str">
        <f t="shared" si="40"/>
        <v/>
      </c>
    </row>
    <row r="435" spans="2:20" x14ac:dyDescent="0.4">
      <c r="B435" s="49" t="str" cm="1">
        <f t="array" ref="B435">IFERROR((INDEX($P$4:$T$1000,MATCH(VALUE(LEFT($A435,LEN($A435)-1)),$A$4:$A$1000,0),VALUE(RIGHT($A435,1)))/ INDEX($O$4:$O$1000,MATCH(VALUE(LEFT($A435,LEN($A435)-1)),$A$4:$A$1000))) * INDEX($B$4:$B$1000,MATCH(VALUE(LEFT($A435,LEN($A435)-1)),$A$4:$A$1000)),"")</f>
        <v/>
      </c>
      <c r="C435" s="2" t="str" cm="1">
        <f t="array" ref="C435">IFERROR(IF(INDEX($D$4:$H$1000,MATCH(VALUE(LEFT($A435,LEN($A435)-1)),$A$4:$A$1000,0),VALUE(RIGHT($A435,1)))= 0,"",INDEX($D$4:$H$1000,MATCH(VALUE(LEFT($A435,LEN($A435)-1)),$A$4:$A$1000,0),VALUE(RIGHT($A435,1)))),"")</f>
        <v/>
      </c>
      <c r="D435" s="23" t="str">
        <f>IFERROR(IF(INDEX(使用レシピ!F:F,MATCH(テンプレート!$C435,使用レシピ!$E:$E,0))&lt;&gt;0,INDEX(使用レシピ!F:F,MATCH(テンプレート!$C435,使用レシピ!$E:$E,0)),""),"")</f>
        <v/>
      </c>
      <c r="E435" t="str">
        <f>IFERROR(IF(INDEX(使用レシピ!G:G,MATCH(テンプレート!$C435,使用レシピ!$E:$E,0))&lt;&gt;0,INDEX(使用レシピ!G:G,MATCH(テンプレート!$C435,使用レシピ!$E:$E,0)),""),"")</f>
        <v/>
      </c>
      <c r="F435" t="str">
        <f>IFERROR(IF(INDEX(使用レシピ!H:H,MATCH(テンプレート!$C435,使用レシピ!$E:$E,0))&lt;&gt;0,INDEX(使用レシピ!H:H,MATCH(テンプレート!$C435,使用レシピ!$E:$E,0)),""),"")</f>
        <v/>
      </c>
      <c r="G435" t="str">
        <f>IFERROR(IF(INDEX(使用レシピ!I:I,MATCH(テンプレート!$C435,使用レシピ!$E:$E,0))&lt;&gt;0,INDEX(使用レシピ!I:I,MATCH(テンプレート!$C435,使用レシピ!$E:$E,0)),""),"")</f>
        <v/>
      </c>
      <c r="H435" s="24" t="str">
        <f>IFERROR(IF(INDEX(使用レシピ!J:J,MATCH(テンプレート!$C435,使用レシピ!$E:$E,0))&lt;&gt;0,INDEX(使用レシピ!J:J,MATCH(テンプレート!$C435,使用レシピ!$E:$E,0)),""),"")</f>
        <v/>
      </c>
      <c r="I435" s="36" t="str">
        <f>IFERROR(IF(INDEX(使用レシピ!P:P,MATCH(テンプレート!$C435,使用レシピ!$E:$E,0))&lt;&gt;0,INDEX(使用レシピ!P:P,MATCH(テンプレート!$C435,使用レシピ!$E:$E,0)),""),"")</f>
        <v/>
      </c>
      <c r="J435" t="str">
        <f>IFERROR(IF(INDEX(使用レシピ!K:K,MATCH(テンプレート!$C435,使用レシピ!$E:$E,0))&lt;&gt;0,INDEX(使用レシピ!K:K,MATCH(テンプレート!$C435,使用レシピ!$E:$E,0)),""),"")</f>
        <v/>
      </c>
      <c r="K435" t="str">
        <f>IFERROR(IF(INDEX(使用レシピ!L:L,MATCH(テンプレート!$C435,使用レシピ!$E:$E,0))&lt;&gt;0,INDEX(使用レシピ!L:L,MATCH(テンプレート!$C435,使用レシピ!$E:$E,0)),""),"")</f>
        <v/>
      </c>
      <c r="L435" t="str">
        <f>IFERROR(IF(INDEX(使用レシピ!M:M,MATCH(テンプレート!$C435,使用レシピ!$E:$E,0))&lt;&gt;0,INDEX(使用レシピ!M:M,MATCH(テンプレート!$C435,使用レシピ!$E:$E,0)),""),"")</f>
        <v/>
      </c>
      <c r="M435" t="str">
        <f>IFERROR(IF(INDEX(使用レシピ!N:N,MATCH(テンプレート!$C435,使用レシピ!$E:$E,0))&lt;&gt;0,INDEX(使用レシピ!N:N,MATCH(テンプレート!$C435,使用レシピ!$E:$E,0)),""),"")</f>
        <v/>
      </c>
      <c r="N435" s="24" t="str">
        <f>IFERROR(IF(INDEX(使用レシピ!O:O,MATCH(テンプレート!$C435,使用レシピ!$E:$E,0))&lt;&gt;0,INDEX(使用レシピ!O:O,MATCH(テンプレート!$C435,使用レシピ!$E:$E,0)),""),"")</f>
        <v/>
      </c>
      <c r="O435" s="36" t="str">
        <f>IFERROR(IF(INDEX(使用レシピ!P:P,MATCH(テンプレート!$C435,使用レシピ!$E:$E,0))&lt;&gt;0,INDEX(使用レシピ!P:P,MATCH(テンプレート!$C435,使用レシピ!$E:$E,0)),""),"")</f>
        <v/>
      </c>
      <c r="P435" t="str">
        <f t="shared" si="36"/>
        <v/>
      </c>
      <c r="Q435" t="str">
        <f t="shared" si="37"/>
        <v/>
      </c>
      <c r="R435" t="str">
        <f t="shared" si="38"/>
        <v/>
      </c>
      <c r="S435" t="str">
        <f t="shared" si="39"/>
        <v/>
      </c>
      <c r="T435" s="24" t="str">
        <f t="shared" si="40"/>
        <v/>
      </c>
    </row>
    <row r="436" spans="2:20" x14ac:dyDescent="0.4">
      <c r="B436" s="49" t="str" cm="1">
        <f t="array" ref="B436">IFERROR((INDEX($P$4:$T$1000,MATCH(VALUE(LEFT($A436,LEN($A436)-1)),$A$4:$A$1000,0),VALUE(RIGHT($A436,1)))/ INDEX($O$4:$O$1000,MATCH(VALUE(LEFT($A436,LEN($A436)-1)),$A$4:$A$1000))) * INDEX($B$4:$B$1000,MATCH(VALUE(LEFT($A436,LEN($A436)-1)),$A$4:$A$1000)),"")</f>
        <v/>
      </c>
      <c r="C436" s="2" t="str" cm="1">
        <f t="array" ref="C436">IFERROR(IF(INDEX($D$4:$H$1000,MATCH(VALUE(LEFT($A436,LEN($A436)-1)),$A$4:$A$1000,0),VALUE(RIGHT($A436,1)))= 0,"",INDEX($D$4:$H$1000,MATCH(VALUE(LEFT($A436,LEN($A436)-1)),$A$4:$A$1000,0),VALUE(RIGHT($A436,1)))),"")</f>
        <v/>
      </c>
      <c r="D436" s="23" t="str">
        <f>IFERROR(IF(INDEX(使用レシピ!F:F,MATCH(テンプレート!$C436,使用レシピ!$E:$E,0))&lt;&gt;0,INDEX(使用レシピ!F:F,MATCH(テンプレート!$C436,使用レシピ!$E:$E,0)),""),"")</f>
        <v/>
      </c>
      <c r="E436" t="str">
        <f>IFERROR(IF(INDEX(使用レシピ!G:G,MATCH(テンプレート!$C436,使用レシピ!$E:$E,0))&lt;&gt;0,INDEX(使用レシピ!G:G,MATCH(テンプレート!$C436,使用レシピ!$E:$E,0)),""),"")</f>
        <v/>
      </c>
      <c r="F436" t="str">
        <f>IFERROR(IF(INDEX(使用レシピ!H:H,MATCH(テンプレート!$C436,使用レシピ!$E:$E,0))&lt;&gt;0,INDEX(使用レシピ!H:H,MATCH(テンプレート!$C436,使用レシピ!$E:$E,0)),""),"")</f>
        <v/>
      </c>
      <c r="G436" t="str">
        <f>IFERROR(IF(INDEX(使用レシピ!I:I,MATCH(テンプレート!$C436,使用レシピ!$E:$E,0))&lt;&gt;0,INDEX(使用レシピ!I:I,MATCH(テンプレート!$C436,使用レシピ!$E:$E,0)),""),"")</f>
        <v/>
      </c>
      <c r="H436" s="24" t="str">
        <f>IFERROR(IF(INDEX(使用レシピ!J:J,MATCH(テンプレート!$C436,使用レシピ!$E:$E,0))&lt;&gt;0,INDEX(使用レシピ!J:J,MATCH(テンプレート!$C436,使用レシピ!$E:$E,0)),""),"")</f>
        <v/>
      </c>
      <c r="I436" s="36" t="str">
        <f>IFERROR(IF(INDEX(使用レシピ!P:P,MATCH(テンプレート!$C436,使用レシピ!$E:$E,0))&lt;&gt;0,INDEX(使用レシピ!P:P,MATCH(テンプレート!$C436,使用レシピ!$E:$E,0)),""),"")</f>
        <v/>
      </c>
      <c r="J436" t="str">
        <f>IFERROR(IF(INDEX(使用レシピ!K:K,MATCH(テンプレート!$C436,使用レシピ!$E:$E,0))&lt;&gt;0,INDEX(使用レシピ!K:K,MATCH(テンプレート!$C436,使用レシピ!$E:$E,0)),""),"")</f>
        <v/>
      </c>
      <c r="K436" t="str">
        <f>IFERROR(IF(INDEX(使用レシピ!L:L,MATCH(テンプレート!$C436,使用レシピ!$E:$E,0))&lt;&gt;0,INDEX(使用レシピ!L:L,MATCH(テンプレート!$C436,使用レシピ!$E:$E,0)),""),"")</f>
        <v/>
      </c>
      <c r="L436" t="str">
        <f>IFERROR(IF(INDEX(使用レシピ!M:M,MATCH(テンプレート!$C436,使用レシピ!$E:$E,0))&lt;&gt;0,INDEX(使用レシピ!M:M,MATCH(テンプレート!$C436,使用レシピ!$E:$E,0)),""),"")</f>
        <v/>
      </c>
      <c r="M436" t="str">
        <f>IFERROR(IF(INDEX(使用レシピ!N:N,MATCH(テンプレート!$C436,使用レシピ!$E:$E,0))&lt;&gt;0,INDEX(使用レシピ!N:N,MATCH(テンプレート!$C436,使用レシピ!$E:$E,0)),""),"")</f>
        <v/>
      </c>
      <c r="N436" s="24" t="str">
        <f>IFERROR(IF(INDEX(使用レシピ!O:O,MATCH(テンプレート!$C436,使用レシピ!$E:$E,0))&lt;&gt;0,INDEX(使用レシピ!O:O,MATCH(テンプレート!$C436,使用レシピ!$E:$E,0)),""),"")</f>
        <v/>
      </c>
      <c r="O436" s="36" t="str">
        <f>IFERROR(IF(INDEX(使用レシピ!P:P,MATCH(テンプレート!$C436,使用レシピ!$E:$E,0))&lt;&gt;0,INDEX(使用レシピ!P:P,MATCH(テンプレート!$C436,使用レシピ!$E:$E,0)),""),"")</f>
        <v/>
      </c>
      <c r="P436" t="str">
        <f t="shared" si="36"/>
        <v/>
      </c>
      <c r="Q436" t="str">
        <f t="shared" si="37"/>
        <v/>
      </c>
      <c r="R436" t="str">
        <f t="shared" si="38"/>
        <v/>
      </c>
      <c r="S436" t="str">
        <f t="shared" si="39"/>
        <v/>
      </c>
      <c r="T436" s="24" t="str">
        <f t="shared" si="40"/>
        <v/>
      </c>
    </row>
    <row r="437" spans="2:20" x14ac:dyDescent="0.4">
      <c r="B437" s="49" t="str" cm="1">
        <f t="array" ref="B437">IFERROR((INDEX($P$4:$T$1000,MATCH(VALUE(LEFT($A437,LEN($A437)-1)),$A$4:$A$1000,0),VALUE(RIGHT($A437,1)))/ INDEX($O$4:$O$1000,MATCH(VALUE(LEFT($A437,LEN($A437)-1)),$A$4:$A$1000))) * INDEX($B$4:$B$1000,MATCH(VALUE(LEFT($A437,LEN($A437)-1)),$A$4:$A$1000)),"")</f>
        <v/>
      </c>
      <c r="C437" s="2" t="str" cm="1">
        <f t="array" ref="C437">IFERROR(IF(INDEX($D$4:$H$1000,MATCH(VALUE(LEFT($A437,LEN($A437)-1)),$A$4:$A$1000,0),VALUE(RIGHT($A437,1)))= 0,"",INDEX($D$4:$H$1000,MATCH(VALUE(LEFT($A437,LEN($A437)-1)),$A$4:$A$1000,0),VALUE(RIGHT($A437,1)))),"")</f>
        <v/>
      </c>
      <c r="D437" s="23" t="str">
        <f>IFERROR(IF(INDEX(使用レシピ!F:F,MATCH(テンプレート!$C437,使用レシピ!$E:$E,0))&lt;&gt;0,INDEX(使用レシピ!F:F,MATCH(テンプレート!$C437,使用レシピ!$E:$E,0)),""),"")</f>
        <v/>
      </c>
      <c r="E437" t="str">
        <f>IFERROR(IF(INDEX(使用レシピ!G:G,MATCH(テンプレート!$C437,使用レシピ!$E:$E,0))&lt;&gt;0,INDEX(使用レシピ!G:G,MATCH(テンプレート!$C437,使用レシピ!$E:$E,0)),""),"")</f>
        <v/>
      </c>
      <c r="F437" t="str">
        <f>IFERROR(IF(INDEX(使用レシピ!H:H,MATCH(テンプレート!$C437,使用レシピ!$E:$E,0))&lt;&gt;0,INDEX(使用レシピ!H:H,MATCH(テンプレート!$C437,使用レシピ!$E:$E,0)),""),"")</f>
        <v/>
      </c>
      <c r="G437" t="str">
        <f>IFERROR(IF(INDEX(使用レシピ!I:I,MATCH(テンプレート!$C437,使用レシピ!$E:$E,0))&lt;&gt;0,INDEX(使用レシピ!I:I,MATCH(テンプレート!$C437,使用レシピ!$E:$E,0)),""),"")</f>
        <v/>
      </c>
      <c r="H437" s="24" t="str">
        <f>IFERROR(IF(INDEX(使用レシピ!J:J,MATCH(テンプレート!$C437,使用レシピ!$E:$E,0))&lt;&gt;0,INDEX(使用レシピ!J:J,MATCH(テンプレート!$C437,使用レシピ!$E:$E,0)),""),"")</f>
        <v/>
      </c>
      <c r="I437" s="36" t="str">
        <f>IFERROR(IF(INDEX(使用レシピ!P:P,MATCH(テンプレート!$C437,使用レシピ!$E:$E,0))&lt;&gt;0,INDEX(使用レシピ!P:P,MATCH(テンプレート!$C437,使用レシピ!$E:$E,0)),""),"")</f>
        <v/>
      </c>
      <c r="J437" t="str">
        <f>IFERROR(IF(INDEX(使用レシピ!K:K,MATCH(テンプレート!$C437,使用レシピ!$E:$E,0))&lt;&gt;0,INDEX(使用レシピ!K:K,MATCH(テンプレート!$C437,使用レシピ!$E:$E,0)),""),"")</f>
        <v/>
      </c>
      <c r="K437" t="str">
        <f>IFERROR(IF(INDEX(使用レシピ!L:L,MATCH(テンプレート!$C437,使用レシピ!$E:$E,0))&lt;&gt;0,INDEX(使用レシピ!L:L,MATCH(テンプレート!$C437,使用レシピ!$E:$E,0)),""),"")</f>
        <v/>
      </c>
      <c r="L437" t="str">
        <f>IFERROR(IF(INDEX(使用レシピ!M:M,MATCH(テンプレート!$C437,使用レシピ!$E:$E,0))&lt;&gt;0,INDEX(使用レシピ!M:M,MATCH(テンプレート!$C437,使用レシピ!$E:$E,0)),""),"")</f>
        <v/>
      </c>
      <c r="M437" t="str">
        <f>IFERROR(IF(INDEX(使用レシピ!N:N,MATCH(テンプレート!$C437,使用レシピ!$E:$E,0))&lt;&gt;0,INDEX(使用レシピ!N:N,MATCH(テンプレート!$C437,使用レシピ!$E:$E,0)),""),"")</f>
        <v/>
      </c>
      <c r="N437" s="24" t="str">
        <f>IFERROR(IF(INDEX(使用レシピ!O:O,MATCH(テンプレート!$C437,使用レシピ!$E:$E,0))&lt;&gt;0,INDEX(使用レシピ!O:O,MATCH(テンプレート!$C437,使用レシピ!$E:$E,0)),""),"")</f>
        <v/>
      </c>
      <c r="O437" s="36" t="str">
        <f>IFERROR(IF(INDEX(使用レシピ!P:P,MATCH(テンプレート!$C437,使用レシピ!$E:$E,0))&lt;&gt;0,INDEX(使用レシピ!P:P,MATCH(テンプレート!$C437,使用レシピ!$E:$E,0)),""),"")</f>
        <v/>
      </c>
      <c r="P437" t="str">
        <f t="shared" si="36"/>
        <v/>
      </c>
      <c r="Q437" t="str">
        <f t="shared" si="37"/>
        <v/>
      </c>
      <c r="R437" t="str">
        <f t="shared" si="38"/>
        <v/>
      </c>
      <c r="S437" t="str">
        <f t="shared" si="39"/>
        <v/>
      </c>
      <c r="T437" s="24" t="str">
        <f t="shared" si="40"/>
        <v/>
      </c>
    </row>
    <row r="438" spans="2:20" x14ac:dyDescent="0.4">
      <c r="B438" s="49" t="str" cm="1">
        <f t="array" ref="B438">IFERROR((INDEX($P$4:$T$1000,MATCH(VALUE(LEFT($A438,LEN($A438)-1)),$A$4:$A$1000,0),VALUE(RIGHT($A438,1)))/ INDEX($O$4:$O$1000,MATCH(VALUE(LEFT($A438,LEN($A438)-1)),$A$4:$A$1000))) * INDEX($B$4:$B$1000,MATCH(VALUE(LEFT($A438,LEN($A438)-1)),$A$4:$A$1000)),"")</f>
        <v/>
      </c>
      <c r="C438" s="2" t="str" cm="1">
        <f t="array" ref="C438">IFERROR(IF(INDEX($D$4:$H$1000,MATCH(VALUE(LEFT($A438,LEN($A438)-1)),$A$4:$A$1000,0),VALUE(RIGHT($A438,1)))= 0,"",INDEX($D$4:$H$1000,MATCH(VALUE(LEFT($A438,LEN($A438)-1)),$A$4:$A$1000,0),VALUE(RIGHT($A438,1)))),"")</f>
        <v/>
      </c>
      <c r="D438" s="23" t="str">
        <f>IFERROR(IF(INDEX(使用レシピ!F:F,MATCH(テンプレート!$C438,使用レシピ!$E:$E,0))&lt;&gt;0,INDEX(使用レシピ!F:F,MATCH(テンプレート!$C438,使用レシピ!$E:$E,0)),""),"")</f>
        <v/>
      </c>
      <c r="E438" t="str">
        <f>IFERROR(IF(INDEX(使用レシピ!G:G,MATCH(テンプレート!$C438,使用レシピ!$E:$E,0))&lt;&gt;0,INDEX(使用レシピ!G:G,MATCH(テンプレート!$C438,使用レシピ!$E:$E,0)),""),"")</f>
        <v/>
      </c>
      <c r="F438" t="str">
        <f>IFERROR(IF(INDEX(使用レシピ!H:H,MATCH(テンプレート!$C438,使用レシピ!$E:$E,0))&lt;&gt;0,INDEX(使用レシピ!H:H,MATCH(テンプレート!$C438,使用レシピ!$E:$E,0)),""),"")</f>
        <v/>
      </c>
      <c r="G438" t="str">
        <f>IFERROR(IF(INDEX(使用レシピ!I:I,MATCH(テンプレート!$C438,使用レシピ!$E:$E,0))&lt;&gt;0,INDEX(使用レシピ!I:I,MATCH(テンプレート!$C438,使用レシピ!$E:$E,0)),""),"")</f>
        <v/>
      </c>
      <c r="H438" s="24" t="str">
        <f>IFERROR(IF(INDEX(使用レシピ!J:J,MATCH(テンプレート!$C438,使用レシピ!$E:$E,0))&lt;&gt;0,INDEX(使用レシピ!J:J,MATCH(テンプレート!$C438,使用レシピ!$E:$E,0)),""),"")</f>
        <v/>
      </c>
      <c r="I438" s="36" t="str">
        <f>IFERROR(IF(INDEX(使用レシピ!P:P,MATCH(テンプレート!$C438,使用レシピ!$E:$E,0))&lt;&gt;0,INDEX(使用レシピ!P:P,MATCH(テンプレート!$C438,使用レシピ!$E:$E,0)),""),"")</f>
        <v/>
      </c>
      <c r="J438" t="str">
        <f>IFERROR(IF(INDEX(使用レシピ!K:K,MATCH(テンプレート!$C438,使用レシピ!$E:$E,0))&lt;&gt;0,INDEX(使用レシピ!K:K,MATCH(テンプレート!$C438,使用レシピ!$E:$E,0)),""),"")</f>
        <v/>
      </c>
      <c r="K438" t="str">
        <f>IFERROR(IF(INDEX(使用レシピ!L:L,MATCH(テンプレート!$C438,使用レシピ!$E:$E,0))&lt;&gt;0,INDEX(使用レシピ!L:L,MATCH(テンプレート!$C438,使用レシピ!$E:$E,0)),""),"")</f>
        <v/>
      </c>
      <c r="L438" t="str">
        <f>IFERROR(IF(INDEX(使用レシピ!M:M,MATCH(テンプレート!$C438,使用レシピ!$E:$E,0))&lt;&gt;0,INDEX(使用レシピ!M:M,MATCH(テンプレート!$C438,使用レシピ!$E:$E,0)),""),"")</f>
        <v/>
      </c>
      <c r="M438" t="str">
        <f>IFERROR(IF(INDEX(使用レシピ!N:N,MATCH(テンプレート!$C438,使用レシピ!$E:$E,0))&lt;&gt;0,INDEX(使用レシピ!N:N,MATCH(テンプレート!$C438,使用レシピ!$E:$E,0)),""),"")</f>
        <v/>
      </c>
      <c r="N438" s="24" t="str">
        <f>IFERROR(IF(INDEX(使用レシピ!O:O,MATCH(テンプレート!$C438,使用レシピ!$E:$E,0))&lt;&gt;0,INDEX(使用レシピ!O:O,MATCH(テンプレート!$C438,使用レシピ!$E:$E,0)),""),"")</f>
        <v/>
      </c>
      <c r="O438" s="36" t="str">
        <f>IFERROR(IF(INDEX(使用レシピ!P:P,MATCH(テンプレート!$C438,使用レシピ!$E:$E,0))&lt;&gt;0,INDEX(使用レシピ!P:P,MATCH(テンプレート!$C438,使用レシピ!$E:$E,0)),""),"")</f>
        <v/>
      </c>
      <c r="P438" t="str">
        <f t="shared" si="36"/>
        <v/>
      </c>
      <c r="Q438" t="str">
        <f t="shared" si="37"/>
        <v/>
      </c>
      <c r="R438" t="str">
        <f t="shared" si="38"/>
        <v/>
      </c>
      <c r="S438" t="str">
        <f t="shared" si="39"/>
        <v/>
      </c>
      <c r="T438" s="24" t="str">
        <f t="shared" si="40"/>
        <v/>
      </c>
    </row>
    <row r="439" spans="2:20" x14ac:dyDescent="0.4">
      <c r="B439" s="49" t="str" cm="1">
        <f t="array" ref="B439">IFERROR((INDEX($P$4:$T$1000,MATCH(VALUE(LEFT($A439,LEN($A439)-1)),$A$4:$A$1000,0),VALUE(RIGHT($A439,1)))/ INDEX($O$4:$O$1000,MATCH(VALUE(LEFT($A439,LEN($A439)-1)),$A$4:$A$1000))) * INDEX($B$4:$B$1000,MATCH(VALUE(LEFT($A439,LEN($A439)-1)),$A$4:$A$1000)),"")</f>
        <v/>
      </c>
      <c r="C439" s="2" t="str" cm="1">
        <f t="array" ref="C439">IFERROR(IF(INDEX($D$4:$H$1000,MATCH(VALUE(LEFT($A439,LEN($A439)-1)),$A$4:$A$1000,0),VALUE(RIGHT($A439,1)))= 0,"",INDEX($D$4:$H$1000,MATCH(VALUE(LEFT($A439,LEN($A439)-1)),$A$4:$A$1000,0),VALUE(RIGHT($A439,1)))),"")</f>
        <v/>
      </c>
      <c r="D439" s="23" t="str">
        <f>IFERROR(IF(INDEX(使用レシピ!F:F,MATCH(テンプレート!$C439,使用レシピ!$E:$E,0))&lt;&gt;0,INDEX(使用レシピ!F:F,MATCH(テンプレート!$C439,使用レシピ!$E:$E,0)),""),"")</f>
        <v/>
      </c>
      <c r="E439" t="str">
        <f>IFERROR(IF(INDEX(使用レシピ!G:G,MATCH(テンプレート!$C439,使用レシピ!$E:$E,0))&lt;&gt;0,INDEX(使用レシピ!G:G,MATCH(テンプレート!$C439,使用レシピ!$E:$E,0)),""),"")</f>
        <v/>
      </c>
      <c r="F439" t="str">
        <f>IFERROR(IF(INDEX(使用レシピ!H:H,MATCH(テンプレート!$C439,使用レシピ!$E:$E,0))&lt;&gt;0,INDEX(使用レシピ!H:H,MATCH(テンプレート!$C439,使用レシピ!$E:$E,0)),""),"")</f>
        <v/>
      </c>
      <c r="G439" t="str">
        <f>IFERROR(IF(INDEX(使用レシピ!I:I,MATCH(テンプレート!$C439,使用レシピ!$E:$E,0))&lt;&gt;0,INDEX(使用レシピ!I:I,MATCH(テンプレート!$C439,使用レシピ!$E:$E,0)),""),"")</f>
        <v/>
      </c>
      <c r="H439" s="24" t="str">
        <f>IFERROR(IF(INDEX(使用レシピ!J:J,MATCH(テンプレート!$C439,使用レシピ!$E:$E,0))&lt;&gt;0,INDEX(使用レシピ!J:J,MATCH(テンプレート!$C439,使用レシピ!$E:$E,0)),""),"")</f>
        <v/>
      </c>
      <c r="I439" s="36" t="str">
        <f>IFERROR(IF(INDEX(使用レシピ!P:P,MATCH(テンプレート!$C439,使用レシピ!$E:$E,0))&lt;&gt;0,INDEX(使用レシピ!P:P,MATCH(テンプレート!$C439,使用レシピ!$E:$E,0)),""),"")</f>
        <v/>
      </c>
      <c r="J439" t="str">
        <f>IFERROR(IF(INDEX(使用レシピ!K:K,MATCH(テンプレート!$C439,使用レシピ!$E:$E,0))&lt;&gt;0,INDEX(使用レシピ!K:K,MATCH(テンプレート!$C439,使用レシピ!$E:$E,0)),""),"")</f>
        <v/>
      </c>
      <c r="K439" t="str">
        <f>IFERROR(IF(INDEX(使用レシピ!L:L,MATCH(テンプレート!$C439,使用レシピ!$E:$E,0))&lt;&gt;0,INDEX(使用レシピ!L:L,MATCH(テンプレート!$C439,使用レシピ!$E:$E,0)),""),"")</f>
        <v/>
      </c>
      <c r="L439" t="str">
        <f>IFERROR(IF(INDEX(使用レシピ!M:M,MATCH(テンプレート!$C439,使用レシピ!$E:$E,0))&lt;&gt;0,INDEX(使用レシピ!M:M,MATCH(テンプレート!$C439,使用レシピ!$E:$E,0)),""),"")</f>
        <v/>
      </c>
      <c r="M439" t="str">
        <f>IFERROR(IF(INDEX(使用レシピ!N:N,MATCH(テンプレート!$C439,使用レシピ!$E:$E,0))&lt;&gt;0,INDEX(使用レシピ!N:N,MATCH(テンプレート!$C439,使用レシピ!$E:$E,0)),""),"")</f>
        <v/>
      </c>
      <c r="N439" s="24" t="str">
        <f>IFERROR(IF(INDEX(使用レシピ!O:O,MATCH(テンプレート!$C439,使用レシピ!$E:$E,0))&lt;&gt;0,INDEX(使用レシピ!O:O,MATCH(テンプレート!$C439,使用レシピ!$E:$E,0)),""),"")</f>
        <v/>
      </c>
      <c r="O439" s="36" t="str">
        <f>IFERROR(IF(INDEX(使用レシピ!P:P,MATCH(テンプレート!$C439,使用レシピ!$E:$E,0))&lt;&gt;0,INDEX(使用レシピ!P:P,MATCH(テンプレート!$C439,使用レシピ!$E:$E,0)),""),"")</f>
        <v/>
      </c>
      <c r="P439" t="str">
        <f t="shared" si="36"/>
        <v/>
      </c>
      <c r="Q439" t="str">
        <f t="shared" si="37"/>
        <v/>
      </c>
      <c r="R439" t="str">
        <f t="shared" si="38"/>
        <v/>
      </c>
      <c r="S439" t="str">
        <f t="shared" si="39"/>
        <v/>
      </c>
      <c r="T439" s="24" t="str">
        <f t="shared" si="40"/>
        <v/>
      </c>
    </row>
    <row r="440" spans="2:20" x14ac:dyDescent="0.4">
      <c r="B440" s="49" t="str" cm="1">
        <f t="array" ref="B440">IFERROR((INDEX($P$4:$T$1000,MATCH(VALUE(LEFT($A440,LEN($A440)-1)),$A$4:$A$1000,0),VALUE(RIGHT($A440,1)))/ INDEX($O$4:$O$1000,MATCH(VALUE(LEFT($A440,LEN($A440)-1)),$A$4:$A$1000))) * INDEX($B$4:$B$1000,MATCH(VALUE(LEFT($A440,LEN($A440)-1)),$A$4:$A$1000)),"")</f>
        <v/>
      </c>
      <c r="C440" s="2" t="str" cm="1">
        <f t="array" ref="C440">IFERROR(IF(INDEX($D$4:$H$1000,MATCH(VALUE(LEFT($A440,LEN($A440)-1)),$A$4:$A$1000,0),VALUE(RIGHT($A440,1)))= 0,"",INDEX($D$4:$H$1000,MATCH(VALUE(LEFT($A440,LEN($A440)-1)),$A$4:$A$1000,0),VALUE(RIGHT($A440,1)))),"")</f>
        <v/>
      </c>
      <c r="D440" s="23" t="str">
        <f>IFERROR(IF(INDEX(使用レシピ!F:F,MATCH(テンプレート!$C440,使用レシピ!$E:$E,0))&lt;&gt;0,INDEX(使用レシピ!F:F,MATCH(テンプレート!$C440,使用レシピ!$E:$E,0)),""),"")</f>
        <v/>
      </c>
      <c r="E440" t="str">
        <f>IFERROR(IF(INDEX(使用レシピ!G:G,MATCH(テンプレート!$C440,使用レシピ!$E:$E,0))&lt;&gt;0,INDEX(使用レシピ!G:G,MATCH(テンプレート!$C440,使用レシピ!$E:$E,0)),""),"")</f>
        <v/>
      </c>
      <c r="F440" t="str">
        <f>IFERROR(IF(INDEX(使用レシピ!H:H,MATCH(テンプレート!$C440,使用レシピ!$E:$E,0))&lt;&gt;0,INDEX(使用レシピ!H:H,MATCH(テンプレート!$C440,使用レシピ!$E:$E,0)),""),"")</f>
        <v/>
      </c>
      <c r="G440" t="str">
        <f>IFERROR(IF(INDEX(使用レシピ!I:I,MATCH(テンプレート!$C440,使用レシピ!$E:$E,0))&lt;&gt;0,INDEX(使用レシピ!I:I,MATCH(テンプレート!$C440,使用レシピ!$E:$E,0)),""),"")</f>
        <v/>
      </c>
      <c r="H440" s="24" t="str">
        <f>IFERROR(IF(INDEX(使用レシピ!J:J,MATCH(テンプレート!$C440,使用レシピ!$E:$E,0))&lt;&gt;0,INDEX(使用レシピ!J:J,MATCH(テンプレート!$C440,使用レシピ!$E:$E,0)),""),"")</f>
        <v/>
      </c>
      <c r="I440" s="36" t="str">
        <f>IFERROR(IF(INDEX(使用レシピ!P:P,MATCH(テンプレート!$C440,使用レシピ!$E:$E,0))&lt;&gt;0,INDEX(使用レシピ!P:P,MATCH(テンプレート!$C440,使用レシピ!$E:$E,0)),""),"")</f>
        <v/>
      </c>
      <c r="J440" t="str">
        <f>IFERROR(IF(INDEX(使用レシピ!K:K,MATCH(テンプレート!$C440,使用レシピ!$E:$E,0))&lt;&gt;0,INDEX(使用レシピ!K:K,MATCH(テンプレート!$C440,使用レシピ!$E:$E,0)),""),"")</f>
        <v/>
      </c>
      <c r="K440" t="str">
        <f>IFERROR(IF(INDEX(使用レシピ!L:L,MATCH(テンプレート!$C440,使用レシピ!$E:$E,0))&lt;&gt;0,INDEX(使用レシピ!L:L,MATCH(テンプレート!$C440,使用レシピ!$E:$E,0)),""),"")</f>
        <v/>
      </c>
      <c r="L440" t="str">
        <f>IFERROR(IF(INDEX(使用レシピ!M:M,MATCH(テンプレート!$C440,使用レシピ!$E:$E,0))&lt;&gt;0,INDEX(使用レシピ!M:M,MATCH(テンプレート!$C440,使用レシピ!$E:$E,0)),""),"")</f>
        <v/>
      </c>
      <c r="M440" t="str">
        <f>IFERROR(IF(INDEX(使用レシピ!N:N,MATCH(テンプレート!$C440,使用レシピ!$E:$E,0))&lt;&gt;0,INDEX(使用レシピ!N:N,MATCH(テンプレート!$C440,使用レシピ!$E:$E,0)),""),"")</f>
        <v/>
      </c>
      <c r="N440" s="24" t="str">
        <f>IFERROR(IF(INDEX(使用レシピ!O:O,MATCH(テンプレート!$C440,使用レシピ!$E:$E,0))&lt;&gt;0,INDEX(使用レシピ!O:O,MATCH(テンプレート!$C440,使用レシピ!$E:$E,0)),""),"")</f>
        <v/>
      </c>
      <c r="O440" s="36" t="str">
        <f>IFERROR(IF(INDEX(使用レシピ!P:P,MATCH(テンプレート!$C440,使用レシピ!$E:$E,0))&lt;&gt;0,INDEX(使用レシピ!P:P,MATCH(テンプレート!$C440,使用レシピ!$E:$E,0)),""),"")</f>
        <v/>
      </c>
      <c r="P440" t="str">
        <f t="shared" si="36"/>
        <v/>
      </c>
      <c r="Q440" t="str">
        <f t="shared" si="37"/>
        <v/>
      </c>
      <c r="R440" t="str">
        <f t="shared" si="38"/>
        <v/>
      </c>
      <c r="S440" t="str">
        <f t="shared" si="39"/>
        <v/>
      </c>
      <c r="T440" s="24" t="str">
        <f t="shared" si="40"/>
        <v/>
      </c>
    </row>
    <row r="441" spans="2:20" x14ac:dyDescent="0.4">
      <c r="B441" s="49" t="str" cm="1">
        <f t="array" ref="B441">IFERROR((INDEX($P$4:$T$1000,MATCH(VALUE(LEFT($A441,LEN($A441)-1)),$A$4:$A$1000,0),VALUE(RIGHT($A441,1)))/ INDEX($O$4:$O$1000,MATCH(VALUE(LEFT($A441,LEN($A441)-1)),$A$4:$A$1000))) * INDEX($B$4:$B$1000,MATCH(VALUE(LEFT($A441,LEN($A441)-1)),$A$4:$A$1000)),"")</f>
        <v/>
      </c>
      <c r="C441" s="2" t="str" cm="1">
        <f t="array" ref="C441">IFERROR(IF(INDEX($D$4:$H$1000,MATCH(VALUE(LEFT($A441,LEN($A441)-1)),$A$4:$A$1000,0),VALUE(RIGHT($A441,1)))= 0,"",INDEX($D$4:$H$1000,MATCH(VALUE(LEFT($A441,LEN($A441)-1)),$A$4:$A$1000,0),VALUE(RIGHT($A441,1)))),"")</f>
        <v/>
      </c>
      <c r="D441" s="23" t="str">
        <f>IFERROR(IF(INDEX(使用レシピ!F:F,MATCH(テンプレート!$C441,使用レシピ!$E:$E,0))&lt;&gt;0,INDEX(使用レシピ!F:F,MATCH(テンプレート!$C441,使用レシピ!$E:$E,0)),""),"")</f>
        <v/>
      </c>
      <c r="E441" t="str">
        <f>IFERROR(IF(INDEX(使用レシピ!G:G,MATCH(テンプレート!$C441,使用レシピ!$E:$E,0))&lt;&gt;0,INDEX(使用レシピ!G:G,MATCH(テンプレート!$C441,使用レシピ!$E:$E,0)),""),"")</f>
        <v/>
      </c>
      <c r="F441" t="str">
        <f>IFERROR(IF(INDEX(使用レシピ!H:H,MATCH(テンプレート!$C441,使用レシピ!$E:$E,0))&lt;&gt;0,INDEX(使用レシピ!H:H,MATCH(テンプレート!$C441,使用レシピ!$E:$E,0)),""),"")</f>
        <v/>
      </c>
      <c r="G441" t="str">
        <f>IFERROR(IF(INDEX(使用レシピ!I:I,MATCH(テンプレート!$C441,使用レシピ!$E:$E,0))&lt;&gt;0,INDEX(使用レシピ!I:I,MATCH(テンプレート!$C441,使用レシピ!$E:$E,0)),""),"")</f>
        <v/>
      </c>
      <c r="H441" s="24" t="str">
        <f>IFERROR(IF(INDEX(使用レシピ!J:J,MATCH(テンプレート!$C441,使用レシピ!$E:$E,0))&lt;&gt;0,INDEX(使用レシピ!J:J,MATCH(テンプレート!$C441,使用レシピ!$E:$E,0)),""),"")</f>
        <v/>
      </c>
      <c r="I441" s="36" t="str">
        <f>IFERROR(IF(INDEX(使用レシピ!P:P,MATCH(テンプレート!$C441,使用レシピ!$E:$E,0))&lt;&gt;0,INDEX(使用レシピ!P:P,MATCH(テンプレート!$C441,使用レシピ!$E:$E,0)),""),"")</f>
        <v/>
      </c>
      <c r="J441" t="str">
        <f>IFERROR(IF(INDEX(使用レシピ!K:K,MATCH(テンプレート!$C441,使用レシピ!$E:$E,0))&lt;&gt;0,INDEX(使用レシピ!K:K,MATCH(テンプレート!$C441,使用レシピ!$E:$E,0)),""),"")</f>
        <v/>
      </c>
      <c r="K441" t="str">
        <f>IFERROR(IF(INDEX(使用レシピ!L:L,MATCH(テンプレート!$C441,使用レシピ!$E:$E,0))&lt;&gt;0,INDEX(使用レシピ!L:L,MATCH(テンプレート!$C441,使用レシピ!$E:$E,0)),""),"")</f>
        <v/>
      </c>
      <c r="L441" t="str">
        <f>IFERROR(IF(INDEX(使用レシピ!M:M,MATCH(テンプレート!$C441,使用レシピ!$E:$E,0))&lt;&gt;0,INDEX(使用レシピ!M:M,MATCH(テンプレート!$C441,使用レシピ!$E:$E,0)),""),"")</f>
        <v/>
      </c>
      <c r="M441" t="str">
        <f>IFERROR(IF(INDEX(使用レシピ!N:N,MATCH(テンプレート!$C441,使用レシピ!$E:$E,0))&lt;&gt;0,INDEX(使用レシピ!N:N,MATCH(テンプレート!$C441,使用レシピ!$E:$E,0)),""),"")</f>
        <v/>
      </c>
      <c r="N441" s="24" t="str">
        <f>IFERROR(IF(INDEX(使用レシピ!O:O,MATCH(テンプレート!$C441,使用レシピ!$E:$E,0))&lt;&gt;0,INDEX(使用レシピ!O:O,MATCH(テンプレート!$C441,使用レシピ!$E:$E,0)),""),"")</f>
        <v/>
      </c>
      <c r="O441" s="36" t="str">
        <f>IFERROR(IF(INDEX(使用レシピ!P:P,MATCH(テンプレート!$C441,使用レシピ!$E:$E,0))&lt;&gt;0,INDEX(使用レシピ!P:P,MATCH(テンプレート!$C441,使用レシピ!$E:$E,0)),""),"")</f>
        <v/>
      </c>
      <c r="P441" t="str">
        <f t="shared" si="36"/>
        <v/>
      </c>
      <c r="Q441" t="str">
        <f t="shared" si="37"/>
        <v/>
      </c>
      <c r="R441" t="str">
        <f t="shared" si="38"/>
        <v/>
      </c>
      <c r="S441" t="str">
        <f t="shared" si="39"/>
        <v/>
      </c>
      <c r="T441" s="24" t="str">
        <f t="shared" si="40"/>
        <v/>
      </c>
    </row>
    <row r="442" spans="2:20" x14ac:dyDescent="0.4">
      <c r="B442" s="49" t="str" cm="1">
        <f t="array" ref="B442">IFERROR((INDEX($P$4:$T$1000,MATCH(VALUE(LEFT($A442,LEN($A442)-1)),$A$4:$A$1000,0),VALUE(RIGHT($A442,1)))/ INDEX($O$4:$O$1000,MATCH(VALUE(LEFT($A442,LEN($A442)-1)),$A$4:$A$1000))) * INDEX($B$4:$B$1000,MATCH(VALUE(LEFT($A442,LEN($A442)-1)),$A$4:$A$1000)),"")</f>
        <v/>
      </c>
      <c r="C442" s="2" t="str" cm="1">
        <f t="array" ref="C442">IFERROR(IF(INDEX($D$4:$H$1000,MATCH(VALUE(LEFT($A442,LEN($A442)-1)),$A$4:$A$1000,0),VALUE(RIGHT($A442,1)))= 0,"",INDEX($D$4:$H$1000,MATCH(VALUE(LEFT($A442,LEN($A442)-1)),$A$4:$A$1000,0),VALUE(RIGHT($A442,1)))),"")</f>
        <v/>
      </c>
      <c r="D442" s="23" t="str">
        <f>IFERROR(IF(INDEX(使用レシピ!F:F,MATCH(テンプレート!$C442,使用レシピ!$E:$E,0))&lt;&gt;0,INDEX(使用レシピ!F:F,MATCH(テンプレート!$C442,使用レシピ!$E:$E,0)),""),"")</f>
        <v/>
      </c>
      <c r="E442" t="str">
        <f>IFERROR(IF(INDEX(使用レシピ!G:G,MATCH(テンプレート!$C442,使用レシピ!$E:$E,0))&lt;&gt;0,INDEX(使用レシピ!G:G,MATCH(テンプレート!$C442,使用レシピ!$E:$E,0)),""),"")</f>
        <v/>
      </c>
      <c r="F442" t="str">
        <f>IFERROR(IF(INDEX(使用レシピ!H:H,MATCH(テンプレート!$C442,使用レシピ!$E:$E,0))&lt;&gt;0,INDEX(使用レシピ!H:H,MATCH(テンプレート!$C442,使用レシピ!$E:$E,0)),""),"")</f>
        <v/>
      </c>
      <c r="G442" t="str">
        <f>IFERROR(IF(INDEX(使用レシピ!I:I,MATCH(テンプレート!$C442,使用レシピ!$E:$E,0))&lt;&gt;0,INDEX(使用レシピ!I:I,MATCH(テンプレート!$C442,使用レシピ!$E:$E,0)),""),"")</f>
        <v/>
      </c>
      <c r="H442" s="24" t="str">
        <f>IFERROR(IF(INDEX(使用レシピ!J:J,MATCH(テンプレート!$C442,使用レシピ!$E:$E,0))&lt;&gt;0,INDEX(使用レシピ!J:J,MATCH(テンプレート!$C442,使用レシピ!$E:$E,0)),""),"")</f>
        <v/>
      </c>
      <c r="I442" s="36" t="str">
        <f>IFERROR(IF(INDEX(使用レシピ!P:P,MATCH(テンプレート!$C442,使用レシピ!$E:$E,0))&lt;&gt;0,INDEX(使用レシピ!P:P,MATCH(テンプレート!$C442,使用レシピ!$E:$E,0)),""),"")</f>
        <v/>
      </c>
      <c r="J442" t="str">
        <f>IFERROR(IF(INDEX(使用レシピ!K:K,MATCH(テンプレート!$C442,使用レシピ!$E:$E,0))&lt;&gt;0,INDEX(使用レシピ!K:K,MATCH(テンプレート!$C442,使用レシピ!$E:$E,0)),""),"")</f>
        <v/>
      </c>
      <c r="K442" t="str">
        <f>IFERROR(IF(INDEX(使用レシピ!L:L,MATCH(テンプレート!$C442,使用レシピ!$E:$E,0))&lt;&gt;0,INDEX(使用レシピ!L:L,MATCH(テンプレート!$C442,使用レシピ!$E:$E,0)),""),"")</f>
        <v/>
      </c>
      <c r="L442" t="str">
        <f>IFERROR(IF(INDEX(使用レシピ!M:M,MATCH(テンプレート!$C442,使用レシピ!$E:$E,0))&lt;&gt;0,INDEX(使用レシピ!M:M,MATCH(テンプレート!$C442,使用レシピ!$E:$E,0)),""),"")</f>
        <v/>
      </c>
      <c r="M442" t="str">
        <f>IFERROR(IF(INDEX(使用レシピ!N:N,MATCH(テンプレート!$C442,使用レシピ!$E:$E,0))&lt;&gt;0,INDEX(使用レシピ!N:N,MATCH(テンプレート!$C442,使用レシピ!$E:$E,0)),""),"")</f>
        <v/>
      </c>
      <c r="N442" s="24" t="str">
        <f>IFERROR(IF(INDEX(使用レシピ!O:O,MATCH(テンプレート!$C442,使用レシピ!$E:$E,0))&lt;&gt;0,INDEX(使用レシピ!O:O,MATCH(テンプレート!$C442,使用レシピ!$E:$E,0)),""),"")</f>
        <v/>
      </c>
      <c r="O442" s="36" t="str">
        <f>IFERROR(IF(INDEX(使用レシピ!P:P,MATCH(テンプレート!$C442,使用レシピ!$E:$E,0))&lt;&gt;0,INDEX(使用レシピ!P:P,MATCH(テンプレート!$C442,使用レシピ!$E:$E,0)),""),"")</f>
        <v/>
      </c>
      <c r="P442" t="str">
        <f t="shared" si="36"/>
        <v/>
      </c>
      <c r="Q442" t="str">
        <f t="shared" si="37"/>
        <v/>
      </c>
      <c r="R442" t="str">
        <f t="shared" si="38"/>
        <v/>
      </c>
      <c r="S442" t="str">
        <f t="shared" si="39"/>
        <v/>
      </c>
      <c r="T442" s="24" t="str">
        <f t="shared" si="40"/>
        <v/>
      </c>
    </row>
    <row r="443" spans="2:20" x14ac:dyDescent="0.4">
      <c r="B443" s="49" t="str" cm="1">
        <f t="array" ref="B443">IFERROR((INDEX($P$4:$T$1000,MATCH(VALUE(LEFT($A443,LEN($A443)-1)),$A$4:$A$1000,0),VALUE(RIGHT($A443,1)))/ INDEX($O$4:$O$1000,MATCH(VALUE(LEFT($A443,LEN($A443)-1)),$A$4:$A$1000))) * INDEX($B$4:$B$1000,MATCH(VALUE(LEFT($A443,LEN($A443)-1)),$A$4:$A$1000)),"")</f>
        <v/>
      </c>
      <c r="C443" s="2" t="str" cm="1">
        <f t="array" ref="C443">IFERROR(IF(INDEX($D$4:$H$1000,MATCH(VALUE(LEFT($A443,LEN($A443)-1)),$A$4:$A$1000,0),VALUE(RIGHT($A443,1)))= 0,"",INDEX($D$4:$H$1000,MATCH(VALUE(LEFT($A443,LEN($A443)-1)),$A$4:$A$1000,0),VALUE(RIGHT($A443,1)))),"")</f>
        <v/>
      </c>
      <c r="D443" s="23" t="str">
        <f>IFERROR(IF(INDEX(使用レシピ!F:F,MATCH(テンプレート!$C443,使用レシピ!$E:$E,0))&lt;&gt;0,INDEX(使用レシピ!F:F,MATCH(テンプレート!$C443,使用レシピ!$E:$E,0)),""),"")</f>
        <v/>
      </c>
      <c r="E443" t="str">
        <f>IFERROR(IF(INDEX(使用レシピ!G:G,MATCH(テンプレート!$C443,使用レシピ!$E:$E,0))&lt;&gt;0,INDEX(使用レシピ!G:G,MATCH(テンプレート!$C443,使用レシピ!$E:$E,0)),""),"")</f>
        <v/>
      </c>
      <c r="F443" t="str">
        <f>IFERROR(IF(INDEX(使用レシピ!H:H,MATCH(テンプレート!$C443,使用レシピ!$E:$E,0))&lt;&gt;0,INDEX(使用レシピ!H:H,MATCH(テンプレート!$C443,使用レシピ!$E:$E,0)),""),"")</f>
        <v/>
      </c>
      <c r="G443" t="str">
        <f>IFERROR(IF(INDEX(使用レシピ!I:I,MATCH(テンプレート!$C443,使用レシピ!$E:$E,0))&lt;&gt;0,INDEX(使用レシピ!I:I,MATCH(テンプレート!$C443,使用レシピ!$E:$E,0)),""),"")</f>
        <v/>
      </c>
      <c r="H443" s="24" t="str">
        <f>IFERROR(IF(INDEX(使用レシピ!J:J,MATCH(テンプレート!$C443,使用レシピ!$E:$E,0))&lt;&gt;0,INDEX(使用レシピ!J:J,MATCH(テンプレート!$C443,使用レシピ!$E:$E,0)),""),"")</f>
        <v/>
      </c>
      <c r="I443" s="36" t="str">
        <f>IFERROR(IF(INDEX(使用レシピ!P:P,MATCH(テンプレート!$C443,使用レシピ!$E:$E,0))&lt;&gt;0,INDEX(使用レシピ!P:P,MATCH(テンプレート!$C443,使用レシピ!$E:$E,0)),""),"")</f>
        <v/>
      </c>
      <c r="J443" t="str">
        <f>IFERROR(IF(INDEX(使用レシピ!K:K,MATCH(テンプレート!$C443,使用レシピ!$E:$E,0))&lt;&gt;0,INDEX(使用レシピ!K:K,MATCH(テンプレート!$C443,使用レシピ!$E:$E,0)),""),"")</f>
        <v/>
      </c>
      <c r="K443" t="str">
        <f>IFERROR(IF(INDEX(使用レシピ!L:L,MATCH(テンプレート!$C443,使用レシピ!$E:$E,0))&lt;&gt;0,INDEX(使用レシピ!L:L,MATCH(テンプレート!$C443,使用レシピ!$E:$E,0)),""),"")</f>
        <v/>
      </c>
      <c r="L443" t="str">
        <f>IFERROR(IF(INDEX(使用レシピ!M:M,MATCH(テンプレート!$C443,使用レシピ!$E:$E,0))&lt;&gt;0,INDEX(使用レシピ!M:M,MATCH(テンプレート!$C443,使用レシピ!$E:$E,0)),""),"")</f>
        <v/>
      </c>
      <c r="M443" t="str">
        <f>IFERROR(IF(INDEX(使用レシピ!N:N,MATCH(テンプレート!$C443,使用レシピ!$E:$E,0))&lt;&gt;0,INDEX(使用レシピ!N:N,MATCH(テンプレート!$C443,使用レシピ!$E:$E,0)),""),"")</f>
        <v/>
      </c>
      <c r="N443" s="24" t="str">
        <f>IFERROR(IF(INDEX(使用レシピ!O:O,MATCH(テンプレート!$C443,使用レシピ!$E:$E,0))&lt;&gt;0,INDEX(使用レシピ!O:O,MATCH(テンプレート!$C443,使用レシピ!$E:$E,0)),""),"")</f>
        <v/>
      </c>
      <c r="O443" s="36" t="str">
        <f>IFERROR(IF(INDEX(使用レシピ!P:P,MATCH(テンプレート!$C443,使用レシピ!$E:$E,0))&lt;&gt;0,INDEX(使用レシピ!P:P,MATCH(テンプレート!$C443,使用レシピ!$E:$E,0)),""),"")</f>
        <v/>
      </c>
      <c r="P443" t="str">
        <f t="shared" si="36"/>
        <v/>
      </c>
      <c r="Q443" t="str">
        <f t="shared" si="37"/>
        <v/>
      </c>
      <c r="R443" t="str">
        <f t="shared" si="38"/>
        <v/>
      </c>
      <c r="S443" t="str">
        <f t="shared" si="39"/>
        <v/>
      </c>
      <c r="T443" s="24" t="str">
        <f t="shared" si="40"/>
        <v/>
      </c>
    </row>
    <row r="444" spans="2:20" x14ac:dyDescent="0.4">
      <c r="B444" s="49" t="str" cm="1">
        <f t="array" ref="B444">IFERROR((INDEX($P$4:$T$1000,MATCH(VALUE(LEFT($A444,LEN($A444)-1)),$A$4:$A$1000,0),VALUE(RIGHT($A444,1)))/ INDEX($O$4:$O$1000,MATCH(VALUE(LEFT($A444,LEN($A444)-1)),$A$4:$A$1000))) * INDEX($B$4:$B$1000,MATCH(VALUE(LEFT($A444,LEN($A444)-1)),$A$4:$A$1000)),"")</f>
        <v/>
      </c>
      <c r="C444" s="2" t="str" cm="1">
        <f t="array" ref="C444">IFERROR(IF(INDEX($D$4:$H$1000,MATCH(VALUE(LEFT($A444,LEN($A444)-1)),$A$4:$A$1000,0),VALUE(RIGHT($A444,1)))= 0,"",INDEX($D$4:$H$1000,MATCH(VALUE(LEFT($A444,LEN($A444)-1)),$A$4:$A$1000,0),VALUE(RIGHT($A444,1)))),"")</f>
        <v/>
      </c>
      <c r="D444" s="23" t="str">
        <f>IFERROR(IF(INDEX(使用レシピ!F:F,MATCH(テンプレート!$C444,使用レシピ!$E:$E,0))&lt;&gt;0,INDEX(使用レシピ!F:F,MATCH(テンプレート!$C444,使用レシピ!$E:$E,0)),""),"")</f>
        <v/>
      </c>
      <c r="E444" t="str">
        <f>IFERROR(IF(INDEX(使用レシピ!G:G,MATCH(テンプレート!$C444,使用レシピ!$E:$E,0))&lt;&gt;0,INDEX(使用レシピ!G:G,MATCH(テンプレート!$C444,使用レシピ!$E:$E,0)),""),"")</f>
        <v/>
      </c>
      <c r="F444" t="str">
        <f>IFERROR(IF(INDEX(使用レシピ!H:H,MATCH(テンプレート!$C444,使用レシピ!$E:$E,0))&lt;&gt;0,INDEX(使用レシピ!H:H,MATCH(テンプレート!$C444,使用レシピ!$E:$E,0)),""),"")</f>
        <v/>
      </c>
      <c r="G444" t="str">
        <f>IFERROR(IF(INDEX(使用レシピ!I:I,MATCH(テンプレート!$C444,使用レシピ!$E:$E,0))&lt;&gt;0,INDEX(使用レシピ!I:I,MATCH(テンプレート!$C444,使用レシピ!$E:$E,0)),""),"")</f>
        <v/>
      </c>
      <c r="H444" s="24" t="str">
        <f>IFERROR(IF(INDEX(使用レシピ!J:J,MATCH(テンプレート!$C444,使用レシピ!$E:$E,0))&lt;&gt;0,INDEX(使用レシピ!J:J,MATCH(テンプレート!$C444,使用レシピ!$E:$E,0)),""),"")</f>
        <v/>
      </c>
      <c r="I444" s="36" t="str">
        <f>IFERROR(IF(INDEX(使用レシピ!P:P,MATCH(テンプレート!$C444,使用レシピ!$E:$E,0))&lt;&gt;0,INDEX(使用レシピ!P:P,MATCH(テンプレート!$C444,使用レシピ!$E:$E,0)),""),"")</f>
        <v/>
      </c>
      <c r="J444" t="str">
        <f>IFERROR(IF(INDEX(使用レシピ!K:K,MATCH(テンプレート!$C444,使用レシピ!$E:$E,0))&lt;&gt;0,INDEX(使用レシピ!K:K,MATCH(テンプレート!$C444,使用レシピ!$E:$E,0)),""),"")</f>
        <v/>
      </c>
      <c r="K444" t="str">
        <f>IFERROR(IF(INDEX(使用レシピ!L:L,MATCH(テンプレート!$C444,使用レシピ!$E:$E,0))&lt;&gt;0,INDEX(使用レシピ!L:L,MATCH(テンプレート!$C444,使用レシピ!$E:$E,0)),""),"")</f>
        <v/>
      </c>
      <c r="L444" t="str">
        <f>IFERROR(IF(INDEX(使用レシピ!M:M,MATCH(テンプレート!$C444,使用レシピ!$E:$E,0))&lt;&gt;0,INDEX(使用レシピ!M:M,MATCH(テンプレート!$C444,使用レシピ!$E:$E,0)),""),"")</f>
        <v/>
      </c>
      <c r="M444" t="str">
        <f>IFERROR(IF(INDEX(使用レシピ!N:N,MATCH(テンプレート!$C444,使用レシピ!$E:$E,0))&lt;&gt;0,INDEX(使用レシピ!N:N,MATCH(テンプレート!$C444,使用レシピ!$E:$E,0)),""),"")</f>
        <v/>
      </c>
      <c r="N444" s="24" t="str">
        <f>IFERROR(IF(INDEX(使用レシピ!O:O,MATCH(テンプレート!$C444,使用レシピ!$E:$E,0))&lt;&gt;0,INDEX(使用レシピ!O:O,MATCH(テンプレート!$C444,使用レシピ!$E:$E,0)),""),"")</f>
        <v/>
      </c>
      <c r="O444" s="36" t="str">
        <f>IFERROR(IF(INDEX(使用レシピ!P:P,MATCH(テンプレート!$C444,使用レシピ!$E:$E,0))&lt;&gt;0,INDEX(使用レシピ!P:P,MATCH(テンプレート!$C444,使用レシピ!$E:$E,0)),""),"")</f>
        <v/>
      </c>
      <c r="P444" t="str">
        <f t="shared" si="36"/>
        <v/>
      </c>
      <c r="Q444" t="str">
        <f t="shared" si="37"/>
        <v/>
      </c>
      <c r="R444" t="str">
        <f t="shared" si="38"/>
        <v/>
      </c>
      <c r="S444" t="str">
        <f t="shared" si="39"/>
        <v/>
      </c>
      <c r="T444" s="24" t="str">
        <f t="shared" si="40"/>
        <v/>
      </c>
    </row>
    <row r="445" spans="2:20" x14ac:dyDescent="0.4">
      <c r="B445" s="49" t="str" cm="1">
        <f t="array" ref="B445">IFERROR((INDEX($P$4:$T$1000,MATCH(VALUE(LEFT($A445,LEN($A445)-1)),$A$4:$A$1000,0),VALUE(RIGHT($A445,1)))/ INDEX($O$4:$O$1000,MATCH(VALUE(LEFT($A445,LEN($A445)-1)),$A$4:$A$1000))) * INDEX($B$4:$B$1000,MATCH(VALUE(LEFT($A445,LEN($A445)-1)),$A$4:$A$1000)),"")</f>
        <v/>
      </c>
      <c r="C445" s="2" t="str" cm="1">
        <f t="array" ref="C445">IFERROR(IF(INDEX($D$4:$H$1000,MATCH(VALUE(LEFT($A445,LEN($A445)-1)),$A$4:$A$1000,0),VALUE(RIGHT($A445,1)))= 0,"",INDEX($D$4:$H$1000,MATCH(VALUE(LEFT($A445,LEN($A445)-1)),$A$4:$A$1000,0),VALUE(RIGHT($A445,1)))),"")</f>
        <v/>
      </c>
      <c r="D445" s="23" t="str">
        <f>IFERROR(IF(INDEX(使用レシピ!F:F,MATCH(テンプレート!$C445,使用レシピ!$E:$E,0))&lt;&gt;0,INDEX(使用レシピ!F:F,MATCH(テンプレート!$C445,使用レシピ!$E:$E,0)),""),"")</f>
        <v/>
      </c>
      <c r="E445" t="str">
        <f>IFERROR(IF(INDEX(使用レシピ!G:G,MATCH(テンプレート!$C445,使用レシピ!$E:$E,0))&lt;&gt;0,INDEX(使用レシピ!G:G,MATCH(テンプレート!$C445,使用レシピ!$E:$E,0)),""),"")</f>
        <v/>
      </c>
      <c r="F445" t="str">
        <f>IFERROR(IF(INDEX(使用レシピ!H:H,MATCH(テンプレート!$C445,使用レシピ!$E:$E,0))&lt;&gt;0,INDEX(使用レシピ!H:H,MATCH(テンプレート!$C445,使用レシピ!$E:$E,0)),""),"")</f>
        <v/>
      </c>
      <c r="G445" t="str">
        <f>IFERROR(IF(INDEX(使用レシピ!I:I,MATCH(テンプレート!$C445,使用レシピ!$E:$E,0))&lt;&gt;0,INDEX(使用レシピ!I:I,MATCH(テンプレート!$C445,使用レシピ!$E:$E,0)),""),"")</f>
        <v/>
      </c>
      <c r="H445" s="24" t="str">
        <f>IFERROR(IF(INDEX(使用レシピ!J:J,MATCH(テンプレート!$C445,使用レシピ!$E:$E,0))&lt;&gt;0,INDEX(使用レシピ!J:J,MATCH(テンプレート!$C445,使用レシピ!$E:$E,0)),""),"")</f>
        <v/>
      </c>
      <c r="I445" s="36" t="str">
        <f>IFERROR(IF(INDEX(使用レシピ!P:P,MATCH(テンプレート!$C445,使用レシピ!$E:$E,0))&lt;&gt;0,INDEX(使用レシピ!P:P,MATCH(テンプレート!$C445,使用レシピ!$E:$E,0)),""),"")</f>
        <v/>
      </c>
      <c r="J445" t="str">
        <f>IFERROR(IF(INDEX(使用レシピ!K:K,MATCH(テンプレート!$C445,使用レシピ!$E:$E,0))&lt;&gt;0,INDEX(使用レシピ!K:K,MATCH(テンプレート!$C445,使用レシピ!$E:$E,0)),""),"")</f>
        <v/>
      </c>
      <c r="K445" t="str">
        <f>IFERROR(IF(INDEX(使用レシピ!L:L,MATCH(テンプレート!$C445,使用レシピ!$E:$E,0))&lt;&gt;0,INDEX(使用レシピ!L:L,MATCH(テンプレート!$C445,使用レシピ!$E:$E,0)),""),"")</f>
        <v/>
      </c>
      <c r="L445" t="str">
        <f>IFERROR(IF(INDEX(使用レシピ!M:M,MATCH(テンプレート!$C445,使用レシピ!$E:$E,0))&lt;&gt;0,INDEX(使用レシピ!M:M,MATCH(テンプレート!$C445,使用レシピ!$E:$E,0)),""),"")</f>
        <v/>
      </c>
      <c r="M445" t="str">
        <f>IFERROR(IF(INDEX(使用レシピ!N:N,MATCH(テンプレート!$C445,使用レシピ!$E:$E,0))&lt;&gt;0,INDEX(使用レシピ!N:N,MATCH(テンプレート!$C445,使用レシピ!$E:$E,0)),""),"")</f>
        <v/>
      </c>
      <c r="N445" s="24" t="str">
        <f>IFERROR(IF(INDEX(使用レシピ!O:O,MATCH(テンプレート!$C445,使用レシピ!$E:$E,0))&lt;&gt;0,INDEX(使用レシピ!O:O,MATCH(テンプレート!$C445,使用レシピ!$E:$E,0)),""),"")</f>
        <v/>
      </c>
      <c r="O445" s="36" t="str">
        <f>IFERROR(IF(INDEX(使用レシピ!P:P,MATCH(テンプレート!$C445,使用レシピ!$E:$E,0))&lt;&gt;0,INDEX(使用レシピ!P:P,MATCH(テンプレート!$C445,使用レシピ!$E:$E,0)),""),"")</f>
        <v/>
      </c>
      <c r="P445" t="str">
        <f t="shared" si="36"/>
        <v/>
      </c>
      <c r="Q445" t="str">
        <f t="shared" si="37"/>
        <v/>
      </c>
      <c r="R445" t="str">
        <f t="shared" si="38"/>
        <v/>
      </c>
      <c r="S445" t="str">
        <f t="shared" si="39"/>
        <v/>
      </c>
      <c r="T445" s="24" t="str">
        <f t="shared" si="40"/>
        <v/>
      </c>
    </row>
    <row r="446" spans="2:20" x14ac:dyDescent="0.4">
      <c r="B446" s="49" t="str" cm="1">
        <f t="array" ref="B446">IFERROR((INDEX($P$4:$T$1000,MATCH(VALUE(LEFT($A446,LEN($A446)-1)),$A$4:$A$1000,0),VALUE(RIGHT($A446,1)))/ INDEX($O$4:$O$1000,MATCH(VALUE(LEFT($A446,LEN($A446)-1)),$A$4:$A$1000))) * INDEX($B$4:$B$1000,MATCH(VALUE(LEFT($A446,LEN($A446)-1)),$A$4:$A$1000)),"")</f>
        <v/>
      </c>
      <c r="C446" s="2" t="str" cm="1">
        <f t="array" ref="C446">IFERROR(IF(INDEX($D$4:$H$1000,MATCH(VALUE(LEFT($A446,LEN($A446)-1)),$A$4:$A$1000,0),VALUE(RIGHT($A446,1)))= 0,"",INDEX($D$4:$H$1000,MATCH(VALUE(LEFT($A446,LEN($A446)-1)),$A$4:$A$1000,0),VALUE(RIGHT($A446,1)))),"")</f>
        <v/>
      </c>
      <c r="D446" s="23" t="str">
        <f>IFERROR(IF(INDEX(使用レシピ!F:F,MATCH(テンプレート!$C446,使用レシピ!$E:$E,0))&lt;&gt;0,INDEX(使用レシピ!F:F,MATCH(テンプレート!$C446,使用レシピ!$E:$E,0)),""),"")</f>
        <v/>
      </c>
      <c r="E446" t="str">
        <f>IFERROR(IF(INDEX(使用レシピ!G:G,MATCH(テンプレート!$C446,使用レシピ!$E:$E,0))&lt;&gt;0,INDEX(使用レシピ!G:G,MATCH(テンプレート!$C446,使用レシピ!$E:$E,0)),""),"")</f>
        <v/>
      </c>
      <c r="F446" t="str">
        <f>IFERROR(IF(INDEX(使用レシピ!H:H,MATCH(テンプレート!$C446,使用レシピ!$E:$E,0))&lt;&gt;0,INDEX(使用レシピ!H:H,MATCH(テンプレート!$C446,使用レシピ!$E:$E,0)),""),"")</f>
        <v/>
      </c>
      <c r="G446" t="str">
        <f>IFERROR(IF(INDEX(使用レシピ!I:I,MATCH(テンプレート!$C446,使用レシピ!$E:$E,0))&lt;&gt;0,INDEX(使用レシピ!I:I,MATCH(テンプレート!$C446,使用レシピ!$E:$E,0)),""),"")</f>
        <v/>
      </c>
      <c r="H446" s="24" t="str">
        <f>IFERROR(IF(INDEX(使用レシピ!J:J,MATCH(テンプレート!$C446,使用レシピ!$E:$E,0))&lt;&gt;0,INDEX(使用レシピ!J:J,MATCH(テンプレート!$C446,使用レシピ!$E:$E,0)),""),"")</f>
        <v/>
      </c>
      <c r="I446" s="36" t="str">
        <f>IFERROR(IF(INDEX(使用レシピ!P:P,MATCH(テンプレート!$C446,使用レシピ!$E:$E,0))&lt;&gt;0,INDEX(使用レシピ!P:P,MATCH(テンプレート!$C446,使用レシピ!$E:$E,0)),""),"")</f>
        <v/>
      </c>
      <c r="J446" t="str">
        <f>IFERROR(IF(INDEX(使用レシピ!K:K,MATCH(テンプレート!$C446,使用レシピ!$E:$E,0))&lt;&gt;0,INDEX(使用レシピ!K:K,MATCH(テンプレート!$C446,使用レシピ!$E:$E,0)),""),"")</f>
        <v/>
      </c>
      <c r="K446" t="str">
        <f>IFERROR(IF(INDEX(使用レシピ!L:L,MATCH(テンプレート!$C446,使用レシピ!$E:$E,0))&lt;&gt;0,INDEX(使用レシピ!L:L,MATCH(テンプレート!$C446,使用レシピ!$E:$E,0)),""),"")</f>
        <v/>
      </c>
      <c r="L446" t="str">
        <f>IFERROR(IF(INDEX(使用レシピ!M:M,MATCH(テンプレート!$C446,使用レシピ!$E:$E,0))&lt;&gt;0,INDEX(使用レシピ!M:M,MATCH(テンプレート!$C446,使用レシピ!$E:$E,0)),""),"")</f>
        <v/>
      </c>
      <c r="M446" t="str">
        <f>IFERROR(IF(INDEX(使用レシピ!N:N,MATCH(テンプレート!$C446,使用レシピ!$E:$E,0))&lt;&gt;0,INDEX(使用レシピ!N:N,MATCH(テンプレート!$C446,使用レシピ!$E:$E,0)),""),"")</f>
        <v/>
      </c>
      <c r="N446" s="24" t="str">
        <f>IFERROR(IF(INDEX(使用レシピ!O:O,MATCH(テンプレート!$C446,使用レシピ!$E:$E,0))&lt;&gt;0,INDEX(使用レシピ!O:O,MATCH(テンプレート!$C446,使用レシピ!$E:$E,0)),""),"")</f>
        <v/>
      </c>
      <c r="O446" s="36" t="str">
        <f>IFERROR(IF(INDEX(使用レシピ!P:P,MATCH(テンプレート!$C446,使用レシピ!$E:$E,0))&lt;&gt;0,INDEX(使用レシピ!P:P,MATCH(テンプレート!$C446,使用レシピ!$E:$E,0)),""),"")</f>
        <v/>
      </c>
      <c r="P446" t="str">
        <f t="shared" si="36"/>
        <v/>
      </c>
      <c r="Q446" t="str">
        <f t="shared" si="37"/>
        <v/>
      </c>
      <c r="R446" t="str">
        <f t="shared" si="38"/>
        <v/>
      </c>
      <c r="S446" t="str">
        <f t="shared" si="39"/>
        <v/>
      </c>
      <c r="T446" s="24" t="str">
        <f t="shared" si="40"/>
        <v/>
      </c>
    </row>
    <row r="447" spans="2:20" x14ac:dyDescent="0.4">
      <c r="B447" s="49" t="str" cm="1">
        <f t="array" ref="B447">IFERROR((INDEX($P$4:$T$1000,MATCH(VALUE(LEFT($A447,LEN($A447)-1)),$A$4:$A$1000,0),VALUE(RIGHT($A447,1)))/ INDEX($O$4:$O$1000,MATCH(VALUE(LEFT($A447,LEN($A447)-1)),$A$4:$A$1000))) * INDEX($B$4:$B$1000,MATCH(VALUE(LEFT($A447,LEN($A447)-1)),$A$4:$A$1000)),"")</f>
        <v/>
      </c>
      <c r="C447" s="2" t="str" cm="1">
        <f t="array" ref="C447">IFERROR(IF(INDEX($D$4:$H$1000,MATCH(VALUE(LEFT($A447,LEN($A447)-1)),$A$4:$A$1000,0),VALUE(RIGHT($A447,1)))= 0,"",INDEX($D$4:$H$1000,MATCH(VALUE(LEFT($A447,LEN($A447)-1)),$A$4:$A$1000,0),VALUE(RIGHT($A447,1)))),"")</f>
        <v/>
      </c>
      <c r="D447" s="23" t="str">
        <f>IFERROR(IF(INDEX(使用レシピ!F:F,MATCH(テンプレート!$C447,使用レシピ!$E:$E,0))&lt;&gt;0,INDEX(使用レシピ!F:F,MATCH(テンプレート!$C447,使用レシピ!$E:$E,0)),""),"")</f>
        <v/>
      </c>
      <c r="E447" t="str">
        <f>IFERROR(IF(INDEX(使用レシピ!G:G,MATCH(テンプレート!$C447,使用レシピ!$E:$E,0))&lt;&gt;0,INDEX(使用レシピ!G:G,MATCH(テンプレート!$C447,使用レシピ!$E:$E,0)),""),"")</f>
        <v/>
      </c>
      <c r="F447" t="str">
        <f>IFERROR(IF(INDEX(使用レシピ!H:H,MATCH(テンプレート!$C447,使用レシピ!$E:$E,0))&lt;&gt;0,INDEX(使用レシピ!H:H,MATCH(テンプレート!$C447,使用レシピ!$E:$E,0)),""),"")</f>
        <v/>
      </c>
      <c r="G447" t="str">
        <f>IFERROR(IF(INDEX(使用レシピ!I:I,MATCH(テンプレート!$C447,使用レシピ!$E:$E,0))&lt;&gt;0,INDEX(使用レシピ!I:I,MATCH(テンプレート!$C447,使用レシピ!$E:$E,0)),""),"")</f>
        <v/>
      </c>
      <c r="H447" s="24" t="str">
        <f>IFERROR(IF(INDEX(使用レシピ!J:J,MATCH(テンプレート!$C447,使用レシピ!$E:$E,0))&lt;&gt;0,INDEX(使用レシピ!J:J,MATCH(テンプレート!$C447,使用レシピ!$E:$E,0)),""),"")</f>
        <v/>
      </c>
      <c r="I447" s="36" t="str">
        <f>IFERROR(IF(INDEX(使用レシピ!P:P,MATCH(テンプレート!$C447,使用レシピ!$E:$E,0))&lt;&gt;0,INDEX(使用レシピ!P:P,MATCH(テンプレート!$C447,使用レシピ!$E:$E,0)),""),"")</f>
        <v/>
      </c>
      <c r="J447" t="str">
        <f>IFERROR(IF(INDEX(使用レシピ!K:K,MATCH(テンプレート!$C447,使用レシピ!$E:$E,0))&lt;&gt;0,INDEX(使用レシピ!K:K,MATCH(テンプレート!$C447,使用レシピ!$E:$E,0)),""),"")</f>
        <v/>
      </c>
      <c r="K447" t="str">
        <f>IFERROR(IF(INDEX(使用レシピ!L:L,MATCH(テンプレート!$C447,使用レシピ!$E:$E,0))&lt;&gt;0,INDEX(使用レシピ!L:L,MATCH(テンプレート!$C447,使用レシピ!$E:$E,0)),""),"")</f>
        <v/>
      </c>
      <c r="L447" t="str">
        <f>IFERROR(IF(INDEX(使用レシピ!M:M,MATCH(テンプレート!$C447,使用レシピ!$E:$E,0))&lt;&gt;0,INDEX(使用レシピ!M:M,MATCH(テンプレート!$C447,使用レシピ!$E:$E,0)),""),"")</f>
        <v/>
      </c>
      <c r="M447" t="str">
        <f>IFERROR(IF(INDEX(使用レシピ!N:N,MATCH(テンプレート!$C447,使用レシピ!$E:$E,0))&lt;&gt;0,INDEX(使用レシピ!N:N,MATCH(テンプレート!$C447,使用レシピ!$E:$E,0)),""),"")</f>
        <v/>
      </c>
      <c r="N447" s="24" t="str">
        <f>IFERROR(IF(INDEX(使用レシピ!O:O,MATCH(テンプレート!$C447,使用レシピ!$E:$E,0))&lt;&gt;0,INDEX(使用レシピ!O:O,MATCH(テンプレート!$C447,使用レシピ!$E:$E,0)),""),"")</f>
        <v/>
      </c>
      <c r="O447" s="36" t="str">
        <f>IFERROR(IF(INDEX(使用レシピ!P:P,MATCH(テンプレート!$C447,使用レシピ!$E:$E,0))&lt;&gt;0,INDEX(使用レシピ!P:P,MATCH(テンプレート!$C447,使用レシピ!$E:$E,0)),""),"")</f>
        <v/>
      </c>
      <c r="P447" t="str">
        <f t="shared" si="36"/>
        <v/>
      </c>
      <c r="Q447" t="str">
        <f t="shared" si="37"/>
        <v/>
      </c>
      <c r="R447" t="str">
        <f t="shared" si="38"/>
        <v/>
      </c>
      <c r="S447" t="str">
        <f t="shared" si="39"/>
        <v/>
      </c>
      <c r="T447" s="24" t="str">
        <f t="shared" si="40"/>
        <v/>
      </c>
    </row>
    <row r="448" spans="2:20" x14ac:dyDescent="0.4">
      <c r="B448" s="49" t="str" cm="1">
        <f t="array" ref="B448">IFERROR((INDEX($P$4:$T$1000,MATCH(VALUE(LEFT($A448,LEN($A448)-1)),$A$4:$A$1000,0),VALUE(RIGHT($A448,1)))/ INDEX($O$4:$O$1000,MATCH(VALUE(LEFT($A448,LEN($A448)-1)),$A$4:$A$1000))) * INDEX($B$4:$B$1000,MATCH(VALUE(LEFT($A448,LEN($A448)-1)),$A$4:$A$1000)),"")</f>
        <v/>
      </c>
      <c r="C448" s="2" t="str" cm="1">
        <f t="array" ref="C448">IFERROR(IF(INDEX($D$4:$H$1000,MATCH(VALUE(LEFT($A448,LEN($A448)-1)),$A$4:$A$1000,0),VALUE(RIGHT($A448,1)))= 0,"",INDEX($D$4:$H$1000,MATCH(VALUE(LEFT($A448,LEN($A448)-1)),$A$4:$A$1000,0),VALUE(RIGHT($A448,1)))),"")</f>
        <v/>
      </c>
      <c r="D448" s="23" t="str">
        <f>IFERROR(IF(INDEX(使用レシピ!F:F,MATCH(テンプレート!$C448,使用レシピ!$E:$E,0))&lt;&gt;0,INDEX(使用レシピ!F:F,MATCH(テンプレート!$C448,使用レシピ!$E:$E,0)),""),"")</f>
        <v/>
      </c>
      <c r="E448" t="str">
        <f>IFERROR(IF(INDEX(使用レシピ!G:G,MATCH(テンプレート!$C448,使用レシピ!$E:$E,0))&lt;&gt;0,INDEX(使用レシピ!G:G,MATCH(テンプレート!$C448,使用レシピ!$E:$E,0)),""),"")</f>
        <v/>
      </c>
      <c r="F448" t="str">
        <f>IFERROR(IF(INDEX(使用レシピ!H:H,MATCH(テンプレート!$C448,使用レシピ!$E:$E,0))&lt;&gt;0,INDEX(使用レシピ!H:H,MATCH(テンプレート!$C448,使用レシピ!$E:$E,0)),""),"")</f>
        <v/>
      </c>
      <c r="G448" t="str">
        <f>IFERROR(IF(INDEX(使用レシピ!I:I,MATCH(テンプレート!$C448,使用レシピ!$E:$E,0))&lt;&gt;0,INDEX(使用レシピ!I:I,MATCH(テンプレート!$C448,使用レシピ!$E:$E,0)),""),"")</f>
        <v/>
      </c>
      <c r="H448" s="24" t="str">
        <f>IFERROR(IF(INDEX(使用レシピ!J:J,MATCH(テンプレート!$C448,使用レシピ!$E:$E,0))&lt;&gt;0,INDEX(使用レシピ!J:J,MATCH(テンプレート!$C448,使用レシピ!$E:$E,0)),""),"")</f>
        <v/>
      </c>
      <c r="I448" s="36" t="str">
        <f>IFERROR(IF(INDEX(使用レシピ!P:P,MATCH(テンプレート!$C448,使用レシピ!$E:$E,0))&lt;&gt;0,INDEX(使用レシピ!P:P,MATCH(テンプレート!$C448,使用レシピ!$E:$E,0)),""),"")</f>
        <v/>
      </c>
      <c r="J448" t="str">
        <f>IFERROR(IF(INDEX(使用レシピ!K:K,MATCH(テンプレート!$C448,使用レシピ!$E:$E,0))&lt;&gt;0,INDEX(使用レシピ!K:K,MATCH(テンプレート!$C448,使用レシピ!$E:$E,0)),""),"")</f>
        <v/>
      </c>
      <c r="K448" t="str">
        <f>IFERROR(IF(INDEX(使用レシピ!L:L,MATCH(テンプレート!$C448,使用レシピ!$E:$E,0))&lt;&gt;0,INDEX(使用レシピ!L:L,MATCH(テンプレート!$C448,使用レシピ!$E:$E,0)),""),"")</f>
        <v/>
      </c>
      <c r="L448" t="str">
        <f>IFERROR(IF(INDEX(使用レシピ!M:M,MATCH(テンプレート!$C448,使用レシピ!$E:$E,0))&lt;&gt;0,INDEX(使用レシピ!M:M,MATCH(テンプレート!$C448,使用レシピ!$E:$E,0)),""),"")</f>
        <v/>
      </c>
      <c r="M448" t="str">
        <f>IFERROR(IF(INDEX(使用レシピ!N:N,MATCH(テンプレート!$C448,使用レシピ!$E:$E,0))&lt;&gt;0,INDEX(使用レシピ!N:N,MATCH(テンプレート!$C448,使用レシピ!$E:$E,0)),""),"")</f>
        <v/>
      </c>
      <c r="N448" s="24" t="str">
        <f>IFERROR(IF(INDEX(使用レシピ!O:O,MATCH(テンプレート!$C448,使用レシピ!$E:$E,0))&lt;&gt;0,INDEX(使用レシピ!O:O,MATCH(テンプレート!$C448,使用レシピ!$E:$E,0)),""),"")</f>
        <v/>
      </c>
      <c r="O448" s="36" t="str">
        <f>IFERROR(IF(INDEX(使用レシピ!P:P,MATCH(テンプレート!$C448,使用レシピ!$E:$E,0))&lt;&gt;0,INDEX(使用レシピ!P:P,MATCH(テンプレート!$C448,使用レシピ!$E:$E,0)),""),"")</f>
        <v/>
      </c>
      <c r="P448" t="str">
        <f t="shared" si="36"/>
        <v/>
      </c>
      <c r="Q448" t="str">
        <f t="shared" si="37"/>
        <v/>
      </c>
      <c r="R448" t="str">
        <f t="shared" si="38"/>
        <v/>
      </c>
      <c r="S448" t="str">
        <f t="shared" si="39"/>
        <v/>
      </c>
      <c r="T448" s="24" t="str">
        <f t="shared" si="40"/>
        <v/>
      </c>
    </row>
    <row r="449" spans="2:20" x14ac:dyDescent="0.4">
      <c r="B449" s="49" t="str" cm="1">
        <f t="array" ref="B449">IFERROR((INDEX($P$4:$T$1000,MATCH(VALUE(LEFT($A449,LEN($A449)-1)),$A$4:$A$1000,0),VALUE(RIGHT($A449,1)))/ INDEX($O$4:$O$1000,MATCH(VALUE(LEFT($A449,LEN($A449)-1)),$A$4:$A$1000))) * INDEX($B$4:$B$1000,MATCH(VALUE(LEFT($A449,LEN($A449)-1)),$A$4:$A$1000)),"")</f>
        <v/>
      </c>
      <c r="C449" s="2" t="str" cm="1">
        <f t="array" ref="C449">IFERROR(IF(INDEX($D$4:$H$1000,MATCH(VALUE(LEFT($A449,LEN($A449)-1)),$A$4:$A$1000,0),VALUE(RIGHT($A449,1)))= 0,"",INDEX($D$4:$H$1000,MATCH(VALUE(LEFT($A449,LEN($A449)-1)),$A$4:$A$1000,0),VALUE(RIGHT($A449,1)))),"")</f>
        <v/>
      </c>
      <c r="D449" s="23" t="str">
        <f>IFERROR(IF(INDEX(使用レシピ!F:F,MATCH(テンプレート!$C449,使用レシピ!$E:$E,0))&lt;&gt;0,INDEX(使用レシピ!F:F,MATCH(テンプレート!$C449,使用レシピ!$E:$E,0)),""),"")</f>
        <v/>
      </c>
      <c r="E449" t="str">
        <f>IFERROR(IF(INDEX(使用レシピ!G:G,MATCH(テンプレート!$C449,使用レシピ!$E:$E,0))&lt;&gt;0,INDEX(使用レシピ!G:G,MATCH(テンプレート!$C449,使用レシピ!$E:$E,0)),""),"")</f>
        <v/>
      </c>
      <c r="F449" t="str">
        <f>IFERROR(IF(INDEX(使用レシピ!H:H,MATCH(テンプレート!$C449,使用レシピ!$E:$E,0))&lt;&gt;0,INDEX(使用レシピ!H:H,MATCH(テンプレート!$C449,使用レシピ!$E:$E,0)),""),"")</f>
        <v/>
      </c>
      <c r="G449" t="str">
        <f>IFERROR(IF(INDEX(使用レシピ!I:I,MATCH(テンプレート!$C449,使用レシピ!$E:$E,0))&lt;&gt;0,INDEX(使用レシピ!I:I,MATCH(テンプレート!$C449,使用レシピ!$E:$E,0)),""),"")</f>
        <v/>
      </c>
      <c r="H449" s="24" t="str">
        <f>IFERROR(IF(INDEX(使用レシピ!J:J,MATCH(テンプレート!$C449,使用レシピ!$E:$E,0))&lt;&gt;0,INDEX(使用レシピ!J:J,MATCH(テンプレート!$C449,使用レシピ!$E:$E,0)),""),"")</f>
        <v/>
      </c>
      <c r="I449" s="36" t="str">
        <f>IFERROR(IF(INDEX(使用レシピ!P:P,MATCH(テンプレート!$C449,使用レシピ!$E:$E,0))&lt;&gt;0,INDEX(使用レシピ!P:P,MATCH(テンプレート!$C449,使用レシピ!$E:$E,0)),""),"")</f>
        <v/>
      </c>
      <c r="J449" t="str">
        <f>IFERROR(IF(INDEX(使用レシピ!K:K,MATCH(テンプレート!$C449,使用レシピ!$E:$E,0))&lt;&gt;0,INDEX(使用レシピ!K:K,MATCH(テンプレート!$C449,使用レシピ!$E:$E,0)),""),"")</f>
        <v/>
      </c>
      <c r="K449" t="str">
        <f>IFERROR(IF(INDEX(使用レシピ!L:L,MATCH(テンプレート!$C449,使用レシピ!$E:$E,0))&lt;&gt;0,INDEX(使用レシピ!L:L,MATCH(テンプレート!$C449,使用レシピ!$E:$E,0)),""),"")</f>
        <v/>
      </c>
      <c r="L449" t="str">
        <f>IFERROR(IF(INDEX(使用レシピ!M:M,MATCH(テンプレート!$C449,使用レシピ!$E:$E,0))&lt;&gt;0,INDEX(使用レシピ!M:M,MATCH(テンプレート!$C449,使用レシピ!$E:$E,0)),""),"")</f>
        <v/>
      </c>
      <c r="M449" t="str">
        <f>IFERROR(IF(INDEX(使用レシピ!N:N,MATCH(テンプレート!$C449,使用レシピ!$E:$E,0))&lt;&gt;0,INDEX(使用レシピ!N:N,MATCH(テンプレート!$C449,使用レシピ!$E:$E,0)),""),"")</f>
        <v/>
      </c>
      <c r="N449" s="24" t="str">
        <f>IFERROR(IF(INDEX(使用レシピ!O:O,MATCH(テンプレート!$C449,使用レシピ!$E:$E,0))&lt;&gt;0,INDEX(使用レシピ!O:O,MATCH(テンプレート!$C449,使用レシピ!$E:$E,0)),""),"")</f>
        <v/>
      </c>
      <c r="O449" s="36" t="str">
        <f>IFERROR(IF(INDEX(使用レシピ!P:P,MATCH(テンプレート!$C449,使用レシピ!$E:$E,0))&lt;&gt;0,INDEX(使用レシピ!P:P,MATCH(テンプレート!$C449,使用レシピ!$E:$E,0)),""),"")</f>
        <v/>
      </c>
      <c r="P449" t="str">
        <f t="shared" si="36"/>
        <v/>
      </c>
      <c r="Q449" t="str">
        <f t="shared" si="37"/>
        <v/>
      </c>
      <c r="R449" t="str">
        <f t="shared" si="38"/>
        <v/>
      </c>
      <c r="S449" t="str">
        <f t="shared" si="39"/>
        <v/>
      </c>
      <c r="T449" s="24" t="str">
        <f t="shared" si="40"/>
        <v/>
      </c>
    </row>
    <row r="450" spans="2:20" x14ac:dyDescent="0.4">
      <c r="B450" s="49" t="str" cm="1">
        <f t="array" ref="B450">IFERROR((INDEX($P$4:$T$1000,MATCH(VALUE(LEFT($A450,LEN($A450)-1)),$A$4:$A$1000,0),VALUE(RIGHT($A450,1)))/ INDEX($O$4:$O$1000,MATCH(VALUE(LEFT($A450,LEN($A450)-1)),$A$4:$A$1000))) * INDEX($B$4:$B$1000,MATCH(VALUE(LEFT($A450,LEN($A450)-1)),$A$4:$A$1000)),"")</f>
        <v/>
      </c>
      <c r="C450" s="2" t="str" cm="1">
        <f t="array" ref="C450">IFERROR(IF(INDEX($D$4:$H$1000,MATCH(VALUE(LEFT($A450,LEN($A450)-1)),$A$4:$A$1000,0),VALUE(RIGHT($A450,1)))= 0,"",INDEX($D$4:$H$1000,MATCH(VALUE(LEFT($A450,LEN($A450)-1)),$A$4:$A$1000,0),VALUE(RIGHT($A450,1)))),"")</f>
        <v/>
      </c>
      <c r="D450" s="23" t="str">
        <f>IFERROR(IF(INDEX(使用レシピ!F:F,MATCH(テンプレート!$C450,使用レシピ!$E:$E,0))&lt;&gt;0,INDEX(使用レシピ!F:F,MATCH(テンプレート!$C450,使用レシピ!$E:$E,0)),""),"")</f>
        <v/>
      </c>
      <c r="E450" t="str">
        <f>IFERROR(IF(INDEX(使用レシピ!G:G,MATCH(テンプレート!$C450,使用レシピ!$E:$E,0))&lt;&gt;0,INDEX(使用レシピ!G:G,MATCH(テンプレート!$C450,使用レシピ!$E:$E,0)),""),"")</f>
        <v/>
      </c>
      <c r="F450" t="str">
        <f>IFERROR(IF(INDEX(使用レシピ!H:H,MATCH(テンプレート!$C450,使用レシピ!$E:$E,0))&lt;&gt;0,INDEX(使用レシピ!H:H,MATCH(テンプレート!$C450,使用レシピ!$E:$E,0)),""),"")</f>
        <v/>
      </c>
      <c r="G450" t="str">
        <f>IFERROR(IF(INDEX(使用レシピ!I:I,MATCH(テンプレート!$C450,使用レシピ!$E:$E,0))&lt;&gt;0,INDEX(使用レシピ!I:I,MATCH(テンプレート!$C450,使用レシピ!$E:$E,0)),""),"")</f>
        <v/>
      </c>
      <c r="H450" s="24" t="str">
        <f>IFERROR(IF(INDEX(使用レシピ!J:J,MATCH(テンプレート!$C450,使用レシピ!$E:$E,0))&lt;&gt;0,INDEX(使用レシピ!J:J,MATCH(テンプレート!$C450,使用レシピ!$E:$E,0)),""),"")</f>
        <v/>
      </c>
      <c r="I450" s="36" t="str">
        <f>IFERROR(IF(INDEX(使用レシピ!P:P,MATCH(テンプレート!$C450,使用レシピ!$E:$E,0))&lt;&gt;0,INDEX(使用レシピ!P:P,MATCH(テンプレート!$C450,使用レシピ!$E:$E,0)),""),"")</f>
        <v/>
      </c>
      <c r="J450" t="str">
        <f>IFERROR(IF(INDEX(使用レシピ!K:K,MATCH(テンプレート!$C450,使用レシピ!$E:$E,0))&lt;&gt;0,INDEX(使用レシピ!K:K,MATCH(テンプレート!$C450,使用レシピ!$E:$E,0)),""),"")</f>
        <v/>
      </c>
      <c r="K450" t="str">
        <f>IFERROR(IF(INDEX(使用レシピ!L:L,MATCH(テンプレート!$C450,使用レシピ!$E:$E,0))&lt;&gt;0,INDEX(使用レシピ!L:L,MATCH(テンプレート!$C450,使用レシピ!$E:$E,0)),""),"")</f>
        <v/>
      </c>
      <c r="L450" t="str">
        <f>IFERROR(IF(INDEX(使用レシピ!M:M,MATCH(テンプレート!$C450,使用レシピ!$E:$E,0))&lt;&gt;0,INDEX(使用レシピ!M:M,MATCH(テンプレート!$C450,使用レシピ!$E:$E,0)),""),"")</f>
        <v/>
      </c>
      <c r="M450" t="str">
        <f>IFERROR(IF(INDEX(使用レシピ!N:N,MATCH(テンプレート!$C450,使用レシピ!$E:$E,0))&lt;&gt;0,INDEX(使用レシピ!N:N,MATCH(テンプレート!$C450,使用レシピ!$E:$E,0)),""),"")</f>
        <v/>
      </c>
      <c r="N450" s="24" t="str">
        <f>IFERROR(IF(INDEX(使用レシピ!O:O,MATCH(テンプレート!$C450,使用レシピ!$E:$E,0))&lt;&gt;0,INDEX(使用レシピ!O:O,MATCH(テンプレート!$C450,使用レシピ!$E:$E,0)),""),"")</f>
        <v/>
      </c>
      <c r="O450" s="36" t="str">
        <f>IFERROR(IF(INDEX(使用レシピ!P:P,MATCH(テンプレート!$C450,使用レシピ!$E:$E,0))&lt;&gt;0,INDEX(使用レシピ!P:P,MATCH(テンプレート!$C450,使用レシピ!$E:$E,0)),""),"")</f>
        <v/>
      </c>
      <c r="P450" t="str">
        <f t="shared" si="36"/>
        <v/>
      </c>
      <c r="Q450" t="str">
        <f t="shared" si="37"/>
        <v/>
      </c>
      <c r="R450" t="str">
        <f t="shared" si="38"/>
        <v/>
      </c>
      <c r="S450" t="str">
        <f t="shared" si="39"/>
        <v/>
      </c>
      <c r="T450" s="24" t="str">
        <f t="shared" si="40"/>
        <v/>
      </c>
    </row>
    <row r="451" spans="2:20" x14ac:dyDescent="0.4">
      <c r="B451" s="49" t="str" cm="1">
        <f t="array" ref="B451">IFERROR((INDEX($P$4:$T$1000,MATCH(VALUE(LEFT($A451,LEN($A451)-1)),$A$4:$A$1000,0),VALUE(RIGHT($A451,1)))/ INDEX($O$4:$O$1000,MATCH(VALUE(LEFT($A451,LEN($A451)-1)),$A$4:$A$1000))) * INDEX($B$4:$B$1000,MATCH(VALUE(LEFT($A451,LEN($A451)-1)),$A$4:$A$1000)),"")</f>
        <v/>
      </c>
      <c r="C451" s="2" t="str" cm="1">
        <f t="array" ref="C451">IFERROR(IF(INDEX($D$4:$H$1000,MATCH(VALUE(LEFT($A451,LEN($A451)-1)),$A$4:$A$1000,0),VALUE(RIGHT($A451,1)))= 0,"",INDEX($D$4:$H$1000,MATCH(VALUE(LEFT($A451,LEN($A451)-1)),$A$4:$A$1000,0),VALUE(RIGHT($A451,1)))),"")</f>
        <v/>
      </c>
      <c r="D451" s="23" t="str">
        <f>IFERROR(IF(INDEX(使用レシピ!F:F,MATCH(テンプレート!$C451,使用レシピ!$E:$E,0))&lt;&gt;0,INDEX(使用レシピ!F:F,MATCH(テンプレート!$C451,使用レシピ!$E:$E,0)),""),"")</f>
        <v/>
      </c>
      <c r="E451" t="str">
        <f>IFERROR(IF(INDEX(使用レシピ!G:G,MATCH(テンプレート!$C451,使用レシピ!$E:$E,0))&lt;&gt;0,INDEX(使用レシピ!G:G,MATCH(テンプレート!$C451,使用レシピ!$E:$E,0)),""),"")</f>
        <v/>
      </c>
      <c r="F451" t="str">
        <f>IFERROR(IF(INDEX(使用レシピ!H:H,MATCH(テンプレート!$C451,使用レシピ!$E:$E,0))&lt;&gt;0,INDEX(使用レシピ!H:H,MATCH(テンプレート!$C451,使用レシピ!$E:$E,0)),""),"")</f>
        <v/>
      </c>
      <c r="G451" t="str">
        <f>IFERROR(IF(INDEX(使用レシピ!I:I,MATCH(テンプレート!$C451,使用レシピ!$E:$E,0))&lt;&gt;0,INDEX(使用レシピ!I:I,MATCH(テンプレート!$C451,使用レシピ!$E:$E,0)),""),"")</f>
        <v/>
      </c>
      <c r="H451" s="24" t="str">
        <f>IFERROR(IF(INDEX(使用レシピ!J:J,MATCH(テンプレート!$C451,使用レシピ!$E:$E,0))&lt;&gt;0,INDEX(使用レシピ!J:J,MATCH(テンプレート!$C451,使用レシピ!$E:$E,0)),""),"")</f>
        <v/>
      </c>
      <c r="I451" s="36" t="str">
        <f>IFERROR(IF(INDEX(使用レシピ!P:P,MATCH(テンプレート!$C451,使用レシピ!$E:$E,0))&lt;&gt;0,INDEX(使用レシピ!P:P,MATCH(テンプレート!$C451,使用レシピ!$E:$E,0)),""),"")</f>
        <v/>
      </c>
      <c r="J451" t="str">
        <f>IFERROR(IF(INDEX(使用レシピ!K:K,MATCH(テンプレート!$C451,使用レシピ!$E:$E,0))&lt;&gt;0,INDEX(使用レシピ!K:K,MATCH(テンプレート!$C451,使用レシピ!$E:$E,0)),""),"")</f>
        <v/>
      </c>
      <c r="K451" t="str">
        <f>IFERROR(IF(INDEX(使用レシピ!L:L,MATCH(テンプレート!$C451,使用レシピ!$E:$E,0))&lt;&gt;0,INDEX(使用レシピ!L:L,MATCH(テンプレート!$C451,使用レシピ!$E:$E,0)),""),"")</f>
        <v/>
      </c>
      <c r="L451" t="str">
        <f>IFERROR(IF(INDEX(使用レシピ!M:M,MATCH(テンプレート!$C451,使用レシピ!$E:$E,0))&lt;&gt;0,INDEX(使用レシピ!M:M,MATCH(テンプレート!$C451,使用レシピ!$E:$E,0)),""),"")</f>
        <v/>
      </c>
      <c r="M451" t="str">
        <f>IFERROR(IF(INDEX(使用レシピ!N:N,MATCH(テンプレート!$C451,使用レシピ!$E:$E,0))&lt;&gt;0,INDEX(使用レシピ!N:N,MATCH(テンプレート!$C451,使用レシピ!$E:$E,0)),""),"")</f>
        <v/>
      </c>
      <c r="N451" s="24" t="str">
        <f>IFERROR(IF(INDEX(使用レシピ!O:O,MATCH(テンプレート!$C451,使用レシピ!$E:$E,0))&lt;&gt;0,INDEX(使用レシピ!O:O,MATCH(テンプレート!$C451,使用レシピ!$E:$E,0)),""),"")</f>
        <v/>
      </c>
      <c r="O451" s="36" t="str">
        <f>IFERROR(IF(INDEX(使用レシピ!P:P,MATCH(テンプレート!$C451,使用レシピ!$E:$E,0))&lt;&gt;0,INDEX(使用レシピ!P:P,MATCH(テンプレート!$C451,使用レシピ!$E:$E,0)),""),"")</f>
        <v/>
      </c>
      <c r="P451" t="str">
        <f t="shared" si="36"/>
        <v/>
      </c>
      <c r="Q451" t="str">
        <f t="shared" si="37"/>
        <v/>
      </c>
      <c r="R451" t="str">
        <f t="shared" si="38"/>
        <v/>
      </c>
      <c r="S451" t="str">
        <f t="shared" si="39"/>
        <v/>
      </c>
      <c r="T451" s="24" t="str">
        <f t="shared" si="40"/>
        <v/>
      </c>
    </row>
    <row r="452" spans="2:20" x14ac:dyDescent="0.4">
      <c r="B452" s="49" t="str" cm="1">
        <f t="array" ref="B452">IFERROR((INDEX($P$4:$T$1000,MATCH(VALUE(LEFT($A452,LEN($A452)-1)),$A$4:$A$1000,0),VALUE(RIGHT($A452,1)))/ INDEX($O$4:$O$1000,MATCH(VALUE(LEFT($A452,LEN($A452)-1)),$A$4:$A$1000))) * INDEX($B$4:$B$1000,MATCH(VALUE(LEFT($A452,LEN($A452)-1)),$A$4:$A$1000)),"")</f>
        <v/>
      </c>
      <c r="C452" s="2" t="str" cm="1">
        <f t="array" ref="C452">IFERROR(IF(INDEX($D$4:$H$1000,MATCH(VALUE(LEFT($A452,LEN($A452)-1)),$A$4:$A$1000,0),VALUE(RIGHT($A452,1)))= 0,"",INDEX($D$4:$H$1000,MATCH(VALUE(LEFT($A452,LEN($A452)-1)),$A$4:$A$1000,0),VALUE(RIGHT($A452,1)))),"")</f>
        <v/>
      </c>
      <c r="D452" s="23" t="str">
        <f>IFERROR(IF(INDEX(使用レシピ!F:F,MATCH(テンプレート!$C452,使用レシピ!$E:$E,0))&lt;&gt;0,INDEX(使用レシピ!F:F,MATCH(テンプレート!$C452,使用レシピ!$E:$E,0)),""),"")</f>
        <v/>
      </c>
      <c r="E452" t="str">
        <f>IFERROR(IF(INDEX(使用レシピ!G:G,MATCH(テンプレート!$C452,使用レシピ!$E:$E,0))&lt;&gt;0,INDEX(使用レシピ!G:G,MATCH(テンプレート!$C452,使用レシピ!$E:$E,0)),""),"")</f>
        <v/>
      </c>
      <c r="F452" t="str">
        <f>IFERROR(IF(INDEX(使用レシピ!H:H,MATCH(テンプレート!$C452,使用レシピ!$E:$E,0))&lt;&gt;0,INDEX(使用レシピ!H:H,MATCH(テンプレート!$C452,使用レシピ!$E:$E,0)),""),"")</f>
        <v/>
      </c>
      <c r="G452" t="str">
        <f>IFERROR(IF(INDEX(使用レシピ!I:I,MATCH(テンプレート!$C452,使用レシピ!$E:$E,0))&lt;&gt;0,INDEX(使用レシピ!I:I,MATCH(テンプレート!$C452,使用レシピ!$E:$E,0)),""),"")</f>
        <v/>
      </c>
      <c r="H452" s="24" t="str">
        <f>IFERROR(IF(INDEX(使用レシピ!J:J,MATCH(テンプレート!$C452,使用レシピ!$E:$E,0))&lt;&gt;0,INDEX(使用レシピ!J:J,MATCH(テンプレート!$C452,使用レシピ!$E:$E,0)),""),"")</f>
        <v/>
      </c>
      <c r="I452" s="36" t="str">
        <f>IFERROR(IF(INDEX(使用レシピ!P:P,MATCH(テンプレート!$C452,使用レシピ!$E:$E,0))&lt;&gt;0,INDEX(使用レシピ!P:P,MATCH(テンプレート!$C452,使用レシピ!$E:$E,0)),""),"")</f>
        <v/>
      </c>
      <c r="J452" t="str">
        <f>IFERROR(IF(INDEX(使用レシピ!K:K,MATCH(テンプレート!$C452,使用レシピ!$E:$E,0))&lt;&gt;0,INDEX(使用レシピ!K:K,MATCH(テンプレート!$C452,使用レシピ!$E:$E,0)),""),"")</f>
        <v/>
      </c>
      <c r="K452" t="str">
        <f>IFERROR(IF(INDEX(使用レシピ!L:L,MATCH(テンプレート!$C452,使用レシピ!$E:$E,0))&lt;&gt;0,INDEX(使用レシピ!L:L,MATCH(テンプレート!$C452,使用レシピ!$E:$E,0)),""),"")</f>
        <v/>
      </c>
      <c r="L452" t="str">
        <f>IFERROR(IF(INDEX(使用レシピ!M:M,MATCH(テンプレート!$C452,使用レシピ!$E:$E,0))&lt;&gt;0,INDEX(使用レシピ!M:M,MATCH(テンプレート!$C452,使用レシピ!$E:$E,0)),""),"")</f>
        <v/>
      </c>
      <c r="M452" t="str">
        <f>IFERROR(IF(INDEX(使用レシピ!N:N,MATCH(テンプレート!$C452,使用レシピ!$E:$E,0))&lt;&gt;0,INDEX(使用レシピ!N:N,MATCH(テンプレート!$C452,使用レシピ!$E:$E,0)),""),"")</f>
        <v/>
      </c>
      <c r="N452" s="24" t="str">
        <f>IFERROR(IF(INDEX(使用レシピ!O:O,MATCH(テンプレート!$C452,使用レシピ!$E:$E,0))&lt;&gt;0,INDEX(使用レシピ!O:O,MATCH(テンプレート!$C452,使用レシピ!$E:$E,0)),""),"")</f>
        <v/>
      </c>
      <c r="O452" s="36" t="str">
        <f>IFERROR(IF(INDEX(使用レシピ!P:P,MATCH(テンプレート!$C452,使用レシピ!$E:$E,0))&lt;&gt;0,INDEX(使用レシピ!P:P,MATCH(テンプレート!$C452,使用レシピ!$E:$E,0)),""),"")</f>
        <v/>
      </c>
      <c r="P452" t="str">
        <f t="shared" si="36"/>
        <v/>
      </c>
      <c r="Q452" t="str">
        <f t="shared" si="37"/>
        <v/>
      </c>
      <c r="R452" t="str">
        <f t="shared" si="38"/>
        <v/>
      </c>
      <c r="S452" t="str">
        <f t="shared" si="39"/>
        <v/>
      </c>
      <c r="T452" s="24" t="str">
        <f t="shared" si="40"/>
        <v/>
      </c>
    </row>
    <row r="453" spans="2:20" x14ac:dyDescent="0.4">
      <c r="B453" s="49" t="str" cm="1">
        <f t="array" ref="B453">IFERROR((INDEX($P$4:$T$1000,MATCH(VALUE(LEFT($A453,LEN($A453)-1)),$A$4:$A$1000,0),VALUE(RIGHT($A453,1)))/ INDEX($O$4:$O$1000,MATCH(VALUE(LEFT($A453,LEN($A453)-1)),$A$4:$A$1000))) * INDEX($B$4:$B$1000,MATCH(VALUE(LEFT($A453,LEN($A453)-1)),$A$4:$A$1000)),"")</f>
        <v/>
      </c>
      <c r="C453" s="2" t="str" cm="1">
        <f t="array" ref="C453">IFERROR(IF(INDEX($D$4:$H$1000,MATCH(VALUE(LEFT($A453,LEN($A453)-1)),$A$4:$A$1000,0),VALUE(RIGHT($A453,1)))= 0,"",INDEX($D$4:$H$1000,MATCH(VALUE(LEFT($A453,LEN($A453)-1)),$A$4:$A$1000,0),VALUE(RIGHT($A453,1)))),"")</f>
        <v/>
      </c>
      <c r="D453" s="23" t="str">
        <f>IFERROR(IF(INDEX(使用レシピ!F:F,MATCH(テンプレート!$C453,使用レシピ!$E:$E,0))&lt;&gt;0,INDEX(使用レシピ!F:F,MATCH(テンプレート!$C453,使用レシピ!$E:$E,0)),""),"")</f>
        <v/>
      </c>
      <c r="E453" t="str">
        <f>IFERROR(IF(INDEX(使用レシピ!G:G,MATCH(テンプレート!$C453,使用レシピ!$E:$E,0))&lt;&gt;0,INDEX(使用レシピ!G:G,MATCH(テンプレート!$C453,使用レシピ!$E:$E,0)),""),"")</f>
        <v/>
      </c>
      <c r="F453" t="str">
        <f>IFERROR(IF(INDEX(使用レシピ!H:H,MATCH(テンプレート!$C453,使用レシピ!$E:$E,0))&lt;&gt;0,INDEX(使用レシピ!H:H,MATCH(テンプレート!$C453,使用レシピ!$E:$E,0)),""),"")</f>
        <v/>
      </c>
      <c r="G453" t="str">
        <f>IFERROR(IF(INDEX(使用レシピ!I:I,MATCH(テンプレート!$C453,使用レシピ!$E:$E,0))&lt;&gt;0,INDEX(使用レシピ!I:I,MATCH(テンプレート!$C453,使用レシピ!$E:$E,0)),""),"")</f>
        <v/>
      </c>
      <c r="H453" s="24" t="str">
        <f>IFERROR(IF(INDEX(使用レシピ!J:J,MATCH(テンプレート!$C453,使用レシピ!$E:$E,0))&lt;&gt;0,INDEX(使用レシピ!J:J,MATCH(テンプレート!$C453,使用レシピ!$E:$E,0)),""),"")</f>
        <v/>
      </c>
      <c r="I453" s="36" t="str">
        <f>IFERROR(IF(INDEX(使用レシピ!P:P,MATCH(テンプレート!$C453,使用レシピ!$E:$E,0))&lt;&gt;0,INDEX(使用レシピ!P:P,MATCH(テンプレート!$C453,使用レシピ!$E:$E,0)),""),"")</f>
        <v/>
      </c>
      <c r="J453" t="str">
        <f>IFERROR(IF(INDEX(使用レシピ!K:K,MATCH(テンプレート!$C453,使用レシピ!$E:$E,0))&lt;&gt;0,INDEX(使用レシピ!K:K,MATCH(テンプレート!$C453,使用レシピ!$E:$E,0)),""),"")</f>
        <v/>
      </c>
      <c r="K453" t="str">
        <f>IFERROR(IF(INDEX(使用レシピ!L:L,MATCH(テンプレート!$C453,使用レシピ!$E:$E,0))&lt;&gt;0,INDEX(使用レシピ!L:L,MATCH(テンプレート!$C453,使用レシピ!$E:$E,0)),""),"")</f>
        <v/>
      </c>
      <c r="L453" t="str">
        <f>IFERROR(IF(INDEX(使用レシピ!M:M,MATCH(テンプレート!$C453,使用レシピ!$E:$E,0))&lt;&gt;0,INDEX(使用レシピ!M:M,MATCH(テンプレート!$C453,使用レシピ!$E:$E,0)),""),"")</f>
        <v/>
      </c>
      <c r="M453" t="str">
        <f>IFERROR(IF(INDEX(使用レシピ!N:N,MATCH(テンプレート!$C453,使用レシピ!$E:$E,0))&lt;&gt;0,INDEX(使用レシピ!N:N,MATCH(テンプレート!$C453,使用レシピ!$E:$E,0)),""),"")</f>
        <v/>
      </c>
      <c r="N453" s="24" t="str">
        <f>IFERROR(IF(INDEX(使用レシピ!O:O,MATCH(テンプレート!$C453,使用レシピ!$E:$E,0))&lt;&gt;0,INDEX(使用レシピ!O:O,MATCH(テンプレート!$C453,使用レシピ!$E:$E,0)),""),"")</f>
        <v/>
      </c>
      <c r="O453" s="36" t="str">
        <f>IFERROR(IF(INDEX(使用レシピ!P:P,MATCH(テンプレート!$C453,使用レシピ!$E:$E,0))&lt;&gt;0,INDEX(使用レシピ!P:P,MATCH(テンプレート!$C453,使用レシピ!$E:$E,0)),""),"")</f>
        <v/>
      </c>
      <c r="P453" t="str">
        <f t="shared" si="36"/>
        <v/>
      </c>
      <c r="Q453" t="str">
        <f t="shared" si="37"/>
        <v/>
      </c>
      <c r="R453" t="str">
        <f t="shared" si="38"/>
        <v/>
      </c>
      <c r="S453" t="str">
        <f t="shared" si="39"/>
        <v/>
      </c>
      <c r="T453" s="24" t="str">
        <f t="shared" si="40"/>
        <v/>
      </c>
    </row>
    <row r="454" spans="2:20" x14ac:dyDescent="0.4">
      <c r="B454" s="49" t="str" cm="1">
        <f t="array" ref="B454">IFERROR((INDEX($P$4:$T$1000,MATCH(VALUE(LEFT($A454,LEN($A454)-1)),$A$4:$A$1000,0),VALUE(RIGHT($A454,1)))/ INDEX($O$4:$O$1000,MATCH(VALUE(LEFT($A454,LEN($A454)-1)),$A$4:$A$1000))) * INDEX($B$4:$B$1000,MATCH(VALUE(LEFT($A454,LEN($A454)-1)),$A$4:$A$1000)),"")</f>
        <v/>
      </c>
      <c r="C454" s="2" t="str" cm="1">
        <f t="array" ref="C454">IFERROR(IF(INDEX($D$4:$H$1000,MATCH(VALUE(LEFT($A454,LEN($A454)-1)),$A$4:$A$1000,0),VALUE(RIGHT($A454,1)))= 0,"",INDEX($D$4:$H$1000,MATCH(VALUE(LEFT($A454,LEN($A454)-1)),$A$4:$A$1000,0),VALUE(RIGHT($A454,1)))),"")</f>
        <v/>
      </c>
      <c r="D454" s="23" t="str">
        <f>IFERROR(IF(INDEX(使用レシピ!F:F,MATCH(テンプレート!$C454,使用レシピ!$E:$E,0))&lt;&gt;0,INDEX(使用レシピ!F:F,MATCH(テンプレート!$C454,使用レシピ!$E:$E,0)),""),"")</f>
        <v/>
      </c>
      <c r="E454" t="str">
        <f>IFERROR(IF(INDEX(使用レシピ!G:G,MATCH(テンプレート!$C454,使用レシピ!$E:$E,0))&lt;&gt;0,INDEX(使用レシピ!G:G,MATCH(テンプレート!$C454,使用レシピ!$E:$E,0)),""),"")</f>
        <v/>
      </c>
      <c r="F454" t="str">
        <f>IFERROR(IF(INDEX(使用レシピ!H:H,MATCH(テンプレート!$C454,使用レシピ!$E:$E,0))&lt;&gt;0,INDEX(使用レシピ!H:H,MATCH(テンプレート!$C454,使用レシピ!$E:$E,0)),""),"")</f>
        <v/>
      </c>
      <c r="G454" t="str">
        <f>IFERROR(IF(INDEX(使用レシピ!I:I,MATCH(テンプレート!$C454,使用レシピ!$E:$E,0))&lt;&gt;0,INDEX(使用レシピ!I:I,MATCH(テンプレート!$C454,使用レシピ!$E:$E,0)),""),"")</f>
        <v/>
      </c>
      <c r="H454" s="24" t="str">
        <f>IFERROR(IF(INDEX(使用レシピ!J:J,MATCH(テンプレート!$C454,使用レシピ!$E:$E,0))&lt;&gt;0,INDEX(使用レシピ!J:J,MATCH(テンプレート!$C454,使用レシピ!$E:$E,0)),""),"")</f>
        <v/>
      </c>
      <c r="I454" s="36" t="str">
        <f>IFERROR(IF(INDEX(使用レシピ!P:P,MATCH(テンプレート!$C454,使用レシピ!$E:$E,0))&lt;&gt;0,INDEX(使用レシピ!P:P,MATCH(テンプレート!$C454,使用レシピ!$E:$E,0)),""),"")</f>
        <v/>
      </c>
      <c r="J454" t="str">
        <f>IFERROR(IF(INDEX(使用レシピ!K:K,MATCH(テンプレート!$C454,使用レシピ!$E:$E,0))&lt;&gt;0,INDEX(使用レシピ!K:K,MATCH(テンプレート!$C454,使用レシピ!$E:$E,0)),""),"")</f>
        <v/>
      </c>
      <c r="K454" t="str">
        <f>IFERROR(IF(INDEX(使用レシピ!L:L,MATCH(テンプレート!$C454,使用レシピ!$E:$E,0))&lt;&gt;0,INDEX(使用レシピ!L:L,MATCH(テンプレート!$C454,使用レシピ!$E:$E,0)),""),"")</f>
        <v/>
      </c>
      <c r="L454" t="str">
        <f>IFERROR(IF(INDEX(使用レシピ!M:M,MATCH(テンプレート!$C454,使用レシピ!$E:$E,0))&lt;&gt;0,INDEX(使用レシピ!M:M,MATCH(テンプレート!$C454,使用レシピ!$E:$E,0)),""),"")</f>
        <v/>
      </c>
      <c r="M454" t="str">
        <f>IFERROR(IF(INDEX(使用レシピ!N:N,MATCH(テンプレート!$C454,使用レシピ!$E:$E,0))&lt;&gt;0,INDEX(使用レシピ!N:N,MATCH(テンプレート!$C454,使用レシピ!$E:$E,0)),""),"")</f>
        <v/>
      </c>
      <c r="N454" s="24" t="str">
        <f>IFERROR(IF(INDEX(使用レシピ!O:O,MATCH(テンプレート!$C454,使用レシピ!$E:$E,0))&lt;&gt;0,INDEX(使用レシピ!O:O,MATCH(テンプレート!$C454,使用レシピ!$E:$E,0)),""),"")</f>
        <v/>
      </c>
      <c r="O454" s="36" t="str">
        <f>IFERROR(IF(INDEX(使用レシピ!P:P,MATCH(テンプレート!$C454,使用レシピ!$E:$E,0))&lt;&gt;0,INDEX(使用レシピ!P:P,MATCH(テンプレート!$C454,使用レシピ!$E:$E,0)),""),"")</f>
        <v/>
      </c>
      <c r="P454" t="str">
        <f t="shared" si="36"/>
        <v/>
      </c>
      <c r="Q454" t="str">
        <f t="shared" si="37"/>
        <v/>
      </c>
      <c r="R454" t="str">
        <f t="shared" si="38"/>
        <v/>
      </c>
      <c r="S454" t="str">
        <f t="shared" si="39"/>
        <v/>
      </c>
      <c r="T454" s="24" t="str">
        <f t="shared" si="40"/>
        <v/>
      </c>
    </row>
    <row r="455" spans="2:20" x14ac:dyDescent="0.4">
      <c r="B455" s="49" t="str" cm="1">
        <f t="array" ref="B455">IFERROR((INDEX($P$4:$T$1000,MATCH(VALUE(LEFT($A455,LEN($A455)-1)),$A$4:$A$1000,0),VALUE(RIGHT($A455,1)))/ INDEX($O$4:$O$1000,MATCH(VALUE(LEFT($A455,LEN($A455)-1)),$A$4:$A$1000))) * INDEX($B$4:$B$1000,MATCH(VALUE(LEFT($A455,LEN($A455)-1)),$A$4:$A$1000)),"")</f>
        <v/>
      </c>
      <c r="C455" s="2" t="str" cm="1">
        <f t="array" ref="C455">IFERROR(IF(INDEX($D$4:$H$1000,MATCH(VALUE(LEFT($A455,LEN($A455)-1)),$A$4:$A$1000,0),VALUE(RIGHT($A455,1)))= 0,"",INDEX($D$4:$H$1000,MATCH(VALUE(LEFT($A455,LEN($A455)-1)),$A$4:$A$1000,0),VALUE(RIGHT($A455,1)))),"")</f>
        <v/>
      </c>
      <c r="D455" s="23" t="str">
        <f>IFERROR(IF(INDEX(使用レシピ!F:F,MATCH(テンプレート!$C455,使用レシピ!$E:$E,0))&lt;&gt;0,INDEX(使用レシピ!F:F,MATCH(テンプレート!$C455,使用レシピ!$E:$E,0)),""),"")</f>
        <v/>
      </c>
      <c r="E455" t="str">
        <f>IFERROR(IF(INDEX(使用レシピ!G:G,MATCH(テンプレート!$C455,使用レシピ!$E:$E,0))&lt;&gt;0,INDEX(使用レシピ!G:G,MATCH(テンプレート!$C455,使用レシピ!$E:$E,0)),""),"")</f>
        <v/>
      </c>
      <c r="F455" t="str">
        <f>IFERROR(IF(INDEX(使用レシピ!H:H,MATCH(テンプレート!$C455,使用レシピ!$E:$E,0))&lt;&gt;0,INDEX(使用レシピ!H:H,MATCH(テンプレート!$C455,使用レシピ!$E:$E,0)),""),"")</f>
        <v/>
      </c>
      <c r="G455" t="str">
        <f>IFERROR(IF(INDEX(使用レシピ!I:I,MATCH(テンプレート!$C455,使用レシピ!$E:$E,0))&lt;&gt;0,INDEX(使用レシピ!I:I,MATCH(テンプレート!$C455,使用レシピ!$E:$E,0)),""),"")</f>
        <v/>
      </c>
      <c r="H455" s="24" t="str">
        <f>IFERROR(IF(INDEX(使用レシピ!J:J,MATCH(テンプレート!$C455,使用レシピ!$E:$E,0))&lt;&gt;0,INDEX(使用レシピ!J:J,MATCH(テンプレート!$C455,使用レシピ!$E:$E,0)),""),"")</f>
        <v/>
      </c>
      <c r="I455" s="36" t="str">
        <f>IFERROR(IF(INDEX(使用レシピ!P:P,MATCH(テンプレート!$C455,使用レシピ!$E:$E,0))&lt;&gt;0,INDEX(使用レシピ!P:P,MATCH(テンプレート!$C455,使用レシピ!$E:$E,0)),""),"")</f>
        <v/>
      </c>
      <c r="J455" t="str">
        <f>IFERROR(IF(INDEX(使用レシピ!K:K,MATCH(テンプレート!$C455,使用レシピ!$E:$E,0))&lt;&gt;0,INDEX(使用レシピ!K:K,MATCH(テンプレート!$C455,使用レシピ!$E:$E,0)),""),"")</f>
        <v/>
      </c>
      <c r="K455" t="str">
        <f>IFERROR(IF(INDEX(使用レシピ!L:L,MATCH(テンプレート!$C455,使用レシピ!$E:$E,0))&lt;&gt;0,INDEX(使用レシピ!L:L,MATCH(テンプレート!$C455,使用レシピ!$E:$E,0)),""),"")</f>
        <v/>
      </c>
      <c r="L455" t="str">
        <f>IFERROR(IF(INDEX(使用レシピ!M:M,MATCH(テンプレート!$C455,使用レシピ!$E:$E,0))&lt;&gt;0,INDEX(使用レシピ!M:M,MATCH(テンプレート!$C455,使用レシピ!$E:$E,0)),""),"")</f>
        <v/>
      </c>
      <c r="M455" t="str">
        <f>IFERROR(IF(INDEX(使用レシピ!N:N,MATCH(テンプレート!$C455,使用レシピ!$E:$E,0))&lt;&gt;0,INDEX(使用レシピ!N:N,MATCH(テンプレート!$C455,使用レシピ!$E:$E,0)),""),"")</f>
        <v/>
      </c>
      <c r="N455" s="24" t="str">
        <f>IFERROR(IF(INDEX(使用レシピ!O:O,MATCH(テンプレート!$C455,使用レシピ!$E:$E,0))&lt;&gt;0,INDEX(使用レシピ!O:O,MATCH(テンプレート!$C455,使用レシピ!$E:$E,0)),""),"")</f>
        <v/>
      </c>
      <c r="O455" s="36" t="str">
        <f>IFERROR(IF(INDEX(使用レシピ!P:P,MATCH(テンプレート!$C455,使用レシピ!$E:$E,0))&lt;&gt;0,INDEX(使用レシピ!P:P,MATCH(テンプレート!$C455,使用レシピ!$E:$E,0)),""),"")</f>
        <v/>
      </c>
      <c r="P455" t="str">
        <f t="shared" si="36"/>
        <v/>
      </c>
      <c r="Q455" t="str">
        <f t="shared" si="37"/>
        <v/>
      </c>
      <c r="R455" t="str">
        <f t="shared" si="38"/>
        <v/>
      </c>
      <c r="S455" t="str">
        <f t="shared" si="39"/>
        <v/>
      </c>
      <c r="T455" s="24" t="str">
        <f t="shared" si="40"/>
        <v/>
      </c>
    </row>
    <row r="456" spans="2:20" x14ac:dyDescent="0.4">
      <c r="B456" s="49" t="str" cm="1">
        <f t="array" ref="B456">IFERROR((INDEX($P$4:$T$1000,MATCH(VALUE(LEFT($A456,LEN($A456)-1)),$A$4:$A$1000,0),VALUE(RIGHT($A456,1)))/ INDEX($O$4:$O$1000,MATCH(VALUE(LEFT($A456,LEN($A456)-1)),$A$4:$A$1000))) * INDEX($B$4:$B$1000,MATCH(VALUE(LEFT($A456,LEN($A456)-1)),$A$4:$A$1000)),"")</f>
        <v/>
      </c>
      <c r="C456" s="2" t="str" cm="1">
        <f t="array" ref="C456">IFERROR(IF(INDEX($D$4:$H$1000,MATCH(VALUE(LEFT($A456,LEN($A456)-1)),$A$4:$A$1000,0),VALUE(RIGHT($A456,1)))= 0,"",INDEX($D$4:$H$1000,MATCH(VALUE(LEFT($A456,LEN($A456)-1)),$A$4:$A$1000,0),VALUE(RIGHT($A456,1)))),"")</f>
        <v/>
      </c>
      <c r="D456" s="23" t="str">
        <f>IFERROR(IF(INDEX(使用レシピ!F:F,MATCH(テンプレート!$C456,使用レシピ!$E:$E,0))&lt;&gt;0,INDEX(使用レシピ!F:F,MATCH(テンプレート!$C456,使用レシピ!$E:$E,0)),""),"")</f>
        <v/>
      </c>
      <c r="E456" t="str">
        <f>IFERROR(IF(INDEX(使用レシピ!G:G,MATCH(テンプレート!$C456,使用レシピ!$E:$E,0))&lt;&gt;0,INDEX(使用レシピ!G:G,MATCH(テンプレート!$C456,使用レシピ!$E:$E,0)),""),"")</f>
        <v/>
      </c>
      <c r="F456" t="str">
        <f>IFERROR(IF(INDEX(使用レシピ!H:H,MATCH(テンプレート!$C456,使用レシピ!$E:$E,0))&lt;&gt;0,INDEX(使用レシピ!H:H,MATCH(テンプレート!$C456,使用レシピ!$E:$E,0)),""),"")</f>
        <v/>
      </c>
      <c r="G456" t="str">
        <f>IFERROR(IF(INDEX(使用レシピ!I:I,MATCH(テンプレート!$C456,使用レシピ!$E:$E,0))&lt;&gt;0,INDEX(使用レシピ!I:I,MATCH(テンプレート!$C456,使用レシピ!$E:$E,0)),""),"")</f>
        <v/>
      </c>
      <c r="H456" s="24" t="str">
        <f>IFERROR(IF(INDEX(使用レシピ!J:J,MATCH(テンプレート!$C456,使用レシピ!$E:$E,0))&lt;&gt;0,INDEX(使用レシピ!J:J,MATCH(テンプレート!$C456,使用レシピ!$E:$E,0)),""),"")</f>
        <v/>
      </c>
      <c r="I456" s="36" t="str">
        <f>IFERROR(IF(INDEX(使用レシピ!P:P,MATCH(テンプレート!$C456,使用レシピ!$E:$E,0))&lt;&gt;0,INDEX(使用レシピ!P:P,MATCH(テンプレート!$C456,使用レシピ!$E:$E,0)),""),"")</f>
        <v/>
      </c>
      <c r="J456" t="str">
        <f>IFERROR(IF(INDEX(使用レシピ!K:K,MATCH(テンプレート!$C456,使用レシピ!$E:$E,0))&lt;&gt;0,INDEX(使用レシピ!K:K,MATCH(テンプレート!$C456,使用レシピ!$E:$E,0)),""),"")</f>
        <v/>
      </c>
      <c r="K456" t="str">
        <f>IFERROR(IF(INDEX(使用レシピ!L:L,MATCH(テンプレート!$C456,使用レシピ!$E:$E,0))&lt;&gt;0,INDEX(使用レシピ!L:L,MATCH(テンプレート!$C456,使用レシピ!$E:$E,0)),""),"")</f>
        <v/>
      </c>
      <c r="L456" t="str">
        <f>IFERROR(IF(INDEX(使用レシピ!M:M,MATCH(テンプレート!$C456,使用レシピ!$E:$E,0))&lt;&gt;0,INDEX(使用レシピ!M:M,MATCH(テンプレート!$C456,使用レシピ!$E:$E,0)),""),"")</f>
        <v/>
      </c>
      <c r="M456" t="str">
        <f>IFERROR(IF(INDEX(使用レシピ!N:N,MATCH(テンプレート!$C456,使用レシピ!$E:$E,0))&lt;&gt;0,INDEX(使用レシピ!N:N,MATCH(テンプレート!$C456,使用レシピ!$E:$E,0)),""),"")</f>
        <v/>
      </c>
      <c r="N456" s="24" t="str">
        <f>IFERROR(IF(INDEX(使用レシピ!O:O,MATCH(テンプレート!$C456,使用レシピ!$E:$E,0))&lt;&gt;0,INDEX(使用レシピ!O:O,MATCH(テンプレート!$C456,使用レシピ!$E:$E,0)),""),"")</f>
        <v/>
      </c>
      <c r="O456" s="36" t="str">
        <f>IFERROR(IF(INDEX(使用レシピ!P:P,MATCH(テンプレート!$C456,使用レシピ!$E:$E,0))&lt;&gt;0,INDEX(使用レシピ!P:P,MATCH(テンプレート!$C456,使用レシピ!$E:$E,0)),""),"")</f>
        <v/>
      </c>
      <c r="P456" t="str">
        <f t="shared" si="36"/>
        <v/>
      </c>
      <c r="Q456" t="str">
        <f t="shared" si="37"/>
        <v/>
      </c>
      <c r="R456" t="str">
        <f t="shared" si="38"/>
        <v/>
      </c>
      <c r="S456" t="str">
        <f t="shared" si="39"/>
        <v/>
      </c>
      <c r="T456" s="24" t="str">
        <f t="shared" si="40"/>
        <v/>
      </c>
    </row>
    <row r="457" spans="2:20" x14ac:dyDescent="0.4">
      <c r="B457" s="49" t="str" cm="1">
        <f t="array" ref="B457">IFERROR((INDEX($P$4:$T$1000,MATCH(VALUE(LEFT($A457,LEN($A457)-1)),$A$4:$A$1000,0),VALUE(RIGHT($A457,1)))/ INDEX($O$4:$O$1000,MATCH(VALUE(LEFT($A457,LEN($A457)-1)),$A$4:$A$1000))) * INDEX($B$4:$B$1000,MATCH(VALUE(LEFT($A457,LEN($A457)-1)),$A$4:$A$1000)),"")</f>
        <v/>
      </c>
      <c r="C457" s="2" t="str" cm="1">
        <f t="array" ref="C457">IFERROR(IF(INDEX($D$4:$H$1000,MATCH(VALUE(LEFT($A457,LEN($A457)-1)),$A$4:$A$1000,0),VALUE(RIGHT($A457,1)))= 0,"",INDEX($D$4:$H$1000,MATCH(VALUE(LEFT($A457,LEN($A457)-1)),$A$4:$A$1000,0),VALUE(RIGHT($A457,1)))),"")</f>
        <v/>
      </c>
      <c r="D457" s="23" t="str">
        <f>IFERROR(IF(INDEX(使用レシピ!F:F,MATCH(テンプレート!$C457,使用レシピ!$E:$E,0))&lt;&gt;0,INDEX(使用レシピ!F:F,MATCH(テンプレート!$C457,使用レシピ!$E:$E,0)),""),"")</f>
        <v/>
      </c>
      <c r="E457" t="str">
        <f>IFERROR(IF(INDEX(使用レシピ!G:G,MATCH(テンプレート!$C457,使用レシピ!$E:$E,0))&lt;&gt;0,INDEX(使用レシピ!G:G,MATCH(テンプレート!$C457,使用レシピ!$E:$E,0)),""),"")</f>
        <v/>
      </c>
      <c r="F457" t="str">
        <f>IFERROR(IF(INDEX(使用レシピ!H:H,MATCH(テンプレート!$C457,使用レシピ!$E:$E,0))&lt;&gt;0,INDEX(使用レシピ!H:H,MATCH(テンプレート!$C457,使用レシピ!$E:$E,0)),""),"")</f>
        <v/>
      </c>
      <c r="G457" t="str">
        <f>IFERROR(IF(INDEX(使用レシピ!I:I,MATCH(テンプレート!$C457,使用レシピ!$E:$E,0))&lt;&gt;0,INDEX(使用レシピ!I:I,MATCH(テンプレート!$C457,使用レシピ!$E:$E,0)),""),"")</f>
        <v/>
      </c>
      <c r="H457" s="24" t="str">
        <f>IFERROR(IF(INDEX(使用レシピ!J:J,MATCH(テンプレート!$C457,使用レシピ!$E:$E,0))&lt;&gt;0,INDEX(使用レシピ!J:J,MATCH(テンプレート!$C457,使用レシピ!$E:$E,0)),""),"")</f>
        <v/>
      </c>
      <c r="I457" s="36" t="str">
        <f>IFERROR(IF(INDEX(使用レシピ!P:P,MATCH(テンプレート!$C457,使用レシピ!$E:$E,0))&lt;&gt;0,INDEX(使用レシピ!P:P,MATCH(テンプレート!$C457,使用レシピ!$E:$E,0)),""),"")</f>
        <v/>
      </c>
      <c r="J457" t="str">
        <f>IFERROR(IF(INDEX(使用レシピ!K:K,MATCH(テンプレート!$C457,使用レシピ!$E:$E,0))&lt;&gt;0,INDEX(使用レシピ!K:K,MATCH(テンプレート!$C457,使用レシピ!$E:$E,0)),""),"")</f>
        <v/>
      </c>
      <c r="K457" t="str">
        <f>IFERROR(IF(INDEX(使用レシピ!L:L,MATCH(テンプレート!$C457,使用レシピ!$E:$E,0))&lt;&gt;0,INDEX(使用レシピ!L:L,MATCH(テンプレート!$C457,使用レシピ!$E:$E,0)),""),"")</f>
        <v/>
      </c>
      <c r="L457" t="str">
        <f>IFERROR(IF(INDEX(使用レシピ!M:M,MATCH(テンプレート!$C457,使用レシピ!$E:$E,0))&lt;&gt;0,INDEX(使用レシピ!M:M,MATCH(テンプレート!$C457,使用レシピ!$E:$E,0)),""),"")</f>
        <v/>
      </c>
      <c r="M457" t="str">
        <f>IFERROR(IF(INDEX(使用レシピ!N:N,MATCH(テンプレート!$C457,使用レシピ!$E:$E,0))&lt;&gt;0,INDEX(使用レシピ!N:N,MATCH(テンプレート!$C457,使用レシピ!$E:$E,0)),""),"")</f>
        <v/>
      </c>
      <c r="N457" s="24" t="str">
        <f>IFERROR(IF(INDEX(使用レシピ!O:O,MATCH(テンプレート!$C457,使用レシピ!$E:$E,0))&lt;&gt;0,INDEX(使用レシピ!O:O,MATCH(テンプレート!$C457,使用レシピ!$E:$E,0)),""),"")</f>
        <v/>
      </c>
      <c r="O457" s="36" t="str">
        <f>IFERROR(IF(INDEX(使用レシピ!P:P,MATCH(テンプレート!$C457,使用レシピ!$E:$E,0))&lt;&gt;0,INDEX(使用レシピ!P:P,MATCH(テンプレート!$C457,使用レシピ!$E:$E,0)),""),"")</f>
        <v/>
      </c>
      <c r="P457" t="str">
        <f t="shared" si="36"/>
        <v/>
      </c>
      <c r="Q457" t="str">
        <f t="shared" si="37"/>
        <v/>
      </c>
      <c r="R457" t="str">
        <f t="shared" si="38"/>
        <v/>
      </c>
      <c r="S457" t="str">
        <f t="shared" si="39"/>
        <v/>
      </c>
      <c r="T457" s="24" t="str">
        <f t="shared" si="40"/>
        <v/>
      </c>
    </row>
    <row r="458" spans="2:20" x14ac:dyDescent="0.4">
      <c r="B458" s="49" t="str" cm="1">
        <f t="array" ref="B458">IFERROR((INDEX($P$4:$T$1000,MATCH(VALUE(LEFT($A458,LEN($A458)-1)),$A$4:$A$1000,0),VALUE(RIGHT($A458,1)))/ INDEX($O$4:$O$1000,MATCH(VALUE(LEFT($A458,LEN($A458)-1)),$A$4:$A$1000))) * INDEX($B$4:$B$1000,MATCH(VALUE(LEFT($A458,LEN($A458)-1)),$A$4:$A$1000)),"")</f>
        <v/>
      </c>
      <c r="C458" s="2" t="str" cm="1">
        <f t="array" ref="C458">IFERROR(IF(INDEX($D$4:$H$1000,MATCH(VALUE(LEFT($A458,LEN($A458)-1)),$A$4:$A$1000,0),VALUE(RIGHT($A458,1)))= 0,"",INDEX($D$4:$H$1000,MATCH(VALUE(LEFT($A458,LEN($A458)-1)),$A$4:$A$1000,0),VALUE(RIGHT($A458,1)))),"")</f>
        <v/>
      </c>
      <c r="D458" s="23" t="str">
        <f>IFERROR(IF(INDEX(使用レシピ!F:F,MATCH(テンプレート!$C458,使用レシピ!$E:$E,0))&lt;&gt;0,INDEX(使用レシピ!F:F,MATCH(テンプレート!$C458,使用レシピ!$E:$E,0)),""),"")</f>
        <v/>
      </c>
      <c r="E458" t="str">
        <f>IFERROR(IF(INDEX(使用レシピ!G:G,MATCH(テンプレート!$C458,使用レシピ!$E:$E,0))&lt;&gt;0,INDEX(使用レシピ!G:G,MATCH(テンプレート!$C458,使用レシピ!$E:$E,0)),""),"")</f>
        <v/>
      </c>
      <c r="F458" t="str">
        <f>IFERROR(IF(INDEX(使用レシピ!H:H,MATCH(テンプレート!$C458,使用レシピ!$E:$E,0))&lt;&gt;0,INDEX(使用レシピ!H:H,MATCH(テンプレート!$C458,使用レシピ!$E:$E,0)),""),"")</f>
        <v/>
      </c>
      <c r="G458" t="str">
        <f>IFERROR(IF(INDEX(使用レシピ!I:I,MATCH(テンプレート!$C458,使用レシピ!$E:$E,0))&lt;&gt;0,INDEX(使用レシピ!I:I,MATCH(テンプレート!$C458,使用レシピ!$E:$E,0)),""),"")</f>
        <v/>
      </c>
      <c r="H458" s="24" t="str">
        <f>IFERROR(IF(INDEX(使用レシピ!J:J,MATCH(テンプレート!$C458,使用レシピ!$E:$E,0))&lt;&gt;0,INDEX(使用レシピ!J:J,MATCH(テンプレート!$C458,使用レシピ!$E:$E,0)),""),"")</f>
        <v/>
      </c>
      <c r="I458" s="36" t="str">
        <f>IFERROR(IF(INDEX(使用レシピ!P:P,MATCH(テンプレート!$C458,使用レシピ!$E:$E,0))&lt;&gt;0,INDEX(使用レシピ!P:P,MATCH(テンプレート!$C458,使用レシピ!$E:$E,0)),""),"")</f>
        <v/>
      </c>
      <c r="J458" t="str">
        <f>IFERROR(IF(INDEX(使用レシピ!K:K,MATCH(テンプレート!$C458,使用レシピ!$E:$E,0))&lt;&gt;0,INDEX(使用レシピ!K:K,MATCH(テンプレート!$C458,使用レシピ!$E:$E,0)),""),"")</f>
        <v/>
      </c>
      <c r="K458" t="str">
        <f>IFERROR(IF(INDEX(使用レシピ!L:L,MATCH(テンプレート!$C458,使用レシピ!$E:$E,0))&lt;&gt;0,INDEX(使用レシピ!L:L,MATCH(テンプレート!$C458,使用レシピ!$E:$E,0)),""),"")</f>
        <v/>
      </c>
      <c r="L458" t="str">
        <f>IFERROR(IF(INDEX(使用レシピ!M:M,MATCH(テンプレート!$C458,使用レシピ!$E:$E,0))&lt;&gt;0,INDEX(使用レシピ!M:M,MATCH(テンプレート!$C458,使用レシピ!$E:$E,0)),""),"")</f>
        <v/>
      </c>
      <c r="M458" t="str">
        <f>IFERROR(IF(INDEX(使用レシピ!N:N,MATCH(テンプレート!$C458,使用レシピ!$E:$E,0))&lt;&gt;0,INDEX(使用レシピ!N:N,MATCH(テンプレート!$C458,使用レシピ!$E:$E,0)),""),"")</f>
        <v/>
      </c>
      <c r="N458" s="24" t="str">
        <f>IFERROR(IF(INDEX(使用レシピ!O:O,MATCH(テンプレート!$C458,使用レシピ!$E:$E,0))&lt;&gt;0,INDEX(使用レシピ!O:O,MATCH(テンプレート!$C458,使用レシピ!$E:$E,0)),""),"")</f>
        <v/>
      </c>
      <c r="O458" s="36" t="str">
        <f>IFERROR(IF(INDEX(使用レシピ!P:P,MATCH(テンプレート!$C458,使用レシピ!$E:$E,0))&lt;&gt;0,INDEX(使用レシピ!P:P,MATCH(テンプレート!$C458,使用レシピ!$E:$E,0)),""),"")</f>
        <v/>
      </c>
      <c r="P458" t="str">
        <f t="shared" si="36"/>
        <v/>
      </c>
      <c r="Q458" t="str">
        <f t="shared" si="37"/>
        <v/>
      </c>
      <c r="R458" t="str">
        <f t="shared" si="38"/>
        <v/>
      </c>
      <c r="S458" t="str">
        <f t="shared" si="39"/>
        <v/>
      </c>
      <c r="T458" s="24" t="str">
        <f t="shared" si="40"/>
        <v/>
      </c>
    </row>
    <row r="459" spans="2:20" x14ac:dyDescent="0.4">
      <c r="B459" s="49" t="str" cm="1">
        <f t="array" ref="B459">IFERROR((INDEX($P$4:$T$1000,MATCH(VALUE(LEFT($A459,LEN($A459)-1)),$A$4:$A$1000,0),VALUE(RIGHT($A459,1)))/ INDEX($O$4:$O$1000,MATCH(VALUE(LEFT($A459,LEN($A459)-1)),$A$4:$A$1000))) * INDEX($B$4:$B$1000,MATCH(VALUE(LEFT($A459,LEN($A459)-1)),$A$4:$A$1000)),"")</f>
        <v/>
      </c>
      <c r="C459" s="2" t="str" cm="1">
        <f t="array" ref="C459">IFERROR(IF(INDEX($D$4:$H$1000,MATCH(VALUE(LEFT($A459,LEN($A459)-1)),$A$4:$A$1000,0),VALUE(RIGHT($A459,1)))= 0,"",INDEX($D$4:$H$1000,MATCH(VALUE(LEFT($A459,LEN($A459)-1)),$A$4:$A$1000,0),VALUE(RIGHT($A459,1)))),"")</f>
        <v/>
      </c>
      <c r="D459" s="23" t="str">
        <f>IFERROR(IF(INDEX(使用レシピ!F:F,MATCH(テンプレート!$C459,使用レシピ!$E:$E,0))&lt;&gt;0,INDEX(使用レシピ!F:F,MATCH(テンプレート!$C459,使用レシピ!$E:$E,0)),""),"")</f>
        <v/>
      </c>
      <c r="E459" t="str">
        <f>IFERROR(IF(INDEX(使用レシピ!G:G,MATCH(テンプレート!$C459,使用レシピ!$E:$E,0))&lt;&gt;0,INDEX(使用レシピ!G:G,MATCH(テンプレート!$C459,使用レシピ!$E:$E,0)),""),"")</f>
        <v/>
      </c>
      <c r="F459" t="str">
        <f>IFERROR(IF(INDEX(使用レシピ!H:H,MATCH(テンプレート!$C459,使用レシピ!$E:$E,0))&lt;&gt;0,INDEX(使用レシピ!H:H,MATCH(テンプレート!$C459,使用レシピ!$E:$E,0)),""),"")</f>
        <v/>
      </c>
      <c r="G459" t="str">
        <f>IFERROR(IF(INDEX(使用レシピ!I:I,MATCH(テンプレート!$C459,使用レシピ!$E:$E,0))&lt;&gt;0,INDEX(使用レシピ!I:I,MATCH(テンプレート!$C459,使用レシピ!$E:$E,0)),""),"")</f>
        <v/>
      </c>
      <c r="H459" s="24" t="str">
        <f>IFERROR(IF(INDEX(使用レシピ!J:J,MATCH(テンプレート!$C459,使用レシピ!$E:$E,0))&lt;&gt;0,INDEX(使用レシピ!J:J,MATCH(テンプレート!$C459,使用レシピ!$E:$E,0)),""),"")</f>
        <v/>
      </c>
      <c r="I459" s="36" t="str">
        <f>IFERROR(IF(INDEX(使用レシピ!P:P,MATCH(テンプレート!$C459,使用レシピ!$E:$E,0))&lt;&gt;0,INDEX(使用レシピ!P:P,MATCH(テンプレート!$C459,使用レシピ!$E:$E,0)),""),"")</f>
        <v/>
      </c>
      <c r="J459" t="str">
        <f>IFERROR(IF(INDEX(使用レシピ!K:K,MATCH(テンプレート!$C459,使用レシピ!$E:$E,0))&lt;&gt;0,INDEX(使用レシピ!K:K,MATCH(テンプレート!$C459,使用レシピ!$E:$E,0)),""),"")</f>
        <v/>
      </c>
      <c r="K459" t="str">
        <f>IFERROR(IF(INDEX(使用レシピ!L:L,MATCH(テンプレート!$C459,使用レシピ!$E:$E,0))&lt;&gt;0,INDEX(使用レシピ!L:L,MATCH(テンプレート!$C459,使用レシピ!$E:$E,0)),""),"")</f>
        <v/>
      </c>
      <c r="L459" t="str">
        <f>IFERROR(IF(INDEX(使用レシピ!M:M,MATCH(テンプレート!$C459,使用レシピ!$E:$E,0))&lt;&gt;0,INDEX(使用レシピ!M:M,MATCH(テンプレート!$C459,使用レシピ!$E:$E,0)),""),"")</f>
        <v/>
      </c>
      <c r="M459" t="str">
        <f>IFERROR(IF(INDEX(使用レシピ!N:N,MATCH(テンプレート!$C459,使用レシピ!$E:$E,0))&lt;&gt;0,INDEX(使用レシピ!N:N,MATCH(テンプレート!$C459,使用レシピ!$E:$E,0)),""),"")</f>
        <v/>
      </c>
      <c r="N459" s="24" t="str">
        <f>IFERROR(IF(INDEX(使用レシピ!O:O,MATCH(テンプレート!$C459,使用レシピ!$E:$E,0))&lt;&gt;0,INDEX(使用レシピ!O:O,MATCH(テンプレート!$C459,使用レシピ!$E:$E,0)),""),"")</f>
        <v/>
      </c>
      <c r="O459" s="36" t="str">
        <f>IFERROR(IF(INDEX(使用レシピ!P:P,MATCH(テンプレート!$C459,使用レシピ!$E:$E,0))&lt;&gt;0,INDEX(使用レシピ!P:P,MATCH(テンプレート!$C459,使用レシピ!$E:$E,0)),""),"")</f>
        <v/>
      </c>
      <c r="P459" t="str">
        <f t="shared" si="36"/>
        <v/>
      </c>
      <c r="Q459" t="str">
        <f t="shared" si="37"/>
        <v/>
      </c>
      <c r="R459" t="str">
        <f t="shared" si="38"/>
        <v/>
      </c>
      <c r="S459" t="str">
        <f t="shared" si="39"/>
        <v/>
      </c>
      <c r="T459" s="24" t="str">
        <f t="shared" si="40"/>
        <v/>
      </c>
    </row>
    <row r="460" spans="2:20" x14ac:dyDescent="0.4">
      <c r="B460" s="49" t="str" cm="1">
        <f t="array" ref="B460">IFERROR((INDEX($P$4:$T$1000,MATCH(VALUE(LEFT($A460,LEN($A460)-1)),$A$4:$A$1000,0),VALUE(RIGHT($A460,1)))/ INDEX($O$4:$O$1000,MATCH(VALUE(LEFT($A460,LEN($A460)-1)),$A$4:$A$1000))) * INDEX($B$4:$B$1000,MATCH(VALUE(LEFT($A460,LEN($A460)-1)),$A$4:$A$1000)),"")</f>
        <v/>
      </c>
      <c r="C460" s="2" t="str" cm="1">
        <f t="array" ref="C460">IFERROR(IF(INDEX($D$4:$H$1000,MATCH(VALUE(LEFT($A460,LEN($A460)-1)),$A$4:$A$1000,0),VALUE(RIGHT($A460,1)))= 0,"",INDEX($D$4:$H$1000,MATCH(VALUE(LEFT($A460,LEN($A460)-1)),$A$4:$A$1000,0),VALUE(RIGHT($A460,1)))),"")</f>
        <v/>
      </c>
      <c r="D460" s="23" t="str">
        <f>IFERROR(IF(INDEX(使用レシピ!F:F,MATCH(テンプレート!$C460,使用レシピ!$E:$E,0))&lt;&gt;0,INDEX(使用レシピ!F:F,MATCH(テンプレート!$C460,使用レシピ!$E:$E,0)),""),"")</f>
        <v/>
      </c>
      <c r="E460" t="str">
        <f>IFERROR(IF(INDEX(使用レシピ!G:G,MATCH(テンプレート!$C460,使用レシピ!$E:$E,0))&lt;&gt;0,INDEX(使用レシピ!G:G,MATCH(テンプレート!$C460,使用レシピ!$E:$E,0)),""),"")</f>
        <v/>
      </c>
      <c r="F460" t="str">
        <f>IFERROR(IF(INDEX(使用レシピ!H:H,MATCH(テンプレート!$C460,使用レシピ!$E:$E,0))&lt;&gt;0,INDEX(使用レシピ!H:H,MATCH(テンプレート!$C460,使用レシピ!$E:$E,0)),""),"")</f>
        <v/>
      </c>
      <c r="G460" t="str">
        <f>IFERROR(IF(INDEX(使用レシピ!I:I,MATCH(テンプレート!$C460,使用レシピ!$E:$E,0))&lt;&gt;0,INDEX(使用レシピ!I:I,MATCH(テンプレート!$C460,使用レシピ!$E:$E,0)),""),"")</f>
        <v/>
      </c>
      <c r="H460" s="24" t="str">
        <f>IFERROR(IF(INDEX(使用レシピ!J:J,MATCH(テンプレート!$C460,使用レシピ!$E:$E,0))&lt;&gt;0,INDEX(使用レシピ!J:J,MATCH(テンプレート!$C460,使用レシピ!$E:$E,0)),""),"")</f>
        <v/>
      </c>
      <c r="I460" s="36" t="str">
        <f>IFERROR(IF(INDEX(使用レシピ!P:P,MATCH(テンプレート!$C460,使用レシピ!$E:$E,0))&lt;&gt;0,INDEX(使用レシピ!P:P,MATCH(テンプレート!$C460,使用レシピ!$E:$E,0)),""),"")</f>
        <v/>
      </c>
      <c r="J460" t="str">
        <f>IFERROR(IF(INDEX(使用レシピ!K:K,MATCH(テンプレート!$C460,使用レシピ!$E:$E,0))&lt;&gt;0,INDEX(使用レシピ!K:K,MATCH(テンプレート!$C460,使用レシピ!$E:$E,0)),""),"")</f>
        <v/>
      </c>
      <c r="K460" t="str">
        <f>IFERROR(IF(INDEX(使用レシピ!L:L,MATCH(テンプレート!$C460,使用レシピ!$E:$E,0))&lt;&gt;0,INDEX(使用レシピ!L:L,MATCH(テンプレート!$C460,使用レシピ!$E:$E,0)),""),"")</f>
        <v/>
      </c>
      <c r="L460" t="str">
        <f>IFERROR(IF(INDEX(使用レシピ!M:M,MATCH(テンプレート!$C460,使用レシピ!$E:$E,0))&lt;&gt;0,INDEX(使用レシピ!M:M,MATCH(テンプレート!$C460,使用レシピ!$E:$E,0)),""),"")</f>
        <v/>
      </c>
      <c r="M460" t="str">
        <f>IFERROR(IF(INDEX(使用レシピ!N:N,MATCH(テンプレート!$C460,使用レシピ!$E:$E,0))&lt;&gt;0,INDEX(使用レシピ!N:N,MATCH(テンプレート!$C460,使用レシピ!$E:$E,0)),""),"")</f>
        <v/>
      </c>
      <c r="N460" s="24" t="str">
        <f>IFERROR(IF(INDEX(使用レシピ!O:O,MATCH(テンプレート!$C460,使用レシピ!$E:$E,0))&lt;&gt;0,INDEX(使用レシピ!O:O,MATCH(テンプレート!$C460,使用レシピ!$E:$E,0)),""),"")</f>
        <v/>
      </c>
      <c r="O460" s="36" t="str">
        <f>IFERROR(IF(INDEX(使用レシピ!P:P,MATCH(テンプレート!$C460,使用レシピ!$E:$E,0))&lt;&gt;0,INDEX(使用レシピ!P:P,MATCH(テンプレート!$C460,使用レシピ!$E:$E,0)),""),"")</f>
        <v/>
      </c>
      <c r="P460" t="str">
        <f t="shared" si="36"/>
        <v/>
      </c>
      <c r="Q460" t="str">
        <f t="shared" si="37"/>
        <v/>
      </c>
      <c r="R460" t="str">
        <f t="shared" si="38"/>
        <v/>
      </c>
      <c r="S460" t="str">
        <f t="shared" si="39"/>
        <v/>
      </c>
      <c r="T460" s="24" t="str">
        <f t="shared" si="40"/>
        <v/>
      </c>
    </row>
    <row r="461" spans="2:20" x14ac:dyDescent="0.4">
      <c r="B461" s="49" t="str" cm="1">
        <f t="array" ref="B461">IFERROR((INDEX($P$4:$T$1000,MATCH(VALUE(LEFT($A461,LEN($A461)-1)),$A$4:$A$1000,0),VALUE(RIGHT($A461,1)))/ INDEX($O$4:$O$1000,MATCH(VALUE(LEFT($A461,LEN($A461)-1)),$A$4:$A$1000))) * INDEX($B$4:$B$1000,MATCH(VALUE(LEFT($A461,LEN($A461)-1)),$A$4:$A$1000)),"")</f>
        <v/>
      </c>
      <c r="C461" s="2" t="str" cm="1">
        <f t="array" ref="C461">IFERROR(IF(INDEX($D$4:$H$1000,MATCH(VALUE(LEFT($A461,LEN($A461)-1)),$A$4:$A$1000,0),VALUE(RIGHT($A461,1)))= 0,"",INDEX($D$4:$H$1000,MATCH(VALUE(LEFT($A461,LEN($A461)-1)),$A$4:$A$1000,0),VALUE(RIGHT($A461,1)))),"")</f>
        <v/>
      </c>
      <c r="D461" s="23" t="str">
        <f>IFERROR(IF(INDEX(使用レシピ!F:F,MATCH(テンプレート!$C461,使用レシピ!$E:$E,0))&lt;&gt;0,INDEX(使用レシピ!F:F,MATCH(テンプレート!$C461,使用レシピ!$E:$E,0)),""),"")</f>
        <v/>
      </c>
      <c r="E461" t="str">
        <f>IFERROR(IF(INDEX(使用レシピ!G:G,MATCH(テンプレート!$C461,使用レシピ!$E:$E,0))&lt;&gt;0,INDEX(使用レシピ!G:G,MATCH(テンプレート!$C461,使用レシピ!$E:$E,0)),""),"")</f>
        <v/>
      </c>
      <c r="F461" t="str">
        <f>IFERROR(IF(INDEX(使用レシピ!H:H,MATCH(テンプレート!$C461,使用レシピ!$E:$E,0))&lt;&gt;0,INDEX(使用レシピ!H:H,MATCH(テンプレート!$C461,使用レシピ!$E:$E,0)),""),"")</f>
        <v/>
      </c>
      <c r="G461" t="str">
        <f>IFERROR(IF(INDEX(使用レシピ!I:I,MATCH(テンプレート!$C461,使用レシピ!$E:$E,0))&lt;&gt;0,INDEX(使用レシピ!I:I,MATCH(テンプレート!$C461,使用レシピ!$E:$E,0)),""),"")</f>
        <v/>
      </c>
      <c r="H461" s="24" t="str">
        <f>IFERROR(IF(INDEX(使用レシピ!J:J,MATCH(テンプレート!$C461,使用レシピ!$E:$E,0))&lt;&gt;0,INDEX(使用レシピ!J:J,MATCH(テンプレート!$C461,使用レシピ!$E:$E,0)),""),"")</f>
        <v/>
      </c>
      <c r="I461" s="36" t="str">
        <f>IFERROR(IF(INDEX(使用レシピ!P:P,MATCH(テンプレート!$C461,使用レシピ!$E:$E,0))&lt;&gt;0,INDEX(使用レシピ!P:P,MATCH(テンプレート!$C461,使用レシピ!$E:$E,0)),""),"")</f>
        <v/>
      </c>
      <c r="J461" t="str">
        <f>IFERROR(IF(INDEX(使用レシピ!K:K,MATCH(テンプレート!$C461,使用レシピ!$E:$E,0))&lt;&gt;0,INDEX(使用レシピ!K:K,MATCH(テンプレート!$C461,使用レシピ!$E:$E,0)),""),"")</f>
        <v/>
      </c>
      <c r="K461" t="str">
        <f>IFERROR(IF(INDEX(使用レシピ!L:L,MATCH(テンプレート!$C461,使用レシピ!$E:$E,0))&lt;&gt;0,INDEX(使用レシピ!L:L,MATCH(テンプレート!$C461,使用レシピ!$E:$E,0)),""),"")</f>
        <v/>
      </c>
      <c r="L461" t="str">
        <f>IFERROR(IF(INDEX(使用レシピ!M:M,MATCH(テンプレート!$C461,使用レシピ!$E:$E,0))&lt;&gt;0,INDEX(使用レシピ!M:M,MATCH(テンプレート!$C461,使用レシピ!$E:$E,0)),""),"")</f>
        <v/>
      </c>
      <c r="M461" t="str">
        <f>IFERROR(IF(INDEX(使用レシピ!N:N,MATCH(テンプレート!$C461,使用レシピ!$E:$E,0))&lt;&gt;0,INDEX(使用レシピ!N:N,MATCH(テンプレート!$C461,使用レシピ!$E:$E,0)),""),"")</f>
        <v/>
      </c>
      <c r="N461" s="24" t="str">
        <f>IFERROR(IF(INDEX(使用レシピ!O:O,MATCH(テンプレート!$C461,使用レシピ!$E:$E,0))&lt;&gt;0,INDEX(使用レシピ!O:O,MATCH(テンプレート!$C461,使用レシピ!$E:$E,0)),""),"")</f>
        <v/>
      </c>
      <c r="O461" s="36" t="str">
        <f>IFERROR(IF(INDEX(使用レシピ!P:P,MATCH(テンプレート!$C461,使用レシピ!$E:$E,0))&lt;&gt;0,INDEX(使用レシピ!P:P,MATCH(テンプレート!$C461,使用レシピ!$E:$E,0)),""),"")</f>
        <v/>
      </c>
      <c r="P461" t="str">
        <f t="shared" si="36"/>
        <v/>
      </c>
      <c r="Q461" t="str">
        <f t="shared" si="37"/>
        <v/>
      </c>
      <c r="R461" t="str">
        <f t="shared" si="38"/>
        <v/>
      </c>
      <c r="S461" t="str">
        <f t="shared" si="39"/>
        <v/>
      </c>
      <c r="T461" s="24" t="str">
        <f t="shared" si="40"/>
        <v/>
      </c>
    </row>
    <row r="462" spans="2:20" x14ac:dyDescent="0.4">
      <c r="B462" s="49" t="str" cm="1">
        <f t="array" ref="B462">IFERROR((INDEX($P$4:$T$1000,MATCH(VALUE(LEFT($A462,LEN($A462)-1)),$A$4:$A$1000,0),VALUE(RIGHT($A462,1)))/ INDEX($O$4:$O$1000,MATCH(VALUE(LEFT($A462,LEN($A462)-1)),$A$4:$A$1000))) * INDEX($B$4:$B$1000,MATCH(VALUE(LEFT($A462,LEN($A462)-1)),$A$4:$A$1000)),"")</f>
        <v/>
      </c>
      <c r="C462" s="2" t="str" cm="1">
        <f t="array" ref="C462">IFERROR(IF(INDEX($D$4:$H$1000,MATCH(VALUE(LEFT($A462,LEN($A462)-1)),$A$4:$A$1000,0),VALUE(RIGHT($A462,1)))= 0,"",INDEX($D$4:$H$1000,MATCH(VALUE(LEFT($A462,LEN($A462)-1)),$A$4:$A$1000,0),VALUE(RIGHT($A462,1)))),"")</f>
        <v/>
      </c>
      <c r="D462" s="23" t="str">
        <f>IFERROR(IF(INDEX(使用レシピ!F:F,MATCH(テンプレート!$C462,使用レシピ!$E:$E,0))&lt;&gt;0,INDEX(使用レシピ!F:F,MATCH(テンプレート!$C462,使用レシピ!$E:$E,0)),""),"")</f>
        <v/>
      </c>
      <c r="E462" t="str">
        <f>IFERROR(IF(INDEX(使用レシピ!G:G,MATCH(テンプレート!$C462,使用レシピ!$E:$E,0))&lt;&gt;0,INDEX(使用レシピ!G:G,MATCH(テンプレート!$C462,使用レシピ!$E:$E,0)),""),"")</f>
        <v/>
      </c>
      <c r="F462" t="str">
        <f>IFERROR(IF(INDEX(使用レシピ!H:H,MATCH(テンプレート!$C462,使用レシピ!$E:$E,0))&lt;&gt;0,INDEX(使用レシピ!H:H,MATCH(テンプレート!$C462,使用レシピ!$E:$E,0)),""),"")</f>
        <v/>
      </c>
      <c r="G462" t="str">
        <f>IFERROR(IF(INDEX(使用レシピ!I:I,MATCH(テンプレート!$C462,使用レシピ!$E:$E,0))&lt;&gt;0,INDEX(使用レシピ!I:I,MATCH(テンプレート!$C462,使用レシピ!$E:$E,0)),""),"")</f>
        <v/>
      </c>
      <c r="H462" s="24" t="str">
        <f>IFERROR(IF(INDEX(使用レシピ!J:J,MATCH(テンプレート!$C462,使用レシピ!$E:$E,0))&lt;&gt;0,INDEX(使用レシピ!J:J,MATCH(テンプレート!$C462,使用レシピ!$E:$E,0)),""),"")</f>
        <v/>
      </c>
      <c r="I462" s="36" t="str">
        <f>IFERROR(IF(INDEX(使用レシピ!P:P,MATCH(テンプレート!$C462,使用レシピ!$E:$E,0))&lt;&gt;0,INDEX(使用レシピ!P:P,MATCH(テンプレート!$C462,使用レシピ!$E:$E,0)),""),"")</f>
        <v/>
      </c>
      <c r="J462" t="str">
        <f>IFERROR(IF(INDEX(使用レシピ!K:K,MATCH(テンプレート!$C462,使用レシピ!$E:$E,0))&lt;&gt;0,INDEX(使用レシピ!K:K,MATCH(テンプレート!$C462,使用レシピ!$E:$E,0)),""),"")</f>
        <v/>
      </c>
      <c r="K462" t="str">
        <f>IFERROR(IF(INDEX(使用レシピ!L:L,MATCH(テンプレート!$C462,使用レシピ!$E:$E,0))&lt;&gt;0,INDEX(使用レシピ!L:L,MATCH(テンプレート!$C462,使用レシピ!$E:$E,0)),""),"")</f>
        <v/>
      </c>
      <c r="L462" t="str">
        <f>IFERROR(IF(INDEX(使用レシピ!M:M,MATCH(テンプレート!$C462,使用レシピ!$E:$E,0))&lt;&gt;0,INDEX(使用レシピ!M:M,MATCH(テンプレート!$C462,使用レシピ!$E:$E,0)),""),"")</f>
        <v/>
      </c>
      <c r="M462" t="str">
        <f>IFERROR(IF(INDEX(使用レシピ!N:N,MATCH(テンプレート!$C462,使用レシピ!$E:$E,0))&lt;&gt;0,INDEX(使用レシピ!N:N,MATCH(テンプレート!$C462,使用レシピ!$E:$E,0)),""),"")</f>
        <v/>
      </c>
      <c r="N462" s="24" t="str">
        <f>IFERROR(IF(INDEX(使用レシピ!O:O,MATCH(テンプレート!$C462,使用レシピ!$E:$E,0))&lt;&gt;0,INDEX(使用レシピ!O:O,MATCH(テンプレート!$C462,使用レシピ!$E:$E,0)),""),"")</f>
        <v/>
      </c>
      <c r="O462" s="36" t="str">
        <f>IFERROR(IF(INDEX(使用レシピ!P:P,MATCH(テンプレート!$C462,使用レシピ!$E:$E,0))&lt;&gt;0,INDEX(使用レシピ!P:P,MATCH(テンプレート!$C462,使用レシピ!$E:$E,0)),""),"")</f>
        <v/>
      </c>
      <c r="P462" t="str">
        <f t="shared" si="36"/>
        <v/>
      </c>
      <c r="Q462" t="str">
        <f t="shared" si="37"/>
        <v/>
      </c>
      <c r="R462" t="str">
        <f t="shared" si="38"/>
        <v/>
      </c>
      <c r="S462" t="str">
        <f t="shared" si="39"/>
        <v/>
      </c>
      <c r="T462" s="24" t="str">
        <f t="shared" si="40"/>
        <v/>
      </c>
    </row>
    <row r="463" spans="2:20" x14ac:dyDescent="0.4">
      <c r="B463" s="49" t="str" cm="1">
        <f t="array" ref="B463">IFERROR((INDEX($P$4:$T$1000,MATCH(VALUE(LEFT($A463,LEN($A463)-1)),$A$4:$A$1000,0),VALUE(RIGHT($A463,1)))/ INDEX($O$4:$O$1000,MATCH(VALUE(LEFT($A463,LEN($A463)-1)),$A$4:$A$1000))) * INDEX($B$4:$B$1000,MATCH(VALUE(LEFT($A463,LEN($A463)-1)),$A$4:$A$1000)),"")</f>
        <v/>
      </c>
      <c r="C463" s="2" t="str" cm="1">
        <f t="array" ref="C463">IFERROR(IF(INDEX($D$4:$H$1000,MATCH(VALUE(LEFT($A463,LEN($A463)-1)),$A$4:$A$1000,0),VALUE(RIGHT($A463,1)))= 0,"",INDEX($D$4:$H$1000,MATCH(VALUE(LEFT($A463,LEN($A463)-1)),$A$4:$A$1000,0),VALUE(RIGHT($A463,1)))),"")</f>
        <v/>
      </c>
      <c r="D463" s="23" t="str">
        <f>IFERROR(IF(INDEX(使用レシピ!F:F,MATCH(テンプレート!$C463,使用レシピ!$E:$E,0))&lt;&gt;0,INDEX(使用レシピ!F:F,MATCH(テンプレート!$C463,使用レシピ!$E:$E,0)),""),"")</f>
        <v/>
      </c>
      <c r="E463" t="str">
        <f>IFERROR(IF(INDEX(使用レシピ!G:G,MATCH(テンプレート!$C463,使用レシピ!$E:$E,0))&lt;&gt;0,INDEX(使用レシピ!G:G,MATCH(テンプレート!$C463,使用レシピ!$E:$E,0)),""),"")</f>
        <v/>
      </c>
      <c r="F463" t="str">
        <f>IFERROR(IF(INDEX(使用レシピ!H:H,MATCH(テンプレート!$C463,使用レシピ!$E:$E,0))&lt;&gt;0,INDEX(使用レシピ!H:H,MATCH(テンプレート!$C463,使用レシピ!$E:$E,0)),""),"")</f>
        <v/>
      </c>
      <c r="G463" t="str">
        <f>IFERROR(IF(INDEX(使用レシピ!I:I,MATCH(テンプレート!$C463,使用レシピ!$E:$E,0))&lt;&gt;0,INDEX(使用レシピ!I:I,MATCH(テンプレート!$C463,使用レシピ!$E:$E,0)),""),"")</f>
        <v/>
      </c>
      <c r="H463" s="24" t="str">
        <f>IFERROR(IF(INDEX(使用レシピ!J:J,MATCH(テンプレート!$C463,使用レシピ!$E:$E,0))&lt;&gt;0,INDEX(使用レシピ!J:J,MATCH(テンプレート!$C463,使用レシピ!$E:$E,0)),""),"")</f>
        <v/>
      </c>
      <c r="I463" s="36" t="str">
        <f>IFERROR(IF(INDEX(使用レシピ!P:P,MATCH(テンプレート!$C463,使用レシピ!$E:$E,0))&lt;&gt;0,INDEX(使用レシピ!P:P,MATCH(テンプレート!$C463,使用レシピ!$E:$E,0)),""),"")</f>
        <v/>
      </c>
      <c r="J463" t="str">
        <f>IFERROR(IF(INDEX(使用レシピ!K:K,MATCH(テンプレート!$C463,使用レシピ!$E:$E,0))&lt;&gt;0,INDEX(使用レシピ!K:K,MATCH(テンプレート!$C463,使用レシピ!$E:$E,0)),""),"")</f>
        <v/>
      </c>
      <c r="K463" t="str">
        <f>IFERROR(IF(INDEX(使用レシピ!L:L,MATCH(テンプレート!$C463,使用レシピ!$E:$E,0))&lt;&gt;0,INDEX(使用レシピ!L:L,MATCH(テンプレート!$C463,使用レシピ!$E:$E,0)),""),"")</f>
        <v/>
      </c>
      <c r="L463" t="str">
        <f>IFERROR(IF(INDEX(使用レシピ!M:M,MATCH(テンプレート!$C463,使用レシピ!$E:$E,0))&lt;&gt;0,INDEX(使用レシピ!M:M,MATCH(テンプレート!$C463,使用レシピ!$E:$E,0)),""),"")</f>
        <v/>
      </c>
      <c r="M463" t="str">
        <f>IFERROR(IF(INDEX(使用レシピ!N:N,MATCH(テンプレート!$C463,使用レシピ!$E:$E,0))&lt;&gt;0,INDEX(使用レシピ!N:N,MATCH(テンプレート!$C463,使用レシピ!$E:$E,0)),""),"")</f>
        <v/>
      </c>
      <c r="N463" s="24" t="str">
        <f>IFERROR(IF(INDEX(使用レシピ!O:O,MATCH(テンプレート!$C463,使用レシピ!$E:$E,0))&lt;&gt;0,INDEX(使用レシピ!O:O,MATCH(テンプレート!$C463,使用レシピ!$E:$E,0)),""),"")</f>
        <v/>
      </c>
      <c r="O463" s="36" t="str">
        <f>IFERROR(IF(INDEX(使用レシピ!P:P,MATCH(テンプレート!$C463,使用レシピ!$E:$E,0))&lt;&gt;0,INDEX(使用レシピ!P:P,MATCH(テンプレート!$C463,使用レシピ!$E:$E,0)),""),"")</f>
        <v/>
      </c>
      <c r="P463" t="str">
        <f t="shared" si="36"/>
        <v/>
      </c>
      <c r="Q463" t="str">
        <f t="shared" si="37"/>
        <v/>
      </c>
      <c r="R463" t="str">
        <f t="shared" si="38"/>
        <v/>
      </c>
      <c r="S463" t="str">
        <f t="shared" si="39"/>
        <v/>
      </c>
      <c r="T463" s="24" t="str">
        <f t="shared" si="40"/>
        <v/>
      </c>
    </row>
    <row r="464" spans="2:20" x14ac:dyDescent="0.4">
      <c r="B464" s="49" t="str" cm="1">
        <f t="array" ref="B464">IFERROR((INDEX($P$4:$T$1000,MATCH(VALUE(LEFT($A464,LEN($A464)-1)),$A$4:$A$1000,0),VALUE(RIGHT($A464,1)))/ INDEX($O$4:$O$1000,MATCH(VALUE(LEFT($A464,LEN($A464)-1)),$A$4:$A$1000))) * INDEX($B$4:$B$1000,MATCH(VALUE(LEFT($A464,LEN($A464)-1)),$A$4:$A$1000)),"")</f>
        <v/>
      </c>
      <c r="C464" s="2" t="str" cm="1">
        <f t="array" ref="C464">IFERROR(IF(INDEX($D$4:$H$1000,MATCH(VALUE(LEFT($A464,LEN($A464)-1)),$A$4:$A$1000,0),VALUE(RIGHT($A464,1)))= 0,"",INDEX($D$4:$H$1000,MATCH(VALUE(LEFT($A464,LEN($A464)-1)),$A$4:$A$1000,0),VALUE(RIGHT($A464,1)))),"")</f>
        <v/>
      </c>
      <c r="D464" s="23" t="str">
        <f>IFERROR(IF(INDEX(使用レシピ!F:F,MATCH(テンプレート!$C464,使用レシピ!$E:$E,0))&lt;&gt;0,INDEX(使用レシピ!F:F,MATCH(テンプレート!$C464,使用レシピ!$E:$E,0)),""),"")</f>
        <v/>
      </c>
      <c r="E464" t="str">
        <f>IFERROR(IF(INDEX(使用レシピ!G:G,MATCH(テンプレート!$C464,使用レシピ!$E:$E,0))&lt;&gt;0,INDEX(使用レシピ!G:G,MATCH(テンプレート!$C464,使用レシピ!$E:$E,0)),""),"")</f>
        <v/>
      </c>
      <c r="F464" t="str">
        <f>IFERROR(IF(INDEX(使用レシピ!H:H,MATCH(テンプレート!$C464,使用レシピ!$E:$E,0))&lt;&gt;0,INDEX(使用レシピ!H:H,MATCH(テンプレート!$C464,使用レシピ!$E:$E,0)),""),"")</f>
        <v/>
      </c>
      <c r="G464" t="str">
        <f>IFERROR(IF(INDEX(使用レシピ!I:I,MATCH(テンプレート!$C464,使用レシピ!$E:$E,0))&lt;&gt;0,INDEX(使用レシピ!I:I,MATCH(テンプレート!$C464,使用レシピ!$E:$E,0)),""),"")</f>
        <v/>
      </c>
      <c r="H464" s="24" t="str">
        <f>IFERROR(IF(INDEX(使用レシピ!J:J,MATCH(テンプレート!$C464,使用レシピ!$E:$E,0))&lt;&gt;0,INDEX(使用レシピ!J:J,MATCH(テンプレート!$C464,使用レシピ!$E:$E,0)),""),"")</f>
        <v/>
      </c>
      <c r="I464" s="36" t="str">
        <f>IFERROR(IF(INDEX(使用レシピ!P:P,MATCH(テンプレート!$C464,使用レシピ!$E:$E,0))&lt;&gt;0,INDEX(使用レシピ!P:P,MATCH(テンプレート!$C464,使用レシピ!$E:$E,0)),""),"")</f>
        <v/>
      </c>
      <c r="J464" t="str">
        <f>IFERROR(IF(INDEX(使用レシピ!K:K,MATCH(テンプレート!$C464,使用レシピ!$E:$E,0))&lt;&gt;0,INDEX(使用レシピ!K:K,MATCH(テンプレート!$C464,使用レシピ!$E:$E,0)),""),"")</f>
        <v/>
      </c>
      <c r="K464" t="str">
        <f>IFERROR(IF(INDEX(使用レシピ!L:L,MATCH(テンプレート!$C464,使用レシピ!$E:$E,0))&lt;&gt;0,INDEX(使用レシピ!L:L,MATCH(テンプレート!$C464,使用レシピ!$E:$E,0)),""),"")</f>
        <v/>
      </c>
      <c r="L464" t="str">
        <f>IFERROR(IF(INDEX(使用レシピ!M:M,MATCH(テンプレート!$C464,使用レシピ!$E:$E,0))&lt;&gt;0,INDEX(使用レシピ!M:M,MATCH(テンプレート!$C464,使用レシピ!$E:$E,0)),""),"")</f>
        <v/>
      </c>
      <c r="M464" t="str">
        <f>IFERROR(IF(INDEX(使用レシピ!N:N,MATCH(テンプレート!$C464,使用レシピ!$E:$E,0))&lt;&gt;0,INDEX(使用レシピ!N:N,MATCH(テンプレート!$C464,使用レシピ!$E:$E,0)),""),"")</f>
        <v/>
      </c>
      <c r="N464" s="24" t="str">
        <f>IFERROR(IF(INDEX(使用レシピ!O:O,MATCH(テンプレート!$C464,使用レシピ!$E:$E,0))&lt;&gt;0,INDEX(使用レシピ!O:O,MATCH(テンプレート!$C464,使用レシピ!$E:$E,0)),""),"")</f>
        <v/>
      </c>
      <c r="O464" s="36" t="str">
        <f>IFERROR(IF(INDEX(使用レシピ!P:P,MATCH(テンプレート!$C464,使用レシピ!$E:$E,0))&lt;&gt;0,INDEX(使用レシピ!P:P,MATCH(テンプレート!$C464,使用レシピ!$E:$E,0)),""),"")</f>
        <v/>
      </c>
      <c r="P464" t="str">
        <f t="shared" si="36"/>
        <v/>
      </c>
      <c r="Q464" t="str">
        <f t="shared" si="37"/>
        <v/>
      </c>
      <c r="R464" t="str">
        <f t="shared" si="38"/>
        <v/>
      </c>
      <c r="S464" t="str">
        <f t="shared" si="39"/>
        <v/>
      </c>
      <c r="T464" s="24" t="str">
        <f t="shared" si="40"/>
        <v/>
      </c>
    </row>
    <row r="465" spans="2:20" x14ac:dyDescent="0.4">
      <c r="B465" s="49" t="str" cm="1">
        <f t="array" ref="B465">IFERROR((INDEX($P$4:$T$1000,MATCH(VALUE(LEFT($A465,LEN($A465)-1)),$A$4:$A$1000,0),VALUE(RIGHT($A465,1)))/ INDEX($O$4:$O$1000,MATCH(VALUE(LEFT($A465,LEN($A465)-1)),$A$4:$A$1000))) * INDEX($B$4:$B$1000,MATCH(VALUE(LEFT($A465,LEN($A465)-1)),$A$4:$A$1000)),"")</f>
        <v/>
      </c>
      <c r="C465" s="2" t="str" cm="1">
        <f t="array" ref="C465">IFERROR(IF(INDEX($D$4:$H$1000,MATCH(VALUE(LEFT($A465,LEN($A465)-1)),$A$4:$A$1000,0),VALUE(RIGHT($A465,1)))= 0,"",INDEX($D$4:$H$1000,MATCH(VALUE(LEFT($A465,LEN($A465)-1)),$A$4:$A$1000,0),VALUE(RIGHT($A465,1)))),"")</f>
        <v/>
      </c>
      <c r="D465" s="23" t="str">
        <f>IFERROR(IF(INDEX(使用レシピ!F:F,MATCH(テンプレート!$C465,使用レシピ!$E:$E,0))&lt;&gt;0,INDEX(使用レシピ!F:F,MATCH(テンプレート!$C465,使用レシピ!$E:$E,0)),""),"")</f>
        <v/>
      </c>
      <c r="E465" t="str">
        <f>IFERROR(IF(INDEX(使用レシピ!G:G,MATCH(テンプレート!$C465,使用レシピ!$E:$E,0))&lt;&gt;0,INDEX(使用レシピ!G:G,MATCH(テンプレート!$C465,使用レシピ!$E:$E,0)),""),"")</f>
        <v/>
      </c>
      <c r="F465" t="str">
        <f>IFERROR(IF(INDEX(使用レシピ!H:H,MATCH(テンプレート!$C465,使用レシピ!$E:$E,0))&lt;&gt;0,INDEX(使用レシピ!H:H,MATCH(テンプレート!$C465,使用レシピ!$E:$E,0)),""),"")</f>
        <v/>
      </c>
      <c r="G465" t="str">
        <f>IFERROR(IF(INDEX(使用レシピ!I:I,MATCH(テンプレート!$C465,使用レシピ!$E:$E,0))&lt;&gt;0,INDEX(使用レシピ!I:I,MATCH(テンプレート!$C465,使用レシピ!$E:$E,0)),""),"")</f>
        <v/>
      </c>
      <c r="H465" s="24" t="str">
        <f>IFERROR(IF(INDEX(使用レシピ!J:J,MATCH(テンプレート!$C465,使用レシピ!$E:$E,0))&lt;&gt;0,INDEX(使用レシピ!J:J,MATCH(テンプレート!$C465,使用レシピ!$E:$E,0)),""),"")</f>
        <v/>
      </c>
      <c r="I465" s="36" t="str">
        <f>IFERROR(IF(INDEX(使用レシピ!P:P,MATCH(テンプレート!$C465,使用レシピ!$E:$E,0))&lt;&gt;0,INDEX(使用レシピ!P:P,MATCH(テンプレート!$C465,使用レシピ!$E:$E,0)),""),"")</f>
        <v/>
      </c>
      <c r="J465" t="str">
        <f>IFERROR(IF(INDEX(使用レシピ!K:K,MATCH(テンプレート!$C465,使用レシピ!$E:$E,0))&lt;&gt;0,INDEX(使用レシピ!K:K,MATCH(テンプレート!$C465,使用レシピ!$E:$E,0)),""),"")</f>
        <v/>
      </c>
      <c r="K465" t="str">
        <f>IFERROR(IF(INDEX(使用レシピ!L:L,MATCH(テンプレート!$C465,使用レシピ!$E:$E,0))&lt;&gt;0,INDEX(使用レシピ!L:L,MATCH(テンプレート!$C465,使用レシピ!$E:$E,0)),""),"")</f>
        <v/>
      </c>
      <c r="L465" t="str">
        <f>IFERROR(IF(INDEX(使用レシピ!M:M,MATCH(テンプレート!$C465,使用レシピ!$E:$E,0))&lt;&gt;0,INDEX(使用レシピ!M:M,MATCH(テンプレート!$C465,使用レシピ!$E:$E,0)),""),"")</f>
        <v/>
      </c>
      <c r="M465" t="str">
        <f>IFERROR(IF(INDEX(使用レシピ!N:N,MATCH(テンプレート!$C465,使用レシピ!$E:$E,0))&lt;&gt;0,INDEX(使用レシピ!N:N,MATCH(テンプレート!$C465,使用レシピ!$E:$E,0)),""),"")</f>
        <v/>
      </c>
      <c r="N465" s="24" t="str">
        <f>IFERROR(IF(INDEX(使用レシピ!O:O,MATCH(テンプレート!$C465,使用レシピ!$E:$E,0))&lt;&gt;0,INDEX(使用レシピ!O:O,MATCH(テンプレート!$C465,使用レシピ!$E:$E,0)),""),"")</f>
        <v/>
      </c>
      <c r="O465" s="36" t="str">
        <f>IFERROR(IF(INDEX(使用レシピ!P:P,MATCH(テンプレート!$C465,使用レシピ!$E:$E,0))&lt;&gt;0,INDEX(使用レシピ!P:P,MATCH(テンプレート!$C465,使用レシピ!$E:$E,0)),""),"")</f>
        <v/>
      </c>
      <c r="P465" t="str">
        <f t="shared" si="36"/>
        <v/>
      </c>
      <c r="Q465" t="str">
        <f t="shared" si="37"/>
        <v/>
      </c>
      <c r="R465" t="str">
        <f t="shared" si="38"/>
        <v/>
      </c>
      <c r="S465" t="str">
        <f t="shared" si="39"/>
        <v/>
      </c>
      <c r="T465" s="24" t="str">
        <f t="shared" si="40"/>
        <v/>
      </c>
    </row>
    <row r="466" spans="2:20" x14ac:dyDescent="0.4">
      <c r="B466" s="49" t="str" cm="1">
        <f t="array" ref="B466">IFERROR((INDEX($P$4:$T$1000,MATCH(VALUE(LEFT($A466,LEN($A466)-1)),$A$4:$A$1000,0),VALUE(RIGHT($A466,1)))/ INDEX($O$4:$O$1000,MATCH(VALUE(LEFT($A466,LEN($A466)-1)),$A$4:$A$1000))) * INDEX($B$4:$B$1000,MATCH(VALUE(LEFT($A466,LEN($A466)-1)),$A$4:$A$1000)),"")</f>
        <v/>
      </c>
      <c r="C466" s="2" t="str" cm="1">
        <f t="array" ref="C466">IFERROR(IF(INDEX($D$4:$H$1000,MATCH(VALUE(LEFT($A466,LEN($A466)-1)),$A$4:$A$1000,0),VALUE(RIGHT($A466,1)))= 0,"",INDEX($D$4:$H$1000,MATCH(VALUE(LEFT($A466,LEN($A466)-1)),$A$4:$A$1000,0),VALUE(RIGHT($A466,1)))),"")</f>
        <v/>
      </c>
      <c r="D466" s="23" t="str">
        <f>IFERROR(IF(INDEX(使用レシピ!F:F,MATCH(テンプレート!$C466,使用レシピ!$E:$E,0))&lt;&gt;0,INDEX(使用レシピ!F:F,MATCH(テンプレート!$C466,使用レシピ!$E:$E,0)),""),"")</f>
        <v/>
      </c>
      <c r="E466" t="str">
        <f>IFERROR(IF(INDEX(使用レシピ!G:G,MATCH(テンプレート!$C466,使用レシピ!$E:$E,0))&lt;&gt;0,INDEX(使用レシピ!G:G,MATCH(テンプレート!$C466,使用レシピ!$E:$E,0)),""),"")</f>
        <v/>
      </c>
      <c r="F466" t="str">
        <f>IFERROR(IF(INDEX(使用レシピ!H:H,MATCH(テンプレート!$C466,使用レシピ!$E:$E,0))&lt;&gt;0,INDEX(使用レシピ!H:H,MATCH(テンプレート!$C466,使用レシピ!$E:$E,0)),""),"")</f>
        <v/>
      </c>
      <c r="G466" t="str">
        <f>IFERROR(IF(INDEX(使用レシピ!I:I,MATCH(テンプレート!$C466,使用レシピ!$E:$E,0))&lt;&gt;0,INDEX(使用レシピ!I:I,MATCH(テンプレート!$C466,使用レシピ!$E:$E,0)),""),"")</f>
        <v/>
      </c>
      <c r="H466" s="24" t="str">
        <f>IFERROR(IF(INDEX(使用レシピ!J:J,MATCH(テンプレート!$C466,使用レシピ!$E:$E,0))&lt;&gt;0,INDEX(使用レシピ!J:J,MATCH(テンプレート!$C466,使用レシピ!$E:$E,0)),""),"")</f>
        <v/>
      </c>
      <c r="I466" s="36" t="str">
        <f>IFERROR(IF(INDEX(使用レシピ!P:P,MATCH(テンプレート!$C466,使用レシピ!$E:$E,0))&lt;&gt;0,INDEX(使用レシピ!P:P,MATCH(テンプレート!$C466,使用レシピ!$E:$E,0)),""),"")</f>
        <v/>
      </c>
      <c r="J466" t="str">
        <f>IFERROR(IF(INDEX(使用レシピ!K:K,MATCH(テンプレート!$C466,使用レシピ!$E:$E,0))&lt;&gt;0,INDEX(使用レシピ!K:K,MATCH(テンプレート!$C466,使用レシピ!$E:$E,0)),""),"")</f>
        <v/>
      </c>
      <c r="K466" t="str">
        <f>IFERROR(IF(INDEX(使用レシピ!L:L,MATCH(テンプレート!$C466,使用レシピ!$E:$E,0))&lt;&gt;0,INDEX(使用レシピ!L:L,MATCH(テンプレート!$C466,使用レシピ!$E:$E,0)),""),"")</f>
        <v/>
      </c>
      <c r="L466" t="str">
        <f>IFERROR(IF(INDEX(使用レシピ!M:M,MATCH(テンプレート!$C466,使用レシピ!$E:$E,0))&lt;&gt;0,INDEX(使用レシピ!M:M,MATCH(テンプレート!$C466,使用レシピ!$E:$E,0)),""),"")</f>
        <v/>
      </c>
      <c r="M466" t="str">
        <f>IFERROR(IF(INDEX(使用レシピ!N:N,MATCH(テンプレート!$C466,使用レシピ!$E:$E,0))&lt;&gt;0,INDEX(使用レシピ!N:N,MATCH(テンプレート!$C466,使用レシピ!$E:$E,0)),""),"")</f>
        <v/>
      </c>
      <c r="N466" s="24" t="str">
        <f>IFERROR(IF(INDEX(使用レシピ!O:O,MATCH(テンプレート!$C466,使用レシピ!$E:$E,0))&lt;&gt;0,INDEX(使用レシピ!O:O,MATCH(テンプレート!$C466,使用レシピ!$E:$E,0)),""),"")</f>
        <v/>
      </c>
      <c r="O466" s="36" t="str">
        <f>IFERROR(IF(INDEX(使用レシピ!P:P,MATCH(テンプレート!$C466,使用レシピ!$E:$E,0))&lt;&gt;0,INDEX(使用レシピ!P:P,MATCH(テンプレート!$C466,使用レシピ!$E:$E,0)),""),"")</f>
        <v/>
      </c>
      <c r="P466" t="str">
        <f t="shared" si="36"/>
        <v/>
      </c>
      <c r="Q466" t="str">
        <f t="shared" si="37"/>
        <v/>
      </c>
      <c r="R466" t="str">
        <f t="shared" si="38"/>
        <v/>
      </c>
      <c r="S466" t="str">
        <f t="shared" si="39"/>
        <v/>
      </c>
      <c r="T466" s="24" t="str">
        <f t="shared" si="40"/>
        <v/>
      </c>
    </row>
    <row r="467" spans="2:20" x14ac:dyDescent="0.4">
      <c r="B467" s="49" t="str" cm="1">
        <f t="array" ref="B467">IFERROR((INDEX($P$4:$T$1000,MATCH(VALUE(LEFT($A467,LEN($A467)-1)),$A$4:$A$1000,0),VALUE(RIGHT($A467,1)))/ INDEX($O$4:$O$1000,MATCH(VALUE(LEFT($A467,LEN($A467)-1)),$A$4:$A$1000))) * INDEX($B$4:$B$1000,MATCH(VALUE(LEFT($A467,LEN($A467)-1)),$A$4:$A$1000)),"")</f>
        <v/>
      </c>
      <c r="C467" s="2" t="str" cm="1">
        <f t="array" ref="C467">IFERROR(IF(INDEX($D$4:$H$1000,MATCH(VALUE(LEFT($A467,LEN($A467)-1)),$A$4:$A$1000,0),VALUE(RIGHT($A467,1)))= 0,"",INDEX($D$4:$H$1000,MATCH(VALUE(LEFT($A467,LEN($A467)-1)),$A$4:$A$1000,0),VALUE(RIGHT($A467,1)))),"")</f>
        <v/>
      </c>
      <c r="D467" s="23" t="str">
        <f>IFERROR(IF(INDEX(使用レシピ!F:F,MATCH(テンプレート!$C467,使用レシピ!$E:$E,0))&lt;&gt;0,INDEX(使用レシピ!F:F,MATCH(テンプレート!$C467,使用レシピ!$E:$E,0)),""),"")</f>
        <v/>
      </c>
      <c r="E467" t="str">
        <f>IFERROR(IF(INDEX(使用レシピ!G:G,MATCH(テンプレート!$C467,使用レシピ!$E:$E,0))&lt;&gt;0,INDEX(使用レシピ!G:G,MATCH(テンプレート!$C467,使用レシピ!$E:$E,0)),""),"")</f>
        <v/>
      </c>
      <c r="F467" t="str">
        <f>IFERROR(IF(INDEX(使用レシピ!H:H,MATCH(テンプレート!$C467,使用レシピ!$E:$E,0))&lt;&gt;0,INDEX(使用レシピ!H:H,MATCH(テンプレート!$C467,使用レシピ!$E:$E,0)),""),"")</f>
        <v/>
      </c>
      <c r="G467" t="str">
        <f>IFERROR(IF(INDEX(使用レシピ!I:I,MATCH(テンプレート!$C467,使用レシピ!$E:$E,0))&lt;&gt;0,INDEX(使用レシピ!I:I,MATCH(テンプレート!$C467,使用レシピ!$E:$E,0)),""),"")</f>
        <v/>
      </c>
      <c r="H467" s="24" t="str">
        <f>IFERROR(IF(INDEX(使用レシピ!J:J,MATCH(テンプレート!$C467,使用レシピ!$E:$E,0))&lt;&gt;0,INDEX(使用レシピ!J:J,MATCH(テンプレート!$C467,使用レシピ!$E:$E,0)),""),"")</f>
        <v/>
      </c>
      <c r="I467" s="36" t="str">
        <f>IFERROR(IF(INDEX(使用レシピ!P:P,MATCH(テンプレート!$C467,使用レシピ!$E:$E,0))&lt;&gt;0,INDEX(使用レシピ!P:P,MATCH(テンプレート!$C467,使用レシピ!$E:$E,0)),""),"")</f>
        <v/>
      </c>
      <c r="J467" t="str">
        <f>IFERROR(IF(INDEX(使用レシピ!K:K,MATCH(テンプレート!$C467,使用レシピ!$E:$E,0))&lt;&gt;0,INDEX(使用レシピ!K:K,MATCH(テンプレート!$C467,使用レシピ!$E:$E,0)),""),"")</f>
        <v/>
      </c>
      <c r="K467" t="str">
        <f>IFERROR(IF(INDEX(使用レシピ!L:L,MATCH(テンプレート!$C467,使用レシピ!$E:$E,0))&lt;&gt;0,INDEX(使用レシピ!L:L,MATCH(テンプレート!$C467,使用レシピ!$E:$E,0)),""),"")</f>
        <v/>
      </c>
      <c r="L467" t="str">
        <f>IFERROR(IF(INDEX(使用レシピ!M:M,MATCH(テンプレート!$C467,使用レシピ!$E:$E,0))&lt;&gt;0,INDEX(使用レシピ!M:M,MATCH(テンプレート!$C467,使用レシピ!$E:$E,0)),""),"")</f>
        <v/>
      </c>
      <c r="M467" t="str">
        <f>IFERROR(IF(INDEX(使用レシピ!N:N,MATCH(テンプレート!$C467,使用レシピ!$E:$E,0))&lt;&gt;0,INDEX(使用レシピ!N:N,MATCH(テンプレート!$C467,使用レシピ!$E:$E,0)),""),"")</f>
        <v/>
      </c>
      <c r="N467" s="24" t="str">
        <f>IFERROR(IF(INDEX(使用レシピ!O:O,MATCH(テンプレート!$C467,使用レシピ!$E:$E,0))&lt;&gt;0,INDEX(使用レシピ!O:O,MATCH(テンプレート!$C467,使用レシピ!$E:$E,0)),""),"")</f>
        <v/>
      </c>
      <c r="O467" s="36" t="str">
        <f>IFERROR(IF(INDEX(使用レシピ!P:P,MATCH(テンプレート!$C467,使用レシピ!$E:$E,0))&lt;&gt;0,INDEX(使用レシピ!P:P,MATCH(テンプレート!$C467,使用レシピ!$E:$E,0)),""),"")</f>
        <v/>
      </c>
      <c r="P467" t="str">
        <f t="shared" si="36"/>
        <v/>
      </c>
      <c r="Q467" t="str">
        <f t="shared" si="37"/>
        <v/>
      </c>
      <c r="R467" t="str">
        <f t="shared" si="38"/>
        <v/>
      </c>
      <c r="S467" t="str">
        <f t="shared" si="39"/>
        <v/>
      </c>
      <c r="T467" s="24" t="str">
        <f t="shared" si="40"/>
        <v/>
      </c>
    </row>
    <row r="468" spans="2:20" x14ac:dyDescent="0.4">
      <c r="B468" s="49" t="str" cm="1">
        <f t="array" ref="B468">IFERROR((INDEX($P$4:$T$1000,MATCH(VALUE(LEFT($A468,LEN($A468)-1)),$A$4:$A$1000,0),VALUE(RIGHT($A468,1)))/ INDEX($O$4:$O$1000,MATCH(VALUE(LEFT($A468,LEN($A468)-1)),$A$4:$A$1000))) * INDEX($B$4:$B$1000,MATCH(VALUE(LEFT($A468,LEN($A468)-1)),$A$4:$A$1000)),"")</f>
        <v/>
      </c>
      <c r="C468" s="2" t="str" cm="1">
        <f t="array" ref="C468">IFERROR(IF(INDEX($D$4:$H$1000,MATCH(VALUE(LEFT($A468,LEN($A468)-1)),$A$4:$A$1000,0),VALUE(RIGHT($A468,1)))= 0,"",INDEX($D$4:$H$1000,MATCH(VALUE(LEFT($A468,LEN($A468)-1)),$A$4:$A$1000,0),VALUE(RIGHT($A468,1)))),"")</f>
        <v/>
      </c>
      <c r="D468" s="23" t="str">
        <f>IFERROR(IF(INDEX(使用レシピ!F:F,MATCH(テンプレート!$C468,使用レシピ!$E:$E,0))&lt;&gt;0,INDEX(使用レシピ!F:F,MATCH(テンプレート!$C468,使用レシピ!$E:$E,0)),""),"")</f>
        <v/>
      </c>
      <c r="E468" t="str">
        <f>IFERROR(IF(INDEX(使用レシピ!G:G,MATCH(テンプレート!$C468,使用レシピ!$E:$E,0))&lt;&gt;0,INDEX(使用レシピ!G:G,MATCH(テンプレート!$C468,使用レシピ!$E:$E,0)),""),"")</f>
        <v/>
      </c>
      <c r="F468" t="str">
        <f>IFERROR(IF(INDEX(使用レシピ!H:H,MATCH(テンプレート!$C468,使用レシピ!$E:$E,0))&lt;&gt;0,INDEX(使用レシピ!H:H,MATCH(テンプレート!$C468,使用レシピ!$E:$E,0)),""),"")</f>
        <v/>
      </c>
      <c r="G468" t="str">
        <f>IFERROR(IF(INDEX(使用レシピ!I:I,MATCH(テンプレート!$C468,使用レシピ!$E:$E,0))&lt;&gt;0,INDEX(使用レシピ!I:I,MATCH(テンプレート!$C468,使用レシピ!$E:$E,0)),""),"")</f>
        <v/>
      </c>
      <c r="H468" s="24" t="str">
        <f>IFERROR(IF(INDEX(使用レシピ!J:J,MATCH(テンプレート!$C468,使用レシピ!$E:$E,0))&lt;&gt;0,INDEX(使用レシピ!J:J,MATCH(テンプレート!$C468,使用レシピ!$E:$E,0)),""),"")</f>
        <v/>
      </c>
      <c r="I468" s="36" t="str">
        <f>IFERROR(IF(INDEX(使用レシピ!P:P,MATCH(テンプレート!$C468,使用レシピ!$E:$E,0))&lt;&gt;0,INDEX(使用レシピ!P:P,MATCH(テンプレート!$C468,使用レシピ!$E:$E,0)),""),"")</f>
        <v/>
      </c>
      <c r="J468" t="str">
        <f>IFERROR(IF(INDEX(使用レシピ!K:K,MATCH(テンプレート!$C468,使用レシピ!$E:$E,0))&lt;&gt;0,INDEX(使用レシピ!K:K,MATCH(テンプレート!$C468,使用レシピ!$E:$E,0)),""),"")</f>
        <v/>
      </c>
      <c r="K468" t="str">
        <f>IFERROR(IF(INDEX(使用レシピ!L:L,MATCH(テンプレート!$C468,使用レシピ!$E:$E,0))&lt;&gt;0,INDEX(使用レシピ!L:L,MATCH(テンプレート!$C468,使用レシピ!$E:$E,0)),""),"")</f>
        <v/>
      </c>
      <c r="L468" t="str">
        <f>IFERROR(IF(INDEX(使用レシピ!M:M,MATCH(テンプレート!$C468,使用レシピ!$E:$E,0))&lt;&gt;0,INDEX(使用レシピ!M:M,MATCH(テンプレート!$C468,使用レシピ!$E:$E,0)),""),"")</f>
        <v/>
      </c>
      <c r="M468" t="str">
        <f>IFERROR(IF(INDEX(使用レシピ!N:N,MATCH(テンプレート!$C468,使用レシピ!$E:$E,0))&lt;&gt;0,INDEX(使用レシピ!N:N,MATCH(テンプレート!$C468,使用レシピ!$E:$E,0)),""),"")</f>
        <v/>
      </c>
      <c r="N468" s="24" t="str">
        <f>IFERROR(IF(INDEX(使用レシピ!O:O,MATCH(テンプレート!$C468,使用レシピ!$E:$E,0))&lt;&gt;0,INDEX(使用レシピ!O:O,MATCH(テンプレート!$C468,使用レシピ!$E:$E,0)),""),"")</f>
        <v/>
      </c>
      <c r="O468" s="36" t="str">
        <f>IFERROR(IF(INDEX(使用レシピ!P:P,MATCH(テンプレート!$C468,使用レシピ!$E:$E,0))&lt;&gt;0,INDEX(使用レシピ!P:P,MATCH(テンプレート!$C468,使用レシピ!$E:$E,0)),""),"")</f>
        <v/>
      </c>
      <c r="P468" t="str">
        <f t="shared" si="36"/>
        <v/>
      </c>
      <c r="Q468" t="str">
        <f t="shared" si="37"/>
        <v/>
      </c>
      <c r="R468" t="str">
        <f t="shared" si="38"/>
        <v/>
      </c>
      <c r="S468" t="str">
        <f t="shared" si="39"/>
        <v/>
      </c>
      <c r="T468" s="24" t="str">
        <f t="shared" si="40"/>
        <v/>
      </c>
    </row>
    <row r="469" spans="2:20" x14ac:dyDescent="0.4">
      <c r="B469" s="49" t="str" cm="1">
        <f t="array" ref="B469">IFERROR((INDEX($P$4:$T$1000,MATCH(VALUE(LEFT($A469,LEN($A469)-1)),$A$4:$A$1000,0),VALUE(RIGHT($A469,1)))/ INDEX($O$4:$O$1000,MATCH(VALUE(LEFT($A469,LEN($A469)-1)),$A$4:$A$1000))) * INDEX($B$4:$B$1000,MATCH(VALUE(LEFT($A469,LEN($A469)-1)),$A$4:$A$1000)),"")</f>
        <v/>
      </c>
      <c r="C469" s="2" t="str" cm="1">
        <f t="array" ref="C469">IFERROR(IF(INDEX($D$4:$H$1000,MATCH(VALUE(LEFT($A469,LEN($A469)-1)),$A$4:$A$1000,0),VALUE(RIGHT($A469,1)))= 0,"",INDEX($D$4:$H$1000,MATCH(VALUE(LEFT($A469,LEN($A469)-1)),$A$4:$A$1000,0),VALUE(RIGHT($A469,1)))),"")</f>
        <v/>
      </c>
      <c r="D469" s="23" t="str">
        <f>IFERROR(IF(INDEX(使用レシピ!F:F,MATCH(テンプレート!$C469,使用レシピ!$E:$E,0))&lt;&gt;0,INDEX(使用レシピ!F:F,MATCH(テンプレート!$C469,使用レシピ!$E:$E,0)),""),"")</f>
        <v/>
      </c>
      <c r="E469" t="str">
        <f>IFERROR(IF(INDEX(使用レシピ!G:G,MATCH(テンプレート!$C469,使用レシピ!$E:$E,0))&lt;&gt;0,INDEX(使用レシピ!G:G,MATCH(テンプレート!$C469,使用レシピ!$E:$E,0)),""),"")</f>
        <v/>
      </c>
      <c r="F469" t="str">
        <f>IFERROR(IF(INDEX(使用レシピ!H:H,MATCH(テンプレート!$C469,使用レシピ!$E:$E,0))&lt;&gt;0,INDEX(使用レシピ!H:H,MATCH(テンプレート!$C469,使用レシピ!$E:$E,0)),""),"")</f>
        <v/>
      </c>
      <c r="G469" t="str">
        <f>IFERROR(IF(INDEX(使用レシピ!I:I,MATCH(テンプレート!$C469,使用レシピ!$E:$E,0))&lt;&gt;0,INDEX(使用レシピ!I:I,MATCH(テンプレート!$C469,使用レシピ!$E:$E,0)),""),"")</f>
        <v/>
      </c>
      <c r="H469" s="24" t="str">
        <f>IFERROR(IF(INDEX(使用レシピ!J:J,MATCH(テンプレート!$C469,使用レシピ!$E:$E,0))&lt;&gt;0,INDEX(使用レシピ!J:J,MATCH(テンプレート!$C469,使用レシピ!$E:$E,0)),""),"")</f>
        <v/>
      </c>
      <c r="I469" s="36" t="str">
        <f>IFERROR(IF(INDEX(使用レシピ!P:P,MATCH(テンプレート!$C469,使用レシピ!$E:$E,0))&lt;&gt;0,INDEX(使用レシピ!P:P,MATCH(テンプレート!$C469,使用レシピ!$E:$E,0)),""),"")</f>
        <v/>
      </c>
      <c r="J469" t="str">
        <f>IFERROR(IF(INDEX(使用レシピ!K:K,MATCH(テンプレート!$C469,使用レシピ!$E:$E,0))&lt;&gt;0,INDEX(使用レシピ!K:K,MATCH(テンプレート!$C469,使用レシピ!$E:$E,0)),""),"")</f>
        <v/>
      </c>
      <c r="K469" t="str">
        <f>IFERROR(IF(INDEX(使用レシピ!L:L,MATCH(テンプレート!$C469,使用レシピ!$E:$E,0))&lt;&gt;0,INDEX(使用レシピ!L:L,MATCH(テンプレート!$C469,使用レシピ!$E:$E,0)),""),"")</f>
        <v/>
      </c>
      <c r="L469" t="str">
        <f>IFERROR(IF(INDEX(使用レシピ!M:M,MATCH(テンプレート!$C469,使用レシピ!$E:$E,0))&lt;&gt;0,INDEX(使用レシピ!M:M,MATCH(テンプレート!$C469,使用レシピ!$E:$E,0)),""),"")</f>
        <v/>
      </c>
      <c r="M469" t="str">
        <f>IFERROR(IF(INDEX(使用レシピ!N:N,MATCH(テンプレート!$C469,使用レシピ!$E:$E,0))&lt;&gt;0,INDEX(使用レシピ!N:N,MATCH(テンプレート!$C469,使用レシピ!$E:$E,0)),""),"")</f>
        <v/>
      </c>
      <c r="N469" s="24" t="str">
        <f>IFERROR(IF(INDEX(使用レシピ!O:O,MATCH(テンプレート!$C469,使用レシピ!$E:$E,0))&lt;&gt;0,INDEX(使用レシピ!O:O,MATCH(テンプレート!$C469,使用レシピ!$E:$E,0)),""),"")</f>
        <v/>
      </c>
      <c r="O469" s="36" t="str">
        <f>IFERROR(IF(INDEX(使用レシピ!P:P,MATCH(テンプレート!$C469,使用レシピ!$E:$E,0))&lt;&gt;0,INDEX(使用レシピ!P:P,MATCH(テンプレート!$C469,使用レシピ!$E:$E,0)),""),"")</f>
        <v/>
      </c>
      <c r="P469" t="str">
        <f t="shared" si="36"/>
        <v/>
      </c>
      <c r="Q469" t="str">
        <f t="shared" si="37"/>
        <v/>
      </c>
      <c r="R469" t="str">
        <f t="shared" si="38"/>
        <v/>
      </c>
      <c r="S469" t="str">
        <f t="shared" si="39"/>
        <v/>
      </c>
      <c r="T469" s="24" t="str">
        <f t="shared" si="40"/>
        <v/>
      </c>
    </row>
    <row r="470" spans="2:20" x14ac:dyDescent="0.4">
      <c r="B470" s="49" t="str" cm="1">
        <f t="array" ref="B470">IFERROR((INDEX($P$4:$T$1000,MATCH(VALUE(LEFT($A470,LEN($A470)-1)),$A$4:$A$1000,0),VALUE(RIGHT($A470,1)))/ INDEX($O$4:$O$1000,MATCH(VALUE(LEFT($A470,LEN($A470)-1)),$A$4:$A$1000))) * INDEX($B$4:$B$1000,MATCH(VALUE(LEFT($A470,LEN($A470)-1)),$A$4:$A$1000)),"")</f>
        <v/>
      </c>
      <c r="C470" s="2" t="str" cm="1">
        <f t="array" ref="C470">IFERROR(IF(INDEX($D$4:$H$1000,MATCH(VALUE(LEFT($A470,LEN($A470)-1)),$A$4:$A$1000,0),VALUE(RIGHT($A470,1)))= 0,"",INDEX($D$4:$H$1000,MATCH(VALUE(LEFT($A470,LEN($A470)-1)),$A$4:$A$1000,0),VALUE(RIGHT($A470,1)))),"")</f>
        <v/>
      </c>
      <c r="D470" s="23" t="str">
        <f>IFERROR(IF(INDEX(使用レシピ!F:F,MATCH(テンプレート!$C470,使用レシピ!$E:$E,0))&lt;&gt;0,INDEX(使用レシピ!F:F,MATCH(テンプレート!$C470,使用レシピ!$E:$E,0)),""),"")</f>
        <v/>
      </c>
      <c r="E470" t="str">
        <f>IFERROR(IF(INDEX(使用レシピ!G:G,MATCH(テンプレート!$C470,使用レシピ!$E:$E,0))&lt;&gt;0,INDEX(使用レシピ!G:G,MATCH(テンプレート!$C470,使用レシピ!$E:$E,0)),""),"")</f>
        <v/>
      </c>
      <c r="F470" t="str">
        <f>IFERROR(IF(INDEX(使用レシピ!H:H,MATCH(テンプレート!$C470,使用レシピ!$E:$E,0))&lt;&gt;0,INDEX(使用レシピ!H:H,MATCH(テンプレート!$C470,使用レシピ!$E:$E,0)),""),"")</f>
        <v/>
      </c>
      <c r="G470" t="str">
        <f>IFERROR(IF(INDEX(使用レシピ!I:I,MATCH(テンプレート!$C470,使用レシピ!$E:$E,0))&lt;&gt;0,INDEX(使用レシピ!I:I,MATCH(テンプレート!$C470,使用レシピ!$E:$E,0)),""),"")</f>
        <v/>
      </c>
      <c r="H470" s="24" t="str">
        <f>IFERROR(IF(INDEX(使用レシピ!J:J,MATCH(テンプレート!$C470,使用レシピ!$E:$E,0))&lt;&gt;0,INDEX(使用レシピ!J:J,MATCH(テンプレート!$C470,使用レシピ!$E:$E,0)),""),"")</f>
        <v/>
      </c>
      <c r="I470" s="36" t="str">
        <f>IFERROR(IF(INDEX(使用レシピ!P:P,MATCH(テンプレート!$C470,使用レシピ!$E:$E,0))&lt;&gt;0,INDEX(使用レシピ!P:P,MATCH(テンプレート!$C470,使用レシピ!$E:$E,0)),""),"")</f>
        <v/>
      </c>
      <c r="J470" t="str">
        <f>IFERROR(IF(INDEX(使用レシピ!K:K,MATCH(テンプレート!$C470,使用レシピ!$E:$E,0))&lt;&gt;0,INDEX(使用レシピ!K:K,MATCH(テンプレート!$C470,使用レシピ!$E:$E,0)),""),"")</f>
        <v/>
      </c>
      <c r="K470" t="str">
        <f>IFERROR(IF(INDEX(使用レシピ!L:L,MATCH(テンプレート!$C470,使用レシピ!$E:$E,0))&lt;&gt;0,INDEX(使用レシピ!L:L,MATCH(テンプレート!$C470,使用レシピ!$E:$E,0)),""),"")</f>
        <v/>
      </c>
      <c r="L470" t="str">
        <f>IFERROR(IF(INDEX(使用レシピ!M:M,MATCH(テンプレート!$C470,使用レシピ!$E:$E,0))&lt;&gt;0,INDEX(使用レシピ!M:M,MATCH(テンプレート!$C470,使用レシピ!$E:$E,0)),""),"")</f>
        <v/>
      </c>
      <c r="M470" t="str">
        <f>IFERROR(IF(INDEX(使用レシピ!N:N,MATCH(テンプレート!$C470,使用レシピ!$E:$E,0))&lt;&gt;0,INDEX(使用レシピ!N:N,MATCH(テンプレート!$C470,使用レシピ!$E:$E,0)),""),"")</f>
        <v/>
      </c>
      <c r="N470" s="24" t="str">
        <f>IFERROR(IF(INDEX(使用レシピ!O:O,MATCH(テンプレート!$C470,使用レシピ!$E:$E,0))&lt;&gt;0,INDEX(使用レシピ!O:O,MATCH(テンプレート!$C470,使用レシピ!$E:$E,0)),""),"")</f>
        <v/>
      </c>
      <c r="O470" s="36" t="str">
        <f>IFERROR(IF(INDEX(使用レシピ!P:P,MATCH(テンプレート!$C470,使用レシピ!$E:$E,0))&lt;&gt;0,INDEX(使用レシピ!P:P,MATCH(テンプレート!$C470,使用レシピ!$E:$E,0)),""),"")</f>
        <v/>
      </c>
      <c r="P470" t="str">
        <f t="shared" si="36"/>
        <v/>
      </c>
      <c r="Q470" t="str">
        <f t="shared" si="37"/>
        <v/>
      </c>
      <c r="R470" t="str">
        <f t="shared" si="38"/>
        <v/>
      </c>
      <c r="S470" t="str">
        <f t="shared" si="39"/>
        <v/>
      </c>
      <c r="T470" s="24" t="str">
        <f t="shared" si="40"/>
        <v/>
      </c>
    </row>
    <row r="471" spans="2:20" x14ac:dyDescent="0.4">
      <c r="B471" s="49" t="str" cm="1">
        <f t="array" ref="B471">IFERROR((INDEX($P$4:$T$1000,MATCH(VALUE(LEFT($A471,LEN($A471)-1)),$A$4:$A$1000,0),VALUE(RIGHT($A471,1)))/ INDEX($O$4:$O$1000,MATCH(VALUE(LEFT($A471,LEN($A471)-1)),$A$4:$A$1000))) * INDEX($B$4:$B$1000,MATCH(VALUE(LEFT($A471,LEN($A471)-1)),$A$4:$A$1000)),"")</f>
        <v/>
      </c>
      <c r="C471" s="2" t="str" cm="1">
        <f t="array" ref="C471">IFERROR(IF(INDEX($D$4:$H$1000,MATCH(VALUE(LEFT($A471,LEN($A471)-1)),$A$4:$A$1000,0),VALUE(RIGHT($A471,1)))= 0,"",INDEX($D$4:$H$1000,MATCH(VALUE(LEFT($A471,LEN($A471)-1)),$A$4:$A$1000,0),VALUE(RIGHT($A471,1)))),"")</f>
        <v/>
      </c>
      <c r="D471" s="23" t="str">
        <f>IFERROR(IF(INDEX(使用レシピ!F:F,MATCH(テンプレート!$C471,使用レシピ!$E:$E,0))&lt;&gt;0,INDEX(使用レシピ!F:F,MATCH(テンプレート!$C471,使用レシピ!$E:$E,0)),""),"")</f>
        <v/>
      </c>
      <c r="E471" t="str">
        <f>IFERROR(IF(INDEX(使用レシピ!G:G,MATCH(テンプレート!$C471,使用レシピ!$E:$E,0))&lt;&gt;0,INDEX(使用レシピ!G:G,MATCH(テンプレート!$C471,使用レシピ!$E:$E,0)),""),"")</f>
        <v/>
      </c>
      <c r="F471" t="str">
        <f>IFERROR(IF(INDEX(使用レシピ!H:H,MATCH(テンプレート!$C471,使用レシピ!$E:$E,0))&lt;&gt;0,INDEX(使用レシピ!H:H,MATCH(テンプレート!$C471,使用レシピ!$E:$E,0)),""),"")</f>
        <v/>
      </c>
      <c r="G471" t="str">
        <f>IFERROR(IF(INDEX(使用レシピ!I:I,MATCH(テンプレート!$C471,使用レシピ!$E:$E,0))&lt;&gt;0,INDEX(使用レシピ!I:I,MATCH(テンプレート!$C471,使用レシピ!$E:$E,0)),""),"")</f>
        <v/>
      </c>
      <c r="H471" s="24" t="str">
        <f>IFERROR(IF(INDEX(使用レシピ!J:J,MATCH(テンプレート!$C471,使用レシピ!$E:$E,0))&lt;&gt;0,INDEX(使用レシピ!J:J,MATCH(テンプレート!$C471,使用レシピ!$E:$E,0)),""),"")</f>
        <v/>
      </c>
      <c r="I471" s="36" t="str">
        <f>IFERROR(IF(INDEX(使用レシピ!P:P,MATCH(テンプレート!$C471,使用レシピ!$E:$E,0))&lt;&gt;0,INDEX(使用レシピ!P:P,MATCH(テンプレート!$C471,使用レシピ!$E:$E,0)),""),"")</f>
        <v/>
      </c>
      <c r="J471" t="str">
        <f>IFERROR(IF(INDEX(使用レシピ!K:K,MATCH(テンプレート!$C471,使用レシピ!$E:$E,0))&lt;&gt;0,INDEX(使用レシピ!K:K,MATCH(テンプレート!$C471,使用レシピ!$E:$E,0)),""),"")</f>
        <v/>
      </c>
      <c r="K471" t="str">
        <f>IFERROR(IF(INDEX(使用レシピ!L:L,MATCH(テンプレート!$C471,使用レシピ!$E:$E,0))&lt;&gt;0,INDEX(使用レシピ!L:L,MATCH(テンプレート!$C471,使用レシピ!$E:$E,0)),""),"")</f>
        <v/>
      </c>
      <c r="L471" t="str">
        <f>IFERROR(IF(INDEX(使用レシピ!M:M,MATCH(テンプレート!$C471,使用レシピ!$E:$E,0))&lt;&gt;0,INDEX(使用レシピ!M:M,MATCH(テンプレート!$C471,使用レシピ!$E:$E,0)),""),"")</f>
        <v/>
      </c>
      <c r="M471" t="str">
        <f>IFERROR(IF(INDEX(使用レシピ!N:N,MATCH(テンプレート!$C471,使用レシピ!$E:$E,0))&lt;&gt;0,INDEX(使用レシピ!N:N,MATCH(テンプレート!$C471,使用レシピ!$E:$E,0)),""),"")</f>
        <v/>
      </c>
      <c r="N471" s="24" t="str">
        <f>IFERROR(IF(INDEX(使用レシピ!O:O,MATCH(テンプレート!$C471,使用レシピ!$E:$E,0))&lt;&gt;0,INDEX(使用レシピ!O:O,MATCH(テンプレート!$C471,使用レシピ!$E:$E,0)),""),"")</f>
        <v/>
      </c>
      <c r="O471" s="36" t="str">
        <f>IFERROR(IF(INDEX(使用レシピ!P:P,MATCH(テンプレート!$C471,使用レシピ!$E:$E,0))&lt;&gt;0,INDEX(使用レシピ!P:P,MATCH(テンプレート!$C471,使用レシピ!$E:$E,0)),""),"")</f>
        <v/>
      </c>
      <c r="P471" t="str">
        <f t="shared" si="36"/>
        <v/>
      </c>
      <c r="Q471" t="str">
        <f t="shared" si="37"/>
        <v/>
      </c>
      <c r="R471" t="str">
        <f t="shared" si="38"/>
        <v/>
      </c>
      <c r="S471" t="str">
        <f t="shared" si="39"/>
        <v/>
      </c>
      <c r="T471" s="24" t="str">
        <f t="shared" si="40"/>
        <v/>
      </c>
    </row>
    <row r="472" spans="2:20" x14ac:dyDescent="0.4">
      <c r="B472" s="49" t="str" cm="1">
        <f t="array" ref="B472">IFERROR((INDEX($P$4:$T$1000,MATCH(VALUE(LEFT($A472,LEN($A472)-1)),$A$4:$A$1000,0),VALUE(RIGHT($A472,1)))/ INDEX($O$4:$O$1000,MATCH(VALUE(LEFT($A472,LEN($A472)-1)),$A$4:$A$1000))) * INDEX($B$4:$B$1000,MATCH(VALUE(LEFT($A472,LEN($A472)-1)),$A$4:$A$1000)),"")</f>
        <v/>
      </c>
      <c r="C472" s="2" t="str" cm="1">
        <f t="array" ref="C472">IFERROR(IF(INDEX($D$4:$H$1000,MATCH(VALUE(LEFT($A472,LEN($A472)-1)),$A$4:$A$1000,0),VALUE(RIGHT($A472,1)))= 0,"",INDEX($D$4:$H$1000,MATCH(VALUE(LEFT($A472,LEN($A472)-1)),$A$4:$A$1000,0),VALUE(RIGHT($A472,1)))),"")</f>
        <v/>
      </c>
      <c r="D472" s="23" t="str">
        <f>IFERROR(IF(INDEX(使用レシピ!F:F,MATCH(テンプレート!$C472,使用レシピ!$E:$E,0))&lt;&gt;0,INDEX(使用レシピ!F:F,MATCH(テンプレート!$C472,使用レシピ!$E:$E,0)),""),"")</f>
        <v/>
      </c>
      <c r="E472" t="str">
        <f>IFERROR(IF(INDEX(使用レシピ!G:G,MATCH(テンプレート!$C472,使用レシピ!$E:$E,0))&lt;&gt;0,INDEX(使用レシピ!G:G,MATCH(テンプレート!$C472,使用レシピ!$E:$E,0)),""),"")</f>
        <v/>
      </c>
      <c r="F472" t="str">
        <f>IFERROR(IF(INDEX(使用レシピ!H:H,MATCH(テンプレート!$C472,使用レシピ!$E:$E,0))&lt;&gt;0,INDEX(使用レシピ!H:H,MATCH(テンプレート!$C472,使用レシピ!$E:$E,0)),""),"")</f>
        <v/>
      </c>
      <c r="G472" t="str">
        <f>IFERROR(IF(INDEX(使用レシピ!I:I,MATCH(テンプレート!$C472,使用レシピ!$E:$E,0))&lt;&gt;0,INDEX(使用レシピ!I:I,MATCH(テンプレート!$C472,使用レシピ!$E:$E,0)),""),"")</f>
        <v/>
      </c>
      <c r="H472" s="24" t="str">
        <f>IFERROR(IF(INDEX(使用レシピ!J:J,MATCH(テンプレート!$C472,使用レシピ!$E:$E,0))&lt;&gt;0,INDEX(使用レシピ!J:J,MATCH(テンプレート!$C472,使用レシピ!$E:$E,0)),""),"")</f>
        <v/>
      </c>
      <c r="I472" s="36" t="str">
        <f>IFERROR(IF(INDEX(使用レシピ!P:P,MATCH(テンプレート!$C472,使用レシピ!$E:$E,0))&lt;&gt;0,INDEX(使用レシピ!P:P,MATCH(テンプレート!$C472,使用レシピ!$E:$E,0)),""),"")</f>
        <v/>
      </c>
      <c r="J472" t="str">
        <f>IFERROR(IF(INDEX(使用レシピ!K:K,MATCH(テンプレート!$C472,使用レシピ!$E:$E,0))&lt;&gt;0,INDEX(使用レシピ!K:K,MATCH(テンプレート!$C472,使用レシピ!$E:$E,0)),""),"")</f>
        <v/>
      </c>
      <c r="K472" t="str">
        <f>IFERROR(IF(INDEX(使用レシピ!L:L,MATCH(テンプレート!$C472,使用レシピ!$E:$E,0))&lt;&gt;0,INDEX(使用レシピ!L:L,MATCH(テンプレート!$C472,使用レシピ!$E:$E,0)),""),"")</f>
        <v/>
      </c>
      <c r="L472" t="str">
        <f>IFERROR(IF(INDEX(使用レシピ!M:M,MATCH(テンプレート!$C472,使用レシピ!$E:$E,0))&lt;&gt;0,INDEX(使用レシピ!M:M,MATCH(テンプレート!$C472,使用レシピ!$E:$E,0)),""),"")</f>
        <v/>
      </c>
      <c r="M472" t="str">
        <f>IFERROR(IF(INDEX(使用レシピ!N:N,MATCH(テンプレート!$C472,使用レシピ!$E:$E,0))&lt;&gt;0,INDEX(使用レシピ!N:N,MATCH(テンプレート!$C472,使用レシピ!$E:$E,0)),""),"")</f>
        <v/>
      </c>
      <c r="N472" s="24" t="str">
        <f>IFERROR(IF(INDEX(使用レシピ!O:O,MATCH(テンプレート!$C472,使用レシピ!$E:$E,0))&lt;&gt;0,INDEX(使用レシピ!O:O,MATCH(テンプレート!$C472,使用レシピ!$E:$E,0)),""),"")</f>
        <v/>
      </c>
      <c r="O472" s="36" t="str">
        <f>IFERROR(IF(INDEX(使用レシピ!P:P,MATCH(テンプレート!$C472,使用レシピ!$E:$E,0))&lt;&gt;0,INDEX(使用レシピ!P:P,MATCH(テンプレート!$C472,使用レシピ!$E:$E,0)),""),"")</f>
        <v/>
      </c>
      <c r="P472" t="str">
        <f t="shared" si="36"/>
        <v/>
      </c>
      <c r="Q472" t="str">
        <f t="shared" si="37"/>
        <v/>
      </c>
      <c r="R472" t="str">
        <f t="shared" si="38"/>
        <v/>
      </c>
      <c r="S472" t="str">
        <f t="shared" si="39"/>
        <v/>
      </c>
      <c r="T472" s="24" t="str">
        <f t="shared" si="40"/>
        <v/>
      </c>
    </row>
    <row r="473" spans="2:20" x14ac:dyDescent="0.4">
      <c r="B473" s="49" t="str" cm="1">
        <f t="array" ref="B473">IFERROR((INDEX($P$4:$T$1000,MATCH(VALUE(LEFT($A473,LEN($A473)-1)),$A$4:$A$1000,0),VALUE(RIGHT($A473,1)))/ INDEX($O$4:$O$1000,MATCH(VALUE(LEFT($A473,LEN($A473)-1)),$A$4:$A$1000))) * INDEX($B$4:$B$1000,MATCH(VALUE(LEFT($A473,LEN($A473)-1)),$A$4:$A$1000)),"")</f>
        <v/>
      </c>
      <c r="C473" s="2" t="str" cm="1">
        <f t="array" ref="C473">IFERROR(IF(INDEX($D$4:$H$1000,MATCH(VALUE(LEFT($A473,LEN($A473)-1)),$A$4:$A$1000,0),VALUE(RIGHT($A473,1)))= 0,"",INDEX($D$4:$H$1000,MATCH(VALUE(LEFT($A473,LEN($A473)-1)),$A$4:$A$1000,0),VALUE(RIGHT($A473,1)))),"")</f>
        <v/>
      </c>
      <c r="D473" s="23" t="str">
        <f>IFERROR(IF(INDEX(使用レシピ!F:F,MATCH(テンプレート!$C473,使用レシピ!$E:$E,0))&lt;&gt;0,INDEX(使用レシピ!F:F,MATCH(テンプレート!$C473,使用レシピ!$E:$E,0)),""),"")</f>
        <v/>
      </c>
      <c r="E473" t="str">
        <f>IFERROR(IF(INDEX(使用レシピ!G:G,MATCH(テンプレート!$C473,使用レシピ!$E:$E,0))&lt;&gt;0,INDEX(使用レシピ!G:G,MATCH(テンプレート!$C473,使用レシピ!$E:$E,0)),""),"")</f>
        <v/>
      </c>
      <c r="F473" t="str">
        <f>IFERROR(IF(INDEX(使用レシピ!H:H,MATCH(テンプレート!$C473,使用レシピ!$E:$E,0))&lt;&gt;0,INDEX(使用レシピ!H:H,MATCH(テンプレート!$C473,使用レシピ!$E:$E,0)),""),"")</f>
        <v/>
      </c>
      <c r="G473" t="str">
        <f>IFERROR(IF(INDEX(使用レシピ!I:I,MATCH(テンプレート!$C473,使用レシピ!$E:$E,0))&lt;&gt;0,INDEX(使用レシピ!I:I,MATCH(テンプレート!$C473,使用レシピ!$E:$E,0)),""),"")</f>
        <v/>
      </c>
      <c r="H473" s="24" t="str">
        <f>IFERROR(IF(INDEX(使用レシピ!J:J,MATCH(テンプレート!$C473,使用レシピ!$E:$E,0))&lt;&gt;0,INDEX(使用レシピ!J:J,MATCH(テンプレート!$C473,使用レシピ!$E:$E,0)),""),"")</f>
        <v/>
      </c>
      <c r="I473" s="36" t="str">
        <f>IFERROR(IF(INDEX(使用レシピ!P:P,MATCH(テンプレート!$C473,使用レシピ!$E:$E,0))&lt;&gt;0,INDEX(使用レシピ!P:P,MATCH(テンプレート!$C473,使用レシピ!$E:$E,0)),""),"")</f>
        <v/>
      </c>
      <c r="J473" t="str">
        <f>IFERROR(IF(INDEX(使用レシピ!K:K,MATCH(テンプレート!$C473,使用レシピ!$E:$E,0))&lt;&gt;0,INDEX(使用レシピ!K:K,MATCH(テンプレート!$C473,使用レシピ!$E:$E,0)),""),"")</f>
        <v/>
      </c>
      <c r="K473" t="str">
        <f>IFERROR(IF(INDEX(使用レシピ!L:L,MATCH(テンプレート!$C473,使用レシピ!$E:$E,0))&lt;&gt;0,INDEX(使用レシピ!L:L,MATCH(テンプレート!$C473,使用レシピ!$E:$E,0)),""),"")</f>
        <v/>
      </c>
      <c r="L473" t="str">
        <f>IFERROR(IF(INDEX(使用レシピ!M:M,MATCH(テンプレート!$C473,使用レシピ!$E:$E,0))&lt;&gt;0,INDEX(使用レシピ!M:M,MATCH(テンプレート!$C473,使用レシピ!$E:$E,0)),""),"")</f>
        <v/>
      </c>
      <c r="M473" t="str">
        <f>IFERROR(IF(INDEX(使用レシピ!N:N,MATCH(テンプレート!$C473,使用レシピ!$E:$E,0))&lt;&gt;0,INDEX(使用レシピ!N:N,MATCH(テンプレート!$C473,使用レシピ!$E:$E,0)),""),"")</f>
        <v/>
      </c>
      <c r="N473" s="24" t="str">
        <f>IFERROR(IF(INDEX(使用レシピ!O:O,MATCH(テンプレート!$C473,使用レシピ!$E:$E,0))&lt;&gt;0,INDEX(使用レシピ!O:O,MATCH(テンプレート!$C473,使用レシピ!$E:$E,0)),""),"")</f>
        <v/>
      </c>
      <c r="O473" s="36" t="str">
        <f>IFERROR(IF(INDEX(使用レシピ!P:P,MATCH(テンプレート!$C473,使用レシピ!$E:$E,0))&lt;&gt;0,INDEX(使用レシピ!P:P,MATCH(テンプレート!$C473,使用レシピ!$E:$E,0)),""),"")</f>
        <v/>
      </c>
      <c r="P473" t="str">
        <f t="shared" si="36"/>
        <v/>
      </c>
      <c r="Q473" t="str">
        <f t="shared" si="37"/>
        <v/>
      </c>
      <c r="R473" t="str">
        <f t="shared" si="38"/>
        <v/>
      </c>
      <c r="S473" t="str">
        <f t="shared" si="39"/>
        <v/>
      </c>
      <c r="T473" s="24" t="str">
        <f t="shared" si="40"/>
        <v/>
      </c>
    </row>
    <row r="474" spans="2:20" x14ac:dyDescent="0.4">
      <c r="B474" s="49" t="str" cm="1">
        <f t="array" ref="B474">IFERROR((INDEX($P$4:$T$1000,MATCH(VALUE(LEFT($A474,LEN($A474)-1)),$A$4:$A$1000,0),VALUE(RIGHT($A474,1)))/ INDEX($O$4:$O$1000,MATCH(VALUE(LEFT($A474,LEN($A474)-1)),$A$4:$A$1000))) * INDEX($B$4:$B$1000,MATCH(VALUE(LEFT($A474,LEN($A474)-1)),$A$4:$A$1000)),"")</f>
        <v/>
      </c>
      <c r="C474" s="2" t="str" cm="1">
        <f t="array" ref="C474">IFERROR(IF(INDEX($D$4:$H$1000,MATCH(VALUE(LEFT($A474,LEN($A474)-1)),$A$4:$A$1000,0),VALUE(RIGHT($A474,1)))= 0,"",INDEX($D$4:$H$1000,MATCH(VALUE(LEFT($A474,LEN($A474)-1)),$A$4:$A$1000,0),VALUE(RIGHT($A474,1)))),"")</f>
        <v/>
      </c>
      <c r="D474" s="23" t="str">
        <f>IFERROR(IF(INDEX(使用レシピ!F:F,MATCH(テンプレート!$C474,使用レシピ!$E:$E,0))&lt;&gt;0,INDEX(使用レシピ!F:F,MATCH(テンプレート!$C474,使用レシピ!$E:$E,0)),""),"")</f>
        <v/>
      </c>
      <c r="E474" t="str">
        <f>IFERROR(IF(INDEX(使用レシピ!G:G,MATCH(テンプレート!$C474,使用レシピ!$E:$E,0))&lt;&gt;0,INDEX(使用レシピ!G:G,MATCH(テンプレート!$C474,使用レシピ!$E:$E,0)),""),"")</f>
        <v/>
      </c>
      <c r="F474" t="str">
        <f>IFERROR(IF(INDEX(使用レシピ!H:H,MATCH(テンプレート!$C474,使用レシピ!$E:$E,0))&lt;&gt;0,INDEX(使用レシピ!H:H,MATCH(テンプレート!$C474,使用レシピ!$E:$E,0)),""),"")</f>
        <v/>
      </c>
      <c r="G474" t="str">
        <f>IFERROR(IF(INDEX(使用レシピ!I:I,MATCH(テンプレート!$C474,使用レシピ!$E:$E,0))&lt;&gt;0,INDEX(使用レシピ!I:I,MATCH(テンプレート!$C474,使用レシピ!$E:$E,0)),""),"")</f>
        <v/>
      </c>
      <c r="H474" s="24" t="str">
        <f>IFERROR(IF(INDEX(使用レシピ!J:J,MATCH(テンプレート!$C474,使用レシピ!$E:$E,0))&lt;&gt;0,INDEX(使用レシピ!J:J,MATCH(テンプレート!$C474,使用レシピ!$E:$E,0)),""),"")</f>
        <v/>
      </c>
      <c r="I474" s="36" t="str">
        <f>IFERROR(IF(INDEX(使用レシピ!P:P,MATCH(テンプレート!$C474,使用レシピ!$E:$E,0))&lt;&gt;0,INDEX(使用レシピ!P:P,MATCH(テンプレート!$C474,使用レシピ!$E:$E,0)),""),"")</f>
        <v/>
      </c>
      <c r="J474" t="str">
        <f>IFERROR(IF(INDEX(使用レシピ!K:K,MATCH(テンプレート!$C474,使用レシピ!$E:$E,0))&lt;&gt;0,INDEX(使用レシピ!K:K,MATCH(テンプレート!$C474,使用レシピ!$E:$E,0)),""),"")</f>
        <v/>
      </c>
      <c r="K474" t="str">
        <f>IFERROR(IF(INDEX(使用レシピ!L:L,MATCH(テンプレート!$C474,使用レシピ!$E:$E,0))&lt;&gt;0,INDEX(使用レシピ!L:L,MATCH(テンプレート!$C474,使用レシピ!$E:$E,0)),""),"")</f>
        <v/>
      </c>
      <c r="L474" t="str">
        <f>IFERROR(IF(INDEX(使用レシピ!M:M,MATCH(テンプレート!$C474,使用レシピ!$E:$E,0))&lt;&gt;0,INDEX(使用レシピ!M:M,MATCH(テンプレート!$C474,使用レシピ!$E:$E,0)),""),"")</f>
        <v/>
      </c>
      <c r="M474" t="str">
        <f>IFERROR(IF(INDEX(使用レシピ!N:N,MATCH(テンプレート!$C474,使用レシピ!$E:$E,0))&lt;&gt;0,INDEX(使用レシピ!N:N,MATCH(テンプレート!$C474,使用レシピ!$E:$E,0)),""),"")</f>
        <v/>
      </c>
      <c r="N474" s="24" t="str">
        <f>IFERROR(IF(INDEX(使用レシピ!O:O,MATCH(テンプレート!$C474,使用レシピ!$E:$E,0))&lt;&gt;0,INDEX(使用レシピ!O:O,MATCH(テンプレート!$C474,使用レシピ!$E:$E,0)),""),"")</f>
        <v/>
      </c>
      <c r="O474" s="36" t="str">
        <f>IFERROR(IF(INDEX(使用レシピ!P:P,MATCH(テンプレート!$C474,使用レシピ!$E:$E,0))&lt;&gt;0,INDEX(使用レシピ!P:P,MATCH(テンプレート!$C474,使用レシピ!$E:$E,0)),""),"")</f>
        <v/>
      </c>
      <c r="P474" t="str">
        <f t="shared" si="36"/>
        <v/>
      </c>
      <c r="Q474" t="str">
        <f t="shared" si="37"/>
        <v/>
      </c>
      <c r="R474" t="str">
        <f t="shared" si="38"/>
        <v/>
      </c>
      <c r="S474" t="str">
        <f t="shared" si="39"/>
        <v/>
      </c>
      <c r="T474" s="24" t="str">
        <f t="shared" si="40"/>
        <v/>
      </c>
    </row>
    <row r="475" spans="2:20" x14ac:dyDescent="0.4">
      <c r="B475" s="49" t="str" cm="1">
        <f t="array" ref="B475">IFERROR((INDEX($P$4:$T$1000,MATCH(VALUE(LEFT($A475,LEN($A475)-1)),$A$4:$A$1000,0),VALUE(RIGHT($A475,1)))/ INDEX($O$4:$O$1000,MATCH(VALUE(LEFT($A475,LEN($A475)-1)),$A$4:$A$1000))) * INDEX($B$4:$B$1000,MATCH(VALUE(LEFT($A475,LEN($A475)-1)),$A$4:$A$1000)),"")</f>
        <v/>
      </c>
      <c r="C475" s="2" t="str" cm="1">
        <f t="array" ref="C475">IFERROR(IF(INDEX($D$4:$H$1000,MATCH(VALUE(LEFT($A475,LEN($A475)-1)),$A$4:$A$1000,0),VALUE(RIGHT($A475,1)))= 0,"",INDEX($D$4:$H$1000,MATCH(VALUE(LEFT($A475,LEN($A475)-1)),$A$4:$A$1000,0),VALUE(RIGHT($A475,1)))),"")</f>
        <v/>
      </c>
      <c r="D475" s="23" t="str">
        <f>IFERROR(IF(INDEX(使用レシピ!F:F,MATCH(テンプレート!$C475,使用レシピ!$E:$E,0))&lt;&gt;0,INDEX(使用レシピ!F:F,MATCH(テンプレート!$C475,使用レシピ!$E:$E,0)),""),"")</f>
        <v/>
      </c>
      <c r="E475" t="str">
        <f>IFERROR(IF(INDEX(使用レシピ!G:G,MATCH(テンプレート!$C475,使用レシピ!$E:$E,0))&lt;&gt;0,INDEX(使用レシピ!G:G,MATCH(テンプレート!$C475,使用レシピ!$E:$E,0)),""),"")</f>
        <v/>
      </c>
      <c r="F475" t="str">
        <f>IFERROR(IF(INDEX(使用レシピ!H:H,MATCH(テンプレート!$C475,使用レシピ!$E:$E,0))&lt;&gt;0,INDEX(使用レシピ!H:H,MATCH(テンプレート!$C475,使用レシピ!$E:$E,0)),""),"")</f>
        <v/>
      </c>
      <c r="G475" t="str">
        <f>IFERROR(IF(INDEX(使用レシピ!I:I,MATCH(テンプレート!$C475,使用レシピ!$E:$E,0))&lt;&gt;0,INDEX(使用レシピ!I:I,MATCH(テンプレート!$C475,使用レシピ!$E:$E,0)),""),"")</f>
        <v/>
      </c>
      <c r="H475" s="24" t="str">
        <f>IFERROR(IF(INDEX(使用レシピ!J:J,MATCH(テンプレート!$C475,使用レシピ!$E:$E,0))&lt;&gt;0,INDEX(使用レシピ!J:J,MATCH(テンプレート!$C475,使用レシピ!$E:$E,0)),""),"")</f>
        <v/>
      </c>
      <c r="I475" s="36" t="str">
        <f>IFERROR(IF(INDEX(使用レシピ!P:P,MATCH(テンプレート!$C475,使用レシピ!$E:$E,0))&lt;&gt;0,INDEX(使用レシピ!P:P,MATCH(テンプレート!$C475,使用レシピ!$E:$E,0)),""),"")</f>
        <v/>
      </c>
      <c r="J475" t="str">
        <f>IFERROR(IF(INDEX(使用レシピ!K:K,MATCH(テンプレート!$C475,使用レシピ!$E:$E,0))&lt;&gt;0,INDEX(使用レシピ!K:K,MATCH(テンプレート!$C475,使用レシピ!$E:$E,0)),""),"")</f>
        <v/>
      </c>
      <c r="K475" t="str">
        <f>IFERROR(IF(INDEX(使用レシピ!L:L,MATCH(テンプレート!$C475,使用レシピ!$E:$E,0))&lt;&gt;0,INDEX(使用レシピ!L:L,MATCH(テンプレート!$C475,使用レシピ!$E:$E,0)),""),"")</f>
        <v/>
      </c>
      <c r="L475" t="str">
        <f>IFERROR(IF(INDEX(使用レシピ!M:M,MATCH(テンプレート!$C475,使用レシピ!$E:$E,0))&lt;&gt;0,INDEX(使用レシピ!M:M,MATCH(テンプレート!$C475,使用レシピ!$E:$E,0)),""),"")</f>
        <v/>
      </c>
      <c r="M475" t="str">
        <f>IFERROR(IF(INDEX(使用レシピ!N:N,MATCH(テンプレート!$C475,使用レシピ!$E:$E,0))&lt;&gt;0,INDEX(使用レシピ!N:N,MATCH(テンプレート!$C475,使用レシピ!$E:$E,0)),""),"")</f>
        <v/>
      </c>
      <c r="N475" s="24" t="str">
        <f>IFERROR(IF(INDEX(使用レシピ!O:O,MATCH(テンプレート!$C475,使用レシピ!$E:$E,0))&lt;&gt;0,INDEX(使用レシピ!O:O,MATCH(テンプレート!$C475,使用レシピ!$E:$E,0)),""),"")</f>
        <v/>
      </c>
      <c r="O475" s="36" t="str">
        <f>IFERROR(IF(INDEX(使用レシピ!P:P,MATCH(テンプレート!$C475,使用レシピ!$E:$E,0))&lt;&gt;0,INDEX(使用レシピ!P:P,MATCH(テンプレート!$C475,使用レシピ!$E:$E,0)),""),"")</f>
        <v/>
      </c>
      <c r="P475" t="str">
        <f t="shared" si="36"/>
        <v/>
      </c>
      <c r="Q475" t="str">
        <f t="shared" si="37"/>
        <v/>
      </c>
      <c r="R475" t="str">
        <f t="shared" si="38"/>
        <v/>
      </c>
      <c r="S475" t="str">
        <f t="shared" si="39"/>
        <v/>
      </c>
      <c r="T475" s="24" t="str">
        <f t="shared" si="40"/>
        <v/>
      </c>
    </row>
    <row r="476" spans="2:20" x14ac:dyDescent="0.4">
      <c r="B476" s="49" t="str" cm="1">
        <f t="array" ref="B476">IFERROR((INDEX($P$4:$T$1000,MATCH(VALUE(LEFT($A476,LEN($A476)-1)),$A$4:$A$1000,0),VALUE(RIGHT($A476,1)))/ INDEX($O$4:$O$1000,MATCH(VALUE(LEFT($A476,LEN($A476)-1)),$A$4:$A$1000))) * INDEX($B$4:$B$1000,MATCH(VALUE(LEFT($A476,LEN($A476)-1)),$A$4:$A$1000)),"")</f>
        <v/>
      </c>
      <c r="C476" s="2" t="str" cm="1">
        <f t="array" ref="C476">IFERROR(IF(INDEX($D$4:$H$1000,MATCH(VALUE(LEFT($A476,LEN($A476)-1)),$A$4:$A$1000,0),VALUE(RIGHT($A476,1)))= 0,"",INDEX($D$4:$H$1000,MATCH(VALUE(LEFT($A476,LEN($A476)-1)),$A$4:$A$1000,0),VALUE(RIGHT($A476,1)))),"")</f>
        <v/>
      </c>
      <c r="D476" s="23" t="str">
        <f>IFERROR(IF(INDEX(使用レシピ!F:F,MATCH(テンプレート!$C476,使用レシピ!$E:$E,0))&lt;&gt;0,INDEX(使用レシピ!F:F,MATCH(テンプレート!$C476,使用レシピ!$E:$E,0)),""),"")</f>
        <v/>
      </c>
      <c r="E476" t="str">
        <f>IFERROR(IF(INDEX(使用レシピ!G:G,MATCH(テンプレート!$C476,使用レシピ!$E:$E,0))&lt;&gt;0,INDEX(使用レシピ!G:G,MATCH(テンプレート!$C476,使用レシピ!$E:$E,0)),""),"")</f>
        <v/>
      </c>
      <c r="F476" t="str">
        <f>IFERROR(IF(INDEX(使用レシピ!H:H,MATCH(テンプレート!$C476,使用レシピ!$E:$E,0))&lt;&gt;0,INDEX(使用レシピ!H:H,MATCH(テンプレート!$C476,使用レシピ!$E:$E,0)),""),"")</f>
        <v/>
      </c>
      <c r="G476" t="str">
        <f>IFERROR(IF(INDEX(使用レシピ!I:I,MATCH(テンプレート!$C476,使用レシピ!$E:$E,0))&lt;&gt;0,INDEX(使用レシピ!I:I,MATCH(テンプレート!$C476,使用レシピ!$E:$E,0)),""),"")</f>
        <v/>
      </c>
      <c r="H476" s="24" t="str">
        <f>IFERROR(IF(INDEX(使用レシピ!J:J,MATCH(テンプレート!$C476,使用レシピ!$E:$E,0))&lt;&gt;0,INDEX(使用レシピ!J:J,MATCH(テンプレート!$C476,使用レシピ!$E:$E,0)),""),"")</f>
        <v/>
      </c>
      <c r="I476" s="36" t="str">
        <f>IFERROR(IF(INDEX(使用レシピ!P:P,MATCH(テンプレート!$C476,使用レシピ!$E:$E,0))&lt;&gt;0,INDEX(使用レシピ!P:P,MATCH(テンプレート!$C476,使用レシピ!$E:$E,0)),""),"")</f>
        <v/>
      </c>
      <c r="J476" t="str">
        <f>IFERROR(IF(INDEX(使用レシピ!K:K,MATCH(テンプレート!$C476,使用レシピ!$E:$E,0))&lt;&gt;0,INDEX(使用レシピ!K:K,MATCH(テンプレート!$C476,使用レシピ!$E:$E,0)),""),"")</f>
        <v/>
      </c>
      <c r="K476" t="str">
        <f>IFERROR(IF(INDEX(使用レシピ!L:L,MATCH(テンプレート!$C476,使用レシピ!$E:$E,0))&lt;&gt;0,INDEX(使用レシピ!L:L,MATCH(テンプレート!$C476,使用レシピ!$E:$E,0)),""),"")</f>
        <v/>
      </c>
      <c r="L476" t="str">
        <f>IFERROR(IF(INDEX(使用レシピ!M:M,MATCH(テンプレート!$C476,使用レシピ!$E:$E,0))&lt;&gt;0,INDEX(使用レシピ!M:M,MATCH(テンプレート!$C476,使用レシピ!$E:$E,0)),""),"")</f>
        <v/>
      </c>
      <c r="M476" t="str">
        <f>IFERROR(IF(INDEX(使用レシピ!N:N,MATCH(テンプレート!$C476,使用レシピ!$E:$E,0))&lt;&gt;0,INDEX(使用レシピ!N:N,MATCH(テンプレート!$C476,使用レシピ!$E:$E,0)),""),"")</f>
        <v/>
      </c>
      <c r="N476" s="24" t="str">
        <f>IFERROR(IF(INDEX(使用レシピ!O:O,MATCH(テンプレート!$C476,使用レシピ!$E:$E,0))&lt;&gt;0,INDEX(使用レシピ!O:O,MATCH(テンプレート!$C476,使用レシピ!$E:$E,0)),""),"")</f>
        <v/>
      </c>
      <c r="O476" s="36" t="str">
        <f>IFERROR(IF(INDEX(使用レシピ!P:P,MATCH(テンプレート!$C476,使用レシピ!$E:$E,0))&lt;&gt;0,INDEX(使用レシピ!P:P,MATCH(テンプレート!$C476,使用レシピ!$E:$E,0)),""),"")</f>
        <v/>
      </c>
      <c r="P476" t="str">
        <f t="shared" si="36"/>
        <v/>
      </c>
      <c r="Q476" t="str">
        <f t="shared" si="37"/>
        <v/>
      </c>
      <c r="R476" t="str">
        <f t="shared" si="38"/>
        <v/>
      </c>
      <c r="S476" t="str">
        <f t="shared" si="39"/>
        <v/>
      </c>
      <c r="T476" s="24" t="str">
        <f t="shared" si="40"/>
        <v/>
      </c>
    </row>
    <row r="477" spans="2:20" x14ac:dyDescent="0.4">
      <c r="B477" s="49" t="str" cm="1">
        <f t="array" ref="B477">IFERROR((INDEX($P$4:$T$1000,MATCH(VALUE(LEFT($A477,LEN($A477)-1)),$A$4:$A$1000,0),VALUE(RIGHT($A477,1)))/ INDEX($O$4:$O$1000,MATCH(VALUE(LEFT($A477,LEN($A477)-1)),$A$4:$A$1000))) * INDEX($B$4:$B$1000,MATCH(VALUE(LEFT($A477,LEN($A477)-1)),$A$4:$A$1000)),"")</f>
        <v/>
      </c>
      <c r="C477" s="2" t="str" cm="1">
        <f t="array" ref="C477">IFERROR(IF(INDEX($D$4:$H$1000,MATCH(VALUE(LEFT($A477,LEN($A477)-1)),$A$4:$A$1000,0),VALUE(RIGHT($A477,1)))= 0,"",INDEX($D$4:$H$1000,MATCH(VALUE(LEFT($A477,LEN($A477)-1)),$A$4:$A$1000,0),VALUE(RIGHT($A477,1)))),"")</f>
        <v/>
      </c>
      <c r="D477" s="23" t="str">
        <f>IFERROR(IF(INDEX(使用レシピ!F:F,MATCH(テンプレート!$C477,使用レシピ!$E:$E,0))&lt;&gt;0,INDEX(使用レシピ!F:F,MATCH(テンプレート!$C477,使用レシピ!$E:$E,0)),""),"")</f>
        <v/>
      </c>
      <c r="E477" t="str">
        <f>IFERROR(IF(INDEX(使用レシピ!G:G,MATCH(テンプレート!$C477,使用レシピ!$E:$E,0))&lt;&gt;0,INDEX(使用レシピ!G:G,MATCH(テンプレート!$C477,使用レシピ!$E:$E,0)),""),"")</f>
        <v/>
      </c>
      <c r="F477" t="str">
        <f>IFERROR(IF(INDEX(使用レシピ!H:H,MATCH(テンプレート!$C477,使用レシピ!$E:$E,0))&lt;&gt;0,INDEX(使用レシピ!H:H,MATCH(テンプレート!$C477,使用レシピ!$E:$E,0)),""),"")</f>
        <v/>
      </c>
      <c r="G477" t="str">
        <f>IFERROR(IF(INDEX(使用レシピ!I:I,MATCH(テンプレート!$C477,使用レシピ!$E:$E,0))&lt;&gt;0,INDEX(使用レシピ!I:I,MATCH(テンプレート!$C477,使用レシピ!$E:$E,0)),""),"")</f>
        <v/>
      </c>
      <c r="H477" s="24" t="str">
        <f>IFERROR(IF(INDEX(使用レシピ!J:J,MATCH(テンプレート!$C477,使用レシピ!$E:$E,0))&lt;&gt;0,INDEX(使用レシピ!J:J,MATCH(テンプレート!$C477,使用レシピ!$E:$E,0)),""),"")</f>
        <v/>
      </c>
      <c r="I477" s="36" t="str">
        <f>IFERROR(IF(INDEX(使用レシピ!P:P,MATCH(テンプレート!$C477,使用レシピ!$E:$E,0))&lt;&gt;0,INDEX(使用レシピ!P:P,MATCH(テンプレート!$C477,使用レシピ!$E:$E,0)),""),"")</f>
        <v/>
      </c>
      <c r="J477" t="str">
        <f>IFERROR(IF(INDEX(使用レシピ!K:K,MATCH(テンプレート!$C477,使用レシピ!$E:$E,0))&lt;&gt;0,INDEX(使用レシピ!K:K,MATCH(テンプレート!$C477,使用レシピ!$E:$E,0)),""),"")</f>
        <v/>
      </c>
      <c r="K477" t="str">
        <f>IFERROR(IF(INDEX(使用レシピ!L:L,MATCH(テンプレート!$C477,使用レシピ!$E:$E,0))&lt;&gt;0,INDEX(使用レシピ!L:L,MATCH(テンプレート!$C477,使用レシピ!$E:$E,0)),""),"")</f>
        <v/>
      </c>
      <c r="L477" t="str">
        <f>IFERROR(IF(INDEX(使用レシピ!M:M,MATCH(テンプレート!$C477,使用レシピ!$E:$E,0))&lt;&gt;0,INDEX(使用レシピ!M:M,MATCH(テンプレート!$C477,使用レシピ!$E:$E,0)),""),"")</f>
        <v/>
      </c>
      <c r="M477" t="str">
        <f>IFERROR(IF(INDEX(使用レシピ!N:N,MATCH(テンプレート!$C477,使用レシピ!$E:$E,0))&lt;&gt;0,INDEX(使用レシピ!N:N,MATCH(テンプレート!$C477,使用レシピ!$E:$E,0)),""),"")</f>
        <v/>
      </c>
      <c r="N477" s="24" t="str">
        <f>IFERROR(IF(INDEX(使用レシピ!O:O,MATCH(テンプレート!$C477,使用レシピ!$E:$E,0))&lt;&gt;0,INDEX(使用レシピ!O:O,MATCH(テンプレート!$C477,使用レシピ!$E:$E,0)),""),"")</f>
        <v/>
      </c>
      <c r="O477" s="36" t="str">
        <f>IFERROR(IF(INDEX(使用レシピ!P:P,MATCH(テンプレート!$C477,使用レシピ!$E:$E,0))&lt;&gt;0,INDEX(使用レシピ!P:P,MATCH(テンプレート!$C477,使用レシピ!$E:$E,0)),""),"")</f>
        <v/>
      </c>
      <c r="P477" t="str">
        <f t="shared" si="36"/>
        <v/>
      </c>
      <c r="Q477" t="str">
        <f t="shared" si="37"/>
        <v/>
      </c>
      <c r="R477" t="str">
        <f t="shared" si="38"/>
        <v/>
      </c>
      <c r="S477" t="str">
        <f t="shared" si="39"/>
        <v/>
      </c>
      <c r="T477" s="24" t="str">
        <f t="shared" si="40"/>
        <v/>
      </c>
    </row>
    <row r="478" spans="2:20" x14ac:dyDescent="0.4">
      <c r="B478" s="49" t="str" cm="1">
        <f t="array" ref="B478">IFERROR((INDEX($P$4:$T$1000,MATCH(VALUE(LEFT($A478,LEN($A478)-1)),$A$4:$A$1000,0),VALUE(RIGHT($A478,1)))/ INDEX($O$4:$O$1000,MATCH(VALUE(LEFT($A478,LEN($A478)-1)),$A$4:$A$1000))) * INDEX($B$4:$B$1000,MATCH(VALUE(LEFT($A478,LEN($A478)-1)),$A$4:$A$1000)),"")</f>
        <v/>
      </c>
      <c r="C478" s="2" t="str" cm="1">
        <f t="array" ref="C478">IFERROR(IF(INDEX($D$4:$H$1000,MATCH(VALUE(LEFT($A478,LEN($A478)-1)),$A$4:$A$1000,0),VALUE(RIGHT($A478,1)))= 0,"",INDEX($D$4:$H$1000,MATCH(VALUE(LEFT($A478,LEN($A478)-1)),$A$4:$A$1000,0),VALUE(RIGHT($A478,1)))),"")</f>
        <v/>
      </c>
      <c r="D478" s="23" t="str">
        <f>IFERROR(IF(INDEX(使用レシピ!F:F,MATCH(テンプレート!$C478,使用レシピ!$E:$E,0))&lt;&gt;0,INDEX(使用レシピ!F:F,MATCH(テンプレート!$C478,使用レシピ!$E:$E,0)),""),"")</f>
        <v/>
      </c>
      <c r="E478" t="str">
        <f>IFERROR(IF(INDEX(使用レシピ!G:G,MATCH(テンプレート!$C478,使用レシピ!$E:$E,0))&lt;&gt;0,INDEX(使用レシピ!G:G,MATCH(テンプレート!$C478,使用レシピ!$E:$E,0)),""),"")</f>
        <v/>
      </c>
      <c r="F478" t="str">
        <f>IFERROR(IF(INDEX(使用レシピ!H:H,MATCH(テンプレート!$C478,使用レシピ!$E:$E,0))&lt;&gt;0,INDEX(使用レシピ!H:H,MATCH(テンプレート!$C478,使用レシピ!$E:$E,0)),""),"")</f>
        <v/>
      </c>
      <c r="G478" t="str">
        <f>IFERROR(IF(INDEX(使用レシピ!I:I,MATCH(テンプレート!$C478,使用レシピ!$E:$E,0))&lt;&gt;0,INDEX(使用レシピ!I:I,MATCH(テンプレート!$C478,使用レシピ!$E:$E,0)),""),"")</f>
        <v/>
      </c>
      <c r="H478" s="24" t="str">
        <f>IFERROR(IF(INDEX(使用レシピ!J:J,MATCH(テンプレート!$C478,使用レシピ!$E:$E,0))&lt;&gt;0,INDEX(使用レシピ!J:J,MATCH(テンプレート!$C478,使用レシピ!$E:$E,0)),""),"")</f>
        <v/>
      </c>
      <c r="I478" s="36" t="str">
        <f>IFERROR(IF(INDEX(使用レシピ!P:P,MATCH(テンプレート!$C478,使用レシピ!$E:$E,0))&lt;&gt;0,INDEX(使用レシピ!P:P,MATCH(テンプレート!$C478,使用レシピ!$E:$E,0)),""),"")</f>
        <v/>
      </c>
      <c r="J478" t="str">
        <f>IFERROR(IF(INDEX(使用レシピ!K:K,MATCH(テンプレート!$C478,使用レシピ!$E:$E,0))&lt;&gt;0,INDEX(使用レシピ!K:K,MATCH(テンプレート!$C478,使用レシピ!$E:$E,0)),""),"")</f>
        <v/>
      </c>
      <c r="K478" t="str">
        <f>IFERROR(IF(INDEX(使用レシピ!L:L,MATCH(テンプレート!$C478,使用レシピ!$E:$E,0))&lt;&gt;0,INDEX(使用レシピ!L:L,MATCH(テンプレート!$C478,使用レシピ!$E:$E,0)),""),"")</f>
        <v/>
      </c>
      <c r="L478" t="str">
        <f>IFERROR(IF(INDEX(使用レシピ!M:M,MATCH(テンプレート!$C478,使用レシピ!$E:$E,0))&lt;&gt;0,INDEX(使用レシピ!M:M,MATCH(テンプレート!$C478,使用レシピ!$E:$E,0)),""),"")</f>
        <v/>
      </c>
      <c r="M478" t="str">
        <f>IFERROR(IF(INDEX(使用レシピ!N:N,MATCH(テンプレート!$C478,使用レシピ!$E:$E,0))&lt;&gt;0,INDEX(使用レシピ!N:N,MATCH(テンプレート!$C478,使用レシピ!$E:$E,0)),""),"")</f>
        <v/>
      </c>
      <c r="N478" s="24" t="str">
        <f>IFERROR(IF(INDEX(使用レシピ!O:O,MATCH(テンプレート!$C478,使用レシピ!$E:$E,0))&lt;&gt;0,INDEX(使用レシピ!O:O,MATCH(テンプレート!$C478,使用レシピ!$E:$E,0)),""),"")</f>
        <v/>
      </c>
      <c r="O478" s="36" t="str">
        <f>IFERROR(IF(INDEX(使用レシピ!P:P,MATCH(テンプレート!$C478,使用レシピ!$E:$E,0))&lt;&gt;0,INDEX(使用レシピ!P:P,MATCH(テンプレート!$C478,使用レシピ!$E:$E,0)),""),"")</f>
        <v/>
      </c>
      <c r="P478" t="str">
        <f t="shared" si="36"/>
        <v/>
      </c>
      <c r="Q478" t="str">
        <f t="shared" si="37"/>
        <v/>
      </c>
      <c r="R478" t="str">
        <f t="shared" si="38"/>
        <v/>
      </c>
      <c r="S478" t="str">
        <f t="shared" si="39"/>
        <v/>
      </c>
      <c r="T478" s="24" t="str">
        <f t="shared" si="40"/>
        <v/>
      </c>
    </row>
    <row r="479" spans="2:20" x14ac:dyDescent="0.4">
      <c r="B479" s="49" t="str" cm="1">
        <f t="array" ref="B479">IFERROR((INDEX($P$4:$T$1000,MATCH(VALUE(LEFT($A479,LEN($A479)-1)),$A$4:$A$1000,0),VALUE(RIGHT($A479,1)))/ INDEX($O$4:$O$1000,MATCH(VALUE(LEFT($A479,LEN($A479)-1)),$A$4:$A$1000))) * INDEX($B$4:$B$1000,MATCH(VALUE(LEFT($A479,LEN($A479)-1)),$A$4:$A$1000)),"")</f>
        <v/>
      </c>
      <c r="C479" s="2" t="str" cm="1">
        <f t="array" ref="C479">IFERROR(IF(INDEX($D$4:$H$1000,MATCH(VALUE(LEFT($A479,LEN($A479)-1)),$A$4:$A$1000,0),VALUE(RIGHT($A479,1)))= 0,"",INDEX($D$4:$H$1000,MATCH(VALUE(LEFT($A479,LEN($A479)-1)),$A$4:$A$1000,0),VALUE(RIGHT($A479,1)))),"")</f>
        <v/>
      </c>
      <c r="D479" s="23" t="str">
        <f>IFERROR(IF(INDEX(使用レシピ!F:F,MATCH(テンプレート!$C479,使用レシピ!$E:$E,0))&lt;&gt;0,INDEX(使用レシピ!F:F,MATCH(テンプレート!$C479,使用レシピ!$E:$E,0)),""),"")</f>
        <v/>
      </c>
      <c r="E479" t="str">
        <f>IFERROR(IF(INDEX(使用レシピ!G:G,MATCH(テンプレート!$C479,使用レシピ!$E:$E,0))&lt;&gt;0,INDEX(使用レシピ!G:G,MATCH(テンプレート!$C479,使用レシピ!$E:$E,0)),""),"")</f>
        <v/>
      </c>
      <c r="F479" t="str">
        <f>IFERROR(IF(INDEX(使用レシピ!H:H,MATCH(テンプレート!$C479,使用レシピ!$E:$E,0))&lt;&gt;0,INDEX(使用レシピ!H:H,MATCH(テンプレート!$C479,使用レシピ!$E:$E,0)),""),"")</f>
        <v/>
      </c>
      <c r="G479" t="str">
        <f>IFERROR(IF(INDEX(使用レシピ!I:I,MATCH(テンプレート!$C479,使用レシピ!$E:$E,0))&lt;&gt;0,INDEX(使用レシピ!I:I,MATCH(テンプレート!$C479,使用レシピ!$E:$E,0)),""),"")</f>
        <v/>
      </c>
      <c r="H479" s="24" t="str">
        <f>IFERROR(IF(INDEX(使用レシピ!J:J,MATCH(テンプレート!$C479,使用レシピ!$E:$E,0))&lt;&gt;0,INDEX(使用レシピ!J:J,MATCH(テンプレート!$C479,使用レシピ!$E:$E,0)),""),"")</f>
        <v/>
      </c>
      <c r="I479" s="36" t="str">
        <f>IFERROR(IF(INDEX(使用レシピ!P:P,MATCH(テンプレート!$C479,使用レシピ!$E:$E,0))&lt;&gt;0,INDEX(使用レシピ!P:P,MATCH(テンプレート!$C479,使用レシピ!$E:$E,0)),""),"")</f>
        <v/>
      </c>
      <c r="J479" t="str">
        <f>IFERROR(IF(INDEX(使用レシピ!K:K,MATCH(テンプレート!$C479,使用レシピ!$E:$E,0))&lt;&gt;0,INDEX(使用レシピ!K:K,MATCH(テンプレート!$C479,使用レシピ!$E:$E,0)),""),"")</f>
        <v/>
      </c>
      <c r="K479" t="str">
        <f>IFERROR(IF(INDEX(使用レシピ!L:L,MATCH(テンプレート!$C479,使用レシピ!$E:$E,0))&lt;&gt;0,INDEX(使用レシピ!L:L,MATCH(テンプレート!$C479,使用レシピ!$E:$E,0)),""),"")</f>
        <v/>
      </c>
      <c r="L479" t="str">
        <f>IFERROR(IF(INDEX(使用レシピ!M:M,MATCH(テンプレート!$C479,使用レシピ!$E:$E,0))&lt;&gt;0,INDEX(使用レシピ!M:M,MATCH(テンプレート!$C479,使用レシピ!$E:$E,0)),""),"")</f>
        <v/>
      </c>
      <c r="M479" t="str">
        <f>IFERROR(IF(INDEX(使用レシピ!N:N,MATCH(テンプレート!$C479,使用レシピ!$E:$E,0))&lt;&gt;0,INDEX(使用レシピ!N:N,MATCH(テンプレート!$C479,使用レシピ!$E:$E,0)),""),"")</f>
        <v/>
      </c>
      <c r="N479" s="24" t="str">
        <f>IFERROR(IF(INDEX(使用レシピ!O:O,MATCH(テンプレート!$C479,使用レシピ!$E:$E,0))&lt;&gt;0,INDEX(使用レシピ!O:O,MATCH(テンプレート!$C479,使用レシピ!$E:$E,0)),""),"")</f>
        <v/>
      </c>
      <c r="O479" s="36" t="str">
        <f>IFERROR(IF(INDEX(使用レシピ!P:P,MATCH(テンプレート!$C479,使用レシピ!$E:$E,0))&lt;&gt;0,INDEX(使用レシピ!P:P,MATCH(テンプレート!$C479,使用レシピ!$E:$E,0)),""),"")</f>
        <v/>
      </c>
      <c r="P479" t="str">
        <f t="shared" si="36"/>
        <v/>
      </c>
      <c r="Q479" t="str">
        <f t="shared" si="37"/>
        <v/>
      </c>
      <c r="R479" t="str">
        <f t="shared" si="38"/>
        <v/>
      </c>
      <c r="S479" t="str">
        <f t="shared" si="39"/>
        <v/>
      </c>
      <c r="T479" s="24" t="str">
        <f t="shared" si="40"/>
        <v/>
      </c>
    </row>
    <row r="480" spans="2:20" x14ac:dyDescent="0.4">
      <c r="B480" s="49" t="str" cm="1">
        <f t="array" ref="B480">IFERROR((INDEX($P$4:$T$1000,MATCH(VALUE(LEFT($A480,LEN($A480)-1)),$A$4:$A$1000,0),VALUE(RIGHT($A480,1)))/ INDEX($O$4:$O$1000,MATCH(VALUE(LEFT($A480,LEN($A480)-1)),$A$4:$A$1000))) * INDEX($B$4:$B$1000,MATCH(VALUE(LEFT($A480,LEN($A480)-1)),$A$4:$A$1000)),"")</f>
        <v/>
      </c>
      <c r="C480" s="2" t="str" cm="1">
        <f t="array" ref="C480">IFERROR(IF(INDEX($D$4:$H$1000,MATCH(VALUE(LEFT($A480,LEN($A480)-1)),$A$4:$A$1000,0),VALUE(RIGHT($A480,1)))= 0,"",INDEX($D$4:$H$1000,MATCH(VALUE(LEFT($A480,LEN($A480)-1)),$A$4:$A$1000,0),VALUE(RIGHT($A480,1)))),"")</f>
        <v/>
      </c>
      <c r="D480" s="23" t="str">
        <f>IFERROR(IF(INDEX(使用レシピ!F:F,MATCH(テンプレート!$C480,使用レシピ!$E:$E,0))&lt;&gt;0,INDEX(使用レシピ!F:F,MATCH(テンプレート!$C480,使用レシピ!$E:$E,0)),""),"")</f>
        <v/>
      </c>
      <c r="E480" t="str">
        <f>IFERROR(IF(INDEX(使用レシピ!G:G,MATCH(テンプレート!$C480,使用レシピ!$E:$E,0))&lt;&gt;0,INDEX(使用レシピ!G:G,MATCH(テンプレート!$C480,使用レシピ!$E:$E,0)),""),"")</f>
        <v/>
      </c>
      <c r="F480" t="str">
        <f>IFERROR(IF(INDEX(使用レシピ!H:H,MATCH(テンプレート!$C480,使用レシピ!$E:$E,0))&lt;&gt;0,INDEX(使用レシピ!H:H,MATCH(テンプレート!$C480,使用レシピ!$E:$E,0)),""),"")</f>
        <v/>
      </c>
      <c r="G480" t="str">
        <f>IFERROR(IF(INDEX(使用レシピ!I:I,MATCH(テンプレート!$C480,使用レシピ!$E:$E,0))&lt;&gt;0,INDEX(使用レシピ!I:I,MATCH(テンプレート!$C480,使用レシピ!$E:$E,0)),""),"")</f>
        <v/>
      </c>
      <c r="H480" s="24" t="str">
        <f>IFERROR(IF(INDEX(使用レシピ!J:J,MATCH(テンプレート!$C480,使用レシピ!$E:$E,0))&lt;&gt;0,INDEX(使用レシピ!J:J,MATCH(テンプレート!$C480,使用レシピ!$E:$E,0)),""),"")</f>
        <v/>
      </c>
      <c r="I480" s="36" t="str">
        <f>IFERROR(IF(INDEX(使用レシピ!P:P,MATCH(テンプレート!$C480,使用レシピ!$E:$E,0))&lt;&gt;0,INDEX(使用レシピ!P:P,MATCH(テンプレート!$C480,使用レシピ!$E:$E,0)),""),"")</f>
        <v/>
      </c>
      <c r="J480" t="str">
        <f>IFERROR(IF(INDEX(使用レシピ!K:K,MATCH(テンプレート!$C480,使用レシピ!$E:$E,0))&lt;&gt;0,INDEX(使用レシピ!K:K,MATCH(テンプレート!$C480,使用レシピ!$E:$E,0)),""),"")</f>
        <v/>
      </c>
      <c r="K480" t="str">
        <f>IFERROR(IF(INDEX(使用レシピ!L:L,MATCH(テンプレート!$C480,使用レシピ!$E:$E,0))&lt;&gt;0,INDEX(使用レシピ!L:L,MATCH(テンプレート!$C480,使用レシピ!$E:$E,0)),""),"")</f>
        <v/>
      </c>
      <c r="L480" t="str">
        <f>IFERROR(IF(INDEX(使用レシピ!M:M,MATCH(テンプレート!$C480,使用レシピ!$E:$E,0))&lt;&gt;0,INDEX(使用レシピ!M:M,MATCH(テンプレート!$C480,使用レシピ!$E:$E,0)),""),"")</f>
        <v/>
      </c>
      <c r="M480" t="str">
        <f>IFERROR(IF(INDEX(使用レシピ!N:N,MATCH(テンプレート!$C480,使用レシピ!$E:$E,0))&lt;&gt;0,INDEX(使用レシピ!N:N,MATCH(テンプレート!$C480,使用レシピ!$E:$E,0)),""),"")</f>
        <v/>
      </c>
      <c r="N480" s="24" t="str">
        <f>IFERROR(IF(INDEX(使用レシピ!O:O,MATCH(テンプレート!$C480,使用レシピ!$E:$E,0))&lt;&gt;0,INDEX(使用レシピ!O:O,MATCH(テンプレート!$C480,使用レシピ!$E:$E,0)),""),"")</f>
        <v/>
      </c>
      <c r="O480" s="36" t="str">
        <f>IFERROR(IF(INDEX(使用レシピ!P:P,MATCH(テンプレート!$C480,使用レシピ!$E:$E,0))&lt;&gt;0,INDEX(使用レシピ!P:P,MATCH(テンプレート!$C480,使用レシピ!$E:$E,0)),""),"")</f>
        <v/>
      </c>
      <c r="P480" t="str">
        <f t="shared" si="36"/>
        <v/>
      </c>
      <c r="Q480" t="str">
        <f t="shared" si="37"/>
        <v/>
      </c>
      <c r="R480" t="str">
        <f t="shared" si="38"/>
        <v/>
      </c>
      <c r="S480" t="str">
        <f t="shared" si="39"/>
        <v/>
      </c>
      <c r="T480" s="24" t="str">
        <f t="shared" si="40"/>
        <v/>
      </c>
    </row>
    <row r="481" spans="2:20" x14ac:dyDescent="0.4">
      <c r="B481" s="49" t="str" cm="1">
        <f t="array" ref="B481">IFERROR((INDEX($P$4:$T$1000,MATCH(VALUE(LEFT($A481,LEN($A481)-1)),$A$4:$A$1000,0),VALUE(RIGHT($A481,1)))/ INDEX($O$4:$O$1000,MATCH(VALUE(LEFT($A481,LEN($A481)-1)),$A$4:$A$1000))) * INDEX($B$4:$B$1000,MATCH(VALUE(LEFT($A481,LEN($A481)-1)),$A$4:$A$1000)),"")</f>
        <v/>
      </c>
      <c r="C481" s="2" t="str" cm="1">
        <f t="array" ref="C481">IFERROR(IF(INDEX($D$4:$H$1000,MATCH(VALUE(LEFT($A481,LEN($A481)-1)),$A$4:$A$1000,0),VALUE(RIGHT($A481,1)))= 0,"",INDEX($D$4:$H$1000,MATCH(VALUE(LEFT($A481,LEN($A481)-1)),$A$4:$A$1000,0),VALUE(RIGHT($A481,1)))),"")</f>
        <v/>
      </c>
      <c r="D481" s="23" t="str">
        <f>IFERROR(IF(INDEX(使用レシピ!F:F,MATCH(テンプレート!$C481,使用レシピ!$E:$E,0))&lt;&gt;0,INDEX(使用レシピ!F:F,MATCH(テンプレート!$C481,使用レシピ!$E:$E,0)),""),"")</f>
        <v/>
      </c>
      <c r="E481" t="str">
        <f>IFERROR(IF(INDEX(使用レシピ!G:G,MATCH(テンプレート!$C481,使用レシピ!$E:$E,0))&lt;&gt;0,INDEX(使用レシピ!G:G,MATCH(テンプレート!$C481,使用レシピ!$E:$E,0)),""),"")</f>
        <v/>
      </c>
      <c r="F481" t="str">
        <f>IFERROR(IF(INDEX(使用レシピ!H:H,MATCH(テンプレート!$C481,使用レシピ!$E:$E,0))&lt;&gt;0,INDEX(使用レシピ!H:H,MATCH(テンプレート!$C481,使用レシピ!$E:$E,0)),""),"")</f>
        <v/>
      </c>
      <c r="G481" t="str">
        <f>IFERROR(IF(INDEX(使用レシピ!I:I,MATCH(テンプレート!$C481,使用レシピ!$E:$E,0))&lt;&gt;0,INDEX(使用レシピ!I:I,MATCH(テンプレート!$C481,使用レシピ!$E:$E,0)),""),"")</f>
        <v/>
      </c>
      <c r="H481" s="24" t="str">
        <f>IFERROR(IF(INDEX(使用レシピ!J:J,MATCH(テンプレート!$C481,使用レシピ!$E:$E,0))&lt;&gt;0,INDEX(使用レシピ!J:J,MATCH(テンプレート!$C481,使用レシピ!$E:$E,0)),""),"")</f>
        <v/>
      </c>
      <c r="I481" s="36" t="str">
        <f>IFERROR(IF(INDEX(使用レシピ!P:P,MATCH(テンプレート!$C481,使用レシピ!$E:$E,0))&lt;&gt;0,INDEX(使用レシピ!P:P,MATCH(テンプレート!$C481,使用レシピ!$E:$E,0)),""),"")</f>
        <v/>
      </c>
      <c r="J481" t="str">
        <f>IFERROR(IF(INDEX(使用レシピ!K:K,MATCH(テンプレート!$C481,使用レシピ!$E:$E,0))&lt;&gt;0,INDEX(使用レシピ!K:K,MATCH(テンプレート!$C481,使用レシピ!$E:$E,0)),""),"")</f>
        <v/>
      </c>
      <c r="K481" t="str">
        <f>IFERROR(IF(INDEX(使用レシピ!L:L,MATCH(テンプレート!$C481,使用レシピ!$E:$E,0))&lt;&gt;0,INDEX(使用レシピ!L:L,MATCH(テンプレート!$C481,使用レシピ!$E:$E,0)),""),"")</f>
        <v/>
      </c>
      <c r="L481" t="str">
        <f>IFERROR(IF(INDEX(使用レシピ!M:M,MATCH(テンプレート!$C481,使用レシピ!$E:$E,0))&lt;&gt;0,INDEX(使用レシピ!M:M,MATCH(テンプレート!$C481,使用レシピ!$E:$E,0)),""),"")</f>
        <v/>
      </c>
      <c r="M481" t="str">
        <f>IFERROR(IF(INDEX(使用レシピ!N:N,MATCH(テンプレート!$C481,使用レシピ!$E:$E,0))&lt;&gt;0,INDEX(使用レシピ!N:N,MATCH(テンプレート!$C481,使用レシピ!$E:$E,0)),""),"")</f>
        <v/>
      </c>
      <c r="N481" s="24" t="str">
        <f>IFERROR(IF(INDEX(使用レシピ!O:O,MATCH(テンプレート!$C481,使用レシピ!$E:$E,0))&lt;&gt;0,INDEX(使用レシピ!O:O,MATCH(テンプレート!$C481,使用レシピ!$E:$E,0)),""),"")</f>
        <v/>
      </c>
      <c r="O481" s="36" t="str">
        <f>IFERROR(IF(INDEX(使用レシピ!P:P,MATCH(テンプレート!$C481,使用レシピ!$E:$E,0))&lt;&gt;0,INDEX(使用レシピ!P:P,MATCH(テンプレート!$C481,使用レシピ!$E:$E,0)),""),"")</f>
        <v/>
      </c>
      <c r="P481" t="str">
        <f t="shared" si="36"/>
        <v/>
      </c>
      <c r="Q481" t="str">
        <f t="shared" si="37"/>
        <v/>
      </c>
      <c r="R481" t="str">
        <f t="shared" si="38"/>
        <v/>
      </c>
      <c r="S481" t="str">
        <f t="shared" si="39"/>
        <v/>
      </c>
      <c r="T481" s="24" t="str">
        <f t="shared" si="40"/>
        <v/>
      </c>
    </row>
    <row r="482" spans="2:20" x14ac:dyDescent="0.4">
      <c r="B482" s="49" t="str" cm="1">
        <f t="array" ref="B482">IFERROR((INDEX($P$4:$T$1000,MATCH(VALUE(LEFT($A482,LEN($A482)-1)),$A$4:$A$1000,0),VALUE(RIGHT($A482,1)))/ INDEX($O$4:$O$1000,MATCH(VALUE(LEFT($A482,LEN($A482)-1)),$A$4:$A$1000))) * INDEX($B$4:$B$1000,MATCH(VALUE(LEFT($A482,LEN($A482)-1)),$A$4:$A$1000)),"")</f>
        <v/>
      </c>
      <c r="C482" s="2" t="str" cm="1">
        <f t="array" ref="C482">IFERROR(IF(INDEX($D$4:$H$1000,MATCH(VALUE(LEFT($A482,LEN($A482)-1)),$A$4:$A$1000,0),VALUE(RIGHT($A482,1)))= 0,"",INDEX($D$4:$H$1000,MATCH(VALUE(LEFT($A482,LEN($A482)-1)),$A$4:$A$1000,0),VALUE(RIGHT($A482,1)))),"")</f>
        <v/>
      </c>
      <c r="D482" s="23" t="str">
        <f>IFERROR(IF(INDEX(使用レシピ!F:F,MATCH(テンプレート!$C482,使用レシピ!$E:$E,0))&lt;&gt;0,INDEX(使用レシピ!F:F,MATCH(テンプレート!$C482,使用レシピ!$E:$E,0)),""),"")</f>
        <v/>
      </c>
      <c r="E482" t="str">
        <f>IFERROR(IF(INDEX(使用レシピ!G:G,MATCH(テンプレート!$C482,使用レシピ!$E:$E,0))&lt;&gt;0,INDEX(使用レシピ!G:G,MATCH(テンプレート!$C482,使用レシピ!$E:$E,0)),""),"")</f>
        <v/>
      </c>
      <c r="F482" t="str">
        <f>IFERROR(IF(INDEX(使用レシピ!H:H,MATCH(テンプレート!$C482,使用レシピ!$E:$E,0))&lt;&gt;0,INDEX(使用レシピ!H:H,MATCH(テンプレート!$C482,使用レシピ!$E:$E,0)),""),"")</f>
        <v/>
      </c>
      <c r="G482" t="str">
        <f>IFERROR(IF(INDEX(使用レシピ!I:I,MATCH(テンプレート!$C482,使用レシピ!$E:$E,0))&lt;&gt;0,INDEX(使用レシピ!I:I,MATCH(テンプレート!$C482,使用レシピ!$E:$E,0)),""),"")</f>
        <v/>
      </c>
      <c r="H482" s="24" t="str">
        <f>IFERROR(IF(INDEX(使用レシピ!J:J,MATCH(テンプレート!$C482,使用レシピ!$E:$E,0))&lt;&gt;0,INDEX(使用レシピ!J:J,MATCH(テンプレート!$C482,使用レシピ!$E:$E,0)),""),"")</f>
        <v/>
      </c>
      <c r="I482" s="36" t="str">
        <f>IFERROR(IF(INDEX(使用レシピ!P:P,MATCH(テンプレート!$C482,使用レシピ!$E:$E,0))&lt;&gt;0,INDEX(使用レシピ!P:P,MATCH(テンプレート!$C482,使用レシピ!$E:$E,0)),""),"")</f>
        <v/>
      </c>
      <c r="J482" t="str">
        <f>IFERROR(IF(INDEX(使用レシピ!K:K,MATCH(テンプレート!$C482,使用レシピ!$E:$E,0))&lt;&gt;0,INDEX(使用レシピ!K:K,MATCH(テンプレート!$C482,使用レシピ!$E:$E,0)),""),"")</f>
        <v/>
      </c>
      <c r="K482" t="str">
        <f>IFERROR(IF(INDEX(使用レシピ!L:L,MATCH(テンプレート!$C482,使用レシピ!$E:$E,0))&lt;&gt;0,INDEX(使用レシピ!L:L,MATCH(テンプレート!$C482,使用レシピ!$E:$E,0)),""),"")</f>
        <v/>
      </c>
      <c r="L482" t="str">
        <f>IFERROR(IF(INDEX(使用レシピ!M:M,MATCH(テンプレート!$C482,使用レシピ!$E:$E,0))&lt;&gt;0,INDEX(使用レシピ!M:M,MATCH(テンプレート!$C482,使用レシピ!$E:$E,0)),""),"")</f>
        <v/>
      </c>
      <c r="M482" t="str">
        <f>IFERROR(IF(INDEX(使用レシピ!N:N,MATCH(テンプレート!$C482,使用レシピ!$E:$E,0))&lt;&gt;0,INDEX(使用レシピ!N:N,MATCH(テンプレート!$C482,使用レシピ!$E:$E,0)),""),"")</f>
        <v/>
      </c>
      <c r="N482" s="24" t="str">
        <f>IFERROR(IF(INDEX(使用レシピ!O:O,MATCH(テンプレート!$C482,使用レシピ!$E:$E,0))&lt;&gt;0,INDEX(使用レシピ!O:O,MATCH(テンプレート!$C482,使用レシピ!$E:$E,0)),""),"")</f>
        <v/>
      </c>
      <c r="O482" s="36" t="str">
        <f>IFERROR(IF(INDEX(使用レシピ!P:P,MATCH(テンプレート!$C482,使用レシピ!$E:$E,0))&lt;&gt;0,INDEX(使用レシピ!P:P,MATCH(テンプレート!$C482,使用レシピ!$E:$E,0)),""),"")</f>
        <v/>
      </c>
      <c r="P482" t="str">
        <f t="shared" si="36"/>
        <v/>
      </c>
      <c r="Q482" t="str">
        <f t="shared" si="37"/>
        <v/>
      </c>
      <c r="R482" t="str">
        <f t="shared" si="38"/>
        <v/>
      </c>
      <c r="S482" t="str">
        <f t="shared" si="39"/>
        <v/>
      </c>
      <c r="T482" s="24" t="str">
        <f t="shared" si="40"/>
        <v/>
      </c>
    </row>
    <row r="483" spans="2:20" x14ac:dyDescent="0.4">
      <c r="B483" s="49" t="str" cm="1">
        <f t="array" ref="B483">IFERROR((INDEX($P$4:$T$1000,MATCH(VALUE(LEFT($A483,LEN($A483)-1)),$A$4:$A$1000,0),VALUE(RIGHT($A483,1)))/ INDEX($O$4:$O$1000,MATCH(VALUE(LEFT($A483,LEN($A483)-1)),$A$4:$A$1000))) * INDEX($B$4:$B$1000,MATCH(VALUE(LEFT($A483,LEN($A483)-1)),$A$4:$A$1000)),"")</f>
        <v/>
      </c>
      <c r="C483" s="2" t="str" cm="1">
        <f t="array" ref="C483">IFERROR(IF(INDEX($D$4:$H$1000,MATCH(VALUE(LEFT($A483,LEN($A483)-1)),$A$4:$A$1000,0),VALUE(RIGHT($A483,1)))= 0,"",INDEX($D$4:$H$1000,MATCH(VALUE(LEFT($A483,LEN($A483)-1)),$A$4:$A$1000,0),VALUE(RIGHT($A483,1)))),"")</f>
        <v/>
      </c>
      <c r="D483" s="23" t="str">
        <f>IFERROR(IF(INDEX(使用レシピ!F:F,MATCH(テンプレート!$C483,使用レシピ!$E:$E,0))&lt;&gt;0,INDEX(使用レシピ!F:F,MATCH(テンプレート!$C483,使用レシピ!$E:$E,0)),""),"")</f>
        <v/>
      </c>
      <c r="E483" t="str">
        <f>IFERROR(IF(INDEX(使用レシピ!G:G,MATCH(テンプレート!$C483,使用レシピ!$E:$E,0))&lt;&gt;0,INDEX(使用レシピ!G:G,MATCH(テンプレート!$C483,使用レシピ!$E:$E,0)),""),"")</f>
        <v/>
      </c>
      <c r="F483" t="str">
        <f>IFERROR(IF(INDEX(使用レシピ!H:H,MATCH(テンプレート!$C483,使用レシピ!$E:$E,0))&lt;&gt;0,INDEX(使用レシピ!H:H,MATCH(テンプレート!$C483,使用レシピ!$E:$E,0)),""),"")</f>
        <v/>
      </c>
      <c r="G483" t="str">
        <f>IFERROR(IF(INDEX(使用レシピ!I:I,MATCH(テンプレート!$C483,使用レシピ!$E:$E,0))&lt;&gt;0,INDEX(使用レシピ!I:I,MATCH(テンプレート!$C483,使用レシピ!$E:$E,0)),""),"")</f>
        <v/>
      </c>
      <c r="H483" s="24" t="str">
        <f>IFERROR(IF(INDEX(使用レシピ!J:J,MATCH(テンプレート!$C483,使用レシピ!$E:$E,0))&lt;&gt;0,INDEX(使用レシピ!J:J,MATCH(テンプレート!$C483,使用レシピ!$E:$E,0)),""),"")</f>
        <v/>
      </c>
      <c r="I483" s="36" t="str">
        <f>IFERROR(IF(INDEX(使用レシピ!P:P,MATCH(テンプレート!$C483,使用レシピ!$E:$E,0))&lt;&gt;0,INDEX(使用レシピ!P:P,MATCH(テンプレート!$C483,使用レシピ!$E:$E,0)),""),"")</f>
        <v/>
      </c>
      <c r="J483" t="str">
        <f>IFERROR(IF(INDEX(使用レシピ!K:K,MATCH(テンプレート!$C483,使用レシピ!$E:$E,0))&lt;&gt;0,INDEX(使用レシピ!K:K,MATCH(テンプレート!$C483,使用レシピ!$E:$E,0)),""),"")</f>
        <v/>
      </c>
      <c r="K483" t="str">
        <f>IFERROR(IF(INDEX(使用レシピ!L:L,MATCH(テンプレート!$C483,使用レシピ!$E:$E,0))&lt;&gt;0,INDEX(使用レシピ!L:L,MATCH(テンプレート!$C483,使用レシピ!$E:$E,0)),""),"")</f>
        <v/>
      </c>
      <c r="L483" t="str">
        <f>IFERROR(IF(INDEX(使用レシピ!M:M,MATCH(テンプレート!$C483,使用レシピ!$E:$E,0))&lt;&gt;0,INDEX(使用レシピ!M:M,MATCH(テンプレート!$C483,使用レシピ!$E:$E,0)),""),"")</f>
        <v/>
      </c>
      <c r="M483" t="str">
        <f>IFERROR(IF(INDEX(使用レシピ!N:N,MATCH(テンプレート!$C483,使用レシピ!$E:$E,0))&lt;&gt;0,INDEX(使用レシピ!N:N,MATCH(テンプレート!$C483,使用レシピ!$E:$E,0)),""),"")</f>
        <v/>
      </c>
      <c r="N483" s="24" t="str">
        <f>IFERROR(IF(INDEX(使用レシピ!O:O,MATCH(テンプレート!$C483,使用レシピ!$E:$E,0))&lt;&gt;0,INDEX(使用レシピ!O:O,MATCH(テンプレート!$C483,使用レシピ!$E:$E,0)),""),"")</f>
        <v/>
      </c>
      <c r="O483" s="36" t="str">
        <f>IFERROR(IF(INDEX(使用レシピ!P:P,MATCH(テンプレート!$C483,使用レシピ!$E:$E,0))&lt;&gt;0,INDEX(使用レシピ!P:P,MATCH(テンプレート!$C483,使用レシピ!$E:$E,0)),""),"")</f>
        <v/>
      </c>
      <c r="P483" t="str">
        <f t="shared" si="36"/>
        <v/>
      </c>
      <c r="Q483" t="str">
        <f t="shared" si="37"/>
        <v/>
      </c>
      <c r="R483" t="str">
        <f t="shared" si="38"/>
        <v/>
      </c>
      <c r="S483" t="str">
        <f t="shared" si="39"/>
        <v/>
      </c>
      <c r="T483" s="24" t="str">
        <f t="shared" si="40"/>
        <v/>
      </c>
    </row>
    <row r="484" spans="2:20" x14ac:dyDescent="0.4">
      <c r="B484" s="49" t="str" cm="1">
        <f t="array" ref="B484">IFERROR((INDEX($P$4:$T$1000,MATCH(VALUE(LEFT($A484,LEN($A484)-1)),$A$4:$A$1000,0),VALUE(RIGHT($A484,1)))/ INDEX($O$4:$O$1000,MATCH(VALUE(LEFT($A484,LEN($A484)-1)),$A$4:$A$1000))) * INDEX($B$4:$B$1000,MATCH(VALUE(LEFT($A484,LEN($A484)-1)),$A$4:$A$1000)),"")</f>
        <v/>
      </c>
      <c r="C484" s="2" t="str" cm="1">
        <f t="array" ref="C484">IFERROR(IF(INDEX($D$4:$H$1000,MATCH(VALUE(LEFT($A484,LEN($A484)-1)),$A$4:$A$1000,0),VALUE(RIGHT($A484,1)))= 0,"",INDEX($D$4:$H$1000,MATCH(VALUE(LEFT($A484,LEN($A484)-1)),$A$4:$A$1000,0),VALUE(RIGHT($A484,1)))),"")</f>
        <v/>
      </c>
      <c r="D484" s="23" t="str">
        <f>IFERROR(IF(INDEX(使用レシピ!F:F,MATCH(テンプレート!$C484,使用レシピ!$E:$E,0))&lt;&gt;0,INDEX(使用レシピ!F:F,MATCH(テンプレート!$C484,使用レシピ!$E:$E,0)),""),"")</f>
        <v/>
      </c>
      <c r="E484" t="str">
        <f>IFERROR(IF(INDEX(使用レシピ!G:G,MATCH(テンプレート!$C484,使用レシピ!$E:$E,0))&lt;&gt;0,INDEX(使用レシピ!G:G,MATCH(テンプレート!$C484,使用レシピ!$E:$E,0)),""),"")</f>
        <v/>
      </c>
      <c r="F484" t="str">
        <f>IFERROR(IF(INDEX(使用レシピ!H:H,MATCH(テンプレート!$C484,使用レシピ!$E:$E,0))&lt;&gt;0,INDEX(使用レシピ!H:H,MATCH(テンプレート!$C484,使用レシピ!$E:$E,0)),""),"")</f>
        <v/>
      </c>
      <c r="G484" t="str">
        <f>IFERROR(IF(INDEX(使用レシピ!I:I,MATCH(テンプレート!$C484,使用レシピ!$E:$E,0))&lt;&gt;0,INDEX(使用レシピ!I:I,MATCH(テンプレート!$C484,使用レシピ!$E:$E,0)),""),"")</f>
        <v/>
      </c>
      <c r="H484" s="24" t="str">
        <f>IFERROR(IF(INDEX(使用レシピ!J:J,MATCH(テンプレート!$C484,使用レシピ!$E:$E,0))&lt;&gt;0,INDEX(使用レシピ!J:J,MATCH(テンプレート!$C484,使用レシピ!$E:$E,0)),""),"")</f>
        <v/>
      </c>
      <c r="I484" s="36" t="str">
        <f>IFERROR(IF(INDEX(使用レシピ!P:P,MATCH(テンプレート!$C484,使用レシピ!$E:$E,0))&lt;&gt;0,INDEX(使用レシピ!P:P,MATCH(テンプレート!$C484,使用レシピ!$E:$E,0)),""),"")</f>
        <v/>
      </c>
      <c r="J484" t="str">
        <f>IFERROR(IF(INDEX(使用レシピ!K:K,MATCH(テンプレート!$C484,使用レシピ!$E:$E,0))&lt;&gt;0,INDEX(使用レシピ!K:K,MATCH(テンプレート!$C484,使用レシピ!$E:$E,0)),""),"")</f>
        <v/>
      </c>
      <c r="K484" t="str">
        <f>IFERROR(IF(INDEX(使用レシピ!L:L,MATCH(テンプレート!$C484,使用レシピ!$E:$E,0))&lt;&gt;0,INDEX(使用レシピ!L:L,MATCH(テンプレート!$C484,使用レシピ!$E:$E,0)),""),"")</f>
        <v/>
      </c>
      <c r="L484" t="str">
        <f>IFERROR(IF(INDEX(使用レシピ!M:M,MATCH(テンプレート!$C484,使用レシピ!$E:$E,0))&lt;&gt;0,INDEX(使用レシピ!M:M,MATCH(テンプレート!$C484,使用レシピ!$E:$E,0)),""),"")</f>
        <v/>
      </c>
      <c r="M484" t="str">
        <f>IFERROR(IF(INDEX(使用レシピ!N:N,MATCH(テンプレート!$C484,使用レシピ!$E:$E,0))&lt;&gt;0,INDEX(使用レシピ!N:N,MATCH(テンプレート!$C484,使用レシピ!$E:$E,0)),""),"")</f>
        <v/>
      </c>
      <c r="N484" s="24" t="str">
        <f>IFERROR(IF(INDEX(使用レシピ!O:O,MATCH(テンプレート!$C484,使用レシピ!$E:$E,0))&lt;&gt;0,INDEX(使用レシピ!O:O,MATCH(テンプレート!$C484,使用レシピ!$E:$E,0)),""),"")</f>
        <v/>
      </c>
      <c r="O484" s="36" t="str">
        <f>IFERROR(IF(INDEX(使用レシピ!P:P,MATCH(テンプレート!$C484,使用レシピ!$E:$E,0))&lt;&gt;0,INDEX(使用レシピ!P:P,MATCH(テンプレート!$C484,使用レシピ!$E:$E,0)),""),"")</f>
        <v/>
      </c>
      <c r="P484" t="str">
        <f t="shared" si="36"/>
        <v/>
      </c>
      <c r="Q484" t="str">
        <f t="shared" si="37"/>
        <v/>
      </c>
      <c r="R484" t="str">
        <f t="shared" si="38"/>
        <v/>
      </c>
      <c r="S484" t="str">
        <f t="shared" si="39"/>
        <v/>
      </c>
      <c r="T484" s="24" t="str">
        <f t="shared" si="40"/>
        <v/>
      </c>
    </row>
    <row r="485" spans="2:20" x14ac:dyDescent="0.4">
      <c r="B485" s="49" t="str" cm="1">
        <f t="array" ref="B485">IFERROR((INDEX($P$4:$T$1000,MATCH(VALUE(LEFT($A485,LEN($A485)-1)),$A$4:$A$1000,0),VALUE(RIGHT($A485,1)))/ INDEX($O$4:$O$1000,MATCH(VALUE(LEFT($A485,LEN($A485)-1)),$A$4:$A$1000))) * INDEX($B$4:$B$1000,MATCH(VALUE(LEFT($A485,LEN($A485)-1)),$A$4:$A$1000)),"")</f>
        <v/>
      </c>
      <c r="C485" s="2" t="str" cm="1">
        <f t="array" ref="C485">IFERROR(IF(INDEX($D$4:$H$1000,MATCH(VALUE(LEFT($A485,LEN($A485)-1)),$A$4:$A$1000,0),VALUE(RIGHT($A485,1)))= 0,"",INDEX($D$4:$H$1000,MATCH(VALUE(LEFT($A485,LEN($A485)-1)),$A$4:$A$1000,0),VALUE(RIGHT($A485,1)))),"")</f>
        <v/>
      </c>
      <c r="D485" s="23" t="str">
        <f>IFERROR(IF(INDEX(使用レシピ!F:F,MATCH(テンプレート!$C485,使用レシピ!$E:$E,0))&lt;&gt;0,INDEX(使用レシピ!F:F,MATCH(テンプレート!$C485,使用レシピ!$E:$E,0)),""),"")</f>
        <v/>
      </c>
      <c r="E485" t="str">
        <f>IFERROR(IF(INDEX(使用レシピ!G:G,MATCH(テンプレート!$C485,使用レシピ!$E:$E,0))&lt;&gt;0,INDEX(使用レシピ!G:G,MATCH(テンプレート!$C485,使用レシピ!$E:$E,0)),""),"")</f>
        <v/>
      </c>
      <c r="F485" t="str">
        <f>IFERROR(IF(INDEX(使用レシピ!H:H,MATCH(テンプレート!$C485,使用レシピ!$E:$E,0))&lt;&gt;0,INDEX(使用レシピ!H:H,MATCH(テンプレート!$C485,使用レシピ!$E:$E,0)),""),"")</f>
        <v/>
      </c>
      <c r="G485" t="str">
        <f>IFERROR(IF(INDEX(使用レシピ!I:I,MATCH(テンプレート!$C485,使用レシピ!$E:$E,0))&lt;&gt;0,INDEX(使用レシピ!I:I,MATCH(テンプレート!$C485,使用レシピ!$E:$E,0)),""),"")</f>
        <v/>
      </c>
      <c r="H485" s="24" t="str">
        <f>IFERROR(IF(INDEX(使用レシピ!J:J,MATCH(テンプレート!$C485,使用レシピ!$E:$E,0))&lt;&gt;0,INDEX(使用レシピ!J:J,MATCH(テンプレート!$C485,使用レシピ!$E:$E,0)),""),"")</f>
        <v/>
      </c>
      <c r="I485" s="36" t="str">
        <f>IFERROR(IF(INDEX(使用レシピ!P:P,MATCH(テンプレート!$C485,使用レシピ!$E:$E,0))&lt;&gt;0,INDEX(使用レシピ!P:P,MATCH(テンプレート!$C485,使用レシピ!$E:$E,0)),""),"")</f>
        <v/>
      </c>
      <c r="J485" t="str">
        <f>IFERROR(IF(INDEX(使用レシピ!K:K,MATCH(テンプレート!$C485,使用レシピ!$E:$E,0))&lt;&gt;0,INDEX(使用レシピ!K:K,MATCH(テンプレート!$C485,使用レシピ!$E:$E,0)),""),"")</f>
        <v/>
      </c>
      <c r="K485" t="str">
        <f>IFERROR(IF(INDEX(使用レシピ!L:L,MATCH(テンプレート!$C485,使用レシピ!$E:$E,0))&lt;&gt;0,INDEX(使用レシピ!L:L,MATCH(テンプレート!$C485,使用レシピ!$E:$E,0)),""),"")</f>
        <v/>
      </c>
      <c r="L485" t="str">
        <f>IFERROR(IF(INDEX(使用レシピ!M:M,MATCH(テンプレート!$C485,使用レシピ!$E:$E,0))&lt;&gt;0,INDEX(使用レシピ!M:M,MATCH(テンプレート!$C485,使用レシピ!$E:$E,0)),""),"")</f>
        <v/>
      </c>
      <c r="M485" t="str">
        <f>IFERROR(IF(INDEX(使用レシピ!N:N,MATCH(テンプレート!$C485,使用レシピ!$E:$E,0))&lt;&gt;0,INDEX(使用レシピ!N:N,MATCH(テンプレート!$C485,使用レシピ!$E:$E,0)),""),"")</f>
        <v/>
      </c>
      <c r="N485" s="24" t="str">
        <f>IFERROR(IF(INDEX(使用レシピ!O:O,MATCH(テンプレート!$C485,使用レシピ!$E:$E,0))&lt;&gt;0,INDEX(使用レシピ!O:O,MATCH(テンプレート!$C485,使用レシピ!$E:$E,0)),""),"")</f>
        <v/>
      </c>
      <c r="O485" s="36" t="str">
        <f>IFERROR(IF(INDEX(使用レシピ!P:P,MATCH(テンプレート!$C485,使用レシピ!$E:$E,0))&lt;&gt;0,INDEX(使用レシピ!P:P,MATCH(テンプレート!$C485,使用レシピ!$E:$E,0)),""),"")</f>
        <v/>
      </c>
      <c r="P485" t="str">
        <f t="shared" si="36"/>
        <v/>
      </c>
      <c r="Q485" t="str">
        <f t="shared" si="37"/>
        <v/>
      </c>
      <c r="R485" t="str">
        <f t="shared" si="38"/>
        <v/>
      </c>
      <c r="S485" t="str">
        <f t="shared" si="39"/>
        <v/>
      </c>
      <c r="T485" s="24" t="str">
        <f t="shared" si="40"/>
        <v/>
      </c>
    </row>
    <row r="486" spans="2:20" x14ac:dyDescent="0.4">
      <c r="B486" s="49" t="str" cm="1">
        <f t="array" ref="B486">IFERROR((INDEX($P$4:$T$1000,MATCH(VALUE(LEFT($A486,LEN($A486)-1)),$A$4:$A$1000,0),VALUE(RIGHT($A486,1)))/ INDEX($O$4:$O$1000,MATCH(VALUE(LEFT($A486,LEN($A486)-1)),$A$4:$A$1000))) * INDEX($B$4:$B$1000,MATCH(VALUE(LEFT($A486,LEN($A486)-1)),$A$4:$A$1000)),"")</f>
        <v/>
      </c>
      <c r="C486" s="2" t="str" cm="1">
        <f t="array" ref="C486">IFERROR(IF(INDEX($D$4:$H$1000,MATCH(VALUE(LEFT($A486,LEN($A486)-1)),$A$4:$A$1000,0),VALUE(RIGHT($A486,1)))= 0,"",INDEX($D$4:$H$1000,MATCH(VALUE(LEFT($A486,LEN($A486)-1)),$A$4:$A$1000,0),VALUE(RIGHT($A486,1)))),"")</f>
        <v/>
      </c>
      <c r="D486" s="23" t="str">
        <f>IFERROR(IF(INDEX(使用レシピ!F:F,MATCH(テンプレート!$C486,使用レシピ!$E:$E,0))&lt;&gt;0,INDEX(使用レシピ!F:F,MATCH(テンプレート!$C486,使用レシピ!$E:$E,0)),""),"")</f>
        <v/>
      </c>
      <c r="E486" t="str">
        <f>IFERROR(IF(INDEX(使用レシピ!G:G,MATCH(テンプレート!$C486,使用レシピ!$E:$E,0))&lt;&gt;0,INDEX(使用レシピ!G:G,MATCH(テンプレート!$C486,使用レシピ!$E:$E,0)),""),"")</f>
        <v/>
      </c>
      <c r="F486" t="str">
        <f>IFERROR(IF(INDEX(使用レシピ!H:H,MATCH(テンプレート!$C486,使用レシピ!$E:$E,0))&lt;&gt;0,INDEX(使用レシピ!H:H,MATCH(テンプレート!$C486,使用レシピ!$E:$E,0)),""),"")</f>
        <v/>
      </c>
      <c r="G486" t="str">
        <f>IFERROR(IF(INDEX(使用レシピ!I:I,MATCH(テンプレート!$C486,使用レシピ!$E:$E,0))&lt;&gt;0,INDEX(使用レシピ!I:I,MATCH(テンプレート!$C486,使用レシピ!$E:$E,0)),""),"")</f>
        <v/>
      </c>
      <c r="H486" s="24" t="str">
        <f>IFERROR(IF(INDEX(使用レシピ!J:J,MATCH(テンプレート!$C486,使用レシピ!$E:$E,0))&lt;&gt;0,INDEX(使用レシピ!J:J,MATCH(テンプレート!$C486,使用レシピ!$E:$E,0)),""),"")</f>
        <v/>
      </c>
      <c r="I486" s="36" t="str">
        <f>IFERROR(IF(INDEX(使用レシピ!P:P,MATCH(テンプレート!$C486,使用レシピ!$E:$E,0))&lt;&gt;0,INDEX(使用レシピ!P:P,MATCH(テンプレート!$C486,使用レシピ!$E:$E,0)),""),"")</f>
        <v/>
      </c>
      <c r="J486" t="str">
        <f>IFERROR(IF(INDEX(使用レシピ!K:K,MATCH(テンプレート!$C486,使用レシピ!$E:$E,0))&lt;&gt;0,INDEX(使用レシピ!K:K,MATCH(テンプレート!$C486,使用レシピ!$E:$E,0)),""),"")</f>
        <v/>
      </c>
      <c r="K486" t="str">
        <f>IFERROR(IF(INDEX(使用レシピ!L:L,MATCH(テンプレート!$C486,使用レシピ!$E:$E,0))&lt;&gt;0,INDEX(使用レシピ!L:L,MATCH(テンプレート!$C486,使用レシピ!$E:$E,0)),""),"")</f>
        <v/>
      </c>
      <c r="L486" t="str">
        <f>IFERROR(IF(INDEX(使用レシピ!M:M,MATCH(テンプレート!$C486,使用レシピ!$E:$E,0))&lt;&gt;0,INDEX(使用レシピ!M:M,MATCH(テンプレート!$C486,使用レシピ!$E:$E,0)),""),"")</f>
        <v/>
      </c>
      <c r="M486" t="str">
        <f>IFERROR(IF(INDEX(使用レシピ!N:N,MATCH(テンプレート!$C486,使用レシピ!$E:$E,0))&lt;&gt;0,INDEX(使用レシピ!N:N,MATCH(テンプレート!$C486,使用レシピ!$E:$E,0)),""),"")</f>
        <v/>
      </c>
      <c r="N486" s="24" t="str">
        <f>IFERROR(IF(INDEX(使用レシピ!O:O,MATCH(テンプレート!$C486,使用レシピ!$E:$E,0))&lt;&gt;0,INDEX(使用レシピ!O:O,MATCH(テンプレート!$C486,使用レシピ!$E:$E,0)),""),"")</f>
        <v/>
      </c>
      <c r="O486" s="36" t="str">
        <f>IFERROR(IF(INDEX(使用レシピ!P:P,MATCH(テンプレート!$C486,使用レシピ!$E:$E,0))&lt;&gt;0,INDEX(使用レシピ!P:P,MATCH(テンプレート!$C486,使用レシピ!$E:$E,0)),""),"")</f>
        <v/>
      </c>
      <c r="P486" t="str">
        <f t="shared" si="36"/>
        <v/>
      </c>
      <c r="Q486" t="str">
        <f t="shared" si="37"/>
        <v/>
      </c>
      <c r="R486" t="str">
        <f t="shared" si="38"/>
        <v/>
      </c>
      <c r="S486" t="str">
        <f t="shared" si="39"/>
        <v/>
      </c>
      <c r="T486" s="24" t="str">
        <f t="shared" si="40"/>
        <v/>
      </c>
    </row>
    <row r="487" spans="2:20" x14ac:dyDescent="0.4">
      <c r="B487" s="49" t="str" cm="1">
        <f t="array" ref="B487">IFERROR((INDEX($P$4:$T$1000,MATCH(VALUE(LEFT($A487,LEN($A487)-1)),$A$4:$A$1000,0),VALUE(RIGHT($A487,1)))/ INDEX($O$4:$O$1000,MATCH(VALUE(LEFT($A487,LEN($A487)-1)),$A$4:$A$1000))) * INDEX($B$4:$B$1000,MATCH(VALUE(LEFT($A487,LEN($A487)-1)),$A$4:$A$1000)),"")</f>
        <v/>
      </c>
      <c r="C487" s="2" t="str" cm="1">
        <f t="array" ref="C487">IFERROR(IF(INDEX($D$4:$H$1000,MATCH(VALUE(LEFT($A487,LEN($A487)-1)),$A$4:$A$1000,0),VALUE(RIGHT($A487,1)))= 0,"",INDEX($D$4:$H$1000,MATCH(VALUE(LEFT($A487,LEN($A487)-1)),$A$4:$A$1000,0),VALUE(RIGHT($A487,1)))),"")</f>
        <v/>
      </c>
      <c r="D487" s="23" t="str">
        <f>IFERROR(IF(INDEX(使用レシピ!F:F,MATCH(テンプレート!$C487,使用レシピ!$E:$E,0))&lt;&gt;0,INDEX(使用レシピ!F:F,MATCH(テンプレート!$C487,使用レシピ!$E:$E,0)),""),"")</f>
        <v/>
      </c>
      <c r="E487" t="str">
        <f>IFERROR(IF(INDEX(使用レシピ!G:G,MATCH(テンプレート!$C487,使用レシピ!$E:$E,0))&lt;&gt;0,INDEX(使用レシピ!G:G,MATCH(テンプレート!$C487,使用レシピ!$E:$E,0)),""),"")</f>
        <v/>
      </c>
      <c r="F487" t="str">
        <f>IFERROR(IF(INDEX(使用レシピ!H:H,MATCH(テンプレート!$C487,使用レシピ!$E:$E,0))&lt;&gt;0,INDEX(使用レシピ!H:H,MATCH(テンプレート!$C487,使用レシピ!$E:$E,0)),""),"")</f>
        <v/>
      </c>
      <c r="G487" t="str">
        <f>IFERROR(IF(INDEX(使用レシピ!I:I,MATCH(テンプレート!$C487,使用レシピ!$E:$E,0))&lt;&gt;0,INDEX(使用レシピ!I:I,MATCH(テンプレート!$C487,使用レシピ!$E:$E,0)),""),"")</f>
        <v/>
      </c>
      <c r="H487" s="24" t="str">
        <f>IFERROR(IF(INDEX(使用レシピ!J:J,MATCH(テンプレート!$C487,使用レシピ!$E:$E,0))&lt;&gt;0,INDEX(使用レシピ!J:J,MATCH(テンプレート!$C487,使用レシピ!$E:$E,0)),""),"")</f>
        <v/>
      </c>
      <c r="I487" s="36" t="str">
        <f>IFERROR(IF(INDEX(使用レシピ!P:P,MATCH(テンプレート!$C487,使用レシピ!$E:$E,0))&lt;&gt;0,INDEX(使用レシピ!P:P,MATCH(テンプレート!$C487,使用レシピ!$E:$E,0)),""),"")</f>
        <v/>
      </c>
      <c r="J487" t="str">
        <f>IFERROR(IF(INDEX(使用レシピ!K:K,MATCH(テンプレート!$C487,使用レシピ!$E:$E,0))&lt;&gt;0,INDEX(使用レシピ!K:K,MATCH(テンプレート!$C487,使用レシピ!$E:$E,0)),""),"")</f>
        <v/>
      </c>
      <c r="K487" t="str">
        <f>IFERROR(IF(INDEX(使用レシピ!L:L,MATCH(テンプレート!$C487,使用レシピ!$E:$E,0))&lt;&gt;0,INDEX(使用レシピ!L:L,MATCH(テンプレート!$C487,使用レシピ!$E:$E,0)),""),"")</f>
        <v/>
      </c>
      <c r="L487" t="str">
        <f>IFERROR(IF(INDEX(使用レシピ!M:M,MATCH(テンプレート!$C487,使用レシピ!$E:$E,0))&lt;&gt;0,INDEX(使用レシピ!M:M,MATCH(テンプレート!$C487,使用レシピ!$E:$E,0)),""),"")</f>
        <v/>
      </c>
      <c r="M487" t="str">
        <f>IFERROR(IF(INDEX(使用レシピ!N:N,MATCH(テンプレート!$C487,使用レシピ!$E:$E,0))&lt;&gt;0,INDEX(使用レシピ!N:N,MATCH(テンプレート!$C487,使用レシピ!$E:$E,0)),""),"")</f>
        <v/>
      </c>
      <c r="N487" s="24" t="str">
        <f>IFERROR(IF(INDEX(使用レシピ!O:O,MATCH(テンプレート!$C487,使用レシピ!$E:$E,0))&lt;&gt;0,INDEX(使用レシピ!O:O,MATCH(テンプレート!$C487,使用レシピ!$E:$E,0)),""),"")</f>
        <v/>
      </c>
      <c r="O487" s="36" t="str">
        <f>IFERROR(IF(INDEX(使用レシピ!P:P,MATCH(テンプレート!$C487,使用レシピ!$E:$E,0))&lt;&gt;0,INDEX(使用レシピ!P:P,MATCH(テンプレート!$C487,使用レシピ!$E:$E,0)),""),"")</f>
        <v/>
      </c>
      <c r="P487" t="str">
        <f t="shared" si="36"/>
        <v/>
      </c>
      <c r="Q487" t="str">
        <f t="shared" si="37"/>
        <v/>
      </c>
      <c r="R487" t="str">
        <f t="shared" si="38"/>
        <v/>
      </c>
      <c r="S487" t="str">
        <f t="shared" si="39"/>
        <v/>
      </c>
      <c r="T487" s="24" t="str">
        <f t="shared" si="40"/>
        <v/>
      </c>
    </row>
    <row r="488" spans="2:20" x14ac:dyDescent="0.4">
      <c r="B488" s="49" t="str" cm="1">
        <f t="array" ref="B488">IFERROR((INDEX($P$4:$T$1000,MATCH(VALUE(LEFT($A488,LEN($A488)-1)),$A$4:$A$1000,0),VALUE(RIGHT($A488,1)))/ INDEX($O$4:$O$1000,MATCH(VALUE(LEFT($A488,LEN($A488)-1)),$A$4:$A$1000))) * INDEX($B$4:$B$1000,MATCH(VALUE(LEFT($A488,LEN($A488)-1)),$A$4:$A$1000)),"")</f>
        <v/>
      </c>
      <c r="C488" s="2" t="str" cm="1">
        <f t="array" ref="C488">IFERROR(IF(INDEX($D$4:$H$1000,MATCH(VALUE(LEFT($A488,LEN($A488)-1)),$A$4:$A$1000,0),VALUE(RIGHT($A488,1)))= 0,"",INDEX($D$4:$H$1000,MATCH(VALUE(LEFT($A488,LEN($A488)-1)),$A$4:$A$1000,0),VALUE(RIGHT($A488,1)))),"")</f>
        <v/>
      </c>
      <c r="D488" s="23" t="str">
        <f>IFERROR(IF(INDEX(使用レシピ!F:F,MATCH(テンプレート!$C488,使用レシピ!$E:$E,0))&lt;&gt;0,INDEX(使用レシピ!F:F,MATCH(テンプレート!$C488,使用レシピ!$E:$E,0)),""),"")</f>
        <v/>
      </c>
      <c r="E488" t="str">
        <f>IFERROR(IF(INDEX(使用レシピ!G:G,MATCH(テンプレート!$C488,使用レシピ!$E:$E,0))&lt;&gt;0,INDEX(使用レシピ!G:G,MATCH(テンプレート!$C488,使用レシピ!$E:$E,0)),""),"")</f>
        <v/>
      </c>
      <c r="F488" t="str">
        <f>IFERROR(IF(INDEX(使用レシピ!H:H,MATCH(テンプレート!$C488,使用レシピ!$E:$E,0))&lt;&gt;0,INDEX(使用レシピ!H:H,MATCH(テンプレート!$C488,使用レシピ!$E:$E,0)),""),"")</f>
        <v/>
      </c>
      <c r="G488" t="str">
        <f>IFERROR(IF(INDEX(使用レシピ!I:I,MATCH(テンプレート!$C488,使用レシピ!$E:$E,0))&lt;&gt;0,INDEX(使用レシピ!I:I,MATCH(テンプレート!$C488,使用レシピ!$E:$E,0)),""),"")</f>
        <v/>
      </c>
      <c r="H488" s="24" t="str">
        <f>IFERROR(IF(INDEX(使用レシピ!J:J,MATCH(テンプレート!$C488,使用レシピ!$E:$E,0))&lt;&gt;0,INDEX(使用レシピ!J:J,MATCH(テンプレート!$C488,使用レシピ!$E:$E,0)),""),"")</f>
        <v/>
      </c>
      <c r="I488" s="36" t="str">
        <f>IFERROR(IF(INDEX(使用レシピ!P:P,MATCH(テンプレート!$C488,使用レシピ!$E:$E,0))&lt;&gt;0,INDEX(使用レシピ!P:P,MATCH(テンプレート!$C488,使用レシピ!$E:$E,0)),""),"")</f>
        <v/>
      </c>
      <c r="J488" t="str">
        <f>IFERROR(IF(INDEX(使用レシピ!K:K,MATCH(テンプレート!$C488,使用レシピ!$E:$E,0))&lt;&gt;0,INDEX(使用レシピ!K:K,MATCH(テンプレート!$C488,使用レシピ!$E:$E,0)),""),"")</f>
        <v/>
      </c>
      <c r="K488" t="str">
        <f>IFERROR(IF(INDEX(使用レシピ!L:L,MATCH(テンプレート!$C488,使用レシピ!$E:$E,0))&lt;&gt;0,INDEX(使用レシピ!L:L,MATCH(テンプレート!$C488,使用レシピ!$E:$E,0)),""),"")</f>
        <v/>
      </c>
      <c r="L488" t="str">
        <f>IFERROR(IF(INDEX(使用レシピ!M:M,MATCH(テンプレート!$C488,使用レシピ!$E:$E,0))&lt;&gt;0,INDEX(使用レシピ!M:M,MATCH(テンプレート!$C488,使用レシピ!$E:$E,0)),""),"")</f>
        <v/>
      </c>
      <c r="M488" t="str">
        <f>IFERROR(IF(INDEX(使用レシピ!N:N,MATCH(テンプレート!$C488,使用レシピ!$E:$E,0))&lt;&gt;0,INDEX(使用レシピ!N:N,MATCH(テンプレート!$C488,使用レシピ!$E:$E,0)),""),"")</f>
        <v/>
      </c>
      <c r="N488" s="24" t="str">
        <f>IFERROR(IF(INDEX(使用レシピ!O:O,MATCH(テンプレート!$C488,使用レシピ!$E:$E,0))&lt;&gt;0,INDEX(使用レシピ!O:O,MATCH(テンプレート!$C488,使用レシピ!$E:$E,0)),""),"")</f>
        <v/>
      </c>
      <c r="O488" s="36" t="str">
        <f>IFERROR(IF(INDEX(使用レシピ!P:P,MATCH(テンプレート!$C488,使用レシピ!$E:$E,0))&lt;&gt;0,INDEX(使用レシピ!P:P,MATCH(テンプレート!$C488,使用レシピ!$E:$E,0)),""),"")</f>
        <v/>
      </c>
      <c r="P488" t="str">
        <f t="shared" si="36"/>
        <v/>
      </c>
      <c r="Q488" t="str">
        <f t="shared" si="37"/>
        <v/>
      </c>
      <c r="R488" t="str">
        <f t="shared" si="38"/>
        <v/>
      </c>
      <c r="S488" t="str">
        <f t="shared" si="39"/>
        <v/>
      </c>
      <c r="T488" s="24" t="str">
        <f t="shared" si="40"/>
        <v/>
      </c>
    </row>
    <row r="489" spans="2:20" x14ac:dyDescent="0.4">
      <c r="B489" s="49" t="str" cm="1">
        <f t="array" ref="B489">IFERROR((INDEX($P$4:$T$1000,MATCH(VALUE(LEFT($A489,LEN($A489)-1)),$A$4:$A$1000,0),VALUE(RIGHT($A489,1)))/ INDEX($O$4:$O$1000,MATCH(VALUE(LEFT($A489,LEN($A489)-1)),$A$4:$A$1000))) * INDEX($B$4:$B$1000,MATCH(VALUE(LEFT($A489,LEN($A489)-1)),$A$4:$A$1000)),"")</f>
        <v/>
      </c>
      <c r="C489" s="2" t="str" cm="1">
        <f t="array" ref="C489">IFERROR(IF(INDEX($D$4:$H$1000,MATCH(VALUE(LEFT($A489,LEN($A489)-1)),$A$4:$A$1000,0),VALUE(RIGHT($A489,1)))= 0,"",INDEX($D$4:$H$1000,MATCH(VALUE(LEFT($A489,LEN($A489)-1)),$A$4:$A$1000,0),VALUE(RIGHT($A489,1)))),"")</f>
        <v/>
      </c>
      <c r="D489" s="23" t="str">
        <f>IFERROR(IF(INDEX(使用レシピ!F:F,MATCH(テンプレート!$C489,使用レシピ!$E:$E,0))&lt;&gt;0,INDEX(使用レシピ!F:F,MATCH(テンプレート!$C489,使用レシピ!$E:$E,0)),""),"")</f>
        <v/>
      </c>
      <c r="E489" t="str">
        <f>IFERROR(IF(INDEX(使用レシピ!G:G,MATCH(テンプレート!$C489,使用レシピ!$E:$E,0))&lt;&gt;0,INDEX(使用レシピ!G:G,MATCH(テンプレート!$C489,使用レシピ!$E:$E,0)),""),"")</f>
        <v/>
      </c>
      <c r="F489" t="str">
        <f>IFERROR(IF(INDEX(使用レシピ!H:H,MATCH(テンプレート!$C489,使用レシピ!$E:$E,0))&lt;&gt;0,INDEX(使用レシピ!H:H,MATCH(テンプレート!$C489,使用レシピ!$E:$E,0)),""),"")</f>
        <v/>
      </c>
      <c r="G489" t="str">
        <f>IFERROR(IF(INDEX(使用レシピ!I:I,MATCH(テンプレート!$C489,使用レシピ!$E:$E,0))&lt;&gt;0,INDEX(使用レシピ!I:I,MATCH(テンプレート!$C489,使用レシピ!$E:$E,0)),""),"")</f>
        <v/>
      </c>
      <c r="H489" s="24" t="str">
        <f>IFERROR(IF(INDEX(使用レシピ!J:J,MATCH(テンプレート!$C489,使用レシピ!$E:$E,0))&lt;&gt;0,INDEX(使用レシピ!J:J,MATCH(テンプレート!$C489,使用レシピ!$E:$E,0)),""),"")</f>
        <v/>
      </c>
      <c r="I489" s="36" t="str">
        <f>IFERROR(IF(INDEX(使用レシピ!P:P,MATCH(テンプレート!$C489,使用レシピ!$E:$E,0))&lt;&gt;0,INDEX(使用レシピ!P:P,MATCH(テンプレート!$C489,使用レシピ!$E:$E,0)),""),"")</f>
        <v/>
      </c>
      <c r="J489" t="str">
        <f>IFERROR(IF(INDEX(使用レシピ!K:K,MATCH(テンプレート!$C489,使用レシピ!$E:$E,0))&lt;&gt;0,INDEX(使用レシピ!K:K,MATCH(テンプレート!$C489,使用レシピ!$E:$E,0)),""),"")</f>
        <v/>
      </c>
      <c r="K489" t="str">
        <f>IFERROR(IF(INDEX(使用レシピ!L:L,MATCH(テンプレート!$C489,使用レシピ!$E:$E,0))&lt;&gt;0,INDEX(使用レシピ!L:L,MATCH(テンプレート!$C489,使用レシピ!$E:$E,0)),""),"")</f>
        <v/>
      </c>
      <c r="L489" t="str">
        <f>IFERROR(IF(INDEX(使用レシピ!M:M,MATCH(テンプレート!$C489,使用レシピ!$E:$E,0))&lt;&gt;0,INDEX(使用レシピ!M:M,MATCH(テンプレート!$C489,使用レシピ!$E:$E,0)),""),"")</f>
        <v/>
      </c>
      <c r="M489" t="str">
        <f>IFERROR(IF(INDEX(使用レシピ!N:N,MATCH(テンプレート!$C489,使用レシピ!$E:$E,0))&lt;&gt;0,INDEX(使用レシピ!N:N,MATCH(テンプレート!$C489,使用レシピ!$E:$E,0)),""),"")</f>
        <v/>
      </c>
      <c r="N489" s="24" t="str">
        <f>IFERROR(IF(INDEX(使用レシピ!O:O,MATCH(テンプレート!$C489,使用レシピ!$E:$E,0))&lt;&gt;0,INDEX(使用レシピ!O:O,MATCH(テンプレート!$C489,使用レシピ!$E:$E,0)),""),"")</f>
        <v/>
      </c>
      <c r="O489" s="36" t="str">
        <f>IFERROR(IF(INDEX(使用レシピ!P:P,MATCH(テンプレート!$C489,使用レシピ!$E:$E,0))&lt;&gt;0,INDEX(使用レシピ!P:P,MATCH(テンプレート!$C489,使用レシピ!$E:$E,0)),""),"")</f>
        <v/>
      </c>
      <c r="P489" t="str">
        <f t="shared" si="36"/>
        <v/>
      </c>
      <c r="Q489" t="str">
        <f t="shared" si="37"/>
        <v/>
      </c>
      <c r="R489" t="str">
        <f t="shared" si="38"/>
        <v/>
      </c>
      <c r="S489" t="str">
        <f t="shared" si="39"/>
        <v/>
      </c>
      <c r="T489" s="24" t="str">
        <f t="shared" si="40"/>
        <v/>
      </c>
    </row>
    <row r="490" spans="2:20" x14ac:dyDescent="0.4">
      <c r="B490" s="49" t="str" cm="1">
        <f t="array" ref="B490">IFERROR((INDEX($P$4:$T$1000,MATCH(VALUE(LEFT($A490,LEN($A490)-1)),$A$4:$A$1000,0),VALUE(RIGHT($A490,1)))/ INDEX($O$4:$O$1000,MATCH(VALUE(LEFT($A490,LEN($A490)-1)),$A$4:$A$1000))) * INDEX($B$4:$B$1000,MATCH(VALUE(LEFT($A490,LEN($A490)-1)),$A$4:$A$1000)),"")</f>
        <v/>
      </c>
      <c r="C490" s="2" t="str" cm="1">
        <f t="array" ref="C490">IFERROR(IF(INDEX($D$4:$H$1000,MATCH(VALUE(LEFT($A490,LEN($A490)-1)),$A$4:$A$1000,0),VALUE(RIGHT($A490,1)))= 0,"",INDEX($D$4:$H$1000,MATCH(VALUE(LEFT($A490,LEN($A490)-1)),$A$4:$A$1000,0),VALUE(RIGHT($A490,1)))),"")</f>
        <v/>
      </c>
      <c r="D490" s="23" t="str">
        <f>IFERROR(IF(INDEX(使用レシピ!F:F,MATCH(テンプレート!$C490,使用レシピ!$E:$E,0))&lt;&gt;0,INDEX(使用レシピ!F:F,MATCH(テンプレート!$C490,使用レシピ!$E:$E,0)),""),"")</f>
        <v/>
      </c>
      <c r="E490" t="str">
        <f>IFERROR(IF(INDEX(使用レシピ!G:G,MATCH(テンプレート!$C490,使用レシピ!$E:$E,0))&lt;&gt;0,INDEX(使用レシピ!G:G,MATCH(テンプレート!$C490,使用レシピ!$E:$E,0)),""),"")</f>
        <v/>
      </c>
      <c r="F490" t="str">
        <f>IFERROR(IF(INDEX(使用レシピ!H:H,MATCH(テンプレート!$C490,使用レシピ!$E:$E,0))&lt;&gt;0,INDEX(使用レシピ!H:H,MATCH(テンプレート!$C490,使用レシピ!$E:$E,0)),""),"")</f>
        <v/>
      </c>
      <c r="G490" t="str">
        <f>IFERROR(IF(INDEX(使用レシピ!I:I,MATCH(テンプレート!$C490,使用レシピ!$E:$E,0))&lt;&gt;0,INDEX(使用レシピ!I:I,MATCH(テンプレート!$C490,使用レシピ!$E:$E,0)),""),"")</f>
        <v/>
      </c>
      <c r="H490" s="24" t="str">
        <f>IFERROR(IF(INDEX(使用レシピ!J:J,MATCH(テンプレート!$C490,使用レシピ!$E:$E,0))&lt;&gt;0,INDEX(使用レシピ!J:J,MATCH(テンプレート!$C490,使用レシピ!$E:$E,0)),""),"")</f>
        <v/>
      </c>
      <c r="I490" s="36" t="str">
        <f>IFERROR(IF(INDEX(使用レシピ!P:P,MATCH(テンプレート!$C490,使用レシピ!$E:$E,0))&lt;&gt;0,INDEX(使用レシピ!P:P,MATCH(テンプレート!$C490,使用レシピ!$E:$E,0)),""),"")</f>
        <v/>
      </c>
      <c r="J490" t="str">
        <f>IFERROR(IF(INDEX(使用レシピ!K:K,MATCH(テンプレート!$C490,使用レシピ!$E:$E,0))&lt;&gt;0,INDEX(使用レシピ!K:K,MATCH(テンプレート!$C490,使用レシピ!$E:$E,0)),""),"")</f>
        <v/>
      </c>
      <c r="K490" t="str">
        <f>IFERROR(IF(INDEX(使用レシピ!L:L,MATCH(テンプレート!$C490,使用レシピ!$E:$E,0))&lt;&gt;0,INDEX(使用レシピ!L:L,MATCH(テンプレート!$C490,使用レシピ!$E:$E,0)),""),"")</f>
        <v/>
      </c>
      <c r="L490" t="str">
        <f>IFERROR(IF(INDEX(使用レシピ!M:M,MATCH(テンプレート!$C490,使用レシピ!$E:$E,0))&lt;&gt;0,INDEX(使用レシピ!M:M,MATCH(テンプレート!$C490,使用レシピ!$E:$E,0)),""),"")</f>
        <v/>
      </c>
      <c r="M490" t="str">
        <f>IFERROR(IF(INDEX(使用レシピ!N:N,MATCH(テンプレート!$C490,使用レシピ!$E:$E,0))&lt;&gt;0,INDEX(使用レシピ!N:N,MATCH(テンプレート!$C490,使用レシピ!$E:$E,0)),""),"")</f>
        <v/>
      </c>
      <c r="N490" s="24" t="str">
        <f>IFERROR(IF(INDEX(使用レシピ!O:O,MATCH(テンプレート!$C490,使用レシピ!$E:$E,0))&lt;&gt;0,INDEX(使用レシピ!O:O,MATCH(テンプレート!$C490,使用レシピ!$E:$E,0)),""),"")</f>
        <v/>
      </c>
      <c r="O490" s="36" t="str">
        <f>IFERROR(IF(INDEX(使用レシピ!P:P,MATCH(テンプレート!$C490,使用レシピ!$E:$E,0))&lt;&gt;0,INDEX(使用レシピ!P:P,MATCH(テンプレート!$C490,使用レシピ!$E:$E,0)),""),"")</f>
        <v/>
      </c>
      <c r="P490" t="str">
        <f t="shared" si="36"/>
        <v/>
      </c>
      <c r="Q490" t="str">
        <f t="shared" si="37"/>
        <v/>
      </c>
      <c r="R490" t="str">
        <f t="shared" si="38"/>
        <v/>
      </c>
      <c r="S490" t="str">
        <f t="shared" si="39"/>
        <v/>
      </c>
      <c r="T490" s="24" t="str">
        <f t="shared" si="40"/>
        <v/>
      </c>
    </row>
    <row r="491" spans="2:20" x14ac:dyDescent="0.4">
      <c r="B491" s="49" t="str" cm="1">
        <f t="array" ref="B491">IFERROR((INDEX($P$4:$T$1000,MATCH(VALUE(LEFT($A491,LEN($A491)-1)),$A$4:$A$1000,0),VALUE(RIGHT($A491,1)))/ INDEX($O$4:$O$1000,MATCH(VALUE(LEFT($A491,LEN($A491)-1)),$A$4:$A$1000))) * INDEX($B$4:$B$1000,MATCH(VALUE(LEFT($A491,LEN($A491)-1)),$A$4:$A$1000)),"")</f>
        <v/>
      </c>
      <c r="C491" s="2" t="str" cm="1">
        <f t="array" ref="C491">IFERROR(IF(INDEX($D$4:$H$1000,MATCH(VALUE(LEFT($A491,LEN($A491)-1)),$A$4:$A$1000,0),VALUE(RIGHT($A491,1)))= 0,"",INDEX($D$4:$H$1000,MATCH(VALUE(LEFT($A491,LEN($A491)-1)),$A$4:$A$1000,0),VALUE(RIGHT($A491,1)))),"")</f>
        <v/>
      </c>
      <c r="D491" s="23" t="str">
        <f>IFERROR(IF(INDEX(使用レシピ!F:F,MATCH(テンプレート!$C491,使用レシピ!$E:$E,0))&lt;&gt;0,INDEX(使用レシピ!F:F,MATCH(テンプレート!$C491,使用レシピ!$E:$E,0)),""),"")</f>
        <v/>
      </c>
      <c r="E491" t="str">
        <f>IFERROR(IF(INDEX(使用レシピ!G:G,MATCH(テンプレート!$C491,使用レシピ!$E:$E,0))&lt;&gt;0,INDEX(使用レシピ!G:G,MATCH(テンプレート!$C491,使用レシピ!$E:$E,0)),""),"")</f>
        <v/>
      </c>
      <c r="F491" t="str">
        <f>IFERROR(IF(INDEX(使用レシピ!H:H,MATCH(テンプレート!$C491,使用レシピ!$E:$E,0))&lt;&gt;0,INDEX(使用レシピ!H:H,MATCH(テンプレート!$C491,使用レシピ!$E:$E,0)),""),"")</f>
        <v/>
      </c>
      <c r="G491" t="str">
        <f>IFERROR(IF(INDEX(使用レシピ!I:I,MATCH(テンプレート!$C491,使用レシピ!$E:$E,0))&lt;&gt;0,INDEX(使用レシピ!I:I,MATCH(テンプレート!$C491,使用レシピ!$E:$E,0)),""),"")</f>
        <v/>
      </c>
      <c r="H491" s="24" t="str">
        <f>IFERROR(IF(INDEX(使用レシピ!J:J,MATCH(テンプレート!$C491,使用レシピ!$E:$E,0))&lt;&gt;0,INDEX(使用レシピ!J:J,MATCH(テンプレート!$C491,使用レシピ!$E:$E,0)),""),"")</f>
        <v/>
      </c>
      <c r="I491" s="36" t="str">
        <f>IFERROR(IF(INDEX(使用レシピ!P:P,MATCH(テンプレート!$C491,使用レシピ!$E:$E,0))&lt;&gt;0,INDEX(使用レシピ!P:P,MATCH(テンプレート!$C491,使用レシピ!$E:$E,0)),""),"")</f>
        <v/>
      </c>
      <c r="J491" t="str">
        <f>IFERROR(IF(INDEX(使用レシピ!K:K,MATCH(テンプレート!$C491,使用レシピ!$E:$E,0))&lt;&gt;0,INDEX(使用レシピ!K:K,MATCH(テンプレート!$C491,使用レシピ!$E:$E,0)),""),"")</f>
        <v/>
      </c>
      <c r="K491" t="str">
        <f>IFERROR(IF(INDEX(使用レシピ!L:L,MATCH(テンプレート!$C491,使用レシピ!$E:$E,0))&lt;&gt;0,INDEX(使用レシピ!L:L,MATCH(テンプレート!$C491,使用レシピ!$E:$E,0)),""),"")</f>
        <v/>
      </c>
      <c r="L491" t="str">
        <f>IFERROR(IF(INDEX(使用レシピ!M:M,MATCH(テンプレート!$C491,使用レシピ!$E:$E,0))&lt;&gt;0,INDEX(使用レシピ!M:M,MATCH(テンプレート!$C491,使用レシピ!$E:$E,0)),""),"")</f>
        <v/>
      </c>
      <c r="M491" t="str">
        <f>IFERROR(IF(INDEX(使用レシピ!N:N,MATCH(テンプレート!$C491,使用レシピ!$E:$E,0))&lt;&gt;0,INDEX(使用レシピ!N:N,MATCH(テンプレート!$C491,使用レシピ!$E:$E,0)),""),"")</f>
        <v/>
      </c>
      <c r="N491" s="24" t="str">
        <f>IFERROR(IF(INDEX(使用レシピ!O:O,MATCH(テンプレート!$C491,使用レシピ!$E:$E,0))&lt;&gt;0,INDEX(使用レシピ!O:O,MATCH(テンプレート!$C491,使用レシピ!$E:$E,0)),""),"")</f>
        <v/>
      </c>
      <c r="O491" s="36" t="str">
        <f>IFERROR(IF(INDEX(使用レシピ!P:P,MATCH(テンプレート!$C491,使用レシピ!$E:$E,0))&lt;&gt;0,INDEX(使用レシピ!P:P,MATCH(テンプレート!$C491,使用レシピ!$E:$E,0)),""),"")</f>
        <v/>
      </c>
      <c r="P491" t="str">
        <f t="shared" si="36"/>
        <v/>
      </c>
      <c r="Q491" t="str">
        <f t="shared" si="37"/>
        <v/>
      </c>
      <c r="R491" t="str">
        <f t="shared" si="38"/>
        <v/>
      </c>
      <c r="S491" t="str">
        <f t="shared" si="39"/>
        <v/>
      </c>
      <c r="T491" s="24" t="str">
        <f t="shared" si="40"/>
        <v/>
      </c>
    </row>
    <row r="492" spans="2:20" x14ac:dyDescent="0.4">
      <c r="B492" s="49" t="str" cm="1">
        <f t="array" ref="B492">IFERROR((INDEX($P$4:$T$1000,MATCH(VALUE(LEFT($A492,LEN($A492)-1)),$A$4:$A$1000,0),VALUE(RIGHT($A492,1)))/ INDEX($O$4:$O$1000,MATCH(VALUE(LEFT($A492,LEN($A492)-1)),$A$4:$A$1000))) * INDEX($B$4:$B$1000,MATCH(VALUE(LEFT($A492,LEN($A492)-1)),$A$4:$A$1000)),"")</f>
        <v/>
      </c>
      <c r="C492" s="2" t="str" cm="1">
        <f t="array" ref="C492">IFERROR(IF(INDEX($D$4:$H$1000,MATCH(VALUE(LEFT($A492,LEN($A492)-1)),$A$4:$A$1000,0),VALUE(RIGHT($A492,1)))= 0,"",INDEX($D$4:$H$1000,MATCH(VALUE(LEFT($A492,LEN($A492)-1)),$A$4:$A$1000,0),VALUE(RIGHT($A492,1)))),"")</f>
        <v/>
      </c>
      <c r="D492" s="23" t="str">
        <f>IFERROR(IF(INDEX(使用レシピ!F:F,MATCH(テンプレート!$C492,使用レシピ!$E:$E,0))&lt;&gt;0,INDEX(使用レシピ!F:F,MATCH(テンプレート!$C492,使用レシピ!$E:$E,0)),""),"")</f>
        <v/>
      </c>
      <c r="E492" t="str">
        <f>IFERROR(IF(INDEX(使用レシピ!G:G,MATCH(テンプレート!$C492,使用レシピ!$E:$E,0))&lt;&gt;0,INDEX(使用レシピ!G:G,MATCH(テンプレート!$C492,使用レシピ!$E:$E,0)),""),"")</f>
        <v/>
      </c>
      <c r="F492" t="str">
        <f>IFERROR(IF(INDEX(使用レシピ!H:H,MATCH(テンプレート!$C492,使用レシピ!$E:$E,0))&lt;&gt;0,INDEX(使用レシピ!H:H,MATCH(テンプレート!$C492,使用レシピ!$E:$E,0)),""),"")</f>
        <v/>
      </c>
      <c r="G492" t="str">
        <f>IFERROR(IF(INDEX(使用レシピ!I:I,MATCH(テンプレート!$C492,使用レシピ!$E:$E,0))&lt;&gt;0,INDEX(使用レシピ!I:I,MATCH(テンプレート!$C492,使用レシピ!$E:$E,0)),""),"")</f>
        <v/>
      </c>
      <c r="H492" s="24" t="str">
        <f>IFERROR(IF(INDEX(使用レシピ!J:J,MATCH(テンプレート!$C492,使用レシピ!$E:$E,0))&lt;&gt;0,INDEX(使用レシピ!J:J,MATCH(テンプレート!$C492,使用レシピ!$E:$E,0)),""),"")</f>
        <v/>
      </c>
      <c r="I492" s="36" t="str">
        <f>IFERROR(IF(INDEX(使用レシピ!P:P,MATCH(テンプレート!$C492,使用レシピ!$E:$E,0))&lt;&gt;0,INDEX(使用レシピ!P:P,MATCH(テンプレート!$C492,使用レシピ!$E:$E,0)),""),"")</f>
        <v/>
      </c>
      <c r="J492" t="str">
        <f>IFERROR(IF(INDEX(使用レシピ!K:K,MATCH(テンプレート!$C492,使用レシピ!$E:$E,0))&lt;&gt;0,INDEX(使用レシピ!K:K,MATCH(テンプレート!$C492,使用レシピ!$E:$E,0)),""),"")</f>
        <v/>
      </c>
      <c r="K492" t="str">
        <f>IFERROR(IF(INDEX(使用レシピ!L:L,MATCH(テンプレート!$C492,使用レシピ!$E:$E,0))&lt;&gt;0,INDEX(使用レシピ!L:L,MATCH(テンプレート!$C492,使用レシピ!$E:$E,0)),""),"")</f>
        <v/>
      </c>
      <c r="L492" t="str">
        <f>IFERROR(IF(INDEX(使用レシピ!M:M,MATCH(テンプレート!$C492,使用レシピ!$E:$E,0))&lt;&gt;0,INDEX(使用レシピ!M:M,MATCH(テンプレート!$C492,使用レシピ!$E:$E,0)),""),"")</f>
        <v/>
      </c>
      <c r="M492" t="str">
        <f>IFERROR(IF(INDEX(使用レシピ!N:N,MATCH(テンプレート!$C492,使用レシピ!$E:$E,0))&lt;&gt;0,INDEX(使用レシピ!N:N,MATCH(テンプレート!$C492,使用レシピ!$E:$E,0)),""),"")</f>
        <v/>
      </c>
      <c r="N492" s="24" t="str">
        <f>IFERROR(IF(INDEX(使用レシピ!O:O,MATCH(テンプレート!$C492,使用レシピ!$E:$E,0))&lt;&gt;0,INDEX(使用レシピ!O:O,MATCH(テンプレート!$C492,使用レシピ!$E:$E,0)),""),"")</f>
        <v/>
      </c>
      <c r="O492" s="36" t="str">
        <f>IFERROR(IF(INDEX(使用レシピ!P:P,MATCH(テンプレート!$C492,使用レシピ!$E:$E,0))&lt;&gt;0,INDEX(使用レシピ!P:P,MATCH(テンプレート!$C492,使用レシピ!$E:$E,0)),""),"")</f>
        <v/>
      </c>
      <c r="P492" t="str">
        <f t="shared" si="36"/>
        <v/>
      </c>
      <c r="Q492" t="str">
        <f t="shared" si="37"/>
        <v/>
      </c>
      <c r="R492" t="str">
        <f t="shared" si="38"/>
        <v/>
      </c>
      <c r="S492" t="str">
        <f t="shared" si="39"/>
        <v/>
      </c>
      <c r="T492" s="24" t="str">
        <f t="shared" si="40"/>
        <v/>
      </c>
    </row>
    <row r="493" spans="2:20" x14ac:dyDescent="0.4">
      <c r="B493" s="49" t="str" cm="1">
        <f t="array" ref="B493">IFERROR((INDEX($P$4:$T$1000,MATCH(VALUE(LEFT($A493,LEN($A493)-1)),$A$4:$A$1000,0),VALUE(RIGHT($A493,1)))/ INDEX($O$4:$O$1000,MATCH(VALUE(LEFT($A493,LEN($A493)-1)),$A$4:$A$1000))) * INDEX($B$4:$B$1000,MATCH(VALUE(LEFT($A493,LEN($A493)-1)),$A$4:$A$1000)),"")</f>
        <v/>
      </c>
      <c r="C493" s="2" t="str" cm="1">
        <f t="array" ref="C493">IFERROR(IF(INDEX($D$4:$H$1000,MATCH(VALUE(LEFT($A493,LEN($A493)-1)),$A$4:$A$1000,0),VALUE(RIGHT($A493,1)))= 0,"",INDEX($D$4:$H$1000,MATCH(VALUE(LEFT($A493,LEN($A493)-1)),$A$4:$A$1000,0),VALUE(RIGHT($A493,1)))),"")</f>
        <v/>
      </c>
      <c r="D493" s="23" t="str">
        <f>IFERROR(IF(INDEX(使用レシピ!F:F,MATCH(テンプレート!$C493,使用レシピ!$E:$E,0))&lt;&gt;0,INDEX(使用レシピ!F:F,MATCH(テンプレート!$C493,使用レシピ!$E:$E,0)),""),"")</f>
        <v/>
      </c>
      <c r="E493" t="str">
        <f>IFERROR(IF(INDEX(使用レシピ!G:G,MATCH(テンプレート!$C493,使用レシピ!$E:$E,0))&lt;&gt;0,INDEX(使用レシピ!G:G,MATCH(テンプレート!$C493,使用レシピ!$E:$E,0)),""),"")</f>
        <v/>
      </c>
      <c r="F493" t="str">
        <f>IFERROR(IF(INDEX(使用レシピ!H:H,MATCH(テンプレート!$C493,使用レシピ!$E:$E,0))&lt;&gt;0,INDEX(使用レシピ!H:H,MATCH(テンプレート!$C493,使用レシピ!$E:$E,0)),""),"")</f>
        <v/>
      </c>
      <c r="G493" t="str">
        <f>IFERROR(IF(INDEX(使用レシピ!I:I,MATCH(テンプレート!$C493,使用レシピ!$E:$E,0))&lt;&gt;0,INDEX(使用レシピ!I:I,MATCH(テンプレート!$C493,使用レシピ!$E:$E,0)),""),"")</f>
        <v/>
      </c>
      <c r="H493" s="24" t="str">
        <f>IFERROR(IF(INDEX(使用レシピ!J:J,MATCH(テンプレート!$C493,使用レシピ!$E:$E,0))&lt;&gt;0,INDEX(使用レシピ!J:J,MATCH(テンプレート!$C493,使用レシピ!$E:$E,0)),""),"")</f>
        <v/>
      </c>
      <c r="I493" s="36" t="str">
        <f>IFERROR(IF(INDEX(使用レシピ!P:P,MATCH(テンプレート!$C493,使用レシピ!$E:$E,0))&lt;&gt;0,INDEX(使用レシピ!P:P,MATCH(テンプレート!$C493,使用レシピ!$E:$E,0)),""),"")</f>
        <v/>
      </c>
      <c r="J493" t="str">
        <f>IFERROR(IF(INDEX(使用レシピ!K:K,MATCH(テンプレート!$C493,使用レシピ!$E:$E,0))&lt;&gt;0,INDEX(使用レシピ!K:K,MATCH(テンプレート!$C493,使用レシピ!$E:$E,0)),""),"")</f>
        <v/>
      </c>
      <c r="K493" t="str">
        <f>IFERROR(IF(INDEX(使用レシピ!L:L,MATCH(テンプレート!$C493,使用レシピ!$E:$E,0))&lt;&gt;0,INDEX(使用レシピ!L:L,MATCH(テンプレート!$C493,使用レシピ!$E:$E,0)),""),"")</f>
        <v/>
      </c>
      <c r="L493" t="str">
        <f>IFERROR(IF(INDEX(使用レシピ!M:M,MATCH(テンプレート!$C493,使用レシピ!$E:$E,0))&lt;&gt;0,INDEX(使用レシピ!M:M,MATCH(テンプレート!$C493,使用レシピ!$E:$E,0)),""),"")</f>
        <v/>
      </c>
      <c r="M493" t="str">
        <f>IFERROR(IF(INDEX(使用レシピ!N:N,MATCH(テンプレート!$C493,使用レシピ!$E:$E,0))&lt;&gt;0,INDEX(使用レシピ!N:N,MATCH(テンプレート!$C493,使用レシピ!$E:$E,0)),""),"")</f>
        <v/>
      </c>
      <c r="N493" s="24" t="str">
        <f>IFERROR(IF(INDEX(使用レシピ!O:O,MATCH(テンプレート!$C493,使用レシピ!$E:$E,0))&lt;&gt;0,INDEX(使用レシピ!O:O,MATCH(テンプレート!$C493,使用レシピ!$E:$E,0)),""),"")</f>
        <v/>
      </c>
      <c r="O493" s="36" t="str">
        <f>IFERROR(IF(INDEX(使用レシピ!P:P,MATCH(テンプレート!$C493,使用レシピ!$E:$E,0))&lt;&gt;0,INDEX(使用レシピ!P:P,MATCH(テンプレート!$C493,使用レシピ!$E:$E,0)),""),"")</f>
        <v/>
      </c>
      <c r="P493" t="str">
        <f t="shared" ref="P493:P556" si="41">IFERROR(IF($O493/$I493*J493 &gt; 0,$O493/$I493*J493,""),"")</f>
        <v/>
      </c>
      <c r="Q493" t="str">
        <f t="shared" ref="Q493:Q556" si="42">IFERROR(IF($O493/$I493*K493 &gt; 0,$O493/$I493*K493,""),"")</f>
        <v/>
      </c>
      <c r="R493" t="str">
        <f t="shared" ref="R493:R556" si="43">IFERROR(IF($O493/$I493*L493 &gt; 0,$O493/$I493*L493,""),"")</f>
        <v/>
      </c>
      <c r="S493" t="str">
        <f t="shared" ref="S493:S556" si="44">IFERROR(IF($O493/$I493*M493 &gt; 0,$O493/$I493*M493,""),"")</f>
        <v/>
      </c>
      <c r="T493" s="24" t="str">
        <f t="shared" ref="T493:T556" si="45">IFERROR(IF($O493/$I493*N493 &gt; 0,$O493/$I493*N493,""),"")</f>
        <v/>
      </c>
    </row>
    <row r="494" spans="2:20" x14ac:dyDescent="0.4">
      <c r="B494" s="49" t="str" cm="1">
        <f t="array" ref="B494">IFERROR((INDEX($P$4:$T$1000,MATCH(VALUE(LEFT($A494,LEN($A494)-1)),$A$4:$A$1000,0),VALUE(RIGHT($A494,1)))/ INDEX($O$4:$O$1000,MATCH(VALUE(LEFT($A494,LEN($A494)-1)),$A$4:$A$1000))) * INDEX($B$4:$B$1000,MATCH(VALUE(LEFT($A494,LEN($A494)-1)),$A$4:$A$1000)),"")</f>
        <v/>
      </c>
      <c r="C494" s="2" t="str" cm="1">
        <f t="array" ref="C494">IFERROR(IF(INDEX($D$4:$H$1000,MATCH(VALUE(LEFT($A494,LEN($A494)-1)),$A$4:$A$1000,0),VALUE(RIGHT($A494,1)))= 0,"",INDEX($D$4:$H$1000,MATCH(VALUE(LEFT($A494,LEN($A494)-1)),$A$4:$A$1000,0),VALUE(RIGHT($A494,1)))),"")</f>
        <v/>
      </c>
      <c r="D494" s="23" t="str">
        <f>IFERROR(IF(INDEX(使用レシピ!F:F,MATCH(テンプレート!$C494,使用レシピ!$E:$E,0))&lt;&gt;0,INDEX(使用レシピ!F:F,MATCH(テンプレート!$C494,使用レシピ!$E:$E,0)),""),"")</f>
        <v/>
      </c>
      <c r="E494" t="str">
        <f>IFERROR(IF(INDEX(使用レシピ!G:G,MATCH(テンプレート!$C494,使用レシピ!$E:$E,0))&lt;&gt;0,INDEX(使用レシピ!G:G,MATCH(テンプレート!$C494,使用レシピ!$E:$E,0)),""),"")</f>
        <v/>
      </c>
      <c r="F494" t="str">
        <f>IFERROR(IF(INDEX(使用レシピ!H:H,MATCH(テンプレート!$C494,使用レシピ!$E:$E,0))&lt;&gt;0,INDEX(使用レシピ!H:H,MATCH(テンプレート!$C494,使用レシピ!$E:$E,0)),""),"")</f>
        <v/>
      </c>
      <c r="G494" t="str">
        <f>IFERROR(IF(INDEX(使用レシピ!I:I,MATCH(テンプレート!$C494,使用レシピ!$E:$E,0))&lt;&gt;0,INDEX(使用レシピ!I:I,MATCH(テンプレート!$C494,使用レシピ!$E:$E,0)),""),"")</f>
        <v/>
      </c>
      <c r="H494" s="24" t="str">
        <f>IFERROR(IF(INDEX(使用レシピ!J:J,MATCH(テンプレート!$C494,使用レシピ!$E:$E,0))&lt;&gt;0,INDEX(使用レシピ!J:J,MATCH(テンプレート!$C494,使用レシピ!$E:$E,0)),""),"")</f>
        <v/>
      </c>
      <c r="I494" s="36" t="str">
        <f>IFERROR(IF(INDEX(使用レシピ!P:P,MATCH(テンプレート!$C494,使用レシピ!$E:$E,0))&lt;&gt;0,INDEX(使用レシピ!P:P,MATCH(テンプレート!$C494,使用レシピ!$E:$E,0)),""),"")</f>
        <v/>
      </c>
      <c r="J494" t="str">
        <f>IFERROR(IF(INDEX(使用レシピ!K:K,MATCH(テンプレート!$C494,使用レシピ!$E:$E,0))&lt;&gt;0,INDEX(使用レシピ!K:K,MATCH(テンプレート!$C494,使用レシピ!$E:$E,0)),""),"")</f>
        <v/>
      </c>
      <c r="K494" t="str">
        <f>IFERROR(IF(INDEX(使用レシピ!L:L,MATCH(テンプレート!$C494,使用レシピ!$E:$E,0))&lt;&gt;0,INDEX(使用レシピ!L:L,MATCH(テンプレート!$C494,使用レシピ!$E:$E,0)),""),"")</f>
        <v/>
      </c>
      <c r="L494" t="str">
        <f>IFERROR(IF(INDEX(使用レシピ!M:M,MATCH(テンプレート!$C494,使用レシピ!$E:$E,0))&lt;&gt;0,INDEX(使用レシピ!M:M,MATCH(テンプレート!$C494,使用レシピ!$E:$E,0)),""),"")</f>
        <v/>
      </c>
      <c r="M494" t="str">
        <f>IFERROR(IF(INDEX(使用レシピ!N:N,MATCH(テンプレート!$C494,使用レシピ!$E:$E,0))&lt;&gt;0,INDEX(使用レシピ!N:N,MATCH(テンプレート!$C494,使用レシピ!$E:$E,0)),""),"")</f>
        <v/>
      </c>
      <c r="N494" s="24" t="str">
        <f>IFERROR(IF(INDEX(使用レシピ!O:O,MATCH(テンプレート!$C494,使用レシピ!$E:$E,0))&lt;&gt;0,INDEX(使用レシピ!O:O,MATCH(テンプレート!$C494,使用レシピ!$E:$E,0)),""),"")</f>
        <v/>
      </c>
      <c r="O494" s="36" t="str">
        <f>IFERROR(IF(INDEX(使用レシピ!P:P,MATCH(テンプレート!$C494,使用レシピ!$E:$E,0))&lt;&gt;0,INDEX(使用レシピ!P:P,MATCH(テンプレート!$C494,使用レシピ!$E:$E,0)),""),"")</f>
        <v/>
      </c>
      <c r="P494" t="str">
        <f t="shared" si="41"/>
        <v/>
      </c>
      <c r="Q494" t="str">
        <f t="shared" si="42"/>
        <v/>
      </c>
      <c r="R494" t="str">
        <f t="shared" si="43"/>
        <v/>
      </c>
      <c r="S494" t="str">
        <f t="shared" si="44"/>
        <v/>
      </c>
      <c r="T494" s="24" t="str">
        <f t="shared" si="45"/>
        <v/>
      </c>
    </row>
    <row r="495" spans="2:20" x14ac:dyDescent="0.4">
      <c r="B495" s="49" t="str" cm="1">
        <f t="array" ref="B495">IFERROR((INDEX($P$4:$T$1000,MATCH(VALUE(LEFT($A495,LEN($A495)-1)),$A$4:$A$1000,0),VALUE(RIGHT($A495,1)))/ INDEX($O$4:$O$1000,MATCH(VALUE(LEFT($A495,LEN($A495)-1)),$A$4:$A$1000))) * INDEX($B$4:$B$1000,MATCH(VALUE(LEFT($A495,LEN($A495)-1)),$A$4:$A$1000)),"")</f>
        <v/>
      </c>
      <c r="C495" s="2" t="str" cm="1">
        <f t="array" ref="C495">IFERROR(IF(INDEX($D$4:$H$1000,MATCH(VALUE(LEFT($A495,LEN($A495)-1)),$A$4:$A$1000,0),VALUE(RIGHT($A495,1)))= 0,"",INDEX($D$4:$H$1000,MATCH(VALUE(LEFT($A495,LEN($A495)-1)),$A$4:$A$1000,0),VALUE(RIGHT($A495,1)))),"")</f>
        <v/>
      </c>
      <c r="D495" s="23" t="str">
        <f>IFERROR(IF(INDEX(使用レシピ!F:F,MATCH(テンプレート!$C495,使用レシピ!$E:$E,0))&lt;&gt;0,INDEX(使用レシピ!F:F,MATCH(テンプレート!$C495,使用レシピ!$E:$E,0)),""),"")</f>
        <v/>
      </c>
      <c r="E495" t="str">
        <f>IFERROR(IF(INDEX(使用レシピ!G:G,MATCH(テンプレート!$C495,使用レシピ!$E:$E,0))&lt;&gt;0,INDEX(使用レシピ!G:G,MATCH(テンプレート!$C495,使用レシピ!$E:$E,0)),""),"")</f>
        <v/>
      </c>
      <c r="F495" t="str">
        <f>IFERROR(IF(INDEX(使用レシピ!H:H,MATCH(テンプレート!$C495,使用レシピ!$E:$E,0))&lt;&gt;0,INDEX(使用レシピ!H:H,MATCH(テンプレート!$C495,使用レシピ!$E:$E,0)),""),"")</f>
        <v/>
      </c>
      <c r="G495" t="str">
        <f>IFERROR(IF(INDEX(使用レシピ!I:I,MATCH(テンプレート!$C495,使用レシピ!$E:$E,0))&lt;&gt;0,INDEX(使用レシピ!I:I,MATCH(テンプレート!$C495,使用レシピ!$E:$E,0)),""),"")</f>
        <v/>
      </c>
      <c r="H495" s="24" t="str">
        <f>IFERROR(IF(INDEX(使用レシピ!J:J,MATCH(テンプレート!$C495,使用レシピ!$E:$E,0))&lt;&gt;0,INDEX(使用レシピ!J:J,MATCH(テンプレート!$C495,使用レシピ!$E:$E,0)),""),"")</f>
        <v/>
      </c>
      <c r="I495" s="36" t="str">
        <f>IFERROR(IF(INDEX(使用レシピ!P:P,MATCH(テンプレート!$C495,使用レシピ!$E:$E,0))&lt;&gt;0,INDEX(使用レシピ!P:P,MATCH(テンプレート!$C495,使用レシピ!$E:$E,0)),""),"")</f>
        <v/>
      </c>
      <c r="J495" t="str">
        <f>IFERROR(IF(INDEX(使用レシピ!K:K,MATCH(テンプレート!$C495,使用レシピ!$E:$E,0))&lt;&gt;0,INDEX(使用レシピ!K:K,MATCH(テンプレート!$C495,使用レシピ!$E:$E,0)),""),"")</f>
        <v/>
      </c>
      <c r="K495" t="str">
        <f>IFERROR(IF(INDEX(使用レシピ!L:L,MATCH(テンプレート!$C495,使用レシピ!$E:$E,0))&lt;&gt;0,INDEX(使用レシピ!L:L,MATCH(テンプレート!$C495,使用レシピ!$E:$E,0)),""),"")</f>
        <v/>
      </c>
      <c r="L495" t="str">
        <f>IFERROR(IF(INDEX(使用レシピ!M:M,MATCH(テンプレート!$C495,使用レシピ!$E:$E,0))&lt;&gt;0,INDEX(使用レシピ!M:M,MATCH(テンプレート!$C495,使用レシピ!$E:$E,0)),""),"")</f>
        <v/>
      </c>
      <c r="M495" t="str">
        <f>IFERROR(IF(INDEX(使用レシピ!N:N,MATCH(テンプレート!$C495,使用レシピ!$E:$E,0))&lt;&gt;0,INDEX(使用レシピ!N:N,MATCH(テンプレート!$C495,使用レシピ!$E:$E,0)),""),"")</f>
        <v/>
      </c>
      <c r="N495" s="24" t="str">
        <f>IFERROR(IF(INDEX(使用レシピ!O:O,MATCH(テンプレート!$C495,使用レシピ!$E:$E,0))&lt;&gt;0,INDEX(使用レシピ!O:O,MATCH(テンプレート!$C495,使用レシピ!$E:$E,0)),""),"")</f>
        <v/>
      </c>
      <c r="O495" s="36" t="str">
        <f>IFERROR(IF(INDEX(使用レシピ!P:P,MATCH(テンプレート!$C495,使用レシピ!$E:$E,0))&lt;&gt;0,INDEX(使用レシピ!P:P,MATCH(テンプレート!$C495,使用レシピ!$E:$E,0)),""),"")</f>
        <v/>
      </c>
      <c r="P495" t="str">
        <f t="shared" si="41"/>
        <v/>
      </c>
      <c r="Q495" t="str">
        <f t="shared" si="42"/>
        <v/>
      </c>
      <c r="R495" t="str">
        <f t="shared" si="43"/>
        <v/>
      </c>
      <c r="S495" t="str">
        <f t="shared" si="44"/>
        <v/>
      </c>
      <c r="T495" s="24" t="str">
        <f t="shared" si="45"/>
        <v/>
      </c>
    </row>
    <row r="496" spans="2:20" x14ac:dyDescent="0.4">
      <c r="B496" s="49" t="str" cm="1">
        <f t="array" ref="B496">IFERROR((INDEX($P$4:$T$1000,MATCH(VALUE(LEFT($A496,LEN($A496)-1)),$A$4:$A$1000,0),VALUE(RIGHT($A496,1)))/ INDEX($O$4:$O$1000,MATCH(VALUE(LEFT($A496,LEN($A496)-1)),$A$4:$A$1000))) * INDEX($B$4:$B$1000,MATCH(VALUE(LEFT($A496,LEN($A496)-1)),$A$4:$A$1000)),"")</f>
        <v/>
      </c>
      <c r="C496" s="2" t="str" cm="1">
        <f t="array" ref="C496">IFERROR(IF(INDEX($D$4:$H$1000,MATCH(VALUE(LEFT($A496,LEN($A496)-1)),$A$4:$A$1000,0),VALUE(RIGHT($A496,1)))= 0,"",INDEX($D$4:$H$1000,MATCH(VALUE(LEFT($A496,LEN($A496)-1)),$A$4:$A$1000,0),VALUE(RIGHT($A496,1)))),"")</f>
        <v/>
      </c>
      <c r="D496" s="23" t="str">
        <f>IFERROR(IF(INDEX(使用レシピ!F:F,MATCH(テンプレート!$C496,使用レシピ!$E:$E,0))&lt;&gt;0,INDEX(使用レシピ!F:F,MATCH(テンプレート!$C496,使用レシピ!$E:$E,0)),""),"")</f>
        <v/>
      </c>
      <c r="E496" t="str">
        <f>IFERROR(IF(INDEX(使用レシピ!G:G,MATCH(テンプレート!$C496,使用レシピ!$E:$E,0))&lt;&gt;0,INDEX(使用レシピ!G:G,MATCH(テンプレート!$C496,使用レシピ!$E:$E,0)),""),"")</f>
        <v/>
      </c>
      <c r="F496" t="str">
        <f>IFERROR(IF(INDEX(使用レシピ!H:H,MATCH(テンプレート!$C496,使用レシピ!$E:$E,0))&lt;&gt;0,INDEX(使用レシピ!H:H,MATCH(テンプレート!$C496,使用レシピ!$E:$E,0)),""),"")</f>
        <v/>
      </c>
      <c r="G496" t="str">
        <f>IFERROR(IF(INDEX(使用レシピ!I:I,MATCH(テンプレート!$C496,使用レシピ!$E:$E,0))&lt;&gt;0,INDEX(使用レシピ!I:I,MATCH(テンプレート!$C496,使用レシピ!$E:$E,0)),""),"")</f>
        <v/>
      </c>
      <c r="H496" s="24" t="str">
        <f>IFERROR(IF(INDEX(使用レシピ!J:J,MATCH(テンプレート!$C496,使用レシピ!$E:$E,0))&lt;&gt;0,INDEX(使用レシピ!J:J,MATCH(テンプレート!$C496,使用レシピ!$E:$E,0)),""),"")</f>
        <v/>
      </c>
      <c r="I496" s="36" t="str">
        <f>IFERROR(IF(INDEX(使用レシピ!P:P,MATCH(テンプレート!$C496,使用レシピ!$E:$E,0))&lt;&gt;0,INDEX(使用レシピ!P:P,MATCH(テンプレート!$C496,使用レシピ!$E:$E,0)),""),"")</f>
        <v/>
      </c>
      <c r="J496" t="str">
        <f>IFERROR(IF(INDEX(使用レシピ!K:K,MATCH(テンプレート!$C496,使用レシピ!$E:$E,0))&lt;&gt;0,INDEX(使用レシピ!K:K,MATCH(テンプレート!$C496,使用レシピ!$E:$E,0)),""),"")</f>
        <v/>
      </c>
      <c r="K496" t="str">
        <f>IFERROR(IF(INDEX(使用レシピ!L:L,MATCH(テンプレート!$C496,使用レシピ!$E:$E,0))&lt;&gt;0,INDEX(使用レシピ!L:L,MATCH(テンプレート!$C496,使用レシピ!$E:$E,0)),""),"")</f>
        <v/>
      </c>
      <c r="L496" t="str">
        <f>IFERROR(IF(INDEX(使用レシピ!M:M,MATCH(テンプレート!$C496,使用レシピ!$E:$E,0))&lt;&gt;0,INDEX(使用レシピ!M:M,MATCH(テンプレート!$C496,使用レシピ!$E:$E,0)),""),"")</f>
        <v/>
      </c>
      <c r="M496" t="str">
        <f>IFERROR(IF(INDEX(使用レシピ!N:N,MATCH(テンプレート!$C496,使用レシピ!$E:$E,0))&lt;&gt;0,INDEX(使用レシピ!N:N,MATCH(テンプレート!$C496,使用レシピ!$E:$E,0)),""),"")</f>
        <v/>
      </c>
      <c r="N496" s="24" t="str">
        <f>IFERROR(IF(INDEX(使用レシピ!O:O,MATCH(テンプレート!$C496,使用レシピ!$E:$E,0))&lt;&gt;0,INDEX(使用レシピ!O:O,MATCH(テンプレート!$C496,使用レシピ!$E:$E,0)),""),"")</f>
        <v/>
      </c>
      <c r="O496" s="36" t="str">
        <f>IFERROR(IF(INDEX(使用レシピ!P:P,MATCH(テンプレート!$C496,使用レシピ!$E:$E,0))&lt;&gt;0,INDEX(使用レシピ!P:P,MATCH(テンプレート!$C496,使用レシピ!$E:$E,0)),""),"")</f>
        <v/>
      </c>
      <c r="P496" t="str">
        <f t="shared" si="41"/>
        <v/>
      </c>
      <c r="Q496" t="str">
        <f t="shared" si="42"/>
        <v/>
      </c>
      <c r="R496" t="str">
        <f t="shared" si="43"/>
        <v/>
      </c>
      <c r="S496" t="str">
        <f t="shared" si="44"/>
        <v/>
      </c>
      <c r="T496" s="24" t="str">
        <f t="shared" si="45"/>
        <v/>
      </c>
    </row>
    <row r="497" spans="2:20" x14ac:dyDescent="0.4">
      <c r="B497" s="49" t="str" cm="1">
        <f t="array" ref="B497">IFERROR((INDEX($P$4:$T$1000,MATCH(VALUE(LEFT($A497,LEN($A497)-1)),$A$4:$A$1000,0),VALUE(RIGHT($A497,1)))/ INDEX($O$4:$O$1000,MATCH(VALUE(LEFT($A497,LEN($A497)-1)),$A$4:$A$1000))) * INDEX($B$4:$B$1000,MATCH(VALUE(LEFT($A497,LEN($A497)-1)),$A$4:$A$1000)),"")</f>
        <v/>
      </c>
      <c r="C497" s="2" t="str" cm="1">
        <f t="array" ref="C497">IFERROR(IF(INDEX($D$4:$H$1000,MATCH(VALUE(LEFT($A497,LEN($A497)-1)),$A$4:$A$1000,0),VALUE(RIGHT($A497,1)))= 0,"",INDEX($D$4:$H$1000,MATCH(VALUE(LEFT($A497,LEN($A497)-1)),$A$4:$A$1000,0),VALUE(RIGHT($A497,1)))),"")</f>
        <v/>
      </c>
      <c r="D497" s="23" t="str">
        <f>IFERROR(IF(INDEX(使用レシピ!F:F,MATCH(テンプレート!$C497,使用レシピ!$E:$E,0))&lt;&gt;0,INDEX(使用レシピ!F:F,MATCH(テンプレート!$C497,使用レシピ!$E:$E,0)),""),"")</f>
        <v/>
      </c>
      <c r="E497" t="str">
        <f>IFERROR(IF(INDEX(使用レシピ!G:G,MATCH(テンプレート!$C497,使用レシピ!$E:$E,0))&lt;&gt;0,INDEX(使用レシピ!G:G,MATCH(テンプレート!$C497,使用レシピ!$E:$E,0)),""),"")</f>
        <v/>
      </c>
      <c r="F497" t="str">
        <f>IFERROR(IF(INDEX(使用レシピ!H:H,MATCH(テンプレート!$C497,使用レシピ!$E:$E,0))&lt;&gt;0,INDEX(使用レシピ!H:H,MATCH(テンプレート!$C497,使用レシピ!$E:$E,0)),""),"")</f>
        <v/>
      </c>
      <c r="G497" t="str">
        <f>IFERROR(IF(INDEX(使用レシピ!I:I,MATCH(テンプレート!$C497,使用レシピ!$E:$E,0))&lt;&gt;0,INDEX(使用レシピ!I:I,MATCH(テンプレート!$C497,使用レシピ!$E:$E,0)),""),"")</f>
        <v/>
      </c>
      <c r="H497" s="24" t="str">
        <f>IFERROR(IF(INDEX(使用レシピ!J:J,MATCH(テンプレート!$C497,使用レシピ!$E:$E,0))&lt;&gt;0,INDEX(使用レシピ!J:J,MATCH(テンプレート!$C497,使用レシピ!$E:$E,0)),""),"")</f>
        <v/>
      </c>
      <c r="I497" s="36" t="str">
        <f>IFERROR(IF(INDEX(使用レシピ!P:P,MATCH(テンプレート!$C497,使用レシピ!$E:$E,0))&lt;&gt;0,INDEX(使用レシピ!P:P,MATCH(テンプレート!$C497,使用レシピ!$E:$E,0)),""),"")</f>
        <v/>
      </c>
      <c r="J497" t="str">
        <f>IFERROR(IF(INDEX(使用レシピ!K:K,MATCH(テンプレート!$C497,使用レシピ!$E:$E,0))&lt;&gt;0,INDEX(使用レシピ!K:K,MATCH(テンプレート!$C497,使用レシピ!$E:$E,0)),""),"")</f>
        <v/>
      </c>
      <c r="K497" t="str">
        <f>IFERROR(IF(INDEX(使用レシピ!L:L,MATCH(テンプレート!$C497,使用レシピ!$E:$E,0))&lt;&gt;0,INDEX(使用レシピ!L:L,MATCH(テンプレート!$C497,使用レシピ!$E:$E,0)),""),"")</f>
        <v/>
      </c>
      <c r="L497" t="str">
        <f>IFERROR(IF(INDEX(使用レシピ!M:M,MATCH(テンプレート!$C497,使用レシピ!$E:$E,0))&lt;&gt;0,INDEX(使用レシピ!M:M,MATCH(テンプレート!$C497,使用レシピ!$E:$E,0)),""),"")</f>
        <v/>
      </c>
      <c r="M497" t="str">
        <f>IFERROR(IF(INDEX(使用レシピ!N:N,MATCH(テンプレート!$C497,使用レシピ!$E:$E,0))&lt;&gt;0,INDEX(使用レシピ!N:N,MATCH(テンプレート!$C497,使用レシピ!$E:$E,0)),""),"")</f>
        <v/>
      </c>
      <c r="N497" s="24" t="str">
        <f>IFERROR(IF(INDEX(使用レシピ!O:O,MATCH(テンプレート!$C497,使用レシピ!$E:$E,0))&lt;&gt;0,INDEX(使用レシピ!O:O,MATCH(テンプレート!$C497,使用レシピ!$E:$E,0)),""),"")</f>
        <v/>
      </c>
      <c r="O497" s="36" t="str">
        <f>IFERROR(IF(INDEX(使用レシピ!P:P,MATCH(テンプレート!$C497,使用レシピ!$E:$E,0))&lt;&gt;0,INDEX(使用レシピ!P:P,MATCH(テンプレート!$C497,使用レシピ!$E:$E,0)),""),"")</f>
        <v/>
      </c>
      <c r="P497" t="str">
        <f t="shared" si="41"/>
        <v/>
      </c>
      <c r="Q497" t="str">
        <f t="shared" si="42"/>
        <v/>
      </c>
      <c r="R497" t="str">
        <f t="shared" si="43"/>
        <v/>
      </c>
      <c r="S497" t="str">
        <f t="shared" si="44"/>
        <v/>
      </c>
      <c r="T497" s="24" t="str">
        <f t="shared" si="45"/>
        <v/>
      </c>
    </row>
    <row r="498" spans="2:20" x14ac:dyDescent="0.4">
      <c r="B498" s="49" t="str" cm="1">
        <f t="array" ref="B498">IFERROR((INDEX($P$4:$T$1000,MATCH(VALUE(LEFT($A498,LEN($A498)-1)),$A$4:$A$1000,0),VALUE(RIGHT($A498,1)))/ INDEX($O$4:$O$1000,MATCH(VALUE(LEFT($A498,LEN($A498)-1)),$A$4:$A$1000))) * INDEX($B$4:$B$1000,MATCH(VALUE(LEFT($A498,LEN($A498)-1)),$A$4:$A$1000)),"")</f>
        <v/>
      </c>
      <c r="C498" s="2" t="str" cm="1">
        <f t="array" ref="C498">IFERROR(IF(INDEX($D$4:$H$1000,MATCH(VALUE(LEFT($A498,LEN($A498)-1)),$A$4:$A$1000,0),VALUE(RIGHT($A498,1)))= 0,"",INDEX($D$4:$H$1000,MATCH(VALUE(LEFT($A498,LEN($A498)-1)),$A$4:$A$1000,0),VALUE(RIGHT($A498,1)))),"")</f>
        <v/>
      </c>
      <c r="D498" s="23" t="str">
        <f>IFERROR(IF(INDEX(使用レシピ!F:F,MATCH(テンプレート!$C498,使用レシピ!$E:$E,0))&lt;&gt;0,INDEX(使用レシピ!F:F,MATCH(テンプレート!$C498,使用レシピ!$E:$E,0)),""),"")</f>
        <v/>
      </c>
      <c r="E498" t="str">
        <f>IFERROR(IF(INDEX(使用レシピ!G:G,MATCH(テンプレート!$C498,使用レシピ!$E:$E,0))&lt;&gt;0,INDEX(使用レシピ!G:G,MATCH(テンプレート!$C498,使用レシピ!$E:$E,0)),""),"")</f>
        <v/>
      </c>
      <c r="F498" t="str">
        <f>IFERROR(IF(INDEX(使用レシピ!H:H,MATCH(テンプレート!$C498,使用レシピ!$E:$E,0))&lt;&gt;0,INDEX(使用レシピ!H:H,MATCH(テンプレート!$C498,使用レシピ!$E:$E,0)),""),"")</f>
        <v/>
      </c>
      <c r="G498" t="str">
        <f>IFERROR(IF(INDEX(使用レシピ!I:I,MATCH(テンプレート!$C498,使用レシピ!$E:$E,0))&lt;&gt;0,INDEX(使用レシピ!I:I,MATCH(テンプレート!$C498,使用レシピ!$E:$E,0)),""),"")</f>
        <v/>
      </c>
      <c r="H498" s="24" t="str">
        <f>IFERROR(IF(INDEX(使用レシピ!J:J,MATCH(テンプレート!$C498,使用レシピ!$E:$E,0))&lt;&gt;0,INDEX(使用レシピ!J:J,MATCH(テンプレート!$C498,使用レシピ!$E:$E,0)),""),"")</f>
        <v/>
      </c>
      <c r="I498" s="36" t="str">
        <f>IFERROR(IF(INDEX(使用レシピ!P:P,MATCH(テンプレート!$C498,使用レシピ!$E:$E,0))&lt;&gt;0,INDEX(使用レシピ!P:P,MATCH(テンプレート!$C498,使用レシピ!$E:$E,0)),""),"")</f>
        <v/>
      </c>
      <c r="J498" t="str">
        <f>IFERROR(IF(INDEX(使用レシピ!K:K,MATCH(テンプレート!$C498,使用レシピ!$E:$E,0))&lt;&gt;0,INDEX(使用レシピ!K:K,MATCH(テンプレート!$C498,使用レシピ!$E:$E,0)),""),"")</f>
        <v/>
      </c>
      <c r="K498" t="str">
        <f>IFERROR(IF(INDEX(使用レシピ!L:L,MATCH(テンプレート!$C498,使用レシピ!$E:$E,0))&lt;&gt;0,INDEX(使用レシピ!L:L,MATCH(テンプレート!$C498,使用レシピ!$E:$E,0)),""),"")</f>
        <v/>
      </c>
      <c r="L498" t="str">
        <f>IFERROR(IF(INDEX(使用レシピ!M:M,MATCH(テンプレート!$C498,使用レシピ!$E:$E,0))&lt;&gt;0,INDEX(使用レシピ!M:M,MATCH(テンプレート!$C498,使用レシピ!$E:$E,0)),""),"")</f>
        <v/>
      </c>
      <c r="M498" t="str">
        <f>IFERROR(IF(INDEX(使用レシピ!N:N,MATCH(テンプレート!$C498,使用レシピ!$E:$E,0))&lt;&gt;0,INDEX(使用レシピ!N:N,MATCH(テンプレート!$C498,使用レシピ!$E:$E,0)),""),"")</f>
        <v/>
      </c>
      <c r="N498" s="24" t="str">
        <f>IFERROR(IF(INDEX(使用レシピ!O:O,MATCH(テンプレート!$C498,使用レシピ!$E:$E,0))&lt;&gt;0,INDEX(使用レシピ!O:O,MATCH(テンプレート!$C498,使用レシピ!$E:$E,0)),""),"")</f>
        <v/>
      </c>
      <c r="O498" s="36" t="str">
        <f>IFERROR(IF(INDEX(使用レシピ!P:P,MATCH(テンプレート!$C498,使用レシピ!$E:$E,0))&lt;&gt;0,INDEX(使用レシピ!P:P,MATCH(テンプレート!$C498,使用レシピ!$E:$E,0)),""),"")</f>
        <v/>
      </c>
      <c r="P498" t="str">
        <f t="shared" si="41"/>
        <v/>
      </c>
      <c r="Q498" t="str">
        <f t="shared" si="42"/>
        <v/>
      </c>
      <c r="R498" t="str">
        <f t="shared" si="43"/>
        <v/>
      </c>
      <c r="S498" t="str">
        <f t="shared" si="44"/>
        <v/>
      </c>
      <c r="T498" s="24" t="str">
        <f t="shared" si="45"/>
        <v/>
      </c>
    </row>
    <row r="499" spans="2:20" x14ac:dyDescent="0.4">
      <c r="B499" s="49" t="str" cm="1">
        <f t="array" ref="B499">IFERROR((INDEX($P$4:$T$1000,MATCH(VALUE(LEFT($A499,LEN($A499)-1)),$A$4:$A$1000,0),VALUE(RIGHT($A499,1)))/ INDEX($O$4:$O$1000,MATCH(VALUE(LEFT($A499,LEN($A499)-1)),$A$4:$A$1000))) * INDEX($B$4:$B$1000,MATCH(VALUE(LEFT($A499,LEN($A499)-1)),$A$4:$A$1000)),"")</f>
        <v/>
      </c>
      <c r="C499" s="2" t="str" cm="1">
        <f t="array" ref="C499">IFERROR(IF(INDEX($D$4:$H$1000,MATCH(VALUE(LEFT($A499,LEN($A499)-1)),$A$4:$A$1000,0),VALUE(RIGHT($A499,1)))= 0,"",INDEX($D$4:$H$1000,MATCH(VALUE(LEFT($A499,LEN($A499)-1)),$A$4:$A$1000,0),VALUE(RIGHT($A499,1)))),"")</f>
        <v/>
      </c>
      <c r="D499" s="23" t="str">
        <f>IFERROR(IF(INDEX(使用レシピ!F:F,MATCH(テンプレート!$C499,使用レシピ!$E:$E,0))&lt;&gt;0,INDEX(使用レシピ!F:F,MATCH(テンプレート!$C499,使用レシピ!$E:$E,0)),""),"")</f>
        <v/>
      </c>
      <c r="E499" t="str">
        <f>IFERROR(IF(INDEX(使用レシピ!G:G,MATCH(テンプレート!$C499,使用レシピ!$E:$E,0))&lt;&gt;0,INDEX(使用レシピ!G:G,MATCH(テンプレート!$C499,使用レシピ!$E:$E,0)),""),"")</f>
        <v/>
      </c>
      <c r="F499" t="str">
        <f>IFERROR(IF(INDEX(使用レシピ!H:H,MATCH(テンプレート!$C499,使用レシピ!$E:$E,0))&lt;&gt;0,INDEX(使用レシピ!H:H,MATCH(テンプレート!$C499,使用レシピ!$E:$E,0)),""),"")</f>
        <v/>
      </c>
      <c r="G499" t="str">
        <f>IFERROR(IF(INDEX(使用レシピ!I:I,MATCH(テンプレート!$C499,使用レシピ!$E:$E,0))&lt;&gt;0,INDEX(使用レシピ!I:I,MATCH(テンプレート!$C499,使用レシピ!$E:$E,0)),""),"")</f>
        <v/>
      </c>
      <c r="H499" s="24" t="str">
        <f>IFERROR(IF(INDEX(使用レシピ!J:J,MATCH(テンプレート!$C499,使用レシピ!$E:$E,0))&lt;&gt;0,INDEX(使用レシピ!J:J,MATCH(テンプレート!$C499,使用レシピ!$E:$E,0)),""),"")</f>
        <v/>
      </c>
      <c r="I499" s="36" t="str">
        <f>IFERROR(IF(INDEX(使用レシピ!P:P,MATCH(テンプレート!$C499,使用レシピ!$E:$E,0))&lt;&gt;0,INDEX(使用レシピ!P:P,MATCH(テンプレート!$C499,使用レシピ!$E:$E,0)),""),"")</f>
        <v/>
      </c>
      <c r="J499" t="str">
        <f>IFERROR(IF(INDEX(使用レシピ!K:K,MATCH(テンプレート!$C499,使用レシピ!$E:$E,0))&lt;&gt;0,INDEX(使用レシピ!K:K,MATCH(テンプレート!$C499,使用レシピ!$E:$E,0)),""),"")</f>
        <v/>
      </c>
      <c r="K499" t="str">
        <f>IFERROR(IF(INDEX(使用レシピ!L:L,MATCH(テンプレート!$C499,使用レシピ!$E:$E,0))&lt;&gt;0,INDEX(使用レシピ!L:L,MATCH(テンプレート!$C499,使用レシピ!$E:$E,0)),""),"")</f>
        <v/>
      </c>
      <c r="L499" t="str">
        <f>IFERROR(IF(INDEX(使用レシピ!M:M,MATCH(テンプレート!$C499,使用レシピ!$E:$E,0))&lt;&gt;0,INDEX(使用レシピ!M:M,MATCH(テンプレート!$C499,使用レシピ!$E:$E,0)),""),"")</f>
        <v/>
      </c>
      <c r="M499" t="str">
        <f>IFERROR(IF(INDEX(使用レシピ!N:N,MATCH(テンプレート!$C499,使用レシピ!$E:$E,0))&lt;&gt;0,INDEX(使用レシピ!N:N,MATCH(テンプレート!$C499,使用レシピ!$E:$E,0)),""),"")</f>
        <v/>
      </c>
      <c r="N499" s="24" t="str">
        <f>IFERROR(IF(INDEX(使用レシピ!O:O,MATCH(テンプレート!$C499,使用レシピ!$E:$E,0))&lt;&gt;0,INDEX(使用レシピ!O:O,MATCH(テンプレート!$C499,使用レシピ!$E:$E,0)),""),"")</f>
        <v/>
      </c>
      <c r="O499" s="36" t="str">
        <f>IFERROR(IF(INDEX(使用レシピ!P:P,MATCH(テンプレート!$C499,使用レシピ!$E:$E,0))&lt;&gt;0,INDEX(使用レシピ!P:P,MATCH(テンプレート!$C499,使用レシピ!$E:$E,0)),""),"")</f>
        <v/>
      </c>
      <c r="P499" t="str">
        <f t="shared" si="41"/>
        <v/>
      </c>
      <c r="Q499" t="str">
        <f t="shared" si="42"/>
        <v/>
      </c>
      <c r="R499" t="str">
        <f t="shared" si="43"/>
        <v/>
      </c>
      <c r="S499" t="str">
        <f t="shared" si="44"/>
        <v/>
      </c>
      <c r="T499" s="24" t="str">
        <f t="shared" si="45"/>
        <v/>
      </c>
    </row>
    <row r="500" spans="2:20" x14ac:dyDescent="0.4">
      <c r="B500" s="49" t="str" cm="1">
        <f t="array" ref="B500">IFERROR((INDEX($P$4:$T$1000,MATCH(VALUE(LEFT($A500,LEN($A500)-1)),$A$4:$A$1000,0),VALUE(RIGHT($A500,1)))/ INDEX($O$4:$O$1000,MATCH(VALUE(LEFT($A500,LEN($A500)-1)),$A$4:$A$1000))) * INDEX($B$4:$B$1000,MATCH(VALUE(LEFT($A500,LEN($A500)-1)),$A$4:$A$1000)),"")</f>
        <v/>
      </c>
      <c r="C500" s="2" t="str" cm="1">
        <f t="array" ref="C500">IFERROR(IF(INDEX($D$4:$H$1000,MATCH(VALUE(LEFT($A500,LEN($A500)-1)),$A$4:$A$1000,0),VALUE(RIGHT($A500,1)))= 0,"",INDEX($D$4:$H$1000,MATCH(VALUE(LEFT($A500,LEN($A500)-1)),$A$4:$A$1000,0),VALUE(RIGHT($A500,1)))),"")</f>
        <v/>
      </c>
      <c r="D500" s="23" t="str">
        <f>IFERROR(IF(INDEX(使用レシピ!F:F,MATCH(テンプレート!$C500,使用レシピ!$E:$E,0))&lt;&gt;0,INDEX(使用レシピ!F:F,MATCH(テンプレート!$C500,使用レシピ!$E:$E,0)),""),"")</f>
        <v/>
      </c>
      <c r="E500" t="str">
        <f>IFERROR(IF(INDEX(使用レシピ!G:G,MATCH(テンプレート!$C500,使用レシピ!$E:$E,0))&lt;&gt;0,INDEX(使用レシピ!G:G,MATCH(テンプレート!$C500,使用レシピ!$E:$E,0)),""),"")</f>
        <v/>
      </c>
      <c r="F500" t="str">
        <f>IFERROR(IF(INDEX(使用レシピ!H:H,MATCH(テンプレート!$C500,使用レシピ!$E:$E,0))&lt;&gt;0,INDEX(使用レシピ!H:H,MATCH(テンプレート!$C500,使用レシピ!$E:$E,0)),""),"")</f>
        <v/>
      </c>
      <c r="G500" t="str">
        <f>IFERROR(IF(INDEX(使用レシピ!I:I,MATCH(テンプレート!$C500,使用レシピ!$E:$E,0))&lt;&gt;0,INDEX(使用レシピ!I:I,MATCH(テンプレート!$C500,使用レシピ!$E:$E,0)),""),"")</f>
        <v/>
      </c>
      <c r="H500" s="24" t="str">
        <f>IFERROR(IF(INDEX(使用レシピ!J:J,MATCH(テンプレート!$C500,使用レシピ!$E:$E,0))&lt;&gt;0,INDEX(使用レシピ!J:J,MATCH(テンプレート!$C500,使用レシピ!$E:$E,0)),""),"")</f>
        <v/>
      </c>
      <c r="I500" s="36" t="str">
        <f>IFERROR(IF(INDEX(使用レシピ!P:P,MATCH(テンプレート!$C500,使用レシピ!$E:$E,0))&lt;&gt;0,INDEX(使用レシピ!P:P,MATCH(テンプレート!$C500,使用レシピ!$E:$E,0)),""),"")</f>
        <v/>
      </c>
      <c r="J500" t="str">
        <f>IFERROR(IF(INDEX(使用レシピ!K:K,MATCH(テンプレート!$C500,使用レシピ!$E:$E,0))&lt;&gt;0,INDEX(使用レシピ!K:K,MATCH(テンプレート!$C500,使用レシピ!$E:$E,0)),""),"")</f>
        <v/>
      </c>
      <c r="K500" t="str">
        <f>IFERROR(IF(INDEX(使用レシピ!L:L,MATCH(テンプレート!$C500,使用レシピ!$E:$E,0))&lt;&gt;0,INDEX(使用レシピ!L:L,MATCH(テンプレート!$C500,使用レシピ!$E:$E,0)),""),"")</f>
        <v/>
      </c>
      <c r="L500" t="str">
        <f>IFERROR(IF(INDEX(使用レシピ!M:M,MATCH(テンプレート!$C500,使用レシピ!$E:$E,0))&lt;&gt;0,INDEX(使用レシピ!M:M,MATCH(テンプレート!$C500,使用レシピ!$E:$E,0)),""),"")</f>
        <v/>
      </c>
      <c r="M500" t="str">
        <f>IFERROR(IF(INDEX(使用レシピ!N:N,MATCH(テンプレート!$C500,使用レシピ!$E:$E,0))&lt;&gt;0,INDEX(使用レシピ!N:N,MATCH(テンプレート!$C500,使用レシピ!$E:$E,0)),""),"")</f>
        <v/>
      </c>
      <c r="N500" s="24" t="str">
        <f>IFERROR(IF(INDEX(使用レシピ!O:O,MATCH(テンプレート!$C500,使用レシピ!$E:$E,0))&lt;&gt;0,INDEX(使用レシピ!O:O,MATCH(テンプレート!$C500,使用レシピ!$E:$E,0)),""),"")</f>
        <v/>
      </c>
      <c r="O500" s="36" t="str">
        <f>IFERROR(IF(INDEX(使用レシピ!P:P,MATCH(テンプレート!$C500,使用レシピ!$E:$E,0))&lt;&gt;0,INDEX(使用レシピ!P:P,MATCH(テンプレート!$C500,使用レシピ!$E:$E,0)),""),"")</f>
        <v/>
      </c>
      <c r="P500" t="str">
        <f t="shared" si="41"/>
        <v/>
      </c>
      <c r="Q500" t="str">
        <f t="shared" si="42"/>
        <v/>
      </c>
      <c r="R500" t="str">
        <f t="shared" si="43"/>
        <v/>
      </c>
      <c r="S500" t="str">
        <f t="shared" si="44"/>
        <v/>
      </c>
      <c r="T500" s="24" t="str">
        <f t="shared" si="45"/>
        <v/>
      </c>
    </row>
    <row r="501" spans="2:20" x14ac:dyDescent="0.4">
      <c r="B501" s="49" t="str" cm="1">
        <f t="array" ref="B501">IFERROR((INDEX($P$4:$T$1000,MATCH(VALUE(LEFT($A501,LEN($A501)-1)),$A$4:$A$1000,0),VALUE(RIGHT($A501,1)))/ INDEX($O$4:$O$1000,MATCH(VALUE(LEFT($A501,LEN($A501)-1)),$A$4:$A$1000))) * INDEX($B$4:$B$1000,MATCH(VALUE(LEFT($A501,LEN($A501)-1)),$A$4:$A$1000)),"")</f>
        <v/>
      </c>
      <c r="C501" s="2" t="str" cm="1">
        <f t="array" ref="C501">IFERROR(IF(INDEX($D$4:$H$1000,MATCH(VALUE(LEFT($A501,LEN($A501)-1)),$A$4:$A$1000,0),VALUE(RIGHT($A501,1)))= 0,"",INDEX($D$4:$H$1000,MATCH(VALUE(LEFT($A501,LEN($A501)-1)),$A$4:$A$1000,0),VALUE(RIGHT($A501,1)))),"")</f>
        <v/>
      </c>
      <c r="D501" s="23" t="str">
        <f>IFERROR(IF(INDEX(使用レシピ!F:F,MATCH(テンプレート!$C501,使用レシピ!$E:$E,0))&lt;&gt;0,INDEX(使用レシピ!F:F,MATCH(テンプレート!$C501,使用レシピ!$E:$E,0)),""),"")</f>
        <v/>
      </c>
      <c r="E501" t="str">
        <f>IFERROR(IF(INDEX(使用レシピ!G:G,MATCH(テンプレート!$C501,使用レシピ!$E:$E,0))&lt;&gt;0,INDEX(使用レシピ!G:G,MATCH(テンプレート!$C501,使用レシピ!$E:$E,0)),""),"")</f>
        <v/>
      </c>
      <c r="F501" t="str">
        <f>IFERROR(IF(INDEX(使用レシピ!H:H,MATCH(テンプレート!$C501,使用レシピ!$E:$E,0))&lt;&gt;0,INDEX(使用レシピ!H:H,MATCH(テンプレート!$C501,使用レシピ!$E:$E,0)),""),"")</f>
        <v/>
      </c>
      <c r="G501" t="str">
        <f>IFERROR(IF(INDEX(使用レシピ!I:I,MATCH(テンプレート!$C501,使用レシピ!$E:$E,0))&lt;&gt;0,INDEX(使用レシピ!I:I,MATCH(テンプレート!$C501,使用レシピ!$E:$E,0)),""),"")</f>
        <v/>
      </c>
      <c r="H501" s="24" t="str">
        <f>IFERROR(IF(INDEX(使用レシピ!J:J,MATCH(テンプレート!$C501,使用レシピ!$E:$E,0))&lt;&gt;0,INDEX(使用レシピ!J:J,MATCH(テンプレート!$C501,使用レシピ!$E:$E,0)),""),"")</f>
        <v/>
      </c>
      <c r="I501" s="36" t="str">
        <f>IFERROR(IF(INDEX(使用レシピ!P:P,MATCH(テンプレート!$C501,使用レシピ!$E:$E,0))&lt;&gt;0,INDEX(使用レシピ!P:P,MATCH(テンプレート!$C501,使用レシピ!$E:$E,0)),""),"")</f>
        <v/>
      </c>
      <c r="J501" t="str">
        <f>IFERROR(IF(INDEX(使用レシピ!K:K,MATCH(テンプレート!$C501,使用レシピ!$E:$E,0))&lt;&gt;0,INDEX(使用レシピ!K:K,MATCH(テンプレート!$C501,使用レシピ!$E:$E,0)),""),"")</f>
        <v/>
      </c>
      <c r="K501" t="str">
        <f>IFERROR(IF(INDEX(使用レシピ!L:L,MATCH(テンプレート!$C501,使用レシピ!$E:$E,0))&lt;&gt;0,INDEX(使用レシピ!L:L,MATCH(テンプレート!$C501,使用レシピ!$E:$E,0)),""),"")</f>
        <v/>
      </c>
      <c r="L501" t="str">
        <f>IFERROR(IF(INDEX(使用レシピ!M:M,MATCH(テンプレート!$C501,使用レシピ!$E:$E,0))&lt;&gt;0,INDEX(使用レシピ!M:M,MATCH(テンプレート!$C501,使用レシピ!$E:$E,0)),""),"")</f>
        <v/>
      </c>
      <c r="M501" t="str">
        <f>IFERROR(IF(INDEX(使用レシピ!N:N,MATCH(テンプレート!$C501,使用レシピ!$E:$E,0))&lt;&gt;0,INDEX(使用レシピ!N:N,MATCH(テンプレート!$C501,使用レシピ!$E:$E,0)),""),"")</f>
        <v/>
      </c>
      <c r="N501" s="24" t="str">
        <f>IFERROR(IF(INDEX(使用レシピ!O:O,MATCH(テンプレート!$C501,使用レシピ!$E:$E,0))&lt;&gt;0,INDEX(使用レシピ!O:O,MATCH(テンプレート!$C501,使用レシピ!$E:$E,0)),""),"")</f>
        <v/>
      </c>
      <c r="O501" s="36" t="str">
        <f>IFERROR(IF(INDEX(使用レシピ!P:P,MATCH(テンプレート!$C501,使用レシピ!$E:$E,0))&lt;&gt;0,INDEX(使用レシピ!P:P,MATCH(テンプレート!$C501,使用レシピ!$E:$E,0)),""),"")</f>
        <v/>
      </c>
      <c r="P501" t="str">
        <f t="shared" si="41"/>
        <v/>
      </c>
      <c r="Q501" t="str">
        <f t="shared" si="42"/>
        <v/>
      </c>
      <c r="R501" t="str">
        <f t="shared" si="43"/>
        <v/>
      </c>
      <c r="S501" t="str">
        <f t="shared" si="44"/>
        <v/>
      </c>
      <c r="T501" s="24" t="str">
        <f t="shared" si="45"/>
        <v/>
      </c>
    </row>
    <row r="502" spans="2:20" x14ac:dyDescent="0.4">
      <c r="B502" s="49" t="str" cm="1">
        <f t="array" ref="B502">IFERROR((INDEX($P$4:$T$1000,MATCH(VALUE(LEFT($A502,LEN($A502)-1)),$A$4:$A$1000,0),VALUE(RIGHT($A502,1)))/ INDEX($O$4:$O$1000,MATCH(VALUE(LEFT($A502,LEN($A502)-1)),$A$4:$A$1000))) * INDEX($B$4:$B$1000,MATCH(VALUE(LEFT($A502,LEN($A502)-1)),$A$4:$A$1000)),"")</f>
        <v/>
      </c>
      <c r="C502" s="2" t="str" cm="1">
        <f t="array" ref="C502">IFERROR(IF(INDEX($D$4:$H$1000,MATCH(VALUE(LEFT($A502,LEN($A502)-1)),$A$4:$A$1000,0),VALUE(RIGHT($A502,1)))= 0,"",INDEX($D$4:$H$1000,MATCH(VALUE(LEFT($A502,LEN($A502)-1)),$A$4:$A$1000,0),VALUE(RIGHT($A502,1)))),"")</f>
        <v/>
      </c>
      <c r="D502" s="23" t="str">
        <f>IFERROR(IF(INDEX(使用レシピ!F:F,MATCH(テンプレート!$C502,使用レシピ!$E:$E,0))&lt;&gt;0,INDEX(使用レシピ!F:F,MATCH(テンプレート!$C502,使用レシピ!$E:$E,0)),""),"")</f>
        <v/>
      </c>
      <c r="E502" t="str">
        <f>IFERROR(IF(INDEX(使用レシピ!G:G,MATCH(テンプレート!$C502,使用レシピ!$E:$E,0))&lt;&gt;0,INDEX(使用レシピ!G:G,MATCH(テンプレート!$C502,使用レシピ!$E:$E,0)),""),"")</f>
        <v/>
      </c>
      <c r="F502" t="str">
        <f>IFERROR(IF(INDEX(使用レシピ!H:H,MATCH(テンプレート!$C502,使用レシピ!$E:$E,0))&lt;&gt;0,INDEX(使用レシピ!H:H,MATCH(テンプレート!$C502,使用レシピ!$E:$E,0)),""),"")</f>
        <v/>
      </c>
      <c r="G502" t="str">
        <f>IFERROR(IF(INDEX(使用レシピ!I:I,MATCH(テンプレート!$C502,使用レシピ!$E:$E,0))&lt;&gt;0,INDEX(使用レシピ!I:I,MATCH(テンプレート!$C502,使用レシピ!$E:$E,0)),""),"")</f>
        <v/>
      </c>
      <c r="H502" s="24" t="str">
        <f>IFERROR(IF(INDEX(使用レシピ!J:J,MATCH(テンプレート!$C502,使用レシピ!$E:$E,0))&lt;&gt;0,INDEX(使用レシピ!J:J,MATCH(テンプレート!$C502,使用レシピ!$E:$E,0)),""),"")</f>
        <v/>
      </c>
      <c r="I502" s="36" t="str">
        <f>IFERROR(IF(INDEX(使用レシピ!P:P,MATCH(テンプレート!$C502,使用レシピ!$E:$E,0))&lt;&gt;0,INDEX(使用レシピ!P:P,MATCH(テンプレート!$C502,使用レシピ!$E:$E,0)),""),"")</f>
        <v/>
      </c>
      <c r="J502" t="str">
        <f>IFERROR(IF(INDEX(使用レシピ!K:K,MATCH(テンプレート!$C502,使用レシピ!$E:$E,0))&lt;&gt;0,INDEX(使用レシピ!K:K,MATCH(テンプレート!$C502,使用レシピ!$E:$E,0)),""),"")</f>
        <v/>
      </c>
      <c r="K502" t="str">
        <f>IFERROR(IF(INDEX(使用レシピ!L:L,MATCH(テンプレート!$C502,使用レシピ!$E:$E,0))&lt;&gt;0,INDEX(使用レシピ!L:L,MATCH(テンプレート!$C502,使用レシピ!$E:$E,0)),""),"")</f>
        <v/>
      </c>
      <c r="L502" t="str">
        <f>IFERROR(IF(INDEX(使用レシピ!M:M,MATCH(テンプレート!$C502,使用レシピ!$E:$E,0))&lt;&gt;0,INDEX(使用レシピ!M:M,MATCH(テンプレート!$C502,使用レシピ!$E:$E,0)),""),"")</f>
        <v/>
      </c>
      <c r="M502" t="str">
        <f>IFERROR(IF(INDEX(使用レシピ!N:N,MATCH(テンプレート!$C502,使用レシピ!$E:$E,0))&lt;&gt;0,INDEX(使用レシピ!N:N,MATCH(テンプレート!$C502,使用レシピ!$E:$E,0)),""),"")</f>
        <v/>
      </c>
      <c r="N502" s="24" t="str">
        <f>IFERROR(IF(INDEX(使用レシピ!O:O,MATCH(テンプレート!$C502,使用レシピ!$E:$E,0))&lt;&gt;0,INDEX(使用レシピ!O:O,MATCH(テンプレート!$C502,使用レシピ!$E:$E,0)),""),"")</f>
        <v/>
      </c>
      <c r="O502" s="36" t="str">
        <f>IFERROR(IF(INDEX(使用レシピ!P:P,MATCH(テンプレート!$C502,使用レシピ!$E:$E,0))&lt;&gt;0,INDEX(使用レシピ!P:P,MATCH(テンプレート!$C502,使用レシピ!$E:$E,0)),""),"")</f>
        <v/>
      </c>
      <c r="P502" t="str">
        <f t="shared" si="41"/>
        <v/>
      </c>
      <c r="Q502" t="str">
        <f t="shared" si="42"/>
        <v/>
      </c>
      <c r="R502" t="str">
        <f t="shared" si="43"/>
        <v/>
      </c>
      <c r="S502" t="str">
        <f t="shared" si="44"/>
        <v/>
      </c>
      <c r="T502" s="24" t="str">
        <f t="shared" si="45"/>
        <v/>
      </c>
    </row>
    <row r="503" spans="2:20" x14ac:dyDescent="0.4">
      <c r="B503" s="49" t="str" cm="1">
        <f t="array" ref="B503">IFERROR((INDEX($P$4:$T$1000,MATCH(VALUE(LEFT($A503,LEN($A503)-1)),$A$4:$A$1000,0),VALUE(RIGHT($A503,1)))/ INDEX($O$4:$O$1000,MATCH(VALUE(LEFT($A503,LEN($A503)-1)),$A$4:$A$1000))) * INDEX($B$4:$B$1000,MATCH(VALUE(LEFT($A503,LEN($A503)-1)),$A$4:$A$1000)),"")</f>
        <v/>
      </c>
      <c r="C503" s="2" t="str" cm="1">
        <f t="array" ref="C503">IFERROR(IF(INDEX($D$4:$H$1000,MATCH(VALUE(LEFT($A503,LEN($A503)-1)),$A$4:$A$1000,0),VALUE(RIGHT($A503,1)))= 0,"",INDEX($D$4:$H$1000,MATCH(VALUE(LEFT($A503,LEN($A503)-1)),$A$4:$A$1000,0),VALUE(RIGHT($A503,1)))),"")</f>
        <v/>
      </c>
      <c r="D503" s="23" t="str">
        <f>IFERROR(IF(INDEX(使用レシピ!F:F,MATCH(テンプレート!$C503,使用レシピ!$E:$E,0))&lt;&gt;0,INDEX(使用レシピ!F:F,MATCH(テンプレート!$C503,使用レシピ!$E:$E,0)),""),"")</f>
        <v/>
      </c>
      <c r="E503" t="str">
        <f>IFERROR(IF(INDEX(使用レシピ!G:G,MATCH(テンプレート!$C503,使用レシピ!$E:$E,0))&lt;&gt;0,INDEX(使用レシピ!G:G,MATCH(テンプレート!$C503,使用レシピ!$E:$E,0)),""),"")</f>
        <v/>
      </c>
      <c r="F503" t="str">
        <f>IFERROR(IF(INDEX(使用レシピ!H:H,MATCH(テンプレート!$C503,使用レシピ!$E:$E,0))&lt;&gt;0,INDEX(使用レシピ!H:H,MATCH(テンプレート!$C503,使用レシピ!$E:$E,0)),""),"")</f>
        <v/>
      </c>
      <c r="G503" t="str">
        <f>IFERROR(IF(INDEX(使用レシピ!I:I,MATCH(テンプレート!$C503,使用レシピ!$E:$E,0))&lt;&gt;0,INDEX(使用レシピ!I:I,MATCH(テンプレート!$C503,使用レシピ!$E:$E,0)),""),"")</f>
        <v/>
      </c>
      <c r="H503" s="24" t="str">
        <f>IFERROR(IF(INDEX(使用レシピ!J:J,MATCH(テンプレート!$C503,使用レシピ!$E:$E,0))&lt;&gt;0,INDEX(使用レシピ!J:J,MATCH(テンプレート!$C503,使用レシピ!$E:$E,0)),""),"")</f>
        <v/>
      </c>
      <c r="I503" s="36" t="str">
        <f>IFERROR(IF(INDEX(使用レシピ!P:P,MATCH(テンプレート!$C503,使用レシピ!$E:$E,0))&lt;&gt;0,INDEX(使用レシピ!P:P,MATCH(テンプレート!$C503,使用レシピ!$E:$E,0)),""),"")</f>
        <v/>
      </c>
      <c r="J503" t="str">
        <f>IFERROR(IF(INDEX(使用レシピ!K:K,MATCH(テンプレート!$C503,使用レシピ!$E:$E,0))&lt;&gt;0,INDEX(使用レシピ!K:K,MATCH(テンプレート!$C503,使用レシピ!$E:$E,0)),""),"")</f>
        <v/>
      </c>
      <c r="K503" t="str">
        <f>IFERROR(IF(INDEX(使用レシピ!L:L,MATCH(テンプレート!$C503,使用レシピ!$E:$E,0))&lt;&gt;0,INDEX(使用レシピ!L:L,MATCH(テンプレート!$C503,使用レシピ!$E:$E,0)),""),"")</f>
        <v/>
      </c>
      <c r="L503" t="str">
        <f>IFERROR(IF(INDEX(使用レシピ!M:M,MATCH(テンプレート!$C503,使用レシピ!$E:$E,0))&lt;&gt;0,INDEX(使用レシピ!M:M,MATCH(テンプレート!$C503,使用レシピ!$E:$E,0)),""),"")</f>
        <v/>
      </c>
      <c r="M503" t="str">
        <f>IFERROR(IF(INDEX(使用レシピ!N:N,MATCH(テンプレート!$C503,使用レシピ!$E:$E,0))&lt;&gt;0,INDEX(使用レシピ!N:N,MATCH(テンプレート!$C503,使用レシピ!$E:$E,0)),""),"")</f>
        <v/>
      </c>
      <c r="N503" s="24" t="str">
        <f>IFERROR(IF(INDEX(使用レシピ!O:O,MATCH(テンプレート!$C503,使用レシピ!$E:$E,0))&lt;&gt;0,INDEX(使用レシピ!O:O,MATCH(テンプレート!$C503,使用レシピ!$E:$E,0)),""),"")</f>
        <v/>
      </c>
      <c r="O503" s="36" t="str">
        <f>IFERROR(IF(INDEX(使用レシピ!P:P,MATCH(テンプレート!$C503,使用レシピ!$E:$E,0))&lt;&gt;0,INDEX(使用レシピ!P:P,MATCH(テンプレート!$C503,使用レシピ!$E:$E,0)),""),"")</f>
        <v/>
      </c>
      <c r="P503" t="str">
        <f t="shared" si="41"/>
        <v/>
      </c>
      <c r="Q503" t="str">
        <f t="shared" si="42"/>
        <v/>
      </c>
      <c r="R503" t="str">
        <f t="shared" si="43"/>
        <v/>
      </c>
      <c r="S503" t="str">
        <f t="shared" si="44"/>
        <v/>
      </c>
      <c r="T503" s="24" t="str">
        <f t="shared" si="45"/>
        <v/>
      </c>
    </row>
    <row r="504" spans="2:20" x14ac:dyDescent="0.4">
      <c r="B504" s="49" t="str" cm="1">
        <f t="array" ref="B504">IFERROR((INDEX($P$4:$T$1000,MATCH(VALUE(LEFT($A504,LEN($A504)-1)),$A$4:$A$1000,0),VALUE(RIGHT($A504,1)))/ INDEX($O$4:$O$1000,MATCH(VALUE(LEFT($A504,LEN($A504)-1)),$A$4:$A$1000))) * INDEX($B$4:$B$1000,MATCH(VALUE(LEFT($A504,LEN($A504)-1)),$A$4:$A$1000)),"")</f>
        <v/>
      </c>
      <c r="C504" s="2" t="str" cm="1">
        <f t="array" ref="C504">IFERROR(IF(INDEX($D$4:$H$1000,MATCH(VALUE(LEFT($A504,LEN($A504)-1)),$A$4:$A$1000,0),VALUE(RIGHT($A504,1)))= 0,"",INDEX($D$4:$H$1000,MATCH(VALUE(LEFT($A504,LEN($A504)-1)),$A$4:$A$1000,0),VALUE(RIGHT($A504,1)))),"")</f>
        <v/>
      </c>
      <c r="D504" s="23" t="str">
        <f>IFERROR(IF(INDEX(使用レシピ!F:F,MATCH(テンプレート!$C504,使用レシピ!$E:$E,0))&lt;&gt;0,INDEX(使用レシピ!F:F,MATCH(テンプレート!$C504,使用レシピ!$E:$E,0)),""),"")</f>
        <v/>
      </c>
      <c r="E504" t="str">
        <f>IFERROR(IF(INDEX(使用レシピ!G:G,MATCH(テンプレート!$C504,使用レシピ!$E:$E,0))&lt;&gt;0,INDEX(使用レシピ!G:G,MATCH(テンプレート!$C504,使用レシピ!$E:$E,0)),""),"")</f>
        <v/>
      </c>
      <c r="F504" t="str">
        <f>IFERROR(IF(INDEX(使用レシピ!H:H,MATCH(テンプレート!$C504,使用レシピ!$E:$E,0))&lt;&gt;0,INDEX(使用レシピ!H:H,MATCH(テンプレート!$C504,使用レシピ!$E:$E,0)),""),"")</f>
        <v/>
      </c>
      <c r="G504" t="str">
        <f>IFERROR(IF(INDEX(使用レシピ!I:I,MATCH(テンプレート!$C504,使用レシピ!$E:$E,0))&lt;&gt;0,INDEX(使用レシピ!I:I,MATCH(テンプレート!$C504,使用レシピ!$E:$E,0)),""),"")</f>
        <v/>
      </c>
      <c r="H504" s="24" t="str">
        <f>IFERROR(IF(INDEX(使用レシピ!J:J,MATCH(テンプレート!$C504,使用レシピ!$E:$E,0))&lt;&gt;0,INDEX(使用レシピ!J:J,MATCH(テンプレート!$C504,使用レシピ!$E:$E,0)),""),"")</f>
        <v/>
      </c>
      <c r="I504" s="36" t="str">
        <f>IFERROR(IF(INDEX(使用レシピ!P:P,MATCH(テンプレート!$C504,使用レシピ!$E:$E,0))&lt;&gt;0,INDEX(使用レシピ!P:P,MATCH(テンプレート!$C504,使用レシピ!$E:$E,0)),""),"")</f>
        <v/>
      </c>
      <c r="J504" t="str">
        <f>IFERROR(IF(INDEX(使用レシピ!K:K,MATCH(テンプレート!$C504,使用レシピ!$E:$E,0))&lt;&gt;0,INDEX(使用レシピ!K:K,MATCH(テンプレート!$C504,使用レシピ!$E:$E,0)),""),"")</f>
        <v/>
      </c>
      <c r="K504" t="str">
        <f>IFERROR(IF(INDEX(使用レシピ!L:L,MATCH(テンプレート!$C504,使用レシピ!$E:$E,0))&lt;&gt;0,INDEX(使用レシピ!L:L,MATCH(テンプレート!$C504,使用レシピ!$E:$E,0)),""),"")</f>
        <v/>
      </c>
      <c r="L504" t="str">
        <f>IFERROR(IF(INDEX(使用レシピ!M:M,MATCH(テンプレート!$C504,使用レシピ!$E:$E,0))&lt;&gt;0,INDEX(使用レシピ!M:M,MATCH(テンプレート!$C504,使用レシピ!$E:$E,0)),""),"")</f>
        <v/>
      </c>
      <c r="M504" t="str">
        <f>IFERROR(IF(INDEX(使用レシピ!N:N,MATCH(テンプレート!$C504,使用レシピ!$E:$E,0))&lt;&gt;0,INDEX(使用レシピ!N:N,MATCH(テンプレート!$C504,使用レシピ!$E:$E,0)),""),"")</f>
        <v/>
      </c>
      <c r="N504" s="24" t="str">
        <f>IFERROR(IF(INDEX(使用レシピ!O:O,MATCH(テンプレート!$C504,使用レシピ!$E:$E,0))&lt;&gt;0,INDEX(使用レシピ!O:O,MATCH(テンプレート!$C504,使用レシピ!$E:$E,0)),""),"")</f>
        <v/>
      </c>
      <c r="O504" s="36" t="str">
        <f>IFERROR(IF(INDEX(使用レシピ!P:P,MATCH(テンプレート!$C504,使用レシピ!$E:$E,0))&lt;&gt;0,INDEX(使用レシピ!P:P,MATCH(テンプレート!$C504,使用レシピ!$E:$E,0)),""),"")</f>
        <v/>
      </c>
      <c r="P504" t="str">
        <f t="shared" si="41"/>
        <v/>
      </c>
      <c r="Q504" t="str">
        <f t="shared" si="42"/>
        <v/>
      </c>
      <c r="R504" t="str">
        <f t="shared" si="43"/>
        <v/>
      </c>
      <c r="S504" t="str">
        <f t="shared" si="44"/>
        <v/>
      </c>
      <c r="T504" s="24" t="str">
        <f t="shared" si="45"/>
        <v/>
      </c>
    </row>
    <row r="505" spans="2:20" x14ac:dyDescent="0.4">
      <c r="B505" s="49" t="str" cm="1">
        <f t="array" ref="B505">IFERROR((INDEX($P$4:$T$1000,MATCH(VALUE(LEFT($A505,LEN($A505)-1)),$A$4:$A$1000,0),VALUE(RIGHT($A505,1)))/ INDEX($O$4:$O$1000,MATCH(VALUE(LEFT($A505,LEN($A505)-1)),$A$4:$A$1000))) * INDEX($B$4:$B$1000,MATCH(VALUE(LEFT($A505,LEN($A505)-1)),$A$4:$A$1000)),"")</f>
        <v/>
      </c>
      <c r="C505" s="2" t="str" cm="1">
        <f t="array" ref="C505">IFERROR(IF(INDEX($D$4:$H$1000,MATCH(VALUE(LEFT($A505,LEN($A505)-1)),$A$4:$A$1000,0),VALUE(RIGHT($A505,1)))= 0,"",INDEX($D$4:$H$1000,MATCH(VALUE(LEFT($A505,LEN($A505)-1)),$A$4:$A$1000,0),VALUE(RIGHT($A505,1)))),"")</f>
        <v/>
      </c>
      <c r="D505" s="23" t="str">
        <f>IFERROR(IF(INDEX(使用レシピ!F:F,MATCH(テンプレート!$C505,使用レシピ!$E:$E,0))&lt;&gt;0,INDEX(使用レシピ!F:F,MATCH(テンプレート!$C505,使用レシピ!$E:$E,0)),""),"")</f>
        <v/>
      </c>
      <c r="E505" t="str">
        <f>IFERROR(IF(INDEX(使用レシピ!G:G,MATCH(テンプレート!$C505,使用レシピ!$E:$E,0))&lt;&gt;0,INDEX(使用レシピ!G:G,MATCH(テンプレート!$C505,使用レシピ!$E:$E,0)),""),"")</f>
        <v/>
      </c>
      <c r="F505" t="str">
        <f>IFERROR(IF(INDEX(使用レシピ!H:H,MATCH(テンプレート!$C505,使用レシピ!$E:$E,0))&lt;&gt;0,INDEX(使用レシピ!H:H,MATCH(テンプレート!$C505,使用レシピ!$E:$E,0)),""),"")</f>
        <v/>
      </c>
      <c r="G505" t="str">
        <f>IFERROR(IF(INDEX(使用レシピ!I:I,MATCH(テンプレート!$C505,使用レシピ!$E:$E,0))&lt;&gt;0,INDEX(使用レシピ!I:I,MATCH(テンプレート!$C505,使用レシピ!$E:$E,0)),""),"")</f>
        <v/>
      </c>
      <c r="H505" s="24" t="str">
        <f>IFERROR(IF(INDEX(使用レシピ!J:J,MATCH(テンプレート!$C505,使用レシピ!$E:$E,0))&lt;&gt;0,INDEX(使用レシピ!J:J,MATCH(テンプレート!$C505,使用レシピ!$E:$E,0)),""),"")</f>
        <v/>
      </c>
      <c r="I505" s="36" t="str">
        <f>IFERROR(IF(INDEX(使用レシピ!P:P,MATCH(テンプレート!$C505,使用レシピ!$E:$E,0))&lt;&gt;0,INDEX(使用レシピ!P:P,MATCH(テンプレート!$C505,使用レシピ!$E:$E,0)),""),"")</f>
        <v/>
      </c>
      <c r="J505" t="str">
        <f>IFERROR(IF(INDEX(使用レシピ!K:K,MATCH(テンプレート!$C505,使用レシピ!$E:$E,0))&lt;&gt;0,INDEX(使用レシピ!K:K,MATCH(テンプレート!$C505,使用レシピ!$E:$E,0)),""),"")</f>
        <v/>
      </c>
      <c r="K505" t="str">
        <f>IFERROR(IF(INDEX(使用レシピ!L:L,MATCH(テンプレート!$C505,使用レシピ!$E:$E,0))&lt;&gt;0,INDEX(使用レシピ!L:L,MATCH(テンプレート!$C505,使用レシピ!$E:$E,0)),""),"")</f>
        <v/>
      </c>
      <c r="L505" t="str">
        <f>IFERROR(IF(INDEX(使用レシピ!M:M,MATCH(テンプレート!$C505,使用レシピ!$E:$E,0))&lt;&gt;0,INDEX(使用レシピ!M:M,MATCH(テンプレート!$C505,使用レシピ!$E:$E,0)),""),"")</f>
        <v/>
      </c>
      <c r="M505" t="str">
        <f>IFERROR(IF(INDEX(使用レシピ!N:N,MATCH(テンプレート!$C505,使用レシピ!$E:$E,0))&lt;&gt;0,INDEX(使用レシピ!N:N,MATCH(テンプレート!$C505,使用レシピ!$E:$E,0)),""),"")</f>
        <v/>
      </c>
      <c r="N505" s="24" t="str">
        <f>IFERROR(IF(INDEX(使用レシピ!O:O,MATCH(テンプレート!$C505,使用レシピ!$E:$E,0))&lt;&gt;0,INDEX(使用レシピ!O:O,MATCH(テンプレート!$C505,使用レシピ!$E:$E,0)),""),"")</f>
        <v/>
      </c>
      <c r="O505" s="36" t="str">
        <f>IFERROR(IF(INDEX(使用レシピ!P:P,MATCH(テンプレート!$C505,使用レシピ!$E:$E,0))&lt;&gt;0,INDEX(使用レシピ!P:P,MATCH(テンプレート!$C505,使用レシピ!$E:$E,0)),""),"")</f>
        <v/>
      </c>
      <c r="P505" t="str">
        <f t="shared" si="41"/>
        <v/>
      </c>
      <c r="Q505" t="str">
        <f t="shared" si="42"/>
        <v/>
      </c>
      <c r="R505" t="str">
        <f t="shared" si="43"/>
        <v/>
      </c>
      <c r="S505" t="str">
        <f t="shared" si="44"/>
        <v/>
      </c>
      <c r="T505" s="24" t="str">
        <f t="shared" si="45"/>
        <v/>
      </c>
    </row>
    <row r="506" spans="2:20" x14ac:dyDescent="0.4">
      <c r="B506" s="49" t="str" cm="1">
        <f t="array" ref="B506">IFERROR((INDEX($P$4:$T$1000,MATCH(VALUE(LEFT($A506,LEN($A506)-1)),$A$4:$A$1000,0),VALUE(RIGHT($A506,1)))/ INDEX($O$4:$O$1000,MATCH(VALUE(LEFT($A506,LEN($A506)-1)),$A$4:$A$1000))) * INDEX($B$4:$B$1000,MATCH(VALUE(LEFT($A506,LEN($A506)-1)),$A$4:$A$1000)),"")</f>
        <v/>
      </c>
      <c r="C506" s="2" t="str" cm="1">
        <f t="array" ref="C506">IFERROR(IF(INDEX($D$4:$H$1000,MATCH(VALUE(LEFT($A506,LEN($A506)-1)),$A$4:$A$1000,0),VALUE(RIGHT($A506,1)))= 0,"",INDEX($D$4:$H$1000,MATCH(VALUE(LEFT($A506,LEN($A506)-1)),$A$4:$A$1000,0),VALUE(RIGHT($A506,1)))),"")</f>
        <v/>
      </c>
      <c r="D506" s="23" t="str">
        <f>IFERROR(IF(INDEX(使用レシピ!F:F,MATCH(テンプレート!$C506,使用レシピ!$E:$E,0))&lt;&gt;0,INDEX(使用レシピ!F:F,MATCH(テンプレート!$C506,使用レシピ!$E:$E,0)),""),"")</f>
        <v/>
      </c>
      <c r="E506" t="str">
        <f>IFERROR(IF(INDEX(使用レシピ!G:G,MATCH(テンプレート!$C506,使用レシピ!$E:$E,0))&lt;&gt;0,INDEX(使用レシピ!G:G,MATCH(テンプレート!$C506,使用レシピ!$E:$E,0)),""),"")</f>
        <v/>
      </c>
      <c r="F506" t="str">
        <f>IFERROR(IF(INDEX(使用レシピ!H:H,MATCH(テンプレート!$C506,使用レシピ!$E:$E,0))&lt;&gt;0,INDEX(使用レシピ!H:H,MATCH(テンプレート!$C506,使用レシピ!$E:$E,0)),""),"")</f>
        <v/>
      </c>
      <c r="G506" t="str">
        <f>IFERROR(IF(INDEX(使用レシピ!I:I,MATCH(テンプレート!$C506,使用レシピ!$E:$E,0))&lt;&gt;0,INDEX(使用レシピ!I:I,MATCH(テンプレート!$C506,使用レシピ!$E:$E,0)),""),"")</f>
        <v/>
      </c>
      <c r="H506" s="24" t="str">
        <f>IFERROR(IF(INDEX(使用レシピ!J:J,MATCH(テンプレート!$C506,使用レシピ!$E:$E,0))&lt;&gt;0,INDEX(使用レシピ!J:J,MATCH(テンプレート!$C506,使用レシピ!$E:$E,0)),""),"")</f>
        <v/>
      </c>
      <c r="I506" s="36" t="str">
        <f>IFERROR(IF(INDEX(使用レシピ!P:P,MATCH(テンプレート!$C506,使用レシピ!$E:$E,0))&lt;&gt;0,INDEX(使用レシピ!P:P,MATCH(テンプレート!$C506,使用レシピ!$E:$E,0)),""),"")</f>
        <v/>
      </c>
      <c r="J506" t="str">
        <f>IFERROR(IF(INDEX(使用レシピ!K:K,MATCH(テンプレート!$C506,使用レシピ!$E:$E,0))&lt;&gt;0,INDEX(使用レシピ!K:K,MATCH(テンプレート!$C506,使用レシピ!$E:$E,0)),""),"")</f>
        <v/>
      </c>
      <c r="K506" t="str">
        <f>IFERROR(IF(INDEX(使用レシピ!L:L,MATCH(テンプレート!$C506,使用レシピ!$E:$E,0))&lt;&gt;0,INDEX(使用レシピ!L:L,MATCH(テンプレート!$C506,使用レシピ!$E:$E,0)),""),"")</f>
        <v/>
      </c>
      <c r="L506" t="str">
        <f>IFERROR(IF(INDEX(使用レシピ!M:M,MATCH(テンプレート!$C506,使用レシピ!$E:$E,0))&lt;&gt;0,INDEX(使用レシピ!M:M,MATCH(テンプレート!$C506,使用レシピ!$E:$E,0)),""),"")</f>
        <v/>
      </c>
      <c r="M506" t="str">
        <f>IFERROR(IF(INDEX(使用レシピ!N:N,MATCH(テンプレート!$C506,使用レシピ!$E:$E,0))&lt;&gt;0,INDEX(使用レシピ!N:N,MATCH(テンプレート!$C506,使用レシピ!$E:$E,0)),""),"")</f>
        <v/>
      </c>
      <c r="N506" s="24" t="str">
        <f>IFERROR(IF(INDEX(使用レシピ!O:O,MATCH(テンプレート!$C506,使用レシピ!$E:$E,0))&lt;&gt;0,INDEX(使用レシピ!O:O,MATCH(テンプレート!$C506,使用レシピ!$E:$E,0)),""),"")</f>
        <v/>
      </c>
      <c r="O506" s="36" t="str">
        <f>IFERROR(IF(INDEX(使用レシピ!P:P,MATCH(テンプレート!$C506,使用レシピ!$E:$E,0))&lt;&gt;0,INDEX(使用レシピ!P:P,MATCH(テンプレート!$C506,使用レシピ!$E:$E,0)),""),"")</f>
        <v/>
      </c>
      <c r="P506" t="str">
        <f t="shared" si="41"/>
        <v/>
      </c>
      <c r="Q506" t="str">
        <f t="shared" si="42"/>
        <v/>
      </c>
      <c r="R506" t="str">
        <f t="shared" si="43"/>
        <v/>
      </c>
      <c r="S506" t="str">
        <f t="shared" si="44"/>
        <v/>
      </c>
      <c r="T506" s="24" t="str">
        <f t="shared" si="45"/>
        <v/>
      </c>
    </row>
    <row r="507" spans="2:20" x14ac:dyDescent="0.4">
      <c r="B507" s="49" t="str" cm="1">
        <f t="array" ref="B507">IFERROR((INDEX($P$4:$T$1000,MATCH(VALUE(LEFT($A507,LEN($A507)-1)),$A$4:$A$1000,0),VALUE(RIGHT($A507,1)))/ INDEX($O$4:$O$1000,MATCH(VALUE(LEFT($A507,LEN($A507)-1)),$A$4:$A$1000))) * INDEX($B$4:$B$1000,MATCH(VALUE(LEFT($A507,LEN($A507)-1)),$A$4:$A$1000)),"")</f>
        <v/>
      </c>
      <c r="C507" s="2" t="str" cm="1">
        <f t="array" ref="C507">IFERROR(IF(INDEX($D$4:$H$1000,MATCH(VALUE(LEFT($A507,LEN($A507)-1)),$A$4:$A$1000,0),VALUE(RIGHT($A507,1)))= 0,"",INDEX($D$4:$H$1000,MATCH(VALUE(LEFT($A507,LEN($A507)-1)),$A$4:$A$1000,0),VALUE(RIGHT($A507,1)))),"")</f>
        <v/>
      </c>
      <c r="D507" s="23" t="str">
        <f>IFERROR(IF(INDEX(使用レシピ!F:F,MATCH(テンプレート!$C507,使用レシピ!$E:$E,0))&lt;&gt;0,INDEX(使用レシピ!F:F,MATCH(テンプレート!$C507,使用レシピ!$E:$E,0)),""),"")</f>
        <v/>
      </c>
      <c r="E507" t="str">
        <f>IFERROR(IF(INDEX(使用レシピ!G:G,MATCH(テンプレート!$C507,使用レシピ!$E:$E,0))&lt;&gt;0,INDEX(使用レシピ!G:G,MATCH(テンプレート!$C507,使用レシピ!$E:$E,0)),""),"")</f>
        <v/>
      </c>
      <c r="F507" t="str">
        <f>IFERROR(IF(INDEX(使用レシピ!H:H,MATCH(テンプレート!$C507,使用レシピ!$E:$E,0))&lt;&gt;0,INDEX(使用レシピ!H:H,MATCH(テンプレート!$C507,使用レシピ!$E:$E,0)),""),"")</f>
        <v/>
      </c>
      <c r="G507" t="str">
        <f>IFERROR(IF(INDEX(使用レシピ!I:I,MATCH(テンプレート!$C507,使用レシピ!$E:$E,0))&lt;&gt;0,INDEX(使用レシピ!I:I,MATCH(テンプレート!$C507,使用レシピ!$E:$E,0)),""),"")</f>
        <v/>
      </c>
      <c r="H507" s="24" t="str">
        <f>IFERROR(IF(INDEX(使用レシピ!J:J,MATCH(テンプレート!$C507,使用レシピ!$E:$E,0))&lt;&gt;0,INDEX(使用レシピ!J:J,MATCH(テンプレート!$C507,使用レシピ!$E:$E,0)),""),"")</f>
        <v/>
      </c>
      <c r="I507" s="36" t="str">
        <f>IFERROR(IF(INDEX(使用レシピ!P:P,MATCH(テンプレート!$C507,使用レシピ!$E:$E,0))&lt;&gt;0,INDEX(使用レシピ!P:P,MATCH(テンプレート!$C507,使用レシピ!$E:$E,0)),""),"")</f>
        <v/>
      </c>
      <c r="J507" t="str">
        <f>IFERROR(IF(INDEX(使用レシピ!K:K,MATCH(テンプレート!$C507,使用レシピ!$E:$E,0))&lt;&gt;0,INDEX(使用レシピ!K:K,MATCH(テンプレート!$C507,使用レシピ!$E:$E,0)),""),"")</f>
        <v/>
      </c>
      <c r="K507" t="str">
        <f>IFERROR(IF(INDEX(使用レシピ!L:L,MATCH(テンプレート!$C507,使用レシピ!$E:$E,0))&lt;&gt;0,INDEX(使用レシピ!L:L,MATCH(テンプレート!$C507,使用レシピ!$E:$E,0)),""),"")</f>
        <v/>
      </c>
      <c r="L507" t="str">
        <f>IFERROR(IF(INDEX(使用レシピ!M:M,MATCH(テンプレート!$C507,使用レシピ!$E:$E,0))&lt;&gt;0,INDEX(使用レシピ!M:M,MATCH(テンプレート!$C507,使用レシピ!$E:$E,0)),""),"")</f>
        <v/>
      </c>
      <c r="M507" t="str">
        <f>IFERROR(IF(INDEX(使用レシピ!N:N,MATCH(テンプレート!$C507,使用レシピ!$E:$E,0))&lt;&gt;0,INDEX(使用レシピ!N:N,MATCH(テンプレート!$C507,使用レシピ!$E:$E,0)),""),"")</f>
        <v/>
      </c>
      <c r="N507" s="24" t="str">
        <f>IFERROR(IF(INDEX(使用レシピ!O:O,MATCH(テンプレート!$C507,使用レシピ!$E:$E,0))&lt;&gt;0,INDEX(使用レシピ!O:O,MATCH(テンプレート!$C507,使用レシピ!$E:$E,0)),""),"")</f>
        <v/>
      </c>
      <c r="O507" s="36" t="str">
        <f>IFERROR(IF(INDEX(使用レシピ!P:P,MATCH(テンプレート!$C507,使用レシピ!$E:$E,0))&lt;&gt;0,INDEX(使用レシピ!P:P,MATCH(テンプレート!$C507,使用レシピ!$E:$E,0)),""),"")</f>
        <v/>
      </c>
      <c r="P507" t="str">
        <f t="shared" si="41"/>
        <v/>
      </c>
      <c r="Q507" t="str">
        <f t="shared" si="42"/>
        <v/>
      </c>
      <c r="R507" t="str">
        <f t="shared" si="43"/>
        <v/>
      </c>
      <c r="S507" t="str">
        <f t="shared" si="44"/>
        <v/>
      </c>
      <c r="T507" s="24" t="str">
        <f t="shared" si="45"/>
        <v/>
      </c>
    </row>
    <row r="508" spans="2:20" x14ac:dyDescent="0.4">
      <c r="B508" s="49" t="str" cm="1">
        <f t="array" ref="B508">IFERROR((INDEX($P$4:$T$1000,MATCH(VALUE(LEFT($A508,LEN($A508)-1)),$A$4:$A$1000,0),VALUE(RIGHT($A508,1)))/ INDEX($O$4:$O$1000,MATCH(VALUE(LEFT($A508,LEN($A508)-1)),$A$4:$A$1000))) * INDEX($B$4:$B$1000,MATCH(VALUE(LEFT($A508,LEN($A508)-1)),$A$4:$A$1000)),"")</f>
        <v/>
      </c>
      <c r="C508" s="2" t="str" cm="1">
        <f t="array" ref="C508">IFERROR(IF(INDEX($D$4:$H$1000,MATCH(VALUE(LEFT($A508,LEN($A508)-1)),$A$4:$A$1000,0),VALUE(RIGHT($A508,1)))= 0,"",INDEX($D$4:$H$1000,MATCH(VALUE(LEFT($A508,LEN($A508)-1)),$A$4:$A$1000,0),VALUE(RIGHT($A508,1)))),"")</f>
        <v/>
      </c>
      <c r="D508" s="23" t="str">
        <f>IFERROR(IF(INDEX(使用レシピ!F:F,MATCH(テンプレート!$C508,使用レシピ!$E:$E,0))&lt;&gt;0,INDEX(使用レシピ!F:F,MATCH(テンプレート!$C508,使用レシピ!$E:$E,0)),""),"")</f>
        <v/>
      </c>
      <c r="E508" t="str">
        <f>IFERROR(IF(INDEX(使用レシピ!G:G,MATCH(テンプレート!$C508,使用レシピ!$E:$E,0))&lt;&gt;0,INDEX(使用レシピ!G:G,MATCH(テンプレート!$C508,使用レシピ!$E:$E,0)),""),"")</f>
        <v/>
      </c>
      <c r="F508" t="str">
        <f>IFERROR(IF(INDEX(使用レシピ!H:H,MATCH(テンプレート!$C508,使用レシピ!$E:$E,0))&lt;&gt;0,INDEX(使用レシピ!H:H,MATCH(テンプレート!$C508,使用レシピ!$E:$E,0)),""),"")</f>
        <v/>
      </c>
      <c r="G508" t="str">
        <f>IFERROR(IF(INDEX(使用レシピ!I:I,MATCH(テンプレート!$C508,使用レシピ!$E:$E,0))&lt;&gt;0,INDEX(使用レシピ!I:I,MATCH(テンプレート!$C508,使用レシピ!$E:$E,0)),""),"")</f>
        <v/>
      </c>
      <c r="H508" s="24" t="str">
        <f>IFERROR(IF(INDEX(使用レシピ!J:J,MATCH(テンプレート!$C508,使用レシピ!$E:$E,0))&lt;&gt;0,INDEX(使用レシピ!J:J,MATCH(テンプレート!$C508,使用レシピ!$E:$E,0)),""),"")</f>
        <v/>
      </c>
      <c r="I508" s="36" t="str">
        <f>IFERROR(IF(INDEX(使用レシピ!P:P,MATCH(テンプレート!$C508,使用レシピ!$E:$E,0))&lt;&gt;0,INDEX(使用レシピ!P:P,MATCH(テンプレート!$C508,使用レシピ!$E:$E,0)),""),"")</f>
        <v/>
      </c>
      <c r="J508" t="str">
        <f>IFERROR(IF(INDEX(使用レシピ!K:K,MATCH(テンプレート!$C508,使用レシピ!$E:$E,0))&lt;&gt;0,INDEX(使用レシピ!K:K,MATCH(テンプレート!$C508,使用レシピ!$E:$E,0)),""),"")</f>
        <v/>
      </c>
      <c r="K508" t="str">
        <f>IFERROR(IF(INDEX(使用レシピ!L:L,MATCH(テンプレート!$C508,使用レシピ!$E:$E,0))&lt;&gt;0,INDEX(使用レシピ!L:L,MATCH(テンプレート!$C508,使用レシピ!$E:$E,0)),""),"")</f>
        <v/>
      </c>
      <c r="L508" t="str">
        <f>IFERROR(IF(INDEX(使用レシピ!M:M,MATCH(テンプレート!$C508,使用レシピ!$E:$E,0))&lt;&gt;0,INDEX(使用レシピ!M:M,MATCH(テンプレート!$C508,使用レシピ!$E:$E,0)),""),"")</f>
        <v/>
      </c>
      <c r="M508" t="str">
        <f>IFERROR(IF(INDEX(使用レシピ!N:N,MATCH(テンプレート!$C508,使用レシピ!$E:$E,0))&lt;&gt;0,INDEX(使用レシピ!N:N,MATCH(テンプレート!$C508,使用レシピ!$E:$E,0)),""),"")</f>
        <v/>
      </c>
      <c r="N508" s="24" t="str">
        <f>IFERROR(IF(INDEX(使用レシピ!O:O,MATCH(テンプレート!$C508,使用レシピ!$E:$E,0))&lt;&gt;0,INDEX(使用レシピ!O:O,MATCH(テンプレート!$C508,使用レシピ!$E:$E,0)),""),"")</f>
        <v/>
      </c>
      <c r="O508" s="36" t="str">
        <f>IFERROR(IF(INDEX(使用レシピ!P:P,MATCH(テンプレート!$C508,使用レシピ!$E:$E,0))&lt;&gt;0,INDEX(使用レシピ!P:P,MATCH(テンプレート!$C508,使用レシピ!$E:$E,0)),""),"")</f>
        <v/>
      </c>
      <c r="P508" t="str">
        <f t="shared" si="41"/>
        <v/>
      </c>
      <c r="Q508" t="str">
        <f t="shared" si="42"/>
        <v/>
      </c>
      <c r="R508" t="str">
        <f t="shared" si="43"/>
        <v/>
      </c>
      <c r="S508" t="str">
        <f t="shared" si="44"/>
        <v/>
      </c>
      <c r="T508" s="24" t="str">
        <f t="shared" si="45"/>
        <v/>
      </c>
    </row>
    <row r="509" spans="2:20" x14ac:dyDescent="0.4">
      <c r="B509" s="49" t="str" cm="1">
        <f t="array" ref="B509">IFERROR((INDEX($P$4:$T$1000,MATCH(VALUE(LEFT($A509,LEN($A509)-1)),$A$4:$A$1000,0),VALUE(RIGHT($A509,1)))/ INDEX($O$4:$O$1000,MATCH(VALUE(LEFT($A509,LEN($A509)-1)),$A$4:$A$1000))) * INDEX($B$4:$B$1000,MATCH(VALUE(LEFT($A509,LEN($A509)-1)),$A$4:$A$1000)),"")</f>
        <v/>
      </c>
      <c r="C509" s="2" t="str" cm="1">
        <f t="array" ref="C509">IFERROR(IF(INDEX($D$4:$H$1000,MATCH(VALUE(LEFT($A509,LEN($A509)-1)),$A$4:$A$1000,0),VALUE(RIGHT($A509,1)))= 0,"",INDEX($D$4:$H$1000,MATCH(VALUE(LEFT($A509,LEN($A509)-1)),$A$4:$A$1000,0),VALUE(RIGHT($A509,1)))),"")</f>
        <v/>
      </c>
      <c r="D509" s="23" t="str">
        <f>IFERROR(IF(INDEX(使用レシピ!F:F,MATCH(テンプレート!$C509,使用レシピ!$E:$E,0))&lt;&gt;0,INDEX(使用レシピ!F:F,MATCH(テンプレート!$C509,使用レシピ!$E:$E,0)),""),"")</f>
        <v/>
      </c>
      <c r="E509" t="str">
        <f>IFERROR(IF(INDEX(使用レシピ!G:G,MATCH(テンプレート!$C509,使用レシピ!$E:$E,0))&lt;&gt;0,INDEX(使用レシピ!G:G,MATCH(テンプレート!$C509,使用レシピ!$E:$E,0)),""),"")</f>
        <v/>
      </c>
      <c r="F509" t="str">
        <f>IFERROR(IF(INDEX(使用レシピ!H:H,MATCH(テンプレート!$C509,使用レシピ!$E:$E,0))&lt;&gt;0,INDEX(使用レシピ!H:H,MATCH(テンプレート!$C509,使用レシピ!$E:$E,0)),""),"")</f>
        <v/>
      </c>
      <c r="G509" t="str">
        <f>IFERROR(IF(INDEX(使用レシピ!I:I,MATCH(テンプレート!$C509,使用レシピ!$E:$E,0))&lt;&gt;0,INDEX(使用レシピ!I:I,MATCH(テンプレート!$C509,使用レシピ!$E:$E,0)),""),"")</f>
        <v/>
      </c>
      <c r="H509" s="24" t="str">
        <f>IFERROR(IF(INDEX(使用レシピ!J:J,MATCH(テンプレート!$C509,使用レシピ!$E:$E,0))&lt;&gt;0,INDEX(使用レシピ!J:J,MATCH(テンプレート!$C509,使用レシピ!$E:$E,0)),""),"")</f>
        <v/>
      </c>
      <c r="I509" s="36" t="str">
        <f>IFERROR(IF(INDEX(使用レシピ!P:P,MATCH(テンプレート!$C509,使用レシピ!$E:$E,0))&lt;&gt;0,INDEX(使用レシピ!P:P,MATCH(テンプレート!$C509,使用レシピ!$E:$E,0)),""),"")</f>
        <v/>
      </c>
      <c r="J509" t="str">
        <f>IFERROR(IF(INDEX(使用レシピ!K:K,MATCH(テンプレート!$C509,使用レシピ!$E:$E,0))&lt;&gt;0,INDEX(使用レシピ!K:K,MATCH(テンプレート!$C509,使用レシピ!$E:$E,0)),""),"")</f>
        <v/>
      </c>
      <c r="K509" t="str">
        <f>IFERROR(IF(INDEX(使用レシピ!L:L,MATCH(テンプレート!$C509,使用レシピ!$E:$E,0))&lt;&gt;0,INDEX(使用レシピ!L:L,MATCH(テンプレート!$C509,使用レシピ!$E:$E,0)),""),"")</f>
        <v/>
      </c>
      <c r="L509" t="str">
        <f>IFERROR(IF(INDEX(使用レシピ!M:M,MATCH(テンプレート!$C509,使用レシピ!$E:$E,0))&lt;&gt;0,INDEX(使用レシピ!M:M,MATCH(テンプレート!$C509,使用レシピ!$E:$E,0)),""),"")</f>
        <v/>
      </c>
      <c r="M509" t="str">
        <f>IFERROR(IF(INDEX(使用レシピ!N:N,MATCH(テンプレート!$C509,使用レシピ!$E:$E,0))&lt;&gt;0,INDEX(使用レシピ!N:N,MATCH(テンプレート!$C509,使用レシピ!$E:$E,0)),""),"")</f>
        <v/>
      </c>
      <c r="N509" s="24" t="str">
        <f>IFERROR(IF(INDEX(使用レシピ!O:O,MATCH(テンプレート!$C509,使用レシピ!$E:$E,0))&lt;&gt;0,INDEX(使用レシピ!O:O,MATCH(テンプレート!$C509,使用レシピ!$E:$E,0)),""),"")</f>
        <v/>
      </c>
      <c r="O509" s="36" t="str">
        <f>IFERROR(IF(INDEX(使用レシピ!P:P,MATCH(テンプレート!$C509,使用レシピ!$E:$E,0))&lt;&gt;0,INDEX(使用レシピ!P:P,MATCH(テンプレート!$C509,使用レシピ!$E:$E,0)),""),"")</f>
        <v/>
      </c>
      <c r="P509" t="str">
        <f t="shared" si="41"/>
        <v/>
      </c>
      <c r="Q509" t="str">
        <f t="shared" si="42"/>
        <v/>
      </c>
      <c r="R509" t="str">
        <f t="shared" si="43"/>
        <v/>
      </c>
      <c r="S509" t="str">
        <f t="shared" si="44"/>
        <v/>
      </c>
      <c r="T509" s="24" t="str">
        <f t="shared" si="45"/>
        <v/>
      </c>
    </row>
    <row r="510" spans="2:20" x14ac:dyDescent="0.4">
      <c r="B510" s="49" t="str" cm="1">
        <f t="array" ref="B510">IFERROR((INDEX($P$4:$T$1000,MATCH(VALUE(LEFT($A510,LEN($A510)-1)),$A$4:$A$1000,0),VALUE(RIGHT($A510,1)))/ INDEX($O$4:$O$1000,MATCH(VALUE(LEFT($A510,LEN($A510)-1)),$A$4:$A$1000))) * INDEX($B$4:$B$1000,MATCH(VALUE(LEFT($A510,LEN($A510)-1)),$A$4:$A$1000)),"")</f>
        <v/>
      </c>
      <c r="C510" s="2" t="str" cm="1">
        <f t="array" ref="C510">IFERROR(IF(INDEX($D$4:$H$1000,MATCH(VALUE(LEFT($A510,LEN($A510)-1)),$A$4:$A$1000,0),VALUE(RIGHT($A510,1)))= 0,"",INDEX($D$4:$H$1000,MATCH(VALUE(LEFT($A510,LEN($A510)-1)),$A$4:$A$1000,0),VALUE(RIGHT($A510,1)))),"")</f>
        <v/>
      </c>
      <c r="D510" s="23" t="str">
        <f>IFERROR(IF(INDEX(使用レシピ!F:F,MATCH(テンプレート!$C510,使用レシピ!$E:$E,0))&lt;&gt;0,INDEX(使用レシピ!F:F,MATCH(テンプレート!$C510,使用レシピ!$E:$E,0)),""),"")</f>
        <v/>
      </c>
      <c r="E510" t="str">
        <f>IFERROR(IF(INDEX(使用レシピ!G:G,MATCH(テンプレート!$C510,使用レシピ!$E:$E,0))&lt;&gt;0,INDEX(使用レシピ!G:G,MATCH(テンプレート!$C510,使用レシピ!$E:$E,0)),""),"")</f>
        <v/>
      </c>
      <c r="F510" t="str">
        <f>IFERROR(IF(INDEX(使用レシピ!H:H,MATCH(テンプレート!$C510,使用レシピ!$E:$E,0))&lt;&gt;0,INDEX(使用レシピ!H:H,MATCH(テンプレート!$C510,使用レシピ!$E:$E,0)),""),"")</f>
        <v/>
      </c>
      <c r="G510" t="str">
        <f>IFERROR(IF(INDEX(使用レシピ!I:I,MATCH(テンプレート!$C510,使用レシピ!$E:$E,0))&lt;&gt;0,INDEX(使用レシピ!I:I,MATCH(テンプレート!$C510,使用レシピ!$E:$E,0)),""),"")</f>
        <v/>
      </c>
      <c r="H510" s="24" t="str">
        <f>IFERROR(IF(INDEX(使用レシピ!J:J,MATCH(テンプレート!$C510,使用レシピ!$E:$E,0))&lt;&gt;0,INDEX(使用レシピ!J:J,MATCH(テンプレート!$C510,使用レシピ!$E:$E,0)),""),"")</f>
        <v/>
      </c>
      <c r="I510" s="36" t="str">
        <f>IFERROR(IF(INDEX(使用レシピ!P:P,MATCH(テンプレート!$C510,使用レシピ!$E:$E,0))&lt;&gt;0,INDEX(使用レシピ!P:P,MATCH(テンプレート!$C510,使用レシピ!$E:$E,0)),""),"")</f>
        <v/>
      </c>
      <c r="J510" t="str">
        <f>IFERROR(IF(INDEX(使用レシピ!K:K,MATCH(テンプレート!$C510,使用レシピ!$E:$E,0))&lt;&gt;0,INDEX(使用レシピ!K:K,MATCH(テンプレート!$C510,使用レシピ!$E:$E,0)),""),"")</f>
        <v/>
      </c>
      <c r="K510" t="str">
        <f>IFERROR(IF(INDEX(使用レシピ!L:L,MATCH(テンプレート!$C510,使用レシピ!$E:$E,0))&lt;&gt;0,INDEX(使用レシピ!L:L,MATCH(テンプレート!$C510,使用レシピ!$E:$E,0)),""),"")</f>
        <v/>
      </c>
      <c r="L510" t="str">
        <f>IFERROR(IF(INDEX(使用レシピ!M:M,MATCH(テンプレート!$C510,使用レシピ!$E:$E,0))&lt;&gt;0,INDEX(使用レシピ!M:M,MATCH(テンプレート!$C510,使用レシピ!$E:$E,0)),""),"")</f>
        <v/>
      </c>
      <c r="M510" t="str">
        <f>IFERROR(IF(INDEX(使用レシピ!N:N,MATCH(テンプレート!$C510,使用レシピ!$E:$E,0))&lt;&gt;0,INDEX(使用レシピ!N:N,MATCH(テンプレート!$C510,使用レシピ!$E:$E,0)),""),"")</f>
        <v/>
      </c>
      <c r="N510" s="24" t="str">
        <f>IFERROR(IF(INDEX(使用レシピ!O:O,MATCH(テンプレート!$C510,使用レシピ!$E:$E,0))&lt;&gt;0,INDEX(使用レシピ!O:O,MATCH(テンプレート!$C510,使用レシピ!$E:$E,0)),""),"")</f>
        <v/>
      </c>
      <c r="O510" s="36" t="str">
        <f>IFERROR(IF(INDEX(使用レシピ!P:P,MATCH(テンプレート!$C510,使用レシピ!$E:$E,0))&lt;&gt;0,INDEX(使用レシピ!P:P,MATCH(テンプレート!$C510,使用レシピ!$E:$E,0)),""),"")</f>
        <v/>
      </c>
      <c r="P510" t="str">
        <f t="shared" si="41"/>
        <v/>
      </c>
      <c r="Q510" t="str">
        <f t="shared" si="42"/>
        <v/>
      </c>
      <c r="R510" t="str">
        <f t="shared" si="43"/>
        <v/>
      </c>
      <c r="S510" t="str">
        <f t="shared" si="44"/>
        <v/>
      </c>
      <c r="T510" s="24" t="str">
        <f t="shared" si="45"/>
        <v/>
      </c>
    </row>
    <row r="511" spans="2:20" x14ac:dyDescent="0.4">
      <c r="B511" s="49" t="str" cm="1">
        <f t="array" ref="B511">IFERROR((INDEX($P$4:$T$1000,MATCH(VALUE(LEFT($A511,LEN($A511)-1)),$A$4:$A$1000,0),VALUE(RIGHT($A511,1)))/ INDEX($O$4:$O$1000,MATCH(VALUE(LEFT($A511,LEN($A511)-1)),$A$4:$A$1000))) * INDEX($B$4:$B$1000,MATCH(VALUE(LEFT($A511,LEN($A511)-1)),$A$4:$A$1000)),"")</f>
        <v/>
      </c>
      <c r="C511" s="2" t="str" cm="1">
        <f t="array" ref="C511">IFERROR(IF(INDEX($D$4:$H$1000,MATCH(VALUE(LEFT($A511,LEN($A511)-1)),$A$4:$A$1000,0),VALUE(RIGHT($A511,1)))= 0,"",INDEX($D$4:$H$1000,MATCH(VALUE(LEFT($A511,LEN($A511)-1)),$A$4:$A$1000,0),VALUE(RIGHT($A511,1)))),"")</f>
        <v/>
      </c>
      <c r="D511" s="23" t="str">
        <f>IFERROR(IF(INDEX(使用レシピ!F:F,MATCH(テンプレート!$C511,使用レシピ!$E:$E,0))&lt;&gt;0,INDEX(使用レシピ!F:F,MATCH(テンプレート!$C511,使用レシピ!$E:$E,0)),""),"")</f>
        <v/>
      </c>
      <c r="E511" t="str">
        <f>IFERROR(IF(INDEX(使用レシピ!G:G,MATCH(テンプレート!$C511,使用レシピ!$E:$E,0))&lt;&gt;0,INDEX(使用レシピ!G:G,MATCH(テンプレート!$C511,使用レシピ!$E:$E,0)),""),"")</f>
        <v/>
      </c>
      <c r="F511" t="str">
        <f>IFERROR(IF(INDEX(使用レシピ!H:H,MATCH(テンプレート!$C511,使用レシピ!$E:$E,0))&lt;&gt;0,INDEX(使用レシピ!H:H,MATCH(テンプレート!$C511,使用レシピ!$E:$E,0)),""),"")</f>
        <v/>
      </c>
      <c r="G511" t="str">
        <f>IFERROR(IF(INDEX(使用レシピ!I:I,MATCH(テンプレート!$C511,使用レシピ!$E:$E,0))&lt;&gt;0,INDEX(使用レシピ!I:I,MATCH(テンプレート!$C511,使用レシピ!$E:$E,0)),""),"")</f>
        <v/>
      </c>
      <c r="H511" s="24" t="str">
        <f>IFERROR(IF(INDEX(使用レシピ!J:J,MATCH(テンプレート!$C511,使用レシピ!$E:$E,0))&lt;&gt;0,INDEX(使用レシピ!J:J,MATCH(テンプレート!$C511,使用レシピ!$E:$E,0)),""),"")</f>
        <v/>
      </c>
      <c r="I511" s="36" t="str">
        <f>IFERROR(IF(INDEX(使用レシピ!P:P,MATCH(テンプレート!$C511,使用レシピ!$E:$E,0))&lt;&gt;0,INDEX(使用レシピ!P:P,MATCH(テンプレート!$C511,使用レシピ!$E:$E,0)),""),"")</f>
        <v/>
      </c>
      <c r="J511" t="str">
        <f>IFERROR(IF(INDEX(使用レシピ!K:K,MATCH(テンプレート!$C511,使用レシピ!$E:$E,0))&lt;&gt;0,INDEX(使用レシピ!K:K,MATCH(テンプレート!$C511,使用レシピ!$E:$E,0)),""),"")</f>
        <v/>
      </c>
      <c r="K511" t="str">
        <f>IFERROR(IF(INDEX(使用レシピ!L:L,MATCH(テンプレート!$C511,使用レシピ!$E:$E,0))&lt;&gt;0,INDEX(使用レシピ!L:L,MATCH(テンプレート!$C511,使用レシピ!$E:$E,0)),""),"")</f>
        <v/>
      </c>
      <c r="L511" t="str">
        <f>IFERROR(IF(INDEX(使用レシピ!M:M,MATCH(テンプレート!$C511,使用レシピ!$E:$E,0))&lt;&gt;0,INDEX(使用レシピ!M:M,MATCH(テンプレート!$C511,使用レシピ!$E:$E,0)),""),"")</f>
        <v/>
      </c>
      <c r="M511" t="str">
        <f>IFERROR(IF(INDEX(使用レシピ!N:N,MATCH(テンプレート!$C511,使用レシピ!$E:$E,0))&lt;&gt;0,INDEX(使用レシピ!N:N,MATCH(テンプレート!$C511,使用レシピ!$E:$E,0)),""),"")</f>
        <v/>
      </c>
      <c r="N511" s="24" t="str">
        <f>IFERROR(IF(INDEX(使用レシピ!O:O,MATCH(テンプレート!$C511,使用レシピ!$E:$E,0))&lt;&gt;0,INDEX(使用レシピ!O:O,MATCH(テンプレート!$C511,使用レシピ!$E:$E,0)),""),"")</f>
        <v/>
      </c>
      <c r="O511" s="36" t="str">
        <f>IFERROR(IF(INDEX(使用レシピ!P:P,MATCH(テンプレート!$C511,使用レシピ!$E:$E,0))&lt;&gt;0,INDEX(使用レシピ!P:P,MATCH(テンプレート!$C511,使用レシピ!$E:$E,0)),""),"")</f>
        <v/>
      </c>
      <c r="P511" t="str">
        <f t="shared" si="41"/>
        <v/>
      </c>
      <c r="Q511" t="str">
        <f t="shared" si="42"/>
        <v/>
      </c>
      <c r="R511" t="str">
        <f t="shared" si="43"/>
        <v/>
      </c>
      <c r="S511" t="str">
        <f t="shared" si="44"/>
        <v/>
      </c>
      <c r="T511" s="24" t="str">
        <f t="shared" si="45"/>
        <v/>
      </c>
    </row>
    <row r="512" spans="2:20" x14ac:dyDescent="0.4">
      <c r="B512" s="49" t="str" cm="1">
        <f t="array" ref="B512">IFERROR((INDEX($P$4:$T$1000,MATCH(VALUE(LEFT($A512,LEN($A512)-1)),$A$4:$A$1000,0),VALUE(RIGHT($A512,1)))/ INDEX($O$4:$O$1000,MATCH(VALUE(LEFT($A512,LEN($A512)-1)),$A$4:$A$1000))) * INDEX($B$4:$B$1000,MATCH(VALUE(LEFT($A512,LEN($A512)-1)),$A$4:$A$1000)),"")</f>
        <v/>
      </c>
      <c r="C512" s="2" t="str" cm="1">
        <f t="array" ref="C512">IFERROR(IF(INDEX($D$4:$H$1000,MATCH(VALUE(LEFT($A512,LEN($A512)-1)),$A$4:$A$1000,0),VALUE(RIGHT($A512,1)))= 0,"",INDEX($D$4:$H$1000,MATCH(VALUE(LEFT($A512,LEN($A512)-1)),$A$4:$A$1000,0),VALUE(RIGHT($A512,1)))),"")</f>
        <v/>
      </c>
      <c r="D512" s="23" t="str">
        <f>IFERROR(IF(INDEX(使用レシピ!F:F,MATCH(テンプレート!$C512,使用レシピ!$E:$E,0))&lt;&gt;0,INDEX(使用レシピ!F:F,MATCH(テンプレート!$C512,使用レシピ!$E:$E,0)),""),"")</f>
        <v/>
      </c>
      <c r="E512" t="str">
        <f>IFERROR(IF(INDEX(使用レシピ!G:G,MATCH(テンプレート!$C512,使用レシピ!$E:$E,0))&lt;&gt;0,INDEX(使用レシピ!G:G,MATCH(テンプレート!$C512,使用レシピ!$E:$E,0)),""),"")</f>
        <v/>
      </c>
      <c r="F512" t="str">
        <f>IFERROR(IF(INDEX(使用レシピ!H:H,MATCH(テンプレート!$C512,使用レシピ!$E:$E,0))&lt;&gt;0,INDEX(使用レシピ!H:H,MATCH(テンプレート!$C512,使用レシピ!$E:$E,0)),""),"")</f>
        <v/>
      </c>
      <c r="G512" t="str">
        <f>IFERROR(IF(INDEX(使用レシピ!I:I,MATCH(テンプレート!$C512,使用レシピ!$E:$E,0))&lt;&gt;0,INDEX(使用レシピ!I:I,MATCH(テンプレート!$C512,使用レシピ!$E:$E,0)),""),"")</f>
        <v/>
      </c>
      <c r="H512" s="24" t="str">
        <f>IFERROR(IF(INDEX(使用レシピ!J:J,MATCH(テンプレート!$C512,使用レシピ!$E:$E,0))&lt;&gt;0,INDEX(使用レシピ!J:J,MATCH(テンプレート!$C512,使用レシピ!$E:$E,0)),""),"")</f>
        <v/>
      </c>
      <c r="I512" s="36" t="str">
        <f>IFERROR(IF(INDEX(使用レシピ!P:P,MATCH(テンプレート!$C512,使用レシピ!$E:$E,0))&lt;&gt;0,INDEX(使用レシピ!P:P,MATCH(テンプレート!$C512,使用レシピ!$E:$E,0)),""),"")</f>
        <v/>
      </c>
      <c r="J512" t="str">
        <f>IFERROR(IF(INDEX(使用レシピ!K:K,MATCH(テンプレート!$C512,使用レシピ!$E:$E,0))&lt;&gt;0,INDEX(使用レシピ!K:K,MATCH(テンプレート!$C512,使用レシピ!$E:$E,0)),""),"")</f>
        <v/>
      </c>
      <c r="K512" t="str">
        <f>IFERROR(IF(INDEX(使用レシピ!L:L,MATCH(テンプレート!$C512,使用レシピ!$E:$E,0))&lt;&gt;0,INDEX(使用レシピ!L:L,MATCH(テンプレート!$C512,使用レシピ!$E:$E,0)),""),"")</f>
        <v/>
      </c>
      <c r="L512" t="str">
        <f>IFERROR(IF(INDEX(使用レシピ!M:M,MATCH(テンプレート!$C512,使用レシピ!$E:$E,0))&lt;&gt;0,INDEX(使用レシピ!M:M,MATCH(テンプレート!$C512,使用レシピ!$E:$E,0)),""),"")</f>
        <v/>
      </c>
      <c r="M512" t="str">
        <f>IFERROR(IF(INDEX(使用レシピ!N:N,MATCH(テンプレート!$C512,使用レシピ!$E:$E,0))&lt;&gt;0,INDEX(使用レシピ!N:N,MATCH(テンプレート!$C512,使用レシピ!$E:$E,0)),""),"")</f>
        <v/>
      </c>
      <c r="N512" s="24" t="str">
        <f>IFERROR(IF(INDEX(使用レシピ!O:O,MATCH(テンプレート!$C512,使用レシピ!$E:$E,0))&lt;&gt;0,INDEX(使用レシピ!O:O,MATCH(テンプレート!$C512,使用レシピ!$E:$E,0)),""),"")</f>
        <v/>
      </c>
      <c r="O512" s="36" t="str">
        <f>IFERROR(IF(INDEX(使用レシピ!P:P,MATCH(テンプレート!$C512,使用レシピ!$E:$E,0))&lt;&gt;0,INDEX(使用レシピ!P:P,MATCH(テンプレート!$C512,使用レシピ!$E:$E,0)),""),"")</f>
        <v/>
      </c>
      <c r="P512" t="str">
        <f t="shared" si="41"/>
        <v/>
      </c>
      <c r="Q512" t="str">
        <f t="shared" si="42"/>
        <v/>
      </c>
      <c r="R512" t="str">
        <f t="shared" si="43"/>
        <v/>
      </c>
      <c r="S512" t="str">
        <f t="shared" si="44"/>
        <v/>
      </c>
      <c r="T512" s="24" t="str">
        <f t="shared" si="45"/>
        <v/>
      </c>
    </row>
    <row r="513" spans="2:20" x14ac:dyDescent="0.4">
      <c r="B513" s="49" t="str" cm="1">
        <f t="array" ref="B513">IFERROR((INDEX($P$4:$T$1000,MATCH(VALUE(LEFT($A513,LEN($A513)-1)),$A$4:$A$1000,0),VALUE(RIGHT($A513,1)))/ INDEX($O$4:$O$1000,MATCH(VALUE(LEFT($A513,LEN($A513)-1)),$A$4:$A$1000))) * INDEX($B$4:$B$1000,MATCH(VALUE(LEFT($A513,LEN($A513)-1)),$A$4:$A$1000)),"")</f>
        <v/>
      </c>
      <c r="C513" s="2" t="str" cm="1">
        <f t="array" ref="C513">IFERROR(IF(INDEX($D$4:$H$1000,MATCH(VALUE(LEFT($A513,LEN($A513)-1)),$A$4:$A$1000,0),VALUE(RIGHT($A513,1)))= 0,"",INDEX($D$4:$H$1000,MATCH(VALUE(LEFT($A513,LEN($A513)-1)),$A$4:$A$1000,0),VALUE(RIGHT($A513,1)))),"")</f>
        <v/>
      </c>
      <c r="D513" s="23" t="str">
        <f>IFERROR(IF(INDEX(使用レシピ!F:F,MATCH(テンプレート!$C513,使用レシピ!$E:$E,0))&lt;&gt;0,INDEX(使用レシピ!F:F,MATCH(テンプレート!$C513,使用レシピ!$E:$E,0)),""),"")</f>
        <v/>
      </c>
      <c r="E513" t="str">
        <f>IFERROR(IF(INDEX(使用レシピ!G:G,MATCH(テンプレート!$C513,使用レシピ!$E:$E,0))&lt;&gt;0,INDEX(使用レシピ!G:G,MATCH(テンプレート!$C513,使用レシピ!$E:$E,0)),""),"")</f>
        <v/>
      </c>
      <c r="F513" t="str">
        <f>IFERROR(IF(INDEX(使用レシピ!H:H,MATCH(テンプレート!$C513,使用レシピ!$E:$E,0))&lt;&gt;0,INDEX(使用レシピ!H:H,MATCH(テンプレート!$C513,使用レシピ!$E:$E,0)),""),"")</f>
        <v/>
      </c>
      <c r="G513" t="str">
        <f>IFERROR(IF(INDEX(使用レシピ!I:I,MATCH(テンプレート!$C513,使用レシピ!$E:$E,0))&lt;&gt;0,INDEX(使用レシピ!I:I,MATCH(テンプレート!$C513,使用レシピ!$E:$E,0)),""),"")</f>
        <v/>
      </c>
      <c r="H513" s="24" t="str">
        <f>IFERROR(IF(INDEX(使用レシピ!J:J,MATCH(テンプレート!$C513,使用レシピ!$E:$E,0))&lt;&gt;0,INDEX(使用レシピ!J:J,MATCH(テンプレート!$C513,使用レシピ!$E:$E,0)),""),"")</f>
        <v/>
      </c>
      <c r="I513" s="36" t="str">
        <f>IFERROR(IF(INDEX(使用レシピ!P:P,MATCH(テンプレート!$C513,使用レシピ!$E:$E,0))&lt;&gt;0,INDEX(使用レシピ!P:P,MATCH(テンプレート!$C513,使用レシピ!$E:$E,0)),""),"")</f>
        <v/>
      </c>
      <c r="J513" t="str">
        <f>IFERROR(IF(INDEX(使用レシピ!K:K,MATCH(テンプレート!$C513,使用レシピ!$E:$E,0))&lt;&gt;0,INDEX(使用レシピ!K:K,MATCH(テンプレート!$C513,使用レシピ!$E:$E,0)),""),"")</f>
        <v/>
      </c>
      <c r="K513" t="str">
        <f>IFERROR(IF(INDEX(使用レシピ!L:L,MATCH(テンプレート!$C513,使用レシピ!$E:$E,0))&lt;&gt;0,INDEX(使用レシピ!L:L,MATCH(テンプレート!$C513,使用レシピ!$E:$E,0)),""),"")</f>
        <v/>
      </c>
      <c r="L513" t="str">
        <f>IFERROR(IF(INDEX(使用レシピ!M:M,MATCH(テンプレート!$C513,使用レシピ!$E:$E,0))&lt;&gt;0,INDEX(使用レシピ!M:M,MATCH(テンプレート!$C513,使用レシピ!$E:$E,0)),""),"")</f>
        <v/>
      </c>
      <c r="M513" t="str">
        <f>IFERROR(IF(INDEX(使用レシピ!N:N,MATCH(テンプレート!$C513,使用レシピ!$E:$E,0))&lt;&gt;0,INDEX(使用レシピ!N:N,MATCH(テンプレート!$C513,使用レシピ!$E:$E,0)),""),"")</f>
        <v/>
      </c>
      <c r="N513" s="24" t="str">
        <f>IFERROR(IF(INDEX(使用レシピ!O:O,MATCH(テンプレート!$C513,使用レシピ!$E:$E,0))&lt;&gt;0,INDEX(使用レシピ!O:O,MATCH(テンプレート!$C513,使用レシピ!$E:$E,0)),""),"")</f>
        <v/>
      </c>
      <c r="O513" s="36" t="str">
        <f>IFERROR(IF(INDEX(使用レシピ!P:P,MATCH(テンプレート!$C513,使用レシピ!$E:$E,0))&lt;&gt;0,INDEX(使用レシピ!P:P,MATCH(テンプレート!$C513,使用レシピ!$E:$E,0)),""),"")</f>
        <v/>
      </c>
      <c r="P513" t="str">
        <f t="shared" si="41"/>
        <v/>
      </c>
      <c r="Q513" t="str">
        <f t="shared" si="42"/>
        <v/>
      </c>
      <c r="R513" t="str">
        <f t="shared" si="43"/>
        <v/>
      </c>
      <c r="S513" t="str">
        <f t="shared" si="44"/>
        <v/>
      </c>
      <c r="T513" s="24" t="str">
        <f t="shared" si="45"/>
        <v/>
      </c>
    </row>
    <row r="514" spans="2:20" x14ac:dyDescent="0.4">
      <c r="B514" s="49" t="str" cm="1">
        <f t="array" ref="B514">IFERROR((INDEX($P$4:$T$1000,MATCH(VALUE(LEFT($A514,LEN($A514)-1)),$A$4:$A$1000,0),VALUE(RIGHT($A514,1)))/ INDEX($O$4:$O$1000,MATCH(VALUE(LEFT($A514,LEN($A514)-1)),$A$4:$A$1000))) * INDEX($B$4:$B$1000,MATCH(VALUE(LEFT($A514,LEN($A514)-1)),$A$4:$A$1000)),"")</f>
        <v/>
      </c>
      <c r="C514" s="2" t="str" cm="1">
        <f t="array" ref="C514">IFERROR(IF(INDEX($D$4:$H$1000,MATCH(VALUE(LEFT($A514,LEN($A514)-1)),$A$4:$A$1000,0),VALUE(RIGHT($A514,1)))= 0,"",INDEX($D$4:$H$1000,MATCH(VALUE(LEFT($A514,LEN($A514)-1)),$A$4:$A$1000,0),VALUE(RIGHT($A514,1)))),"")</f>
        <v/>
      </c>
      <c r="D514" s="23" t="str">
        <f>IFERROR(IF(INDEX(使用レシピ!F:F,MATCH(テンプレート!$C514,使用レシピ!$E:$E,0))&lt;&gt;0,INDEX(使用レシピ!F:F,MATCH(テンプレート!$C514,使用レシピ!$E:$E,0)),""),"")</f>
        <v/>
      </c>
      <c r="E514" t="str">
        <f>IFERROR(IF(INDEX(使用レシピ!G:G,MATCH(テンプレート!$C514,使用レシピ!$E:$E,0))&lt;&gt;0,INDEX(使用レシピ!G:G,MATCH(テンプレート!$C514,使用レシピ!$E:$E,0)),""),"")</f>
        <v/>
      </c>
      <c r="F514" t="str">
        <f>IFERROR(IF(INDEX(使用レシピ!H:H,MATCH(テンプレート!$C514,使用レシピ!$E:$E,0))&lt;&gt;0,INDEX(使用レシピ!H:H,MATCH(テンプレート!$C514,使用レシピ!$E:$E,0)),""),"")</f>
        <v/>
      </c>
      <c r="G514" t="str">
        <f>IFERROR(IF(INDEX(使用レシピ!I:I,MATCH(テンプレート!$C514,使用レシピ!$E:$E,0))&lt;&gt;0,INDEX(使用レシピ!I:I,MATCH(テンプレート!$C514,使用レシピ!$E:$E,0)),""),"")</f>
        <v/>
      </c>
      <c r="H514" s="24" t="str">
        <f>IFERROR(IF(INDEX(使用レシピ!J:J,MATCH(テンプレート!$C514,使用レシピ!$E:$E,0))&lt;&gt;0,INDEX(使用レシピ!J:J,MATCH(テンプレート!$C514,使用レシピ!$E:$E,0)),""),"")</f>
        <v/>
      </c>
      <c r="I514" s="36" t="str">
        <f>IFERROR(IF(INDEX(使用レシピ!P:P,MATCH(テンプレート!$C514,使用レシピ!$E:$E,0))&lt;&gt;0,INDEX(使用レシピ!P:P,MATCH(テンプレート!$C514,使用レシピ!$E:$E,0)),""),"")</f>
        <v/>
      </c>
      <c r="J514" t="str">
        <f>IFERROR(IF(INDEX(使用レシピ!K:K,MATCH(テンプレート!$C514,使用レシピ!$E:$E,0))&lt;&gt;0,INDEX(使用レシピ!K:K,MATCH(テンプレート!$C514,使用レシピ!$E:$E,0)),""),"")</f>
        <v/>
      </c>
      <c r="K514" t="str">
        <f>IFERROR(IF(INDEX(使用レシピ!L:L,MATCH(テンプレート!$C514,使用レシピ!$E:$E,0))&lt;&gt;0,INDEX(使用レシピ!L:L,MATCH(テンプレート!$C514,使用レシピ!$E:$E,0)),""),"")</f>
        <v/>
      </c>
      <c r="L514" t="str">
        <f>IFERROR(IF(INDEX(使用レシピ!M:M,MATCH(テンプレート!$C514,使用レシピ!$E:$E,0))&lt;&gt;0,INDEX(使用レシピ!M:M,MATCH(テンプレート!$C514,使用レシピ!$E:$E,0)),""),"")</f>
        <v/>
      </c>
      <c r="M514" t="str">
        <f>IFERROR(IF(INDEX(使用レシピ!N:N,MATCH(テンプレート!$C514,使用レシピ!$E:$E,0))&lt;&gt;0,INDEX(使用レシピ!N:N,MATCH(テンプレート!$C514,使用レシピ!$E:$E,0)),""),"")</f>
        <v/>
      </c>
      <c r="N514" s="24" t="str">
        <f>IFERROR(IF(INDEX(使用レシピ!O:O,MATCH(テンプレート!$C514,使用レシピ!$E:$E,0))&lt;&gt;0,INDEX(使用レシピ!O:O,MATCH(テンプレート!$C514,使用レシピ!$E:$E,0)),""),"")</f>
        <v/>
      </c>
      <c r="O514" s="36" t="str">
        <f>IFERROR(IF(INDEX(使用レシピ!P:P,MATCH(テンプレート!$C514,使用レシピ!$E:$E,0))&lt;&gt;0,INDEX(使用レシピ!P:P,MATCH(テンプレート!$C514,使用レシピ!$E:$E,0)),""),"")</f>
        <v/>
      </c>
      <c r="P514" t="str">
        <f t="shared" si="41"/>
        <v/>
      </c>
      <c r="Q514" t="str">
        <f t="shared" si="42"/>
        <v/>
      </c>
      <c r="R514" t="str">
        <f t="shared" si="43"/>
        <v/>
      </c>
      <c r="S514" t="str">
        <f t="shared" si="44"/>
        <v/>
      </c>
      <c r="T514" s="24" t="str">
        <f t="shared" si="45"/>
        <v/>
      </c>
    </row>
    <row r="515" spans="2:20" x14ac:dyDescent="0.4">
      <c r="B515" s="49" t="str" cm="1">
        <f t="array" ref="B515">IFERROR((INDEX($P$4:$T$1000,MATCH(VALUE(LEFT($A515,LEN($A515)-1)),$A$4:$A$1000,0),VALUE(RIGHT($A515,1)))/ INDEX($O$4:$O$1000,MATCH(VALUE(LEFT($A515,LEN($A515)-1)),$A$4:$A$1000))) * INDEX($B$4:$B$1000,MATCH(VALUE(LEFT($A515,LEN($A515)-1)),$A$4:$A$1000)),"")</f>
        <v/>
      </c>
      <c r="C515" s="2" t="str" cm="1">
        <f t="array" ref="C515">IFERROR(IF(INDEX($D$4:$H$1000,MATCH(VALUE(LEFT($A515,LEN($A515)-1)),$A$4:$A$1000,0),VALUE(RIGHT($A515,1)))= 0,"",INDEX($D$4:$H$1000,MATCH(VALUE(LEFT($A515,LEN($A515)-1)),$A$4:$A$1000,0),VALUE(RIGHT($A515,1)))),"")</f>
        <v/>
      </c>
      <c r="D515" s="23" t="str">
        <f>IFERROR(IF(INDEX(使用レシピ!F:F,MATCH(テンプレート!$C515,使用レシピ!$E:$E,0))&lt;&gt;0,INDEX(使用レシピ!F:F,MATCH(テンプレート!$C515,使用レシピ!$E:$E,0)),""),"")</f>
        <v/>
      </c>
      <c r="E515" t="str">
        <f>IFERROR(IF(INDEX(使用レシピ!G:G,MATCH(テンプレート!$C515,使用レシピ!$E:$E,0))&lt;&gt;0,INDEX(使用レシピ!G:G,MATCH(テンプレート!$C515,使用レシピ!$E:$E,0)),""),"")</f>
        <v/>
      </c>
      <c r="F515" t="str">
        <f>IFERROR(IF(INDEX(使用レシピ!H:H,MATCH(テンプレート!$C515,使用レシピ!$E:$E,0))&lt;&gt;0,INDEX(使用レシピ!H:H,MATCH(テンプレート!$C515,使用レシピ!$E:$E,0)),""),"")</f>
        <v/>
      </c>
      <c r="G515" t="str">
        <f>IFERROR(IF(INDEX(使用レシピ!I:I,MATCH(テンプレート!$C515,使用レシピ!$E:$E,0))&lt;&gt;0,INDEX(使用レシピ!I:I,MATCH(テンプレート!$C515,使用レシピ!$E:$E,0)),""),"")</f>
        <v/>
      </c>
      <c r="H515" s="24" t="str">
        <f>IFERROR(IF(INDEX(使用レシピ!J:J,MATCH(テンプレート!$C515,使用レシピ!$E:$E,0))&lt;&gt;0,INDEX(使用レシピ!J:J,MATCH(テンプレート!$C515,使用レシピ!$E:$E,0)),""),"")</f>
        <v/>
      </c>
      <c r="I515" s="36" t="str">
        <f>IFERROR(IF(INDEX(使用レシピ!P:P,MATCH(テンプレート!$C515,使用レシピ!$E:$E,0))&lt;&gt;0,INDEX(使用レシピ!P:P,MATCH(テンプレート!$C515,使用レシピ!$E:$E,0)),""),"")</f>
        <v/>
      </c>
      <c r="J515" t="str">
        <f>IFERROR(IF(INDEX(使用レシピ!K:K,MATCH(テンプレート!$C515,使用レシピ!$E:$E,0))&lt;&gt;0,INDEX(使用レシピ!K:K,MATCH(テンプレート!$C515,使用レシピ!$E:$E,0)),""),"")</f>
        <v/>
      </c>
      <c r="K515" t="str">
        <f>IFERROR(IF(INDEX(使用レシピ!L:L,MATCH(テンプレート!$C515,使用レシピ!$E:$E,0))&lt;&gt;0,INDEX(使用レシピ!L:L,MATCH(テンプレート!$C515,使用レシピ!$E:$E,0)),""),"")</f>
        <v/>
      </c>
      <c r="L515" t="str">
        <f>IFERROR(IF(INDEX(使用レシピ!M:M,MATCH(テンプレート!$C515,使用レシピ!$E:$E,0))&lt;&gt;0,INDEX(使用レシピ!M:M,MATCH(テンプレート!$C515,使用レシピ!$E:$E,0)),""),"")</f>
        <v/>
      </c>
      <c r="M515" t="str">
        <f>IFERROR(IF(INDEX(使用レシピ!N:N,MATCH(テンプレート!$C515,使用レシピ!$E:$E,0))&lt;&gt;0,INDEX(使用レシピ!N:N,MATCH(テンプレート!$C515,使用レシピ!$E:$E,0)),""),"")</f>
        <v/>
      </c>
      <c r="N515" s="24" t="str">
        <f>IFERROR(IF(INDEX(使用レシピ!O:O,MATCH(テンプレート!$C515,使用レシピ!$E:$E,0))&lt;&gt;0,INDEX(使用レシピ!O:O,MATCH(テンプレート!$C515,使用レシピ!$E:$E,0)),""),"")</f>
        <v/>
      </c>
      <c r="O515" s="36" t="str">
        <f>IFERROR(IF(INDEX(使用レシピ!P:P,MATCH(テンプレート!$C515,使用レシピ!$E:$E,0))&lt;&gt;0,INDEX(使用レシピ!P:P,MATCH(テンプレート!$C515,使用レシピ!$E:$E,0)),""),"")</f>
        <v/>
      </c>
      <c r="P515" t="str">
        <f t="shared" si="41"/>
        <v/>
      </c>
      <c r="Q515" t="str">
        <f t="shared" si="42"/>
        <v/>
      </c>
      <c r="R515" t="str">
        <f t="shared" si="43"/>
        <v/>
      </c>
      <c r="S515" t="str">
        <f t="shared" si="44"/>
        <v/>
      </c>
      <c r="T515" s="24" t="str">
        <f t="shared" si="45"/>
        <v/>
      </c>
    </row>
    <row r="516" spans="2:20" x14ac:dyDescent="0.4">
      <c r="B516" s="49" t="str" cm="1">
        <f t="array" ref="B516">IFERROR((INDEX($P$4:$T$1000,MATCH(VALUE(LEFT($A516,LEN($A516)-1)),$A$4:$A$1000,0),VALUE(RIGHT($A516,1)))/ INDEX($O$4:$O$1000,MATCH(VALUE(LEFT($A516,LEN($A516)-1)),$A$4:$A$1000))) * INDEX($B$4:$B$1000,MATCH(VALUE(LEFT($A516,LEN($A516)-1)),$A$4:$A$1000)),"")</f>
        <v/>
      </c>
      <c r="C516" s="2" t="str" cm="1">
        <f t="array" ref="C516">IFERROR(IF(INDEX($D$4:$H$1000,MATCH(VALUE(LEFT($A516,LEN($A516)-1)),$A$4:$A$1000,0),VALUE(RIGHT($A516,1)))= 0,"",INDEX($D$4:$H$1000,MATCH(VALUE(LEFT($A516,LEN($A516)-1)),$A$4:$A$1000,0),VALUE(RIGHT($A516,1)))),"")</f>
        <v/>
      </c>
      <c r="D516" s="23" t="str">
        <f>IFERROR(IF(INDEX(使用レシピ!F:F,MATCH(テンプレート!$C516,使用レシピ!$E:$E,0))&lt;&gt;0,INDEX(使用レシピ!F:F,MATCH(テンプレート!$C516,使用レシピ!$E:$E,0)),""),"")</f>
        <v/>
      </c>
      <c r="E516" t="str">
        <f>IFERROR(IF(INDEX(使用レシピ!G:G,MATCH(テンプレート!$C516,使用レシピ!$E:$E,0))&lt;&gt;0,INDEX(使用レシピ!G:G,MATCH(テンプレート!$C516,使用レシピ!$E:$E,0)),""),"")</f>
        <v/>
      </c>
      <c r="F516" t="str">
        <f>IFERROR(IF(INDEX(使用レシピ!H:H,MATCH(テンプレート!$C516,使用レシピ!$E:$E,0))&lt;&gt;0,INDEX(使用レシピ!H:H,MATCH(テンプレート!$C516,使用レシピ!$E:$E,0)),""),"")</f>
        <v/>
      </c>
      <c r="G516" t="str">
        <f>IFERROR(IF(INDEX(使用レシピ!I:I,MATCH(テンプレート!$C516,使用レシピ!$E:$E,0))&lt;&gt;0,INDEX(使用レシピ!I:I,MATCH(テンプレート!$C516,使用レシピ!$E:$E,0)),""),"")</f>
        <v/>
      </c>
      <c r="H516" s="24" t="str">
        <f>IFERROR(IF(INDEX(使用レシピ!J:J,MATCH(テンプレート!$C516,使用レシピ!$E:$E,0))&lt;&gt;0,INDEX(使用レシピ!J:J,MATCH(テンプレート!$C516,使用レシピ!$E:$E,0)),""),"")</f>
        <v/>
      </c>
      <c r="I516" s="36" t="str">
        <f>IFERROR(IF(INDEX(使用レシピ!P:P,MATCH(テンプレート!$C516,使用レシピ!$E:$E,0))&lt;&gt;0,INDEX(使用レシピ!P:P,MATCH(テンプレート!$C516,使用レシピ!$E:$E,0)),""),"")</f>
        <v/>
      </c>
      <c r="J516" t="str">
        <f>IFERROR(IF(INDEX(使用レシピ!K:K,MATCH(テンプレート!$C516,使用レシピ!$E:$E,0))&lt;&gt;0,INDEX(使用レシピ!K:K,MATCH(テンプレート!$C516,使用レシピ!$E:$E,0)),""),"")</f>
        <v/>
      </c>
      <c r="K516" t="str">
        <f>IFERROR(IF(INDEX(使用レシピ!L:L,MATCH(テンプレート!$C516,使用レシピ!$E:$E,0))&lt;&gt;0,INDEX(使用レシピ!L:L,MATCH(テンプレート!$C516,使用レシピ!$E:$E,0)),""),"")</f>
        <v/>
      </c>
      <c r="L516" t="str">
        <f>IFERROR(IF(INDEX(使用レシピ!M:M,MATCH(テンプレート!$C516,使用レシピ!$E:$E,0))&lt;&gt;0,INDEX(使用レシピ!M:M,MATCH(テンプレート!$C516,使用レシピ!$E:$E,0)),""),"")</f>
        <v/>
      </c>
      <c r="M516" t="str">
        <f>IFERROR(IF(INDEX(使用レシピ!N:N,MATCH(テンプレート!$C516,使用レシピ!$E:$E,0))&lt;&gt;0,INDEX(使用レシピ!N:N,MATCH(テンプレート!$C516,使用レシピ!$E:$E,0)),""),"")</f>
        <v/>
      </c>
      <c r="N516" s="24" t="str">
        <f>IFERROR(IF(INDEX(使用レシピ!O:O,MATCH(テンプレート!$C516,使用レシピ!$E:$E,0))&lt;&gt;0,INDEX(使用レシピ!O:O,MATCH(テンプレート!$C516,使用レシピ!$E:$E,0)),""),"")</f>
        <v/>
      </c>
      <c r="O516" s="36" t="str">
        <f>IFERROR(IF(INDEX(使用レシピ!P:P,MATCH(テンプレート!$C516,使用レシピ!$E:$E,0))&lt;&gt;0,INDEX(使用レシピ!P:P,MATCH(テンプレート!$C516,使用レシピ!$E:$E,0)),""),"")</f>
        <v/>
      </c>
      <c r="P516" t="str">
        <f t="shared" si="41"/>
        <v/>
      </c>
      <c r="Q516" t="str">
        <f t="shared" si="42"/>
        <v/>
      </c>
      <c r="R516" t="str">
        <f t="shared" si="43"/>
        <v/>
      </c>
      <c r="S516" t="str">
        <f t="shared" si="44"/>
        <v/>
      </c>
      <c r="T516" s="24" t="str">
        <f t="shared" si="45"/>
        <v/>
      </c>
    </row>
    <row r="517" spans="2:20" x14ac:dyDescent="0.4">
      <c r="B517" s="49" t="str" cm="1">
        <f t="array" ref="B517">IFERROR((INDEX($P$4:$T$1000,MATCH(VALUE(LEFT($A517,LEN($A517)-1)),$A$4:$A$1000,0),VALUE(RIGHT($A517,1)))/ INDEX($O$4:$O$1000,MATCH(VALUE(LEFT($A517,LEN($A517)-1)),$A$4:$A$1000))) * INDEX($B$4:$B$1000,MATCH(VALUE(LEFT($A517,LEN($A517)-1)),$A$4:$A$1000)),"")</f>
        <v/>
      </c>
      <c r="C517" s="2" t="str" cm="1">
        <f t="array" ref="C517">IFERROR(IF(INDEX($D$4:$H$1000,MATCH(VALUE(LEFT($A517,LEN($A517)-1)),$A$4:$A$1000,0),VALUE(RIGHT($A517,1)))= 0,"",INDEX($D$4:$H$1000,MATCH(VALUE(LEFT($A517,LEN($A517)-1)),$A$4:$A$1000,0),VALUE(RIGHT($A517,1)))),"")</f>
        <v/>
      </c>
      <c r="D517" s="23" t="str">
        <f>IFERROR(IF(INDEX(使用レシピ!F:F,MATCH(テンプレート!$C517,使用レシピ!$E:$E,0))&lt;&gt;0,INDEX(使用レシピ!F:F,MATCH(テンプレート!$C517,使用レシピ!$E:$E,0)),""),"")</f>
        <v/>
      </c>
      <c r="E517" t="str">
        <f>IFERROR(IF(INDEX(使用レシピ!G:G,MATCH(テンプレート!$C517,使用レシピ!$E:$E,0))&lt;&gt;0,INDEX(使用レシピ!G:G,MATCH(テンプレート!$C517,使用レシピ!$E:$E,0)),""),"")</f>
        <v/>
      </c>
      <c r="F517" t="str">
        <f>IFERROR(IF(INDEX(使用レシピ!H:H,MATCH(テンプレート!$C517,使用レシピ!$E:$E,0))&lt;&gt;0,INDEX(使用レシピ!H:H,MATCH(テンプレート!$C517,使用レシピ!$E:$E,0)),""),"")</f>
        <v/>
      </c>
      <c r="G517" t="str">
        <f>IFERROR(IF(INDEX(使用レシピ!I:I,MATCH(テンプレート!$C517,使用レシピ!$E:$E,0))&lt;&gt;0,INDEX(使用レシピ!I:I,MATCH(テンプレート!$C517,使用レシピ!$E:$E,0)),""),"")</f>
        <v/>
      </c>
      <c r="H517" s="24" t="str">
        <f>IFERROR(IF(INDEX(使用レシピ!J:J,MATCH(テンプレート!$C517,使用レシピ!$E:$E,0))&lt;&gt;0,INDEX(使用レシピ!J:J,MATCH(テンプレート!$C517,使用レシピ!$E:$E,0)),""),"")</f>
        <v/>
      </c>
      <c r="I517" s="36" t="str">
        <f>IFERROR(IF(INDEX(使用レシピ!P:P,MATCH(テンプレート!$C517,使用レシピ!$E:$E,0))&lt;&gt;0,INDEX(使用レシピ!P:P,MATCH(テンプレート!$C517,使用レシピ!$E:$E,0)),""),"")</f>
        <v/>
      </c>
      <c r="J517" t="str">
        <f>IFERROR(IF(INDEX(使用レシピ!K:K,MATCH(テンプレート!$C517,使用レシピ!$E:$E,0))&lt;&gt;0,INDEX(使用レシピ!K:K,MATCH(テンプレート!$C517,使用レシピ!$E:$E,0)),""),"")</f>
        <v/>
      </c>
      <c r="K517" t="str">
        <f>IFERROR(IF(INDEX(使用レシピ!L:L,MATCH(テンプレート!$C517,使用レシピ!$E:$E,0))&lt;&gt;0,INDEX(使用レシピ!L:L,MATCH(テンプレート!$C517,使用レシピ!$E:$E,0)),""),"")</f>
        <v/>
      </c>
      <c r="L517" t="str">
        <f>IFERROR(IF(INDEX(使用レシピ!M:M,MATCH(テンプレート!$C517,使用レシピ!$E:$E,0))&lt;&gt;0,INDEX(使用レシピ!M:M,MATCH(テンプレート!$C517,使用レシピ!$E:$E,0)),""),"")</f>
        <v/>
      </c>
      <c r="M517" t="str">
        <f>IFERROR(IF(INDEX(使用レシピ!N:N,MATCH(テンプレート!$C517,使用レシピ!$E:$E,0))&lt;&gt;0,INDEX(使用レシピ!N:N,MATCH(テンプレート!$C517,使用レシピ!$E:$E,0)),""),"")</f>
        <v/>
      </c>
      <c r="N517" s="24" t="str">
        <f>IFERROR(IF(INDEX(使用レシピ!O:O,MATCH(テンプレート!$C517,使用レシピ!$E:$E,0))&lt;&gt;0,INDEX(使用レシピ!O:O,MATCH(テンプレート!$C517,使用レシピ!$E:$E,0)),""),"")</f>
        <v/>
      </c>
      <c r="O517" s="36" t="str">
        <f>IFERROR(IF(INDEX(使用レシピ!P:P,MATCH(テンプレート!$C517,使用レシピ!$E:$E,0))&lt;&gt;0,INDEX(使用レシピ!P:P,MATCH(テンプレート!$C517,使用レシピ!$E:$E,0)),""),"")</f>
        <v/>
      </c>
      <c r="P517" t="str">
        <f t="shared" si="41"/>
        <v/>
      </c>
      <c r="Q517" t="str">
        <f t="shared" si="42"/>
        <v/>
      </c>
      <c r="R517" t="str">
        <f t="shared" si="43"/>
        <v/>
      </c>
      <c r="S517" t="str">
        <f t="shared" si="44"/>
        <v/>
      </c>
      <c r="T517" s="24" t="str">
        <f t="shared" si="45"/>
        <v/>
      </c>
    </row>
    <row r="518" spans="2:20" x14ac:dyDescent="0.4">
      <c r="B518" s="49" t="str" cm="1">
        <f t="array" ref="B518">IFERROR((INDEX($P$4:$T$1000,MATCH(VALUE(LEFT($A518,LEN($A518)-1)),$A$4:$A$1000,0),VALUE(RIGHT($A518,1)))/ INDEX($O$4:$O$1000,MATCH(VALUE(LEFT($A518,LEN($A518)-1)),$A$4:$A$1000))) * INDEX($B$4:$B$1000,MATCH(VALUE(LEFT($A518,LEN($A518)-1)),$A$4:$A$1000)),"")</f>
        <v/>
      </c>
      <c r="C518" s="2" t="str" cm="1">
        <f t="array" ref="C518">IFERROR(IF(INDEX($D$4:$H$1000,MATCH(VALUE(LEFT($A518,LEN($A518)-1)),$A$4:$A$1000,0),VALUE(RIGHT($A518,1)))= 0,"",INDEX($D$4:$H$1000,MATCH(VALUE(LEFT($A518,LEN($A518)-1)),$A$4:$A$1000,0),VALUE(RIGHT($A518,1)))),"")</f>
        <v/>
      </c>
      <c r="D518" s="23" t="str">
        <f>IFERROR(IF(INDEX(使用レシピ!F:F,MATCH(テンプレート!$C518,使用レシピ!$E:$E,0))&lt;&gt;0,INDEX(使用レシピ!F:F,MATCH(テンプレート!$C518,使用レシピ!$E:$E,0)),""),"")</f>
        <v/>
      </c>
      <c r="E518" t="str">
        <f>IFERROR(IF(INDEX(使用レシピ!G:G,MATCH(テンプレート!$C518,使用レシピ!$E:$E,0))&lt;&gt;0,INDEX(使用レシピ!G:G,MATCH(テンプレート!$C518,使用レシピ!$E:$E,0)),""),"")</f>
        <v/>
      </c>
      <c r="F518" t="str">
        <f>IFERROR(IF(INDEX(使用レシピ!H:H,MATCH(テンプレート!$C518,使用レシピ!$E:$E,0))&lt;&gt;0,INDEX(使用レシピ!H:H,MATCH(テンプレート!$C518,使用レシピ!$E:$E,0)),""),"")</f>
        <v/>
      </c>
      <c r="G518" t="str">
        <f>IFERROR(IF(INDEX(使用レシピ!I:I,MATCH(テンプレート!$C518,使用レシピ!$E:$E,0))&lt;&gt;0,INDEX(使用レシピ!I:I,MATCH(テンプレート!$C518,使用レシピ!$E:$E,0)),""),"")</f>
        <v/>
      </c>
      <c r="H518" s="24" t="str">
        <f>IFERROR(IF(INDEX(使用レシピ!J:J,MATCH(テンプレート!$C518,使用レシピ!$E:$E,0))&lt;&gt;0,INDEX(使用レシピ!J:J,MATCH(テンプレート!$C518,使用レシピ!$E:$E,0)),""),"")</f>
        <v/>
      </c>
      <c r="I518" s="36" t="str">
        <f>IFERROR(IF(INDEX(使用レシピ!P:P,MATCH(テンプレート!$C518,使用レシピ!$E:$E,0))&lt;&gt;0,INDEX(使用レシピ!P:P,MATCH(テンプレート!$C518,使用レシピ!$E:$E,0)),""),"")</f>
        <v/>
      </c>
      <c r="J518" t="str">
        <f>IFERROR(IF(INDEX(使用レシピ!K:K,MATCH(テンプレート!$C518,使用レシピ!$E:$E,0))&lt;&gt;0,INDEX(使用レシピ!K:K,MATCH(テンプレート!$C518,使用レシピ!$E:$E,0)),""),"")</f>
        <v/>
      </c>
      <c r="K518" t="str">
        <f>IFERROR(IF(INDEX(使用レシピ!L:L,MATCH(テンプレート!$C518,使用レシピ!$E:$E,0))&lt;&gt;0,INDEX(使用レシピ!L:L,MATCH(テンプレート!$C518,使用レシピ!$E:$E,0)),""),"")</f>
        <v/>
      </c>
      <c r="L518" t="str">
        <f>IFERROR(IF(INDEX(使用レシピ!M:M,MATCH(テンプレート!$C518,使用レシピ!$E:$E,0))&lt;&gt;0,INDEX(使用レシピ!M:M,MATCH(テンプレート!$C518,使用レシピ!$E:$E,0)),""),"")</f>
        <v/>
      </c>
      <c r="M518" t="str">
        <f>IFERROR(IF(INDEX(使用レシピ!N:N,MATCH(テンプレート!$C518,使用レシピ!$E:$E,0))&lt;&gt;0,INDEX(使用レシピ!N:N,MATCH(テンプレート!$C518,使用レシピ!$E:$E,0)),""),"")</f>
        <v/>
      </c>
      <c r="N518" s="24" t="str">
        <f>IFERROR(IF(INDEX(使用レシピ!O:O,MATCH(テンプレート!$C518,使用レシピ!$E:$E,0))&lt;&gt;0,INDEX(使用レシピ!O:O,MATCH(テンプレート!$C518,使用レシピ!$E:$E,0)),""),"")</f>
        <v/>
      </c>
      <c r="O518" s="36" t="str">
        <f>IFERROR(IF(INDEX(使用レシピ!P:P,MATCH(テンプレート!$C518,使用レシピ!$E:$E,0))&lt;&gt;0,INDEX(使用レシピ!P:P,MATCH(テンプレート!$C518,使用レシピ!$E:$E,0)),""),"")</f>
        <v/>
      </c>
      <c r="P518" t="str">
        <f t="shared" si="41"/>
        <v/>
      </c>
      <c r="Q518" t="str">
        <f t="shared" si="42"/>
        <v/>
      </c>
      <c r="R518" t="str">
        <f t="shared" si="43"/>
        <v/>
      </c>
      <c r="S518" t="str">
        <f t="shared" si="44"/>
        <v/>
      </c>
      <c r="T518" s="24" t="str">
        <f t="shared" si="45"/>
        <v/>
      </c>
    </row>
    <row r="519" spans="2:20" x14ac:dyDescent="0.4">
      <c r="B519" s="49" t="str" cm="1">
        <f t="array" ref="B519">IFERROR((INDEX($P$4:$T$1000,MATCH(VALUE(LEFT($A519,LEN($A519)-1)),$A$4:$A$1000,0),VALUE(RIGHT($A519,1)))/ INDEX($O$4:$O$1000,MATCH(VALUE(LEFT($A519,LEN($A519)-1)),$A$4:$A$1000))) * INDEX($B$4:$B$1000,MATCH(VALUE(LEFT($A519,LEN($A519)-1)),$A$4:$A$1000)),"")</f>
        <v/>
      </c>
      <c r="C519" s="2" t="str" cm="1">
        <f t="array" ref="C519">IFERROR(IF(INDEX($D$4:$H$1000,MATCH(VALUE(LEFT($A519,LEN($A519)-1)),$A$4:$A$1000,0),VALUE(RIGHT($A519,1)))= 0,"",INDEX($D$4:$H$1000,MATCH(VALUE(LEFT($A519,LEN($A519)-1)),$A$4:$A$1000,0),VALUE(RIGHT($A519,1)))),"")</f>
        <v/>
      </c>
      <c r="D519" s="23" t="str">
        <f>IFERROR(IF(INDEX(使用レシピ!F:F,MATCH(テンプレート!$C519,使用レシピ!$E:$E,0))&lt;&gt;0,INDEX(使用レシピ!F:F,MATCH(テンプレート!$C519,使用レシピ!$E:$E,0)),""),"")</f>
        <v/>
      </c>
      <c r="E519" t="str">
        <f>IFERROR(IF(INDEX(使用レシピ!G:G,MATCH(テンプレート!$C519,使用レシピ!$E:$E,0))&lt;&gt;0,INDEX(使用レシピ!G:G,MATCH(テンプレート!$C519,使用レシピ!$E:$E,0)),""),"")</f>
        <v/>
      </c>
      <c r="F519" t="str">
        <f>IFERROR(IF(INDEX(使用レシピ!H:H,MATCH(テンプレート!$C519,使用レシピ!$E:$E,0))&lt;&gt;0,INDEX(使用レシピ!H:H,MATCH(テンプレート!$C519,使用レシピ!$E:$E,0)),""),"")</f>
        <v/>
      </c>
      <c r="G519" t="str">
        <f>IFERROR(IF(INDEX(使用レシピ!I:I,MATCH(テンプレート!$C519,使用レシピ!$E:$E,0))&lt;&gt;0,INDEX(使用レシピ!I:I,MATCH(テンプレート!$C519,使用レシピ!$E:$E,0)),""),"")</f>
        <v/>
      </c>
      <c r="H519" s="24" t="str">
        <f>IFERROR(IF(INDEX(使用レシピ!J:J,MATCH(テンプレート!$C519,使用レシピ!$E:$E,0))&lt;&gt;0,INDEX(使用レシピ!J:J,MATCH(テンプレート!$C519,使用レシピ!$E:$E,0)),""),"")</f>
        <v/>
      </c>
      <c r="I519" s="36" t="str">
        <f>IFERROR(IF(INDEX(使用レシピ!P:P,MATCH(テンプレート!$C519,使用レシピ!$E:$E,0))&lt;&gt;0,INDEX(使用レシピ!P:P,MATCH(テンプレート!$C519,使用レシピ!$E:$E,0)),""),"")</f>
        <v/>
      </c>
      <c r="J519" t="str">
        <f>IFERROR(IF(INDEX(使用レシピ!K:K,MATCH(テンプレート!$C519,使用レシピ!$E:$E,0))&lt;&gt;0,INDEX(使用レシピ!K:K,MATCH(テンプレート!$C519,使用レシピ!$E:$E,0)),""),"")</f>
        <v/>
      </c>
      <c r="K519" t="str">
        <f>IFERROR(IF(INDEX(使用レシピ!L:L,MATCH(テンプレート!$C519,使用レシピ!$E:$E,0))&lt;&gt;0,INDEX(使用レシピ!L:L,MATCH(テンプレート!$C519,使用レシピ!$E:$E,0)),""),"")</f>
        <v/>
      </c>
      <c r="L519" t="str">
        <f>IFERROR(IF(INDEX(使用レシピ!M:M,MATCH(テンプレート!$C519,使用レシピ!$E:$E,0))&lt;&gt;0,INDEX(使用レシピ!M:M,MATCH(テンプレート!$C519,使用レシピ!$E:$E,0)),""),"")</f>
        <v/>
      </c>
      <c r="M519" t="str">
        <f>IFERROR(IF(INDEX(使用レシピ!N:N,MATCH(テンプレート!$C519,使用レシピ!$E:$E,0))&lt;&gt;0,INDEX(使用レシピ!N:N,MATCH(テンプレート!$C519,使用レシピ!$E:$E,0)),""),"")</f>
        <v/>
      </c>
      <c r="N519" s="24" t="str">
        <f>IFERROR(IF(INDEX(使用レシピ!O:O,MATCH(テンプレート!$C519,使用レシピ!$E:$E,0))&lt;&gt;0,INDEX(使用レシピ!O:O,MATCH(テンプレート!$C519,使用レシピ!$E:$E,0)),""),"")</f>
        <v/>
      </c>
      <c r="O519" s="36" t="str">
        <f>IFERROR(IF(INDEX(使用レシピ!P:P,MATCH(テンプレート!$C519,使用レシピ!$E:$E,0))&lt;&gt;0,INDEX(使用レシピ!P:P,MATCH(テンプレート!$C519,使用レシピ!$E:$E,0)),""),"")</f>
        <v/>
      </c>
      <c r="P519" t="str">
        <f t="shared" si="41"/>
        <v/>
      </c>
      <c r="Q519" t="str">
        <f t="shared" si="42"/>
        <v/>
      </c>
      <c r="R519" t="str">
        <f t="shared" si="43"/>
        <v/>
      </c>
      <c r="S519" t="str">
        <f t="shared" si="44"/>
        <v/>
      </c>
      <c r="T519" s="24" t="str">
        <f t="shared" si="45"/>
        <v/>
      </c>
    </row>
    <row r="520" spans="2:20" x14ac:dyDescent="0.4">
      <c r="B520" s="49" t="str" cm="1">
        <f t="array" ref="B520">IFERROR((INDEX($P$4:$T$1000,MATCH(VALUE(LEFT($A520,LEN($A520)-1)),$A$4:$A$1000,0),VALUE(RIGHT($A520,1)))/ INDEX($O$4:$O$1000,MATCH(VALUE(LEFT($A520,LEN($A520)-1)),$A$4:$A$1000))) * INDEX($B$4:$B$1000,MATCH(VALUE(LEFT($A520,LEN($A520)-1)),$A$4:$A$1000)),"")</f>
        <v/>
      </c>
      <c r="C520" s="2" t="str" cm="1">
        <f t="array" ref="C520">IFERROR(IF(INDEX($D$4:$H$1000,MATCH(VALUE(LEFT($A520,LEN($A520)-1)),$A$4:$A$1000,0),VALUE(RIGHT($A520,1)))= 0,"",INDEX($D$4:$H$1000,MATCH(VALUE(LEFT($A520,LEN($A520)-1)),$A$4:$A$1000,0),VALUE(RIGHT($A520,1)))),"")</f>
        <v/>
      </c>
      <c r="D520" s="23" t="str">
        <f>IFERROR(IF(INDEX(使用レシピ!F:F,MATCH(テンプレート!$C520,使用レシピ!$E:$E,0))&lt;&gt;0,INDEX(使用レシピ!F:F,MATCH(テンプレート!$C520,使用レシピ!$E:$E,0)),""),"")</f>
        <v/>
      </c>
      <c r="E520" t="str">
        <f>IFERROR(IF(INDEX(使用レシピ!G:G,MATCH(テンプレート!$C520,使用レシピ!$E:$E,0))&lt;&gt;0,INDEX(使用レシピ!G:G,MATCH(テンプレート!$C520,使用レシピ!$E:$E,0)),""),"")</f>
        <v/>
      </c>
      <c r="F520" t="str">
        <f>IFERROR(IF(INDEX(使用レシピ!H:H,MATCH(テンプレート!$C520,使用レシピ!$E:$E,0))&lt;&gt;0,INDEX(使用レシピ!H:H,MATCH(テンプレート!$C520,使用レシピ!$E:$E,0)),""),"")</f>
        <v/>
      </c>
      <c r="G520" t="str">
        <f>IFERROR(IF(INDEX(使用レシピ!I:I,MATCH(テンプレート!$C520,使用レシピ!$E:$E,0))&lt;&gt;0,INDEX(使用レシピ!I:I,MATCH(テンプレート!$C520,使用レシピ!$E:$E,0)),""),"")</f>
        <v/>
      </c>
      <c r="H520" s="24" t="str">
        <f>IFERROR(IF(INDEX(使用レシピ!J:J,MATCH(テンプレート!$C520,使用レシピ!$E:$E,0))&lt;&gt;0,INDEX(使用レシピ!J:J,MATCH(テンプレート!$C520,使用レシピ!$E:$E,0)),""),"")</f>
        <v/>
      </c>
      <c r="I520" s="36" t="str">
        <f>IFERROR(IF(INDEX(使用レシピ!P:P,MATCH(テンプレート!$C520,使用レシピ!$E:$E,0))&lt;&gt;0,INDEX(使用レシピ!P:P,MATCH(テンプレート!$C520,使用レシピ!$E:$E,0)),""),"")</f>
        <v/>
      </c>
      <c r="J520" t="str">
        <f>IFERROR(IF(INDEX(使用レシピ!K:K,MATCH(テンプレート!$C520,使用レシピ!$E:$E,0))&lt;&gt;0,INDEX(使用レシピ!K:K,MATCH(テンプレート!$C520,使用レシピ!$E:$E,0)),""),"")</f>
        <v/>
      </c>
      <c r="K520" t="str">
        <f>IFERROR(IF(INDEX(使用レシピ!L:L,MATCH(テンプレート!$C520,使用レシピ!$E:$E,0))&lt;&gt;0,INDEX(使用レシピ!L:L,MATCH(テンプレート!$C520,使用レシピ!$E:$E,0)),""),"")</f>
        <v/>
      </c>
      <c r="L520" t="str">
        <f>IFERROR(IF(INDEX(使用レシピ!M:M,MATCH(テンプレート!$C520,使用レシピ!$E:$E,0))&lt;&gt;0,INDEX(使用レシピ!M:M,MATCH(テンプレート!$C520,使用レシピ!$E:$E,0)),""),"")</f>
        <v/>
      </c>
      <c r="M520" t="str">
        <f>IFERROR(IF(INDEX(使用レシピ!N:N,MATCH(テンプレート!$C520,使用レシピ!$E:$E,0))&lt;&gt;0,INDEX(使用レシピ!N:N,MATCH(テンプレート!$C520,使用レシピ!$E:$E,0)),""),"")</f>
        <v/>
      </c>
      <c r="N520" s="24" t="str">
        <f>IFERROR(IF(INDEX(使用レシピ!O:O,MATCH(テンプレート!$C520,使用レシピ!$E:$E,0))&lt;&gt;0,INDEX(使用レシピ!O:O,MATCH(テンプレート!$C520,使用レシピ!$E:$E,0)),""),"")</f>
        <v/>
      </c>
      <c r="O520" s="36" t="str">
        <f>IFERROR(IF(INDEX(使用レシピ!P:P,MATCH(テンプレート!$C520,使用レシピ!$E:$E,0))&lt;&gt;0,INDEX(使用レシピ!P:P,MATCH(テンプレート!$C520,使用レシピ!$E:$E,0)),""),"")</f>
        <v/>
      </c>
      <c r="P520" t="str">
        <f t="shared" si="41"/>
        <v/>
      </c>
      <c r="Q520" t="str">
        <f t="shared" si="42"/>
        <v/>
      </c>
      <c r="R520" t="str">
        <f t="shared" si="43"/>
        <v/>
      </c>
      <c r="S520" t="str">
        <f t="shared" si="44"/>
        <v/>
      </c>
      <c r="T520" s="24" t="str">
        <f t="shared" si="45"/>
        <v/>
      </c>
    </row>
    <row r="521" spans="2:20" x14ac:dyDescent="0.4">
      <c r="B521" s="49" t="str" cm="1">
        <f t="array" ref="B521">IFERROR((INDEX($P$4:$T$1000,MATCH(VALUE(LEFT($A521,LEN($A521)-1)),$A$4:$A$1000,0),VALUE(RIGHT($A521,1)))/ INDEX($O$4:$O$1000,MATCH(VALUE(LEFT($A521,LEN($A521)-1)),$A$4:$A$1000))) * INDEX($B$4:$B$1000,MATCH(VALUE(LEFT($A521,LEN($A521)-1)),$A$4:$A$1000)),"")</f>
        <v/>
      </c>
      <c r="C521" s="2" t="str" cm="1">
        <f t="array" ref="C521">IFERROR(IF(INDEX($D$4:$H$1000,MATCH(VALUE(LEFT($A521,LEN($A521)-1)),$A$4:$A$1000,0),VALUE(RIGHT($A521,1)))= 0,"",INDEX($D$4:$H$1000,MATCH(VALUE(LEFT($A521,LEN($A521)-1)),$A$4:$A$1000,0),VALUE(RIGHT($A521,1)))),"")</f>
        <v/>
      </c>
      <c r="D521" s="23" t="str">
        <f>IFERROR(IF(INDEX(使用レシピ!F:F,MATCH(テンプレート!$C521,使用レシピ!$E:$E,0))&lt;&gt;0,INDEX(使用レシピ!F:F,MATCH(テンプレート!$C521,使用レシピ!$E:$E,0)),""),"")</f>
        <v/>
      </c>
      <c r="E521" t="str">
        <f>IFERROR(IF(INDEX(使用レシピ!G:G,MATCH(テンプレート!$C521,使用レシピ!$E:$E,0))&lt;&gt;0,INDEX(使用レシピ!G:G,MATCH(テンプレート!$C521,使用レシピ!$E:$E,0)),""),"")</f>
        <v/>
      </c>
      <c r="F521" t="str">
        <f>IFERROR(IF(INDEX(使用レシピ!H:H,MATCH(テンプレート!$C521,使用レシピ!$E:$E,0))&lt;&gt;0,INDEX(使用レシピ!H:H,MATCH(テンプレート!$C521,使用レシピ!$E:$E,0)),""),"")</f>
        <v/>
      </c>
      <c r="G521" t="str">
        <f>IFERROR(IF(INDEX(使用レシピ!I:I,MATCH(テンプレート!$C521,使用レシピ!$E:$E,0))&lt;&gt;0,INDEX(使用レシピ!I:I,MATCH(テンプレート!$C521,使用レシピ!$E:$E,0)),""),"")</f>
        <v/>
      </c>
      <c r="H521" s="24" t="str">
        <f>IFERROR(IF(INDEX(使用レシピ!J:J,MATCH(テンプレート!$C521,使用レシピ!$E:$E,0))&lt;&gt;0,INDEX(使用レシピ!J:J,MATCH(テンプレート!$C521,使用レシピ!$E:$E,0)),""),"")</f>
        <v/>
      </c>
      <c r="I521" s="36" t="str">
        <f>IFERROR(IF(INDEX(使用レシピ!P:P,MATCH(テンプレート!$C521,使用レシピ!$E:$E,0))&lt;&gt;0,INDEX(使用レシピ!P:P,MATCH(テンプレート!$C521,使用レシピ!$E:$E,0)),""),"")</f>
        <v/>
      </c>
      <c r="J521" t="str">
        <f>IFERROR(IF(INDEX(使用レシピ!K:K,MATCH(テンプレート!$C521,使用レシピ!$E:$E,0))&lt;&gt;0,INDEX(使用レシピ!K:K,MATCH(テンプレート!$C521,使用レシピ!$E:$E,0)),""),"")</f>
        <v/>
      </c>
      <c r="K521" t="str">
        <f>IFERROR(IF(INDEX(使用レシピ!L:L,MATCH(テンプレート!$C521,使用レシピ!$E:$E,0))&lt;&gt;0,INDEX(使用レシピ!L:L,MATCH(テンプレート!$C521,使用レシピ!$E:$E,0)),""),"")</f>
        <v/>
      </c>
      <c r="L521" t="str">
        <f>IFERROR(IF(INDEX(使用レシピ!M:M,MATCH(テンプレート!$C521,使用レシピ!$E:$E,0))&lt;&gt;0,INDEX(使用レシピ!M:M,MATCH(テンプレート!$C521,使用レシピ!$E:$E,0)),""),"")</f>
        <v/>
      </c>
      <c r="M521" t="str">
        <f>IFERROR(IF(INDEX(使用レシピ!N:N,MATCH(テンプレート!$C521,使用レシピ!$E:$E,0))&lt;&gt;0,INDEX(使用レシピ!N:N,MATCH(テンプレート!$C521,使用レシピ!$E:$E,0)),""),"")</f>
        <v/>
      </c>
      <c r="N521" s="24" t="str">
        <f>IFERROR(IF(INDEX(使用レシピ!O:O,MATCH(テンプレート!$C521,使用レシピ!$E:$E,0))&lt;&gt;0,INDEX(使用レシピ!O:O,MATCH(テンプレート!$C521,使用レシピ!$E:$E,0)),""),"")</f>
        <v/>
      </c>
      <c r="O521" s="36" t="str">
        <f>IFERROR(IF(INDEX(使用レシピ!P:P,MATCH(テンプレート!$C521,使用レシピ!$E:$E,0))&lt;&gt;0,INDEX(使用レシピ!P:P,MATCH(テンプレート!$C521,使用レシピ!$E:$E,0)),""),"")</f>
        <v/>
      </c>
      <c r="P521" t="str">
        <f t="shared" si="41"/>
        <v/>
      </c>
      <c r="Q521" t="str">
        <f t="shared" si="42"/>
        <v/>
      </c>
      <c r="R521" t="str">
        <f t="shared" si="43"/>
        <v/>
      </c>
      <c r="S521" t="str">
        <f t="shared" si="44"/>
        <v/>
      </c>
      <c r="T521" s="24" t="str">
        <f t="shared" si="45"/>
        <v/>
      </c>
    </row>
    <row r="522" spans="2:20" x14ac:dyDescent="0.4">
      <c r="B522" s="49" t="str" cm="1">
        <f t="array" ref="B522">IFERROR((INDEX($P$4:$T$1000,MATCH(VALUE(LEFT($A522,LEN($A522)-1)),$A$4:$A$1000,0),VALUE(RIGHT($A522,1)))/ INDEX($O$4:$O$1000,MATCH(VALUE(LEFT($A522,LEN($A522)-1)),$A$4:$A$1000))) * INDEX($B$4:$B$1000,MATCH(VALUE(LEFT($A522,LEN($A522)-1)),$A$4:$A$1000)),"")</f>
        <v/>
      </c>
      <c r="C522" s="2" t="str" cm="1">
        <f t="array" ref="C522">IFERROR(IF(INDEX($D$4:$H$1000,MATCH(VALUE(LEFT($A522,LEN($A522)-1)),$A$4:$A$1000,0),VALUE(RIGHT($A522,1)))= 0,"",INDEX($D$4:$H$1000,MATCH(VALUE(LEFT($A522,LEN($A522)-1)),$A$4:$A$1000,0),VALUE(RIGHT($A522,1)))),"")</f>
        <v/>
      </c>
      <c r="D522" s="23" t="str">
        <f>IFERROR(IF(INDEX(使用レシピ!F:F,MATCH(テンプレート!$C522,使用レシピ!$E:$E,0))&lt;&gt;0,INDEX(使用レシピ!F:F,MATCH(テンプレート!$C522,使用レシピ!$E:$E,0)),""),"")</f>
        <v/>
      </c>
      <c r="E522" t="str">
        <f>IFERROR(IF(INDEX(使用レシピ!G:G,MATCH(テンプレート!$C522,使用レシピ!$E:$E,0))&lt;&gt;0,INDEX(使用レシピ!G:G,MATCH(テンプレート!$C522,使用レシピ!$E:$E,0)),""),"")</f>
        <v/>
      </c>
      <c r="F522" t="str">
        <f>IFERROR(IF(INDEX(使用レシピ!H:H,MATCH(テンプレート!$C522,使用レシピ!$E:$E,0))&lt;&gt;0,INDEX(使用レシピ!H:H,MATCH(テンプレート!$C522,使用レシピ!$E:$E,0)),""),"")</f>
        <v/>
      </c>
      <c r="G522" t="str">
        <f>IFERROR(IF(INDEX(使用レシピ!I:I,MATCH(テンプレート!$C522,使用レシピ!$E:$E,0))&lt;&gt;0,INDEX(使用レシピ!I:I,MATCH(テンプレート!$C522,使用レシピ!$E:$E,0)),""),"")</f>
        <v/>
      </c>
      <c r="H522" s="24" t="str">
        <f>IFERROR(IF(INDEX(使用レシピ!J:J,MATCH(テンプレート!$C522,使用レシピ!$E:$E,0))&lt;&gt;0,INDEX(使用レシピ!J:J,MATCH(テンプレート!$C522,使用レシピ!$E:$E,0)),""),"")</f>
        <v/>
      </c>
      <c r="I522" s="36" t="str">
        <f>IFERROR(IF(INDEX(使用レシピ!P:P,MATCH(テンプレート!$C522,使用レシピ!$E:$E,0))&lt;&gt;0,INDEX(使用レシピ!P:P,MATCH(テンプレート!$C522,使用レシピ!$E:$E,0)),""),"")</f>
        <v/>
      </c>
      <c r="J522" t="str">
        <f>IFERROR(IF(INDEX(使用レシピ!K:K,MATCH(テンプレート!$C522,使用レシピ!$E:$E,0))&lt;&gt;0,INDEX(使用レシピ!K:K,MATCH(テンプレート!$C522,使用レシピ!$E:$E,0)),""),"")</f>
        <v/>
      </c>
      <c r="K522" t="str">
        <f>IFERROR(IF(INDEX(使用レシピ!L:L,MATCH(テンプレート!$C522,使用レシピ!$E:$E,0))&lt;&gt;0,INDEX(使用レシピ!L:L,MATCH(テンプレート!$C522,使用レシピ!$E:$E,0)),""),"")</f>
        <v/>
      </c>
      <c r="L522" t="str">
        <f>IFERROR(IF(INDEX(使用レシピ!M:M,MATCH(テンプレート!$C522,使用レシピ!$E:$E,0))&lt;&gt;0,INDEX(使用レシピ!M:M,MATCH(テンプレート!$C522,使用レシピ!$E:$E,0)),""),"")</f>
        <v/>
      </c>
      <c r="M522" t="str">
        <f>IFERROR(IF(INDEX(使用レシピ!N:N,MATCH(テンプレート!$C522,使用レシピ!$E:$E,0))&lt;&gt;0,INDEX(使用レシピ!N:N,MATCH(テンプレート!$C522,使用レシピ!$E:$E,0)),""),"")</f>
        <v/>
      </c>
      <c r="N522" s="24" t="str">
        <f>IFERROR(IF(INDEX(使用レシピ!O:O,MATCH(テンプレート!$C522,使用レシピ!$E:$E,0))&lt;&gt;0,INDEX(使用レシピ!O:O,MATCH(テンプレート!$C522,使用レシピ!$E:$E,0)),""),"")</f>
        <v/>
      </c>
      <c r="O522" s="36" t="str">
        <f>IFERROR(IF(INDEX(使用レシピ!P:P,MATCH(テンプレート!$C522,使用レシピ!$E:$E,0))&lt;&gt;0,INDEX(使用レシピ!P:P,MATCH(テンプレート!$C522,使用レシピ!$E:$E,0)),""),"")</f>
        <v/>
      </c>
      <c r="P522" t="str">
        <f t="shared" si="41"/>
        <v/>
      </c>
      <c r="Q522" t="str">
        <f t="shared" si="42"/>
        <v/>
      </c>
      <c r="R522" t="str">
        <f t="shared" si="43"/>
        <v/>
      </c>
      <c r="S522" t="str">
        <f t="shared" si="44"/>
        <v/>
      </c>
      <c r="T522" s="24" t="str">
        <f t="shared" si="45"/>
        <v/>
      </c>
    </row>
    <row r="523" spans="2:20" x14ac:dyDescent="0.4">
      <c r="B523" s="49" t="str" cm="1">
        <f t="array" ref="B523">IFERROR((INDEX($P$4:$T$1000,MATCH(VALUE(LEFT($A523,LEN($A523)-1)),$A$4:$A$1000,0),VALUE(RIGHT($A523,1)))/ INDEX($O$4:$O$1000,MATCH(VALUE(LEFT($A523,LEN($A523)-1)),$A$4:$A$1000))) * INDEX($B$4:$B$1000,MATCH(VALUE(LEFT($A523,LEN($A523)-1)),$A$4:$A$1000)),"")</f>
        <v/>
      </c>
      <c r="C523" s="2" t="str" cm="1">
        <f t="array" ref="C523">IFERROR(IF(INDEX($D$4:$H$1000,MATCH(VALUE(LEFT($A523,LEN($A523)-1)),$A$4:$A$1000,0),VALUE(RIGHT($A523,1)))= 0,"",INDEX($D$4:$H$1000,MATCH(VALUE(LEFT($A523,LEN($A523)-1)),$A$4:$A$1000,0),VALUE(RIGHT($A523,1)))),"")</f>
        <v/>
      </c>
      <c r="D523" s="23" t="str">
        <f>IFERROR(IF(INDEX(使用レシピ!F:F,MATCH(テンプレート!$C523,使用レシピ!$E:$E,0))&lt;&gt;0,INDEX(使用レシピ!F:F,MATCH(テンプレート!$C523,使用レシピ!$E:$E,0)),""),"")</f>
        <v/>
      </c>
      <c r="E523" t="str">
        <f>IFERROR(IF(INDEX(使用レシピ!G:G,MATCH(テンプレート!$C523,使用レシピ!$E:$E,0))&lt;&gt;0,INDEX(使用レシピ!G:G,MATCH(テンプレート!$C523,使用レシピ!$E:$E,0)),""),"")</f>
        <v/>
      </c>
      <c r="F523" t="str">
        <f>IFERROR(IF(INDEX(使用レシピ!H:H,MATCH(テンプレート!$C523,使用レシピ!$E:$E,0))&lt;&gt;0,INDEX(使用レシピ!H:H,MATCH(テンプレート!$C523,使用レシピ!$E:$E,0)),""),"")</f>
        <v/>
      </c>
      <c r="G523" t="str">
        <f>IFERROR(IF(INDEX(使用レシピ!I:I,MATCH(テンプレート!$C523,使用レシピ!$E:$E,0))&lt;&gt;0,INDEX(使用レシピ!I:I,MATCH(テンプレート!$C523,使用レシピ!$E:$E,0)),""),"")</f>
        <v/>
      </c>
      <c r="H523" s="24" t="str">
        <f>IFERROR(IF(INDEX(使用レシピ!J:J,MATCH(テンプレート!$C523,使用レシピ!$E:$E,0))&lt;&gt;0,INDEX(使用レシピ!J:J,MATCH(テンプレート!$C523,使用レシピ!$E:$E,0)),""),"")</f>
        <v/>
      </c>
      <c r="I523" s="36" t="str">
        <f>IFERROR(IF(INDEX(使用レシピ!P:P,MATCH(テンプレート!$C523,使用レシピ!$E:$E,0))&lt;&gt;0,INDEX(使用レシピ!P:P,MATCH(テンプレート!$C523,使用レシピ!$E:$E,0)),""),"")</f>
        <v/>
      </c>
      <c r="J523" t="str">
        <f>IFERROR(IF(INDEX(使用レシピ!K:K,MATCH(テンプレート!$C523,使用レシピ!$E:$E,0))&lt;&gt;0,INDEX(使用レシピ!K:K,MATCH(テンプレート!$C523,使用レシピ!$E:$E,0)),""),"")</f>
        <v/>
      </c>
      <c r="K523" t="str">
        <f>IFERROR(IF(INDEX(使用レシピ!L:L,MATCH(テンプレート!$C523,使用レシピ!$E:$E,0))&lt;&gt;0,INDEX(使用レシピ!L:L,MATCH(テンプレート!$C523,使用レシピ!$E:$E,0)),""),"")</f>
        <v/>
      </c>
      <c r="L523" t="str">
        <f>IFERROR(IF(INDEX(使用レシピ!M:M,MATCH(テンプレート!$C523,使用レシピ!$E:$E,0))&lt;&gt;0,INDEX(使用レシピ!M:M,MATCH(テンプレート!$C523,使用レシピ!$E:$E,0)),""),"")</f>
        <v/>
      </c>
      <c r="M523" t="str">
        <f>IFERROR(IF(INDEX(使用レシピ!N:N,MATCH(テンプレート!$C523,使用レシピ!$E:$E,0))&lt;&gt;0,INDEX(使用レシピ!N:N,MATCH(テンプレート!$C523,使用レシピ!$E:$E,0)),""),"")</f>
        <v/>
      </c>
      <c r="N523" s="24" t="str">
        <f>IFERROR(IF(INDEX(使用レシピ!O:O,MATCH(テンプレート!$C523,使用レシピ!$E:$E,0))&lt;&gt;0,INDEX(使用レシピ!O:O,MATCH(テンプレート!$C523,使用レシピ!$E:$E,0)),""),"")</f>
        <v/>
      </c>
      <c r="O523" s="36" t="str">
        <f>IFERROR(IF(INDEX(使用レシピ!P:P,MATCH(テンプレート!$C523,使用レシピ!$E:$E,0))&lt;&gt;0,INDEX(使用レシピ!P:P,MATCH(テンプレート!$C523,使用レシピ!$E:$E,0)),""),"")</f>
        <v/>
      </c>
      <c r="P523" t="str">
        <f t="shared" si="41"/>
        <v/>
      </c>
      <c r="Q523" t="str">
        <f t="shared" si="42"/>
        <v/>
      </c>
      <c r="R523" t="str">
        <f t="shared" si="43"/>
        <v/>
      </c>
      <c r="S523" t="str">
        <f t="shared" si="44"/>
        <v/>
      </c>
      <c r="T523" s="24" t="str">
        <f t="shared" si="45"/>
        <v/>
      </c>
    </row>
    <row r="524" spans="2:20" x14ac:dyDescent="0.4">
      <c r="B524" s="49" t="str" cm="1">
        <f t="array" ref="B524">IFERROR((INDEX($P$4:$T$1000,MATCH(VALUE(LEFT($A524,LEN($A524)-1)),$A$4:$A$1000,0),VALUE(RIGHT($A524,1)))/ INDEX($O$4:$O$1000,MATCH(VALUE(LEFT($A524,LEN($A524)-1)),$A$4:$A$1000))) * INDEX($B$4:$B$1000,MATCH(VALUE(LEFT($A524,LEN($A524)-1)),$A$4:$A$1000)),"")</f>
        <v/>
      </c>
      <c r="C524" s="2" t="str" cm="1">
        <f t="array" ref="C524">IFERROR(IF(INDEX($D$4:$H$1000,MATCH(VALUE(LEFT($A524,LEN($A524)-1)),$A$4:$A$1000,0),VALUE(RIGHT($A524,1)))= 0,"",INDEX($D$4:$H$1000,MATCH(VALUE(LEFT($A524,LEN($A524)-1)),$A$4:$A$1000,0),VALUE(RIGHT($A524,1)))),"")</f>
        <v/>
      </c>
      <c r="D524" s="23" t="str">
        <f>IFERROR(IF(INDEX(使用レシピ!F:F,MATCH(テンプレート!$C524,使用レシピ!$E:$E,0))&lt;&gt;0,INDEX(使用レシピ!F:F,MATCH(テンプレート!$C524,使用レシピ!$E:$E,0)),""),"")</f>
        <v/>
      </c>
      <c r="E524" t="str">
        <f>IFERROR(IF(INDEX(使用レシピ!G:G,MATCH(テンプレート!$C524,使用レシピ!$E:$E,0))&lt;&gt;0,INDEX(使用レシピ!G:G,MATCH(テンプレート!$C524,使用レシピ!$E:$E,0)),""),"")</f>
        <v/>
      </c>
      <c r="F524" t="str">
        <f>IFERROR(IF(INDEX(使用レシピ!H:H,MATCH(テンプレート!$C524,使用レシピ!$E:$E,0))&lt;&gt;0,INDEX(使用レシピ!H:H,MATCH(テンプレート!$C524,使用レシピ!$E:$E,0)),""),"")</f>
        <v/>
      </c>
      <c r="G524" t="str">
        <f>IFERROR(IF(INDEX(使用レシピ!I:I,MATCH(テンプレート!$C524,使用レシピ!$E:$E,0))&lt;&gt;0,INDEX(使用レシピ!I:I,MATCH(テンプレート!$C524,使用レシピ!$E:$E,0)),""),"")</f>
        <v/>
      </c>
      <c r="H524" s="24" t="str">
        <f>IFERROR(IF(INDEX(使用レシピ!J:J,MATCH(テンプレート!$C524,使用レシピ!$E:$E,0))&lt;&gt;0,INDEX(使用レシピ!J:J,MATCH(テンプレート!$C524,使用レシピ!$E:$E,0)),""),"")</f>
        <v/>
      </c>
      <c r="I524" s="36" t="str">
        <f>IFERROR(IF(INDEX(使用レシピ!P:P,MATCH(テンプレート!$C524,使用レシピ!$E:$E,0))&lt;&gt;0,INDEX(使用レシピ!P:P,MATCH(テンプレート!$C524,使用レシピ!$E:$E,0)),""),"")</f>
        <v/>
      </c>
      <c r="J524" t="str">
        <f>IFERROR(IF(INDEX(使用レシピ!K:K,MATCH(テンプレート!$C524,使用レシピ!$E:$E,0))&lt;&gt;0,INDEX(使用レシピ!K:K,MATCH(テンプレート!$C524,使用レシピ!$E:$E,0)),""),"")</f>
        <v/>
      </c>
      <c r="K524" t="str">
        <f>IFERROR(IF(INDEX(使用レシピ!L:L,MATCH(テンプレート!$C524,使用レシピ!$E:$E,0))&lt;&gt;0,INDEX(使用レシピ!L:L,MATCH(テンプレート!$C524,使用レシピ!$E:$E,0)),""),"")</f>
        <v/>
      </c>
      <c r="L524" t="str">
        <f>IFERROR(IF(INDEX(使用レシピ!M:M,MATCH(テンプレート!$C524,使用レシピ!$E:$E,0))&lt;&gt;0,INDEX(使用レシピ!M:M,MATCH(テンプレート!$C524,使用レシピ!$E:$E,0)),""),"")</f>
        <v/>
      </c>
      <c r="M524" t="str">
        <f>IFERROR(IF(INDEX(使用レシピ!N:N,MATCH(テンプレート!$C524,使用レシピ!$E:$E,0))&lt;&gt;0,INDEX(使用レシピ!N:N,MATCH(テンプレート!$C524,使用レシピ!$E:$E,0)),""),"")</f>
        <v/>
      </c>
      <c r="N524" s="24" t="str">
        <f>IFERROR(IF(INDEX(使用レシピ!O:O,MATCH(テンプレート!$C524,使用レシピ!$E:$E,0))&lt;&gt;0,INDEX(使用レシピ!O:O,MATCH(テンプレート!$C524,使用レシピ!$E:$E,0)),""),"")</f>
        <v/>
      </c>
      <c r="O524" s="36" t="str">
        <f>IFERROR(IF(INDEX(使用レシピ!P:P,MATCH(テンプレート!$C524,使用レシピ!$E:$E,0))&lt;&gt;0,INDEX(使用レシピ!P:P,MATCH(テンプレート!$C524,使用レシピ!$E:$E,0)),""),"")</f>
        <v/>
      </c>
      <c r="P524" t="str">
        <f t="shared" si="41"/>
        <v/>
      </c>
      <c r="Q524" t="str">
        <f t="shared" si="42"/>
        <v/>
      </c>
      <c r="R524" t="str">
        <f t="shared" si="43"/>
        <v/>
      </c>
      <c r="S524" t="str">
        <f t="shared" si="44"/>
        <v/>
      </c>
      <c r="T524" s="24" t="str">
        <f t="shared" si="45"/>
        <v/>
      </c>
    </row>
    <row r="525" spans="2:20" x14ac:dyDescent="0.4">
      <c r="B525" s="49" t="str" cm="1">
        <f t="array" ref="B525">IFERROR((INDEX($P$4:$T$1000,MATCH(VALUE(LEFT($A525,LEN($A525)-1)),$A$4:$A$1000,0),VALUE(RIGHT($A525,1)))/ INDEX($O$4:$O$1000,MATCH(VALUE(LEFT($A525,LEN($A525)-1)),$A$4:$A$1000))) * INDEX($B$4:$B$1000,MATCH(VALUE(LEFT($A525,LEN($A525)-1)),$A$4:$A$1000)),"")</f>
        <v/>
      </c>
      <c r="C525" s="2" t="str" cm="1">
        <f t="array" ref="C525">IFERROR(IF(INDEX($D$4:$H$1000,MATCH(VALUE(LEFT($A525,LEN($A525)-1)),$A$4:$A$1000,0),VALUE(RIGHT($A525,1)))= 0,"",INDEX($D$4:$H$1000,MATCH(VALUE(LEFT($A525,LEN($A525)-1)),$A$4:$A$1000,0),VALUE(RIGHT($A525,1)))),"")</f>
        <v/>
      </c>
      <c r="D525" s="23" t="str">
        <f>IFERROR(IF(INDEX(使用レシピ!F:F,MATCH(テンプレート!$C525,使用レシピ!$E:$E,0))&lt;&gt;0,INDEX(使用レシピ!F:F,MATCH(テンプレート!$C525,使用レシピ!$E:$E,0)),""),"")</f>
        <v/>
      </c>
      <c r="E525" t="str">
        <f>IFERROR(IF(INDEX(使用レシピ!G:G,MATCH(テンプレート!$C525,使用レシピ!$E:$E,0))&lt;&gt;0,INDEX(使用レシピ!G:G,MATCH(テンプレート!$C525,使用レシピ!$E:$E,0)),""),"")</f>
        <v/>
      </c>
      <c r="F525" t="str">
        <f>IFERROR(IF(INDEX(使用レシピ!H:H,MATCH(テンプレート!$C525,使用レシピ!$E:$E,0))&lt;&gt;0,INDEX(使用レシピ!H:H,MATCH(テンプレート!$C525,使用レシピ!$E:$E,0)),""),"")</f>
        <v/>
      </c>
      <c r="G525" t="str">
        <f>IFERROR(IF(INDEX(使用レシピ!I:I,MATCH(テンプレート!$C525,使用レシピ!$E:$E,0))&lt;&gt;0,INDEX(使用レシピ!I:I,MATCH(テンプレート!$C525,使用レシピ!$E:$E,0)),""),"")</f>
        <v/>
      </c>
      <c r="H525" s="24" t="str">
        <f>IFERROR(IF(INDEX(使用レシピ!J:J,MATCH(テンプレート!$C525,使用レシピ!$E:$E,0))&lt;&gt;0,INDEX(使用レシピ!J:J,MATCH(テンプレート!$C525,使用レシピ!$E:$E,0)),""),"")</f>
        <v/>
      </c>
      <c r="I525" s="36" t="str">
        <f>IFERROR(IF(INDEX(使用レシピ!P:P,MATCH(テンプレート!$C525,使用レシピ!$E:$E,0))&lt;&gt;0,INDEX(使用レシピ!P:P,MATCH(テンプレート!$C525,使用レシピ!$E:$E,0)),""),"")</f>
        <v/>
      </c>
      <c r="J525" t="str">
        <f>IFERROR(IF(INDEX(使用レシピ!K:K,MATCH(テンプレート!$C525,使用レシピ!$E:$E,0))&lt;&gt;0,INDEX(使用レシピ!K:K,MATCH(テンプレート!$C525,使用レシピ!$E:$E,0)),""),"")</f>
        <v/>
      </c>
      <c r="K525" t="str">
        <f>IFERROR(IF(INDEX(使用レシピ!L:L,MATCH(テンプレート!$C525,使用レシピ!$E:$E,0))&lt;&gt;0,INDEX(使用レシピ!L:L,MATCH(テンプレート!$C525,使用レシピ!$E:$E,0)),""),"")</f>
        <v/>
      </c>
      <c r="L525" t="str">
        <f>IFERROR(IF(INDEX(使用レシピ!M:M,MATCH(テンプレート!$C525,使用レシピ!$E:$E,0))&lt;&gt;0,INDEX(使用レシピ!M:M,MATCH(テンプレート!$C525,使用レシピ!$E:$E,0)),""),"")</f>
        <v/>
      </c>
      <c r="M525" t="str">
        <f>IFERROR(IF(INDEX(使用レシピ!N:N,MATCH(テンプレート!$C525,使用レシピ!$E:$E,0))&lt;&gt;0,INDEX(使用レシピ!N:N,MATCH(テンプレート!$C525,使用レシピ!$E:$E,0)),""),"")</f>
        <v/>
      </c>
      <c r="N525" s="24" t="str">
        <f>IFERROR(IF(INDEX(使用レシピ!O:O,MATCH(テンプレート!$C525,使用レシピ!$E:$E,0))&lt;&gt;0,INDEX(使用レシピ!O:O,MATCH(テンプレート!$C525,使用レシピ!$E:$E,0)),""),"")</f>
        <v/>
      </c>
      <c r="O525" s="36" t="str">
        <f>IFERROR(IF(INDEX(使用レシピ!P:P,MATCH(テンプレート!$C525,使用レシピ!$E:$E,0))&lt;&gt;0,INDEX(使用レシピ!P:P,MATCH(テンプレート!$C525,使用レシピ!$E:$E,0)),""),"")</f>
        <v/>
      </c>
      <c r="P525" t="str">
        <f t="shared" si="41"/>
        <v/>
      </c>
      <c r="Q525" t="str">
        <f t="shared" si="42"/>
        <v/>
      </c>
      <c r="R525" t="str">
        <f t="shared" si="43"/>
        <v/>
      </c>
      <c r="S525" t="str">
        <f t="shared" si="44"/>
        <v/>
      </c>
      <c r="T525" s="24" t="str">
        <f t="shared" si="45"/>
        <v/>
      </c>
    </row>
    <row r="526" spans="2:20" x14ac:dyDescent="0.4">
      <c r="B526" s="49" t="str" cm="1">
        <f t="array" ref="B526">IFERROR((INDEX($P$4:$T$1000,MATCH(VALUE(LEFT($A526,LEN($A526)-1)),$A$4:$A$1000,0),VALUE(RIGHT($A526,1)))/ INDEX($O$4:$O$1000,MATCH(VALUE(LEFT($A526,LEN($A526)-1)),$A$4:$A$1000))) * INDEX($B$4:$B$1000,MATCH(VALUE(LEFT($A526,LEN($A526)-1)),$A$4:$A$1000)),"")</f>
        <v/>
      </c>
      <c r="C526" s="2" t="str" cm="1">
        <f t="array" ref="C526">IFERROR(IF(INDEX($D$4:$H$1000,MATCH(VALUE(LEFT($A526,LEN($A526)-1)),$A$4:$A$1000,0),VALUE(RIGHT($A526,1)))= 0,"",INDEX($D$4:$H$1000,MATCH(VALUE(LEFT($A526,LEN($A526)-1)),$A$4:$A$1000,0),VALUE(RIGHT($A526,1)))),"")</f>
        <v/>
      </c>
      <c r="D526" s="23" t="str">
        <f>IFERROR(IF(INDEX(使用レシピ!F:F,MATCH(テンプレート!$C526,使用レシピ!$E:$E,0))&lt;&gt;0,INDEX(使用レシピ!F:F,MATCH(テンプレート!$C526,使用レシピ!$E:$E,0)),""),"")</f>
        <v/>
      </c>
      <c r="E526" t="str">
        <f>IFERROR(IF(INDEX(使用レシピ!G:G,MATCH(テンプレート!$C526,使用レシピ!$E:$E,0))&lt;&gt;0,INDEX(使用レシピ!G:G,MATCH(テンプレート!$C526,使用レシピ!$E:$E,0)),""),"")</f>
        <v/>
      </c>
      <c r="F526" t="str">
        <f>IFERROR(IF(INDEX(使用レシピ!H:H,MATCH(テンプレート!$C526,使用レシピ!$E:$E,0))&lt;&gt;0,INDEX(使用レシピ!H:H,MATCH(テンプレート!$C526,使用レシピ!$E:$E,0)),""),"")</f>
        <v/>
      </c>
      <c r="G526" t="str">
        <f>IFERROR(IF(INDEX(使用レシピ!I:I,MATCH(テンプレート!$C526,使用レシピ!$E:$E,0))&lt;&gt;0,INDEX(使用レシピ!I:I,MATCH(テンプレート!$C526,使用レシピ!$E:$E,0)),""),"")</f>
        <v/>
      </c>
      <c r="H526" s="24" t="str">
        <f>IFERROR(IF(INDEX(使用レシピ!J:J,MATCH(テンプレート!$C526,使用レシピ!$E:$E,0))&lt;&gt;0,INDEX(使用レシピ!J:J,MATCH(テンプレート!$C526,使用レシピ!$E:$E,0)),""),"")</f>
        <v/>
      </c>
      <c r="I526" s="36" t="str">
        <f>IFERROR(IF(INDEX(使用レシピ!P:P,MATCH(テンプレート!$C526,使用レシピ!$E:$E,0))&lt;&gt;0,INDEX(使用レシピ!P:P,MATCH(テンプレート!$C526,使用レシピ!$E:$E,0)),""),"")</f>
        <v/>
      </c>
      <c r="J526" t="str">
        <f>IFERROR(IF(INDEX(使用レシピ!K:K,MATCH(テンプレート!$C526,使用レシピ!$E:$E,0))&lt;&gt;0,INDEX(使用レシピ!K:K,MATCH(テンプレート!$C526,使用レシピ!$E:$E,0)),""),"")</f>
        <v/>
      </c>
      <c r="K526" t="str">
        <f>IFERROR(IF(INDEX(使用レシピ!L:L,MATCH(テンプレート!$C526,使用レシピ!$E:$E,0))&lt;&gt;0,INDEX(使用レシピ!L:L,MATCH(テンプレート!$C526,使用レシピ!$E:$E,0)),""),"")</f>
        <v/>
      </c>
      <c r="L526" t="str">
        <f>IFERROR(IF(INDEX(使用レシピ!M:M,MATCH(テンプレート!$C526,使用レシピ!$E:$E,0))&lt;&gt;0,INDEX(使用レシピ!M:M,MATCH(テンプレート!$C526,使用レシピ!$E:$E,0)),""),"")</f>
        <v/>
      </c>
      <c r="M526" t="str">
        <f>IFERROR(IF(INDEX(使用レシピ!N:N,MATCH(テンプレート!$C526,使用レシピ!$E:$E,0))&lt;&gt;0,INDEX(使用レシピ!N:N,MATCH(テンプレート!$C526,使用レシピ!$E:$E,0)),""),"")</f>
        <v/>
      </c>
      <c r="N526" s="24" t="str">
        <f>IFERROR(IF(INDEX(使用レシピ!O:O,MATCH(テンプレート!$C526,使用レシピ!$E:$E,0))&lt;&gt;0,INDEX(使用レシピ!O:O,MATCH(テンプレート!$C526,使用レシピ!$E:$E,0)),""),"")</f>
        <v/>
      </c>
      <c r="O526" s="36" t="str">
        <f>IFERROR(IF(INDEX(使用レシピ!P:P,MATCH(テンプレート!$C526,使用レシピ!$E:$E,0))&lt;&gt;0,INDEX(使用レシピ!P:P,MATCH(テンプレート!$C526,使用レシピ!$E:$E,0)),""),"")</f>
        <v/>
      </c>
      <c r="P526" t="str">
        <f t="shared" si="41"/>
        <v/>
      </c>
      <c r="Q526" t="str">
        <f t="shared" si="42"/>
        <v/>
      </c>
      <c r="R526" t="str">
        <f t="shared" si="43"/>
        <v/>
      </c>
      <c r="S526" t="str">
        <f t="shared" si="44"/>
        <v/>
      </c>
      <c r="T526" s="24" t="str">
        <f t="shared" si="45"/>
        <v/>
      </c>
    </row>
    <row r="527" spans="2:20" x14ac:dyDescent="0.4">
      <c r="B527" s="49" t="str" cm="1">
        <f t="array" ref="B527">IFERROR((INDEX($P$4:$T$1000,MATCH(VALUE(LEFT($A527,LEN($A527)-1)),$A$4:$A$1000,0),VALUE(RIGHT($A527,1)))/ INDEX($O$4:$O$1000,MATCH(VALUE(LEFT($A527,LEN($A527)-1)),$A$4:$A$1000))) * INDEX($B$4:$B$1000,MATCH(VALUE(LEFT($A527,LEN($A527)-1)),$A$4:$A$1000)),"")</f>
        <v/>
      </c>
      <c r="C527" s="2" t="str" cm="1">
        <f t="array" ref="C527">IFERROR(IF(INDEX($D$4:$H$1000,MATCH(VALUE(LEFT($A527,LEN($A527)-1)),$A$4:$A$1000,0),VALUE(RIGHT($A527,1)))= 0,"",INDEX($D$4:$H$1000,MATCH(VALUE(LEFT($A527,LEN($A527)-1)),$A$4:$A$1000,0),VALUE(RIGHT($A527,1)))),"")</f>
        <v/>
      </c>
      <c r="D527" s="23" t="str">
        <f>IFERROR(IF(INDEX(使用レシピ!F:F,MATCH(テンプレート!$C527,使用レシピ!$E:$E,0))&lt;&gt;0,INDEX(使用レシピ!F:F,MATCH(テンプレート!$C527,使用レシピ!$E:$E,0)),""),"")</f>
        <v/>
      </c>
      <c r="E527" t="str">
        <f>IFERROR(IF(INDEX(使用レシピ!G:G,MATCH(テンプレート!$C527,使用レシピ!$E:$E,0))&lt;&gt;0,INDEX(使用レシピ!G:G,MATCH(テンプレート!$C527,使用レシピ!$E:$E,0)),""),"")</f>
        <v/>
      </c>
      <c r="F527" t="str">
        <f>IFERROR(IF(INDEX(使用レシピ!H:H,MATCH(テンプレート!$C527,使用レシピ!$E:$E,0))&lt;&gt;0,INDEX(使用レシピ!H:H,MATCH(テンプレート!$C527,使用レシピ!$E:$E,0)),""),"")</f>
        <v/>
      </c>
      <c r="G527" t="str">
        <f>IFERROR(IF(INDEX(使用レシピ!I:I,MATCH(テンプレート!$C527,使用レシピ!$E:$E,0))&lt;&gt;0,INDEX(使用レシピ!I:I,MATCH(テンプレート!$C527,使用レシピ!$E:$E,0)),""),"")</f>
        <v/>
      </c>
      <c r="H527" s="24" t="str">
        <f>IFERROR(IF(INDEX(使用レシピ!J:J,MATCH(テンプレート!$C527,使用レシピ!$E:$E,0))&lt;&gt;0,INDEX(使用レシピ!J:J,MATCH(テンプレート!$C527,使用レシピ!$E:$E,0)),""),"")</f>
        <v/>
      </c>
      <c r="I527" s="36" t="str">
        <f>IFERROR(IF(INDEX(使用レシピ!P:P,MATCH(テンプレート!$C527,使用レシピ!$E:$E,0))&lt;&gt;0,INDEX(使用レシピ!P:P,MATCH(テンプレート!$C527,使用レシピ!$E:$E,0)),""),"")</f>
        <v/>
      </c>
      <c r="J527" t="str">
        <f>IFERROR(IF(INDEX(使用レシピ!K:K,MATCH(テンプレート!$C527,使用レシピ!$E:$E,0))&lt;&gt;0,INDEX(使用レシピ!K:K,MATCH(テンプレート!$C527,使用レシピ!$E:$E,0)),""),"")</f>
        <v/>
      </c>
      <c r="K527" t="str">
        <f>IFERROR(IF(INDEX(使用レシピ!L:L,MATCH(テンプレート!$C527,使用レシピ!$E:$E,0))&lt;&gt;0,INDEX(使用レシピ!L:L,MATCH(テンプレート!$C527,使用レシピ!$E:$E,0)),""),"")</f>
        <v/>
      </c>
      <c r="L527" t="str">
        <f>IFERROR(IF(INDEX(使用レシピ!M:M,MATCH(テンプレート!$C527,使用レシピ!$E:$E,0))&lt;&gt;0,INDEX(使用レシピ!M:M,MATCH(テンプレート!$C527,使用レシピ!$E:$E,0)),""),"")</f>
        <v/>
      </c>
      <c r="M527" t="str">
        <f>IFERROR(IF(INDEX(使用レシピ!N:N,MATCH(テンプレート!$C527,使用レシピ!$E:$E,0))&lt;&gt;0,INDEX(使用レシピ!N:N,MATCH(テンプレート!$C527,使用レシピ!$E:$E,0)),""),"")</f>
        <v/>
      </c>
      <c r="N527" s="24" t="str">
        <f>IFERROR(IF(INDEX(使用レシピ!O:O,MATCH(テンプレート!$C527,使用レシピ!$E:$E,0))&lt;&gt;0,INDEX(使用レシピ!O:O,MATCH(テンプレート!$C527,使用レシピ!$E:$E,0)),""),"")</f>
        <v/>
      </c>
      <c r="O527" s="36" t="str">
        <f>IFERROR(IF(INDEX(使用レシピ!P:P,MATCH(テンプレート!$C527,使用レシピ!$E:$E,0))&lt;&gt;0,INDEX(使用レシピ!P:P,MATCH(テンプレート!$C527,使用レシピ!$E:$E,0)),""),"")</f>
        <v/>
      </c>
      <c r="P527" t="str">
        <f t="shared" si="41"/>
        <v/>
      </c>
      <c r="Q527" t="str">
        <f t="shared" si="42"/>
        <v/>
      </c>
      <c r="R527" t="str">
        <f t="shared" si="43"/>
        <v/>
      </c>
      <c r="S527" t="str">
        <f t="shared" si="44"/>
        <v/>
      </c>
      <c r="T527" s="24" t="str">
        <f t="shared" si="45"/>
        <v/>
      </c>
    </row>
    <row r="528" spans="2:20" x14ac:dyDescent="0.4">
      <c r="B528" s="49" t="str" cm="1">
        <f t="array" ref="B528">IFERROR((INDEX($P$4:$T$1000,MATCH(VALUE(LEFT($A528,LEN($A528)-1)),$A$4:$A$1000,0),VALUE(RIGHT($A528,1)))/ INDEX($O$4:$O$1000,MATCH(VALUE(LEFT($A528,LEN($A528)-1)),$A$4:$A$1000))) * INDEX($B$4:$B$1000,MATCH(VALUE(LEFT($A528,LEN($A528)-1)),$A$4:$A$1000)),"")</f>
        <v/>
      </c>
      <c r="C528" s="2" t="str" cm="1">
        <f t="array" ref="C528">IFERROR(IF(INDEX($D$4:$H$1000,MATCH(VALUE(LEFT($A528,LEN($A528)-1)),$A$4:$A$1000,0),VALUE(RIGHT($A528,1)))= 0,"",INDEX($D$4:$H$1000,MATCH(VALUE(LEFT($A528,LEN($A528)-1)),$A$4:$A$1000,0),VALUE(RIGHT($A528,1)))),"")</f>
        <v/>
      </c>
      <c r="D528" s="23" t="str">
        <f>IFERROR(IF(INDEX(使用レシピ!F:F,MATCH(テンプレート!$C528,使用レシピ!$E:$E,0))&lt;&gt;0,INDEX(使用レシピ!F:F,MATCH(テンプレート!$C528,使用レシピ!$E:$E,0)),""),"")</f>
        <v/>
      </c>
      <c r="E528" t="str">
        <f>IFERROR(IF(INDEX(使用レシピ!G:G,MATCH(テンプレート!$C528,使用レシピ!$E:$E,0))&lt;&gt;0,INDEX(使用レシピ!G:G,MATCH(テンプレート!$C528,使用レシピ!$E:$E,0)),""),"")</f>
        <v/>
      </c>
      <c r="F528" t="str">
        <f>IFERROR(IF(INDEX(使用レシピ!H:H,MATCH(テンプレート!$C528,使用レシピ!$E:$E,0))&lt;&gt;0,INDEX(使用レシピ!H:H,MATCH(テンプレート!$C528,使用レシピ!$E:$E,0)),""),"")</f>
        <v/>
      </c>
      <c r="G528" t="str">
        <f>IFERROR(IF(INDEX(使用レシピ!I:I,MATCH(テンプレート!$C528,使用レシピ!$E:$E,0))&lt;&gt;0,INDEX(使用レシピ!I:I,MATCH(テンプレート!$C528,使用レシピ!$E:$E,0)),""),"")</f>
        <v/>
      </c>
      <c r="H528" s="24" t="str">
        <f>IFERROR(IF(INDEX(使用レシピ!J:J,MATCH(テンプレート!$C528,使用レシピ!$E:$E,0))&lt;&gt;0,INDEX(使用レシピ!J:J,MATCH(テンプレート!$C528,使用レシピ!$E:$E,0)),""),"")</f>
        <v/>
      </c>
      <c r="I528" s="36" t="str">
        <f>IFERROR(IF(INDEX(使用レシピ!P:P,MATCH(テンプレート!$C528,使用レシピ!$E:$E,0))&lt;&gt;0,INDEX(使用レシピ!P:P,MATCH(テンプレート!$C528,使用レシピ!$E:$E,0)),""),"")</f>
        <v/>
      </c>
      <c r="J528" t="str">
        <f>IFERROR(IF(INDEX(使用レシピ!K:K,MATCH(テンプレート!$C528,使用レシピ!$E:$E,0))&lt;&gt;0,INDEX(使用レシピ!K:K,MATCH(テンプレート!$C528,使用レシピ!$E:$E,0)),""),"")</f>
        <v/>
      </c>
      <c r="K528" t="str">
        <f>IFERROR(IF(INDEX(使用レシピ!L:L,MATCH(テンプレート!$C528,使用レシピ!$E:$E,0))&lt;&gt;0,INDEX(使用レシピ!L:L,MATCH(テンプレート!$C528,使用レシピ!$E:$E,0)),""),"")</f>
        <v/>
      </c>
      <c r="L528" t="str">
        <f>IFERROR(IF(INDEX(使用レシピ!M:M,MATCH(テンプレート!$C528,使用レシピ!$E:$E,0))&lt;&gt;0,INDEX(使用レシピ!M:M,MATCH(テンプレート!$C528,使用レシピ!$E:$E,0)),""),"")</f>
        <v/>
      </c>
      <c r="M528" t="str">
        <f>IFERROR(IF(INDEX(使用レシピ!N:N,MATCH(テンプレート!$C528,使用レシピ!$E:$E,0))&lt;&gt;0,INDEX(使用レシピ!N:N,MATCH(テンプレート!$C528,使用レシピ!$E:$E,0)),""),"")</f>
        <v/>
      </c>
      <c r="N528" s="24" t="str">
        <f>IFERROR(IF(INDEX(使用レシピ!O:O,MATCH(テンプレート!$C528,使用レシピ!$E:$E,0))&lt;&gt;0,INDEX(使用レシピ!O:O,MATCH(テンプレート!$C528,使用レシピ!$E:$E,0)),""),"")</f>
        <v/>
      </c>
      <c r="O528" s="36" t="str">
        <f>IFERROR(IF(INDEX(使用レシピ!P:P,MATCH(テンプレート!$C528,使用レシピ!$E:$E,0))&lt;&gt;0,INDEX(使用レシピ!P:P,MATCH(テンプレート!$C528,使用レシピ!$E:$E,0)),""),"")</f>
        <v/>
      </c>
      <c r="P528" t="str">
        <f t="shared" si="41"/>
        <v/>
      </c>
      <c r="Q528" t="str">
        <f t="shared" si="42"/>
        <v/>
      </c>
      <c r="R528" t="str">
        <f t="shared" si="43"/>
        <v/>
      </c>
      <c r="S528" t="str">
        <f t="shared" si="44"/>
        <v/>
      </c>
      <c r="T528" s="24" t="str">
        <f t="shared" si="45"/>
        <v/>
      </c>
    </row>
    <row r="529" spans="2:20" x14ac:dyDescent="0.4">
      <c r="B529" s="49" t="str" cm="1">
        <f t="array" ref="B529">IFERROR((INDEX($P$4:$T$1000,MATCH(VALUE(LEFT($A529,LEN($A529)-1)),$A$4:$A$1000,0),VALUE(RIGHT($A529,1)))/ INDEX($O$4:$O$1000,MATCH(VALUE(LEFT($A529,LEN($A529)-1)),$A$4:$A$1000))) * INDEX($B$4:$B$1000,MATCH(VALUE(LEFT($A529,LEN($A529)-1)),$A$4:$A$1000)),"")</f>
        <v/>
      </c>
      <c r="C529" s="2" t="str" cm="1">
        <f t="array" ref="C529">IFERROR(IF(INDEX($D$4:$H$1000,MATCH(VALUE(LEFT($A529,LEN($A529)-1)),$A$4:$A$1000,0),VALUE(RIGHT($A529,1)))= 0,"",INDEX($D$4:$H$1000,MATCH(VALUE(LEFT($A529,LEN($A529)-1)),$A$4:$A$1000,0),VALUE(RIGHT($A529,1)))),"")</f>
        <v/>
      </c>
      <c r="D529" s="23" t="str">
        <f>IFERROR(IF(INDEX(使用レシピ!F:F,MATCH(テンプレート!$C529,使用レシピ!$E:$E,0))&lt;&gt;0,INDEX(使用レシピ!F:F,MATCH(テンプレート!$C529,使用レシピ!$E:$E,0)),""),"")</f>
        <v/>
      </c>
      <c r="E529" t="str">
        <f>IFERROR(IF(INDEX(使用レシピ!G:G,MATCH(テンプレート!$C529,使用レシピ!$E:$E,0))&lt;&gt;0,INDEX(使用レシピ!G:G,MATCH(テンプレート!$C529,使用レシピ!$E:$E,0)),""),"")</f>
        <v/>
      </c>
      <c r="F529" t="str">
        <f>IFERROR(IF(INDEX(使用レシピ!H:H,MATCH(テンプレート!$C529,使用レシピ!$E:$E,0))&lt;&gt;0,INDEX(使用レシピ!H:H,MATCH(テンプレート!$C529,使用レシピ!$E:$E,0)),""),"")</f>
        <v/>
      </c>
      <c r="G529" t="str">
        <f>IFERROR(IF(INDEX(使用レシピ!I:I,MATCH(テンプレート!$C529,使用レシピ!$E:$E,0))&lt;&gt;0,INDEX(使用レシピ!I:I,MATCH(テンプレート!$C529,使用レシピ!$E:$E,0)),""),"")</f>
        <v/>
      </c>
      <c r="H529" s="24" t="str">
        <f>IFERROR(IF(INDEX(使用レシピ!J:J,MATCH(テンプレート!$C529,使用レシピ!$E:$E,0))&lt;&gt;0,INDEX(使用レシピ!J:J,MATCH(テンプレート!$C529,使用レシピ!$E:$E,0)),""),"")</f>
        <v/>
      </c>
      <c r="I529" s="36" t="str">
        <f>IFERROR(IF(INDEX(使用レシピ!P:P,MATCH(テンプレート!$C529,使用レシピ!$E:$E,0))&lt;&gt;0,INDEX(使用レシピ!P:P,MATCH(テンプレート!$C529,使用レシピ!$E:$E,0)),""),"")</f>
        <v/>
      </c>
      <c r="J529" t="str">
        <f>IFERROR(IF(INDEX(使用レシピ!K:K,MATCH(テンプレート!$C529,使用レシピ!$E:$E,0))&lt;&gt;0,INDEX(使用レシピ!K:K,MATCH(テンプレート!$C529,使用レシピ!$E:$E,0)),""),"")</f>
        <v/>
      </c>
      <c r="K529" t="str">
        <f>IFERROR(IF(INDEX(使用レシピ!L:L,MATCH(テンプレート!$C529,使用レシピ!$E:$E,0))&lt;&gt;0,INDEX(使用レシピ!L:L,MATCH(テンプレート!$C529,使用レシピ!$E:$E,0)),""),"")</f>
        <v/>
      </c>
      <c r="L529" t="str">
        <f>IFERROR(IF(INDEX(使用レシピ!M:M,MATCH(テンプレート!$C529,使用レシピ!$E:$E,0))&lt;&gt;0,INDEX(使用レシピ!M:M,MATCH(テンプレート!$C529,使用レシピ!$E:$E,0)),""),"")</f>
        <v/>
      </c>
      <c r="M529" t="str">
        <f>IFERROR(IF(INDEX(使用レシピ!N:N,MATCH(テンプレート!$C529,使用レシピ!$E:$E,0))&lt;&gt;0,INDEX(使用レシピ!N:N,MATCH(テンプレート!$C529,使用レシピ!$E:$E,0)),""),"")</f>
        <v/>
      </c>
      <c r="N529" s="24" t="str">
        <f>IFERROR(IF(INDEX(使用レシピ!O:O,MATCH(テンプレート!$C529,使用レシピ!$E:$E,0))&lt;&gt;0,INDEX(使用レシピ!O:O,MATCH(テンプレート!$C529,使用レシピ!$E:$E,0)),""),"")</f>
        <v/>
      </c>
      <c r="O529" s="36" t="str">
        <f>IFERROR(IF(INDEX(使用レシピ!P:P,MATCH(テンプレート!$C529,使用レシピ!$E:$E,0))&lt;&gt;0,INDEX(使用レシピ!P:P,MATCH(テンプレート!$C529,使用レシピ!$E:$E,0)),""),"")</f>
        <v/>
      </c>
      <c r="P529" t="str">
        <f t="shared" si="41"/>
        <v/>
      </c>
      <c r="Q529" t="str">
        <f t="shared" si="42"/>
        <v/>
      </c>
      <c r="R529" t="str">
        <f t="shared" si="43"/>
        <v/>
      </c>
      <c r="S529" t="str">
        <f t="shared" si="44"/>
        <v/>
      </c>
      <c r="T529" s="24" t="str">
        <f t="shared" si="45"/>
        <v/>
      </c>
    </row>
    <row r="530" spans="2:20" x14ac:dyDescent="0.4">
      <c r="B530" s="49" t="str" cm="1">
        <f t="array" ref="B530">IFERROR((INDEX($P$4:$T$1000,MATCH(VALUE(LEFT($A530,LEN($A530)-1)),$A$4:$A$1000,0),VALUE(RIGHT($A530,1)))/ INDEX($O$4:$O$1000,MATCH(VALUE(LEFT($A530,LEN($A530)-1)),$A$4:$A$1000))) * INDEX($B$4:$B$1000,MATCH(VALUE(LEFT($A530,LEN($A530)-1)),$A$4:$A$1000)),"")</f>
        <v/>
      </c>
      <c r="C530" s="2" t="str" cm="1">
        <f t="array" ref="C530">IFERROR(IF(INDEX($D$4:$H$1000,MATCH(VALUE(LEFT($A530,LEN($A530)-1)),$A$4:$A$1000,0),VALUE(RIGHT($A530,1)))= 0,"",INDEX($D$4:$H$1000,MATCH(VALUE(LEFT($A530,LEN($A530)-1)),$A$4:$A$1000,0),VALUE(RIGHT($A530,1)))),"")</f>
        <v/>
      </c>
      <c r="D530" s="23" t="str">
        <f>IFERROR(IF(INDEX(使用レシピ!F:F,MATCH(テンプレート!$C530,使用レシピ!$E:$E,0))&lt;&gt;0,INDEX(使用レシピ!F:F,MATCH(テンプレート!$C530,使用レシピ!$E:$E,0)),""),"")</f>
        <v/>
      </c>
      <c r="E530" t="str">
        <f>IFERROR(IF(INDEX(使用レシピ!G:G,MATCH(テンプレート!$C530,使用レシピ!$E:$E,0))&lt;&gt;0,INDEX(使用レシピ!G:G,MATCH(テンプレート!$C530,使用レシピ!$E:$E,0)),""),"")</f>
        <v/>
      </c>
      <c r="F530" t="str">
        <f>IFERROR(IF(INDEX(使用レシピ!H:H,MATCH(テンプレート!$C530,使用レシピ!$E:$E,0))&lt;&gt;0,INDEX(使用レシピ!H:H,MATCH(テンプレート!$C530,使用レシピ!$E:$E,0)),""),"")</f>
        <v/>
      </c>
      <c r="G530" t="str">
        <f>IFERROR(IF(INDEX(使用レシピ!I:I,MATCH(テンプレート!$C530,使用レシピ!$E:$E,0))&lt;&gt;0,INDEX(使用レシピ!I:I,MATCH(テンプレート!$C530,使用レシピ!$E:$E,0)),""),"")</f>
        <v/>
      </c>
      <c r="H530" s="24" t="str">
        <f>IFERROR(IF(INDEX(使用レシピ!J:J,MATCH(テンプレート!$C530,使用レシピ!$E:$E,0))&lt;&gt;0,INDEX(使用レシピ!J:J,MATCH(テンプレート!$C530,使用レシピ!$E:$E,0)),""),"")</f>
        <v/>
      </c>
      <c r="I530" s="36" t="str">
        <f>IFERROR(IF(INDEX(使用レシピ!P:P,MATCH(テンプレート!$C530,使用レシピ!$E:$E,0))&lt;&gt;0,INDEX(使用レシピ!P:P,MATCH(テンプレート!$C530,使用レシピ!$E:$E,0)),""),"")</f>
        <v/>
      </c>
      <c r="J530" t="str">
        <f>IFERROR(IF(INDEX(使用レシピ!K:K,MATCH(テンプレート!$C530,使用レシピ!$E:$E,0))&lt;&gt;0,INDEX(使用レシピ!K:K,MATCH(テンプレート!$C530,使用レシピ!$E:$E,0)),""),"")</f>
        <v/>
      </c>
      <c r="K530" t="str">
        <f>IFERROR(IF(INDEX(使用レシピ!L:L,MATCH(テンプレート!$C530,使用レシピ!$E:$E,0))&lt;&gt;0,INDEX(使用レシピ!L:L,MATCH(テンプレート!$C530,使用レシピ!$E:$E,0)),""),"")</f>
        <v/>
      </c>
      <c r="L530" t="str">
        <f>IFERROR(IF(INDEX(使用レシピ!M:M,MATCH(テンプレート!$C530,使用レシピ!$E:$E,0))&lt;&gt;0,INDEX(使用レシピ!M:M,MATCH(テンプレート!$C530,使用レシピ!$E:$E,0)),""),"")</f>
        <v/>
      </c>
      <c r="M530" t="str">
        <f>IFERROR(IF(INDEX(使用レシピ!N:N,MATCH(テンプレート!$C530,使用レシピ!$E:$E,0))&lt;&gt;0,INDEX(使用レシピ!N:N,MATCH(テンプレート!$C530,使用レシピ!$E:$E,0)),""),"")</f>
        <v/>
      </c>
      <c r="N530" s="24" t="str">
        <f>IFERROR(IF(INDEX(使用レシピ!O:O,MATCH(テンプレート!$C530,使用レシピ!$E:$E,0))&lt;&gt;0,INDEX(使用レシピ!O:O,MATCH(テンプレート!$C530,使用レシピ!$E:$E,0)),""),"")</f>
        <v/>
      </c>
      <c r="O530" s="36" t="str">
        <f>IFERROR(IF(INDEX(使用レシピ!P:P,MATCH(テンプレート!$C530,使用レシピ!$E:$E,0))&lt;&gt;0,INDEX(使用レシピ!P:P,MATCH(テンプレート!$C530,使用レシピ!$E:$E,0)),""),"")</f>
        <v/>
      </c>
      <c r="P530" t="str">
        <f t="shared" si="41"/>
        <v/>
      </c>
      <c r="Q530" t="str">
        <f t="shared" si="42"/>
        <v/>
      </c>
      <c r="R530" t="str">
        <f t="shared" si="43"/>
        <v/>
      </c>
      <c r="S530" t="str">
        <f t="shared" si="44"/>
        <v/>
      </c>
      <c r="T530" s="24" t="str">
        <f t="shared" si="45"/>
        <v/>
      </c>
    </row>
    <row r="531" spans="2:20" x14ac:dyDescent="0.4">
      <c r="B531" s="49" t="str" cm="1">
        <f t="array" ref="B531">IFERROR((INDEX($P$4:$T$1000,MATCH(VALUE(LEFT($A531,LEN($A531)-1)),$A$4:$A$1000,0),VALUE(RIGHT($A531,1)))/ INDEX($O$4:$O$1000,MATCH(VALUE(LEFT($A531,LEN($A531)-1)),$A$4:$A$1000))) * INDEX($B$4:$B$1000,MATCH(VALUE(LEFT($A531,LEN($A531)-1)),$A$4:$A$1000)),"")</f>
        <v/>
      </c>
      <c r="C531" s="2" t="str" cm="1">
        <f t="array" ref="C531">IFERROR(IF(INDEX($D$4:$H$1000,MATCH(VALUE(LEFT($A531,LEN($A531)-1)),$A$4:$A$1000,0),VALUE(RIGHT($A531,1)))= 0,"",INDEX($D$4:$H$1000,MATCH(VALUE(LEFT($A531,LEN($A531)-1)),$A$4:$A$1000,0),VALUE(RIGHT($A531,1)))),"")</f>
        <v/>
      </c>
      <c r="D531" s="23" t="str">
        <f>IFERROR(IF(INDEX(使用レシピ!F:F,MATCH(テンプレート!$C531,使用レシピ!$E:$E,0))&lt;&gt;0,INDEX(使用レシピ!F:F,MATCH(テンプレート!$C531,使用レシピ!$E:$E,0)),""),"")</f>
        <v/>
      </c>
      <c r="E531" t="str">
        <f>IFERROR(IF(INDEX(使用レシピ!G:G,MATCH(テンプレート!$C531,使用レシピ!$E:$E,0))&lt;&gt;0,INDEX(使用レシピ!G:G,MATCH(テンプレート!$C531,使用レシピ!$E:$E,0)),""),"")</f>
        <v/>
      </c>
      <c r="F531" t="str">
        <f>IFERROR(IF(INDEX(使用レシピ!H:H,MATCH(テンプレート!$C531,使用レシピ!$E:$E,0))&lt;&gt;0,INDEX(使用レシピ!H:H,MATCH(テンプレート!$C531,使用レシピ!$E:$E,0)),""),"")</f>
        <v/>
      </c>
      <c r="G531" t="str">
        <f>IFERROR(IF(INDEX(使用レシピ!I:I,MATCH(テンプレート!$C531,使用レシピ!$E:$E,0))&lt;&gt;0,INDEX(使用レシピ!I:I,MATCH(テンプレート!$C531,使用レシピ!$E:$E,0)),""),"")</f>
        <v/>
      </c>
      <c r="H531" s="24" t="str">
        <f>IFERROR(IF(INDEX(使用レシピ!J:J,MATCH(テンプレート!$C531,使用レシピ!$E:$E,0))&lt;&gt;0,INDEX(使用レシピ!J:J,MATCH(テンプレート!$C531,使用レシピ!$E:$E,0)),""),"")</f>
        <v/>
      </c>
      <c r="I531" s="36" t="str">
        <f>IFERROR(IF(INDEX(使用レシピ!P:P,MATCH(テンプレート!$C531,使用レシピ!$E:$E,0))&lt;&gt;0,INDEX(使用レシピ!P:P,MATCH(テンプレート!$C531,使用レシピ!$E:$E,0)),""),"")</f>
        <v/>
      </c>
      <c r="J531" t="str">
        <f>IFERROR(IF(INDEX(使用レシピ!K:K,MATCH(テンプレート!$C531,使用レシピ!$E:$E,0))&lt;&gt;0,INDEX(使用レシピ!K:K,MATCH(テンプレート!$C531,使用レシピ!$E:$E,0)),""),"")</f>
        <v/>
      </c>
      <c r="K531" t="str">
        <f>IFERROR(IF(INDEX(使用レシピ!L:L,MATCH(テンプレート!$C531,使用レシピ!$E:$E,0))&lt;&gt;0,INDEX(使用レシピ!L:L,MATCH(テンプレート!$C531,使用レシピ!$E:$E,0)),""),"")</f>
        <v/>
      </c>
      <c r="L531" t="str">
        <f>IFERROR(IF(INDEX(使用レシピ!M:M,MATCH(テンプレート!$C531,使用レシピ!$E:$E,0))&lt;&gt;0,INDEX(使用レシピ!M:M,MATCH(テンプレート!$C531,使用レシピ!$E:$E,0)),""),"")</f>
        <v/>
      </c>
      <c r="M531" t="str">
        <f>IFERROR(IF(INDEX(使用レシピ!N:N,MATCH(テンプレート!$C531,使用レシピ!$E:$E,0))&lt;&gt;0,INDEX(使用レシピ!N:N,MATCH(テンプレート!$C531,使用レシピ!$E:$E,0)),""),"")</f>
        <v/>
      </c>
      <c r="N531" s="24" t="str">
        <f>IFERROR(IF(INDEX(使用レシピ!O:O,MATCH(テンプレート!$C531,使用レシピ!$E:$E,0))&lt;&gt;0,INDEX(使用レシピ!O:O,MATCH(テンプレート!$C531,使用レシピ!$E:$E,0)),""),"")</f>
        <v/>
      </c>
      <c r="O531" s="36" t="str">
        <f>IFERROR(IF(INDEX(使用レシピ!P:P,MATCH(テンプレート!$C531,使用レシピ!$E:$E,0))&lt;&gt;0,INDEX(使用レシピ!P:P,MATCH(テンプレート!$C531,使用レシピ!$E:$E,0)),""),"")</f>
        <v/>
      </c>
      <c r="P531" t="str">
        <f t="shared" si="41"/>
        <v/>
      </c>
      <c r="Q531" t="str">
        <f t="shared" si="42"/>
        <v/>
      </c>
      <c r="R531" t="str">
        <f t="shared" si="43"/>
        <v/>
      </c>
      <c r="S531" t="str">
        <f t="shared" si="44"/>
        <v/>
      </c>
      <c r="T531" s="24" t="str">
        <f t="shared" si="45"/>
        <v/>
      </c>
    </row>
    <row r="532" spans="2:20" x14ac:dyDescent="0.4">
      <c r="B532" s="49" t="str" cm="1">
        <f t="array" ref="B532">IFERROR((INDEX($P$4:$T$1000,MATCH(VALUE(LEFT($A532,LEN($A532)-1)),$A$4:$A$1000,0),VALUE(RIGHT($A532,1)))/ INDEX($O$4:$O$1000,MATCH(VALUE(LEFT($A532,LEN($A532)-1)),$A$4:$A$1000))) * INDEX($B$4:$B$1000,MATCH(VALUE(LEFT($A532,LEN($A532)-1)),$A$4:$A$1000)),"")</f>
        <v/>
      </c>
      <c r="C532" s="2" t="str" cm="1">
        <f t="array" ref="C532">IFERROR(IF(INDEX($D$4:$H$1000,MATCH(VALUE(LEFT($A532,LEN($A532)-1)),$A$4:$A$1000,0),VALUE(RIGHT($A532,1)))= 0,"",INDEX($D$4:$H$1000,MATCH(VALUE(LEFT($A532,LEN($A532)-1)),$A$4:$A$1000,0),VALUE(RIGHT($A532,1)))),"")</f>
        <v/>
      </c>
      <c r="D532" s="23" t="str">
        <f>IFERROR(IF(INDEX(使用レシピ!F:F,MATCH(テンプレート!$C532,使用レシピ!$E:$E,0))&lt;&gt;0,INDEX(使用レシピ!F:F,MATCH(テンプレート!$C532,使用レシピ!$E:$E,0)),""),"")</f>
        <v/>
      </c>
      <c r="E532" t="str">
        <f>IFERROR(IF(INDEX(使用レシピ!G:G,MATCH(テンプレート!$C532,使用レシピ!$E:$E,0))&lt;&gt;0,INDEX(使用レシピ!G:G,MATCH(テンプレート!$C532,使用レシピ!$E:$E,0)),""),"")</f>
        <v/>
      </c>
      <c r="F532" t="str">
        <f>IFERROR(IF(INDEX(使用レシピ!H:H,MATCH(テンプレート!$C532,使用レシピ!$E:$E,0))&lt;&gt;0,INDEX(使用レシピ!H:H,MATCH(テンプレート!$C532,使用レシピ!$E:$E,0)),""),"")</f>
        <v/>
      </c>
      <c r="G532" t="str">
        <f>IFERROR(IF(INDEX(使用レシピ!I:I,MATCH(テンプレート!$C532,使用レシピ!$E:$E,0))&lt;&gt;0,INDEX(使用レシピ!I:I,MATCH(テンプレート!$C532,使用レシピ!$E:$E,0)),""),"")</f>
        <v/>
      </c>
      <c r="H532" s="24" t="str">
        <f>IFERROR(IF(INDEX(使用レシピ!J:J,MATCH(テンプレート!$C532,使用レシピ!$E:$E,0))&lt;&gt;0,INDEX(使用レシピ!J:J,MATCH(テンプレート!$C532,使用レシピ!$E:$E,0)),""),"")</f>
        <v/>
      </c>
      <c r="I532" s="36" t="str">
        <f>IFERROR(IF(INDEX(使用レシピ!P:P,MATCH(テンプレート!$C532,使用レシピ!$E:$E,0))&lt;&gt;0,INDEX(使用レシピ!P:P,MATCH(テンプレート!$C532,使用レシピ!$E:$E,0)),""),"")</f>
        <v/>
      </c>
      <c r="J532" t="str">
        <f>IFERROR(IF(INDEX(使用レシピ!K:K,MATCH(テンプレート!$C532,使用レシピ!$E:$E,0))&lt;&gt;0,INDEX(使用レシピ!K:K,MATCH(テンプレート!$C532,使用レシピ!$E:$E,0)),""),"")</f>
        <v/>
      </c>
      <c r="K532" t="str">
        <f>IFERROR(IF(INDEX(使用レシピ!L:L,MATCH(テンプレート!$C532,使用レシピ!$E:$E,0))&lt;&gt;0,INDEX(使用レシピ!L:L,MATCH(テンプレート!$C532,使用レシピ!$E:$E,0)),""),"")</f>
        <v/>
      </c>
      <c r="L532" t="str">
        <f>IFERROR(IF(INDEX(使用レシピ!M:M,MATCH(テンプレート!$C532,使用レシピ!$E:$E,0))&lt;&gt;0,INDEX(使用レシピ!M:M,MATCH(テンプレート!$C532,使用レシピ!$E:$E,0)),""),"")</f>
        <v/>
      </c>
      <c r="M532" t="str">
        <f>IFERROR(IF(INDEX(使用レシピ!N:N,MATCH(テンプレート!$C532,使用レシピ!$E:$E,0))&lt;&gt;0,INDEX(使用レシピ!N:N,MATCH(テンプレート!$C532,使用レシピ!$E:$E,0)),""),"")</f>
        <v/>
      </c>
      <c r="N532" s="24" t="str">
        <f>IFERROR(IF(INDEX(使用レシピ!O:O,MATCH(テンプレート!$C532,使用レシピ!$E:$E,0))&lt;&gt;0,INDEX(使用レシピ!O:O,MATCH(テンプレート!$C532,使用レシピ!$E:$E,0)),""),"")</f>
        <v/>
      </c>
      <c r="O532" s="36" t="str">
        <f>IFERROR(IF(INDEX(使用レシピ!P:P,MATCH(テンプレート!$C532,使用レシピ!$E:$E,0))&lt;&gt;0,INDEX(使用レシピ!P:P,MATCH(テンプレート!$C532,使用レシピ!$E:$E,0)),""),"")</f>
        <v/>
      </c>
      <c r="P532" t="str">
        <f t="shared" si="41"/>
        <v/>
      </c>
      <c r="Q532" t="str">
        <f t="shared" si="42"/>
        <v/>
      </c>
      <c r="R532" t="str">
        <f t="shared" si="43"/>
        <v/>
      </c>
      <c r="S532" t="str">
        <f t="shared" si="44"/>
        <v/>
      </c>
      <c r="T532" s="24" t="str">
        <f t="shared" si="45"/>
        <v/>
      </c>
    </row>
    <row r="533" spans="2:20" x14ac:dyDescent="0.4">
      <c r="B533" s="49" t="str" cm="1">
        <f t="array" ref="B533">IFERROR((INDEX($P$4:$T$1000,MATCH(VALUE(LEFT($A533,LEN($A533)-1)),$A$4:$A$1000,0),VALUE(RIGHT($A533,1)))/ INDEX($O$4:$O$1000,MATCH(VALUE(LEFT($A533,LEN($A533)-1)),$A$4:$A$1000))) * INDEX($B$4:$B$1000,MATCH(VALUE(LEFT($A533,LEN($A533)-1)),$A$4:$A$1000)),"")</f>
        <v/>
      </c>
      <c r="C533" s="2" t="str" cm="1">
        <f t="array" ref="C533">IFERROR(IF(INDEX($D$4:$H$1000,MATCH(VALUE(LEFT($A533,LEN($A533)-1)),$A$4:$A$1000,0),VALUE(RIGHT($A533,1)))= 0,"",INDEX($D$4:$H$1000,MATCH(VALUE(LEFT($A533,LEN($A533)-1)),$A$4:$A$1000,0),VALUE(RIGHT($A533,1)))),"")</f>
        <v/>
      </c>
      <c r="D533" s="23" t="str">
        <f>IFERROR(IF(INDEX(使用レシピ!F:F,MATCH(テンプレート!$C533,使用レシピ!$E:$E,0))&lt;&gt;0,INDEX(使用レシピ!F:F,MATCH(テンプレート!$C533,使用レシピ!$E:$E,0)),""),"")</f>
        <v/>
      </c>
      <c r="E533" t="str">
        <f>IFERROR(IF(INDEX(使用レシピ!G:G,MATCH(テンプレート!$C533,使用レシピ!$E:$E,0))&lt;&gt;0,INDEX(使用レシピ!G:G,MATCH(テンプレート!$C533,使用レシピ!$E:$E,0)),""),"")</f>
        <v/>
      </c>
      <c r="F533" t="str">
        <f>IFERROR(IF(INDEX(使用レシピ!H:H,MATCH(テンプレート!$C533,使用レシピ!$E:$E,0))&lt;&gt;0,INDEX(使用レシピ!H:H,MATCH(テンプレート!$C533,使用レシピ!$E:$E,0)),""),"")</f>
        <v/>
      </c>
      <c r="G533" t="str">
        <f>IFERROR(IF(INDEX(使用レシピ!I:I,MATCH(テンプレート!$C533,使用レシピ!$E:$E,0))&lt;&gt;0,INDEX(使用レシピ!I:I,MATCH(テンプレート!$C533,使用レシピ!$E:$E,0)),""),"")</f>
        <v/>
      </c>
      <c r="H533" s="24" t="str">
        <f>IFERROR(IF(INDEX(使用レシピ!J:J,MATCH(テンプレート!$C533,使用レシピ!$E:$E,0))&lt;&gt;0,INDEX(使用レシピ!J:J,MATCH(テンプレート!$C533,使用レシピ!$E:$E,0)),""),"")</f>
        <v/>
      </c>
      <c r="I533" s="36" t="str">
        <f>IFERROR(IF(INDEX(使用レシピ!P:P,MATCH(テンプレート!$C533,使用レシピ!$E:$E,0))&lt;&gt;0,INDEX(使用レシピ!P:P,MATCH(テンプレート!$C533,使用レシピ!$E:$E,0)),""),"")</f>
        <v/>
      </c>
      <c r="J533" t="str">
        <f>IFERROR(IF(INDEX(使用レシピ!K:K,MATCH(テンプレート!$C533,使用レシピ!$E:$E,0))&lt;&gt;0,INDEX(使用レシピ!K:K,MATCH(テンプレート!$C533,使用レシピ!$E:$E,0)),""),"")</f>
        <v/>
      </c>
      <c r="K533" t="str">
        <f>IFERROR(IF(INDEX(使用レシピ!L:L,MATCH(テンプレート!$C533,使用レシピ!$E:$E,0))&lt;&gt;0,INDEX(使用レシピ!L:L,MATCH(テンプレート!$C533,使用レシピ!$E:$E,0)),""),"")</f>
        <v/>
      </c>
      <c r="L533" t="str">
        <f>IFERROR(IF(INDEX(使用レシピ!M:M,MATCH(テンプレート!$C533,使用レシピ!$E:$E,0))&lt;&gt;0,INDEX(使用レシピ!M:M,MATCH(テンプレート!$C533,使用レシピ!$E:$E,0)),""),"")</f>
        <v/>
      </c>
      <c r="M533" t="str">
        <f>IFERROR(IF(INDEX(使用レシピ!N:N,MATCH(テンプレート!$C533,使用レシピ!$E:$E,0))&lt;&gt;0,INDEX(使用レシピ!N:N,MATCH(テンプレート!$C533,使用レシピ!$E:$E,0)),""),"")</f>
        <v/>
      </c>
      <c r="N533" s="24" t="str">
        <f>IFERROR(IF(INDEX(使用レシピ!O:O,MATCH(テンプレート!$C533,使用レシピ!$E:$E,0))&lt;&gt;0,INDEX(使用レシピ!O:O,MATCH(テンプレート!$C533,使用レシピ!$E:$E,0)),""),"")</f>
        <v/>
      </c>
      <c r="O533" s="36" t="str">
        <f>IFERROR(IF(INDEX(使用レシピ!P:P,MATCH(テンプレート!$C533,使用レシピ!$E:$E,0))&lt;&gt;0,INDEX(使用レシピ!P:P,MATCH(テンプレート!$C533,使用レシピ!$E:$E,0)),""),"")</f>
        <v/>
      </c>
      <c r="P533" t="str">
        <f t="shared" si="41"/>
        <v/>
      </c>
      <c r="Q533" t="str">
        <f t="shared" si="42"/>
        <v/>
      </c>
      <c r="R533" t="str">
        <f t="shared" si="43"/>
        <v/>
      </c>
      <c r="S533" t="str">
        <f t="shared" si="44"/>
        <v/>
      </c>
      <c r="T533" s="24" t="str">
        <f t="shared" si="45"/>
        <v/>
      </c>
    </row>
    <row r="534" spans="2:20" x14ac:dyDescent="0.4">
      <c r="B534" s="49" t="str" cm="1">
        <f t="array" ref="B534">IFERROR((INDEX($P$4:$T$1000,MATCH(VALUE(LEFT($A534,LEN($A534)-1)),$A$4:$A$1000,0),VALUE(RIGHT($A534,1)))/ INDEX($O$4:$O$1000,MATCH(VALUE(LEFT($A534,LEN($A534)-1)),$A$4:$A$1000))) * INDEX($B$4:$B$1000,MATCH(VALUE(LEFT($A534,LEN($A534)-1)),$A$4:$A$1000)),"")</f>
        <v/>
      </c>
      <c r="C534" s="2" t="str" cm="1">
        <f t="array" ref="C534">IFERROR(IF(INDEX($D$4:$H$1000,MATCH(VALUE(LEFT($A534,LEN($A534)-1)),$A$4:$A$1000,0),VALUE(RIGHT($A534,1)))= 0,"",INDEX($D$4:$H$1000,MATCH(VALUE(LEFT($A534,LEN($A534)-1)),$A$4:$A$1000,0),VALUE(RIGHT($A534,1)))),"")</f>
        <v/>
      </c>
      <c r="D534" s="23" t="str">
        <f>IFERROR(IF(INDEX(使用レシピ!F:F,MATCH(テンプレート!$C534,使用レシピ!$E:$E,0))&lt;&gt;0,INDEX(使用レシピ!F:F,MATCH(テンプレート!$C534,使用レシピ!$E:$E,0)),""),"")</f>
        <v/>
      </c>
      <c r="E534" t="str">
        <f>IFERROR(IF(INDEX(使用レシピ!G:G,MATCH(テンプレート!$C534,使用レシピ!$E:$E,0))&lt;&gt;0,INDEX(使用レシピ!G:G,MATCH(テンプレート!$C534,使用レシピ!$E:$E,0)),""),"")</f>
        <v/>
      </c>
      <c r="F534" t="str">
        <f>IFERROR(IF(INDEX(使用レシピ!H:H,MATCH(テンプレート!$C534,使用レシピ!$E:$E,0))&lt;&gt;0,INDEX(使用レシピ!H:H,MATCH(テンプレート!$C534,使用レシピ!$E:$E,0)),""),"")</f>
        <v/>
      </c>
      <c r="G534" t="str">
        <f>IFERROR(IF(INDEX(使用レシピ!I:I,MATCH(テンプレート!$C534,使用レシピ!$E:$E,0))&lt;&gt;0,INDEX(使用レシピ!I:I,MATCH(テンプレート!$C534,使用レシピ!$E:$E,0)),""),"")</f>
        <v/>
      </c>
      <c r="H534" s="24" t="str">
        <f>IFERROR(IF(INDEX(使用レシピ!J:J,MATCH(テンプレート!$C534,使用レシピ!$E:$E,0))&lt;&gt;0,INDEX(使用レシピ!J:J,MATCH(テンプレート!$C534,使用レシピ!$E:$E,0)),""),"")</f>
        <v/>
      </c>
      <c r="I534" s="36" t="str">
        <f>IFERROR(IF(INDEX(使用レシピ!P:P,MATCH(テンプレート!$C534,使用レシピ!$E:$E,0))&lt;&gt;0,INDEX(使用レシピ!P:P,MATCH(テンプレート!$C534,使用レシピ!$E:$E,0)),""),"")</f>
        <v/>
      </c>
      <c r="J534" t="str">
        <f>IFERROR(IF(INDEX(使用レシピ!K:K,MATCH(テンプレート!$C534,使用レシピ!$E:$E,0))&lt;&gt;0,INDEX(使用レシピ!K:K,MATCH(テンプレート!$C534,使用レシピ!$E:$E,0)),""),"")</f>
        <v/>
      </c>
      <c r="K534" t="str">
        <f>IFERROR(IF(INDEX(使用レシピ!L:L,MATCH(テンプレート!$C534,使用レシピ!$E:$E,0))&lt;&gt;0,INDEX(使用レシピ!L:L,MATCH(テンプレート!$C534,使用レシピ!$E:$E,0)),""),"")</f>
        <v/>
      </c>
      <c r="L534" t="str">
        <f>IFERROR(IF(INDEX(使用レシピ!M:M,MATCH(テンプレート!$C534,使用レシピ!$E:$E,0))&lt;&gt;0,INDEX(使用レシピ!M:M,MATCH(テンプレート!$C534,使用レシピ!$E:$E,0)),""),"")</f>
        <v/>
      </c>
      <c r="M534" t="str">
        <f>IFERROR(IF(INDEX(使用レシピ!N:N,MATCH(テンプレート!$C534,使用レシピ!$E:$E,0))&lt;&gt;0,INDEX(使用レシピ!N:N,MATCH(テンプレート!$C534,使用レシピ!$E:$E,0)),""),"")</f>
        <v/>
      </c>
      <c r="N534" s="24" t="str">
        <f>IFERROR(IF(INDEX(使用レシピ!O:O,MATCH(テンプレート!$C534,使用レシピ!$E:$E,0))&lt;&gt;0,INDEX(使用レシピ!O:O,MATCH(テンプレート!$C534,使用レシピ!$E:$E,0)),""),"")</f>
        <v/>
      </c>
      <c r="O534" s="36" t="str">
        <f>IFERROR(IF(INDEX(使用レシピ!P:P,MATCH(テンプレート!$C534,使用レシピ!$E:$E,0))&lt;&gt;0,INDEX(使用レシピ!P:P,MATCH(テンプレート!$C534,使用レシピ!$E:$E,0)),""),"")</f>
        <v/>
      </c>
      <c r="P534" t="str">
        <f t="shared" si="41"/>
        <v/>
      </c>
      <c r="Q534" t="str">
        <f t="shared" si="42"/>
        <v/>
      </c>
      <c r="R534" t="str">
        <f t="shared" si="43"/>
        <v/>
      </c>
      <c r="S534" t="str">
        <f t="shared" si="44"/>
        <v/>
      </c>
      <c r="T534" s="24" t="str">
        <f t="shared" si="45"/>
        <v/>
      </c>
    </row>
    <row r="535" spans="2:20" x14ac:dyDescent="0.4">
      <c r="B535" s="49" t="str" cm="1">
        <f t="array" ref="B535">IFERROR((INDEX($P$4:$T$1000,MATCH(VALUE(LEFT($A535,LEN($A535)-1)),$A$4:$A$1000,0),VALUE(RIGHT($A535,1)))/ INDEX($O$4:$O$1000,MATCH(VALUE(LEFT($A535,LEN($A535)-1)),$A$4:$A$1000))) * INDEX($B$4:$B$1000,MATCH(VALUE(LEFT($A535,LEN($A535)-1)),$A$4:$A$1000)),"")</f>
        <v/>
      </c>
      <c r="C535" s="2" t="str" cm="1">
        <f t="array" ref="C535">IFERROR(IF(INDEX($D$4:$H$1000,MATCH(VALUE(LEFT($A535,LEN($A535)-1)),$A$4:$A$1000,0),VALUE(RIGHT($A535,1)))= 0,"",INDEX($D$4:$H$1000,MATCH(VALUE(LEFT($A535,LEN($A535)-1)),$A$4:$A$1000,0),VALUE(RIGHT($A535,1)))),"")</f>
        <v/>
      </c>
      <c r="D535" s="23" t="str">
        <f>IFERROR(IF(INDEX(使用レシピ!F:F,MATCH(テンプレート!$C535,使用レシピ!$E:$E,0))&lt;&gt;0,INDEX(使用レシピ!F:F,MATCH(テンプレート!$C535,使用レシピ!$E:$E,0)),""),"")</f>
        <v/>
      </c>
      <c r="E535" t="str">
        <f>IFERROR(IF(INDEX(使用レシピ!G:G,MATCH(テンプレート!$C535,使用レシピ!$E:$E,0))&lt;&gt;0,INDEX(使用レシピ!G:G,MATCH(テンプレート!$C535,使用レシピ!$E:$E,0)),""),"")</f>
        <v/>
      </c>
      <c r="F535" t="str">
        <f>IFERROR(IF(INDEX(使用レシピ!H:H,MATCH(テンプレート!$C535,使用レシピ!$E:$E,0))&lt;&gt;0,INDEX(使用レシピ!H:H,MATCH(テンプレート!$C535,使用レシピ!$E:$E,0)),""),"")</f>
        <v/>
      </c>
      <c r="G535" t="str">
        <f>IFERROR(IF(INDEX(使用レシピ!I:I,MATCH(テンプレート!$C535,使用レシピ!$E:$E,0))&lt;&gt;0,INDEX(使用レシピ!I:I,MATCH(テンプレート!$C535,使用レシピ!$E:$E,0)),""),"")</f>
        <v/>
      </c>
      <c r="H535" s="24" t="str">
        <f>IFERROR(IF(INDEX(使用レシピ!J:J,MATCH(テンプレート!$C535,使用レシピ!$E:$E,0))&lt;&gt;0,INDEX(使用レシピ!J:J,MATCH(テンプレート!$C535,使用レシピ!$E:$E,0)),""),"")</f>
        <v/>
      </c>
      <c r="I535" s="36" t="str">
        <f>IFERROR(IF(INDEX(使用レシピ!P:P,MATCH(テンプレート!$C535,使用レシピ!$E:$E,0))&lt;&gt;0,INDEX(使用レシピ!P:P,MATCH(テンプレート!$C535,使用レシピ!$E:$E,0)),""),"")</f>
        <v/>
      </c>
      <c r="J535" t="str">
        <f>IFERROR(IF(INDEX(使用レシピ!K:K,MATCH(テンプレート!$C535,使用レシピ!$E:$E,0))&lt;&gt;0,INDEX(使用レシピ!K:K,MATCH(テンプレート!$C535,使用レシピ!$E:$E,0)),""),"")</f>
        <v/>
      </c>
      <c r="K535" t="str">
        <f>IFERROR(IF(INDEX(使用レシピ!L:L,MATCH(テンプレート!$C535,使用レシピ!$E:$E,0))&lt;&gt;0,INDEX(使用レシピ!L:L,MATCH(テンプレート!$C535,使用レシピ!$E:$E,0)),""),"")</f>
        <v/>
      </c>
      <c r="L535" t="str">
        <f>IFERROR(IF(INDEX(使用レシピ!M:M,MATCH(テンプレート!$C535,使用レシピ!$E:$E,0))&lt;&gt;0,INDEX(使用レシピ!M:M,MATCH(テンプレート!$C535,使用レシピ!$E:$E,0)),""),"")</f>
        <v/>
      </c>
      <c r="M535" t="str">
        <f>IFERROR(IF(INDEX(使用レシピ!N:N,MATCH(テンプレート!$C535,使用レシピ!$E:$E,0))&lt;&gt;0,INDEX(使用レシピ!N:N,MATCH(テンプレート!$C535,使用レシピ!$E:$E,0)),""),"")</f>
        <v/>
      </c>
      <c r="N535" s="24" t="str">
        <f>IFERROR(IF(INDEX(使用レシピ!O:O,MATCH(テンプレート!$C535,使用レシピ!$E:$E,0))&lt;&gt;0,INDEX(使用レシピ!O:O,MATCH(テンプレート!$C535,使用レシピ!$E:$E,0)),""),"")</f>
        <v/>
      </c>
      <c r="O535" s="36" t="str">
        <f>IFERROR(IF(INDEX(使用レシピ!P:P,MATCH(テンプレート!$C535,使用レシピ!$E:$E,0))&lt;&gt;0,INDEX(使用レシピ!P:P,MATCH(テンプレート!$C535,使用レシピ!$E:$E,0)),""),"")</f>
        <v/>
      </c>
      <c r="P535" t="str">
        <f t="shared" si="41"/>
        <v/>
      </c>
      <c r="Q535" t="str">
        <f t="shared" si="42"/>
        <v/>
      </c>
      <c r="R535" t="str">
        <f t="shared" si="43"/>
        <v/>
      </c>
      <c r="S535" t="str">
        <f t="shared" si="44"/>
        <v/>
      </c>
      <c r="T535" s="24" t="str">
        <f t="shared" si="45"/>
        <v/>
      </c>
    </row>
    <row r="536" spans="2:20" x14ac:dyDescent="0.4">
      <c r="B536" s="49" t="str" cm="1">
        <f t="array" ref="B536">IFERROR((INDEX($P$4:$T$1000,MATCH(VALUE(LEFT($A536,LEN($A536)-1)),$A$4:$A$1000,0),VALUE(RIGHT($A536,1)))/ INDEX($O$4:$O$1000,MATCH(VALUE(LEFT($A536,LEN($A536)-1)),$A$4:$A$1000))) * INDEX($B$4:$B$1000,MATCH(VALUE(LEFT($A536,LEN($A536)-1)),$A$4:$A$1000)),"")</f>
        <v/>
      </c>
      <c r="C536" s="2" t="str" cm="1">
        <f t="array" ref="C536">IFERROR(IF(INDEX($D$4:$H$1000,MATCH(VALUE(LEFT($A536,LEN($A536)-1)),$A$4:$A$1000,0),VALUE(RIGHT($A536,1)))= 0,"",INDEX($D$4:$H$1000,MATCH(VALUE(LEFT($A536,LEN($A536)-1)),$A$4:$A$1000,0),VALUE(RIGHT($A536,1)))),"")</f>
        <v/>
      </c>
      <c r="D536" s="23" t="str">
        <f>IFERROR(IF(INDEX(使用レシピ!F:F,MATCH(テンプレート!$C536,使用レシピ!$E:$E,0))&lt;&gt;0,INDEX(使用レシピ!F:F,MATCH(テンプレート!$C536,使用レシピ!$E:$E,0)),""),"")</f>
        <v/>
      </c>
      <c r="E536" t="str">
        <f>IFERROR(IF(INDEX(使用レシピ!G:G,MATCH(テンプレート!$C536,使用レシピ!$E:$E,0))&lt;&gt;0,INDEX(使用レシピ!G:G,MATCH(テンプレート!$C536,使用レシピ!$E:$E,0)),""),"")</f>
        <v/>
      </c>
      <c r="F536" t="str">
        <f>IFERROR(IF(INDEX(使用レシピ!H:H,MATCH(テンプレート!$C536,使用レシピ!$E:$E,0))&lt;&gt;0,INDEX(使用レシピ!H:H,MATCH(テンプレート!$C536,使用レシピ!$E:$E,0)),""),"")</f>
        <v/>
      </c>
      <c r="G536" t="str">
        <f>IFERROR(IF(INDEX(使用レシピ!I:I,MATCH(テンプレート!$C536,使用レシピ!$E:$E,0))&lt;&gt;0,INDEX(使用レシピ!I:I,MATCH(テンプレート!$C536,使用レシピ!$E:$E,0)),""),"")</f>
        <v/>
      </c>
      <c r="H536" s="24" t="str">
        <f>IFERROR(IF(INDEX(使用レシピ!J:J,MATCH(テンプレート!$C536,使用レシピ!$E:$E,0))&lt;&gt;0,INDEX(使用レシピ!J:J,MATCH(テンプレート!$C536,使用レシピ!$E:$E,0)),""),"")</f>
        <v/>
      </c>
      <c r="I536" s="36" t="str">
        <f>IFERROR(IF(INDEX(使用レシピ!P:P,MATCH(テンプレート!$C536,使用レシピ!$E:$E,0))&lt;&gt;0,INDEX(使用レシピ!P:P,MATCH(テンプレート!$C536,使用レシピ!$E:$E,0)),""),"")</f>
        <v/>
      </c>
      <c r="J536" t="str">
        <f>IFERROR(IF(INDEX(使用レシピ!K:K,MATCH(テンプレート!$C536,使用レシピ!$E:$E,0))&lt;&gt;0,INDEX(使用レシピ!K:K,MATCH(テンプレート!$C536,使用レシピ!$E:$E,0)),""),"")</f>
        <v/>
      </c>
      <c r="K536" t="str">
        <f>IFERROR(IF(INDEX(使用レシピ!L:L,MATCH(テンプレート!$C536,使用レシピ!$E:$E,0))&lt;&gt;0,INDEX(使用レシピ!L:L,MATCH(テンプレート!$C536,使用レシピ!$E:$E,0)),""),"")</f>
        <v/>
      </c>
      <c r="L536" t="str">
        <f>IFERROR(IF(INDEX(使用レシピ!M:M,MATCH(テンプレート!$C536,使用レシピ!$E:$E,0))&lt;&gt;0,INDEX(使用レシピ!M:M,MATCH(テンプレート!$C536,使用レシピ!$E:$E,0)),""),"")</f>
        <v/>
      </c>
      <c r="M536" t="str">
        <f>IFERROR(IF(INDEX(使用レシピ!N:N,MATCH(テンプレート!$C536,使用レシピ!$E:$E,0))&lt;&gt;0,INDEX(使用レシピ!N:N,MATCH(テンプレート!$C536,使用レシピ!$E:$E,0)),""),"")</f>
        <v/>
      </c>
      <c r="N536" s="24" t="str">
        <f>IFERROR(IF(INDEX(使用レシピ!O:O,MATCH(テンプレート!$C536,使用レシピ!$E:$E,0))&lt;&gt;0,INDEX(使用レシピ!O:O,MATCH(テンプレート!$C536,使用レシピ!$E:$E,0)),""),"")</f>
        <v/>
      </c>
      <c r="O536" s="36" t="str">
        <f>IFERROR(IF(INDEX(使用レシピ!P:P,MATCH(テンプレート!$C536,使用レシピ!$E:$E,0))&lt;&gt;0,INDEX(使用レシピ!P:P,MATCH(テンプレート!$C536,使用レシピ!$E:$E,0)),""),"")</f>
        <v/>
      </c>
      <c r="P536" t="str">
        <f t="shared" si="41"/>
        <v/>
      </c>
      <c r="Q536" t="str">
        <f t="shared" si="42"/>
        <v/>
      </c>
      <c r="R536" t="str">
        <f t="shared" si="43"/>
        <v/>
      </c>
      <c r="S536" t="str">
        <f t="shared" si="44"/>
        <v/>
      </c>
      <c r="T536" s="24" t="str">
        <f t="shared" si="45"/>
        <v/>
      </c>
    </row>
    <row r="537" spans="2:20" x14ac:dyDescent="0.4">
      <c r="B537" s="49" t="str" cm="1">
        <f t="array" ref="B537">IFERROR((INDEX($P$4:$T$1000,MATCH(VALUE(LEFT($A537,LEN($A537)-1)),$A$4:$A$1000,0),VALUE(RIGHT($A537,1)))/ INDEX($O$4:$O$1000,MATCH(VALUE(LEFT($A537,LEN($A537)-1)),$A$4:$A$1000))) * INDEX($B$4:$B$1000,MATCH(VALUE(LEFT($A537,LEN($A537)-1)),$A$4:$A$1000)),"")</f>
        <v/>
      </c>
      <c r="C537" s="2" t="str" cm="1">
        <f t="array" ref="C537">IFERROR(IF(INDEX($D$4:$H$1000,MATCH(VALUE(LEFT($A537,LEN($A537)-1)),$A$4:$A$1000,0),VALUE(RIGHT($A537,1)))= 0,"",INDEX($D$4:$H$1000,MATCH(VALUE(LEFT($A537,LEN($A537)-1)),$A$4:$A$1000,0),VALUE(RIGHT($A537,1)))),"")</f>
        <v/>
      </c>
      <c r="D537" s="23" t="str">
        <f>IFERROR(IF(INDEX(使用レシピ!F:F,MATCH(テンプレート!$C537,使用レシピ!$E:$E,0))&lt;&gt;0,INDEX(使用レシピ!F:F,MATCH(テンプレート!$C537,使用レシピ!$E:$E,0)),""),"")</f>
        <v/>
      </c>
      <c r="E537" t="str">
        <f>IFERROR(IF(INDEX(使用レシピ!G:G,MATCH(テンプレート!$C537,使用レシピ!$E:$E,0))&lt;&gt;0,INDEX(使用レシピ!G:G,MATCH(テンプレート!$C537,使用レシピ!$E:$E,0)),""),"")</f>
        <v/>
      </c>
      <c r="F537" t="str">
        <f>IFERROR(IF(INDEX(使用レシピ!H:H,MATCH(テンプレート!$C537,使用レシピ!$E:$E,0))&lt;&gt;0,INDEX(使用レシピ!H:H,MATCH(テンプレート!$C537,使用レシピ!$E:$E,0)),""),"")</f>
        <v/>
      </c>
      <c r="G537" t="str">
        <f>IFERROR(IF(INDEX(使用レシピ!I:I,MATCH(テンプレート!$C537,使用レシピ!$E:$E,0))&lt;&gt;0,INDEX(使用レシピ!I:I,MATCH(テンプレート!$C537,使用レシピ!$E:$E,0)),""),"")</f>
        <v/>
      </c>
      <c r="H537" s="24" t="str">
        <f>IFERROR(IF(INDEX(使用レシピ!J:J,MATCH(テンプレート!$C537,使用レシピ!$E:$E,0))&lt;&gt;0,INDEX(使用レシピ!J:J,MATCH(テンプレート!$C537,使用レシピ!$E:$E,0)),""),"")</f>
        <v/>
      </c>
      <c r="I537" s="36" t="str">
        <f>IFERROR(IF(INDEX(使用レシピ!P:P,MATCH(テンプレート!$C537,使用レシピ!$E:$E,0))&lt;&gt;0,INDEX(使用レシピ!P:P,MATCH(テンプレート!$C537,使用レシピ!$E:$E,0)),""),"")</f>
        <v/>
      </c>
      <c r="J537" t="str">
        <f>IFERROR(IF(INDEX(使用レシピ!K:K,MATCH(テンプレート!$C537,使用レシピ!$E:$E,0))&lt;&gt;0,INDEX(使用レシピ!K:K,MATCH(テンプレート!$C537,使用レシピ!$E:$E,0)),""),"")</f>
        <v/>
      </c>
      <c r="K537" t="str">
        <f>IFERROR(IF(INDEX(使用レシピ!L:L,MATCH(テンプレート!$C537,使用レシピ!$E:$E,0))&lt;&gt;0,INDEX(使用レシピ!L:L,MATCH(テンプレート!$C537,使用レシピ!$E:$E,0)),""),"")</f>
        <v/>
      </c>
      <c r="L537" t="str">
        <f>IFERROR(IF(INDEX(使用レシピ!M:M,MATCH(テンプレート!$C537,使用レシピ!$E:$E,0))&lt;&gt;0,INDEX(使用レシピ!M:M,MATCH(テンプレート!$C537,使用レシピ!$E:$E,0)),""),"")</f>
        <v/>
      </c>
      <c r="M537" t="str">
        <f>IFERROR(IF(INDEX(使用レシピ!N:N,MATCH(テンプレート!$C537,使用レシピ!$E:$E,0))&lt;&gt;0,INDEX(使用レシピ!N:N,MATCH(テンプレート!$C537,使用レシピ!$E:$E,0)),""),"")</f>
        <v/>
      </c>
      <c r="N537" s="24" t="str">
        <f>IFERROR(IF(INDEX(使用レシピ!O:O,MATCH(テンプレート!$C537,使用レシピ!$E:$E,0))&lt;&gt;0,INDEX(使用レシピ!O:O,MATCH(テンプレート!$C537,使用レシピ!$E:$E,0)),""),"")</f>
        <v/>
      </c>
      <c r="O537" s="36" t="str">
        <f>IFERROR(IF(INDEX(使用レシピ!P:P,MATCH(テンプレート!$C537,使用レシピ!$E:$E,0))&lt;&gt;0,INDEX(使用レシピ!P:P,MATCH(テンプレート!$C537,使用レシピ!$E:$E,0)),""),"")</f>
        <v/>
      </c>
      <c r="P537" t="str">
        <f t="shared" si="41"/>
        <v/>
      </c>
      <c r="Q537" t="str">
        <f t="shared" si="42"/>
        <v/>
      </c>
      <c r="R537" t="str">
        <f t="shared" si="43"/>
        <v/>
      </c>
      <c r="S537" t="str">
        <f t="shared" si="44"/>
        <v/>
      </c>
      <c r="T537" s="24" t="str">
        <f t="shared" si="45"/>
        <v/>
      </c>
    </row>
    <row r="538" spans="2:20" x14ac:dyDescent="0.4">
      <c r="B538" s="49" t="str" cm="1">
        <f t="array" ref="B538">IFERROR((INDEX($P$4:$T$1000,MATCH(VALUE(LEFT($A538,LEN($A538)-1)),$A$4:$A$1000,0),VALUE(RIGHT($A538,1)))/ INDEX($O$4:$O$1000,MATCH(VALUE(LEFT($A538,LEN($A538)-1)),$A$4:$A$1000))) * INDEX($B$4:$B$1000,MATCH(VALUE(LEFT($A538,LEN($A538)-1)),$A$4:$A$1000)),"")</f>
        <v/>
      </c>
      <c r="C538" s="2" t="str" cm="1">
        <f t="array" ref="C538">IFERROR(IF(INDEX($D$4:$H$1000,MATCH(VALUE(LEFT($A538,LEN($A538)-1)),$A$4:$A$1000,0),VALUE(RIGHT($A538,1)))= 0,"",INDEX($D$4:$H$1000,MATCH(VALUE(LEFT($A538,LEN($A538)-1)),$A$4:$A$1000,0),VALUE(RIGHT($A538,1)))),"")</f>
        <v/>
      </c>
      <c r="D538" s="23" t="str">
        <f>IFERROR(IF(INDEX(使用レシピ!F:F,MATCH(テンプレート!$C538,使用レシピ!$E:$E,0))&lt;&gt;0,INDEX(使用レシピ!F:F,MATCH(テンプレート!$C538,使用レシピ!$E:$E,0)),""),"")</f>
        <v/>
      </c>
      <c r="E538" t="str">
        <f>IFERROR(IF(INDEX(使用レシピ!G:G,MATCH(テンプレート!$C538,使用レシピ!$E:$E,0))&lt;&gt;0,INDEX(使用レシピ!G:G,MATCH(テンプレート!$C538,使用レシピ!$E:$E,0)),""),"")</f>
        <v/>
      </c>
      <c r="F538" t="str">
        <f>IFERROR(IF(INDEX(使用レシピ!H:H,MATCH(テンプレート!$C538,使用レシピ!$E:$E,0))&lt;&gt;0,INDEX(使用レシピ!H:H,MATCH(テンプレート!$C538,使用レシピ!$E:$E,0)),""),"")</f>
        <v/>
      </c>
      <c r="G538" t="str">
        <f>IFERROR(IF(INDEX(使用レシピ!I:I,MATCH(テンプレート!$C538,使用レシピ!$E:$E,0))&lt;&gt;0,INDEX(使用レシピ!I:I,MATCH(テンプレート!$C538,使用レシピ!$E:$E,0)),""),"")</f>
        <v/>
      </c>
      <c r="H538" s="24" t="str">
        <f>IFERROR(IF(INDEX(使用レシピ!J:J,MATCH(テンプレート!$C538,使用レシピ!$E:$E,0))&lt;&gt;0,INDEX(使用レシピ!J:J,MATCH(テンプレート!$C538,使用レシピ!$E:$E,0)),""),"")</f>
        <v/>
      </c>
      <c r="I538" s="36" t="str">
        <f>IFERROR(IF(INDEX(使用レシピ!P:P,MATCH(テンプレート!$C538,使用レシピ!$E:$E,0))&lt;&gt;0,INDEX(使用レシピ!P:P,MATCH(テンプレート!$C538,使用レシピ!$E:$E,0)),""),"")</f>
        <v/>
      </c>
      <c r="J538" t="str">
        <f>IFERROR(IF(INDEX(使用レシピ!K:K,MATCH(テンプレート!$C538,使用レシピ!$E:$E,0))&lt;&gt;0,INDEX(使用レシピ!K:K,MATCH(テンプレート!$C538,使用レシピ!$E:$E,0)),""),"")</f>
        <v/>
      </c>
      <c r="K538" t="str">
        <f>IFERROR(IF(INDEX(使用レシピ!L:L,MATCH(テンプレート!$C538,使用レシピ!$E:$E,0))&lt;&gt;0,INDEX(使用レシピ!L:L,MATCH(テンプレート!$C538,使用レシピ!$E:$E,0)),""),"")</f>
        <v/>
      </c>
      <c r="L538" t="str">
        <f>IFERROR(IF(INDEX(使用レシピ!M:M,MATCH(テンプレート!$C538,使用レシピ!$E:$E,0))&lt;&gt;0,INDEX(使用レシピ!M:M,MATCH(テンプレート!$C538,使用レシピ!$E:$E,0)),""),"")</f>
        <v/>
      </c>
      <c r="M538" t="str">
        <f>IFERROR(IF(INDEX(使用レシピ!N:N,MATCH(テンプレート!$C538,使用レシピ!$E:$E,0))&lt;&gt;0,INDEX(使用レシピ!N:N,MATCH(テンプレート!$C538,使用レシピ!$E:$E,0)),""),"")</f>
        <v/>
      </c>
      <c r="N538" s="24" t="str">
        <f>IFERROR(IF(INDEX(使用レシピ!O:O,MATCH(テンプレート!$C538,使用レシピ!$E:$E,0))&lt;&gt;0,INDEX(使用レシピ!O:O,MATCH(テンプレート!$C538,使用レシピ!$E:$E,0)),""),"")</f>
        <v/>
      </c>
      <c r="O538" s="36" t="str">
        <f>IFERROR(IF(INDEX(使用レシピ!P:P,MATCH(テンプレート!$C538,使用レシピ!$E:$E,0))&lt;&gt;0,INDEX(使用レシピ!P:P,MATCH(テンプレート!$C538,使用レシピ!$E:$E,0)),""),"")</f>
        <v/>
      </c>
      <c r="P538" t="str">
        <f t="shared" si="41"/>
        <v/>
      </c>
      <c r="Q538" t="str">
        <f t="shared" si="42"/>
        <v/>
      </c>
      <c r="R538" t="str">
        <f t="shared" si="43"/>
        <v/>
      </c>
      <c r="S538" t="str">
        <f t="shared" si="44"/>
        <v/>
      </c>
      <c r="T538" s="24" t="str">
        <f t="shared" si="45"/>
        <v/>
      </c>
    </row>
    <row r="539" spans="2:20" x14ac:dyDescent="0.4">
      <c r="B539" s="49" t="str" cm="1">
        <f t="array" ref="B539">IFERROR((INDEX($P$4:$T$1000,MATCH(VALUE(LEFT($A539,LEN($A539)-1)),$A$4:$A$1000,0),VALUE(RIGHT($A539,1)))/ INDEX($O$4:$O$1000,MATCH(VALUE(LEFT($A539,LEN($A539)-1)),$A$4:$A$1000))) * INDEX($B$4:$B$1000,MATCH(VALUE(LEFT($A539,LEN($A539)-1)),$A$4:$A$1000)),"")</f>
        <v/>
      </c>
      <c r="C539" s="2" t="str" cm="1">
        <f t="array" ref="C539">IFERROR(IF(INDEX($D$4:$H$1000,MATCH(VALUE(LEFT($A539,LEN($A539)-1)),$A$4:$A$1000,0),VALUE(RIGHT($A539,1)))= 0,"",INDEX($D$4:$H$1000,MATCH(VALUE(LEFT($A539,LEN($A539)-1)),$A$4:$A$1000,0),VALUE(RIGHT($A539,1)))),"")</f>
        <v/>
      </c>
      <c r="D539" s="23" t="str">
        <f>IFERROR(IF(INDEX(使用レシピ!F:F,MATCH(テンプレート!$C539,使用レシピ!$E:$E,0))&lt;&gt;0,INDEX(使用レシピ!F:F,MATCH(テンプレート!$C539,使用レシピ!$E:$E,0)),""),"")</f>
        <v/>
      </c>
      <c r="E539" t="str">
        <f>IFERROR(IF(INDEX(使用レシピ!G:G,MATCH(テンプレート!$C539,使用レシピ!$E:$E,0))&lt;&gt;0,INDEX(使用レシピ!G:G,MATCH(テンプレート!$C539,使用レシピ!$E:$E,0)),""),"")</f>
        <v/>
      </c>
      <c r="F539" t="str">
        <f>IFERROR(IF(INDEX(使用レシピ!H:H,MATCH(テンプレート!$C539,使用レシピ!$E:$E,0))&lt;&gt;0,INDEX(使用レシピ!H:H,MATCH(テンプレート!$C539,使用レシピ!$E:$E,0)),""),"")</f>
        <v/>
      </c>
      <c r="G539" t="str">
        <f>IFERROR(IF(INDEX(使用レシピ!I:I,MATCH(テンプレート!$C539,使用レシピ!$E:$E,0))&lt;&gt;0,INDEX(使用レシピ!I:I,MATCH(テンプレート!$C539,使用レシピ!$E:$E,0)),""),"")</f>
        <v/>
      </c>
      <c r="H539" s="24" t="str">
        <f>IFERROR(IF(INDEX(使用レシピ!J:J,MATCH(テンプレート!$C539,使用レシピ!$E:$E,0))&lt;&gt;0,INDEX(使用レシピ!J:J,MATCH(テンプレート!$C539,使用レシピ!$E:$E,0)),""),"")</f>
        <v/>
      </c>
      <c r="I539" s="36" t="str">
        <f>IFERROR(IF(INDEX(使用レシピ!P:P,MATCH(テンプレート!$C539,使用レシピ!$E:$E,0))&lt;&gt;0,INDEX(使用レシピ!P:P,MATCH(テンプレート!$C539,使用レシピ!$E:$E,0)),""),"")</f>
        <v/>
      </c>
      <c r="J539" t="str">
        <f>IFERROR(IF(INDEX(使用レシピ!K:K,MATCH(テンプレート!$C539,使用レシピ!$E:$E,0))&lt;&gt;0,INDEX(使用レシピ!K:K,MATCH(テンプレート!$C539,使用レシピ!$E:$E,0)),""),"")</f>
        <v/>
      </c>
      <c r="K539" t="str">
        <f>IFERROR(IF(INDEX(使用レシピ!L:L,MATCH(テンプレート!$C539,使用レシピ!$E:$E,0))&lt;&gt;0,INDEX(使用レシピ!L:L,MATCH(テンプレート!$C539,使用レシピ!$E:$E,0)),""),"")</f>
        <v/>
      </c>
      <c r="L539" t="str">
        <f>IFERROR(IF(INDEX(使用レシピ!M:M,MATCH(テンプレート!$C539,使用レシピ!$E:$E,0))&lt;&gt;0,INDEX(使用レシピ!M:M,MATCH(テンプレート!$C539,使用レシピ!$E:$E,0)),""),"")</f>
        <v/>
      </c>
      <c r="M539" t="str">
        <f>IFERROR(IF(INDEX(使用レシピ!N:N,MATCH(テンプレート!$C539,使用レシピ!$E:$E,0))&lt;&gt;0,INDEX(使用レシピ!N:N,MATCH(テンプレート!$C539,使用レシピ!$E:$E,0)),""),"")</f>
        <v/>
      </c>
      <c r="N539" s="24" t="str">
        <f>IFERROR(IF(INDEX(使用レシピ!O:O,MATCH(テンプレート!$C539,使用レシピ!$E:$E,0))&lt;&gt;0,INDEX(使用レシピ!O:O,MATCH(テンプレート!$C539,使用レシピ!$E:$E,0)),""),"")</f>
        <v/>
      </c>
      <c r="O539" s="36" t="str">
        <f>IFERROR(IF(INDEX(使用レシピ!P:P,MATCH(テンプレート!$C539,使用レシピ!$E:$E,0))&lt;&gt;0,INDEX(使用レシピ!P:P,MATCH(テンプレート!$C539,使用レシピ!$E:$E,0)),""),"")</f>
        <v/>
      </c>
      <c r="P539" t="str">
        <f t="shared" si="41"/>
        <v/>
      </c>
      <c r="Q539" t="str">
        <f t="shared" si="42"/>
        <v/>
      </c>
      <c r="R539" t="str">
        <f t="shared" si="43"/>
        <v/>
      </c>
      <c r="S539" t="str">
        <f t="shared" si="44"/>
        <v/>
      </c>
      <c r="T539" s="24" t="str">
        <f t="shared" si="45"/>
        <v/>
      </c>
    </row>
    <row r="540" spans="2:20" x14ac:dyDescent="0.4">
      <c r="B540" s="49" t="str" cm="1">
        <f t="array" ref="B540">IFERROR((INDEX($P$4:$T$1000,MATCH(VALUE(LEFT($A540,LEN($A540)-1)),$A$4:$A$1000,0),VALUE(RIGHT($A540,1)))/ INDEX($O$4:$O$1000,MATCH(VALUE(LEFT($A540,LEN($A540)-1)),$A$4:$A$1000))) * INDEX($B$4:$B$1000,MATCH(VALUE(LEFT($A540,LEN($A540)-1)),$A$4:$A$1000)),"")</f>
        <v/>
      </c>
      <c r="C540" s="2" t="str" cm="1">
        <f t="array" ref="C540">IFERROR(IF(INDEX($D$4:$H$1000,MATCH(VALUE(LEFT($A540,LEN($A540)-1)),$A$4:$A$1000,0),VALUE(RIGHT($A540,1)))= 0,"",INDEX($D$4:$H$1000,MATCH(VALUE(LEFT($A540,LEN($A540)-1)),$A$4:$A$1000,0),VALUE(RIGHT($A540,1)))),"")</f>
        <v/>
      </c>
      <c r="D540" s="23" t="str">
        <f>IFERROR(IF(INDEX(使用レシピ!F:F,MATCH(テンプレート!$C540,使用レシピ!$E:$E,0))&lt;&gt;0,INDEX(使用レシピ!F:F,MATCH(テンプレート!$C540,使用レシピ!$E:$E,0)),""),"")</f>
        <v/>
      </c>
      <c r="E540" t="str">
        <f>IFERROR(IF(INDEX(使用レシピ!G:G,MATCH(テンプレート!$C540,使用レシピ!$E:$E,0))&lt;&gt;0,INDEX(使用レシピ!G:G,MATCH(テンプレート!$C540,使用レシピ!$E:$E,0)),""),"")</f>
        <v/>
      </c>
      <c r="F540" t="str">
        <f>IFERROR(IF(INDEX(使用レシピ!H:H,MATCH(テンプレート!$C540,使用レシピ!$E:$E,0))&lt;&gt;0,INDEX(使用レシピ!H:H,MATCH(テンプレート!$C540,使用レシピ!$E:$E,0)),""),"")</f>
        <v/>
      </c>
      <c r="G540" t="str">
        <f>IFERROR(IF(INDEX(使用レシピ!I:I,MATCH(テンプレート!$C540,使用レシピ!$E:$E,0))&lt;&gt;0,INDEX(使用レシピ!I:I,MATCH(テンプレート!$C540,使用レシピ!$E:$E,0)),""),"")</f>
        <v/>
      </c>
      <c r="H540" s="24" t="str">
        <f>IFERROR(IF(INDEX(使用レシピ!J:J,MATCH(テンプレート!$C540,使用レシピ!$E:$E,0))&lt;&gt;0,INDEX(使用レシピ!J:J,MATCH(テンプレート!$C540,使用レシピ!$E:$E,0)),""),"")</f>
        <v/>
      </c>
      <c r="I540" s="36" t="str">
        <f>IFERROR(IF(INDEX(使用レシピ!P:P,MATCH(テンプレート!$C540,使用レシピ!$E:$E,0))&lt;&gt;0,INDEX(使用レシピ!P:P,MATCH(テンプレート!$C540,使用レシピ!$E:$E,0)),""),"")</f>
        <v/>
      </c>
      <c r="J540" t="str">
        <f>IFERROR(IF(INDEX(使用レシピ!K:K,MATCH(テンプレート!$C540,使用レシピ!$E:$E,0))&lt;&gt;0,INDEX(使用レシピ!K:K,MATCH(テンプレート!$C540,使用レシピ!$E:$E,0)),""),"")</f>
        <v/>
      </c>
      <c r="K540" t="str">
        <f>IFERROR(IF(INDEX(使用レシピ!L:L,MATCH(テンプレート!$C540,使用レシピ!$E:$E,0))&lt;&gt;0,INDEX(使用レシピ!L:L,MATCH(テンプレート!$C540,使用レシピ!$E:$E,0)),""),"")</f>
        <v/>
      </c>
      <c r="L540" t="str">
        <f>IFERROR(IF(INDEX(使用レシピ!M:M,MATCH(テンプレート!$C540,使用レシピ!$E:$E,0))&lt;&gt;0,INDEX(使用レシピ!M:M,MATCH(テンプレート!$C540,使用レシピ!$E:$E,0)),""),"")</f>
        <v/>
      </c>
      <c r="M540" t="str">
        <f>IFERROR(IF(INDEX(使用レシピ!N:N,MATCH(テンプレート!$C540,使用レシピ!$E:$E,0))&lt;&gt;0,INDEX(使用レシピ!N:N,MATCH(テンプレート!$C540,使用レシピ!$E:$E,0)),""),"")</f>
        <v/>
      </c>
      <c r="N540" s="24" t="str">
        <f>IFERROR(IF(INDEX(使用レシピ!O:O,MATCH(テンプレート!$C540,使用レシピ!$E:$E,0))&lt;&gt;0,INDEX(使用レシピ!O:O,MATCH(テンプレート!$C540,使用レシピ!$E:$E,0)),""),"")</f>
        <v/>
      </c>
      <c r="O540" s="36" t="str">
        <f>IFERROR(IF(INDEX(使用レシピ!P:P,MATCH(テンプレート!$C540,使用レシピ!$E:$E,0))&lt;&gt;0,INDEX(使用レシピ!P:P,MATCH(テンプレート!$C540,使用レシピ!$E:$E,0)),""),"")</f>
        <v/>
      </c>
      <c r="P540" t="str">
        <f t="shared" si="41"/>
        <v/>
      </c>
      <c r="Q540" t="str">
        <f t="shared" si="42"/>
        <v/>
      </c>
      <c r="R540" t="str">
        <f t="shared" si="43"/>
        <v/>
      </c>
      <c r="S540" t="str">
        <f t="shared" si="44"/>
        <v/>
      </c>
      <c r="T540" s="24" t="str">
        <f t="shared" si="45"/>
        <v/>
      </c>
    </row>
    <row r="541" spans="2:20" x14ac:dyDescent="0.4">
      <c r="B541" s="49" t="str" cm="1">
        <f t="array" ref="B541">IFERROR((INDEX($P$4:$T$1000,MATCH(VALUE(LEFT($A541,LEN($A541)-1)),$A$4:$A$1000,0),VALUE(RIGHT($A541,1)))/ INDEX($O$4:$O$1000,MATCH(VALUE(LEFT($A541,LEN($A541)-1)),$A$4:$A$1000))) * INDEX($B$4:$B$1000,MATCH(VALUE(LEFT($A541,LEN($A541)-1)),$A$4:$A$1000)),"")</f>
        <v/>
      </c>
      <c r="C541" s="2" t="str" cm="1">
        <f t="array" ref="C541">IFERROR(IF(INDEX($D$4:$H$1000,MATCH(VALUE(LEFT($A541,LEN($A541)-1)),$A$4:$A$1000,0),VALUE(RIGHT($A541,1)))= 0,"",INDEX($D$4:$H$1000,MATCH(VALUE(LEFT($A541,LEN($A541)-1)),$A$4:$A$1000,0),VALUE(RIGHT($A541,1)))),"")</f>
        <v/>
      </c>
      <c r="D541" s="23" t="str">
        <f>IFERROR(IF(INDEX(使用レシピ!F:F,MATCH(テンプレート!$C541,使用レシピ!$E:$E,0))&lt;&gt;0,INDEX(使用レシピ!F:F,MATCH(テンプレート!$C541,使用レシピ!$E:$E,0)),""),"")</f>
        <v/>
      </c>
      <c r="E541" t="str">
        <f>IFERROR(IF(INDEX(使用レシピ!G:G,MATCH(テンプレート!$C541,使用レシピ!$E:$E,0))&lt;&gt;0,INDEX(使用レシピ!G:G,MATCH(テンプレート!$C541,使用レシピ!$E:$E,0)),""),"")</f>
        <v/>
      </c>
      <c r="F541" t="str">
        <f>IFERROR(IF(INDEX(使用レシピ!H:H,MATCH(テンプレート!$C541,使用レシピ!$E:$E,0))&lt;&gt;0,INDEX(使用レシピ!H:H,MATCH(テンプレート!$C541,使用レシピ!$E:$E,0)),""),"")</f>
        <v/>
      </c>
      <c r="G541" t="str">
        <f>IFERROR(IF(INDEX(使用レシピ!I:I,MATCH(テンプレート!$C541,使用レシピ!$E:$E,0))&lt;&gt;0,INDEX(使用レシピ!I:I,MATCH(テンプレート!$C541,使用レシピ!$E:$E,0)),""),"")</f>
        <v/>
      </c>
      <c r="H541" s="24" t="str">
        <f>IFERROR(IF(INDEX(使用レシピ!J:J,MATCH(テンプレート!$C541,使用レシピ!$E:$E,0))&lt;&gt;0,INDEX(使用レシピ!J:J,MATCH(テンプレート!$C541,使用レシピ!$E:$E,0)),""),"")</f>
        <v/>
      </c>
      <c r="I541" s="36" t="str">
        <f>IFERROR(IF(INDEX(使用レシピ!P:P,MATCH(テンプレート!$C541,使用レシピ!$E:$E,0))&lt;&gt;0,INDEX(使用レシピ!P:P,MATCH(テンプレート!$C541,使用レシピ!$E:$E,0)),""),"")</f>
        <v/>
      </c>
      <c r="J541" t="str">
        <f>IFERROR(IF(INDEX(使用レシピ!K:K,MATCH(テンプレート!$C541,使用レシピ!$E:$E,0))&lt;&gt;0,INDEX(使用レシピ!K:K,MATCH(テンプレート!$C541,使用レシピ!$E:$E,0)),""),"")</f>
        <v/>
      </c>
      <c r="K541" t="str">
        <f>IFERROR(IF(INDEX(使用レシピ!L:L,MATCH(テンプレート!$C541,使用レシピ!$E:$E,0))&lt;&gt;0,INDEX(使用レシピ!L:L,MATCH(テンプレート!$C541,使用レシピ!$E:$E,0)),""),"")</f>
        <v/>
      </c>
      <c r="L541" t="str">
        <f>IFERROR(IF(INDEX(使用レシピ!M:M,MATCH(テンプレート!$C541,使用レシピ!$E:$E,0))&lt;&gt;0,INDEX(使用レシピ!M:M,MATCH(テンプレート!$C541,使用レシピ!$E:$E,0)),""),"")</f>
        <v/>
      </c>
      <c r="M541" t="str">
        <f>IFERROR(IF(INDEX(使用レシピ!N:N,MATCH(テンプレート!$C541,使用レシピ!$E:$E,0))&lt;&gt;0,INDEX(使用レシピ!N:N,MATCH(テンプレート!$C541,使用レシピ!$E:$E,0)),""),"")</f>
        <v/>
      </c>
      <c r="N541" s="24" t="str">
        <f>IFERROR(IF(INDEX(使用レシピ!O:O,MATCH(テンプレート!$C541,使用レシピ!$E:$E,0))&lt;&gt;0,INDEX(使用レシピ!O:O,MATCH(テンプレート!$C541,使用レシピ!$E:$E,0)),""),"")</f>
        <v/>
      </c>
      <c r="O541" s="36" t="str">
        <f>IFERROR(IF(INDEX(使用レシピ!P:P,MATCH(テンプレート!$C541,使用レシピ!$E:$E,0))&lt;&gt;0,INDEX(使用レシピ!P:P,MATCH(テンプレート!$C541,使用レシピ!$E:$E,0)),""),"")</f>
        <v/>
      </c>
      <c r="P541" t="str">
        <f t="shared" si="41"/>
        <v/>
      </c>
      <c r="Q541" t="str">
        <f t="shared" si="42"/>
        <v/>
      </c>
      <c r="R541" t="str">
        <f t="shared" si="43"/>
        <v/>
      </c>
      <c r="S541" t="str">
        <f t="shared" si="44"/>
        <v/>
      </c>
      <c r="T541" s="24" t="str">
        <f t="shared" si="45"/>
        <v/>
      </c>
    </row>
    <row r="542" spans="2:20" x14ac:dyDescent="0.4">
      <c r="B542" s="49" t="str" cm="1">
        <f t="array" ref="B542">IFERROR((INDEX($P$4:$T$1000,MATCH(VALUE(LEFT($A542,LEN($A542)-1)),$A$4:$A$1000,0),VALUE(RIGHT($A542,1)))/ INDEX($O$4:$O$1000,MATCH(VALUE(LEFT($A542,LEN($A542)-1)),$A$4:$A$1000))) * INDEX($B$4:$B$1000,MATCH(VALUE(LEFT($A542,LEN($A542)-1)),$A$4:$A$1000)),"")</f>
        <v/>
      </c>
      <c r="C542" s="2" t="str" cm="1">
        <f t="array" ref="C542">IFERROR(IF(INDEX($D$4:$H$1000,MATCH(VALUE(LEFT($A542,LEN($A542)-1)),$A$4:$A$1000,0),VALUE(RIGHT($A542,1)))= 0,"",INDEX($D$4:$H$1000,MATCH(VALUE(LEFT($A542,LEN($A542)-1)),$A$4:$A$1000,0),VALUE(RIGHT($A542,1)))),"")</f>
        <v/>
      </c>
      <c r="D542" s="23" t="str">
        <f>IFERROR(IF(INDEX(使用レシピ!F:F,MATCH(テンプレート!$C542,使用レシピ!$E:$E,0))&lt;&gt;0,INDEX(使用レシピ!F:F,MATCH(テンプレート!$C542,使用レシピ!$E:$E,0)),""),"")</f>
        <v/>
      </c>
      <c r="E542" t="str">
        <f>IFERROR(IF(INDEX(使用レシピ!G:G,MATCH(テンプレート!$C542,使用レシピ!$E:$E,0))&lt;&gt;0,INDEX(使用レシピ!G:G,MATCH(テンプレート!$C542,使用レシピ!$E:$E,0)),""),"")</f>
        <v/>
      </c>
      <c r="F542" t="str">
        <f>IFERROR(IF(INDEX(使用レシピ!H:H,MATCH(テンプレート!$C542,使用レシピ!$E:$E,0))&lt;&gt;0,INDEX(使用レシピ!H:H,MATCH(テンプレート!$C542,使用レシピ!$E:$E,0)),""),"")</f>
        <v/>
      </c>
      <c r="G542" t="str">
        <f>IFERROR(IF(INDEX(使用レシピ!I:I,MATCH(テンプレート!$C542,使用レシピ!$E:$E,0))&lt;&gt;0,INDEX(使用レシピ!I:I,MATCH(テンプレート!$C542,使用レシピ!$E:$E,0)),""),"")</f>
        <v/>
      </c>
      <c r="H542" s="24" t="str">
        <f>IFERROR(IF(INDEX(使用レシピ!J:J,MATCH(テンプレート!$C542,使用レシピ!$E:$E,0))&lt;&gt;0,INDEX(使用レシピ!J:J,MATCH(テンプレート!$C542,使用レシピ!$E:$E,0)),""),"")</f>
        <v/>
      </c>
      <c r="I542" s="36" t="str">
        <f>IFERROR(IF(INDEX(使用レシピ!P:P,MATCH(テンプレート!$C542,使用レシピ!$E:$E,0))&lt;&gt;0,INDEX(使用レシピ!P:P,MATCH(テンプレート!$C542,使用レシピ!$E:$E,0)),""),"")</f>
        <v/>
      </c>
      <c r="J542" t="str">
        <f>IFERROR(IF(INDEX(使用レシピ!K:K,MATCH(テンプレート!$C542,使用レシピ!$E:$E,0))&lt;&gt;0,INDEX(使用レシピ!K:K,MATCH(テンプレート!$C542,使用レシピ!$E:$E,0)),""),"")</f>
        <v/>
      </c>
      <c r="K542" t="str">
        <f>IFERROR(IF(INDEX(使用レシピ!L:L,MATCH(テンプレート!$C542,使用レシピ!$E:$E,0))&lt;&gt;0,INDEX(使用レシピ!L:L,MATCH(テンプレート!$C542,使用レシピ!$E:$E,0)),""),"")</f>
        <v/>
      </c>
      <c r="L542" t="str">
        <f>IFERROR(IF(INDEX(使用レシピ!M:M,MATCH(テンプレート!$C542,使用レシピ!$E:$E,0))&lt;&gt;0,INDEX(使用レシピ!M:M,MATCH(テンプレート!$C542,使用レシピ!$E:$E,0)),""),"")</f>
        <v/>
      </c>
      <c r="M542" t="str">
        <f>IFERROR(IF(INDEX(使用レシピ!N:N,MATCH(テンプレート!$C542,使用レシピ!$E:$E,0))&lt;&gt;0,INDEX(使用レシピ!N:N,MATCH(テンプレート!$C542,使用レシピ!$E:$E,0)),""),"")</f>
        <v/>
      </c>
      <c r="N542" s="24" t="str">
        <f>IFERROR(IF(INDEX(使用レシピ!O:O,MATCH(テンプレート!$C542,使用レシピ!$E:$E,0))&lt;&gt;0,INDEX(使用レシピ!O:O,MATCH(テンプレート!$C542,使用レシピ!$E:$E,0)),""),"")</f>
        <v/>
      </c>
      <c r="O542" s="36" t="str">
        <f>IFERROR(IF(INDEX(使用レシピ!P:P,MATCH(テンプレート!$C542,使用レシピ!$E:$E,0))&lt;&gt;0,INDEX(使用レシピ!P:P,MATCH(テンプレート!$C542,使用レシピ!$E:$E,0)),""),"")</f>
        <v/>
      </c>
      <c r="P542" t="str">
        <f t="shared" si="41"/>
        <v/>
      </c>
      <c r="Q542" t="str">
        <f t="shared" si="42"/>
        <v/>
      </c>
      <c r="R542" t="str">
        <f t="shared" si="43"/>
        <v/>
      </c>
      <c r="S542" t="str">
        <f t="shared" si="44"/>
        <v/>
      </c>
      <c r="T542" s="24" t="str">
        <f t="shared" si="45"/>
        <v/>
      </c>
    </row>
    <row r="543" spans="2:20" x14ac:dyDescent="0.4">
      <c r="B543" s="49" t="str" cm="1">
        <f t="array" ref="B543">IFERROR((INDEX($P$4:$T$1000,MATCH(VALUE(LEFT($A543,LEN($A543)-1)),$A$4:$A$1000,0),VALUE(RIGHT($A543,1)))/ INDEX($O$4:$O$1000,MATCH(VALUE(LEFT($A543,LEN($A543)-1)),$A$4:$A$1000))) * INDEX($B$4:$B$1000,MATCH(VALUE(LEFT($A543,LEN($A543)-1)),$A$4:$A$1000)),"")</f>
        <v/>
      </c>
      <c r="C543" s="2" t="str" cm="1">
        <f t="array" ref="C543">IFERROR(IF(INDEX($D$4:$H$1000,MATCH(VALUE(LEFT($A543,LEN($A543)-1)),$A$4:$A$1000,0),VALUE(RIGHT($A543,1)))= 0,"",INDEX($D$4:$H$1000,MATCH(VALUE(LEFT($A543,LEN($A543)-1)),$A$4:$A$1000,0),VALUE(RIGHT($A543,1)))),"")</f>
        <v/>
      </c>
      <c r="D543" s="23" t="str">
        <f>IFERROR(IF(INDEX(使用レシピ!F:F,MATCH(テンプレート!$C543,使用レシピ!$E:$E,0))&lt;&gt;0,INDEX(使用レシピ!F:F,MATCH(テンプレート!$C543,使用レシピ!$E:$E,0)),""),"")</f>
        <v/>
      </c>
      <c r="E543" t="str">
        <f>IFERROR(IF(INDEX(使用レシピ!G:G,MATCH(テンプレート!$C543,使用レシピ!$E:$E,0))&lt;&gt;0,INDEX(使用レシピ!G:G,MATCH(テンプレート!$C543,使用レシピ!$E:$E,0)),""),"")</f>
        <v/>
      </c>
      <c r="F543" t="str">
        <f>IFERROR(IF(INDEX(使用レシピ!H:H,MATCH(テンプレート!$C543,使用レシピ!$E:$E,0))&lt;&gt;0,INDEX(使用レシピ!H:H,MATCH(テンプレート!$C543,使用レシピ!$E:$E,0)),""),"")</f>
        <v/>
      </c>
      <c r="G543" t="str">
        <f>IFERROR(IF(INDEX(使用レシピ!I:I,MATCH(テンプレート!$C543,使用レシピ!$E:$E,0))&lt;&gt;0,INDEX(使用レシピ!I:I,MATCH(テンプレート!$C543,使用レシピ!$E:$E,0)),""),"")</f>
        <v/>
      </c>
      <c r="H543" s="24" t="str">
        <f>IFERROR(IF(INDEX(使用レシピ!J:J,MATCH(テンプレート!$C543,使用レシピ!$E:$E,0))&lt;&gt;0,INDEX(使用レシピ!J:J,MATCH(テンプレート!$C543,使用レシピ!$E:$E,0)),""),"")</f>
        <v/>
      </c>
      <c r="I543" s="36" t="str">
        <f>IFERROR(IF(INDEX(使用レシピ!P:P,MATCH(テンプレート!$C543,使用レシピ!$E:$E,0))&lt;&gt;0,INDEX(使用レシピ!P:P,MATCH(テンプレート!$C543,使用レシピ!$E:$E,0)),""),"")</f>
        <v/>
      </c>
      <c r="J543" t="str">
        <f>IFERROR(IF(INDEX(使用レシピ!K:K,MATCH(テンプレート!$C543,使用レシピ!$E:$E,0))&lt;&gt;0,INDEX(使用レシピ!K:K,MATCH(テンプレート!$C543,使用レシピ!$E:$E,0)),""),"")</f>
        <v/>
      </c>
      <c r="K543" t="str">
        <f>IFERROR(IF(INDEX(使用レシピ!L:L,MATCH(テンプレート!$C543,使用レシピ!$E:$E,0))&lt;&gt;0,INDEX(使用レシピ!L:L,MATCH(テンプレート!$C543,使用レシピ!$E:$E,0)),""),"")</f>
        <v/>
      </c>
      <c r="L543" t="str">
        <f>IFERROR(IF(INDEX(使用レシピ!M:M,MATCH(テンプレート!$C543,使用レシピ!$E:$E,0))&lt;&gt;0,INDEX(使用レシピ!M:M,MATCH(テンプレート!$C543,使用レシピ!$E:$E,0)),""),"")</f>
        <v/>
      </c>
      <c r="M543" t="str">
        <f>IFERROR(IF(INDEX(使用レシピ!N:N,MATCH(テンプレート!$C543,使用レシピ!$E:$E,0))&lt;&gt;0,INDEX(使用レシピ!N:N,MATCH(テンプレート!$C543,使用レシピ!$E:$E,0)),""),"")</f>
        <v/>
      </c>
      <c r="N543" s="24" t="str">
        <f>IFERROR(IF(INDEX(使用レシピ!O:O,MATCH(テンプレート!$C543,使用レシピ!$E:$E,0))&lt;&gt;0,INDEX(使用レシピ!O:O,MATCH(テンプレート!$C543,使用レシピ!$E:$E,0)),""),"")</f>
        <v/>
      </c>
      <c r="O543" s="36" t="str">
        <f>IFERROR(IF(INDEX(使用レシピ!P:P,MATCH(テンプレート!$C543,使用レシピ!$E:$E,0))&lt;&gt;0,INDEX(使用レシピ!P:P,MATCH(テンプレート!$C543,使用レシピ!$E:$E,0)),""),"")</f>
        <v/>
      </c>
      <c r="P543" t="str">
        <f t="shared" si="41"/>
        <v/>
      </c>
      <c r="Q543" t="str">
        <f t="shared" si="42"/>
        <v/>
      </c>
      <c r="R543" t="str">
        <f t="shared" si="43"/>
        <v/>
      </c>
      <c r="S543" t="str">
        <f t="shared" si="44"/>
        <v/>
      </c>
      <c r="T543" s="24" t="str">
        <f t="shared" si="45"/>
        <v/>
      </c>
    </row>
    <row r="544" spans="2:20" x14ac:dyDescent="0.4">
      <c r="B544" s="49" t="str" cm="1">
        <f t="array" ref="B544">IFERROR((INDEX($P$4:$T$1000,MATCH(VALUE(LEFT($A544,LEN($A544)-1)),$A$4:$A$1000,0),VALUE(RIGHT($A544,1)))/ INDEX($O$4:$O$1000,MATCH(VALUE(LEFT($A544,LEN($A544)-1)),$A$4:$A$1000))) * INDEX($B$4:$B$1000,MATCH(VALUE(LEFT($A544,LEN($A544)-1)),$A$4:$A$1000)),"")</f>
        <v/>
      </c>
      <c r="C544" s="2" t="str" cm="1">
        <f t="array" ref="C544">IFERROR(IF(INDEX($D$4:$H$1000,MATCH(VALUE(LEFT($A544,LEN($A544)-1)),$A$4:$A$1000,0),VALUE(RIGHT($A544,1)))= 0,"",INDEX($D$4:$H$1000,MATCH(VALUE(LEFT($A544,LEN($A544)-1)),$A$4:$A$1000,0),VALUE(RIGHT($A544,1)))),"")</f>
        <v/>
      </c>
      <c r="D544" s="23" t="str">
        <f>IFERROR(IF(INDEX(使用レシピ!F:F,MATCH(テンプレート!$C544,使用レシピ!$E:$E,0))&lt;&gt;0,INDEX(使用レシピ!F:F,MATCH(テンプレート!$C544,使用レシピ!$E:$E,0)),""),"")</f>
        <v/>
      </c>
      <c r="E544" t="str">
        <f>IFERROR(IF(INDEX(使用レシピ!G:G,MATCH(テンプレート!$C544,使用レシピ!$E:$E,0))&lt;&gt;0,INDEX(使用レシピ!G:G,MATCH(テンプレート!$C544,使用レシピ!$E:$E,0)),""),"")</f>
        <v/>
      </c>
      <c r="F544" t="str">
        <f>IFERROR(IF(INDEX(使用レシピ!H:H,MATCH(テンプレート!$C544,使用レシピ!$E:$E,0))&lt;&gt;0,INDEX(使用レシピ!H:H,MATCH(テンプレート!$C544,使用レシピ!$E:$E,0)),""),"")</f>
        <v/>
      </c>
      <c r="G544" t="str">
        <f>IFERROR(IF(INDEX(使用レシピ!I:I,MATCH(テンプレート!$C544,使用レシピ!$E:$E,0))&lt;&gt;0,INDEX(使用レシピ!I:I,MATCH(テンプレート!$C544,使用レシピ!$E:$E,0)),""),"")</f>
        <v/>
      </c>
      <c r="H544" s="24" t="str">
        <f>IFERROR(IF(INDEX(使用レシピ!J:J,MATCH(テンプレート!$C544,使用レシピ!$E:$E,0))&lt;&gt;0,INDEX(使用レシピ!J:J,MATCH(テンプレート!$C544,使用レシピ!$E:$E,0)),""),"")</f>
        <v/>
      </c>
      <c r="I544" s="36" t="str">
        <f>IFERROR(IF(INDEX(使用レシピ!P:P,MATCH(テンプレート!$C544,使用レシピ!$E:$E,0))&lt;&gt;0,INDEX(使用レシピ!P:P,MATCH(テンプレート!$C544,使用レシピ!$E:$E,0)),""),"")</f>
        <v/>
      </c>
      <c r="J544" t="str">
        <f>IFERROR(IF(INDEX(使用レシピ!K:K,MATCH(テンプレート!$C544,使用レシピ!$E:$E,0))&lt;&gt;0,INDEX(使用レシピ!K:K,MATCH(テンプレート!$C544,使用レシピ!$E:$E,0)),""),"")</f>
        <v/>
      </c>
      <c r="K544" t="str">
        <f>IFERROR(IF(INDEX(使用レシピ!L:L,MATCH(テンプレート!$C544,使用レシピ!$E:$E,0))&lt;&gt;0,INDEX(使用レシピ!L:L,MATCH(テンプレート!$C544,使用レシピ!$E:$E,0)),""),"")</f>
        <v/>
      </c>
      <c r="L544" t="str">
        <f>IFERROR(IF(INDEX(使用レシピ!M:M,MATCH(テンプレート!$C544,使用レシピ!$E:$E,0))&lt;&gt;0,INDEX(使用レシピ!M:M,MATCH(テンプレート!$C544,使用レシピ!$E:$E,0)),""),"")</f>
        <v/>
      </c>
      <c r="M544" t="str">
        <f>IFERROR(IF(INDEX(使用レシピ!N:N,MATCH(テンプレート!$C544,使用レシピ!$E:$E,0))&lt;&gt;0,INDEX(使用レシピ!N:N,MATCH(テンプレート!$C544,使用レシピ!$E:$E,0)),""),"")</f>
        <v/>
      </c>
      <c r="N544" s="24" t="str">
        <f>IFERROR(IF(INDEX(使用レシピ!O:O,MATCH(テンプレート!$C544,使用レシピ!$E:$E,0))&lt;&gt;0,INDEX(使用レシピ!O:O,MATCH(テンプレート!$C544,使用レシピ!$E:$E,0)),""),"")</f>
        <v/>
      </c>
      <c r="O544" s="36" t="str">
        <f>IFERROR(IF(INDEX(使用レシピ!P:P,MATCH(テンプレート!$C544,使用レシピ!$E:$E,0))&lt;&gt;0,INDEX(使用レシピ!P:P,MATCH(テンプレート!$C544,使用レシピ!$E:$E,0)),""),"")</f>
        <v/>
      </c>
      <c r="P544" t="str">
        <f t="shared" si="41"/>
        <v/>
      </c>
      <c r="Q544" t="str">
        <f t="shared" si="42"/>
        <v/>
      </c>
      <c r="R544" t="str">
        <f t="shared" si="43"/>
        <v/>
      </c>
      <c r="S544" t="str">
        <f t="shared" si="44"/>
        <v/>
      </c>
      <c r="T544" s="24" t="str">
        <f t="shared" si="45"/>
        <v/>
      </c>
    </row>
    <row r="545" spans="2:20" x14ac:dyDescent="0.4">
      <c r="B545" s="49" t="str" cm="1">
        <f t="array" ref="B545">IFERROR((INDEX($P$4:$T$1000,MATCH(VALUE(LEFT($A545,LEN($A545)-1)),$A$4:$A$1000,0),VALUE(RIGHT($A545,1)))/ INDEX($O$4:$O$1000,MATCH(VALUE(LEFT($A545,LEN($A545)-1)),$A$4:$A$1000))) * INDEX($B$4:$B$1000,MATCH(VALUE(LEFT($A545,LEN($A545)-1)),$A$4:$A$1000)),"")</f>
        <v/>
      </c>
      <c r="C545" s="2" t="str" cm="1">
        <f t="array" ref="C545">IFERROR(IF(INDEX($D$4:$H$1000,MATCH(VALUE(LEFT($A545,LEN($A545)-1)),$A$4:$A$1000,0),VALUE(RIGHT($A545,1)))= 0,"",INDEX($D$4:$H$1000,MATCH(VALUE(LEFT($A545,LEN($A545)-1)),$A$4:$A$1000,0),VALUE(RIGHT($A545,1)))),"")</f>
        <v/>
      </c>
      <c r="D545" s="23" t="str">
        <f>IFERROR(IF(INDEX(使用レシピ!F:F,MATCH(テンプレート!$C545,使用レシピ!$E:$E,0))&lt;&gt;0,INDEX(使用レシピ!F:F,MATCH(テンプレート!$C545,使用レシピ!$E:$E,0)),""),"")</f>
        <v/>
      </c>
      <c r="E545" t="str">
        <f>IFERROR(IF(INDEX(使用レシピ!G:G,MATCH(テンプレート!$C545,使用レシピ!$E:$E,0))&lt;&gt;0,INDEX(使用レシピ!G:G,MATCH(テンプレート!$C545,使用レシピ!$E:$E,0)),""),"")</f>
        <v/>
      </c>
      <c r="F545" t="str">
        <f>IFERROR(IF(INDEX(使用レシピ!H:H,MATCH(テンプレート!$C545,使用レシピ!$E:$E,0))&lt;&gt;0,INDEX(使用レシピ!H:H,MATCH(テンプレート!$C545,使用レシピ!$E:$E,0)),""),"")</f>
        <v/>
      </c>
      <c r="G545" t="str">
        <f>IFERROR(IF(INDEX(使用レシピ!I:I,MATCH(テンプレート!$C545,使用レシピ!$E:$E,0))&lt;&gt;0,INDEX(使用レシピ!I:I,MATCH(テンプレート!$C545,使用レシピ!$E:$E,0)),""),"")</f>
        <v/>
      </c>
      <c r="H545" s="24" t="str">
        <f>IFERROR(IF(INDEX(使用レシピ!J:J,MATCH(テンプレート!$C545,使用レシピ!$E:$E,0))&lt;&gt;0,INDEX(使用レシピ!J:J,MATCH(テンプレート!$C545,使用レシピ!$E:$E,0)),""),"")</f>
        <v/>
      </c>
      <c r="I545" s="36" t="str">
        <f>IFERROR(IF(INDEX(使用レシピ!P:P,MATCH(テンプレート!$C545,使用レシピ!$E:$E,0))&lt;&gt;0,INDEX(使用レシピ!P:P,MATCH(テンプレート!$C545,使用レシピ!$E:$E,0)),""),"")</f>
        <v/>
      </c>
      <c r="J545" t="str">
        <f>IFERROR(IF(INDEX(使用レシピ!K:K,MATCH(テンプレート!$C545,使用レシピ!$E:$E,0))&lt;&gt;0,INDEX(使用レシピ!K:K,MATCH(テンプレート!$C545,使用レシピ!$E:$E,0)),""),"")</f>
        <v/>
      </c>
      <c r="K545" t="str">
        <f>IFERROR(IF(INDEX(使用レシピ!L:L,MATCH(テンプレート!$C545,使用レシピ!$E:$E,0))&lt;&gt;0,INDEX(使用レシピ!L:L,MATCH(テンプレート!$C545,使用レシピ!$E:$E,0)),""),"")</f>
        <v/>
      </c>
      <c r="L545" t="str">
        <f>IFERROR(IF(INDEX(使用レシピ!M:M,MATCH(テンプレート!$C545,使用レシピ!$E:$E,0))&lt;&gt;0,INDEX(使用レシピ!M:M,MATCH(テンプレート!$C545,使用レシピ!$E:$E,0)),""),"")</f>
        <v/>
      </c>
      <c r="M545" t="str">
        <f>IFERROR(IF(INDEX(使用レシピ!N:N,MATCH(テンプレート!$C545,使用レシピ!$E:$E,0))&lt;&gt;0,INDEX(使用レシピ!N:N,MATCH(テンプレート!$C545,使用レシピ!$E:$E,0)),""),"")</f>
        <v/>
      </c>
      <c r="N545" s="24" t="str">
        <f>IFERROR(IF(INDEX(使用レシピ!O:O,MATCH(テンプレート!$C545,使用レシピ!$E:$E,0))&lt;&gt;0,INDEX(使用レシピ!O:O,MATCH(テンプレート!$C545,使用レシピ!$E:$E,0)),""),"")</f>
        <v/>
      </c>
      <c r="O545" s="36" t="str">
        <f>IFERROR(IF(INDEX(使用レシピ!P:P,MATCH(テンプレート!$C545,使用レシピ!$E:$E,0))&lt;&gt;0,INDEX(使用レシピ!P:P,MATCH(テンプレート!$C545,使用レシピ!$E:$E,0)),""),"")</f>
        <v/>
      </c>
      <c r="P545" t="str">
        <f t="shared" si="41"/>
        <v/>
      </c>
      <c r="Q545" t="str">
        <f t="shared" si="42"/>
        <v/>
      </c>
      <c r="R545" t="str">
        <f t="shared" si="43"/>
        <v/>
      </c>
      <c r="S545" t="str">
        <f t="shared" si="44"/>
        <v/>
      </c>
      <c r="T545" s="24" t="str">
        <f t="shared" si="45"/>
        <v/>
      </c>
    </row>
    <row r="546" spans="2:20" x14ac:dyDescent="0.4">
      <c r="B546" s="49" t="str" cm="1">
        <f t="array" ref="B546">IFERROR((INDEX($P$4:$T$1000,MATCH(VALUE(LEFT($A546,LEN($A546)-1)),$A$4:$A$1000,0),VALUE(RIGHT($A546,1)))/ INDEX($O$4:$O$1000,MATCH(VALUE(LEFT($A546,LEN($A546)-1)),$A$4:$A$1000))) * INDEX($B$4:$B$1000,MATCH(VALUE(LEFT($A546,LEN($A546)-1)),$A$4:$A$1000)),"")</f>
        <v/>
      </c>
      <c r="C546" s="2" t="str" cm="1">
        <f t="array" ref="C546">IFERROR(IF(INDEX($D$4:$H$1000,MATCH(VALUE(LEFT($A546,LEN($A546)-1)),$A$4:$A$1000,0),VALUE(RIGHT($A546,1)))= 0,"",INDEX($D$4:$H$1000,MATCH(VALUE(LEFT($A546,LEN($A546)-1)),$A$4:$A$1000,0),VALUE(RIGHT($A546,1)))),"")</f>
        <v/>
      </c>
      <c r="D546" s="23" t="str">
        <f>IFERROR(IF(INDEX(使用レシピ!F:F,MATCH(テンプレート!$C546,使用レシピ!$E:$E,0))&lt;&gt;0,INDEX(使用レシピ!F:F,MATCH(テンプレート!$C546,使用レシピ!$E:$E,0)),""),"")</f>
        <v/>
      </c>
      <c r="E546" t="str">
        <f>IFERROR(IF(INDEX(使用レシピ!G:G,MATCH(テンプレート!$C546,使用レシピ!$E:$E,0))&lt;&gt;0,INDEX(使用レシピ!G:G,MATCH(テンプレート!$C546,使用レシピ!$E:$E,0)),""),"")</f>
        <v/>
      </c>
      <c r="F546" t="str">
        <f>IFERROR(IF(INDEX(使用レシピ!H:H,MATCH(テンプレート!$C546,使用レシピ!$E:$E,0))&lt;&gt;0,INDEX(使用レシピ!H:H,MATCH(テンプレート!$C546,使用レシピ!$E:$E,0)),""),"")</f>
        <v/>
      </c>
      <c r="G546" t="str">
        <f>IFERROR(IF(INDEX(使用レシピ!I:I,MATCH(テンプレート!$C546,使用レシピ!$E:$E,0))&lt;&gt;0,INDEX(使用レシピ!I:I,MATCH(テンプレート!$C546,使用レシピ!$E:$E,0)),""),"")</f>
        <v/>
      </c>
      <c r="H546" s="24" t="str">
        <f>IFERROR(IF(INDEX(使用レシピ!J:J,MATCH(テンプレート!$C546,使用レシピ!$E:$E,0))&lt;&gt;0,INDEX(使用レシピ!J:J,MATCH(テンプレート!$C546,使用レシピ!$E:$E,0)),""),"")</f>
        <v/>
      </c>
      <c r="I546" s="36" t="str">
        <f>IFERROR(IF(INDEX(使用レシピ!P:P,MATCH(テンプレート!$C546,使用レシピ!$E:$E,0))&lt;&gt;0,INDEX(使用レシピ!P:P,MATCH(テンプレート!$C546,使用レシピ!$E:$E,0)),""),"")</f>
        <v/>
      </c>
      <c r="J546" t="str">
        <f>IFERROR(IF(INDEX(使用レシピ!K:K,MATCH(テンプレート!$C546,使用レシピ!$E:$E,0))&lt;&gt;0,INDEX(使用レシピ!K:K,MATCH(テンプレート!$C546,使用レシピ!$E:$E,0)),""),"")</f>
        <v/>
      </c>
      <c r="K546" t="str">
        <f>IFERROR(IF(INDEX(使用レシピ!L:L,MATCH(テンプレート!$C546,使用レシピ!$E:$E,0))&lt;&gt;0,INDEX(使用レシピ!L:L,MATCH(テンプレート!$C546,使用レシピ!$E:$E,0)),""),"")</f>
        <v/>
      </c>
      <c r="L546" t="str">
        <f>IFERROR(IF(INDEX(使用レシピ!M:M,MATCH(テンプレート!$C546,使用レシピ!$E:$E,0))&lt;&gt;0,INDEX(使用レシピ!M:M,MATCH(テンプレート!$C546,使用レシピ!$E:$E,0)),""),"")</f>
        <v/>
      </c>
      <c r="M546" t="str">
        <f>IFERROR(IF(INDEX(使用レシピ!N:N,MATCH(テンプレート!$C546,使用レシピ!$E:$E,0))&lt;&gt;0,INDEX(使用レシピ!N:N,MATCH(テンプレート!$C546,使用レシピ!$E:$E,0)),""),"")</f>
        <v/>
      </c>
      <c r="N546" s="24" t="str">
        <f>IFERROR(IF(INDEX(使用レシピ!O:O,MATCH(テンプレート!$C546,使用レシピ!$E:$E,0))&lt;&gt;0,INDEX(使用レシピ!O:O,MATCH(テンプレート!$C546,使用レシピ!$E:$E,0)),""),"")</f>
        <v/>
      </c>
      <c r="O546" s="36" t="str">
        <f>IFERROR(IF(INDEX(使用レシピ!P:P,MATCH(テンプレート!$C546,使用レシピ!$E:$E,0))&lt;&gt;0,INDEX(使用レシピ!P:P,MATCH(テンプレート!$C546,使用レシピ!$E:$E,0)),""),"")</f>
        <v/>
      </c>
      <c r="P546" t="str">
        <f t="shared" si="41"/>
        <v/>
      </c>
      <c r="Q546" t="str">
        <f t="shared" si="42"/>
        <v/>
      </c>
      <c r="R546" t="str">
        <f t="shared" si="43"/>
        <v/>
      </c>
      <c r="S546" t="str">
        <f t="shared" si="44"/>
        <v/>
      </c>
      <c r="T546" s="24" t="str">
        <f t="shared" si="45"/>
        <v/>
      </c>
    </row>
    <row r="547" spans="2:20" x14ac:dyDescent="0.4">
      <c r="B547" s="49" t="str" cm="1">
        <f t="array" ref="B547">IFERROR((INDEX($P$4:$T$1000,MATCH(VALUE(LEFT($A547,LEN($A547)-1)),$A$4:$A$1000,0),VALUE(RIGHT($A547,1)))/ INDEX($O$4:$O$1000,MATCH(VALUE(LEFT($A547,LEN($A547)-1)),$A$4:$A$1000))) * INDEX($B$4:$B$1000,MATCH(VALUE(LEFT($A547,LEN($A547)-1)),$A$4:$A$1000)),"")</f>
        <v/>
      </c>
      <c r="C547" s="2" t="str" cm="1">
        <f t="array" ref="C547">IFERROR(IF(INDEX($D$4:$H$1000,MATCH(VALUE(LEFT($A547,LEN($A547)-1)),$A$4:$A$1000,0),VALUE(RIGHT($A547,1)))= 0,"",INDEX($D$4:$H$1000,MATCH(VALUE(LEFT($A547,LEN($A547)-1)),$A$4:$A$1000,0),VALUE(RIGHT($A547,1)))),"")</f>
        <v/>
      </c>
      <c r="D547" s="23" t="str">
        <f>IFERROR(IF(INDEX(使用レシピ!F:F,MATCH(テンプレート!$C547,使用レシピ!$E:$E,0))&lt;&gt;0,INDEX(使用レシピ!F:F,MATCH(テンプレート!$C547,使用レシピ!$E:$E,0)),""),"")</f>
        <v/>
      </c>
      <c r="E547" t="str">
        <f>IFERROR(IF(INDEX(使用レシピ!G:G,MATCH(テンプレート!$C547,使用レシピ!$E:$E,0))&lt;&gt;0,INDEX(使用レシピ!G:G,MATCH(テンプレート!$C547,使用レシピ!$E:$E,0)),""),"")</f>
        <v/>
      </c>
      <c r="F547" t="str">
        <f>IFERROR(IF(INDEX(使用レシピ!H:H,MATCH(テンプレート!$C547,使用レシピ!$E:$E,0))&lt;&gt;0,INDEX(使用レシピ!H:H,MATCH(テンプレート!$C547,使用レシピ!$E:$E,0)),""),"")</f>
        <v/>
      </c>
      <c r="G547" t="str">
        <f>IFERROR(IF(INDEX(使用レシピ!I:I,MATCH(テンプレート!$C547,使用レシピ!$E:$E,0))&lt;&gt;0,INDEX(使用レシピ!I:I,MATCH(テンプレート!$C547,使用レシピ!$E:$E,0)),""),"")</f>
        <v/>
      </c>
      <c r="H547" s="24" t="str">
        <f>IFERROR(IF(INDEX(使用レシピ!J:J,MATCH(テンプレート!$C547,使用レシピ!$E:$E,0))&lt;&gt;0,INDEX(使用レシピ!J:J,MATCH(テンプレート!$C547,使用レシピ!$E:$E,0)),""),"")</f>
        <v/>
      </c>
      <c r="I547" s="36" t="str">
        <f>IFERROR(IF(INDEX(使用レシピ!P:P,MATCH(テンプレート!$C547,使用レシピ!$E:$E,0))&lt;&gt;0,INDEX(使用レシピ!P:P,MATCH(テンプレート!$C547,使用レシピ!$E:$E,0)),""),"")</f>
        <v/>
      </c>
      <c r="J547" t="str">
        <f>IFERROR(IF(INDEX(使用レシピ!K:K,MATCH(テンプレート!$C547,使用レシピ!$E:$E,0))&lt;&gt;0,INDEX(使用レシピ!K:K,MATCH(テンプレート!$C547,使用レシピ!$E:$E,0)),""),"")</f>
        <v/>
      </c>
      <c r="K547" t="str">
        <f>IFERROR(IF(INDEX(使用レシピ!L:L,MATCH(テンプレート!$C547,使用レシピ!$E:$E,0))&lt;&gt;0,INDEX(使用レシピ!L:L,MATCH(テンプレート!$C547,使用レシピ!$E:$E,0)),""),"")</f>
        <v/>
      </c>
      <c r="L547" t="str">
        <f>IFERROR(IF(INDEX(使用レシピ!M:M,MATCH(テンプレート!$C547,使用レシピ!$E:$E,0))&lt;&gt;0,INDEX(使用レシピ!M:M,MATCH(テンプレート!$C547,使用レシピ!$E:$E,0)),""),"")</f>
        <v/>
      </c>
      <c r="M547" t="str">
        <f>IFERROR(IF(INDEX(使用レシピ!N:N,MATCH(テンプレート!$C547,使用レシピ!$E:$E,0))&lt;&gt;0,INDEX(使用レシピ!N:N,MATCH(テンプレート!$C547,使用レシピ!$E:$E,0)),""),"")</f>
        <v/>
      </c>
      <c r="N547" s="24" t="str">
        <f>IFERROR(IF(INDEX(使用レシピ!O:O,MATCH(テンプレート!$C547,使用レシピ!$E:$E,0))&lt;&gt;0,INDEX(使用レシピ!O:O,MATCH(テンプレート!$C547,使用レシピ!$E:$E,0)),""),"")</f>
        <v/>
      </c>
      <c r="O547" s="36" t="str">
        <f>IFERROR(IF(INDEX(使用レシピ!P:P,MATCH(テンプレート!$C547,使用レシピ!$E:$E,0))&lt;&gt;0,INDEX(使用レシピ!P:P,MATCH(テンプレート!$C547,使用レシピ!$E:$E,0)),""),"")</f>
        <v/>
      </c>
      <c r="P547" t="str">
        <f t="shared" si="41"/>
        <v/>
      </c>
      <c r="Q547" t="str">
        <f t="shared" si="42"/>
        <v/>
      </c>
      <c r="R547" t="str">
        <f t="shared" si="43"/>
        <v/>
      </c>
      <c r="S547" t="str">
        <f t="shared" si="44"/>
        <v/>
      </c>
      <c r="T547" s="24" t="str">
        <f t="shared" si="45"/>
        <v/>
      </c>
    </row>
    <row r="548" spans="2:20" x14ac:dyDescent="0.4">
      <c r="B548" s="49" t="str" cm="1">
        <f t="array" ref="B548">IFERROR((INDEX($P$4:$T$1000,MATCH(VALUE(LEFT($A548,LEN($A548)-1)),$A$4:$A$1000,0),VALUE(RIGHT($A548,1)))/ INDEX($O$4:$O$1000,MATCH(VALUE(LEFT($A548,LEN($A548)-1)),$A$4:$A$1000))) * INDEX($B$4:$B$1000,MATCH(VALUE(LEFT($A548,LEN($A548)-1)),$A$4:$A$1000)),"")</f>
        <v/>
      </c>
      <c r="C548" s="2" t="str" cm="1">
        <f t="array" ref="C548">IFERROR(IF(INDEX($D$4:$H$1000,MATCH(VALUE(LEFT($A548,LEN($A548)-1)),$A$4:$A$1000,0),VALUE(RIGHT($A548,1)))= 0,"",INDEX($D$4:$H$1000,MATCH(VALUE(LEFT($A548,LEN($A548)-1)),$A$4:$A$1000,0),VALUE(RIGHT($A548,1)))),"")</f>
        <v/>
      </c>
      <c r="D548" s="23" t="str">
        <f>IFERROR(IF(INDEX(使用レシピ!F:F,MATCH(テンプレート!$C548,使用レシピ!$E:$E,0))&lt;&gt;0,INDEX(使用レシピ!F:F,MATCH(テンプレート!$C548,使用レシピ!$E:$E,0)),""),"")</f>
        <v/>
      </c>
      <c r="E548" t="str">
        <f>IFERROR(IF(INDEX(使用レシピ!G:G,MATCH(テンプレート!$C548,使用レシピ!$E:$E,0))&lt;&gt;0,INDEX(使用レシピ!G:G,MATCH(テンプレート!$C548,使用レシピ!$E:$E,0)),""),"")</f>
        <v/>
      </c>
      <c r="F548" t="str">
        <f>IFERROR(IF(INDEX(使用レシピ!H:H,MATCH(テンプレート!$C548,使用レシピ!$E:$E,0))&lt;&gt;0,INDEX(使用レシピ!H:H,MATCH(テンプレート!$C548,使用レシピ!$E:$E,0)),""),"")</f>
        <v/>
      </c>
      <c r="G548" t="str">
        <f>IFERROR(IF(INDEX(使用レシピ!I:I,MATCH(テンプレート!$C548,使用レシピ!$E:$E,0))&lt;&gt;0,INDEX(使用レシピ!I:I,MATCH(テンプレート!$C548,使用レシピ!$E:$E,0)),""),"")</f>
        <v/>
      </c>
      <c r="H548" s="24" t="str">
        <f>IFERROR(IF(INDEX(使用レシピ!J:J,MATCH(テンプレート!$C548,使用レシピ!$E:$E,0))&lt;&gt;0,INDEX(使用レシピ!J:J,MATCH(テンプレート!$C548,使用レシピ!$E:$E,0)),""),"")</f>
        <v/>
      </c>
      <c r="I548" s="36" t="str">
        <f>IFERROR(IF(INDEX(使用レシピ!P:P,MATCH(テンプレート!$C548,使用レシピ!$E:$E,0))&lt;&gt;0,INDEX(使用レシピ!P:P,MATCH(テンプレート!$C548,使用レシピ!$E:$E,0)),""),"")</f>
        <v/>
      </c>
      <c r="J548" t="str">
        <f>IFERROR(IF(INDEX(使用レシピ!K:K,MATCH(テンプレート!$C548,使用レシピ!$E:$E,0))&lt;&gt;0,INDEX(使用レシピ!K:K,MATCH(テンプレート!$C548,使用レシピ!$E:$E,0)),""),"")</f>
        <v/>
      </c>
      <c r="K548" t="str">
        <f>IFERROR(IF(INDEX(使用レシピ!L:L,MATCH(テンプレート!$C548,使用レシピ!$E:$E,0))&lt;&gt;0,INDEX(使用レシピ!L:L,MATCH(テンプレート!$C548,使用レシピ!$E:$E,0)),""),"")</f>
        <v/>
      </c>
      <c r="L548" t="str">
        <f>IFERROR(IF(INDEX(使用レシピ!M:M,MATCH(テンプレート!$C548,使用レシピ!$E:$E,0))&lt;&gt;0,INDEX(使用レシピ!M:M,MATCH(テンプレート!$C548,使用レシピ!$E:$E,0)),""),"")</f>
        <v/>
      </c>
      <c r="M548" t="str">
        <f>IFERROR(IF(INDEX(使用レシピ!N:N,MATCH(テンプレート!$C548,使用レシピ!$E:$E,0))&lt;&gt;0,INDEX(使用レシピ!N:N,MATCH(テンプレート!$C548,使用レシピ!$E:$E,0)),""),"")</f>
        <v/>
      </c>
      <c r="N548" s="24" t="str">
        <f>IFERROR(IF(INDEX(使用レシピ!O:O,MATCH(テンプレート!$C548,使用レシピ!$E:$E,0))&lt;&gt;0,INDEX(使用レシピ!O:O,MATCH(テンプレート!$C548,使用レシピ!$E:$E,0)),""),"")</f>
        <v/>
      </c>
      <c r="O548" s="36" t="str">
        <f>IFERROR(IF(INDEX(使用レシピ!P:P,MATCH(テンプレート!$C548,使用レシピ!$E:$E,0))&lt;&gt;0,INDEX(使用レシピ!P:P,MATCH(テンプレート!$C548,使用レシピ!$E:$E,0)),""),"")</f>
        <v/>
      </c>
      <c r="P548" t="str">
        <f t="shared" si="41"/>
        <v/>
      </c>
      <c r="Q548" t="str">
        <f t="shared" si="42"/>
        <v/>
      </c>
      <c r="R548" t="str">
        <f t="shared" si="43"/>
        <v/>
      </c>
      <c r="S548" t="str">
        <f t="shared" si="44"/>
        <v/>
      </c>
      <c r="T548" s="24" t="str">
        <f t="shared" si="45"/>
        <v/>
      </c>
    </row>
    <row r="549" spans="2:20" x14ac:dyDescent="0.4">
      <c r="B549" s="49" t="str" cm="1">
        <f t="array" ref="B549">IFERROR((INDEX($P$4:$T$1000,MATCH(VALUE(LEFT($A549,LEN($A549)-1)),$A$4:$A$1000,0),VALUE(RIGHT($A549,1)))/ INDEX($O$4:$O$1000,MATCH(VALUE(LEFT($A549,LEN($A549)-1)),$A$4:$A$1000))) * INDEX($B$4:$B$1000,MATCH(VALUE(LEFT($A549,LEN($A549)-1)),$A$4:$A$1000)),"")</f>
        <v/>
      </c>
      <c r="C549" s="2" t="str" cm="1">
        <f t="array" ref="C549">IFERROR(IF(INDEX($D$4:$H$1000,MATCH(VALUE(LEFT($A549,LEN($A549)-1)),$A$4:$A$1000,0),VALUE(RIGHT($A549,1)))= 0,"",INDEX($D$4:$H$1000,MATCH(VALUE(LEFT($A549,LEN($A549)-1)),$A$4:$A$1000,0),VALUE(RIGHT($A549,1)))),"")</f>
        <v/>
      </c>
      <c r="D549" s="23" t="str">
        <f>IFERROR(IF(INDEX(使用レシピ!F:F,MATCH(テンプレート!$C549,使用レシピ!$E:$E,0))&lt;&gt;0,INDEX(使用レシピ!F:F,MATCH(テンプレート!$C549,使用レシピ!$E:$E,0)),""),"")</f>
        <v/>
      </c>
      <c r="E549" t="str">
        <f>IFERROR(IF(INDEX(使用レシピ!G:G,MATCH(テンプレート!$C549,使用レシピ!$E:$E,0))&lt;&gt;0,INDEX(使用レシピ!G:G,MATCH(テンプレート!$C549,使用レシピ!$E:$E,0)),""),"")</f>
        <v/>
      </c>
      <c r="F549" t="str">
        <f>IFERROR(IF(INDEX(使用レシピ!H:H,MATCH(テンプレート!$C549,使用レシピ!$E:$E,0))&lt;&gt;0,INDEX(使用レシピ!H:H,MATCH(テンプレート!$C549,使用レシピ!$E:$E,0)),""),"")</f>
        <v/>
      </c>
      <c r="G549" t="str">
        <f>IFERROR(IF(INDEX(使用レシピ!I:I,MATCH(テンプレート!$C549,使用レシピ!$E:$E,0))&lt;&gt;0,INDEX(使用レシピ!I:I,MATCH(テンプレート!$C549,使用レシピ!$E:$E,0)),""),"")</f>
        <v/>
      </c>
      <c r="H549" s="24" t="str">
        <f>IFERROR(IF(INDEX(使用レシピ!J:J,MATCH(テンプレート!$C549,使用レシピ!$E:$E,0))&lt;&gt;0,INDEX(使用レシピ!J:J,MATCH(テンプレート!$C549,使用レシピ!$E:$E,0)),""),"")</f>
        <v/>
      </c>
      <c r="I549" s="36" t="str">
        <f>IFERROR(IF(INDEX(使用レシピ!P:P,MATCH(テンプレート!$C549,使用レシピ!$E:$E,0))&lt;&gt;0,INDEX(使用レシピ!P:P,MATCH(テンプレート!$C549,使用レシピ!$E:$E,0)),""),"")</f>
        <v/>
      </c>
      <c r="J549" t="str">
        <f>IFERROR(IF(INDEX(使用レシピ!K:K,MATCH(テンプレート!$C549,使用レシピ!$E:$E,0))&lt;&gt;0,INDEX(使用レシピ!K:K,MATCH(テンプレート!$C549,使用レシピ!$E:$E,0)),""),"")</f>
        <v/>
      </c>
      <c r="K549" t="str">
        <f>IFERROR(IF(INDEX(使用レシピ!L:L,MATCH(テンプレート!$C549,使用レシピ!$E:$E,0))&lt;&gt;0,INDEX(使用レシピ!L:L,MATCH(テンプレート!$C549,使用レシピ!$E:$E,0)),""),"")</f>
        <v/>
      </c>
      <c r="L549" t="str">
        <f>IFERROR(IF(INDEX(使用レシピ!M:M,MATCH(テンプレート!$C549,使用レシピ!$E:$E,0))&lt;&gt;0,INDEX(使用レシピ!M:M,MATCH(テンプレート!$C549,使用レシピ!$E:$E,0)),""),"")</f>
        <v/>
      </c>
      <c r="M549" t="str">
        <f>IFERROR(IF(INDEX(使用レシピ!N:N,MATCH(テンプレート!$C549,使用レシピ!$E:$E,0))&lt;&gt;0,INDEX(使用レシピ!N:N,MATCH(テンプレート!$C549,使用レシピ!$E:$E,0)),""),"")</f>
        <v/>
      </c>
      <c r="N549" s="24" t="str">
        <f>IFERROR(IF(INDEX(使用レシピ!O:O,MATCH(テンプレート!$C549,使用レシピ!$E:$E,0))&lt;&gt;0,INDEX(使用レシピ!O:O,MATCH(テンプレート!$C549,使用レシピ!$E:$E,0)),""),"")</f>
        <v/>
      </c>
      <c r="O549" s="36" t="str">
        <f>IFERROR(IF(INDEX(使用レシピ!P:P,MATCH(テンプレート!$C549,使用レシピ!$E:$E,0))&lt;&gt;0,INDEX(使用レシピ!P:P,MATCH(テンプレート!$C549,使用レシピ!$E:$E,0)),""),"")</f>
        <v/>
      </c>
      <c r="P549" t="str">
        <f t="shared" si="41"/>
        <v/>
      </c>
      <c r="Q549" t="str">
        <f t="shared" si="42"/>
        <v/>
      </c>
      <c r="R549" t="str">
        <f t="shared" si="43"/>
        <v/>
      </c>
      <c r="S549" t="str">
        <f t="shared" si="44"/>
        <v/>
      </c>
      <c r="T549" s="24" t="str">
        <f t="shared" si="45"/>
        <v/>
      </c>
    </row>
    <row r="550" spans="2:20" x14ac:dyDescent="0.4">
      <c r="B550" s="49" t="str" cm="1">
        <f t="array" ref="B550">IFERROR((INDEX($P$4:$T$1000,MATCH(VALUE(LEFT($A550,LEN($A550)-1)),$A$4:$A$1000,0),VALUE(RIGHT($A550,1)))/ INDEX($O$4:$O$1000,MATCH(VALUE(LEFT($A550,LEN($A550)-1)),$A$4:$A$1000))) * INDEX($B$4:$B$1000,MATCH(VALUE(LEFT($A550,LEN($A550)-1)),$A$4:$A$1000)),"")</f>
        <v/>
      </c>
      <c r="C550" s="2" t="str" cm="1">
        <f t="array" ref="C550">IFERROR(IF(INDEX($D$4:$H$1000,MATCH(VALUE(LEFT($A550,LEN($A550)-1)),$A$4:$A$1000,0),VALUE(RIGHT($A550,1)))= 0,"",INDEX($D$4:$H$1000,MATCH(VALUE(LEFT($A550,LEN($A550)-1)),$A$4:$A$1000,0),VALUE(RIGHT($A550,1)))),"")</f>
        <v/>
      </c>
      <c r="D550" s="23" t="str">
        <f>IFERROR(IF(INDEX(使用レシピ!F:F,MATCH(テンプレート!$C550,使用レシピ!$E:$E,0))&lt;&gt;0,INDEX(使用レシピ!F:F,MATCH(テンプレート!$C550,使用レシピ!$E:$E,0)),""),"")</f>
        <v/>
      </c>
      <c r="E550" t="str">
        <f>IFERROR(IF(INDEX(使用レシピ!G:G,MATCH(テンプレート!$C550,使用レシピ!$E:$E,0))&lt;&gt;0,INDEX(使用レシピ!G:G,MATCH(テンプレート!$C550,使用レシピ!$E:$E,0)),""),"")</f>
        <v/>
      </c>
      <c r="F550" t="str">
        <f>IFERROR(IF(INDEX(使用レシピ!H:H,MATCH(テンプレート!$C550,使用レシピ!$E:$E,0))&lt;&gt;0,INDEX(使用レシピ!H:H,MATCH(テンプレート!$C550,使用レシピ!$E:$E,0)),""),"")</f>
        <v/>
      </c>
      <c r="G550" t="str">
        <f>IFERROR(IF(INDEX(使用レシピ!I:I,MATCH(テンプレート!$C550,使用レシピ!$E:$E,0))&lt;&gt;0,INDEX(使用レシピ!I:I,MATCH(テンプレート!$C550,使用レシピ!$E:$E,0)),""),"")</f>
        <v/>
      </c>
      <c r="H550" s="24" t="str">
        <f>IFERROR(IF(INDEX(使用レシピ!J:J,MATCH(テンプレート!$C550,使用レシピ!$E:$E,0))&lt;&gt;0,INDEX(使用レシピ!J:J,MATCH(テンプレート!$C550,使用レシピ!$E:$E,0)),""),"")</f>
        <v/>
      </c>
      <c r="I550" s="36" t="str">
        <f>IFERROR(IF(INDEX(使用レシピ!P:P,MATCH(テンプレート!$C550,使用レシピ!$E:$E,0))&lt;&gt;0,INDEX(使用レシピ!P:P,MATCH(テンプレート!$C550,使用レシピ!$E:$E,0)),""),"")</f>
        <v/>
      </c>
      <c r="J550" t="str">
        <f>IFERROR(IF(INDEX(使用レシピ!K:K,MATCH(テンプレート!$C550,使用レシピ!$E:$E,0))&lt;&gt;0,INDEX(使用レシピ!K:K,MATCH(テンプレート!$C550,使用レシピ!$E:$E,0)),""),"")</f>
        <v/>
      </c>
      <c r="K550" t="str">
        <f>IFERROR(IF(INDEX(使用レシピ!L:L,MATCH(テンプレート!$C550,使用レシピ!$E:$E,0))&lt;&gt;0,INDEX(使用レシピ!L:L,MATCH(テンプレート!$C550,使用レシピ!$E:$E,0)),""),"")</f>
        <v/>
      </c>
      <c r="L550" t="str">
        <f>IFERROR(IF(INDEX(使用レシピ!M:M,MATCH(テンプレート!$C550,使用レシピ!$E:$E,0))&lt;&gt;0,INDEX(使用レシピ!M:M,MATCH(テンプレート!$C550,使用レシピ!$E:$E,0)),""),"")</f>
        <v/>
      </c>
      <c r="M550" t="str">
        <f>IFERROR(IF(INDEX(使用レシピ!N:N,MATCH(テンプレート!$C550,使用レシピ!$E:$E,0))&lt;&gt;0,INDEX(使用レシピ!N:N,MATCH(テンプレート!$C550,使用レシピ!$E:$E,0)),""),"")</f>
        <v/>
      </c>
      <c r="N550" s="24" t="str">
        <f>IFERROR(IF(INDEX(使用レシピ!O:O,MATCH(テンプレート!$C550,使用レシピ!$E:$E,0))&lt;&gt;0,INDEX(使用レシピ!O:O,MATCH(テンプレート!$C550,使用レシピ!$E:$E,0)),""),"")</f>
        <v/>
      </c>
      <c r="O550" s="36" t="str">
        <f>IFERROR(IF(INDEX(使用レシピ!P:P,MATCH(テンプレート!$C550,使用レシピ!$E:$E,0))&lt;&gt;0,INDEX(使用レシピ!P:P,MATCH(テンプレート!$C550,使用レシピ!$E:$E,0)),""),"")</f>
        <v/>
      </c>
      <c r="P550" t="str">
        <f t="shared" si="41"/>
        <v/>
      </c>
      <c r="Q550" t="str">
        <f t="shared" si="42"/>
        <v/>
      </c>
      <c r="R550" t="str">
        <f t="shared" si="43"/>
        <v/>
      </c>
      <c r="S550" t="str">
        <f t="shared" si="44"/>
        <v/>
      </c>
      <c r="T550" s="24" t="str">
        <f t="shared" si="45"/>
        <v/>
      </c>
    </row>
    <row r="551" spans="2:20" x14ac:dyDescent="0.4">
      <c r="B551" s="49" t="str" cm="1">
        <f t="array" ref="B551">IFERROR((INDEX($P$4:$T$1000,MATCH(VALUE(LEFT($A551,LEN($A551)-1)),$A$4:$A$1000,0),VALUE(RIGHT($A551,1)))/ INDEX($O$4:$O$1000,MATCH(VALUE(LEFT($A551,LEN($A551)-1)),$A$4:$A$1000))) * INDEX($B$4:$B$1000,MATCH(VALUE(LEFT($A551,LEN($A551)-1)),$A$4:$A$1000)),"")</f>
        <v/>
      </c>
      <c r="C551" s="2" t="str" cm="1">
        <f t="array" ref="C551">IFERROR(IF(INDEX($D$4:$H$1000,MATCH(VALUE(LEFT($A551,LEN($A551)-1)),$A$4:$A$1000,0),VALUE(RIGHT($A551,1)))= 0,"",INDEX($D$4:$H$1000,MATCH(VALUE(LEFT($A551,LEN($A551)-1)),$A$4:$A$1000,0),VALUE(RIGHT($A551,1)))),"")</f>
        <v/>
      </c>
      <c r="D551" s="23" t="str">
        <f>IFERROR(IF(INDEX(使用レシピ!F:F,MATCH(テンプレート!$C551,使用レシピ!$E:$E,0))&lt;&gt;0,INDEX(使用レシピ!F:F,MATCH(テンプレート!$C551,使用レシピ!$E:$E,0)),""),"")</f>
        <v/>
      </c>
      <c r="E551" t="str">
        <f>IFERROR(IF(INDEX(使用レシピ!G:G,MATCH(テンプレート!$C551,使用レシピ!$E:$E,0))&lt;&gt;0,INDEX(使用レシピ!G:G,MATCH(テンプレート!$C551,使用レシピ!$E:$E,0)),""),"")</f>
        <v/>
      </c>
      <c r="F551" t="str">
        <f>IFERROR(IF(INDEX(使用レシピ!H:H,MATCH(テンプレート!$C551,使用レシピ!$E:$E,0))&lt;&gt;0,INDEX(使用レシピ!H:H,MATCH(テンプレート!$C551,使用レシピ!$E:$E,0)),""),"")</f>
        <v/>
      </c>
      <c r="G551" t="str">
        <f>IFERROR(IF(INDEX(使用レシピ!I:I,MATCH(テンプレート!$C551,使用レシピ!$E:$E,0))&lt;&gt;0,INDEX(使用レシピ!I:I,MATCH(テンプレート!$C551,使用レシピ!$E:$E,0)),""),"")</f>
        <v/>
      </c>
      <c r="H551" s="24" t="str">
        <f>IFERROR(IF(INDEX(使用レシピ!J:J,MATCH(テンプレート!$C551,使用レシピ!$E:$E,0))&lt;&gt;0,INDEX(使用レシピ!J:J,MATCH(テンプレート!$C551,使用レシピ!$E:$E,0)),""),"")</f>
        <v/>
      </c>
      <c r="I551" s="36" t="str">
        <f>IFERROR(IF(INDEX(使用レシピ!P:P,MATCH(テンプレート!$C551,使用レシピ!$E:$E,0))&lt;&gt;0,INDEX(使用レシピ!P:P,MATCH(テンプレート!$C551,使用レシピ!$E:$E,0)),""),"")</f>
        <v/>
      </c>
      <c r="J551" t="str">
        <f>IFERROR(IF(INDEX(使用レシピ!K:K,MATCH(テンプレート!$C551,使用レシピ!$E:$E,0))&lt;&gt;0,INDEX(使用レシピ!K:K,MATCH(テンプレート!$C551,使用レシピ!$E:$E,0)),""),"")</f>
        <v/>
      </c>
      <c r="K551" t="str">
        <f>IFERROR(IF(INDEX(使用レシピ!L:L,MATCH(テンプレート!$C551,使用レシピ!$E:$E,0))&lt;&gt;0,INDEX(使用レシピ!L:L,MATCH(テンプレート!$C551,使用レシピ!$E:$E,0)),""),"")</f>
        <v/>
      </c>
      <c r="L551" t="str">
        <f>IFERROR(IF(INDEX(使用レシピ!M:M,MATCH(テンプレート!$C551,使用レシピ!$E:$E,0))&lt;&gt;0,INDEX(使用レシピ!M:M,MATCH(テンプレート!$C551,使用レシピ!$E:$E,0)),""),"")</f>
        <v/>
      </c>
      <c r="M551" t="str">
        <f>IFERROR(IF(INDEX(使用レシピ!N:N,MATCH(テンプレート!$C551,使用レシピ!$E:$E,0))&lt;&gt;0,INDEX(使用レシピ!N:N,MATCH(テンプレート!$C551,使用レシピ!$E:$E,0)),""),"")</f>
        <v/>
      </c>
      <c r="N551" s="24" t="str">
        <f>IFERROR(IF(INDEX(使用レシピ!O:O,MATCH(テンプレート!$C551,使用レシピ!$E:$E,0))&lt;&gt;0,INDEX(使用レシピ!O:O,MATCH(テンプレート!$C551,使用レシピ!$E:$E,0)),""),"")</f>
        <v/>
      </c>
      <c r="O551" s="36" t="str">
        <f>IFERROR(IF(INDEX(使用レシピ!P:P,MATCH(テンプレート!$C551,使用レシピ!$E:$E,0))&lt;&gt;0,INDEX(使用レシピ!P:P,MATCH(テンプレート!$C551,使用レシピ!$E:$E,0)),""),"")</f>
        <v/>
      </c>
      <c r="P551" t="str">
        <f t="shared" si="41"/>
        <v/>
      </c>
      <c r="Q551" t="str">
        <f t="shared" si="42"/>
        <v/>
      </c>
      <c r="R551" t="str">
        <f t="shared" si="43"/>
        <v/>
      </c>
      <c r="S551" t="str">
        <f t="shared" si="44"/>
        <v/>
      </c>
      <c r="T551" s="24" t="str">
        <f t="shared" si="45"/>
        <v/>
      </c>
    </row>
    <row r="552" spans="2:20" x14ac:dyDescent="0.4">
      <c r="B552" s="49" t="str" cm="1">
        <f t="array" ref="B552">IFERROR((INDEX($P$4:$T$1000,MATCH(VALUE(LEFT($A552,LEN($A552)-1)),$A$4:$A$1000,0),VALUE(RIGHT($A552,1)))/ INDEX($O$4:$O$1000,MATCH(VALUE(LEFT($A552,LEN($A552)-1)),$A$4:$A$1000))) * INDEX($B$4:$B$1000,MATCH(VALUE(LEFT($A552,LEN($A552)-1)),$A$4:$A$1000)),"")</f>
        <v/>
      </c>
      <c r="C552" s="2" t="str" cm="1">
        <f t="array" ref="C552">IFERROR(IF(INDEX($D$4:$H$1000,MATCH(VALUE(LEFT($A552,LEN($A552)-1)),$A$4:$A$1000,0),VALUE(RIGHT($A552,1)))= 0,"",INDEX($D$4:$H$1000,MATCH(VALUE(LEFT($A552,LEN($A552)-1)),$A$4:$A$1000,0),VALUE(RIGHT($A552,1)))),"")</f>
        <v/>
      </c>
      <c r="D552" s="23" t="str">
        <f>IFERROR(IF(INDEX(使用レシピ!F:F,MATCH(テンプレート!$C552,使用レシピ!$E:$E,0))&lt;&gt;0,INDEX(使用レシピ!F:F,MATCH(テンプレート!$C552,使用レシピ!$E:$E,0)),""),"")</f>
        <v/>
      </c>
      <c r="E552" t="str">
        <f>IFERROR(IF(INDEX(使用レシピ!G:G,MATCH(テンプレート!$C552,使用レシピ!$E:$E,0))&lt;&gt;0,INDEX(使用レシピ!G:G,MATCH(テンプレート!$C552,使用レシピ!$E:$E,0)),""),"")</f>
        <v/>
      </c>
      <c r="F552" t="str">
        <f>IFERROR(IF(INDEX(使用レシピ!H:H,MATCH(テンプレート!$C552,使用レシピ!$E:$E,0))&lt;&gt;0,INDEX(使用レシピ!H:H,MATCH(テンプレート!$C552,使用レシピ!$E:$E,0)),""),"")</f>
        <v/>
      </c>
      <c r="G552" t="str">
        <f>IFERROR(IF(INDEX(使用レシピ!I:I,MATCH(テンプレート!$C552,使用レシピ!$E:$E,0))&lt;&gt;0,INDEX(使用レシピ!I:I,MATCH(テンプレート!$C552,使用レシピ!$E:$E,0)),""),"")</f>
        <v/>
      </c>
      <c r="H552" s="24" t="str">
        <f>IFERROR(IF(INDEX(使用レシピ!J:J,MATCH(テンプレート!$C552,使用レシピ!$E:$E,0))&lt;&gt;0,INDEX(使用レシピ!J:J,MATCH(テンプレート!$C552,使用レシピ!$E:$E,0)),""),"")</f>
        <v/>
      </c>
      <c r="I552" s="36" t="str">
        <f>IFERROR(IF(INDEX(使用レシピ!P:P,MATCH(テンプレート!$C552,使用レシピ!$E:$E,0))&lt;&gt;0,INDEX(使用レシピ!P:P,MATCH(テンプレート!$C552,使用レシピ!$E:$E,0)),""),"")</f>
        <v/>
      </c>
      <c r="J552" t="str">
        <f>IFERROR(IF(INDEX(使用レシピ!K:K,MATCH(テンプレート!$C552,使用レシピ!$E:$E,0))&lt;&gt;0,INDEX(使用レシピ!K:K,MATCH(テンプレート!$C552,使用レシピ!$E:$E,0)),""),"")</f>
        <v/>
      </c>
      <c r="K552" t="str">
        <f>IFERROR(IF(INDEX(使用レシピ!L:L,MATCH(テンプレート!$C552,使用レシピ!$E:$E,0))&lt;&gt;0,INDEX(使用レシピ!L:L,MATCH(テンプレート!$C552,使用レシピ!$E:$E,0)),""),"")</f>
        <v/>
      </c>
      <c r="L552" t="str">
        <f>IFERROR(IF(INDEX(使用レシピ!M:M,MATCH(テンプレート!$C552,使用レシピ!$E:$E,0))&lt;&gt;0,INDEX(使用レシピ!M:M,MATCH(テンプレート!$C552,使用レシピ!$E:$E,0)),""),"")</f>
        <v/>
      </c>
      <c r="M552" t="str">
        <f>IFERROR(IF(INDEX(使用レシピ!N:N,MATCH(テンプレート!$C552,使用レシピ!$E:$E,0))&lt;&gt;0,INDEX(使用レシピ!N:N,MATCH(テンプレート!$C552,使用レシピ!$E:$E,0)),""),"")</f>
        <v/>
      </c>
      <c r="N552" s="24" t="str">
        <f>IFERROR(IF(INDEX(使用レシピ!O:O,MATCH(テンプレート!$C552,使用レシピ!$E:$E,0))&lt;&gt;0,INDEX(使用レシピ!O:O,MATCH(テンプレート!$C552,使用レシピ!$E:$E,0)),""),"")</f>
        <v/>
      </c>
      <c r="O552" s="36" t="str">
        <f>IFERROR(IF(INDEX(使用レシピ!P:P,MATCH(テンプレート!$C552,使用レシピ!$E:$E,0))&lt;&gt;0,INDEX(使用レシピ!P:P,MATCH(テンプレート!$C552,使用レシピ!$E:$E,0)),""),"")</f>
        <v/>
      </c>
      <c r="P552" t="str">
        <f t="shared" si="41"/>
        <v/>
      </c>
      <c r="Q552" t="str">
        <f t="shared" si="42"/>
        <v/>
      </c>
      <c r="R552" t="str">
        <f t="shared" si="43"/>
        <v/>
      </c>
      <c r="S552" t="str">
        <f t="shared" si="44"/>
        <v/>
      </c>
      <c r="T552" s="24" t="str">
        <f t="shared" si="45"/>
        <v/>
      </c>
    </row>
    <row r="553" spans="2:20" x14ac:dyDescent="0.4">
      <c r="B553" s="49" t="str" cm="1">
        <f t="array" ref="B553">IFERROR((INDEX($P$4:$T$1000,MATCH(VALUE(LEFT($A553,LEN($A553)-1)),$A$4:$A$1000,0),VALUE(RIGHT($A553,1)))/ INDEX($O$4:$O$1000,MATCH(VALUE(LEFT($A553,LEN($A553)-1)),$A$4:$A$1000))) * INDEX($B$4:$B$1000,MATCH(VALUE(LEFT($A553,LEN($A553)-1)),$A$4:$A$1000)),"")</f>
        <v/>
      </c>
      <c r="C553" s="2" t="str" cm="1">
        <f t="array" ref="C553">IFERROR(IF(INDEX($D$4:$H$1000,MATCH(VALUE(LEFT($A553,LEN($A553)-1)),$A$4:$A$1000,0),VALUE(RIGHT($A553,1)))= 0,"",INDEX($D$4:$H$1000,MATCH(VALUE(LEFT($A553,LEN($A553)-1)),$A$4:$A$1000,0),VALUE(RIGHT($A553,1)))),"")</f>
        <v/>
      </c>
      <c r="D553" s="23" t="str">
        <f>IFERROR(IF(INDEX(使用レシピ!F:F,MATCH(テンプレート!$C553,使用レシピ!$E:$E,0))&lt;&gt;0,INDEX(使用レシピ!F:F,MATCH(テンプレート!$C553,使用レシピ!$E:$E,0)),""),"")</f>
        <v/>
      </c>
      <c r="E553" t="str">
        <f>IFERROR(IF(INDEX(使用レシピ!G:G,MATCH(テンプレート!$C553,使用レシピ!$E:$E,0))&lt;&gt;0,INDEX(使用レシピ!G:G,MATCH(テンプレート!$C553,使用レシピ!$E:$E,0)),""),"")</f>
        <v/>
      </c>
      <c r="F553" t="str">
        <f>IFERROR(IF(INDEX(使用レシピ!H:H,MATCH(テンプレート!$C553,使用レシピ!$E:$E,0))&lt;&gt;0,INDEX(使用レシピ!H:H,MATCH(テンプレート!$C553,使用レシピ!$E:$E,0)),""),"")</f>
        <v/>
      </c>
      <c r="G553" t="str">
        <f>IFERROR(IF(INDEX(使用レシピ!I:I,MATCH(テンプレート!$C553,使用レシピ!$E:$E,0))&lt;&gt;0,INDEX(使用レシピ!I:I,MATCH(テンプレート!$C553,使用レシピ!$E:$E,0)),""),"")</f>
        <v/>
      </c>
      <c r="H553" s="24" t="str">
        <f>IFERROR(IF(INDEX(使用レシピ!J:J,MATCH(テンプレート!$C553,使用レシピ!$E:$E,0))&lt;&gt;0,INDEX(使用レシピ!J:J,MATCH(テンプレート!$C553,使用レシピ!$E:$E,0)),""),"")</f>
        <v/>
      </c>
      <c r="I553" s="36" t="str">
        <f>IFERROR(IF(INDEX(使用レシピ!P:P,MATCH(テンプレート!$C553,使用レシピ!$E:$E,0))&lt;&gt;0,INDEX(使用レシピ!P:P,MATCH(テンプレート!$C553,使用レシピ!$E:$E,0)),""),"")</f>
        <v/>
      </c>
      <c r="J553" t="str">
        <f>IFERROR(IF(INDEX(使用レシピ!K:K,MATCH(テンプレート!$C553,使用レシピ!$E:$E,0))&lt;&gt;0,INDEX(使用レシピ!K:K,MATCH(テンプレート!$C553,使用レシピ!$E:$E,0)),""),"")</f>
        <v/>
      </c>
      <c r="K553" t="str">
        <f>IFERROR(IF(INDEX(使用レシピ!L:L,MATCH(テンプレート!$C553,使用レシピ!$E:$E,0))&lt;&gt;0,INDEX(使用レシピ!L:L,MATCH(テンプレート!$C553,使用レシピ!$E:$E,0)),""),"")</f>
        <v/>
      </c>
      <c r="L553" t="str">
        <f>IFERROR(IF(INDEX(使用レシピ!M:M,MATCH(テンプレート!$C553,使用レシピ!$E:$E,0))&lt;&gt;0,INDEX(使用レシピ!M:M,MATCH(テンプレート!$C553,使用レシピ!$E:$E,0)),""),"")</f>
        <v/>
      </c>
      <c r="M553" t="str">
        <f>IFERROR(IF(INDEX(使用レシピ!N:N,MATCH(テンプレート!$C553,使用レシピ!$E:$E,0))&lt;&gt;0,INDEX(使用レシピ!N:N,MATCH(テンプレート!$C553,使用レシピ!$E:$E,0)),""),"")</f>
        <v/>
      </c>
      <c r="N553" s="24" t="str">
        <f>IFERROR(IF(INDEX(使用レシピ!O:O,MATCH(テンプレート!$C553,使用レシピ!$E:$E,0))&lt;&gt;0,INDEX(使用レシピ!O:O,MATCH(テンプレート!$C553,使用レシピ!$E:$E,0)),""),"")</f>
        <v/>
      </c>
      <c r="O553" s="36" t="str">
        <f>IFERROR(IF(INDEX(使用レシピ!P:P,MATCH(テンプレート!$C553,使用レシピ!$E:$E,0))&lt;&gt;0,INDEX(使用レシピ!P:P,MATCH(テンプレート!$C553,使用レシピ!$E:$E,0)),""),"")</f>
        <v/>
      </c>
      <c r="P553" t="str">
        <f t="shared" si="41"/>
        <v/>
      </c>
      <c r="Q553" t="str">
        <f t="shared" si="42"/>
        <v/>
      </c>
      <c r="R553" t="str">
        <f t="shared" si="43"/>
        <v/>
      </c>
      <c r="S553" t="str">
        <f t="shared" si="44"/>
        <v/>
      </c>
      <c r="T553" s="24" t="str">
        <f t="shared" si="45"/>
        <v/>
      </c>
    </row>
    <row r="554" spans="2:20" x14ac:dyDescent="0.4">
      <c r="B554" s="49" t="str" cm="1">
        <f t="array" ref="B554">IFERROR((INDEX($P$4:$T$1000,MATCH(VALUE(LEFT($A554,LEN($A554)-1)),$A$4:$A$1000,0),VALUE(RIGHT($A554,1)))/ INDEX($O$4:$O$1000,MATCH(VALUE(LEFT($A554,LEN($A554)-1)),$A$4:$A$1000))) * INDEX($B$4:$B$1000,MATCH(VALUE(LEFT($A554,LEN($A554)-1)),$A$4:$A$1000)),"")</f>
        <v/>
      </c>
      <c r="C554" s="2" t="str" cm="1">
        <f t="array" ref="C554">IFERROR(IF(INDEX($D$4:$H$1000,MATCH(VALUE(LEFT($A554,LEN($A554)-1)),$A$4:$A$1000,0),VALUE(RIGHT($A554,1)))= 0,"",INDEX($D$4:$H$1000,MATCH(VALUE(LEFT($A554,LEN($A554)-1)),$A$4:$A$1000,0),VALUE(RIGHT($A554,1)))),"")</f>
        <v/>
      </c>
      <c r="D554" s="23" t="str">
        <f>IFERROR(IF(INDEX(使用レシピ!F:F,MATCH(テンプレート!$C554,使用レシピ!$E:$E,0))&lt;&gt;0,INDEX(使用レシピ!F:F,MATCH(テンプレート!$C554,使用レシピ!$E:$E,0)),""),"")</f>
        <v/>
      </c>
      <c r="E554" t="str">
        <f>IFERROR(IF(INDEX(使用レシピ!G:G,MATCH(テンプレート!$C554,使用レシピ!$E:$E,0))&lt;&gt;0,INDEX(使用レシピ!G:G,MATCH(テンプレート!$C554,使用レシピ!$E:$E,0)),""),"")</f>
        <v/>
      </c>
      <c r="F554" t="str">
        <f>IFERROR(IF(INDEX(使用レシピ!H:H,MATCH(テンプレート!$C554,使用レシピ!$E:$E,0))&lt;&gt;0,INDEX(使用レシピ!H:H,MATCH(テンプレート!$C554,使用レシピ!$E:$E,0)),""),"")</f>
        <v/>
      </c>
      <c r="G554" t="str">
        <f>IFERROR(IF(INDEX(使用レシピ!I:I,MATCH(テンプレート!$C554,使用レシピ!$E:$E,0))&lt;&gt;0,INDEX(使用レシピ!I:I,MATCH(テンプレート!$C554,使用レシピ!$E:$E,0)),""),"")</f>
        <v/>
      </c>
      <c r="H554" s="24" t="str">
        <f>IFERROR(IF(INDEX(使用レシピ!J:J,MATCH(テンプレート!$C554,使用レシピ!$E:$E,0))&lt;&gt;0,INDEX(使用レシピ!J:J,MATCH(テンプレート!$C554,使用レシピ!$E:$E,0)),""),"")</f>
        <v/>
      </c>
      <c r="I554" s="36" t="str">
        <f>IFERROR(IF(INDEX(使用レシピ!P:P,MATCH(テンプレート!$C554,使用レシピ!$E:$E,0))&lt;&gt;0,INDEX(使用レシピ!P:P,MATCH(テンプレート!$C554,使用レシピ!$E:$E,0)),""),"")</f>
        <v/>
      </c>
      <c r="J554" t="str">
        <f>IFERROR(IF(INDEX(使用レシピ!K:K,MATCH(テンプレート!$C554,使用レシピ!$E:$E,0))&lt;&gt;0,INDEX(使用レシピ!K:K,MATCH(テンプレート!$C554,使用レシピ!$E:$E,0)),""),"")</f>
        <v/>
      </c>
      <c r="K554" t="str">
        <f>IFERROR(IF(INDEX(使用レシピ!L:L,MATCH(テンプレート!$C554,使用レシピ!$E:$E,0))&lt;&gt;0,INDEX(使用レシピ!L:L,MATCH(テンプレート!$C554,使用レシピ!$E:$E,0)),""),"")</f>
        <v/>
      </c>
      <c r="L554" t="str">
        <f>IFERROR(IF(INDEX(使用レシピ!M:M,MATCH(テンプレート!$C554,使用レシピ!$E:$E,0))&lt;&gt;0,INDEX(使用レシピ!M:M,MATCH(テンプレート!$C554,使用レシピ!$E:$E,0)),""),"")</f>
        <v/>
      </c>
      <c r="M554" t="str">
        <f>IFERROR(IF(INDEX(使用レシピ!N:N,MATCH(テンプレート!$C554,使用レシピ!$E:$E,0))&lt;&gt;0,INDEX(使用レシピ!N:N,MATCH(テンプレート!$C554,使用レシピ!$E:$E,0)),""),"")</f>
        <v/>
      </c>
      <c r="N554" s="24" t="str">
        <f>IFERROR(IF(INDEX(使用レシピ!O:O,MATCH(テンプレート!$C554,使用レシピ!$E:$E,0))&lt;&gt;0,INDEX(使用レシピ!O:O,MATCH(テンプレート!$C554,使用レシピ!$E:$E,0)),""),"")</f>
        <v/>
      </c>
      <c r="O554" s="36" t="str">
        <f>IFERROR(IF(INDEX(使用レシピ!P:P,MATCH(テンプレート!$C554,使用レシピ!$E:$E,0))&lt;&gt;0,INDEX(使用レシピ!P:P,MATCH(テンプレート!$C554,使用レシピ!$E:$E,0)),""),"")</f>
        <v/>
      </c>
      <c r="P554" t="str">
        <f t="shared" si="41"/>
        <v/>
      </c>
      <c r="Q554" t="str">
        <f t="shared" si="42"/>
        <v/>
      </c>
      <c r="R554" t="str">
        <f t="shared" si="43"/>
        <v/>
      </c>
      <c r="S554" t="str">
        <f t="shared" si="44"/>
        <v/>
      </c>
      <c r="T554" s="24" t="str">
        <f t="shared" si="45"/>
        <v/>
      </c>
    </row>
    <row r="555" spans="2:20" x14ac:dyDescent="0.4">
      <c r="B555" s="49" t="str" cm="1">
        <f t="array" ref="B555">IFERROR((INDEX($P$4:$T$1000,MATCH(VALUE(LEFT($A555,LEN($A555)-1)),$A$4:$A$1000,0),VALUE(RIGHT($A555,1)))/ INDEX($O$4:$O$1000,MATCH(VALUE(LEFT($A555,LEN($A555)-1)),$A$4:$A$1000))) * INDEX($B$4:$B$1000,MATCH(VALUE(LEFT($A555,LEN($A555)-1)),$A$4:$A$1000)),"")</f>
        <v/>
      </c>
      <c r="C555" s="2" t="str" cm="1">
        <f t="array" ref="C555">IFERROR(IF(INDEX($D$4:$H$1000,MATCH(VALUE(LEFT($A555,LEN($A555)-1)),$A$4:$A$1000,0),VALUE(RIGHT($A555,1)))= 0,"",INDEX($D$4:$H$1000,MATCH(VALUE(LEFT($A555,LEN($A555)-1)),$A$4:$A$1000,0),VALUE(RIGHT($A555,1)))),"")</f>
        <v/>
      </c>
      <c r="D555" s="23" t="str">
        <f>IFERROR(IF(INDEX(使用レシピ!F:F,MATCH(テンプレート!$C555,使用レシピ!$E:$E,0))&lt;&gt;0,INDEX(使用レシピ!F:F,MATCH(テンプレート!$C555,使用レシピ!$E:$E,0)),""),"")</f>
        <v/>
      </c>
      <c r="E555" t="str">
        <f>IFERROR(IF(INDEX(使用レシピ!G:G,MATCH(テンプレート!$C555,使用レシピ!$E:$E,0))&lt;&gt;0,INDEX(使用レシピ!G:G,MATCH(テンプレート!$C555,使用レシピ!$E:$E,0)),""),"")</f>
        <v/>
      </c>
      <c r="F555" t="str">
        <f>IFERROR(IF(INDEX(使用レシピ!H:H,MATCH(テンプレート!$C555,使用レシピ!$E:$E,0))&lt;&gt;0,INDEX(使用レシピ!H:H,MATCH(テンプレート!$C555,使用レシピ!$E:$E,0)),""),"")</f>
        <v/>
      </c>
      <c r="G555" t="str">
        <f>IFERROR(IF(INDEX(使用レシピ!I:I,MATCH(テンプレート!$C555,使用レシピ!$E:$E,0))&lt;&gt;0,INDEX(使用レシピ!I:I,MATCH(テンプレート!$C555,使用レシピ!$E:$E,0)),""),"")</f>
        <v/>
      </c>
      <c r="H555" s="24" t="str">
        <f>IFERROR(IF(INDEX(使用レシピ!J:J,MATCH(テンプレート!$C555,使用レシピ!$E:$E,0))&lt;&gt;0,INDEX(使用レシピ!J:J,MATCH(テンプレート!$C555,使用レシピ!$E:$E,0)),""),"")</f>
        <v/>
      </c>
      <c r="I555" s="36" t="str">
        <f>IFERROR(IF(INDEX(使用レシピ!P:P,MATCH(テンプレート!$C555,使用レシピ!$E:$E,0))&lt;&gt;0,INDEX(使用レシピ!P:P,MATCH(テンプレート!$C555,使用レシピ!$E:$E,0)),""),"")</f>
        <v/>
      </c>
      <c r="J555" t="str">
        <f>IFERROR(IF(INDEX(使用レシピ!K:K,MATCH(テンプレート!$C555,使用レシピ!$E:$E,0))&lt;&gt;0,INDEX(使用レシピ!K:K,MATCH(テンプレート!$C555,使用レシピ!$E:$E,0)),""),"")</f>
        <v/>
      </c>
      <c r="K555" t="str">
        <f>IFERROR(IF(INDEX(使用レシピ!L:L,MATCH(テンプレート!$C555,使用レシピ!$E:$E,0))&lt;&gt;0,INDEX(使用レシピ!L:L,MATCH(テンプレート!$C555,使用レシピ!$E:$E,0)),""),"")</f>
        <v/>
      </c>
      <c r="L555" t="str">
        <f>IFERROR(IF(INDEX(使用レシピ!M:M,MATCH(テンプレート!$C555,使用レシピ!$E:$E,0))&lt;&gt;0,INDEX(使用レシピ!M:M,MATCH(テンプレート!$C555,使用レシピ!$E:$E,0)),""),"")</f>
        <v/>
      </c>
      <c r="M555" t="str">
        <f>IFERROR(IF(INDEX(使用レシピ!N:N,MATCH(テンプレート!$C555,使用レシピ!$E:$E,0))&lt;&gt;0,INDEX(使用レシピ!N:N,MATCH(テンプレート!$C555,使用レシピ!$E:$E,0)),""),"")</f>
        <v/>
      </c>
      <c r="N555" s="24" t="str">
        <f>IFERROR(IF(INDEX(使用レシピ!O:O,MATCH(テンプレート!$C555,使用レシピ!$E:$E,0))&lt;&gt;0,INDEX(使用レシピ!O:O,MATCH(テンプレート!$C555,使用レシピ!$E:$E,0)),""),"")</f>
        <v/>
      </c>
      <c r="O555" s="36" t="str">
        <f>IFERROR(IF(INDEX(使用レシピ!P:P,MATCH(テンプレート!$C555,使用レシピ!$E:$E,0))&lt;&gt;0,INDEX(使用レシピ!P:P,MATCH(テンプレート!$C555,使用レシピ!$E:$E,0)),""),"")</f>
        <v/>
      </c>
      <c r="P555" t="str">
        <f t="shared" si="41"/>
        <v/>
      </c>
      <c r="Q555" t="str">
        <f t="shared" si="42"/>
        <v/>
      </c>
      <c r="R555" t="str">
        <f t="shared" si="43"/>
        <v/>
      </c>
      <c r="S555" t="str">
        <f t="shared" si="44"/>
        <v/>
      </c>
      <c r="T555" s="24" t="str">
        <f t="shared" si="45"/>
        <v/>
      </c>
    </row>
    <row r="556" spans="2:20" x14ac:dyDescent="0.4">
      <c r="B556" s="49" t="str" cm="1">
        <f t="array" ref="B556">IFERROR((INDEX($P$4:$T$1000,MATCH(VALUE(LEFT($A556,LEN($A556)-1)),$A$4:$A$1000,0),VALUE(RIGHT($A556,1)))/ INDEX($O$4:$O$1000,MATCH(VALUE(LEFT($A556,LEN($A556)-1)),$A$4:$A$1000))) * INDEX($B$4:$B$1000,MATCH(VALUE(LEFT($A556,LEN($A556)-1)),$A$4:$A$1000)),"")</f>
        <v/>
      </c>
      <c r="C556" s="2" t="str" cm="1">
        <f t="array" ref="C556">IFERROR(IF(INDEX($D$4:$H$1000,MATCH(VALUE(LEFT($A556,LEN($A556)-1)),$A$4:$A$1000,0),VALUE(RIGHT($A556,1)))= 0,"",INDEX($D$4:$H$1000,MATCH(VALUE(LEFT($A556,LEN($A556)-1)),$A$4:$A$1000,0),VALUE(RIGHT($A556,1)))),"")</f>
        <v/>
      </c>
      <c r="D556" s="23" t="str">
        <f>IFERROR(IF(INDEX(使用レシピ!F:F,MATCH(テンプレート!$C556,使用レシピ!$E:$E,0))&lt;&gt;0,INDEX(使用レシピ!F:F,MATCH(テンプレート!$C556,使用レシピ!$E:$E,0)),""),"")</f>
        <v/>
      </c>
      <c r="E556" t="str">
        <f>IFERROR(IF(INDEX(使用レシピ!G:G,MATCH(テンプレート!$C556,使用レシピ!$E:$E,0))&lt;&gt;0,INDEX(使用レシピ!G:G,MATCH(テンプレート!$C556,使用レシピ!$E:$E,0)),""),"")</f>
        <v/>
      </c>
      <c r="F556" t="str">
        <f>IFERROR(IF(INDEX(使用レシピ!H:H,MATCH(テンプレート!$C556,使用レシピ!$E:$E,0))&lt;&gt;0,INDEX(使用レシピ!H:H,MATCH(テンプレート!$C556,使用レシピ!$E:$E,0)),""),"")</f>
        <v/>
      </c>
      <c r="G556" t="str">
        <f>IFERROR(IF(INDEX(使用レシピ!I:I,MATCH(テンプレート!$C556,使用レシピ!$E:$E,0))&lt;&gt;0,INDEX(使用レシピ!I:I,MATCH(テンプレート!$C556,使用レシピ!$E:$E,0)),""),"")</f>
        <v/>
      </c>
      <c r="H556" s="24" t="str">
        <f>IFERROR(IF(INDEX(使用レシピ!J:J,MATCH(テンプレート!$C556,使用レシピ!$E:$E,0))&lt;&gt;0,INDEX(使用レシピ!J:J,MATCH(テンプレート!$C556,使用レシピ!$E:$E,0)),""),"")</f>
        <v/>
      </c>
      <c r="I556" s="36" t="str">
        <f>IFERROR(IF(INDEX(使用レシピ!P:P,MATCH(テンプレート!$C556,使用レシピ!$E:$E,0))&lt;&gt;0,INDEX(使用レシピ!P:P,MATCH(テンプレート!$C556,使用レシピ!$E:$E,0)),""),"")</f>
        <v/>
      </c>
      <c r="J556" t="str">
        <f>IFERROR(IF(INDEX(使用レシピ!K:K,MATCH(テンプレート!$C556,使用レシピ!$E:$E,0))&lt;&gt;0,INDEX(使用レシピ!K:K,MATCH(テンプレート!$C556,使用レシピ!$E:$E,0)),""),"")</f>
        <v/>
      </c>
      <c r="K556" t="str">
        <f>IFERROR(IF(INDEX(使用レシピ!L:L,MATCH(テンプレート!$C556,使用レシピ!$E:$E,0))&lt;&gt;0,INDEX(使用レシピ!L:L,MATCH(テンプレート!$C556,使用レシピ!$E:$E,0)),""),"")</f>
        <v/>
      </c>
      <c r="L556" t="str">
        <f>IFERROR(IF(INDEX(使用レシピ!M:M,MATCH(テンプレート!$C556,使用レシピ!$E:$E,0))&lt;&gt;0,INDEX(使用レシピ!M:M,MATCH(テンプレート!$C556,使用レシピ!$E:$E,0)),""),"")</f>
        <v/>
      </c>
      <c r="M556" t="str">
        <f>IFERROR(IF(INDEX(使用レシピ!N:N,MATCH(テンプレート!$C556,使用レシピ!$E:$E,0))&lt;&gt;0,INDEX(使用レシピ!N:N,MATCH(テンプレート!$C556,使用レシピ!$E:$E,0)),""),"")</f>
        <v/>
      </c>
      <c r="N556" s="24" t="str">
        <f>IFERROR(IF(INDEX(使用レシピ!O:O,MATCH(テンプレート!$C556,使用レシピ!$E:$E,0))&lt;&gt;0,INDEX(使用レシピ!O:O,MATCH(テンプレート!$C556,使用レシピ!$E:$E,0)),""),"")</f>
        <v/>
      </c>
      <c r="O556" s="36" t="str">
        <f>IFERROR(IF(INDEX(使用レシピ!P:P,MATCH(テンプレート!$C556,使用レシピ!$E:$E,0))&lt;&gt;0,INDEX(使用レシピ!P:P,MATCH(テンプレート!$C556,使用レシピ!$E:$E,0)),""),"")</f>
        <v/>
      </c>
      <c r="P556" t="str">
        <f t="shared" si="41"/>
        <v/>
      </c>
      <c r="Q556" t="str">
        <f t="shared" si="42"/>
        <v/>
      </c>
      <c r="R556" t="str">
        <f t="shared" si="43"/>
        <v/>
      </c>
      <c r="S556" t="str">
        <f t="shared" si="44"/>
        <v/>
      </c>
      <c r="T556" s="24" t="str">
        <f t="shared" si="45"/>
        <v/>
      </c>
    </row>
    <row r="557" spans="2:20" x14ac:dyDescent="0.4">
      <c r="B557" s="49" t="str" cm="1">
        <f t="array" ref="B557">IFERROR((INDEX($P$4:$T$1000,MATCH(VALUE(LEFT($A557,LEN($A557)-1)),$A$4:$A$1000,0),VALUE(RIGHT($A557,1)))/ INDEX($O$4:$O$1000,MATCH(VALUE(LEFT($A557,LEN($A557)-1)),$A$4:$A$1000))) * INDEX($B$4:$B$1000,MATCH(VALUE(LEFT($A557,LEN($A557)-1)),$A$4:$A$1000)),"")</f>
        <v/>
      </c>
      <c r="C557" s="2" t="str" cm="1">
        <f t="array" ref="C557">IFERROR(IF(INDEX($D$4:$H$1000,MATCH(VALUE(LEFT($A557,LEN($A557)-1)),$A$4:$A$1000,0),VALUE(RIGHT($A557,1)))= 0,"",INDEX($D$4:$H$1000,MATCH(VALUE(LEFT($A557,LEN($A557)-1)),$A$4:$A$1000,0),VALUE(RIGHT($A557,1)))),"")</f>
        <v/>
      </c>
      <c r="D557" s="23" t="str">
        <f>IFERROR(IF(INDEX(使用レシピ!F:F,MATCH(テンプレート!$C557,使用レシピ!$E:$E,0))&lt;&gt;0,INDEX(使用レシピ!F:F,MATCH(テンプレート!$C557,使用レシピ!$E:$E,0)),""),"")</f>
        <v/>
      </c>
      <c r="E557" t="str">
        <f>IFERROR(IF(INDEX(使用レシピ!G:G,MATCH(テンプレート!$C557,使用レシピ!$E:$E,0))&lt;&gt;0,INDEX(使用レシピ!G:G,MATCH(テンプレート!$C557,使用レシピ!$E:$E,0)),""),"")</f>
        <v/>
      </c>
      <c r="F557" t="str">
        <f>IFERROR(IF(INDEX(使用レシピ!H:H,MATCH(テンプレート!$C557,使用レシピ!$E:$E,0))&lt;&gt;0,INDEX(使用レシピ!H:H,MATCH(テンプレート!$C557,使用レシピ!$E:$E,0)),""),"")</f>
        <v/>
      </c>
      <c r="G557" t="str">
        <f>IFERROR(IF(INDEX(使用レシピ!I:I,MATCH(テンプレート!$C557,使用レシピ!$E:$E,0))&lt;&gt;0,INDEX(使用レシピ!I:I,MATCH(テンプレート!$C557,使用レシピ!$E:$E,0)),""),"")</f>
        <v/>
      </c>
      <c r="H557" s="24" t="str">
        <f>IFERROR(IF(INDEX(使用レシピ!J:J,MATCH(テンプレート!$C557,使用レシピ!$E:$E,0))&lt;&gt;0,INDEX(使用レシピ!J:J,MATCH(テンプレート!$C557,使用レシピ!$E:$E,0)),""),"")</f>
        <v/>
      </c>
      <c r="I557" s="36" t="str">
        <f>IFERROR(IF(INDEX(使用レシピ!P:P,MATCH(テンプレート!$C557,使用レシピ!$E:$E,0))&lt;&gt;0,INDEX(使用レシピ!P:P,MATCH(テンプレート!$C557,使用レシピ!$E:$E,0)),""),"")</f>
        <v/>
      </c>
      <c r="J557" t="str">
        <f>IFERROR(IF(INDEX(使用レシピ!K:K,MATCH(テンプレート!$C557,使用レシピ!$E:$E,0))&lt;&gt;0,INDEX(使用レシピ!K:K,MATCH(テンプレート!$C557,使用レシピ!$E:$E,0)),""),"")</f>
        <v/>
      </c>
      <c r="K557" t="str">
        <f>IFERROR(IF(INDEX(使用レシピ!L:L,MATCH(テンプレート!$C557,使用レシピ!$E:$E,0))&lt;&gt;0,INDEX(使用レシピ!L:L,MATCH(テンプレート!$C557,使用レシピ!$E:$E,0)),""),"")</f>
        <v/>
      </c>
      <c r="L557" t="str">
        <f>IFERROR(IF(INDEX(使用レシピ!M:M,MATCH(テンプレート!$C557,使用レシピ!$E:$E,0))&lt;&gt;0,INDEX(使用レシピ!M:M,MATCH(テンプレート!$C557,使用レシピ!$E:$E,0)),""),"")</f>
        <v/>
      </c>
      <c r="M557" t="str">
        <f>IFERROR(IF(INDEX(使用レシピ!N:N,MATCH(テンプレート!$C557,使用レシピ!$E:$E,0))&lt;&gt;0,INDEX(使用レシピ!N:N,MATCH(テンプレート!$C557,使用レシピ!$E:$E,0)),""),"")</f>
        <v/>
      </c>
      <c r="N557" s="24" t="str">
        <f>IFERROR(IF(INDEX(使用レシピ!O:O,MATCH(テンプレート!$C557,使用レシピ!$E:$E,0))&lt;&gt;0,INDEX(使用レシピ!O:O,MATCH(テンプレート!$C557,使用レシピ!$E:$E,0)),""),"")</f>
        <v/>
      </c>
      <c r="O557" s="36" t="str">
        <f>IFERROR(IF(INDEX(使用レシピ!P:P,MATCH(テンプレート!$C557,使用レシピ!$E:$E,0))&lt;&gt;0,INDEX(使用レシピ!P:P,MATCH(テンプレート!$C557,使用レシピ!$E:$E,0)),""),"")</f>
        <v/>
      </c>
      <c r="P557" t="str">
        <f t="shared" ref="P557:P620" si="46">IFERROR(IF($O557/$I557*J557 &gt; 0,$O557/$I557*J557,""),"")</f>
        <v/>
      </c>
      <c r="Q557" t="str">
        <f t="shared" ref="Q557:Q620" si="47">IFERROR(IF($O557/$I557*K557 &gt; 0,$O557/$I557*K557,""),"")</f>
        <v/>
      </c>
      <c r="R557" t="str">
        <f t="shared" ref="R557:R620" si="48">IFERROR(IF($O557/$I557*L557 &gt; 0,$O557/$I557*L557,""),"")</f>
        <v/>
      </c>
      <c r="S557" t="str">
        <f t="shared" ref="S557:S620" si="49">IFERROR(IF($O557/$I557*M557 &gt; 0,$O557/$I557*M557,""),"")</f>
        <v/>
      </c>
      <c r="T557" s="24" t="str">
        <f t="shared" ref="T557:T620" si="50">IFERROR(IF($O557/$I557*N557 &gt; 0,$O557/$I557*N557,""),"")</f>
        <v/>
      </c>
    </row>
    <row r="558" spans="2:20" x14ac:dyDescent="0.4">
      <c r="B558" s="49" t="str" cm="1">
        <f t="array" ref="B558">IFERROR((INDEX($P$4:$T$1000,MATCH(VALUE(LEFT($A558,LEN($A558)-1)),$A$4:$A$1000,0),VALUE(RIGHT($A558,1)))/ INDEX($O$4:$O$1000,MATCH(VALUE(LEFT($A558,LEN($A558)-1)),$A$4:$A$1000))) * INDEX($B$4:$B$1000,MATCH(VALUE(LEFT($A558,LEN($A558)-1)),$A$4:$A$1000)),"")</f>
        <v/>
      </c>
      <c r="C558" s="2" t="str" cm="1">
        <f t="array" ref="C558">IFERROR(IF(INDEX($D$4:$H$1000,MATCH(VALUE(LEFT($A558,LEN($A558)-1)),$A$4:$A$1000,0),VALUE(RIGHT($A558,1)))= 0,"",INDEX($D$4:$H$1000,MATCH(VALUE(LEFT($A558,LEN($A558)-1)),$A$4:$A$1000,0),VALUE(RIGHT($A558,1)))),"")</f>
        <v/>
      </c>
      <c r="D558" s="23" t="str">
        <f>IFERROR(IF(INDEX(使用レシピ!F:F,MATCH(テンプレート!$C558,使用レシピ!$E:$E,0))&lt;&gt;0,INDEX(使用レシピ!F:F,MATCH(テンプレート!$C558,使用レシピ!$E:$E,0)),""),"")</f>
        <v/>
      </c>
      <c r="E558" t="str">
        <f>IFERROR(IF(INDEX(使用レシピ!G:G,MATCH(テンプレート!$C558,使用レシピ!$E:$E,0))&lt;&gt;0,INDEX(使用レシピ!G:G,MATCH(テンプレート!$C558,使用レシピ!$E:$E,0)),""),"")</f>
        <v/>
      </c>
      <c r="F558" t="str">
        <f>IFERROR(IF(INDEX(使用レシピ!H:H,MATCH(テンプレート!$C558,使用レシピ!$E:$E,0))&lt;&gt;0,INDEX(使用レシピ!H:H,MATCH(テンプレート!$C558,使用レシピ!$E:$E,0)),""),"")</f>
        <v/>
      </c>
      <c r="G558" t="str">
        <f>IFERROR(IF(INDEX(使用レシピ!I:I,MATCH(テンプレート!$C558,使用レシピ!$E:$E,0))&lt;&gt;0,INDEX(使用レシピ!I:I,MATCH(テンプレート!$C558,使用レシピ!$E:$E,0)),""),"")</f>
        <v/>
      </c>
      <c r="H558" s="24" t="str">
        <f>IFERROR(IF(INDEX(使用レシピ!J:J,MATCH(テンプレート!$C558,使用レシピ!$E:$E,0))&lt;&gt;0,INDEX(使用レシピ!J:J,MATCH(テンプレート!$C558,使用レシピ!$E:$E,0)),""),"")</f>
        <v/>
      </c>
      <c r="I558" s="36" t="str">
        <f>IFERROR(IF(INDEX(使用レシピ!P:P,MATCH(テンプレート!$C558,使用レシピ!$E:$E,0))&lt;&gt;0,INDEX(使用レシピ!P:P,MATCH(テンプレート!$C558,使用レシピ!$E:$E,0)),""),"")</f>
        <v/>
      </c>
      <c r="J558" t="str">
        <f>IFERROR(IF(INDEX(使用レシピ!K:K,MATCH(テンプレート!$C558,使用レシピ!$E:$E,0))&lt;&gt;0,INDEX(使用レシピ!K:K,MATCH(テンプレート!$C558,使用レシピ!$E:$E,0)),""),"")</f>
        <v/>
      </c>
      <c r="K558" t="str">
        <f>IFERROR(IF(INDEX(使用レシピ!L:L,MATCH(テンプレート!$C558,使用レシピ!$E:$E,0))&lt;&gt;0,INDEX(使用レシピ!L:L,MATCH(テンプレート!$C558,使用レシピ!$E:$E,0)),""),"")</f>
        <v/>
      </c>
      <c r="L558" t="str">
        <f>IFERROR(IF(INDEX(使用レシピ!M:M,MATCH(テンプレート!$C558,使用レシピ!$E:$E,0))&lt;&gt;0,INDEX(使用レシピ!M:M,MATCH(テンプレート!$C558,使用レシピ!$E:$E,0)),""),"")</f>
        <v/>
      </c>
      <c r="M558" t="str">
        <f>IFERROR(IF(INDEX(使用レシピ!N:N,MATCH(テンプレート!$C558,使用レシピ!$E:$E,0))&lt;&gt;0,INDEX(使用レシピ!N:N,MATCH(テンプレート!$C558,使用レシピ!$E:$E,0)),""),"")</f>
        <v/>
      </c>
      <c r="N558" s="24" t="str">
        <f>IFERROR(IF(INDEX(使用レシピ!O:O,MATCH(テンプレート!$C558,使用レシピ!$E:$E,0))&lt;&gt;0,INDEX(使用レシピ!O:O,MATCH(テンプレート!$C558,使用レシピ!$E:$E,0)),""),"")</f>
        <v/>
      </c>
      <c r="O558" s="36" t="str">
        <f>IFERROR(IF(INDEX(使用レシピ!P:P,MATCH(テンプレート!$C558,使用レシピ!$E:$E,0))&lt;&gt;0,INDEX(使用レシピ!P:P,MATCH(テンプレート!$C558,使用レシピ!$E:$E,0)),""),"")</f>
        <v/>
      </c>
      <c r="P558" t="str">
        <f t="shared" si="46"/>
        <v/>
      </c>
      <c r="Q558" t="str">
        <f t="shared" si="47"/>
        <v/>
      </c>
      <c r="R558" t="str">
        <f t="shared" si="48"/>
        <v/>
      </c>
      <c r="S558" t="str">
        <f t="shared" si="49"/>
        <v/>
      </c>
      <c r="T558" s="24" t="str">
        <f t="shared" si="50"/>
        <v/>
      </c>
    </row>
    <row r="559" spans="2:20" x14ac:dyDescent="0.4">
      <c r="B559" s="49" t="str" cm="1">
        <f t="array" ref="B559">IFERROR((INDEX($P$4:$T$1000,MATCH(VALUE(LEFT($A559,LEN($A559)-1)),$A$4:$A$1000,0),VALUE(RIGHT($A559,1)))/ INDEX($O$4:$O$1000,MATCH(VALUE(LEFT($A559,LEN($A559)-1)),$A$4:$A$1000))) * INDEX($B$4:$B$1000,MATCH(VALUE(LEFT($A559,LEN($A559)-1)),$A$4:$A$1000)),"")</f>
        <v/>
      </c>
      <c r="C559" s="2" t="str" cm="1">
        <f t="array" ref="C559">IFERROR(IF(INDEX($D$4:$H$1000,MATCH(VALUE(LEFT($A559,LEN($A559)-1)),$A$4:$A$1000,0),VALUE(RIGHT($A559,1)))= 0,"",INDEX($D$4:$H$1000,MATCH(VALUE(LEFT($A559,LEN($A559)-1)),$A$4:$A$1000,0),VALUE(RIGHT($A559,1)))),"")</f>
        <v/>
      </c>
      <c r="D559" s="23" t="str">
        <f>IFERROR(IF(INDEX(使用レシピ!F:F,MATCH(テンプレート!$C559,使用レシピ!$E:$E,0))&lt;&gt;0,INDEX(使用レシピ!F:F,MATCH(テンプレート!$C559,使用レシピ!$E:$E,0)),""),"")</f>
        <v/>
      </c>
      <c r="E559" t="str">
        <f>IFERROR(IF(INDEX(使用レシピ!G:G,MATCH(テンプレート!$C559,使用レシピ!$E:$E,0))&lt;&gt;0,INDEX(使用レシピ!G:G,MATCH(テンプレート!$C559,使用レシピ!$E:$E,0)),""),"")</f>
        <v/>
      </c>
      <c r="F559" t="str">
        <f>IFERROR(IF(INDEX(使用レシピ!H:H,MATCH(テンプレート!$C559,使用レシピ!$E:$E,0))&lt;&gt;0,INDEX(使用レシピ!H:H,MATCH(テンプレート!$C559,使用レシピ!$E:$E,0)),""),"")</f>
        <v/>
      </c>
      <c r="G559" t="str">
        <f>IFERROR(IF(INDEX(使用レシピ!I:I,MATCH(テンプレート!$C559,使用レシピ!$E:$E,0))&lt;&gt;0,INDEX(使用レシピ!I:I,MATCH(テンプレート!$C559,使用レシピ!$E:$E,0)),""),"")</f>
        <v/>
      </c>
      <c r="H559" s="24" t="str">
        <f>IFERROR(IF(INDEX(使用レシピ!J:J,MATCH(テンプレート!$C559,使用レシピ!$E:$E,0))&lt;&gt;0,INDEX(使用レシピ!J:J,MATCH(テンプレート!$C559,使用レシピ!$E:$E,0)),""),"")</f>
        <v/>
      </c>
      <c r="I559" s="36" t="str">
        <f>IFERROR(IF(INDEX(使用レシピ!P:P,MATCH(テンプレート!$C559,使用レシピ!$E:$E,0))&lt;&gt;0,INDEX(使用レシピ!P:P,MATCH(テンプレート!$C559,使用レシピ!$E:$E,0)),""),"")</f>
        <v/>
      </c>
      <c r="J559" t="str">
        <f>IFERROR(IF(INDEX(使用レシピ!K:K,MATCH(テンプレート!$C559,使用レシピ!$E:$E,0))&lt;&gt;0,INDEX(使用レシピ!K:K,MATCH(テンプレート!$C559,使用レシピ!$E:$E,0)),""),"")</f>
        <v/>
      </c>
      <c r="K559" t="str">
        <f>IFERROR(IF(INDEX(使用レシピ!L:L,MATCH(テンプレート!$C559,使用レシピ!$E:$E,0))&lt;&gt;0,INDEX(使用レシピ!L:L,MATCH(テンプレート!$C559,使用レシピ!$E:$E,0)),""),"")</f>
        <v/>
      </c>
      <c r="L559" t="str">
        <f>IFERROR(IF(INDEX(使用レシピ!M:M,MATCH(テンプレート!$C559,使用レシピ!$E:$E,0))&lt;&gt;0,INDEX(使用レシピ!M:M,MATCH(テンプレート!$C559,使用レシピ!$E:$E,0)),""),"")</f>
        <v/>
      </c>
      <c r="M559" t="str">
        <f>IFERROR(IF(INDEX(使用レシピ!N:N,MATCH(テンプレート!$C559,使用レシピ!$E:$E,0))&lt;&gt;0,INDEX(使用レシピ!N:N,MATCH(テンプレート!$C559,使用レシピ!$E:$E,0)),""),"")</f>
        <v/>
      </c>
      <c r="N559" s="24" t="str">
        <f>IFERROR(IF(INDEX(使用レシピ!O:O,MATCH(テンプレート!$C559,使用レシピ!$E:$E,0))&lt;&gt;0,INDEX(使用レシピ!O:O,MATCH(テンプレート!$C559,使用レシピ!$E:$E,0)),""),"")</f>
        <v/>
      </c>
      <c r="O559" s="36" t="str">
        <f>IFERROR(IF(INDEX(使用レシピ!P:P,MATCH(テンプレート!$C559,使用レシピ!$E:$E,0))&lt;&gt;0,INDEX(使用レシピ!P:P,MATCH(テンプレート!$C559,使用レシピ!$E:$E,0)),""),"")</f>
        <v/>
      </c>
      <c r="P559" t="str">
        <f t="shared" si="46"/>
        <v/>
      </c>
      <c r="Q559" t="str">
        <f t="shared" si="47"/>
        <v/>
      </c>
      <c r="R559" t="str">
        <f t="shared" si="48"/>
        <v/>
      </c>
      <c r="S559" t="str">
        <f t="shared" si="49"/>
        <v/>
      </c>
      <c r="T559" s="24" t="str">
        <f t="shared" si="50"/>
        <v/>
      </c>
    </row>
    <row r="560" spans="2:20" x14ac:dyDescent="0.4">
      <c r="B560" s="49" t="str" cm="1">
        <f t="array" ref="B560">IFERROR((INDEX($P$4:$T$1000,MATCH(VALUE(LEFT($A560,LEN($A560)-1)),$A$4:$A$1000,0),VALUE(RIGHT($A560,1)))/ INDEX($O$4:$O$1000,MATCH(VALUE(LEFT($A560,LEN($A560)-1)),$A$4:$A$1000))) * INDEX($B$4:$B$1000,MATCH(VALUE(LEFT($A560,LEN($A560)-1)),$A$4:$A$1000)),"")</f>
        <v/>
      </c>
      <c r="C560" s="2" t="str" cm="1">
        <f t="array" ref="C560">IFERROR(IF(INDEX($D$4:$H$1000,MATCH(VALUE(LEFT($A560,LEN($A560)-1)),$A$4:$A$1000,0),VALUE(RIGHT($A560,1)))= 0,"",INDEX($D$4:$H$1000,MATCH(VALUE(LEFT($A560,LEN($A560)-1)),$A$4:$A$1000,0),VALUE(RIGHT($A560,1)))),"")</f>
        <v/>
      </c>
      <c r="D560" s="23" t="str">
        <f>IFERROR(IF(INDEX(使用レシピ!F:F,MATCH(テンプレート!$C560,使用レシピ!$E:$E,0))&lt;&gt;0,INDEX(使用レシピ!F:F,MATCH(テンプレート!$C560,使用レシピ!$E:$E,0)),""),"")</f>
        <v/>
      </c>
      <c r="E560" t="str">
        <f>IFERROR(IF(INDEX(使用レシピ!G:G,MATCH(テンプレート!$C560,使用レシピ!$E:$E,0))&lt;&gt;0,INDEX(使用レシピ!G:G,MATCH(テンプレート!$C560,使用レシピ!$E:$E,0)),""),"")</f>
        <v/>
      </c>
      <c r="F560" t="str">
        <f>IFERROR(IF(INDEX(使用レシピ!H:H,MATCH(テンプレート!$C560,使用レシピ!$E:$E,0))&lt;&gt;0,INDEX(使用レシピ!H:H,MATCH(テンプレート!$C560,使用レシピ!$E:$E,0)),""),"")</f>
        <v/>
      </c>
      <c r="G560" t="str">
        <f>IFERROR(IF(INDEX(使用レシピ!I:I,MATCH(テンプレート!$C560,使用レシピ!$E:$E,0))&lt;&gt;0,INDEX(使用レシピ!I:I,MATCH(テンプレート!$C560,使用レシピ!$E:$E,0)),""),"")</f>
        <v/>
      </c>
      <c r="H560" s="24" t="str">
        <f>IFERROR(IF(INDEX(使用レシピ!J:J,MATCH(テンプレート!$C560,使用レシピ!$E:$E,0))&lt;&gt;0,INDEX(使用レシピ!J:J,MATCH(テンプレート!$C560,使用レシピ!$E:$E,0)),""),"")</f>
        <v/>
      </c>
      <c r="I560" s="36" t="str">
        <f>IFERROR(IF(INDEX(使用レシピ!P:P,MATCH(テンプレート!$C560,使用レシピ!$E:$E,0))&lt;&gt;0,INDEX(使用レシピ!P:P,MATCH(テンプレート!$C560,使用レシピ!$E:$E,0)),""),"")</f>
        <v/>
      </c>
      <c r="J560" t="str">
        <f>IFERROR(IF(INDEX(使用レシピ!K:K,MATCH(テンプレート!$C560,使用レシピ!$E:$E,0))&lt;&gt;0,INDEX(使用レシピ!K:K,MATCH(テンプレート!$C560,使用レシピ!$E:$E,0)),""),"")</f>
        <v/>
      </c>
      <c r="K560" t="str">
        <f>IFERROR(IF(INDEX(使用レシピ!L:L,MATCH(テンプレート!$C560,使用レシピ!$E:$E,0))&lt;&gt;0,INDEX(使用レシピ!L:L,MATCH(テンプレート!$C560,使用レシピ!$E:$E,0)),""),"")</f>
        <v/>
      </c>
      <c r="L560" t="str">
        <f>IFERROR(IF(INDEX(使用レシピ!M:M,MATCH(テンプレート!$C560,使用レシピ!$E:$E,0))&lt;&gt;0,INDEX(使用レシピ!M:M,MATCH(テンプレート!$C560,使用レシピ!$E:$E,0)),""),"")</f>
        <v/>
      </c>
      <c r="M560" t="str">
        <f>IFERROR(IF(INDEX(使用レシピ!N:N,MATCH(テンプレート!$C560,使用レシピ!$E:$E,0))&lt;&gt;0,INDEX(使用レシピ!N:N,MATCH(テンプレート!$C560,使用レシピ!$E:$E,0)),""),"")</f>
        <v/>
      </c>
      <c r="N560" s="24" t="str">
        <f>IFERROR(IF(INDEX(使用レシピ!O:O,MATCH(テンプレート!$C560,使用レシピ!$E:$E,0))&lt;&gt;0,INDEX(使用レシピ!O:O,MATCH(テンプレート!$C560,使用レシピ!$E:$E,0)),""),"")</f>
        <v/>
      </c>
      <c r="O560" s="36" t="str">
        <f>IFERROR(IF(INDEX(使用レシピ!P:P,MATCH(テンプレート!$C560,使用レシピ!$E:$E,0))&lt;&gt;0,INDEX(使用レシピ!P:P,MATCH(テンプレート!$C560,使用レシピ!$E:$E,0)),""),"")</f>
        <v/>
      </c>
      <c r="P560" t="str">
        <f t="shared" si="46"/>
        <v/>
      </c>
      <c r="Q560" t="str">
        <f t="shared" si="47"/>
        <v/>
      </c>
      <c r="R560" t="str">
        <f t="shared" si="48"/>
        <v/>
      </c>
      <c r="S560" t="str">
        <f t="shared" si="49"/>
        <v/>
      </c>
      <c r="T560" s="24" t="str">
        <f t="shared" si="50"/>
        <v/>
      </c>
    </row>
    <row r="561" spans="2:20" x14ac:dyDescent="0.4">
      <c r="B561" s="49" t="str" cm="1">
        <f t="array" ref="B561">IFERROR((INDEX($P$4:$T$1000,MATCH(VALUE(LEFT($A561,LEN($A561)-1)),$A$4:$A$1000,0),VALUE(RIGHT($A561,1)))/ INDEX($O$4:$O$1000,MATCH(VALUE(LEFT($A561,LEN($A561)-1)),$A$4:$A$1000))) * INDEX($B$4:$B$1000,MATCH(VALUE(LEFT($A561,LEN($A561)-1)),$A$4:$A$1000)),"")</f>
        <v/>
      </c>
      <c r="C561" s="2" t="str" cm="1">
        <f t="array" ref="C561">IFERROR(IF(INDEX($D$4:$H$1000,MATCH(VALUE(LEFT($A561,LEN($A561)-1)),$A$4:$A$1000,0),VALUE(RIGHT($A561,1)))= 0,"",INDEX($D$4:$H$1000,MATCH(VALUE(LEFT($A561,LEN($A561)-1)),$A$4:$A$1000,0),VALUE(RIGHT($A561,1)))),"")</f>
        <v/>
      </c>
      <c r="D561" s="23" t="str">
        <f>IFERROR(IF(INDEX(使用レシピ!F:F,MATCH(テンプレート!$C561,使用レシピ!$E:$E,0))&lt;&gt;0,INDEX(使用レシピ!F:F,MATCH(テンプレート!$C561,使用レシピ!$E:$E,0)),""),"")</f>
        <v/>
      </c>
      <c r="E561" t="str">
        <f>IFERROR(IF(INDEX(使用レシピ!G:G,MATCH(テンプレート!$C561,使用レシピ!$E:$E,0))&lt;&gt;0,INDEX(使用レシピ!G:G,MATCH(テンプレート!$C561,使用レシピ!$E:$E,0)),""),"")</f>
        <v/>
      </c>
      <c r="F561" t="str">
        <f>IFERROR(IF(INDEX(使用レシピ!H:H,MATCH(テンプレート!$C561,使用レシピ!$E:$E,0))&lt;&gt;0,INDEX(使用レシピ!H:H,MATCH(テンプレート!$C561,使用レシピ!$E:$E,0)),""),"")</f>
        <v/>
      </c>
      <c r="G561" t="str">
        <f>IFERROR(IF(INDEX(使用レシピ!I:I,MATCH(テンプレート!$C561,使用レシピ!$E:$E,0))&lt;&gt;0,INDEX(使用レシピ!I:I,MATCH(テンプレート!$C561,使用レシピ!$E:$E,0)),""),"")</f>
        <v/>
      </c>
      <c r="H561" s="24" t="str">
        <f>IFERROR(IF(INDEX(使用レシピ!J:J,MATCH(テンプレート!$C561,使用レシピ!$E:$E,0))&lt;&gt;0,INDEX(使用レシピ!J:J,MATCH(テンプレート!$C561,使用レシピ!$E:$E,0)),""),"")</f>
        <v/>
      </c>
      <c r="I561" s="36" t="str">
        <f>IFERROR(IF(INDEX(使用レシピ!P:P,MATCH(テンプレート!$C561,使用レシピ!$E:$E,0))&lt;&gt;0,INDEX(使用レシピ!P:P,MATCH(テンプレート!$C561,使用レシピ!$E:$E,0)),""),"")</f>
        <v/>
      </c>
      <c r="J561" t="str">
        <f>IFERROR(IF(INDEX(使用レシピ!K:K,MATCH(テンプレート!$C561,使用レシピ!$E:$E,0))&lt;&gt;0,INDEX(使用レシピ!K:K,MATCH(テンプレート!$C561,使用レシピ!$E:$E,0)),""),"")</f>
        <v/>
      </c>
      <c r="K561" t="str">
        <f>IFERROR(IF(INDEX(使用レシピ!L:L,MATCH(テンプレート!$C561,使用レシピ!$E:$E,0))&lt;&gt;0,INDEX(使用レシピ!L:L,MATCH(テンプレート!$C561,使用レシピ!$E:$E,0)),""),"")</f>
        <v/>
      </c>
      <c r="L561" t="str">
        <f>IFERROR(IF(INDEX(使用レシピ!M:M,MATCH(テンプレート!$C561,使用レシピ!$E:$E,0))&lt;&gt;0,INDEX(使用レシピ!M:M,MATCH(テンプレート!$C561,使用レシピ!$E:$E,0)),""),"")</f>
        <v/>
      </c>
      <c r="M561" t="str">
        <f>IFERROR(IF(INDEX(使用レシピ!N:N,MATCH(テンプレート!$C561,使用レシピ!$E:$E,0))&lt;&gt;0,INDEX(使用レシピ!N:N,MATCH(テンプレート!$C561,使用レシピ!$E:$E,0)),""),"")</f>
        <v/>
      </c>
      <c r="N561" s="24" t="str">
        <f>IFERROR(IF(INDEX(使用レシピ!O:O,MATCH(テンプレート!$C561,使用レシピ!$E:$E,0))&lt;&gt;0,INDEX(使用レシピ!O:O,MATCH(テンプレート!$C561,使用レシピ!$E:$E,0)),""),"")</f>
        <v/>
      </c>
      <c r="O561" s="36" t="str">
        <f>IFERROR(IF(INDEX(使用レシピ!P:P,MATCH(テンプレート!$C561,使用レシピ!$E:$E,0))&lt;&gt;0,INDEX(使用レシピ!P:P,MATCH(テンプレート!$C561,使用レシピ!$E:$E,0)),""),"")</f>
        <v/>
      </c>
      <c r="P561" t="str">
        <f t="shared" si="46"/>
        <v/>
      </c>
      <c r="Q561" t="str">
        <f t="shared" si="47"/>
        <v/>
      </c>
      <c r="R561" t="str">
        <f t="shared" si="48"/>
        <v/>
      </c>
      <c r="S561" t="str">
        <f t="shared" si="49"/>
        <v/>
      </c>
      <c r="T561" s="24" t="str">
        <f t="shared" si="50"/>
        <v/>
      </c>
    </row>
    <row r="562" spans="2:20" x14ac:dyDescent="0.4">
      <c r="B562" s="49" t="str" cm="1">
        <f t="array" ref="B562">IFERROR((INDEX($P$4:$T$1000,MATCH(VALUE(LEFT($A562,LEN($A562)-1)),$A$4:$A$1000,0),VALUE(RIGHT($A562,1)))/ INDEX($O$4:$O$1000,MATCH(VALUE(LEFT($A562,LEN($A562)-1)),$A$4:$A$1000))) * INDEX($B$4:$B$1000,MATCH(VALUE(LEFT($A562,LEN($A562)-1)),$A$4:$A$1000)),"")</f>
        <v/>
      </c>
      <c r="C562" s="2" t="str" cm="1">
        <f t="array" ref="C562">IFERROR(IF(INDEX($D$4:$H$1000,MATCH(VALUE(LEFT($A562,LEN($A562)-1)),$A$4:$A$1000,0),VALUE(RIGHT($A562,1)))= 0,"",INDEX($D$4:$H$1000,MATCH(VALUE(LEFT($A562,LEN($A562)-1)),$A$4:$A$1000,0),VALUE(RIGHT($A562,1)))),"")</f>
        <v/>
      </c>
      <c r="D562" s="23" t="str">
        <f>IFERROR(IF(INDEX(使用レシピ!F:F,MATCH(テンプレート!$C562,使用レシピ!$E:$E,0))&lt;&gt;0,INDEX(使用レシピ!F:F,MATCH(テンプレート!$C562,使用レシピ!$E:$E,0)),""),"")</f>
        <v/>
      </c>
      <c r="E562" t="str">
        <f>IFERROR(IF(INDEX(使用レシピ!G:G,MATCH(テンプレート!$C562,使用レシピ!$E:$E,0))&lt;&gt;0,INDEX(使用レシピ!G:G,MATCH(テンプレート!$C562,使用レシピ!$E:$E,0)),""),"")</f>
        <v/>
      </c>
      <c r="F562" t="str">
        <f>IFERROR(IF(INDEX(使用レシピ!H:H,MATCH(テンプレート!$C562,使用レシピ!$E:$E,0))&lt;&gt;0,INDEX(使用レシピ!H:H,MATCH(テンプレート!$C562,使用レシピ!$E:$E,0)),""),"")</f>
        <v/>
      </c>
      <c r="G562" t="str">
        <f>IFERROR(IF(INDEX(使用レシピ!I:I,MATCH(テンプレート!$C562,使用レシピ!$E:$E,0))&lt;&gt;0,INDEX(使用レシピ!I:I,MATCH(テンプレート!$C562,使用レシピ!$E:$E,0)),""),"")</f>
        <v/>
      </c>
      <c r="H562" s="24" t="str">
        <f>IFERROR(IF(INDEX(使用レシピ!J:J,MATCH(テンプレート!$C562,使用レシピ!$E:$E,0))&lt;&gt;0,INDEX(使用レシピ!J:J,MATCH(テンプレート!$C562,使用レシピ!$E:$E,0)),""),"")</f>
        <v/>
      </c>
      <c r="I562" s="36" t="str">
        <f>IFERROR(IF(INDEX(使用レシピ!P:P,MATCH(テンプレート!$C562,使用レシピ!$E:$E,0))&lt;&gt;0,INDEX(使用レシピ!P:P,MATCH(テンプレート!$C562,使用レシピ!$E:$E,0)),""),"")</f>
        <v/>
      </c>
      <c r="J562" t="str">
        <f>IFERROR(IF(INDEX(使用レシピ!K:K,MATCH(テンプレート!$C562,使用レシピ!$E:$E,0))&lt;&gt;0,INDEX(使用レシピ!K:K,MATCH(テンプレート!$C562,使用レシピ!$E:$E,0)),""),"")</f>
        <v/>
      </c>
      <c r="K562" t="str">
        <f>IFERROR(IF(INDEX(使用レシピ!L:L,MATCH(テンプレート!$C562,使用レシピ!$E:$E,0))&lt;&gt;0,INDEX(使用レシピ!L:L,MATCH(テンプレート!$C562,使用レシピ!$E:$E,0)),""),"")</f>
        <v/>
      </c>
      <c r="L562" t="str">
        <f>IFERROR(IF(INDEX(使用レシピ!M:M,MATCH(テンプレート!$C562,使用レシピ!$E:$E,0))&lt;&gt;0,INDEX(使用レシピ!M:M,MATCH(テンプレート!$C562,使用レシピ!$E:$E,0)),""),"")</f>
        <v/>
      </c>
      <c r="M562" t="str">
        <f>IFERROR(IF(INDEX(使用レシピ!N:N,MATCH(テンプレート!$C562,使用レシピ!$E:$E,0))&lt;&gt;0,INDEX(使用レシピ!N:N,MATCH(テンプレート!$C562,使用レシピ!$E:$E,0)),""),"")</f>
        <v/>
      </c>
      <c r="N562" s="24" t="str">
        <f>IFERROR(IF(INDEX(使用レシピ!O:O,MATCH(テンプレート!$C562,使用レシピ!$E:$E,0))&lt;&gt;0,INDEX(使用レシピ!O:O,MATCH(テンプレート!$C562,使用レシピ!$E:$E,0)),""),"")</f>
        <v/>
      </c>
      <c r="O562" s="36" t="str">
        <f>IFERROR(IF(INDEX(使用レシピ!P:P,MATCH(テンプレート!$C562,使用レシピ!$E:$E,0))&lt;&gt;0,INDEX(使用レシピ!P:P,MATCH(テンプレート!$C562,使用レシピ!$E:$E,0)),""),"")</f>
        <v/>
      </c>
      <c r="P562" t="str">
        <f t="shared" si="46"/>
        <v/>
      </c>
      <c r="Q562" t="str">
        <f t="shared" si="47"/>
        <v/>
      </c>
      <c r="R562" t="str">
        <f t="shared" si="48"/>
        <v/>
      </c>
      <c r="S562" t="str">
        <f t="shared" si="49"/>
        <v/>
      </c>
      <c r="T562" s="24" t="str">
        <f t="shared" si="50"/>
        <v/>
      </c>
    </row>
    <row r="563" spans="2:20" x14ac:dyDescent="0.4">
      <c r="B563" s="49" t="str" cm="1">
        <f t="array" ref="B563">IFERROR((INDEX($P$4:$T$1000,MATCH(VALUE(LEFT($A563,LEN($A563)-1)),$A$4:$A$1000,0),VALUE(RIGHT($A563,1)))/ INDEX($O$4:$O$1000,MATCH(VALUE(LEFT($A563,LEN($A563)-1)),$A$4:$A$1000))) * INDEX($B$4:$B$1000,MATCH(VALUE(LEFT($A563,LEN($A563)-1)),$A$4:$A$1000)),"")</f>
        <v/>
      </c>
      <c r="C563" s="2" t="str" cm="1">
        <f t="array" ref="C563">IFERROR(IF(INDEX($D$4:$H$1000,MATCH(VALUE(LEFT($A563,LEN($A563)-1)),$A$4:$A$1000,0),VALUE(RIGHT($A563,1)))= 0,"",INDEX($D$4:$H$1000,MATCH(VALUE(LEFT($A563,LEN($A563)-1)),$A$4:$A$1000,0),VALUE(RIGHT($A563,1)))),"")</f>
        <v/>
      </c>
      <c r="D563" s="23" t="str">
        <f>IFERROR(IF(INDEX(使用レシピ!F:F,MATCH(テンプレート!$C563,使用レシピ!$E:$E,0))&lt;&gt;0,INDEX(使用レシピ!F:F,MATCH(テンプレート!$C563,使用レシピ!$E:$E,0)),""),"")</f>
        <v/>
      </c>
      <c r="E563" t="str">
        <f>IFERROR(IF(INDEX(使用レシピ!G:G,MATCH(テンプレート!$C563,使用レシピ!$E:$E,0))&lt;&gt;0,INDEX(使用レシピ!G:G,MATCH(テンプレート!$C563,使用レシピ!$E:$E,0)),""),"")</f>
        <v/>
      </c>
      <c r="F563" t="str">
        <f>IFERROR(IF(INDEX(使用レシピ!H:H,MATCH(テンプレート!$C563,使用レシピ!$E:$E,0))&lt;&gt;0,INDEX(使用レシピ!H:H,MATCH(テンプレート!$C563,使用レシピ!$E:$E,0)),""),"")</f>
        <v/>
      </c>
      <c r="G563" t="str">
        <f>IFERROR(IF(INDEX(使用レシピ!I:I,MATCH(テンプレート!$C563,使用レシピ!$E:$E,0))&lt;&gt;0,INDEX(使用レシピ!I:I,MATCH(テンプレート!$C563,使用レシピ!$E:$E,0)),""),"")</f>
        <v/>
      </c>
      <c r="H563" s="24" t="str">
        <f>IFERROR(IF(INDEX(使用レシピ!J:J,MATCH(テンプレート!$C563,使用レシピ!$E:$E,0))&lt;&gt;0,INDEX(使用レシピ!J:J,MATCH(テンプレート!$C563,使用レシピ!$E:$E,0)),""),"")</f>
        <v/>
      </c>
      <c r="I563" s="36" t="str">
        <f>IFERROR(IF(INDEX(使用レシピ!P:P,MATCH(テンプレート!$C563,使用レシピ!$E:$E,0))&lt;&gt;0,INDEX(使用レシピ!P:P,MATCH(テンプレート!$C563,使用レシピ!$E:$E,0)),""),"")</f>
        <v/>
      </c>
      <c r="J563" t="str">
        <f>IFERROR(IF(INDEX(使用レシピ!K:K,MATCH(テンプレート!$C563,使用レシピ!$E:$E,0))&lt;&gt;0,INDEX(使用レシピ!K:K,MATCH(テンプレート!$C563,使用レシピ!$E:$E,0)),""),"")</f>
        <v/>
      </c>
      <c r="K563" t="str">
        <f>IFERROR(IF(INDEX(使用レシピ!L:L,MATCH(テンプレート!$C563,使用レシピ!$E:$E,0))&lt;&gt;0,INDEX(使用レシピ!L:L,MATCH(テンプレート!$C563,使用レシピ!$E:$E,0)),""),"")</f>
        <v/>
      </c>
      <c r="L563" t="str">
        <f>IFERROR(IF(INDEX(使用レシピ!M:M,MATCH(テンプレート!$C563,使用レシピ!$E:$E,0))&lt;&gt;0,INDEX(使用レシピ!M:M,MATCH(テンプレート!$C563,使用レシピ!$E:$E,0)),""),"")</f>
        <v/>
      </c>
      <c r="M563" t="str">
        <f>IFERROR(IF(INDEX(使用レシピ!N:N,MATCH(テンプレート!$C563,使用レシピ!$E:$E,0))&lt;&gt;0,INDEX(使用レシピ!N:N,MATCH(テンプレート!$C563,使用レシピ!$E:$E,0)),""),"")</f>
        <v/>
      </c>
      <c r="N563" s="24" t="str">
        <f>IFERROR(IF(INDEX(使用レシピ!O:O,MATCH(テンプレート!$C563,使用レシピ!$E:$E,0))&lt;&gt;0,INDEX(使用レシピ!O:O,MATCH(テンプレート!$C563,使用レシピ!$E:$E,0)),""),"")</f>
        <v/>
      </c>
      <c r="O563" s="36" t="str">
        <f>IFERROR(IF(INDEX(使用レシピ!P:P,MATCH(テンプレート!$C563,使用レシピ!$E:$E,0))&lt;&gt;0,INDEX(使用レシピ!P:P,MATCH(テンプレート!$C563,使用レシピ!$E:$E,0)),""),"")</f>
        <v/>
      </c>
      <c r="P563" t="str">
        <f t="shared" si="46"/>
        <v/>
      </c>
      <c r="Q563" t="str">
        <f t="shared" si="47"/>
        <v/>
      </c>
      <c r="R563" t="str">
        <f t="shared" si="48"/>
        <v/>
      </c>
      <c r="S563" t="str">
        <f t="shared" si="49"/>
        <v/>
      </c>
      <c r="T563" s="24" t="str">
        <f t="shared" si="50"/>
        <v/>
      </c>
    </row>
    <row r="564" spans="2:20" x14ac:dyDescent="0.4">
      <c r="B564" s="49" t="str" cm="1">
        <f t="array" ref="B564">IFERROR((INDEX($P$4:$T$1000,MATCH(VALUE(LEFT($A564,LEN($A564)-1)),$A$4:$A$1000,0),VALUE(RIGHT($A564,1)))/ INDEX($O$4:$O$1000,MATCH(VALUE(LEFT($A564,LEN($A564)-1)),$A$4:$A$1000))) * INDEX($B$4:$B$1000,MATCH(VALUE(LEFT($A564,LEN($A564)-1)),$A$4:$A$1000)),"")</f>
        <v/>
      </c>
      <c r="C564" s="2" t="str" cm="1">
        <f t="array" ref="C564">IFERROR(IF(INDEX($D$4:$H$1000,MATCH(VALUE(LEFT($A564,LEN($A564)-1)),$A$4:$A$1000,0),VALUE(RIGHT($A564,1)))= 0,"",INDEX($D$4:$H$1000,MATCH(VALUE(LEFT($A564,LEN($A564)-1)),$A$4:$A$1000,0),VALUE(RIGHT($A564,1)))),"")</f>
        <v/>
      </c>
      <c r="D564" s="23" t="str">
        <f>IFERROR(IF(INDEX(使用レシピ!F:F,MATCH(テンプレート!$C564,使用レシピ!$E:$E,0))&lt;&gt;0,INDEX(使用レシピ!F:F,MATCH(テンプレート!$C564,使用レシピ!$E:$E,0)),""),"")</f>
        <v/>
      </c>
      <c r="E564" t="str">
        <f>IFERROR(IF(INDEX(使用レシピ!G:G,MATCH(テンプレート!$C564,使用レシピ!$E:$E,0))&lt;&gt;0,INDEX(使用レシピ!G:G,MATCH(テンプレート!$C564,使用レシピ!$E:$E,0)),""),"")</f>
        <v/>
      </c>
      <c r="F564" t="str">
        <f>IFERROR(IF(INDEX(使用レシピ!H:H,MATCH(テンプレート!$C564,使用レシピ!$E:$E,0))&lt;&gt;0,INDEX(使用レシピ!H:H,MATCH(テンプレート!$C564,使用レシピ!$E:$E,0)),""),"")</f>
        <v/>
      </c>
      <c r="G564" t="str">
        <f>IFERROR(IF(INDEX(使用レシピ!I:I,MATCH(テンプレート!$C564,使用レシピ!$E:$E,0))&lt;&gt;0,INDEX(使用レシピ!I:I,MATCH(テンプレート!$C564,使用レシピ!$E:$E,0)),""),"")</f>
        <v/>
      </c>
      <c r="H564" s="24" t="str">
        <f>IFERROR(IF(INDEX(使用レシピ!J:J,MATCH(テンプレート!$C564,使用レシピ!$E:$E,0))&lt;&gt;0,INDEX(使用レシピ!J:J,MATCH(テンプレート!$C564,使用レシピ!$E:$E,0)),""),"")</f>
        <v/>
      </c>
      <c r="I564" s="36" t="str">
        <f>IFERROR(IF(INDEX(使用レシピ!P:P,MATCH(テンプレート!$C564,使用レシピ!$E:$E,0))&lt;&gt;0,INDEX(使用レシピ!P:P,MATCH(テンプレート!$C564,使用レシピ!$E:$E,0)),""),"")</f>
        <v/>
      </c>
      <c r="J564" t="str">
        <f>IFERROR(IF(INDEX(使用レシピ!K:K,MATCH(テンプレート!$C564,使用レシピ!$E:$E,0))&lt;&gt;0,INDEX(使用レシピ!K:K,MATCH(テンプレート!$C564,使用レシピ!$E:$E,0)),""),"")</f>
        <v/>
      </c>
      <c r="K564" t="str">
        <f>IFERROR(IF(INDEX(使用レシピ!L:L,MATCH(テンプレート!$C564,使用レシピ!$E:$E,0))&lt;&gt;0,INDEX(使用レシピ!L:L,MATCH(テンプレート!$C564,使用レシピ!$E:$E,0)),""),"")</f>
        <v/>
      </c>
      <c r="L564" t="str">
        <f>IFERROR(IF(INDEX(使用レシピ!M:M,MATCH(テンプレート!$C564,使用レシピ!$E:$E,0))&lt;&gt;0,INDEX(使用レシピ!M:M,MATCH(テンプレート!$C564,使用レシピ!$E:$E,0)),""),"")</f>
        <v/>
      </c>
      <c r="M564" t="str">
        <f>IFERROR(IF(INDEX(使用レシピ!N:N,MATCH(テンプレート!$C564,使用レシピ!$E:$E,0))&lt;&gt;0,INDEX(使用レシピ!N:N,MATCH(テンプレート!$C564,使用レシピ!$E:$E,0)),""),"")</f>
        <v/>
      </c>
      <c r="N564" s="24" t="str">
        <f>IFERROR(IF(INDEX(使用レシピ!O:O,MATCH(テンプレート!$C564,使用レシピ!$E:$E,0))&lt;&gt;0,INDEX(使用レシピ!O:O,MATCH(テンプレート!$C564,使用レシピ!$E:$E,0)),""),"")</f>
        <v/>
      </c>
      <c r="O564" s="36" t="str">
        <f>IFERROR(IF(INDEX(使用レシピ!P:P,MATCH(テンプレート!$C564,使用レシピ!$E:$E,0))&lt;&gt;0,INDEX(使用レシピ!P:P,MATCH(テンプレート!$C564,使用レシピ!$E:$E,0)),""),"")</f>
        <v/>
      </c>
      <c r="P564" t="str">
        <f t="shared" si="46"/>
        <v/>
      </c>
      <c r="Q564" t="str">
        <f t="shared" si="47"/>
        <v/>
      </c>
      <c r="R564" t="str">
        <f t="shared" si="48"/>
        <v/>
      </c>
      <c r="S564" t="str">
        <f t="shared" si="49"/>
        <v/>
      </c>
      <c r="T564" s="24" t="str">
        <f t="shared" si="50"/>
        <v/>
      </c>
    </row>
    <row r="565" spans="2:20" x14ac:dyDescent="0.4">
      <c r="B565" s="49" t="str" cm="1">
        <f t="array" ref="B565">IFERROR((INDEX($P$4:$T$1000,MATCH(VALUE(LEFT($A565,LEN($A565)-1)),$A$4:$A$1000,0),VALUE(RIGHT($A565,1)))/ INDEX($O$4:$O$1000,MATCH(VALUE(LEFT($A565,LEN($A565)-1)),$A$4:$A$1000))) * INDEX($B$4:$B$1000,MATCH(VALUE(LEFT($A565,LEN($A565)-1)),$A$4:$A$1000)),"")</f>
        <v/>
      </c>
      <c r="C565" s="2" t="str" cm="1">
        <f t="array" ref="C565">IFERROR(IF(INDEX($D$4:$H$1000,MATCH(VALUE(LEFT($A565,LEN($A565)-1)),$A$4:$A$1000,0),VALUE(RIGHT($A565,1)))= 0,"",INDEX($D$4:$H$1000,MATCH(VALUE(LEFT($A565,LEN($A565)-1)),$A$4:$A$1000,0),VALUE(RIGHT($A565,1)))),"")</f>
        <v/>
      </c>
      <c r="D565" s="23" t="str">
        <f>IFERROR(IF(INDEX(使用レシピ!F:F,MATCH(テンプレート!$C565,使用レシピ!$E:$E,0))&lt;&gt;0,INDEX(使用レシピ!F:F,MATCH(テンプレート!$C565,使用レシピ!$E:$E,0)),""),"")</f>
        <v/>
      </c>
      <c r="E565" t="str">
        <f>IFERROR(IF(INDEX(使用レシピ!G:G,MATCH(テンプレート!$C565,使用レシピ!$E:$E,0))&lt;&gt;0,INDEX(使用レシピ!G:G,MATCH(テンプレート!$C565,使用レシピ!$E:$E,0)),""),"")</f>
        <v/>
      </c>
      <c r="F565" t="str">
        <f>IFERROR(IF(INDEX(使用レシピ!H:H,MATCH(テンプレート!$C565,使用レシピ!$E:$E,0))&lt;&gt;0,INDEX(使用レシピ!H:H,MATCH(テンプレート!$C565,使用レシピ!$E:$E,0)),""),"")</f>
        <v/>
      </c>
      <c r="G565" t="str">
        <f>IFERROR(IF(INDEX(使用レシピ!I:I,MATCH(テンプレート!$C565,使用レシピ!$E:$E,0))&lt;&gt;0,INDEX(使用レシピ!I:I,MATCH(テンプレート!$C565,使用レシピ!$E:$E,0)),""),"")</f>
        <v/>
      </c>
      <c r="H565" s="24" t="str">
        <f>IFERROR(IF(INDEX(使用レシピ!J:J,MATCH(テンプレート!$C565,使用レシピ!$E:$E,0))&lt;&gt;0,INDEX(使用レシピ!J:J,MATCH(テンプレート!$C565,使用レシピ!$E:$E,0)),""),"")</f>
        <v/>
      </c>
      <c r="I565" s="36" t="str">
        <f>IFERROR(IF(INDEX(使用レシピ!P:P,MATCH(テンプレート!$C565,使用レシピ!$E:$E,0))&lt;&gt;0,INDEX(使用レシピ!P:P,MATCH(テンプレート!$C565,使用レシピ!$E:$E,0)),""),"")</f>
        <v/>
      </c>
      <c r="J565" t="str">
        <f>IFERROR(IF(INDEX(使用レシピ!K:K,MATCH(テンプレート!$C565,使用レシピ!$E:$E,0))&lt;&gt;0,INDEX(使用レシピ!K:K,MATCH(テンプレート!$C565,使用レシピ!$E:$E,0)),""),"")</f>
        <v/>
      </c>
      <c r="K565" t="str">
        <f>IFERROR(IF(INDEX(使用レシピ!L:L,MATCH(テンプレート!$C565,使用レシピ!$E:$E,0))&lt;&gt;0,INDEX(使用レシピ!L:L,MATCH(テンプレート!$C565,使用レシピ!$E:$E,0)),""),"")</f>
        <v/>
      </c>
      <c r="L565" t="str">
        <f>IFERROR(IF(INDEX(使用レシピ!M:M,MATCH(テンプレート!$C565,使用レシピ!$E:$E,0))&lt;&gt;0,INDEX(使用レシピ!M:M,MATCH(テンプレート!$C565,使用レシピ!$E:$E,0)),""),"")</f>
        <v/>
      </c>
      <c r="M565" t="str">
        <f>IFERROR(IF(INDEX(使用レシピ!N:N,MATCH(テンプレート!$C565,使用レシピ!$E:$E,0))&lt;&gt;0,INDEX(使用レシピ!N:N,MATCH(テンプレート!$C565,使用レシピ!$E:$E,0)),""),"")</f>
        <v/>
      </c>
      <c r="N565" s="24" t="str">
        <f>IFERROR(IF(INDEX(使用レシピ!O:O,MATCH(テンプレート!$C565,使用レシピ!$E:$E,0))&lt;&gt;0,INDEX(使用レシピ!O:O,MATCH(テンプレート!$C565,使用レシピ!$E:$E,0)),""),"")</f>
        <v/>
      </c>
      <c r="O565" s="36" t="str">
        <f>IFERROR(IF(INDEX(使用レシピ!P:P,MATCH(テンプレート!$C565,使用レシピ!$E:$E,0))&lt;&gt;0,INDEX(使用レシピ!P:P,MATCH(テンプレート!$C565,使用レシピ!$E:$E,0)),""),"")</f>
        <v/>
      </c>
      <c r="P565" t="str">
        <f t="shared" si="46"/>
        <v/>
      </c>
      <c r="Q565" t="str">
        <f t="shared" si="47"/>
        <v/>
      </c>
      <c r="R565" t="str">
        <f t="shared" si="48"/>
        <v/>
      </c>
      <c r="S565" t="str">
        <f t="shared" si="49"/>
        <v/>
      </c>
      <c r="T565" s="24" t="str">
        <f t="shared" si="50"/>
        <v/>
      </c>
    </row>
    <row r="566" spans="2:20" x14ac:dyDescent="0.4">
      <c r="B566" s="49" t="str" cm="1">
        <f t="array" ref="B566">IFERROR((INDEX($P$4:$T$1000,MATCH(VALUE(LEFT($A566,LEN($A566)-1)),$A$4:$A$1000,0),VALUE(RIGHT($A566,1)))/ INDEX($O$4:$O$1000,MATCH(VALUE(LEFT($A566,LEN($A566)-1)),$A$4:$A$1000))) * INDEX($B$4:$B$1000,MATCH(VALUE(LEFT($A566,LEN($A566)-1)),$A$4:$A$1000)),"")</f>
        <v/>
      </c>
      <c r="C566" s="2" t="str" cm="1">
        <f t="array" ref="C566">IFERROR(IF(INDEX($D$4:$H$1000,MATCH(VALUE(LEFT($A566,LEN($A566)-1)),$A$4:$A$1000,0),VALUE(RIGHT($A566,1)))= 0,"",INDEX($D$4:$H$1000,MATCH(VALUE(LEFT($A566,LEN($A566)-1)),$A$4:$A$1000,0),VALUE(RIGHT($A566,1)))),"")</f>
        <v/>
      </c>
      <c r="D566" s="23" t="str">
        <f>IFERROR(IF(INDEX(使用レシピ!F:F,MATCH(テンプレート!$C566,使用レシピ!$E:$E,0))&lt;&gt;0,INDEX(使用レシピ!F:F,MATCH(テンプレート!$C566,使用レシピ!$E:$E,0)),""),"")</f>
        <v/>
      </c>
      <c r="E566" t="str">
        <f>IFERROR(IF(INDEX(使用レシピ!G:G,MATCH(テンプレート!$C566,使用レシピ!$E:$E,0))&lt;&gt;0,INDEX(使用レシピ!G:G,MATCH(テンプレート!$C566,使用レシピ!$E:$E,0)),""),"")</f>
        <v/>
      </c>
      <c r="F566" t="str">
        <f>IFERROR(IF(INDEX(使用レシピ!H:H,MATCH(テンプレート!$C566,使用レシピ!$E:$E,0))&lt;&gt;0,INDEX(使用レシピ!H:H,MATCH(テンプレート!$C566,使用レシピ!$E:$E,0)),""),"")</f>
        <v/>
      </c>
      <c r="G566" t="str">
        <f>IFERROR(IF(INDEX(使用レシピ!I:I,MATCH(テンプレート!$C566,使用レシピ!$E:$E,0))&lt;&gt;0,INDEX(使用レシピ!I:I,MATCH(テンプレート!$C566,使用レシピ!$E:$E,0)),""),"")</f>
        <v/>
      </c>
      <c r="H566" s="24" t="str">
        <f>IFERROR(IF(INDEX(使用レシピ!J:J,MATCH(テンプレート!$C566,使用レシピ!$E:$E,0))&lt;&gt;0,INDEX(使用レシピ!J:J,MATCH(テンプレート!$C566,使用レシピ!$E:$E,0)),""),"")</f>
        <v/>
      </c>
      <c r="I566" s="36" t="str">
        <f>IFERROR(IF(INDEX(使用レシピ!P:P,MATCH(テンプレート!$C566,使用レシピ!$E:$E,0))&lt;&gt;0,INDEX(使用レシピ!P:P,MATCH(テンプレート!$C566,使用レシピ!$E:$E,0)),""),"")</f>
        <v/>
      </c>
      <c r="J566" t="str">
        <f>IFERROR(IF(INDEX(使用レシピ!K:K,MATCH(テンプレート!$C566,使用レシピ!$E:$E,0))&lt;&gt;0,INDEX(使用レシピ!K:K,MATCH(テンプレート!$C566,使用レシピ!$E:$E,0)),""),"")</f>
        <v/>
      </c>
      <c r="K566" t="str">
        <f>IFERROR(IF(INDEX(使用レシピ!L:L,MATCH(テンプレート!$C566,使用レシピ!$E:$E,0))&lt;&gt;0,INDEX(使用レシピ!L:L,MATCH(テンプレート!$C566,使用レシピ!$E:$E,0)),""),"")</f>
        <v/>
      </c>
      <c r="L566" t="str">
        <f>IFERROR(IF(INDEX(使用レシピ!M:M,MATCH(テンプレート!$C566,使用レシピ!$E:$E,0))&lt;&gt;0,INDEX(使用レシピ!M:M,MATCH(テンプレート!$C566,使用レシピ!$E:$E,0)),""),"")</f>
        <v/>
      </c>
      <c r="M566" t="str">
        <f>IFERROR(IF(INDEX(使用レシピ!N:N,MATCH(テンプレート!$C566,使用レシピ!$E:$E,0))&lt;&gt;0,INDEX(使用レシピ!N:N,MATCH(テンプレート!$C566,使用レシピ!$E:$E,0)),""),"")</f>
        <v/>
      </c>
      <c r="N566" s="24" t="str">
        <f>IFERROR(IF(INDEX(使用レシピ!O:O,MATCH(テンプレート!$C566,使用レシピ!$E:$E,0))&lt;&gt;0,INDEX(使用レシピ!O:O,MATCH(テンプレート!$C566,使用レシピ!$E:$E,0)),""),"")</f>
        <v/>
      </c>
      <c r="O566" s="36" t="str">
        <f>IFERROR(IF(INDEX(使用レシピ!P:P,MATCH(テンプレート!$C566,使用レシピ!$E:$E,0))&lt;&gt;0,INDEX(使用レシピ!P:P,MATCH(テンプレート!$C566,使用レシピ!$E:$E,0)),""),"")</f>
        <v/>
      </c>
      <c r="P566" t="str">
        <f t="shared" si="46"/>
        <v/>
      </c>
      <c r="Q566" t="str">
        <f t="shared" si="47"/>
        <v/>
      </c>
      <c r="R566" t="str">
        <f t="shared" si="48"/>
        <v/>
      </c>
      <c r="S566" t="str">
        <f t="shared" si="49"/>
        <v/>
      </c>
      <c r="T566" s="24" t="str">
        <f t="shared" si="50"/>
        <v/>
      </c>
    </row>
    <row r="567" spans="2:20" x14ac:dyDescent="0.4">
      <c r="B567" s="49" t="str" cm="1">
        <f t="array" ref="B567">IFERROR((INDEX($P$4:$T$1000,MATCH(VALUE(LEFT($A567,LEN($A567)-1)),$A$4:$A$1000,0),VALUE(RIGHT($A567,1)))/ INDEX($O$4:$O$1000,MATCH(VALUE(LEFT($A567,LEN($A567)-1)),$A$4:$A$1000))) * INDEX($B$4:$B$1000,MATCH(VALUE(LEFT($A567,LEN($A567)-1)),$A$4:$A$1000)),"")</f>
        <v/>
      </c>
      <c r="C567" s="2" t="str" cm="1">
        <f t="array" ref="C567">IFERROR(IF(INDEX($D$4:$H$1000,MATCH(VALUE(LEFT($A567,LEN($A567)-1)),$A$4:$A$1000,0),VALUE(RIGHT($A567,1)))= 0,"",INDEX($D$4:$H$1000,MATCH(VALUE(LEFT($A567,LEN($A567)-1)),$A$4:$A$1000,0),VALUE(RIGHT($A567,1)))),"")</f>
        <v/>
      </c>
      <c r="D567" s="23" t="str">
        <f>IFERROR(IF(INDEX(使用レシピ!F:F,MATCH(テンプレート!$C567,使用レシピ!$E:$E,0))&lt;&gt;0,INDEX(使用レシピ!F:F,MATCH(テンプレート!$C567,使用レシピ!$E:$E,0)),""),"")</f>
        <v/>
      </c>
      <c r="E567" t="str">
        <f>IFERROR(IF(INDEX(使用レシピ!G:G,MATCH(テンプレート!$C567,使用レシピ!$E:$E,0))&lt;&gt;0,INDEX(使用レシピ!G:G,MATCH(テンプレート!$C567,使用レシピ!$E:$E,0)),""),"")</f>
        <v/>
      </c>
      <c r="F567" t="str">
        <f>IFERROR(IF(INDEX(使用レシピ!H:H,MATCH(テンプレート!$C567,使用レシピ!$E:$E,0))&lt;&gt;0,INDEX(使用レシピ!H:H,MATCH(テンプレート!$C567,使用レシピ!$E:$E,0)),""),"")</f>
        <v/>
      </c>
      <c r="G567" t="str">
        <f>IFERROR(IF(INDEX(使用レシピ!I:I,MATCH(テンプレート!$C567,使用レシピ!$E:$E,0))&lt;&gt;0,INDEX(使用レシピ!I:I,MATCH(テンプレート!$C567,使用レシピ!$E:$E,0)),""),"")</f>
        <v/>
      </c>
      <c r="H567" s="24" t="str">
        <f>IFERROR(IF(INDEX(使用レシピ!J:J,MATCH(テンプレート!$C567,使用レシピ!$E:$E,0))&lt;&gt;0,INDEX(使用レシピ!J:J,MATCH(テンプレート!$C567,使用レシピ!$E:$E,0)),""),"")</f>
        <v/>
      </c>
      <c r="I567" s="36" t="str">
        <f>IFERROR(IF(INDEX(使用レシピ!P:P,MATCH(テンプレート!$C567,使用レシピ!$E:$E,0))&lt;&gt;0,INDEX(使用レシピ!P:P,MATCH(テンプレート!$C567,使用レシピ!$E:$E,0)),""),"")</f>
        <v/>
      </c>
      <c r="J567" t="str">
        <f>IFERROR(IF(INDEX(使用レシピ!K:K,MATCH(テンプレート!$C567,使用レシピ!$E:$E,0))&lt;&gt;0,INDEX(使用レシピ!K:K,MATCH(テンプレート!$C567,使用レシピ!$E:$E,0)),""),"")</f>
        <v/>
      </c>
      <c r="K567" t="str">
        <f>IFERROR(IF(INDEX(使用レシピ!L:L,MATCH(テンプレート!$C567,使用レシピ!$E:$E,0))&lt;&gt;0,INDEX(使用レシピ!L:L,MATCH(テンプレート!$C567,使用レシピ!$E:$E,0)),""),"")</f>
        <v/>
      </c>
      <c r="L567" t="str">
        <f>IFERROR(IF(INDEX(使用レシピ!M:M,MATCH(テンプレート!$C567,使用レシピ!$E:$E,0))&lt;&gt;0,INDEX(使用レシピ!M:M,MATCH(テンプレート!$C567,使用レシピ!$E:$E,0)),""),"")</f>
        <v/>
      </c>
      <c r="M567" t="str">
        <f>IFERROR(IF(INDEX(使用レシピ!N:N,MATCH(テンプレート!$C567,使用レシピ!$E:$E,0))&lt;&gt;0,INDEX(使用レシピ!N:N,MATCH(テンプレート!$C567,使用レシピ!$E:$E,0)),""),"")</f>
        <v/>
      </c>
      <c r="N567" s="24" t="str">
        <f>IFERROR(IF(INDEX(使用レシピ!O:O,MATCH(テンプレート!$C567,使用レシピ!$E:$E,0))&lt;&gt;0,INDEX(使用レシピ!O:O,MATCH(テンプレート!$C567,使用レシピ!$E:$E,0)),""),"")</f>
        <v/>
      </c>
      <c r="O567" s="36" t="str">
        <f>IFERROR(IF(INDEX(使用レシピ!P:P,MATCH(テンプレート!$C567,使用レシピ!$E:$E,0))&lt;&gt;0,INDEX(使用レシピ!P:P,MATCH(テンプレート!$C567,使用レシピ!$E:$E,0)),""),"")</f>
        <v/>
      </c>
      <c r="P567" t="str">
        <f t="shared" si="46"/>
        <v/>
      </c>
      <c r="Q567" t="str">
        <f t="shared" si="47"/>
        <v/>
      </c>
      <c r="R567" t="str">
        <f t="shared" si="48"/>
        <v/>
      </c>
      <c r="S567" t="str">
        <f t="shared" si="49"/>
        <v/>
      </c>
      <c r="T567" s="24" t="str">
        <f t="shared" si="50"/>
        <v/>
      </c>
    </row>
    <row r="568" spans="2:20" x14ac:dyDescent="0.4">
      <c r="B568" s="49" t="str" cm="1">
        <f t="array" ref="B568">IFERROR((INDEX($P$4:$T$1000,MATCH(VALUE(LEFT($A568,LEN($A568)-1)),$A$4:$A$1000,0),VALUE(RIGHT($A568,1)))/ INDEX($O$4:$O$1000,MATCH(VALUE(LEFT($A568,LEN($A568)-1)),$A$4:$A$1000))) * INDEX($B$4:$B$1000,MATCH(VALUE(LEFT($A568,LEN($A568)-1)),$A$4:$A$1000)),"")</f>
        <v/>
      </c>
      <c r="C568" s="2" t="str" cm="1">
        <f t="array" ref="C568">IFERROR(IF(INDEX($D$4:$H$1000,MATCH(VALUE(LEFT($A568,LEN($A568)-1)),$A$4:$A$1000,0),VALUE(RIGHT($A568,1)))= 0,"",INDEX($D$4:$H$1000,MATCH(VALUE(LEFT($A568,LEN($A568)-1)),$A$4:$A$1000,0),VALUE(RIGHT($A568,1)))),"")</f>
        <v/>
      </c>
      <c r="D568" s="23" t="str">
        <f>IFERROR(IF(INDEX(使用レシピ!F:F,MATCH(テンプレート!$C568,使用レシピ!$E:$E,0))&lt;&gt;0,INDEX(使用レシピ!F:F,MATCH(テンプレート!$C568,使用レシピ!$E:$E,0)),""),"")</f>
        <v/>
      </c>
      <c r="E568" t="str">
        <f>IFERROR(IF(INDEX(使用レシピ!G:G,MATCH(テンプレート!$C568,使用レシピ!$E:$E,0))&lt;&gt;0,INDEX(使用レシピ!G:G,MATCH(テンプレート!$C568,使用レシピ!$E:$E,0)),""),"")</f>
        <v/>
      </c>
      <c r="F568" t="str">
        <f>IFERROR(IF(INDEX(使用レシピ!H:H,MATCH(テンプレート!$C568,使用レシピ!$E:$E,0))&lt;&gt;0,INDEX(使用レシピ!H:H,MATCH(テンプレート!$C568,使用レシピ!$E:$E,0)),""),"")</f>
        <v/>
      </c>
      <c r="G568" t="str">
        <f>IFERROR(IF(INDEX(使用レシピ!I:I,MATCH(テンプレート!$C568,使用レシピ!$E:$E,0))&lt;&gt;0,INDEX(使用レシピ!I:I,MATCH(テンプレート!$C568,使用レシピ!$E:$E,0)),""),"")</f>
        <v/>
      </c>
      <c r="H568" s="24" t="str">
        <f>IFERROR(IF(INDEX(使用レシピ!J:J,MATCH(テンプレート!$C568,使用レシピ!$E:$E,0))&lt;&gt;0,INDEX(使用レシピ!J:J,MATCH(テンプレート!$C568,使用レシピ!$E:$E,0)),""),"")</f>
        <v/>
      </c>
      <c r="I568" s="36" t="str">
        <f>IFERROR(IF(INDEX(使用レシピ!P:P,MATCH(テンプレート!$C568,使用レシピ!$E:$E,0))&lt;&gt;0,INDEX(使用レシピ!P:P,MATCH(テンプレート!$C568,使用レシピ!$E:$E,0)),""),"")</f>
        <v/>
      </c>
      <c r="J568" t="str">
        <f>IFERROR(IF(INDEX(使用レシピ!K:K,MATCH(テンプレート!$C568,使用レシピ!$E:$E,0))&lt;&gt;0,INDEX(使用レシピ!K:K,MATCH(テンプレート!$C568,使用レシピ!$E:$E,0)),""),"")</f>
        <v/>
      </c>
      <c r="K568" t="str">
        <f>IFERROR(IF(INDEX(使用レシピ!L:L,MATCH(テンプレート!$C568,使用レシピ!$E:$E,0))&lt;&gt;0,INDEX(使用レシピ!L:L,MATCH(テンプレート!$C568,使用レシピ!$E:$E,0)),""),"")</f>
        <v/>
      </c>
      <c r="L568" t="str">
        <f>IFERROR(IF(INDEX(使用レシピ!M:M,MATCH(テンプレート!$C568,使用レシピ!$E:$E,0))&lt;&gt;0,INDEX(使用レシピ!M:M,MATCH(テンプレート!$C568,使用レシピ!$E:$E,0)),""),"")</f>
        <v/>
      </c>
      <c r="M568" t="str">
        <f>IFERROR(IF(INDEX(使用レシピ!N:N,MATCH(テンプレート!$C568,使用レシピ!$E:$E,0))&lt;&gt;0,INDEX(使用レシピ!N:N,MATCH(テンプレート!$C568,使用レシピ!$E:$E,0)),""),"")</f>
        <v/>
      </c>
      <c r="N568" s="24" t="str">
        <f>IFERROR(IF(INDEX(使用レシピ!O:O,MATCH(テンプレート!$C568,使用レシピ!$E:$E,0))&lt;&gt;0,INDEX(使用レシピ!O:O,MATCH(テンプレート!$C568,使用レシピ!$E:$E,0)),""),"")</f>
        <v/>
      </c>
      <c r="O568" s="36" t="str">
        <f>IFERROR(IF(INDEX(使用レシピ!P:P,MATCH(テンプレート!$C568,使用レシピ!$E:$E,0))&lt;&gt;0,INDEX(使用レシピ!P:P,MATCH(テンプレート!$C568,使用レシピ!$E:$E,0)),""),"")</f>
        <v/>
      </c>
      <c r="P568" t="str">
        <f t="shared" si="46"/>
        <v/>
      </c>
      <c r="Q568" t="str">
        <f t="shared" si="47"/>
        <v/>
      </c>
      <c r="R568" t="str">
        <f t="shared" si="48"/>
        <v/>
      </c>
      <c r="S568" t="str">
        <f t="shared" si="49"/>
        <v/>
      </c>
      <c r="T568" s="24" t="str">
        <f t="shared" si="50"/>
        <v/>
      </c>
    </row>
    <row r="569" spans="2:20" x14ac:dyDescent="0.4">
      <c r="B569" s="49" t="str" cm="1">
        <f t="array" ref="B569">IFERROR((INDEX($P$4:$T$1000,MATCH(VALUE(LEFT($A569,LEN($A569)-1)),$A$4:$A$1000,0),VALUE(RIGHT($A569,1)))/ INDEX($O$4:$O$1000,MATCH(VALUE(LEFT($A569,LEN($A569)-1)),$A$4:$A$1000))) * INDEX($B$4:$B$1000,MATCH(VALUE(LEFT($A569,LEN($A569)-1)),$A$4:$A$1000)),"")</f>
        <v/>
      </c>
      <c r="C569" s="2" t="str" cm="1">
        <f t="array" ref="C569">IFERROR(IF(INDEX($D$4:$H$1000,MATCH(VALUE(LEFT($A569,LEN($A569)-1)),$A$4:$A$1000,0),VALUE(RIGHT($A569,1)))= 0,"",INDEX($D$4:$H$1000,MATCH(VALUE(LEFT($A569,LEN($A569)-1)),$A$4:$A$1000,0),VALUE(RIGHT($A569,1)))),"")</f>
        <v/>
      </c>
      <c r="D569" s="23" t="str">
        <f>IFERROR(IF(INDEX(使用レシピ!F:F,MATCH(テンプレート!$C569,使用レシピ!$E:$E,0))&lt;&gt;0,INDEX(使用レシピ!F:F,MATCH(テンプレート!$C569,使用レシピ!$E:$E,0)),""),"")</f>
        <v/>
      </c>
      <c r="E569" t="str">
        <f>IFERROR(IF(INDEX(使用レシピ!G:G,MATCH(テンプレート!$C569,使用レシピ!$E:$E,0))&lt;&gt;0,INDEX(使用レシピ!G:G,MATCH(テンプレート!$C569,使用レシピ!$E:$E,0)),""),"")</f>
        <v/>
      </c>
      <c r="F569" t="str">
        <f>IFERROR(IF(INDEX(使用レシピ!H:H,MATCH(テンプレート!$C569,使用レシピ!$E:$E,0))&lt;&gt;0,INDEX(使用レシピ!H:H,MATCH(テンプレート!$C569,使用レシピ!$E:$E,0)),""),"")</f>
        <v/>
      </c>
      <c r="G569" t="str">
        <f>IFERROR(IF(INDEX(使用レシピ!I:I,MATCH(テンプレート!$C569,使用レシピ!$E:$E,0))&lt;&gt;0,INDEX(使用レシピ!I:I,MATCH(テンプレート!$C569,使用レシピ!$E:$E,0)),""),"")</f>
        <v/>
      </c>
      <c r="H569" s="24" t="str">
        <f>IFERROR(IF(INDEX(使用レシピ!J:J,MATCH(テンプレート!$C569,使用レシピ!$E:$E,0))&lt;&gt;0,INDEX(使用レシピ!J:J,MATCH(テンプレート!$C569,使用レシピ!$E:$E,0)),""),"")</f>
        <v/>
      </c>
      <c r="I569" s="36" t="str">
        <f>IFERROR(IF(INDEX(使用レシピ!P:P,MATCH(テンプレート!$C569,使用レシピ!$E:$E,0))&lt;&gt;0,INDEX(使用レシピ!P:P,MATCH(テンプレート!$C569,使用レシピ!$E:$E,0)),""),"")</f>
        <v/>
      </c>
      <c r="J569" t="str">
        <f>IFERROR(IF(INDEX(使用レシピ!K:K,MATCH(テンプレート!$C569,使用レシピ!$E:$E,0))&lt;&gt;0,INDEX(使用レシピ!K:K,MATCH(テンプレート!$C569,使用レシピ!$E:$E,0)),""),"")</f>
        <v/>
      </c>
      <c r="K569" t="str">
        <f>IFERROR(IF(INDEX(使用レシピ!L:L,MATCH(テンプレート!$C569,使用レシピ!$E:$E,0))&lt;&gt;0,INDEX(使用レシピ!L:L,MATCH(テンプレート!$C569,使用レシピ!$E:$E,0)),""),"")</f>
        <v/>
      </c>
      <c r="L569" t="str">
        <f>IFERROR(IF(INDEX(使用レシピ!M:M,MATCH(テンプレート!$C569,使用レシピ!$E:$E,0))&lt;&gt;0,INDEX(使用レシピ!M:M,MATCH(テンプレート!$C569,使用レシピ!$E:$E,0)),""),"")</f>
        <v/>
      </c>
      <c r="M569" t="str">
        <f>IFERROR(IF(INDEX(使用レシピ!N:N,MATCH(テンプレート!$C569,使用レシピ!$E:$E,0))&lt;&gt;0,INDEX(使用レシピ!N:N,MATCH(テンプレート!$C569,使用レシピ!$E:$E,0)),""),"")</f>
        <v/>
      </c>
      <c r="N569" s="24" t="str">
        <f>IFERROR(IF(INDEX(使用レシピ!O:O,MATCH(テンプレート!$C569,使用レシピ!$E:$E,0))&lt;&gt;0,INDEX(使用レシピ!O:O,MATCH(テンプレート!$C569,使用レシピ!$E:$E,0)),""),"")</f>
        <v/>
      </c>
      <c r="O569" s="36" t="str">
        <f>IFERROR(IF(INDEX(使用レシピ!P:P,MATCH(テンプレート!$C569,使用レシピ!$E:$E,0))&lt;&gt;0,INDEX(使用レシピ!P:P,MATCH(テンプレート!$C569,使用レシピ!$E:$E,0)),""),"")</f>
        <v/>
      </c>
      <c r="P569" t="str">
        <f t="shared" si="46"/>
        <v/>
      </c>
      <c r="Q569" t="str">
        <f t="shared" si="47"/>
        <v/>
      </c>
      <c r="R569" t="str">
        <f t="shared" si="48"/>
        <v/>
      </c>
      <c r="S569" t="str">
        <f t="shared" si="49"/>
        <v/>
      </c>
      <c r="T569" s="24" t="str">
        <f t="shared" si="50"/>
        <v/>
      </c>
    </row>
    <row r="570" spans="2:20" x14ac:dyDescent="0.4">
      <c r="B570" s="49" t="str" cm="1">
        <f t="array" ref="B570">IFERROR((INDEX($P$4:$T$1000,MATCH(VALUE(LEFT($A570,LEN($A570)-1)),$A$4:$A$1000,0),VALUE(RIGHT($A570,1)))/ INDEX($O$4:$O$1000,MATCH(VALUE(LEFT($A570,LEN($A570)-1)),$A$4:$A$1000))) * INDEX($B$4:$B$1000,MATCH(VALUE(LEFT($A570,LEN($A570)-1)),$A$4:$A$1000)),"")</f>
        <v/>
      </c>
      <c r="C570" s="2" t="str" cm="1">
        <f t="array" ref="C570">IFERROR(IF(INDEX($D$4:$H$1000,MATCH(VALUE(LEFT($A570,LEN($A570)-1)),$A$4:$A$1000,0),VALUE(RIGHT($A570,1)))= 0,"",INDEX($D$4:$H$1000,MATCH(VALUE(LEFT($A570,LEN($A570)-1)),$A$4:$A$1000,0),VALUE(RIGHT($A570,1)))),"")</f>
        <v/>
      </c>
      <c r="D570" s="23" t="str">
        <f>IFERROR(IF(INDEX(使用レシピ!F:F,MATCH(テンプレート!$C570,使用レシピ!$E:$E,0))&lt;&gt;0,INDEX(使用レシピ!F:F,MATCH(テンプレート!$C570,使用レシピ!$E:$E,0)),""),"")</f>
        <v/>
      </c>
      <c r="E570" t="str">
        <f>IFERROR(IF(INDEX(使用レシピ!G:G,MATCH(テンプレート!$C570,使用レシピ!$E:$E,0))&lt;&gt;0,INDEX(使用レシピ!G:G,MATCH(テンプレート!$C570,使用レシピ!$E:$E,0)),""),"")</f>
        <v/>
      </c>
      <c r="F570" t="str">
        <f>IFERROR(IF(INDEX(使用レシピ!H:H,MATCH(テンプレート!$C570,使用レシピ!$E:$E,0))&lt;&gt;0,INDEX(使用レシピ!H:H,MATCH(テンプレート!$C570,使用レシピ!$E:$E,0)),""),"")</f>
        <v/>
      </c>
      <c r="G570" t="str">
        <f>IFERROR(IF(INDEX(使用レシピ!I:I,MATCH(テンプレート!$C570,使用レシピ!$E:$E,0))&lt;&gt;0,INDEX(使用レシピ!I:I,MATCH(テンプレート!$C570,使用レシピ!$E:$E,0)),""),"")</f>
        <v/>
      </c>
      <c r="H570" s="24" t="str">
        <f>IFERROR(IF(INDEX(使用レシピ!J:J,MATCH(テンプレート!$C570,使用レシピ!$E:$E,0))&lt;&gt;0,INDEX(使用レシピ!J:J,MATCH(テンプレート!$C570,使用レシピ!$E:$E,0)),""),"")</f>
        <v/>
      </c>
      <c r="I570" s="36" t="str">
        <f>IFERROR(IF(INDEX(使用レシピ!P:P,MATCH(テンプレート!$C570,使用レシピ!$E:$E,0))&lt;&gt;0,INDEX(使用レシピ!P:P,MATCH(テンプレート!$C570,使用レシピ!$E:$E,0)),""),"")</f>
        <v/>
      </c>
      <c r="J570" t="str">
        <f>IFERROR(IF(INDEX(使用レシピ!K:K,MATCH(テンプレート!$C570,使用レシピ!$E:$E,0))&lt;&gt;0,INDEX(使用レシピ!K:K,MATCH(テンプレート!$C570,使用レシピ!$E:$E,0)),""),"")</f>
        <v/>
      </c>
      <c r="K570" t="str">
        <f>IFERROR(IF(INDEX(使用レシピ!L:L,MATCH(テンプレート!$C570,使用レシピ!$E:$E,0))&lt;&gt;0,INDEX(使用レシピ!L:L,MATCH(テンプレート!$C570,使用レシピ!$E:$E,0)),""),"")</f>
        <v/>
      </c>
      <c r="L570" t="str">
        <f>IFERROR(IF(INDEX(使用レシピ!M:M,MATCH(テンプレート!$C570,使用レシピ!$E:$E,0))&lt;&gt;0,INDEX(使用レシピ!M:M,MATCH(テンプレート!$C570,使用レシピ!$E:$E,0)),""),"")</f>
        <v/>
      </c>
      <c r="M570" t="str">
        <f>IFERROR(IF(INDEX(使用レシピ!N:N,MATCH(テンプレート!$C570,使用レシピ!$E:$E,0))&lt;&gt;0,INDEX(使用レシピ!N:N,MATCH(テンプレート!$C570,使用レシピ!$E:$E,0)),""),"")</f>
        <v/>
      </c>
      <c r="N570" s="24" t="str">
        <f>IFERROR(IF(INDEX(使用レシピ!O:O,MATCH(テンプレート!$C570,使用レシピ!$E:$E,0))&lt;&gt;0,INDEX(使用レシピ!O:O,MATCH(テンプレート!$C570,使用レシピ!$E:$E,0)),""),"")</f>
        <v/>
      </c>
      <c r="O570" s="36" t="str">
        <f>IFERROR(IF(INDEX(使用レシピ!P:P,MATCH(テンプレート!$C570,使用レシピ!$E:$E,0))&lt;&gt;0,INDEX(使用レシピ!P:P,MATCH(テンプレート!$C570,使用レシピ!$E:$E,0)),""),"")</f>
        <v/>
      </c>
      <c r="P570" t="str">
        <f t="shared" si="46"/>
        <v/>
      </c>
      <c r="Q570" t="str">
        <f t="shared" si="47"/>
        <v/>
      </c>
      <c r="R570" t="str">
        <f t="shared" si="48"/>
        <v/>
      </c>
      <c r="S570" t="str">
        <f t="shared" si="49"/>
        <v/>
      </c>
      <c r="T570" s="24" t="str">
        <f t="shared" si="50"/>
        <v/>
      </c>
    </row>
    <row r="571" spans="2:20" x14ac:dyDescent="0.4">
      <c r="B571" s="49" t="str" cm="1">
        <f t="array" ref="B571">IFERROR((INDEX($P$4:$T$1000,MATCH(VALUE(LEFT($A571,LEN($A571)-1)),$A$4:$A$1000,0),VALUE(RIGHT($A571,1)))/ INDEX($O$4:$O$1000,MATCH(VALUE(LEFT($A571,LEN($A571)-1)),$A$4:$A$1000))) * INDEX($B$4:$B$1000,MATCH(VALUE(LEFT($A571,LEN($A571)-1)),$A$4:$A$1000)),"")</f>
        <v/>
      </c>
      <c r="C571" s="2" t="str" cm="1">
        <f t="array" ref="C571">IFERROR(IF(INDEX($D$4:$H$1000,MATCH(VALUE(LEFT($A571,LEN($A571)-1)),$A$4:$A$1000,0),VALUE(RIGHT($A571,1)))= 0,"",INDEX($D$4:$H$1000,MATCH(VALUE(LEFT($A571,LEN($A571)-1)),$A$4:$A$1000,0),VALUE(RIGHT($A571,1)))),"")</f>
        <v/>
      </c>
      <c r="D571" s="23" t="str">
        <f>IFERROR(IF(INDEX(使用レシピ!F:F,MATCH(テンプレート!$C571,使用レシピ!$E:$E,0))&lt;&gt;0,INDEX(使用レシピ!F:F,MATCH(テンプレート!$C571,使用レシピ!$E:$E,0)),""),"")</f>
        <v/>
      </c>
      <c r="E571" t="str">
        <f>IFERROR(IF(INDEX(使用レシピ!G:G,MATCH(テンプレート!$C571,使用レシピ!$E:$E,0))&lt;&gt;0,INDEX(使用レシピ!G:G,MATCH(テンプレート!$C571,使用レシピ!$E:$E,0)),""),"")</f>
        <v/>
      </c>
      <c r="F571" t="str">
        <f>IFERROR(IF(INDEX(使用レシピ!H:H,MATCH(テンプレート!$C571,使用レシピ!$E:$E,0))&lt;&gt;0,INDEX(使用レシピ!H:H,MATCH(テンプレート!$C571,使用レシピ!$E:$E,0)),""),"")</f>
        <v/>
      </c>
      <c r="G571" t="str">
        <f>IFERROR(IF(INDEX(使用レシピ!I:I,MATCH(テンプレート!$C571,使用レシピ!$E:$E,0))&lt;&gt;0,INDEX(使用レシピ!I:I,MATCH(テンプレート!$C571,使用レシピ!$E:$E,0)),""),"")</f>
        <v/>
      </c>
      <c r="H571" s="24" t="str">
        <f>IFERROR(IF(INDEX(使用レシピ!J:J,MATCH(テンプレート!$C571,使用レシピ!$E:$E,0))&lt;&gt;0,INDEX(使用レシピ!J:J,MATCH(テンプレート!$C571,使用レシピ!$E:$E,0)),""),"")</f>
        <v/>
      </c>
      <c r="I571" s="36" t="str">
        <f>IFERROR(IF(INDEX(使用レシピ!P:P,MATCH(テンプレート!$C571,使用レシピ!$E:$E,0))&lt;&gt;0,INDEX(使用レシピ!P:P,MATCH(テンプレート!$C571,使用レシピ!$E:$E,0)),""),"")</f>
        <v/>
      </c>
      <c r="J571" t="str">
        <f>IFERROR(IF(INDEX(使用レシピ!K:K,MATCH(テンプレート!$C571,使用レシピ!$E:$E,0))&lt;&gt;0,INDEX(使用レシピ!K:K,MATCH(テンプレート!$C571,使用レシピ!$E:$E,0)),""),"")</f>
        <v/>
      </c>
      <c r="K571" t="str">
        <f>IFERROR(IF(INDEX(使用レシピ!L:L,MATCH(テンプレート!$C571,使用レシピ!$E:$E,0))&lt;&gt;0,INDEX(使用レシピ!L:L,MATCH(テンプレート!$C571,使用レシピ!$E:$E,0)),""),"")</f>
        <v/>
      </c>
      <c r="L571" t="str">
        <f>IFERROR(IF(INDEX(使用レシピ!M:M,MATCH(テンプレート!$C571,使用レシピ!$E:$E,0))&lt;&gt;0,INDEX(使用レシピ!M:M,MATCH(テンプレート!$C571,使用レシピ!$E:$E,0)),""),"")</f>
        <v/>
      </c>
      <c r="M571" t="str">
        <f>IFERROR(IF(INDEX(使用レシピ!N:N,MATCH(テンプレート!$C571,使用レシピ!$E:$E,0))&lt;&gt;0,INDEX(使用レシピ!N:N,MATCH(テンプレート!$C571,使用レシピ!$E:$E,0)),""),"")</f>
        <v/>
      </c>
      <c r="N571" s="24" t="str">
        <f>IFERROR(IF(INDEX(使用レシピ!O:O,MATCH(テンプレート!$C571,使用レシピ!$E:$E,0))&lt;&gt;0,INDEX(使用レシピ!O:O,MATCH(テンプレート!$C571,使用レシピ!$E:$E,0)),""),"")</f>
        <v/>
      </c>
      <c r="O571" s="36" t="str">
        <f>IFERROR(IF(INDEX(使用レシピ!P:P,MATCH(テンプレート!$C571,使用レシピ!$E:$E,0))&lt;&gt;0,INDEX(使用レシピ!P:P,MATCH(テンプレート!$C571,使用レシピ!$E:$E,0)),""),"")</f>
        <v/>
      </c>
      <c r="P571" t="str">
        <f t="shared" si="46"/>
        <v/>
      </c>
      <c r="Q571" t="str">
        <f t="shared" si="47"/>
        <v/>
      </c>
      <c r="R571" t="str">
        <f t="shared" si="48"/>
        <v/>
      </c>
      <c r="S571" t="str">
        <f t="shared" si="49"/>
        <v/>
      </c>
      <c r="T571" s="24" t="str">
        <f t="shared" si="50"/>
        <v/>
      </c>
    </row>
    <row r="572" spans="2:20" x14ac:dyDescent="0.4">
      <c r="B572" s="49" t="str" cm="1">
        <f t="array" ref="B572">IFERROR((INDEX($P$4:$T$1000,MATCH(VALUE(LEFT($A572,LEN($A572)-1)),$A$4:$A$1000,0),VALUE(RIGHT($A572,1)))/ INDEX($O$4:$O$1000,MATCH(VALUE(LEFT($A572,LEN($A572)-1)),$A$4:$A$1000))) * INDEX($B$4:$B$1000,MATCH(VALUE(LEFT($A572,LEN($A572)-1)),$A$4:$A$1000)),"")</f>
        <v/>
      </c>
      <c r="C572" s="2" t="str" cm="1">
        <f t="array" ref="C572">IFERROR(IF(INDEX($D$4:$H$1000,MATCH(VALUE(LEFT($A572,LEN($A572)-1)),$A$4:$A$1000,0),VALUE(RIGHT($A572,1)))= 0,"",INDEX($D$4:$H$1000,MATCH(VALUE(LEFT($A572,LEN($A572)-1)),$A$4:$A$1000,0),VALUE(RIGHT($A572,1)))),"")</f>
        <v/>
      </c>
      <c r="D572" s="23" t="str">
        <f>IFERROR(IF(INDEX(使用レシピ!F:F,MATCH(テンプレート!$C572,使用レシピ!$E:$E,0))&lt;&gt;0,INDEX(使用レシピ!F:F,MATCH(テンプレート!$C572,使用レシピ!$E:$E,0)),""),"")</f>
        <v/>
      </c>
      <c r="E572" t="str">
        <f>IFERROR(IF(INDEX(使用レシピ!G:G,MATCH(テンプレート!$C572,使用レシピ!$E:$E,0))&lt;&gt;0,INDEX(使用レシピ!G:G,MATCH(テンプレート!$C572,使用レシピ!$E:$E,0)),""),"")</f>
        <v/>
      </c>
      <c r="F572" t="str">
        <f>IFERROR(IF(INDEX(使用レシピ!H:H,MATCH(テンプレート!$C572,使用レシピ!$E:$E,0))&lt;&gt;0,INDEX(使用レシピ!H:H,MATCH(テンプレート!$C572,使用レシピ!$E:$E,0)),""),"")</f>
        <v/>
      </c>
      <c r="G572" t="str">
        <f>IFERROR(IF(INDEX(使用レシピ!I:I,MATCH(テンプレート!$C572,使用レシピ!$E:$E,0))&lt;&gt;0,INDEX(使用レシピ!I:I,MATCH(テンプレート!$C572,使用レシピ!$E:$E,0)),""),"")</f>
        <v/>
      </c>
      <c r="H572" s="24" t="str">
        <f>IFERROR(IF(INDEX(使用レシピ!J:J,MATCH(テンプレート!$C572,使用レシピ!$E:$E,0))&lt;&gt;0,INDEX(使用レシピ!J:J,MATCH(テンプレート!$C572,使用レシピ!$E:$E,0)),""),"")</f>
        <v/>
      </c>
      <c r="I572" s="36" t="str">
        <f>IFERROR(IF(INDEX(使用レシピ!P:P,MATCH(テンプレート!$C572,使用レシピ!$E:$E,0))&lt;&gt;0,INDEX(使用レシピ!P:P,MATCH(テンプレート!$C572,使用レシピ!$E:$E,0)),""),"")</f>
        <v/>
      </c>
      <c r="J572" t="str">
        <f>IFERROR(IF(INDEX(使用レシピ!K:K,MATCH(テンプレート!$C572,使用レシピ!$E:$E,0))&lt;&gt;0,INDEX(使用レシピ!K:K,MATCH(テンプレート!$C572,使用レシピ!$E:$E,0)),""),"")</f>
        <v/>
      </c>
      <c r="K572" t="str">
        <f>IFERROR(IF(INDEX(使用レシピ!L:L,MATCH(テンプレート!$C572,使用レシピ!$E:$E,0))&lt;&gt;0,INDEX(使用レシピ!L:L,MATCH(テンプレート!$C572,使用レシピ!$E:$E,0)),""),"")</f>
        <v/>
      </c>
      <c r="L572" t="str">
        <f>IFERROR(IF(INDEX(使用レシピ!M:M,MATCH(テンプレート!$C572,使用レシピ!$E:$E,0))&lt;&gt;0,INDEX(使用レシピ!M:M,MATCH(テンプレート!$C572,使用レシピ!$E:$E,0)),""),"")</f>
        <v/>
      </c>
      <c r="M572" t="str">
        <f>IFERROR(IF(INDEX(使用レシピ!N:N,MATCH(テンプレート!$C572,使用レシピ!$E:$E,0))&lt;&gt;0,INDEX(使用レシピ!N:N,MATCH(テンプレート!$C572,使用レシピ!$E:$E,0)),""),"")</f>
        <v/>
      </c>
      <c r="N572" s="24" t="str">
        <f>IFERROR(IF(INDEX(使用レシピ!O:O,MATCH(テンプレート!$C572,使用レシピ!$E:$E,0))&lt;&gt;0,INDEX(使用レシピ!O:O,MATCH(テンプレート!$C572,使用レシピ!$E:$E,0)),""),"")</f>
        <v/>
      </c>
      <c r="O572" s="36" t="str">
        <f>IFERROR(IF(INDEX(使用レシピ!P:P,MATCH(テンプレート!$C572,使用レシピ!$E:$E,0))&lt;&gt;0,INDEX(使用レシピ!P:P,MATCH(テンプレート!$C572,使用レシピ!$E:$E,0)),""),"")</f>
        <v/>
      </c>
      <c r="P572" t="str">
        <f t="shared" si="46"/>
        <v/>
      </c>
      <c r="Q572" t="str">
        <f t="shared" si="47"/>
        <v/>
      </c>
      <c r="R572" t="str">
        <f t="shared" si="48"/>
        <v/>
      </c>
      <c r="S572" t="str">
        <f t="shared" si="49"/>
        <v/>
      </c>
      <c r="T572" s="24" t="str">
        <f t="shared" si="50"/>
        <v/>
      </c>
    </row>
    <row r="573" spans="2:20" x14ac:dyDescent="0.4">
      <c r="B573" s="49" t="str" cm="1">
        <f t="array" ref="B573">IFERROR((INDEX($P$4:$T$1000,MATCH(VALUE(LEFT($A573,LEN($A573)-1)),$A$4:$A$1000,0),VALUE(RIGHT($A573,1)))/ INDEX($O$4:$O$1000,MATCH(VALUE(LEFT($A573,LEN($A573)-1)),$A$4:$A$1000))) * INDEX($B$4:$B$1000,MATCH(VALUE(LEFT($A573,LEN($A573)-1)),$A$4:$A$1000)),"")</f>
        <v/>
      </c>
      <c r="C573" s="2" t="str" cm="1">
        <f t="array" ref="C573">IFERROR(IF(INDEX($D$4:$H$1000,MATCH(VALUE(LEFT($A573,LEN($A573)-1)),$A$4:$A$1000,0),VALUE(RIGHT($A573,1)))= 0,"",INDEX($D$4:$H$1000,MATCH(VALUE(LEFT($A573,LEN($A573)-1)),$A$4:$A$1000,0),VALUE(RIGHT($A573,1)))),"")</f>
        <v/>
      </c>
      <c r="D573" s="23" t="str">
        <f>IFERROR(IF(INDEX(使用レシピ!F:F,MATCH(テンプレート!$C573,使用レシピ!$E:$E,0))&lt;&gt;0,INDEX(使用レシピ!F:F,MATCH(テンプレート!$C573,使用レシピ!$E:$E,0)),""),"")</f>
        <v/>
      </c>
      <c r="E573" t="str">
        <f>IFERROR(IF(INDEX(使用レシピ!G:G,MATCH(テンプレート!$C573,使用レシピ!$E:$E,0))&lt;&gt;0,INDEX(使用レシピ!G:G,MATCH(テンプレート!$C573,使用レシピ!$E:$E,0)),""),"")</f>
        <v/>
      </c>
      <c r="F573" t="str">
        <f>IFERROR(IF(INDEX(使用レシピ!H:H,MATCH(テンプレート!$C573,使用レシピ!$E:$E,0))&lt;&gt;0,INDEX(使用レシピ!H:H,MATCH(テンプレート!$C573,使用レシピ!$E:$E,0)),""),"")</f>
        <v/>
      </c>
      <c r="G573" t="str">
        <f>IFERROR(IF(INDEX(使用レシピ!I:I,MATCH(テンプレート!$C573,使用レシピ!$E:$E,0))&lt;&gt;0,INDEX(使用レシピ!I:I,MATCH(テンプレート!$C573,使用レシピ!$E:$E,0)),""),"")</f>
        <v/>
      </c>
      <c r="H573" s="24" t="str">
        <f>IFERROR(IF(INDEX(使用レシピ!J:J,MATCH(テンプレート!$C573,使用レシピ!$E:$E,0))&lt;&gt;0,INDEX(使用レシピ!J:J,MATCH(テンプレート!$C573,使用レシピ!$E:$E,0)),""),"")</f>
        <v/>
      </c>
      <c r="I573" s="36" t="str">
        <f>IFERROR(IF(INDEX(使用レシピ!P:P,MATCH(テンプレート!$C573,使用レシピ!$E:$E,0))&lt;&gt;0,INDEX(使用レシピ!P:P,MATCH(テンプレート!$C573,使用レシピ!$E:$E,0)),""),"")</f>
        <v/>
      </c>
      <c r="J573" t="str">
        <f>IFERROR(IF(INDEX(使用レシピ!K:K,MATCH(テンプレート!$C573,使用レシピ!$E:$E,0))&lt;&gt;0,INDEX(使用レシピ!K:K,MATCH(テンプレート!$C573,使用レシピ!$E:$E,0)),""),"")</f>
        <v/>
      </c>
      <c r="K573" t="str">
        <f>IFERROR(IF(INDEX(使用レシピ!L:L,MATCH(テンプレート!$C573,使用レシピ!$E:$E,0))&lt;&gt;0,INDEX(使用レシピ!L:L,MATCH(テンプレート!$C573,使用レシピ!$E:$E,0)),""),"")</f>
        <v/>
      </c>
      <c r="L573" t="str">
        <f>IFERROR(IF(INDEX(使用レシピ!M:M,MATCH(テンプレート!$C573,使用レシピ!$E:$E,0))&lt;&gt;0,INDEX(使用レシピ!M:M,MATCH(テンプレート!$C573,使用レシピ!$E:$E,0)),""),"")</f>
        <v/>
      </c>
      <c r="M573" t="str">
        <f>IFERROR(IF(INDEX(使用レシピ!N:N,MATCH(テンプレート!$C573,使用レシピ!$E:$E,0))&lt;&gt;0,INDEX(使用レシピ!N:N,MATCH(テンプレート!$C573,使用レシピ!$E:$E,0)),""),"")</f>
        <v/>
      </c>
      <c r="N573" s="24" t="str">
        <f>IFERROR(IF(INDEX(使用レシピ!O:O,MATCH(テンプレート!$C573,使用レシピ!$E:$E,0))&lt;&gt;0,INDEX(使用レシピ!O:O,MATCH(テンプレート!$C573,使用レシピ!$E:$E,0)),""),"")</f>
        <v/>
      </c>
      <c r="O573" s="36" t="str">
        <f>IFERROR(IF(INDEX(使用レシピ!P:P,MATCH(テンプレート!$C573,使用レシピ!$E:$E,0))&lt;&gt;0,INDEX(使用レシピ!P:P,MATCH(テンプレート!$C573,使用レシピ!$E:$E,0)),""),"")</f>
        <v/>
      </c>
      <c r="P573" t="str">
        <f t="shared" si="46"/>
        <v/>
      </c>
      <c r="Q573" t="str">
        <f t="shared" si="47"/>
        <v/>
      </c>
      <c r="R573" t="str">
        <f t="shared" si="48"/>
        <v/>
      </c>
      <c r="S573" t="str">
        <f t="shared" si="49"/>
        <v/>
      </c>
      <c r="T573" s="24" t="str">
        <f t="shared" si="50"/>
        <v/>
      </c>
    </row>
    <row r="574" spans="2:20" x14ac:dyDescent="0.4">
      <c r="B574" s="49" t="str" cm="1">
        <f t="array" ref="B574">IFERROR((INDEX($P$4:$T$1000,MATCH(VALUE(LEFT($A574,LEN($A574)-1)),$A$4:$A$1000,0),VALUE(RIGHT($A574,1)))/ INDEX($O$4:$O$1000,MATCH(VALUE(LEFT($A574,LEN($A574)-1)),$A$4:$A$1000))) * INDEX($B$4:$B$1000,MATCH(VALUE(LEFT($A574,LEN($A574)-1)),$A$4:$A$1000)),"")</f>
        <v/>
      </c>
      <c r="C574" s="2" t="str" cm="1">
        <f t="array" ref="C574">IFERROR(IF(INDEX($D$4:$H$1000,MATCH(VALUE(LEFT($A574,LEN($A574)-1)),$A$4:$A$1000,0),VALUE(RIGHT($A574,1)))= 0,"",INDEX($D$4:$H$1000,MATCH(VALUE(LEFT($A574,LEN($A574)-1)),$A$4:$A$1000,0),VALUE(RIGHT($A574,1)))),"")</f>
        <v/>
      </c>
      <c r="D574" s="23" t="str">
        <f>IFERROR(IF(INDEX(使用レシピ!F:F,MATCH(テンプレート!$C574,使用レシピ!$E:$E,0))&lt;&gt;0,INDEX(使用レシピ!F:F,MATCH(テンプレート!$C574,使用レシピ!$E:$E,0)),""),"")</f>
        <v/>
      </c>
      <c r="E574" t="str">
        <f>IFERROR(IF(INDEX(使用レシピ!G:G,MATCH(テンプレート!$C574,使用レシピ!$E:$E,0))&lt;&gt;0,INDEX(使用レシピ!G:G,MATCH(テンプレート!$C574,使用レシピ!$E:$E,0)),""),"")</f>
        <v/>
      </c>
      <c r="F574" t="str">
        <f>IFERROR(IF(INDEX(使用レシピ!H:H,MATCH(テンプレート!$C574,使用レシピ!$E:$E,0))&lt;&gt;0,INDEX(使用レシピ!H:H,MATCH(テンプレート!$C574,使用レシピ!$E:$E,0)),""),"")</f>
        <v/>
      </c>
      <c r="G574" t="str">
        <f>IFERROR(IF(INDEX(使用レシピ!I:I,MATCH(テンプレート!$C574,使用レシピ!$E:$E,0))&lt;&gt;0,INDEX(使用レシピ!I:I,MATCH(テンプレート!$C574,使用レシピ!$E:$E,0)),""),"")</f>
        <v/>
      </c>
      <c r="H574" s="24" t="str">
        <f>IFERROR(IF(INDEX(使用レシピ!J:J,MATCH(テンプレート!$C574,使用レシピ!$E:$E,0))&lt;&gt;0,INDEX(使用レシピ!J:J,MATCH(テンプレート!$C574,使用レシピ!$E:$E,0)),""),"")</f>
        <v/>
      </c>
      <c r="I574" s="36" t="str">
        <f>IFERROR(IF(INDEX(使用レシピ!P:P,MATCH(テンプレート!$C574,使用レシピ!$E:$E,0))&lt;&gt;0,INDEX(使用レシピ!P:P,MATCH(テンプレート!$C574,使用レシピ!$E:$E,0)),""),"")</f>
        <v/>
      </c>
      <c r="J574" t="str">
        <f>IFERROR(IF(INDEX(使用レシピ!K:K,MATCH(テンプレート!$C574,使用レシピ!$E:$E,0))&lt;&gt;0,INDEX(使用レシピ!K:K,MATCH(テンプレート!$C574,使用レシピ!$E:$E,0)),""),"")</f>
        <v/>
      </c>
      <c r="K574" t="str">
        <f>IFERROR(IF(INDEX(使用レシピ!L:L,MATCH(テンプレート!$C574,使用レシピ!$E:$E,0))&lt;&gt;0,INDEX(使用レシピ!L:L,MATCH(テンプレート!$C574,使用レシピ!$E:$E,0)),""),"")</f>
        <v/>
      </c>
      <c r="L574" t="str">
        <f>IFERROR(IF(INDEX(使用レシピ!M:M,MATCH(テンプレート!$C574,使用レシピ!$E:$E,0))&lt;&gt;0,INDEX(使用レシピ!M:M,MATCH(テンプレート!$C574,使用レシピ!$E:$E,0)),""),"")</f>
        <v/>
      </c>
      <c r="M574" t="str">
        <f>IFERROR(IF(INDEX(使用レシピ!N:N,MATCH(テンプレート!$C574,使用レシピ!$E:$E,0))&lt;&gt;0,INDEX(使用レシピ!N:N,MATCH(テンプレート!$C574,使用レシピ!$E:$E,0)),""),"")</f>
        <v/>
      </c>
      <c r="N574" s="24" t="str">
        <f>IFERROR(IF(INDEX(使用レシピ!O:O,MATCH(テンプレート!$C574,使用レシピ!$E:$E,0))&lt;&gt;0,INDEX(使用レシピ!O:O,MATCH(テンプレート!$C574,使用レシピ!$E:$E,0)),""),"")</f>
        <v/>
      </c>
      <c r="O574" s="36" t="str">
        <f>IFERROR(IF(INDEX(使用レシピ!P:P,MATCH(テンプレート!$C574,使用レシピ!$E:$E,0))&lt;&gt;0,INDEX(使用レシピ!P:P,MATCH(テンプレート!$C574,使用レシピ!$E:$E,0)),""),"")</f>
        <v/>
      </c>
      <c r="P574" t="str">
        <f t="shared" si="46"/>
        <v/>
      </c>
      <c r="Q574" t="str">
        <f t="shared" si="47"/>
        <v/>
      </c>
      <c r="R574" t="str">
        <f t="shared" si="48"/>
        <v/>
      </c>
      <c r="S574" t="str">
        <f t="shared" si="49"/>
        <v/>
      </c>
      <c r="T574" s="24" t="str">
        <f t="shared" si="50"/>
        <v/>
      </c>
    </row>
    <row r="575" spans="2:20" x14ac:dyDescent="0.4">
      <c r="B575" s="49" t="str" cm="1">
        <f t="array" ref="B575">IFERROR((INDEX($P$4:$T$1000,MATCH(VALUE(LEFT($A575,LEN($A575)-1)),$A$4:$A$1000,0),VALUE(RIGHT($A575,1)))/ INDEX($O$4:$O$1000,MATCH(VALUE(LEFT($A575,LEN($A575)-1)),$A$4:$A$1000))) * INDEX($B$4:$B$1000,MATCH(VALUE(LEFT($A575,LEN($A575)-1)),$A$4:$A$1000)),"")</f>
        <v/>
      </c>
      <c r="C575" s="2" t="str" cm="1">
        <f t="array" ref="C575">IFERROR(IF(INDEX($D$4:$H$1000,MATCH(VALUE(LEFT($A575,LEN($A575)-1)),$A$4:$A$1000,0),VALUE(RIGHT($A575,1)))= 0,"",INDEX($D$4:$H$1000,MATCH(VALUE(LEFT($A575,LEN($A575)-1)),$A$4:$A$1000,0),VALUE(RIGHT($A575,1)))),"")</f>
        <v/>
      </c>
      <c r="D575" s="23" t="str">
        <f>IFERROR(IF(INDEX(使用レシピ!F:F,MATCH(テンプレート!$C575,使用レシピ!$E:$E,0))&lt;&gt;0,INDEX(使用レシピ!F:F,MATCH(テンプレート!$C575,使用レシピ!$E:$E,0)),""),"")</f>
        <v/>
      </c>
      <c r="E575" t="str">
        <f>IFERROR(IF(INDEX(使用レシピ!G:G,MATCH(テンプレート!$C575,使用レシピ!$E:$E,0))&lt;&gt;0,INDEX(使用レシピ!G:G,MATCH(テンプレート!$C575,使用レシピ!$E:$E,0)),""),"")</f>
        <v/>
      </c>
      <c r="F575" t="str">
        <f>IFERROR(IF(INDEX(使用レシピ!H:H,MATCH(テンプレート!$C575,使用レシピ!$E:$E,0))&lt;&gt;0,INDEX(使用レシピ!H:H,MATCH(テンプレート!$C575,使用レシピ!$E:$E,0)),""),"")</f>
        <v/>
      </c>
      <c r="G575" t="str">
        <f>IFERROR(IF(INDEX(使用レシピ!I:I,MATCH(テンプレート!$C575,使用レシピ!$E:$E,0))&lt;&gt;0,INDEX(使用レシピ!I:I,MATCH(テンプレート!$C575,使用レシピ!$E:$E,0)),""),"")</f>
        <v/>
      </c>
      <c r="H575" s="24" t="str">
        <f>IFERROR(IF(INDEX(使用レシピ!J:J,MATCH(テンプレート!$C575,使用レシピ!$E:$E,0))&lt;&gt;0,INDEX(使用レシピ!J:J,MATCH(テンプレート!$C575,使用レシピ!$E:$E,0)),""),"")</f>
        <v/>
      </c>
      <c r="I575" s="36" t="str">
        <f>IFERROR(IF(INDEX(使用レシピ!P:P,MATCH(テンプレート!$C575,使用レシピ!$E:$E,0))&lt;&gt;0,INDEX(使用レシピ!P:P,MATCH(テンプレート!$C575,使用レシピ!$E:$E,0)),""),"")</f>
        <v/>
      </c>
      <c r="J575" t="str">
        <f>IFERROR(IF(INDEX(使用レシピ!K:K,MATCH(テンプレート!$C575,使用レシピ!$E:$E,0))&lt;&gt;0,INDEX(使用レシピ!K:K,MATCH(テンプレート!$C575,使用レシピ!$E:$E,0)),""),"")</f>
        <v/>
      </c>
      <c r="K575" t="str">
        <f>IFERROR(IF(INDEX(使用レシピ!L:L,MATCH(テンプレート!$C575,使用レシピ!$E:$E,0))&lt;&gt;0,INDEX(使用レシピ!L:L,MATCH(テンプレート!$C575,使用レシピ!$E:$E,0)),""),"")</f>
        <v/>
      </c>
      <c r="L575" t="str">
        <f>IFERROR(IF(INDEX(使用レシピ!M:M,MATCH(テンプレート!$C575,使用レシピ!$E:$E,0))&lt;&gt;0,INDEX(使用レシピ!M:M,MATCH(テンプレート!$C575,使用レシピ!$E:$E,0)),""),"")</f>
        <v/>
      </c>
      <c r="M575" t="str">
        <f>IFERROR(IF(INDEX(使用レシピ!N:N,MATCH(テンプレート!$C575,使用レシピ!$E:$E,0))&lt;&gt;0,INDEX(使用レシピ!N:N,MATCH(テンプレート!$C575,使用レシピ!$E:$E,0)),""),"")</f>
        <v/>
      </c>
      <c r="N575" s="24" t="str">
        <f>IFERROR(IF(INDEX(使用レシピ!O:O,MATCH(テンプレート!$C575,使用レシピ!$E:$E,0))&lt;&gt;0,INDEX(使用レシピ!O:O,MATCH(テンプレート!$C575,使用レシピ!$E:$E,0)),""),"")</f>
        <v/>
      </c>
      <c r="O575" s="36" t="str">
        <f>IFERROR(IF(INDEX(使用レシピ!P:P,MATCH(テンプレート!$C575,使用レシピ!$E:$E,0))&lt;&gt;0,INDEX(使用レシピ!P:P,MATCH(テンプレート!$C575,使用レシピ!$E:$E,0)),""),"")</f>
        <v/>
      </c>
      <c r="P575" t="str">
        <f t="shared" si="46"/>
        <v/>
      </c>
      <c r="Q575" t="str">
        <f t="shared" si="47"/>
        <v/>
      </c>
      <c r="R575" t="str">
        <f t="shared" si="48"/>
        <v/>
      </c>
      <c r="S575" t="str">
        <f t="shared" si="49"/>
        <v/>
      </c>
      <c r="T575" s="24" t="str">
        <f t="shared" si="50"/>
        <v/>
      </c>
    </row>
    <row r="576" spans="2:20" x14ac:dyDescent="0.4">
      <c r="B576" s="49" t="str" cm="1">
        <f t="array" ref="B576">IFERROR((INDEX($P$4:$T$1000,MATCH(VALUE(LEFT($A576,LEN($A576)-1)),$A$4:$A$1000,0),VALUE(RIGHT($A576,1)))/ INDEX($O$4:$O$1000,MATCH(VALUE(LEFT($A576,LEN($A576)-1)),$A$4:$A$1000))) * INDEX($B$4:$B$1000,MATCH(VALUE(LEFT($A576,LEN($A576)-1)),$A$4:$A$1000)),"")</f>
        <v/>
      </c>
      <c r="C576" s="2" t="str" cm="1">
        <f t="array" ref="C576">IFERROR(IF(INDEX($D$4:$H$1000,MATCH(VALUE(LEFT($A576,LEN($A576)-1)),$A$4:$A$1000,0),VALUE(RIGHT($A576,1)))= 0,"",INDEX($D$4:$H$1000,MATCH(VALUE(LEFT($A576,LEN($A576)-1)),$A$4:$A$1000,0),VALUE(RIGHT($A576,1)))),"")</f>
        <v/>
      </c>
      <c r="D576" s="23" t="str">
        <f>IFERROR(IF(INDEX(使用レシピ!F:F,MATCH(テンプレート!$C576,使用レシピ!$E:$E,0))&lt;&gt;0,INDEX(使用レシピ!F:F,MATCH(テンプレート!$C576,使用レシピ!$E:$E,0)),""),"")</f>
        <v/>
      </c>
      <c r="E576" t="str">
        <f>IFERROR(IF(INDEX(使用レシピ!G:G,MATCH(テンプレート!$C576,使用レシピ!$E:$E,0))&lt;&gt;0,INDEX(使用レシピ!G:G,MATCH(テンプレート!$C576,使用レシピ!$E:$E,0)),""),"")</f>
        <v/>
      </c>
      <c r="F576" t="str">
        <f>IFERROR(IF(INDEX(使用レシピ!H:H,MATCH(テンプレート!$C576,使用レシピ!$E:$E,0))&lt;&gt;0,INDEX(使用レシピ!H:H,MATCH(テンプレート!$C576,使用レシピ!$E:$E,0)),""),"")</f>
        <v/>
      </c>
      <c r="G576" t="str">
        <f>IFERROR(IF(INDEX(使用レシピ!I:I,MATCH(テンプレート!$C576,使用レシピ!$E:$E,0))&lt;&gt;0,INDEX(使用レシピ!I:I,MATCH(テンプレート!$C576,使用レシピ!$E:$E,0)),""),"")</f>
        <v/>
      </c>
      <c r="H576" s="24" t="str">
        <f>IFERROR(IF(INDEX(使用レシピ!J:J,MATCH(テンプレート!$C576,使用レシピ!$E:$E,0))&lt;&gt;0,INDEX(使用レシピ!J:J,MATCH(テンプレート!$C576,使用レシピ!$E:$E,0)),""),"")</f>
        <v/>
      </c>
      <c r="I576" s="36" t="str">
        <f>IFERROR(IF(INDEX(使用レシピ!P:P,MATCH(テンプレート!$C576,使用レシピ!$E:$E,0))&lt;&gt;0,INDEX(使用レシピ!P:P,MATCH(テンプレート!$C576,使用レシピ!$E:$E,0)),""),"")</f>
        <v/>
      </c>
      <c r="J576" t="str">
        <f>IFERROR(IF(INDEX(使用レシピ!K:K,MATCH(テンプレート!$C576,使用レシピ!$E:$E,0))&lt;&gt;0,INDEX(使用レシピ!K:K,MATCH(テンプレート!$C576,使用レシピ!$E:$E,0)),""),"")</f>
        <v/>
      </c>
      <c r="K576" t="str">
        <f>IFERROR(IF(INDEX(使用レシピ!L:L,MATCH(テンプレート!$C576,使用レシピ!$E:$E,0))&lt;&gt;0,INDEX(使用レシピ!L:L,MATCH(テンプレート!$C576,使用レシピ!$E:$E,0)),""),"")</f>
        <v/>
      </c>
      <c r="L576" t="str">
        <f>IFERROR(IF(INDEX(使用レシピ!M:M,MATCH(テンプレート!$C576,使用レシピ!$E:$E,0))&lt;&gt;0,INDEX(使用レシピ!M:M,MATCH(テンプレート!$C576,使用レシピ!$E:$E,0)),""),"")</f>
        <v/>
      </c>
      <c r="M576" t="str">
        <f>IFERROR(IF(INDEX(使用レシピ!N:N,MATCH(テンプレート!$C576,使用レシピ!$E:$E,0))&lt;&gt;0,INDEX(使用レシピ!N:N,MATCH(テンプレート!$C576,使用レシピ!$E:$E,0)),""),"")</f>
        <v/>
      </c>
      <c r="N576" s="24" t="str">
        <f>IFERROR(IF(INDEX(使用レシピ!O:O,MATCH(テンプレート!$C576,使用レシピ!$E:$E,0))&lt;&gt;0,INDEX(使用レシピ!O:O,MATCH(テンプレート!$C576,使用レシピ!$E:$E,0)),""),"")</f>
        <v/>
      </c>
      <c r="O576" s="36" t="str">
        <f>IFERROR(IF(INDEX(使用レシピ!P:P,MATCH(テンプレート!$C576,使用レシピ!$E:$E,0))&lt;&gt;0,INDEX(使用レシピ!P:P,MATCH(テンプレート!$C576,使用レシピ!$E:$E,0)),""),"")</f>
        <v/>
      </c>
      <c r="P576" t="str">
        <f t="shared" si="46"/>
        <v/>
      </c>
      <c r="Q576" t="str">
        <f t="shared" si="47"/>
        <v/>
      </c>
      <c r="R576" t="str">
        <f t="shared" si="48"/>
        <v/>
      </c>
      <c r="S576" t="str">
        <f t="shared" si="49"/>
        <v/>
      </c>
      <c r="T576" s="24" t="str">
        <f t="shared" si="50"/>
        <v/>
      </c>
    </row>
    <row r="577" spans="2:20" x14ac:dyDescent="0.4">
      <c r="B577" s="49" t="str" cm="1">
        <f t="array" ref="B577">IFERROR((INDEX($P$4:$T$1000,MATCH(VALUE(LEFT($A577,LEN($A577)-1)),$A$4:$A$1000,0),VALUE(RIGHT($A577,1)))/ INDEX($O$4:$O$1000,MATCH(VALUE(LEFT($A577,LEN($A577)-1)),$A$4:$A$1000))) * INDEX($B$4:$B$1000,MATCH(VALUE(LEFT($A577,LEN($A577)-1)),$A$4:$A$1000)),"")</f>
        <v/>
      </c>
      <c r="C577" s="2" t="str" cm="1">
        <f t="array" ref="C577">IFERROR(IF(INDEX($D$4:$H$1000,MATCH(VALUE(LEFT($A577,LEN($A577)-1)),$A$4:$A$1000,0),VALUE(RIGHT($A577,1)))= 0,"",INDEX($D$4:$H$1000,MATCH(VALUE(LEFT($A577,LEN($A577)-1)),$A$4:$A$1000,0),VALUE(RIGHT($A577,1)))),"")</f>
        <v/>
      </c>
      <c r="D577" s="23" t="str">
        <f>IFERROR(IF(INDEX(使用レシピ!F:F,MATCH(テンプレート!$C577,使用レシピ!$E:$E,0))&lt;&gt;0,INDEX(使用レシピ!F:F,MATCH(テンプレート!$C577,使用レシピ!$E:$E,0)),""),"")</f>
        <v/>
      </c>
      <c r="E577" t="str">
        <f>IFERROR(IF(INDEX(使用レシピ!G:G,MATCH(テンプレート!$C577,使用レシピ!$E:$E,0))&lt;&gt;0,INDEX(使用レシピ!G:G,MATCH(テンプレート!$C577,使用レシピ!$E:$E,0)),""),"")</f>
        <v/>
      </c>
      <c r="F577" t="str">
        <f>IFERROR(IF(INDEX(使用レシピ!H:H,MATCH(テンプレート!$C577,使用レシピ!$E:$E,0))&lt;&gt;0,INDEX(使用レシピ!H:H,MATCH(テンプレート!$C577,使用レシピ!$E:$E,0)),""),"")</f>
        <v/>
      </c>
      <c r="G577" t="str">
        <f>IFERROR(IF(INDEX(使用レシピ!I:I,MATCH(テンプレート!$C577,使用レシピ!$E:$E,0))&lt;&gt;0,INDEX(使用レシピ!I:I,MATCH(テンプレート!$C577,使用レシピ!$E:$E,0)),""),"")</f>
        <v/>
      </c>
      <c r="H577" s="24" t="str">
        <f>IFERROR(IF(INDEX(使用レシピ!J:J,MATCH(テンプレート!$C577,使用レシピ!$E:$E,0))&lt;&gt;0,INDEX(使用レシピ!J:J,MATCH(テンプレート!$C577,使用レシピ!$E:$E,0)),""),"")</f>
        <v/>
      </c>
      <c r="I577" s="36" t="str">
        <f>IFERROR(IF(INDEX(使用レシピ!P:P,MATCH(テンプレート!$C577,使用レシピ!$E:$E,0))&lt;&gt;0,INDEX(使用レシピ!P:P,MATCH(テンプレート!$C577,使用レシピ!$E:$E,0)),""),"")</f>
        <v/>
      </c>
      <c r="J577" t="str">
        <f>IFERROR(IF(INDEX(使用レシピ!K:K,MATCH(テンプレート!$C577,使用レシピ!$E:$E,0))&lt;&gt;0,INDEX(使用レシピ!K:K,MATCH(テンプレート!$C577,使用レシピ!$E:$E,0)),""),"")</f>
        <v/>
      </c>
      <c r="K577" t="str">
        <f>IFERROR(IF(INDEX(使用レシピ!L:L,MATCH(テンプレート!$C577,使用レシピ!$E:$E,0))&lt;&gt;0,INDEX(使用レシピ!L:L,MATCH(テンプレート!$C577,使用レシピ!$E:$E,0)),""),"")</f>
        <v/>
      </c>
      <c r="L577" t="str">
        <f>IFERROR(IF(INDEX(使用レシピ!M:M,MATCH(テンプレート!$C577,使用レシピ!$E:$E,0))&lt;&gt;0,INDEX(使用レシピ!M:M,MATCH(テンプレート!$C577,使用レシピ!$E:$E,0)),""),"")</f>
        <v/>
      </c>
      <c r="M577" t="str">
        <f>IFERROR(IF(INDEX(使用レシピ!N:N,MATCH(テンプレート!$C577,使用レシピ!$E:$E,0))&lt;&gt;0,INDEX(使用レシピ!N:N,MATCH(テンプレート!$C577,使用レシピ!$E:$E,0)),""),"")</f>
        <v/>
      </c>
      <c r="N577" s="24" t="str">
        <f>IFERROR(IF(INDEX(使用レシピ!O:O,MATCH(テンプレート!$C577,使用レシピ!$E:$E,0))&lt;&gt;0,INDEX(使用レシピ!O:O,MATCH(テンプレート!$C577,使用レシピ!$E:$E,0)),""),"")</f>
        <v/>
      </c>
      <c r="O577" s="36" t="str">
        <f>IFERROR(IF(INDEX(使用レシピ!P:P,MATCH(テンプレート!$C577,使用レシピ!$E:$E,0))&lt;&gt;0,INDEX(使用レシピ!P:P,MATCH(テンプレート!$C577,使用レシピ!$E:$E,0)),""),"")</f>
        <v/>
      </c>
      <c r="P577" t="str">
        <f t="shared" si="46"/>
        <v/>
      </c>
      <c r="Q577" t="str">
        <f t="shared" si="47"/>
        <v/>
      </c>
      <c r="R577" t="str">
        <f t="shared" si="48"/>
        <v/>
      </c>
      <c r="S577" t="str">
        <f t="shared" si="49"/>
        <v/>
      </c>
      <c r="T577" s="24" t="str">
        <f t="shared" si="50"/>
        <v/>
      </c>
    </row>
    <row r="578" spans="2:20" x14ac:dyDescent="0.4">
      <c r="B578" s="49" t="str" cm="1">
        <f t="array" ref="B578">IFERROR((INDEX($P$4:$T$1000,MATCH(VALUE(LEFT($A578,LEN($A578)-1)),$A$4:$A$1000,0),VALUE(RIGHT($A578,1)))/ INDEX($O$4:$O$1000,MATCH(VALUE(LEFT($A578,LEN($A578)-1)),$A$4:$A$1000))) * INDEX($B$4:$B$1000,MATCH(VALUE(LEFT($A578,LEN($A578)-1)),$A$4:$A$1000)),"")</f>
        <v/>
      </c>
      <c r="C578" s="2" t="str" cm="1">
        <f t="array" ref="C578">IFERROR(IF(INDEX($D$4:$H$1000,MATCH(VALUE(LEFT($A578,LEN($A578)-1)),$A$4:$A$1000,0),VALUE(RIGHT($A578,1)))= 0,"",INDEX($D$4:$H$1000,MATCH(VALUE(LEFT($A578,LEN($A578)-1)),$A$4:$A$1000,0),VALUE(RIGHT($A578,1)))),"")</f>
        <v/>
      </c>
      <c r="D578" s="23" t="str">
        <f>IFERROR(IF(INDEX(使用レシピ!F:F,MATCH(テンプレート!$C578,使用レシピ!$E:$E,0))&lt;&gt;0,INDEX(使用レシピ!F:F,MATCH(テンプレート!$C578,使用レシピ!$E:$E,0)),""),"")</f>
        <v/>
      </c>
      <c r="E578" t="str">
        <f>IFERROR(IF(INDEX(使用レシピ!G:G,MATCH(テンプレート!$C578,使用レシピ!$E:$E,0))&lt;&gt;0,INDEX(使用レシピ!G:G,MATCH(テンプレート!$C578,使用レシピ!$E:$E,0)),""),"")</f>
        <v/>
      </c>
      <c r="F578" t="str">
        <f>IFERROR(IF(INDEX(使用レシピ!H:H,MATCH(テンプレート!$C578,使用レシピ!$E:$E,0))&lt;&gt;0,INDEX(使用レシピ!H:H,MATCH(テンプレート!$C578,使用レシピ!$E:$E,0)),""),"")</f>
        <v/>
      </c>
      <c r="G578" t="str">
        <f>IFERROR(IF(INDEX(使用レシピ!I:I,MATCH(テンプレート!$C578,使用レシピ!$E:$E,0))&lt;&gt;0,INDEX(使用レシピ!I:I,MATCH(テンプレート!$C578,使用レシピ!$E:$E,0)),""),"")</f>
        <v/>
      </c>
      <c r="H578" s="24" t="str">
        <f>IFERROR(IF(INDEX(使用レシピ!J:J,MATCH(テンプレート!$C578,使用レシピ!$E:$E,0))&lt;&gt;0,INDEX(使用レシピ!J:J,MATCH(テンプレート!$C578,使用レシピ!$E:$E,0)),""),"")</f>
        <v/>
      </c>
      <c r="I578" s="36" t="str">
        <f>IFERROR(IF(INDEX(使用レシピ!P:P,MATCH(テンプレート!$C578,使用レシピ!$E:$E,0))&lt;&gt;0,INDEX(使用レシピ!P:P,MATCH(テンプレート!$C578,使用レシピ!$E:$E,0)),""),"")</f>
        <v/>
      </c>
      <c r="J578" t="str">
        <f>IFERROR(IF(INDEX(使用レシピ!K:K,MATCH(テンプレート!$C578,使用レシピ!$E:$E,0))&lt;&gt;0,INDEX(使用レシピ!K:K,MATCH(テンプレート!$C578,使用レシピ!$E:$E,0)),""),"")</f>
        <v/>
      </c>
      <c r="K578" t="str">
        <f>IFERROR(IF(INDEX(使用レシピ!L:L,MATCH(テンプレート!$C578,使用レシピ!$E:$E,0))&lt;&gt;0,INDEX(使用レシピ!L:L,MATCH(テンプレート!$C578,使用レシピ!$E:$E,0)),""),"")</f>
        <v/>
      </c>
      <c r="L578" t="str">
        <f>IFERROR(IF(INDEX(使用レシピ!M:M,MATCH(テンプレート!$C578,使用レシピ!$E:$E,0))&lt;&gt;0,INDEX(使用レシピ!M:M,MATCH(テンプレート!$C578,使用レシピ!$E:$E,0)),""),"")</f>
        <v/>
      </c>
      <c r="M578" t="str">
        <f>IFERROR(IF(INDEX(使用レシピ!N:N,MATCH(テンプレート!$C578,使用レシピ!$E:$E,0))&lt;&gt;0,INDEX(使用レシピ!N:N,MATCH(テンプレート!$C578,使用レシピ!$E:$E,0)),""),"")</f>
        <v/>
      </c>
      <c r="N578" s="24" t="str">
        <f>IFERROR(IF(INDEX(使用レシピ!O:O,MATCH(テンプレート!$C578,使用レシピ!$E:$E,0))&lt;&gt;0,INDEX(使用レシピ!O:O,MATCH(テンプレート!$C578,使用レシピ!$E:$E,0)),""),"")</f>
        <v/>
      </c>
      <c r="O578" s="36" t="str">
        <f>IFERROR(IF(INDEX(使用レシピ!P:P,MATCH(テンプレート!$C578,使用レシピ!$E:$E,0))&lt;&gt;0,INDEX(使用レシピ!P:P,MATCH(テンプレート!$C578,使用レシピ!$E:$E,0)),""),"")</f>
        <v/>
      </c>
      <c r="P578" t="str">
        <f t="shared" si="46"/>
        <v/>
      </c>
      <c r="Q578" t="str">
        <f t="shared" si="47"/>
        <v/>
      </c>
      <c r="R578" t="str">
        <f t="shared" si="48"/>
        <v/>
      </c>
      <c r="S578" t="str">
        <f t="shared" si="49"/>
        <v/>
      </c>
      <c r="T578" s="24" t="str">
        <f t="shared" si="50"/>
        <v/>
      </c>
    </row>
    <row r="579" spans="2:20" x14ac:dyDescent="0.4">
      <c r="B579" s="49" t="str" cm="1">
        <f t="array" ref="B579">IFERROR((INDEX($P$4:$T$1000,MATCH(VALUE(LEFT($A579,LEN($A579)-1)),$A$4:$A$1000,0),VALUE(RIGHT($A579,1)))/ INDEX($O$4:$O$1000,MATCH(VALUE(LEFT($A579,LEN($A579)-1)),$A$4:$A$1000))) * INDEX($B$4:$B$1000,MATCH(VALUE(LEFT($A579,LEN($A579)-1)),$A$4:$A$1000)),"")</f>
        <v/>
      </c>
      <c r="C579" s="2" t="str" cm="1">
        <f t="array" ref="C579">IFERROR(IF(INDEX($D$4:$H$1000,MATCH(VALUE(LEFT($A579,LEN($A579)-1)),$A$4:$A$1000,0),VALUE(RIGHT($A579,1)))= 0,"",INDEX($D$4:$H$1000,MATCH(VALUE(LEFT($A579,LEN($A579)-1)),$A$4:$A$1000,0),VALUE(RIGHT($A579,1)))),"")</f>
        <v/>
      </c>
      <c r="D579" s="23" t="str">
        <f>IFERROR(IF(INDEX(使用レシピ!F:F,MATCH(テンプレート!$C579,使用レシピ!$E:$E,0))&lt;&gt;0,INDEX(使用レシピ!F:F,MATCH(テンプレート!$C579,使用レシピ!$E:$E,0)),""),"")</f>
        <v/>
      </c>
      <c r="E579" t="str">
        <f>IFERROR(IF(INDEX(使用レシピ!G:G,MATCH(テンプレート!$C579,使用レシピ!$E:$E,0))&lt;&gt;0,INDEX(使用レシピ!G:G,MATCH(テンプレート!$C579,使用レシピ!$E:$E,0)),""),"")</f>
        <v/>
      </c>
      <c r="F579" t="str">
        <f>IFERROR(IF(INDEX(使用レシピ!H:H,MATCH(テンプレート!$C579,使用レシピ!$E:$E,0))&lt;&gt;0,INDEX(使用レシピ!H:H,MATCH(テンプレート!$C579,使用レシピ!$E:$E,0)),""),"")</f>
        <v/>
      </c>
      <c r="G579" t="str">
        <f>IFERROR(IF(INDEX(使用レシピ!I:I,MATCH(テンプレート!$C579,使用レシピ!$E:$E,0))&lt;&gt;0,INDEX(使用レシピ!I:I,MATCH(テンプレート!$C579,使用レシピ!$E:$E,0)),""),"")</f>
        <v/>
      </c>
      <c r="H579" s="24" t="str">
        <f>IFERROR(IF(INDEX(使用レシピ!J:J,MATCH(テンプレート!$C579,使用レシピ!$E:$E,0))&lt;&gt;0,INDEX(使用レシピ!J:J,MATCH(テンプレート!$C579,使用レシピ!$E:$E,0)),""),"")</f>
        <v/>
      </c>
      <c r="I579" s="36" t="str">
        <f>IFERROR(IF(INDEX(使用レシピ!P:P,MATCH(テンプレート!$C579,使用レシピ!$E:$E,0))&lt;&gt;0,INDEX(使用レシピ!P:P,MATCH(テンプレート!$C579,使用レシピ!$E:$E,0)),""),"")</f>
        <v/>
      </c>
      <c r="J579" t="str">
        <f>IFERROR(IF(INDEX(使用レシピ!K:K,MATCH(テンプレート!$C579,使用レシピ!$E:$E,0))&lt;&gt;0,INDEX(使用レシピ!K:K,MATCH(テンプレート!$C579,使用レシピ!$E:$E,0)),""),"")</f>
        <v/>
      </c>
      <c r="K579" t="str">
        <f>IFERROR(IF(INDEX(使用レシピ!L:L,MATCH(テンプレート!$C579,使用レシピ!$E:$E,0))&lt;&gt;0,INDEX(使用レシピ!L:L,MATCH(テンプレート!$C579,使用レシピ!$E:$E,0)),""),"")</f>
        <v/>
      </c>
      <c r="L579" t="str">
        <f>IFERROR(IF(INDEX(使用レシピ!M:M,MATCH(テンプレート!$C579,使用レシピ!$E:$E,0))&lt;&gt;0,INDEX(使用レシピ!M:M,MATCH(テンプレート!$C579,使用レシピ!$E:$E,0)),""),"")</f>
        <v/>
      </c>
      <c r="M579" t="str">
        <f>IFERROR(IF(INDEX(使用レシピ!N:N,MATCH(テンプレート!$C579,使用レシピ!$E:$E,0))&lt;&gt;0,INDEX(使用レシピ!N:N,MATCH(テンプレート!$C579,使用レシピ!$E:$E,0)),""),"")</f>
        <v/>
      </c>
      <c r="N579" s="24" t="str">
        <f>IFERROR(IF(INDEX(使用レシピ!O:O,MATCH(テンプレート!$C579,使用レシピ!$E:$E,0))&lt;&gt;0,INDEX(使用レシピ!O:O,MATCH(テンプレート!$C579,使用レシピ!$E:$E,0)),""),"")</f>
        <v/>
      </c>
      <c r="O579" s="36" t="str">
        <f>IFERROR(IF(INDEX(使用レシピ!P:P,MATCH(テンプレート!$C579,使用レシピ!$E:$E,0))&lt;&gt;0,INDEX(使用レシピ!P:P,MATCH(テンプレート!$C579,使用レシピ!$E:$E,0)),""),"")</f>
        <v/>
      </c>
      <c r="P579" t="str">
        <f t="shared" si="46"/>
        <v/>
      </c>
      <c r="Q579" t="str">
        <f t="shared" si="47"/>
        <v/>
      </c>
      <c r="R579" t="str">
        <f t="shared" si="48"/>
        <v/>
      </c>
      <c r="S579" t="str">
        <f t="shared" si="49"/>
        <v/>
      </c>
      <c r="T579" s="24" t="str">
        <f t="shared" si="50"/>
        <v/>
      </c>
    </row>
    <row r="580" spans="2:20" x14ac:dyDescent="0.4">
      <c r="B580" s="49" t="str" cm="1">
        <f t="array" ref="B580">IFERROR((INDEX($P$4:$T$1000,MATCH(VALUE(LEFT($A580,LEN($A580)-1)),$A$4:$A$1000,0),VALUE(RIGHT($A580,1)))/ INDEX($O$4:$O$1000,MATCH(VALUE(LEFT($A580,LEN($A580)-1)),$A$4:$A$1000))) * INDEX($B$4:$B$1000,MATCH(VALUE(LEFT($A580,LEN($A580)-1)),$A$4:$A$1000)),"")</f>
        <v/>
      </c>
      <c r="C580" s="2" t="str" cm="1">
        <f t="array" ref="C580">IFERROR(IF(INDEX($D$4:$H$1000,MATCH(VALUE(LEFT($A580,LEN($A580)-1)),$A$4:$A$1000,0),VALUE(RIGHT($A580,1)))= 0,"",INDEX($D$4:$H$1000,MATCH(VALUE(LEFT($A580,LEN($A580)-1)),$A$4:$A$1000,0),VALUE(RIGHT($A580,1)))),"")</f>
        <v/>
      </c>
      <c r="D580" s="23" t="str">
        <f>IFERROR(IF(INDEX(使用レシピ!F:F,MATCH(テンプレート!$C580,使用レシピ!$E:$E,0))&lt;&gt;0,INDEX(使用レシピ!F:F,MATCH(テンプレート!$C580,使用レシピ!$E:$E,0)),""),"")</f>
        <v/>
      </c>
      <c r="E580" t="str">
        <f>IFERROR(IF(INDEX(使用レシピ!G:G,MATCH(テンプレート!$C580,使用レシピ!$E:$E,0))&lt;&gt;0,INDEX(使用レシピ!G:G,MATCH(テンプレート!$C580,使用レシピ!$E:$E,0)),""),"")</f>
        <v/>
      </c>
      <c r="F580" t="str">
        <f>IFERROR(IF(INDEX(使用レシピ!H:H,MATCH(テンプレート!$C580,使用レシピ!$E:$E,0))&lt;&gt;0,INDEX(使用レシピ!H:H,MATCH(テンプレート!$C580,使用レシピ!$E:$E,0)),""),"")</f>
        <v/>
      </c>
      <c r="G580" t="str">
        <f>IFERROR(IF(INDEX(使用レシピ!I:I,MATCH(テンプレート!$C580,使用レシピ!$E:$E,0))&lt;&gt;0,INDEX(使用レシピ!I:I,MATCH(テンプレート!$C580,使用レシピ!$E:$E,0)),""),"")</f>
        <v/>
      </c>
      <c r="H580" s="24" t="str">
        <f>IFERROR(IF(INDEX(使用レシピ!J:J,MATCH(テンプレート!$C580,使用レシピ!$E:$E,0))&lt;&gt;0,INDEX(使用レシピ!J:J,MATCH(テンプレート!$C580,使用レシピ!$E:$E,0)),""),"")</f>
        <v/>
      </c>
      <c r="I580" s="36" t="str">
        <f>IFERROR(IF(INDEX(使用レシピ!P:P,MATCH(テンプレート!$C580,使用レシピ!$E:$E,0))&lt;&gt;0,INDEX(使用レシピ!P:P,MATCH(テンプレート!$C580,使用レシピ!$E:$E,0)),""),"")</f>
        <v/>
      </c>
      <c r="J580" t="str">
        <f>IFERROR(IF(INDEX(使用レシピ!K:K,MATCH(テンプレート!$C580,使用レシピ!$E:$E,0))&lt;&gt;0,INDEX(使用レシピ!K:K,MATCH(テンプレート!$C580,使用レシピ!$E:$E,0)),""),"")</f>
        <v/>
      </c>
      <c r="K580" t="str">
        <f>IFERROR(IF(INDEX(使用レシピ!L:L,MATCH(テンプレート!$C580,使用レシピ!$E:$E,0))&lt;&gt;0,INDEX(使用レシピ!L:L,MATCH(テンプレート!$C580,使用レシピ!$E:$E,0)),""),"")</f>
        <v/>
      </c>
      <c r="L580" t="str">
        <f>IFERROR(IF(INDEX(使用レシピ!M:M,MATCH(テンプレート!$C580,使用レシピ!$E:$E,0))&lt;&gt;0,INDEX(使用レシピ!M:M,MATCH(テンプレート!$C580,使用レシピ!$E:$E,0)),""),"")</f>
        <v/>
      </c>
      <c r="M580" t="str">
        <f>IFERROR(IF(INDEX(使用レシピ!N:N,MATCH(テンプレート!$C580,使用レシピ!$E:$E,0))&lt;&gt;0,INDEX(使用レシピ!N:N,MATCH(テンプレート!$C580,使用レシピ!$E:$E,0)),""),"")</f>
        <v/>
      </c>
      <c r="N580" s="24" t="str">
        <f>IFERROR(IF(INDEX(使用レシピ!O:O,MATCH(テンプレート!$C580,使用レシピ!$E:$E,0))&lt;&gt;0,INDEX(使用レシピ!O:O,MATCH(テンプレート!$C580,使用レシピ!$E:$E,0)),""),"")</f>
        <v/>
      </c>
      <c r="O580" s="36" t="str">
        <f>IFERROR(IF(INDEX(使用レシピ!P:P,MATCH(テンプレート!$C580,使用レシピ!$E:$E,0))&lt;&gt;0,INDEX(使用レシピ!P:P,MATCH(テンプレート!$C580,使用レシピ!$E:$E,0)),""),"")</f>
        <v/>
      </c>
      <c r="P580" t="str">
        <f t="shared" si="46"/>
        <v/>
      </c>
      <c r="Q580" t="str">
        <f t="shared" si="47"/>
        <v/>
      </c>
      <c r="R580" t="str">
        <f t="shared" si="48"/>
        <v/>
      </c>
      <c r="S580" t="str">
        <f t="shared" si="49"/>
        <v/>
      </c>
      <c r="T580" s="24" t="str">
        <f t="shared" si="50"/>
        <v/>
      </c>
    </row>
    <row r="581" spans="2:20" x14ac:dyDescent="0.4">
      <c r="B581" s="49" t="str" cm="1">
        <f t="array" ref="B581">IFERROR((INDEX($P$4:$T$1000,MATCH(VALUE(LEFT($A581,LEN($A581)-1)),$A$4:$A$1000,0),VALUE(RIGHT($A581,1)))/ INDEX($O$4:$O$1000,MATCH(VALUE(LEFT($A581,LEN($A581)-1)),$A$4:$A$1000))) * INDEX($B$4:$B$1000,MATCH(VALUE(LEFT($A581,LEN($A581)-1)),$A$4:$A$1000)),"")</f>
        <v/>
      </c>
      <c r="C581" s="2" t="str" cm="1">
        <f t="array" ref="C581">IFERROR(IF(INDEX($D$4:$H$1000,MATCH(VALUE(LEFT($A581,LEN($A581)-1)),$A$4:$A$1000,0),VALUE(RIGHT($A581,1)))= 0,"",INDEX($D$4:$H$1000,MATCH(VALUE(LEFT($A581,LEN($A581)-1)),$A$4:$A$1000,0),VALUE(RIGHT($A581,1)))),"")</f>
        <v/>
      </c>
      <c r="D581" s="23" t="str">
        <f>IFERROR(IF(INDEX(使用レシピ!F:F,MATCH(テンプレート!$C581,使用レシピ!$E:$E,0))&lt;&gt;0,INDEX(使用レシピ!F:F,MATCH(テンプレート!$C581,使用レシピ!$E:$E,0)),""),"")</f>
        <v/>
      </c>
      <c r="E581" t="str">
        <f>IFERROR(IF(INDEX(使用レシピ!G:G,MATCH(テンプレート!$C581,使用レシピ!$E:$E,0))&lt;&gt;0,INDEX(使用レシピ!G:G,MATCH(テンプレート!$C581,使用レシピ!$E:$E,0)),""),"")</f>
        <v/>
      </c>
      <c r="F581" t="str">
        <f>IFERROR(IF(INDEX(使用レシピ!H:H,MATCH(テンプレート!$C581,使用レシピ!$E:$E,0))&lt;&gt;0,INDEX(使用レシピ!H:H,MATCH(テンプレート!$C581,使用レシピ!$E:$E,0)),""),"")</f>
        <v/>
      </c>
      <c r="G581" t="str">
        <f>IFERROR(IF(INDEX(使用レシピ!I:I,MATCH(テンプレート!$C581,使用レシピ!$E:$E,0))&lt;&gt;0,INDEX(使用レシピ!I:I,MATCH(テンプレート!$C581,使用レシピ!$E:$E,0)),""),"")</f>
        <v/>
      </c>
      <c r="H581" s="24" t="str">
        <f>IFERROR(IF(INDEX(使用レシピ!J:J,MATCH(テンプレート!$C581,使用レシピ!$E:$E,0))&lt;&gt;0,INDEX(使用レシピ!J:J,MATCH(テンプレート!$C581,使用レシピ!$E:$E,0)),""),"")</f>
        <v/>
      </c>
      <c r="I581" s="36" t="str">
        <f>IFERROR(IF(INDEX(使用レシピ!P:P,MATCH(テンプレート!$C581,使用レシピ!$E:$E,0))&lt;&gt;0,INDEX(使用レシピ!P:P,MATCH(テンプレート!$C581,使用レシピ!$E:$E,0)),""),"")</f>
        <v/>
      </c>
      <c r="J581" t="str">
        <f>IFERROR(IF(INDEX(使用レシピ!K:K,MATCH(テンプレート!$C581,使用レシピ!$E:$E,0))&lt;&gt;0,INDEX(使用レシピ!K:K,MATCH(テンプレート!$C581,使用レシピ!$E:$E,0)),""),"")</f>
        <v/>
      </c>
      <c r="K581" t="str">
        <f>IFERROR(IF(INDEX(使用レシピ!L:L,MATCH(テンプレート!$C581,使用レシピ!$E:$E,0))&lt;&gt;0,INDEX(使用レシピ!L:L,MATCH(テンプレート!$C581,使用レシピ!$E:$E,0)),""),"")</f>
        <v/>
      </c>
      <c r="L581" t="str">
        <f>IFERROR(IF(INDEX(使用レシピ!M:M,MATCH(テンプレート!$C581,使用レシピ!$E:$E,0))&lt;&gt;0,INDEX(使用レシピ!M:M,MATCH(テンプレート!$C581,使用レシピ!$E:$E,0)),""),"")</f>
        <v/>
      </c>
      <c r="M581" t="str">
        <f>IFERROR(IF(INDEX(使用レシピ!N:N,MATCH(テンプレート!$C581,使用レシピ!$E:$E,0))&lt;&gt;0,INDEX(使用レシピ!N:N,MATCH(テンプレート!$C581,使用レシピ!$E:$E,0)),""),"")</f>
        <v/>
      </c>
      <c r="N581" s="24" t="str">
        <f>IFERROR(IF(INDEX(使用レシピ!O:O,MATCH(テンプレート!$C581,使用レシピ!$E:$E,0))&lt;&gt;0,INDEX(使用レシピ!O:O,MATCH(テンプレート!$C581,使用レシピ!$E:$E,0)),""),"")</f>
        <v/>
      </c>
      <c r="O581" s="36" t="str">
        <f>IFERROR(IF(INDEX(使用レシピ!P:P,MATCH(テンプレート!$C581,使用レシピ!$E:$E,0))&lt;&gt;0,INDEX(使用レシピ!P:P,MATCH(テンプレート!$C581,使用レシピ!$E:$E,0)),""),"")</f>
        <v/>
      </c>
      <c r="P581" t="str">
        <f t="shared" si="46"/>
        <v/>
      </c>
      <c r="Q581" t="str">
        <f t="shared" si="47"/>
        <v/>
      </c>
      <c r="R581" t="str">
        <f t="shared" si="48"/>
        <v/>
      </c>
      <c r="S581" t="str">
        <f t="shared" si="49"/>
        <v/>
      </c>
      <c r="T581" s="24" t="str">
        <f t="shared" si="50"/>
        <v/>
      </c>
    </row>
    <row r="582" spans="2:20" x14ac:dyDescent="0.4">
      <c r="B582" s="49" t="str" cm="1">
        <f t="array" ref="B582">IFERROR((INDEX($P$4:$T$1000,MATCH(VALUE(LEFT($A582,LEN($A582)-1)),$A$4:$A$1000,0),VALUE(RIGHT($A582,1)))/ INDEX($O$4:$O$1000,MATCH(VALUE(LEFT($A582,LEN($A582)-1)),$A$4:$A$1000))) * INDEX($B$4:$B$1000,MATCH(VALUE(LEFT($A582,LEN($A582)-1)),$A$4:$A$1000)),"")</f>
        <v/>
      </c>
      <c r="C582" s="2" t="str" cm="1">
        <f t="array" ref="C582">IFERROR(IF(INDEX($D$4:$H$1000,MATCH(VALUE(LEFT($A582,LEN($A582)-1)),$A$4:$A$1000,0),VALUE(RIGHT($A582,1)))= 0,"",INDEX($D$4:$H$1000,MATCH(VALUE(LEFT($A582,LEN($A582)-1)),$A$4:$A$1000,0),VALUE(RIGHT($A582,1)))),"")</f>
        <v/>
      </c>
      <c r="D582" s="23" t="str">
        <f>IFERROR(IF(INDEX(使用レシピ!F:F,MATCH(テンプレート!$C582,使用レシピ!$E:$E,0))&lt;&gt;0,INDEX(使用レシピ!F:F,MATCH(テンプレート!$C582,使用レシピ!$E:$E,0)),""),"")</f>
        <v/>
      </c>
      <c r="E582" t="str">
        <f>IFERROR(IF(INDEX(使用レシピ!G:G,MATCH(テンプレート!$C582,使用レシピ!$E:$E,0))&lt;&gt;0,INDEX(使用レシピ!G:G,MATCH(テンプレート!$C582,使用レシピ!$E:$E,0)),""),"")</f>
        <v/>
      </c>
      <c r="F582" t="str">
        <f>IFERROR(IF(INDEX(使用レシピ!H:H,MATCH(テンプレート!$C582,使用レシピ!$E:$E,0))&lt;&gt;0,INDEX(使用レシピ!H:H,MATCH(テンプレート!$C582,使用レシピ!$E:$E,0)),""),"")</f>
        <v/>
      </c>
      <c r="G582" t="str">
        <f>IFERROR(IF(INDEX(使用レシピ!I:I,MATCH(テンプレート!$C582,使用レシピ!$E:$E,0))&lt;&gt;0,INDEX(使用レシピ!I:I,MATCH(テンプレート!$C582,使用レシピ!$E:$E,0)),""),"")</f>
        <v/>
      </c>
      <c r="H582" s="24" t="str">
        <f>IFERROR(IF(INDEX(使用レシピ!J:J,MATCH(テンプレート!$C582,使用レシピ!$E:$E,0))&lt;&gt;0,INDEX(使用レシピ!J:J,MATCH(テンプレート!$C582,使用レシピ!$E:$E,0)),""),"")</f>
        <v/>
      </c>
      <c r="I582" s="36" t="str">
        <f>IFERROR(IF(INDEX(使用レシピ!P:P,MATCH(テンプレート!$C582,使用レシピ!$E:$E,0))&lt;&gt;0,INDEX(使用レシピ!P:P,MATCH(テンプレート!$C582,使用レシピ!$E:$E,0)),""),"")</f>
        <v/>
      </c>
      <c r="J582" t="str">
        <f>IFERROR(IF(INDEX(使用レシピ!K:K,MATCH(テンプレート!$C582,使用レシピ!$E:$E,0))&lt;&gt;0,INDEX(使用レシピ!K:K,MATCH(テンプレート!$C582,使用レシピ!$E:$E,0)),""),"")</f>
        <v/>
      </c>
      <c r="K582" t="str">
        <f>IFERROR(IF(INDEX(使用レシピ!L:L,MATCH(テンプレート!$C582,使用レシピ!$E:$E,0))&lt;&gt;0,INDEX(使用レシピ!L:L,MATCH(テンプレート!$C582,使用レシピ!$E:$E,0)),""),"")</f>
        <v/>
      </c>
      <c r="L582" t="str">
        <f>IFERROR(IF(INDEX(使用レシピ!M:M,MATCH(テンプレート!$C582,使用レシピ!$E:$E,0))&lt;&gt;0,INDEX(使用レシピ!M:M,MATCH(テンプレート!$C582,使用レシピ!$E:$E,0)),""),"")</f>
        <v/>
      </c>
      <c r="M582" t="str">
        <f>IFERROR(IF(INDEX(使用レシピ!N:N,MATCH(テンプレート!$C582,使用レシピ!$E:$E,0))&lt;&gt;0,INDEX(使用レシピ!N:N,MATCH(テンプレート!$C582,使用レシピ!$E:$E,0)),""),"")</f>
        <v/>
      </c>
      <c r="N582" s="24" t="str">
        <f>IFERROR(IF(INDEX(使用レシピ!O:O,MATCH(テンプレート!$C582,使用レシピ!$E:$E,0))&lt;&gt;0,INDEX(使用レシピ!O:O,MATCH(テンプレート!$C582,使用レシピ!$E:$E,0)),""),"")</f>
        <v/>
      </c>
      <c r="O582" s="36" t="str">
        <f>IFERROR(IF(INDEX(使用レシピ!P:P,MATCH(テンプレート!$C582,使用レシピ!$E:$E,0))&lt;&gt;0,INDEX(使用レシピ!P:P,MATCH(テンプレート!$C582,使用レシピ!$E:$E,0)),""),"")</f>
        <v/>
      </c>
      <c r="P582" t="str">
        <f t="shared" si="46"/>
        <v/>
      </c>
      <c r="Q582" t="str">
        <f t="shared" si="47"/>
        <v/>
      </c>
      <c r="R582" t="str">
        <f t="shared" si="48"/>
        <v/>
      </c>
      <c r="S582" t="str">
        <f t="shared" si="49"/>
        <v/>
      </c>
      <c r="T582" s="24" t="str">
        <f t="shared" si="50"/>
        <v/>
      </c>
    </row>
    <row r="583" spans="2:20" x14ac:dyDescent="0.4">
      <c r="B583" s="49" t="str" cm="1">
        <f t="array" ref="B583">IFERROR((INDEX($P$4:$T$1000,MATCH(VALUE(LEFT($A583,LEN($A583)-1)),$A$4:$A$1000,0),VALUE(RIGHT($A583,1)))/ INDEX($O$4:$O$1000,MATCH(VALUE(LEFT($A583,LEN($A583)-1)),$A$4:$A$1000))) * INDEX($B$4:$B$1000,MATCH(VALUE(LEFT($A583,LEN($A583)-1)),$A$4:$A$1000)),"")</f>
        <v/>
      </c>
      <c r="C583" s="2" t="str" cm="1">
        <f t="array" ref="C583">IFERROR(IF(INDEX($D$4:$H$1000,MATCH(VALUE(LEFT($A583,LEN($A583)-1)),$A$4:$A$1000,0),VALUE(RIGHT($A583,1)))= 0,"",INDEX($D$4:$H$1000,MATCH(VALUE(LEFT($A583,LEN($A583)-1)),$A$4:$A$1000,0),VALUE(RIGHT($A583,1)))),"")</f>
        <v/>
      </c>
      <c r="D583" s="23" t="str">
        <f>IFERROR(IF(INDEX(使用レシピ!F:F,MATCH(テンプレート!$C583,使用レシピ!$E:$E,0))&lt;&gt;0,INDEX(使用レシピ!F:F,MATCH(テンプレート!$C583,使用レシピ!$E:$E,0)),""),"")</f>
        <v/>
      </c>
      <c r="E583" t="str">
        <f>IFERROR(IF(INDEX(使用レシピ!G:G,MATCH(テンプレート!$C583,使用レシピ!$E:$E,0))&lt;&gt;0,INDEX(使用レシピ!G:G,MATCH(テンプレート!$C583,使用レシピ!$E:$E,0)),""),"")</f>
        <v/>
      </c>
      <c r="F583" t="str">
        <f>IFERROR(IF(INDEX(使用レシピ!H:H,MATCH(テンプレート!$C583,使用レシピ!$E:$E,0))&lt;&gt;0,INDEX(使用レシピ!H:H,MATCH(テンプレート!$C583,使用レシピ!$E:$E,0)),""),"")</f>
        <v/>
      </c>
      <c r="G583" t="str">
        <f>IFERROR(IF(INDEX(使用レシピ!I:I,MATCH(テンプレート!$C583,使用レシピ!$E:$E,0))&lt;&gt;0,INDEX(使用レシピ!I:I,MATCH(テンプレート!$C583,使用レシピ!$E:$E,0)),""),"")</f>
        <v/>
      </c>
      <c r="H583" s="24" t="str">
        <f>IFERROR(IF(INDEX(使用レシピ!J:J,MATCH(テンプレート!$C583,使用レシピ!$E:$E,0))&lt;&gt;0,INDEX(使用レシピ!J:J,MATCH(テンプレート!$C583,使用レシピ!$E:$E,0)),""),"")</f>
        <v/>
      </c>
      <c r="I583" s="36" t="str">
        <f>IFERROR(IF(INDEX(使用レシピ!P:P,MATCH(テンプレート!$C583,使用レシピ!$E:$E,0))&lt;&gt;0,INDEX(使用レシピ!P:P,MATCH(テンプレート!$C583,使用レシピ!$E:$E,0)),""),"")</f>
        <v/>
      </c>
      <c r="J583" t="str">
        <f>IFERROR(IF(INDEX(使用レシピ!K:K,MATCH(テンプレート!$C583,使用レシピ!$E:$E,0))&lt;&gt;0,INDEX(使用レシピ!K:K,MATCH(テンプレート!$C583,使用レシピ!$E:$E,0)),""),"")</f>
        <v/>
      </c>
      <c r="K583" t="str">
        <f>IFERROR(IF(INDEX(使用レシピ!L:L,MATCH(テンプレート!$C583,使用レシピ!$E:$E,0))&lt;&gt;0,INDEX(使用レシピ!L:L,MATCH(テンプレート!$C583,使用レシピ!$E:$E,0)),""),"")</f>
        <v/>
      </c>
      <c r="L583" t="str">
        <f>IFERROR(IF(INDEX(使用レシピ!M:M,MATCH(テンプレート!$C583,使用レシピ!$E:$E,0))&lt;&gt;0,INDEX(使用レシピ!M:M,MATCH(テンプレート!$C583,使用レシピ!$E:$E,0)),""),"")</f>
        <v/>
      </c>
      <c r="M583" t="str">
        <f>IFERROR(IF(INDEX(使用レシピ!N:N,MATCH(テンプレート!$C583,使用レシピ!$E:$E,0))&lt;&gt;0,INDEX(使用レシピ!N:N,MATCH(テンプレート!$C583,使用レシピ!$E:$E,0)),""),"")</f>
        <v/>
      </c>
      <c r="N583" s="24" t="str">
        <f>IFERROR(IF(INDEX(使用レシピ!O:O,MATCH(テンプレート!$C583,使用レシピ!$E:$E,0))&lt;&gt;0,INDEX(使用レシピ!O:O,MATCH(テンプレート!$C583,使用レシピ!$E:$E,0)),""),"")</f>
        <v/>
      </c>
      <c r="O583" s="36" t="str">
        <f>IFERROR(IF(INDEX(使用レシピ!P:P,MATCH(テンプレート!$C583,使用レシピ!$E:$E,0))&lt;&gt;0,INDEX(使用レシピ!P:P,MATCH(テンプレート!$C583,使用レシピ!$E:$E,0)),""),"")</f>
        <v/>
      </c>
      <c r="P583" t="str">
        <f t="shared" si="46"/>
        <v/>
      </c>
      <c r="Q583" t="str">
        <f t="shared" si="47"/>
        <v/>
      </c>
      <c r="R583" t="str">
        <f t="shared" si="48"/>
        <v/>
      </c>
      <c r="S583" t="str">
        <f t="shared" si="49"/>
        <v/>
      </c>
      <c r="T583" s="24" t="str">
        <f t="shared" si="50"/>
        <v/>
      </c>
    </row>
    <row r="584" spans="2:20" x14ac:dyDescent="0.4">
      <c r="B584" s="49" t="str" cm="1">
        <f t="array" ref="B584">IFERROR((INDEX($P$4:$T$1000,MATCH(VALUE(LEFT($A584,LEN($A584)-1)),$A$4:$A$1000,0),VALUE(RIGHT($A584,1)))/ INDEX($O$4:$O$1000,MATCH(VALUE(LEFT($A584,LEN($A584)-1)),$A$4:$A$1000))) * INDEX($B$4:$B$1000,MATCH(VALUE(LEFT($A584,LEN($A584)-1)),$A$4:$A$1000)),"")</f>
        <v/>
      </c>
      <c r="C584" s="2" t="str" cm="1">
        <f t="array" ref="C584">IFERROR(IF(INDEX($D$4:$H$1000,MATCH(VALUE(LEFT($A584,LEN($A584)-1)),$A$4:$A$1000,0),VALUE(RIGHT($A584,1)))= 0,"",INDEX($D$4:$H$1000,MATCH(VALUE(LEFT($A584,LEN($A584)-1)),$A$4:$A$1000,0),VALUE(RIGHT($A584,1)))),"")</f>
        <v/>
      </c>
      <c r="D584" s="23" t="str">
        <f>IFERROR(IF(INDEX(使用レシピ!F:F,MATCH(テンプレート!$C584,使用レシピ!$E:$E,0))&lt;&gt;0,INDEX(使用レシピ!F:F,MATCH(テンプレート!$C584,使用レシピ!$E:$E,0)),""),"")</f>
        <v/>
      </c>
      <c r="E584" t="str">
        <f>IFERROR(IF(INDEX(使用レシピ!G:G,MATCH(テンプレート!$C584,使用レシピ!$E:$E,0))&lt;&gt;0,INDEX(使用レシピ!G:G,MATCH(テンプレート!$C584,使用レシピ!$E:$E,0)),""),"")</f>
        <v/>
      </c>
      <c r="F584" t="str">
        <f>IFERROR(IF(INDEX(使用レシピ!H:H,MATCH(テンプレート!$C584,使用レシピ!$E:$E,0))&lt;&gt;0,INDEX(使用レシピ!H:H,MATCH(テンプレート!$C584,使用レシピ!$E:$E,0)),""),"")</f>
        <v/>
      </c>
      <c r="G584" t="str">
        <f>IFERROR(IF(INDEX(使用レシピ!I:I,MATCH(テンプレート!$C584,使用レシピ!$E:$E,0))&lt;&gt;0,INDEX(使用レシピ!I:I,MATCH(テンプレート!$C584,使用レシピ!$E:$E,0)),""),"")</f>
        <v/>
      </c>
      <c r="H584" s="24" t="str">
        <f>IFERROR(IF(INDEX(使用レシピ!J:J,MATCH(テンプレート!$C584,使用レシピ!$E:$E,0))&lt;&gt;0,INDEX(使用レシピ!J:J,MATCH(テンプレート!$C584,使用レシピ!$E:$E,0)),""),"")</f>
        <v/>
      </c>
      <c r="I584" s="36" t="str">
        <f>IFERROR(IF(INDEX(使用レシピ!P:P,MATCH(テンプレート!$C584,使用レシピ!$E:$E,0))&lt;&gt;0,INDEX(使用レシピ!P:P,MATCH(テンプレート!$C584,使用レシピ!$E:$E,0)),""),"")</f>
        <v/>
      </c>
      <c r="J584" t="str">
        <f>IFERROR(IF(INDEX(使用レシピ!K:K,MATCH(テンプレート!$C584,使用レシピ!$E:$E,0))&lt;&gt;0,INDEX(使用レシピ!K:K,MATCH(テンプレート!$C584,使用レシピ!$E:$E,0)),""),"")</f>
        <v/>
      </c>
      <c r="K584" t="str">
        <f>IFERROR(IF(INDEX(使用レシピ!L:L,MATCH(テンプレート!$C584,使用レシピ!$E:$E,0))&lt;&gt;0,INDEX(使用レシピ!L:L,MATCH(テンプレート!$C584,使用レシピ!$E:$E,0)),""),"")</f>
        <v/>
      </c>
      <c r="L584" t="str">
        <f>IFERROR(IF(INDEX(使用レシピ!M:M,MATCH(テンプレート!$C584,使用レシピ!$E:$E,0))&lt;&gt;0,INDEX(使用レシピ!M:M,MATCH(テンプレート!$C584,使用レシピ!$E:$E,0)),""),"")</f>
        <v/>
      </c>
      <c r="M584" t="str">
        <f>IFERROR(IF(INDEX(使用レシピ!N:N,MATCH(テンプレート!$C584,使用レシピ!$E:$E,0))&lt;&gt;0,INDEX(使用レシピ!N:N,MATCH(テンプレート!$C584,使用レシピ!$E:$E,0)),""),"")</f>
        <v/>
      </c>
      <c r="N584" s="24" t="str">
        <f>IFERROR(IF(INDEX(使用レシピ!O:O,MATCH(テンプレート!$C584,使用レシピ!$E:$E,0))&lt;&gt;0,INDEX(使用レシピ!O:O,MATCH(テンプレート!$C584,使用レシピ!$E:$E,0)),""),"")</f>
        <v/>
      </c>
      <c r="O584" s="36" t="str">
        <f>IFERROR(IF(INDEX(使用レシピ!P:P,MATCH(テンプレート!$C584,使用レシピ!$E:$E,0))&lt;&gt;0,INDEX(使用レシピ!P:P,MATCH(テンプレート!$C584,使用レシピ!$E:$E,0)),""),"")</f>
        <v/>
      </c>
      <c r="P584" t="str">
        <f t="shared" si="46"/>
        <v/>
      </c>
      <c r="Q584" t="str">
        <f t="shared" si="47"/>
        <v/>
      </c>
      <c r="R584" t="str">
        <f t="shared" si="48"/>
        <v/>
      </c>
      <c r="S584" t="str">
        <f t="shared" si="49"/>
        <v/>
      </c>
      <c r="T584" s="24" t="str">
        <f t="shared" si="50"/>
        <v/>
      </c>
    </row>
    <row r="585" spans="2:20" x14ac:dyDescent="0.4">
      <c r="B585" s="49" t="str" cm="1">
        <f t="array" ref="B585">IFERROR((INDEX($P$4:$T$1000,MATCH(VALUE(LEFT($A585,LEN($A585)-1)),$A$4:$A$1000,0),VALUE(RIGHT($A585,1)))/ INDEX($O$4:$O$1000,MATCH(VALUE(LEFT($A585,LEN($A585)-1)),$A$4:$A$1000))) * INDEX($B$4:$B$1000,MATCH(VALUE(LEFT($A585,LEN($A585)-1)),$A$4:$A$1000)),"")</f>
        <v/>
      </c>
      <c r="C585" s="2" t="str" cm="1">
        <f t="array" ref="C585">IFERROR(IF(INDEX($D$4:$H$1000,MATCH(VALUE(LEFT($A585,LEN($A585)-1)),$A$4:$A$1000,0),VALUE(RIGHT($A585,1)))= 0,"",INDEX($D$4:$H$1000,MATCH(VALUE(LEFT($A585,LEN($A585)-1)),$A$4:$A$1000,0),VALUE(RIGHT($A585,1)))),"")</f>
        <v/>
      </c>
      <c r="D585" s="23" t="str">
        <f>IFERROR(IF(INDEX(使用レシピ!F:F,MATCH(テンプレート!$C585,使用レシピ!$E:$E,0))&lt;&gt;0,INDEX(使用レシピ!F:F,MATCH(テンプレート!$C585,使用レシピ!$E:$E,0)),""),"")</f>
        <v/>
      </c>
      <c r="E585" t="str">
        <f>IFERROR(IF(INDEX(使用レシピ!G:G,MATCH(テンプレート!$C585,使用レシピ!$E:$E,0))&lt;&gt;0,INDEX(使用レシピ!G:G,MATCH(テンプレート!$C585,使用レシピ!$E:$E,0)),""),"")</f>
        <v/>
      </c>
      <c r="F585" t="str">
        <f>IFERROR(IF(INDEX(使用レシピ!H:H,MATCH(テンプレート!$C585,使用レシピ!$E:$E,0))&lt;&gt;0,INDEX(使用レシピ!H:H,MATCH(テンプレート!$C585,使用レシピ!$E:$E,0)),""),"")</f>
        <v/>
      </c>
      <c r="G585" t="str">
        <f>IFERROR(IF(INDEX(使用レシピ!I:I,MATCH(テンプレート!$C585,使用レシピ!$E:$E,0))&lt;&gt;0,INDEX(使用レシピ!I:I,MATCH(テンプレート!$C585,使用レシピ!$E:$E,0)),""),"")</f>
        <v/>
      </c>
      <c r="H585" s="24" t="str">
        <f>IFERROR(IF(INDEX(使用レシピ!J:J,MATCH(テンプレート!$C585,使用レシピ!$E:$E,0))&lt;&gt;0,INDEX(使用レシピ!J:J,MATCH(テンプレート!$C585,使用レシピ!$E:$E,0)),""),"")</f>
        <v/>
      </c>
      <c r="I585" s="36" t="str">
        <f>IFERROR(IF(INDEX(使用レシピ!P:P,MATCH(テンプレート!$C585,使用レシピ!$E:$E,0))&lt;&gt;0,INDEX(使用レシピ!P:P,MATCH(テンプレート!$C585,使用レシピ!$E:$E,0)),""),"")</f>
        <v/>
      </c>
      <c r="J585" t="str">
        <f>IFERROR(IF(INDEX(使用レシピ!K:K,MATCH(テンプレート!$C585,使用レシピ!$E:$E,0))&lt;&gt;0,INDEX(使用レシピ!K:K,MATCH(テンプレート!$C585,使用レシピ!$E:$E,0)),""),"")</f>
        <v/>
      </c>
      <c r="K585" t="str">
        <f>IFERROR(IF(INDEX(使用レシピ!L:L,MATCH(テンプレート!$C585,使用レシピ!$E:$E,0))&lt;&gt;0,INDEX(使用レシピ!L:L,MATCH(テンプレート!$C585,使用レシピ!$E:$E,0)),""),"")</f>
        <v/>
      </c>
      <c r="L585" t="str">
        <f>IFERROR(IF(INDEX(使用レシピ!M:M,MATCH(テンプレート!$C585,使用レシピ!$E:$E,0))&lt;&gt;0,INDEX(使用レシピ!M:M,MATCH(テンプレート!$C585,使用レシピ!$E:$E,0)),""),"")</f>
        <v/>
      </c>
      <c r="M585" t="str">
        <f>IFERROR(IF(INDEX(使用レシピ!N:N,MATCH(テンプレート!$C585,使用レシピ!$E:$E,0))&lt;&gt;0,INDEX(使用レシピ!N:N,MATCH(テンプレート!$C585,使用レシピ!$E:$E,0)),""),"")</f>
        <v/>
      </c>
      <c r="N585" s="24" t="str">
        <f>IFERROR(IF(INDEX(使用レシピ!O:O,MATCH(テンプレート!$C585,使用レシピ!$E:$E,0))&lt;&gt;0,INDEX(使用レシピ!O:O,MATCH(テンプレート!$C585,使用レシピ!$E:$E,0)),""),"")</f>
        <v/>
      </c>
      <c r="O585" s="36" t="str">
        <f>IFERROR(IF(INDEX(使用レシピ!P:P,MATCH(テンプレート!$C585,使用レシピ!$E:$E,0))&lt;&gt;0,INDEX(使用レシピ!P:P,MATCH(テンプレート!$C585,使用レシピ!$E:$E,0)),""),"")</f>
        <v/>
      </c>
      <c r="P585" t="str">
        <f t="shared" si="46"/>
        <v/>
      </c>
      <c r="Q585" t="str">
        <f t="shared" si="47"/>
        <v/>
      </c>
      <c r="R585" t="str">
        <f t="shared" si="48"/>
        <v/>
      </c>
      <c r="S585" t="str">
        <f t="shared" si="49"/>
        <v/>
      </c>
      <c r="T585" s="24" t="str">
        <f t="shared" si="50"/>
        <v/>
      </c>
    </row>
    <row r="586" spans="2:20" x14ac:dyDescent="0.4">
      <c r="B586" s="49" t="str" cm="1">
        <f t="array" ref="B586">IFERROR((INDEX($P$4:$T$1000,MATCH(VALUE(LEFT($A586,LEN($A586)-1)),$A$4:$A$1000,0),VALUE(RIGHT($A586,1)))/ INDEX($O$4:$O$1000,MATCH(VALUE(LEFT($A586,LEN($A586)-1)),$A$4:$A$1000))) * INDEX($B$4:$B$1000,MATCH(VALUE(LEFT($A586,LEN($A586)-1)),$A$4:$A$1000)),"")</f>
        <v/>
      </c>
      <c r="C586" s="2" t="str" cm="1">
        <f t="array" ref="C586">IFERROR(IF(INDEX($D$4:$H$1000,MATCH(VALUE(LEFT($A586,LEN($A586)-1)),$A$4:$A$1000,0),VALUE(RIGHT($A586,1)))= 0,"",INDEX($D$4:$H$1000,MATCH(VALUE(LEFT($A586,LEN($A586)-1)),$A$4:$A$1000,0),VALUE(RIGHT($A586,1)))),"")</f>
        <v/>
      </c>
      <c r="D586" s="23" t="str">
        <f>IFERROR(IF(INDEX(使用レシピ!F:F,MATCH(テンプレート!$C586,使用レシピ!$E:$E,0))&lt;&gt;0,INDEX(使用レシピ!F:F,MATCH(テンプレート!$C586,使用レシピ!$E:$E,0)),""),"")</f>
        <v/>
      </c>
      <c r="E586" t="str">
        <f>IFERROR(IF(INDEX(使用レシピ!G:G,MATCH(テンプレート!$C586,使用レシピ!$E:$E,0))&lt;&gt;0,INDEX(使用レシピ!G:G,MATCH(テンプレート!$C586,使用レシピ!$E:$E,0)),""),"")</f>
        <v/>
      </c>
      <c r="F586" t="str">
        <f>IFERROR(IF(INDEX(使用レシピ!H:H,MATCH(テンプレート!$C586,使用レシピ!$E:$E,0))&lt;&gt;0,INDEX(使用レシピ!H:H,MATCH(テンプレート!$C586,使用レシピ!$E:$E,0)),""),"")</f>
        <v/>
      </c>
      <c r="G586" t="str">
        <f>IFERROR(IF(INDEX(使用レシピ!I:I,MATCH(テンプレート!$C586,使用レシピ!$E:$E,0))&lt;&gt;0,INDEX(使用レシピ!I:I,MATCH(テンプレート!$C586,使用レシピ!$E:$E,0)),""),"")</f>
        <v/>
      </c>
      <c r="H586" s="24" t="str">
        <f>IFERROR(IF(INDEX(使用レシピ!J:J,MATCH(テンプレート!$C586,使用レシピ!$E:$E,0))&lt;&gt;0,INDEX(使用レシピ!J:J,MATCH(テンプレート!$C586,使用レシピ!$E:$E,0)),""),"")</f>
        <v/>
      </c>
      <c r="I586" s="36" t="str">
        <f>IFERROR(IF(INDEX(使用レシピ!P:P,MATCH(テンプレート!$C586,使用レシピ!$E:$E,0))&lt;&gt;0,INDEX(使用レシピ!P:P,MATCH(テンプレート!$C586,使用レシピ!$E:$E,0)),""),"")</f>
        <v/>
      </c>
      <c r="J586" t="str">
        <f>IFERROR(IF(INDEX(使用レシピ!K:K,MATCH(テンプレート!$C586,使用レシピ!$E:$E,0))&lt;&gt;0,INDEX(使用レシピ!K:K,MATCH(テンプレート!$C586,使用レシピ!$E:$E,0)),""),"")</f>
        <v/>
      </c>
      <c r="K586" t="str">
        <f>IFERROR(IF(INDEX(使用レシピ!L:L,MATCH(テンプレート!$C586,使用レシピ!$E:$E,0))&lt;&gt;0,INDEX(使用レシピ!L:L,MATCH(テンプレート!$C586,使用レシピ!$E:$E,0)),""),"")</f>
        <v/>
      </c>
      <c r="L586" t="str">
        <f>IFERROR(IF(INDEX(使用レシピ!M:M,MATCH(テンプレート!$C586,使用レシピ!$E:$E,0))&lt;&gt;0,INDEX(使用レシピ!M:M,MATCH(テンプレート!$C586,使用レシピ!$E:$E,0)),""),"")</f>
        <v/>
      </c>
      <c r="M586" t="str">
        <f>IFERROR(IF(INDEX(使用レシピ!N:N,MATCH(テンプレート!$C586,使用レシピ!$E:$E,0))&lt;&gt;0,INDEX(使用レシピ!N:N,MATCH(テンプレート!$C586,使用レシピ!$E:$E,0)),""),"")</f>
        <v/>
      </c>
      <c r="N586" s="24" t="str">
        <f>IFERROR(IF(INDEX(使用レシピ!O:O,MATCH(テンプレート!$C586,使用レシピ!$E:$E,0))&lt;&gt;0,INDEX(使用レシピ!O:O,MATCH(テンプレート!$C586,使用レシピ!$E:$E,0)),""),"")</f>
        <v/>
      </c>
      <c r="O586" s="36" t="str">
        <f>IFERROR(IF(INDEX(使用レシピ!P:P,MATCH(テンプレート!$C586,使用レシピ!$E:$E,0))&lt;&gt;0,INDEX(使用レシピ!P:P,MATCH(テンプレート!$C586,使用レシピ!$E:$E,0)),""),"")</f>
        <v/>
      </c>
      <c r="P586" t="str">
        <f t="shared" si="46"/>
        <v/>
      </c>
      <c r="Q586" t="str">
        <f t="shared" si="47"/>
        <v/>
      </c>
      <c r="R586" t="str">
        <f t="shared" si="48"/>
        <v/>
      </c>
      <c r="S586" t="str">
        <f t="shared" si="49"/>
        <v/>
      </c>
      <c r="T586" s="24" t="str">
        <f t="shared" si="50"/>
        <v/>
      </c>
    </row>
    <row r="587" spans="2:20" x14ac:dyDescent="0.4">
      <c r="B587" s="49" t="str" cm="1">
        <f t="array" ref="B587">IFERROR((INDEX($P$4:$T$1000,MATCH(VALUE(LEFT($A587,LEN($A587)-1)),$A$4:$A$1000,0),VALUE(RIGHT($A587,1)))/ INDEX($O$4:$O$1000,MATCH(VALUE(LEFT($A587,LEN($A587)-1)),$A$4:$A$1000))) * INDEX($B$4:$B$1000,MATCH(VALUE(LEFT($A587,LEN($A587)-1)),$A$4:$A$1000)),"")</f>
        <v/>
      </c>
      <c r="C587" s="2" t="str" cm="1">
        <f t="array" ref="C587">IFERROR(IF(INDEX($D$4:$H$1000,MATCH(VALUE(LEFT($A587,LEN($A587)-1)),$A$4:$A$1000,0),VALUE(RIGHT($A587,1)))= 0,"",INDEX($D$4:$H$1000,MATCH(VALUE(LEFT($A587,LEN($A587)-1)),$A$4:$A$1000,0),VALUE(RIGHT($A587,1)))),"")</f>
        <v/>
      </c>
      <c r="D587" s="23" t="str">
        <f>IFERROR(IF(INDEX(使用レシピ!F:F,MATCH(テンプレート!$C587,使用レシピ!$E:$E,0))&lt;&gt;0,INDEX(使用レシピ!F:F,MATCH(テンプレート!$C587,使用レシピ!$E:$E,0)),""),"")</f>
        <v/>
      </c>
      <c r="E587" t="str">
        <f>IFERROR(IF(INDEX(使用レシピ!G:G,MATCH(テンプレート!$C587,使用レシピ!$E:$E,0))&lt;&gt;0,INDEX(使用レシピ!G:G,MATCH(テンプレート!$C587,使用レシピ!$E:$E,0)),""),"")</f>
        <v/>
      </c>
      <c r="F587" t="str">
        <f>IFERROR(IF(INDEX(使用レシピ!H:H,MATCH(テンプレート!$C587,使用レシピ!$E:$E,0))&lt;&gt;0,INDEX(使用レシピ!H:H,MATCH(テンプレート!$C587,使用レシピ!$E:$E,0)),""),"")</f>
        <v/>
      </c>
      <c r="G587" t="str">
        <f>IFERROR(IF(INDEX(使用レシピ!I:I,MATCH(テンプレート!$C587,使用レシピ!$E:$E,0))&lt;&gt;0,INDEX(使用レシピ!I:I,MATCH(テンプレート!$C587,使用レシピ!$E:$E,0)),""),"")</f>
        <v/>
      </c>
      <c r="H587" s="24" t="str">
        <f>IFERROR(IF(INDEX(使用レシピ!J:J,MATCH(テンプレート!$C587,使用レシピ!$E:$E,0))&lt;&gt;0,INDEX(使用レシピ!J:J,MATCH(テンプレート!$C587,使用レシピ!$E:$E,0)),""),"")</f>
        <v/>
      </c>
      <c r="I587" s="36" t="str">
        <f>IFERROR(IF(INDEX(使用レシピ!P:P,MATCH(テンプレート!$C587,使用レシピ!$E:$E,0))&lt;&gt;0,INDEX(使用レシピ!P:P,MATCH(テンプレート!$C587,使用レシピ!$E:$E,0)),""),"")</f>
        <v/>
      </c>
      <c r="J587" t="str">
        <f>IFERROR(IF(INDEX(使用レシピ!K:K,MATCH(テンプレート!$C587,使用レシピ!$E:$E,0))&lt;&gt;0,INDEX(使用レシピ!K:K,MATCH(テンプレート!$C587,使用レシピ!$E:$E,0)),""),"")</f>
        <v/>
      </c>
      <c r="K587" t="str">
        <f>IFERROR(IF(INDEX(使用レシピ!L:L,MATCH(テンプレート!$C587,使用レシピ!$E:$E,0))&lt;&gt;0,INDEX(使用レシピ!L:L,MATCH(テンプレート!$C587,使用レシピ!$E:$E,0)),""),"")</f>
        <v/>
      </c>
      <c r="L587" t="str">
        <f>IFERROR(IF(INDEX(使用レシピ!M:M,MATCH(テンプレート!$C587,使用レシピ!$E:$E,0))&lt;&gt;0,INDEX(使用レシピ!M:M,MATCH(テンプレート!$C587,使用レシピ!$E:$E,0)),""),"")</f>
        <v/>
      </c>
      <c r="M587" t="str">
        <f>IFERROR(IF(INDEX(使用レシピ!N:N,MATCH(テンプレート!$C587,使用レシピ!$E:$E,0))&lt;&gt;0,INDEX(使用レシピ!N:N,MATCH(テンプレート!$C587,使用レシピ!$E:$E,0)),""),"")</f>
        <v/>
      </c>
      <c r="N587" s="24" t="str">
        <f>IFERROR(IF(INDEX(使用レシピ!O:O,MATCH(テンプレート!$C587,使用レシピ!$E:$E,0))&lt;&gt;0,INDEX(使用レシピ!O:O,MATCH(テンプレート!$C587,使用レシピ!$E:$E,0)),""),"")</f>
        <v/>
      </c>
      <c r="O587" s="36" t="str">
        <f>IFERROR(IF(INDEX(使用レシピ!P:P,MATCH(テンプレート!$C587,使用レシピ!$E:$E,0))&lt;&gt;0,INDEX(使用レシピ!P:P,MATCH(テンプレート!$C587,使用レシピ!$E:$E,0)),""),"")</f>
        <v/>
      </c>
      <c r="P587" t="str">
        <f t="shared" si="46"/>
        <v/>
      </c>
      <c r="Q587" t="str">
        <f t="shared" si="47"/>
        <v/>
      </c>
      <c r="R587" t="str">
        <f t="shared" si="48"/>
        <v/>
      </c>
      <c r="S587" t="str">
        <f t="shared" si="49"/>
        <v/>
      </c>
      <c r="T587" s="24" t="str">
        <f t="shared" si="50"/>
        <v/>
      </c>
    </row>
    <row r="588" spans="2:20" x14ac:dyDescent="0.4">
      <c r="B588" s="49" t="str" cm="1">
        <f t="array" ref="B588">IFERROR((INDEX($P$4:$T$1000,MATCH(VALUE(LEFT($A588,LEN($A588)-1)),$A$4:$A$1000,0),VALUE(RIGHT($A588,1)))/ INDEX($O$4:$O$1000,MATCH(VALUE(LEFT($A588,LEN($A588)-1)),$A$4:$A$1000))) * INDEX($B$4:$B$1000,MATCH(VALUE(LEFT($A588,LEN($A588)-1)),$A$4:$A$1000)),"")</f>
        <v/>
      </c>
      <c r="C588" s="2" t="str" cm="1">
        <f t="array" ref="C588">IFERROR(IF(INDEX($D$4:$H$1000,MATCH(VALUE(LEFT($A588,LEN($A588)-1)),$A$4:$A$1000,0),VALUE(RIGHT($A588,1)))= 0,"",INDEX($D$4:$H$1000,MATCH(VALUE(LEFT($A588,LEN($A588)-1)),$A$4:$A$1000,0),VALUE(RIGHT($A588,1)))),"")</f>
        <v/>
      </c>
      <c r="D588" s="23" t="str">
        <f>IFERROR(IF(INDEX(使用レシピ!F:F,MATCH(テンプレート!$C588,使用レシピ!$E:$E,0))&lt;&gt;0,INDEX(使用レシピ!F:F,MATCH(テンプレート!$C588,使用レシピ!$E:$E,0)),""),"")</f>
        <v/>
      </c>
      <c r="E588" t="str">
        <f>IFERROR(IF(INDEX(使用レシピ!G:G,MATCH(テンプレート!$C588,使用レシピ!$E:$E,0))&lt;&gt;0,INDEX(使用レシピ!G:G,MATCH(テンプレート!$C588,使用レシピ!$E:$E,0)),""),"")</f>
        <v/>
      </c>
      <c r="F588" t="str">
        <f>IFERROR(IF(INDEX(使用レシピ!H:H,MATCH(テンプレート!$C588,使用レシピ!$E:$E,0))&lt;&gt;0,INDEX(使用レシピ!H:H,MATCH(テンプレート!$C588,使用レシピ!$E:$E,0)),""),"")</f>
        <v/>
      </c>
      <c r="G588" t="str">
        <f>IFERROR(IF(INDEX(使用レシピ!I:I,MATCH(テンプレート!$C588,使用レシピ!$E:$E,0))&lt;&gt;0,INDEX(使用レシピ!I:I,MATCH(テンプレート!$C588,使用レシピ!$E:$E,0)),""),"")</f>
        <v/>
      </c>
      <c r="H588" s="24" t="str">
        <f>IFERROR(IF(INDEX(使用レシピ!J:J,MATCH(テンプレート!$C588,使用レシピ!$E:$E,0))&lt;&gt;0,INDEX(使用レシピ!J:J,MATCH(テンプレート!$C588,使用レシピ!$E:$E,0)),""),"")</f>
        <v/>
      </c>
      <c r="I588" s="36" t="str">
        <f>IFERROR(IF(INDEX(使用レシピ!P:P,MATCH(テンプレート!$C588,使用レシピ!$E:$E,0))&lt;&gt;0,INDEX(使用レシピ!P:P,MATCH(テンプレート!$C588,使用レシピ!$E:$E,0)),""),"")</f>
        <v/>
      </c>
      <c r="J588" t="str">
        <f>IFERROR(IF(INDEX(使用レシピ!K:K,MATCH(テンプレート!$C588,使用レシピ!$E:$E,0))&lt;&gt;0,INDEX(使用レシピ!K:K,MATCH(テンプレート!$C588,使用レシピ!$E:$E,0)),""),"")</f>
        <v/>
      </c>
      <c r="K588" t="str">
        <f>IFERROR(IF(INDEX(使用レシピ!L:L,MATCH(テンプレート!$C588,使用レシピ!$E:$E,0))&lt;&gt;0,INDEX(使用レシピ!L:L,MATCH(テンプレート!$C588,使用レシピ!$E:$E,0)),""),"")</f>
        <v/>
      </c>
      <c r="L588" t="str">
        <f>IFERROR(IF(INDEX(使用レシピ!M:M,MATCH(テンプレート!$C588,使用レシピ!$E:$E,0))&lt;&gt;0,INDEX(使用レシピ!M:M,MATCH(テンプレート!$C588,使用レシピ!$E:$E,0)),""),"")</f>
        <v/>
      </c>
      <c r="M588" t="str">
        <f>IFERROR(IF(INDEX(使用レシピ!N:N,MATCH(テンプレート!$C588,使用レシピ!$E:$E,0))&lt;&gt;0,INDEX(使用レシピ!N:N,MATCH(テンプレート!$C588,使用レシピ!$E:$E,0)),""),"")</f>
        <v/>
      </c>
      <c r="N588" s="24" t="str">
        <f>IFERROR(IF(INDEX(使用レシピ!O:O,MATCH(テンプレート!$C588,使用レシピ!$E:$E,0))&lt;&gt;0,INDEX(使用レシピ!O:O,MATCH(テンプレート!$C588,使用レシピ!$E:$E,0)),""),"")</f>
        <v/>
      </c>
      <c r="O588" s="36" t="str">
        <f>IFERROR(IF(INDEX(使用レシピ!P:P,MATCH(テンプレート!$C588,使用レシピ!$E:$E,0))&lt;&gt;0,INDEX(使用レシピ!P:P,MATCH(テンプレート!$C588,使用レシピ!$E:$E,0)),""),"")</f>
        <v/>
      </c>
      <c r="P588" t="str">
        <f t="shared" si="46"/>
        <v/>
      </c>
      <c r="Q588" t="str">
        <f t="shared" si="47"/>
        <v/>
      </c>
      <c r="R588" t="str">
        <f t="shared" si="48"/>
        <v/>
      </c>
      <c r="S588" t="str">
        <f t="shared" si="49"/>
        <v/>
      </c>
      <c r="T588" s="24" t="str">
        <f t="shared" si="50"/>
        <v/>
      </c>
    </row>
    <row r="589" spans="2:20" x14ac:dyDescent="0.4">
      <c r="B589" s="49" t="str" cm="1">
        <f t="array" ref="B589">IFERROR((INDEX($P$4:$T$1000,MATCH(VALUE(LEFT($A589,LEN($A589)-1)),$A$4:$A$1000,0),VALUE(RIGHT($A589,1)))/ INDEX($O$4:$O$1000,MATCH(VALUE(LEFT($A589,LEN($A589)-1)),$A$4:$A$1000))) * INDEX($B$4:$B$1000,MATCH(VALUE(LEFT($A589,LEN($A589)-1)),$A$4:$A$1000)),"")</f>
        <v/>
      </c>
      <c r="C589" s="2" t="str" cm="1">
        <f t="array" ref="C589">IFERROR(IF(INDEX($D$4:$H$1000,MATCH(VALUE(LEFT($A589,LEN($A589)-1)),$A$4:$A$1000,0),VALUE(RIGHT($A589,1)))= 0,"",INDEX($D$4:$H$1000,MATCH(VALUE(LEFT($A589,LEN($A589)-1)),$A$4:$A$1000,0),VALUE(RIGHT($A589,1)))),"")</f>
        <v/>
      </c>
      <c r="D589" s="23" t="str">
        <f>IFERROR(IF(INDEX(使用レシピ!F:F,MATCH(テンプレート!$C589,使用レシピ!$E:$E,0))&lt;&gt;0,INDEX(使用レシピ!F:F,MATCH(テンプレート!$C589,使用レシピ!$E:$E,0)),""),"")</f>
        <v/>
      </c>
      <c r="E589" t="str">
        <f>IFERROR(IF(INDEX(使用レシピ!G:G,MATCH(テンプレート!$C589,使用レシピ!$E:$E,0))&lt;&gt;0,INDEX(使用レシピ!G:G,MATCH(テンプレート!$C589,使用レシピ!$E:$E,0)),""),"")</f>
        <v/>
      </c>
      <c r="F589" t="str">
        <f>IFERROR(IF(INDEX(使用レシピ!H:H,MATCH(テンプレート!$C589,使用レシピ!$E:$E,0))&lt;&gt;0,INDEX(使用レシピ!H:H,MATCH(テンプレート!$C589,使用レシピ!$E:$E,0)),""),"")</f>
        <v/>
      </c>
      <c r="G589" t="str">
        <f>IFERROR(IF(INDEX(使用レシピ!I:I,MATCH(テンプレート!$C589,使用レシピ!$E:$E,0))&lt;&gt;0,INDEX(使用レシピ!I:I,MATCH(テンプレート!$C589,使用レシピ!$E:$E,0)),""),"")</f>
        <v/>
      </c>
      <c r="H589" s="24" t="str">
        <f>IFERROR(IF(INDEX(使用レシピ!J:J,MATCH(テンプレート!$C589,使用レシピ!$E:$E,0))&lt;&gt;0,INDEX(使用レシピ!J:J,MATCH(テンプレート!$C589,使用レシピ!$E:$E,0)),""),"")</f>
        <v/>
      </c>
      <c r="I589" s="36" t="str">
        <f>IFERROR(IF(INDEX(使用レシピ!P:P,MATCH(テンプレート!$C589,使用レシピ!$E:$E,0))&lt;&gt;0,INDEX(使用レシピ!P:P,MATCH(テンプレート!$C589,使用レシピ!$E:$E,0)),""),"")</f>
        <v/>
      </c>
      <c r="J589" t="str">
        <f>IFERROR(IF(INDEX(使用レシピ!K:K,MATCH(テンプレート!$C589,使用レシピ!$E:$E,0))&lt;&gt;0,INDEX(使用レシピ!K:K,MATCH(テンプレート!$C589,使用レシピ!$E:$E,0)),""),"")</f>
        <v/>
      </c>
      <c r="K589" t="str">
        <f>IFERROR(IF(INDEX(使用レシピ!L:L,MATCH(テンプレート!$C589,使用レシピ!$E:$E,0))&lt;&gt;0,INDEX(使用レシピ!L:L,MATCH(テンプレート!$C589,使用レシピ!$E:$E,0)),""),"")</f>
        <v/>
      </c>
      <c r="L589" t="str">
        <f>IFERROR(IF(INDEX(使用レシピ!M:M,MATCH(テンプレート!$C589,使用レシピ!$E:$E,0))&lt;&gt;0,INDEX(使用レシピ!M:M,MATCH(テンプレート!$C589,使用レシピ!$E:$E,0)),""),"")</f>
        <v/>
      </c>
      <c r="M589" t="str">
        <f>IFERROR(IF(INDEX(使用レシピ!N:N,MATCH(テンプレート!$C589,使用レシピ!$E:$E,0))&lt;&gt;0,INDEX(使用レシピ!N:N,MATCH(テンプレート!$C589,使用レシピ!$E:$E,0)),""),"")</f>
        <v/>
      </c>
      <c r="N589" s="24" t="str">
        <f>IFERROR(IF(INDEX(使用レシピ!O:O,MATCH(テンプレート!$C589,使用レシピ!$E:$E,0))&lt;&gt;0,INDEX(使用レシピ!O:O,MATCH(テンプレート!$C589,使用レシピ!$E:$E,0)),""),"")</f>
        <v/>
      </c>
      <c r="O589" s="36" t="str">
        <f>IFERROR(IF(INDEX(使用レシピ!P:P,MATCH(テンプレート!$C589,使用レシピ!$E:$E,0))&lt;&gt;0,INDEX(使用レシピ!P:P,MATCH(テンプレート!$C589,使用レシピ!$E:$E,0)),""),"")</f>
        <v/>
      </c>
      <c r="P589" t="str">
        <f t="shared" si="46"/>
        <v/>
      </c>
      <c r="Q589" t="str">
        <f t="shared" si="47"/>
        <v/>
      </c>
      <c r="R589" t="str">
        <f t="shared" si="48"/>
        <v/>
      </c>
      <c r="S589" t="str">
        <f t="shared" si="49"/>
        <v/>
      </c>
      <c r="T589" s="24" t="str">
        <f t="shared" si="50"/>
        <v/>
      </c>
    </row>
    <row r="590" spans="2:20" x14ac:dyDescent="0.4">
      <c r="B590" s="49" t="str" cm="1">
        <f t="array" ref="B590">IFERROR((INDEX($P$4:$T$1000,MATCH(VALUE(LEFT($A590,LEN($A590)-1)),$A$4:$A$1000,0),VALUE(RIGHT($A590,1)))/ INDEX($O$4:$O$1000,MATCH(VALUE(LEFT($A590,LEN($A590)-1)),$A$4:$A$1000))) * INDEX($B$4:$B$1000,MATCH(VALUE(LEFT($A590,LEN($A590)-1)),$A$4:$A$1000)),"")</f>
        <v/>
      </c>
      <c r="C590" s="2" t="str" cm="1">
        <f t="array" ref="C590">IFERROR(IF(INDEX($D$4:$H$1000,MATCH(VALUE(LEFT($A590,LEN($A590)-1)),$A$4:$A$1000,0),VALUE(RIGHT($A590,1)))= 0,"",INDEX($D$4:$H$1000,MATCH(VALUE(LEFT($A590,LEN($A590)-1)),$A$4:$A$1000,0),VALUE(RIGHT($A590,1)))),"")</f>
        <v/>
      </c>
      <c r="D590" s="23" t="str">
        <f>IFERROR(IF(INDEX(使用レシピ!F:F,MATCH(テンプレート!$C590,使用レシピ!$E:$E,0))&lt;&gt;0,INDEX(使用レシピ!F:F,MATCH(テンプレート!$C590,使用レシピ!$E:$E,0)),""),"")</f>
        <v/>
      </c>
      <c r="E590" t="str">
        <f>IFERROR(IF(INDEX(使用レシピ!G:G,MATCH(テンプレート!$C590,使用レシピ!$E:$E,0))&lt;&gt;0,INDEX(使用レシピ!G:G,MATCH(テンプレート!$C590,使用レシピ!$E:$E,0)),""),"")</f>
        <v/>
      </c>
      <c r="F590" t="str">
        <f>IFERROR(IF(INDEX(使用レシピ!H:H,MATCH(テンプレート!$C590,使用レシピ!$E:$E,0))&lt;&gt;0,INDEX(使用レシピ!H:H,MATCH(テンプレート!$C590,使用レシピ!$E:$E,0)),""),"")</f>
        <v/>
      </c>
      <c r="G590" t="str">
        <f>IFERROR(IF(INDEX(使用レシピ!I:I,MATCH(テンプレート!$C590,使用レシピ!$E:$E,0))&lt;&gt;0,INDEX(使用レシピ!I:I,MATCH(テンプレート!$C590,使用レシピ!$E:$E,0)),""),"")</f>
        <v/>
      </c>
      <c r="H590" s="24" t="str">
        <f>IFERROR(IF(INDEX(使用レシピ!J:J,MATCH(テンプレート!$C590,使用レシピ!$E:$E,0))&lt;&gt;0,INDEX(使用レシピ!J:J,MATCH(テンプレート!$C590,使用レシピ!$E:$E,0)),""),"")</f>
        <v/>
      </c>
      <c r="I590" s="36" t="str">
        <f>IFERROR(IF(INDEX(使用レシピ!P:P,MATCH(テンプレート!$C590,使用レシピ!$E:$E,0))&lt;&gt;0,INDEX(使用レシピ!P:P,MATCH(テンプレート!$C590,使用レシピ!$E:$E,0)),""),"")</f>
        <v/>
      </c>
      <c r="J590" t="str">
        <f>IFERROR(IF(INDEX(使用レシピ!K:K,MATCH(テンプレート!$C590,使用レシピ!$E:$E,0))&lt;&gt;0,INDEX(使用レシピ!K:K,MATCH(テンプレート!$C590,使用レシピ!$E:$E,0)),""),"")</f>
        <v/>
      </c>
      <c r="K590" t="str">
        <f>IFERROR(IF(INDEX(使用レシピ!L:L,MATCH(テンプレート!$C590,使用レシピ!$E:$E,0))&lt;&gt;0,INDEX(使用レシピ!L:L,MATCH(テンプレート!$C590,使用レシピ!$E:$E,0)),""),"")</f>
        <v/>
      </c>
      <c r="L590" t="str">
        <f>IFERROR(IF(INDEX(使用レシピ!M:M,MATCH(テンプレート!$C590,使用レシピ!$E:$E,0))&lt;&gt;0,INDEX(使用レシピ!M:M,MATCH(テンプレート!$C590,使用レシピ!$E:$E,0)),""),"")</f>
        <v/>
      </c>
      <c r="M590" t="str">
        <f>IFERROR(IF(INDEX(使用レシピ!N:N,MATCH(テンプレート!$C590,使用レシピ!$E:$E,0))&lt;&gt;0,INDEX(使用レシピ!N:N,MATCH(テンプレート!$C590,使用レシピ!$E:$E,0)),""),"")</f>
        <v/>
      </c>
      <c r="N590" s="24" t="str">
        <f>IFERROR(IF(INDEX(使用レシピ!O:O,MATCH(テンプレート!$C590,使用レシピ!$E:$E,0))&lt;&gt;0,INDEX(使用レシピ!O:O,MATCH(テンプレート!$C590,使用レシピ!$E:$E,0)),""),"")</f>
        <v/>
      </c>
      <c r="O590" s="36" t="str">
        <f>IFERROR(IF(INDEX(使用レシピ!P:P,MATCH(テンプレート!$C590,使用レシピ!$E:$E,0))&lt;&gt;0,INDEX(使用レシピ!P:P,MATCH(テンプレート!$C590,使用レシピ!$E:$E,0)),""),"")</f>
        <v/>
      </c>
      <c r="P590" t="str">
        <f t="shared" si="46"/>
        <v/>
      </c>
      <c r="Q590" t="str">
        <f t="shared" si="47"/>
        <v/>
      </c>
      <c r="R590" t="str">
        <f t="shared" si="48"/>
        <v/>
      </c>
      <c r="S590" t="str">
        <f t="shared" si="49"/>
        <v/>
      </c>
      <c r="T590" s="24" t="str">
        <f t="shared" si="50"/>
        <v/>
      </c>
    </row>
    <row r="591" spans="2:20" x14ac:dyDescent="0.4">
      <c r="B591" s="49" t="str" cm="1">
        <f t="array" ref="B591">IFERROR((INDEX($P$4:$T$1000,MATCH(VALUE(LEFT($A591,LEN($A591)-1)),$A$4:$A$1000,0),VALUE(RIGHT($A591,1)))/ INDEX($O$4:$O$1000,MATCH(VALUE(LEFT($A591,LEN($A591)-1)),$A$4:$A$1000))) * INDEX($B$4:$B$1000,MATCH(VALUE(LEFT($A591,LEN($A591)-1)),$A$4:$A$1000)),"")</f>
        <v/>
      </c>
      <c r="C591" s="2" t="str" cm="1">
        <f t="array" ref="C591">IFERROR(IF(INDEX($D$4:$H$1000,MATCH(VALUE(LEFT($A591,LEN($A591)-1)),$A$4:$A$1000,0),VALUE(RIGHT($A591,1)))= 0,"",INDEX($D$4:$H$1000,MATCH(VALUE(LEFT($A591,LEN($A591)-1)),$A$4:$A$1000,0),VALUE(RIGHT($A591,1)))),"")</f>
        <v/>
      </c>
      <c r="D591" s="23" t="str">
        <f>IFERROR(IF(INDEX(使用レシピ!F:F,MATCH(テンプレート!$C591,使用レシピ!$E:$E,0))&lt;&gt;0,INDEX(使用レシピ!F:F,MATCH(テンプレート!$C591,使用レシピ!$E:$E,0)),""),"")</f>
        <v/>
      </c>
      <c r="E591" t="str">
        <f>IFERROR(IF(INDEX(使用レシピ!G:G,MATCH(テンプレート!$C591,使用レシピ!$E:$E,0))&lt;&gt;0,INDEX(使用レシピ!G:G,MATCH(テンプレート!$C591,使用レシピ!$E:$E,0)),""),"")</f>
        <v/>
      </c>
      <c r="F591" t="str">
        <f>IFERROR(IF(INDEX(使用レシピ!H:H,MATCH(テンプレート!$C591,使用レシピ!$E:$E,0))&lt;&gt;0,INDEX(使用レシピ!H:H,MATCH(テンプレート!$C591,使用レシピ!$E:$E,0)),""),"")</f>
        <v/>
      </c>
      <c r="G591" t="str">
        <f>IFERROR(IF(INDEX(使用レシピ!I:I,MATCH(テンプレート!$C591,使用レシピ!$E:$E,0))&lt;&gt;0,INDEX(使用レシピ!I:I,MATCH(テンプレート!$C591,使用レシピ!$E:$E,0)),""),"")</f>
        <v/>
      </c>
      <c r="H591" s="24" t="str">
        <f>IFERROR(IF(INDEX(使用レシピ!J:J,MATCH(テンプレート!$C591,使用レシピ!$E:$E,0))&lt;&gt;0,INDEX(使用レシピ!J:J,MATCH(テンプレート!$C591,使用レシピ!$E:$E,0)),""),"")</f>
        <v/>
      </c>
      <c r="I591" s="36" t="str">
        <f>IFERROR(IF(INDEX(使用レシピ!P:P,MATCH(テンプレート!$C591,使用レシピ!$E:$E,0))&lt;&gt;0,INDEX(使用レシピ!P:P,MATCH(テンプレート!$C591,使用レシピ!$E:$E,0)),""),"")</f>
        <v/>
      </c>
      <c r="J591" t="str">
        <f>IFERROR(IF(INDEX(使用レシピ!K:K,MATCH(テンプレート!$C591,使用レシピ!$E:$E,0))&lt;&gt;0,INDEX(使用レシピ!K:K,MATCH(テンプレート!$C591,使用レシピ!$E:$E,0)),""),"")</f>
        <v/>
      </c>
      <c r="K591" t="str">
        <f>IFERROR(IF(INDEX(使用レシピ!L:L,MATCH(テンプレート!$C591,使用レシピ!$E:$E,0))&lt;&gt;0,INDEX(使用レシピ!L:L,MATCH(テンプレート!$C591,使用レシピ!$E:$E,0)),""),"")</f>
        <v/>
      </c>
      <c r="L591" t="str">
        <f>IFERROR(IF(INDEX(使用レシピ!M:M,MATCH(テンプレート!$C591,使用レシピ!$E:$E,0))&lt;&gt;0,INDEX(使用レシピ!M:M,MATCH(テンプレート!$C591,使用レシピ!$E:$E,0)),""),"")</f>
        <v/>
      </c>
      <c r="M591" t="str">
        <f>IFERROR(IF(INDEX(使用レシピ!N:N,MATCH(テンプレート!$C591,使用レシピ!$E:$E,0))&lt;&gt;0,INDEX(使用レシピ!N:N,MATCH(テンプレート!$C591,使用レシピ!$E:$E,0)),""),"")</f>
        <v/>
      </c>
      <c r="N591" s="24" t="str">
        <f>IFERROR(IF(INDEX(使用レシピ!O:O,MATCH(テンプレート!$C591,使用レシピ!$E:$E,0))&lt;&gt;0,INDEX(使用レシピ!O:O,MATCH(テンプレート!$C591,使用レシピ!$E:$E,0)),""),"")</f>
        <v/>
      </c>
      <c r="O591" s="36" t="str">
        <f>IFERROR(IF(INDEX(使用レシピ!P:P,MATCH(テンプレート!$C591,使用レシピ!$E:$E,0))&lt;&gt;0,INDEX(使用レシピ!P:P,MATCH(テンプレート!$C591,使用レシピ!$E:$E,0)),""),"")</f>
        <v/>
      </c>
      <c r="P591" t="str">
        <f t="shared" si="46"/>
        <v/>
      </c>
      <c r="Q591" t="str">
        <f t="shared" si="47"/>
        <v/>
      </c>
      <c r="R591" t="str">
        <f t="shared" si="48"/>
        <v/>
      </c>
      <c r="S591" t="str">
        <f t="shared" si="49"/>
        <v/>
      </c>
      <c r="T591" s="24" t="str">
        <f t="shared" si="50"/>
        <v/>
      </c>
    </row>
    <row r="592" spans="2:20" x14ac:dyDescent="0.4">
      <c r="B592" s="49" t="str" cm="1">
        <f t="array" ref="B592">IFERROR((INDEX($P$4:$T$1000,MATCH(VALUE(LEFT($A592,LEN($A592)-1)),$A$4:$A$1000,0),VALUE(RIGHT($A592,1)))/ INDEX($O$4:$O$1000,MATCH(VALUE(LEFT($A592,LEN($A592)-1)),$A$4:$A$1000))) * INDEX($B$4:$B$1000,MATCH(VALUE(LEFT($A592,LEN($A592)-1)),$A$4:$A$1000)),"")</f>
        <v/>
      </c>
      <c r="C592" s="2" t="str" cm="1">
        <f t="array" ref="C592">IFERROR(IF(INDEX($D$4:$H$1000,MATCH(VALUE(LEFT($A592,LEN($A592)-1)),$A$4:$A$1000,0),VALUE(RIGHT($A592,1)))= 0,"",INDEX($D$4:$H$1000,MATCH(VALUE(LEFT($A592,LEN($A592)-1)),$A$4:$A$1000,0),VALUE(RIGHT($A592,1)))),"")</f>
        <v/>
      </c>
      <c r="D592" s="23" t="str">
        <f>IFERROR(IF(INDEX(使用レシピ!F:F,MATCH(テンプレート!$C592,使用レシピ!$E:$E,0))&lt;&gt;0,INDEX(使用レシピ!F:F,MATCH(テンプレート!$C592,使用レシピ!$E:$E,0)),""),"")</f>
        <v/>
      </c>
      <c r="E592" t="str">
        <f>IFERROR(IF(INDEX(使用レシピ!G:G,MATCH(テンプレート!$C592,使用レシピ!$E:$E,0))&lt;&gt;0,INDEX(使用レシピ!G:G,MATCH(テンプレート!$C592,使用レシピ!$E:$E,0)),""),"")</f>
        <v/>
      </c>
      <c r="F592" t="str">
        <f>IFERROR(IF(INDEX(使用レシピ!H:H,MATCH(テンプレート!$C592,使用レシピ!$E:$E,0))&lt;&gt;0,INDEX(使用レシピ!H:H,MATCH(テンプレート!$C592,使用レシピ!$E:$E,0)),""),"")</f>
        <v/>
      </c>
      <c r="G592" t="str">
        <f>IFERROR(IF(INDEX(使用レシピ!I:I,MATCH(テンプレート!$C592,使用レシピ!$E:$E,0))&lt;&gt;0,INDEX(使用レシピ!I:I,MATCH(テンプレート!$C592,使用レシピ!$E:$E,0)),""),"")</f>
        <v/>
      </c>
      <c r="H592" s="24" t="str">
        <f>IFERROR(IF(INDEX(使用レシピ!J:J,MATCH(テンプレート!$C592,使用レシピ!$E:$E,0))&lt;&gt;0,INDEX(使用レシピ!J:J,MATCH(テンプレート!$C592,使用レシピ!$E:$E,0)),""),"")</f>
        <v/>
      </c>
      <c r="I592" s="36" t="str">
        <f>IFERROR(IF(INDEX(使用レシピ!P:P,MATCH(テンプレート!$C592,使用レシピ!$E:$E,0))&lt;&gt;0,INDEX(使用レシピ!P:P,MATCH(テンプレート!$C592,使用レシピ!$E:$E,0)),""),"")</f>
        <v/>
      </c>
      <c r="J592" t="str">
        <f>IFERROR(IF(INDEX(使用レシピ!K:K,MATCH(テンプレート!$C592,使用レシピ!$E:$E,0))&lt;&gt;0,INDEX(使用レシピ!K:K,MATCH(テンプレート!$C592,使用レシピ!$E:$E,0)),""),"")</f>
        <v/>
      </c>
      <c r="K592" t="str">
        <f>IFERROR(IF(INDEX(使用レシピ!L:L,MATCH(テンプレート!$C592,使用レシピ!$E:$E,0))&lt;&gt;0,INDEX(使用レシピ!L:L,MATCH(テンプレート!$C592,使用レシピ!$E:$E,0)),""),"")</f>
        <v/>
      </c>
      <c r="L592" t="str">
        <f>IFERROR(IF(INDEX(使用レシピ!M:M,MATCH(テンプレート!$C592,使用レシピ!$E:$E,0))&lt;&gt;0,INDEX(使用レシピ!M:M,MATCH(テンプレート!$C592,使用レシピ!$E:$E,0)),""),"")</f>
        <v/>
      </c>
      <c r="M592" t="str">
        <f>IFERROR(IF(INDEX(使用レシピ!N:N,MATCH(テンプレート!$C592,使用レシピ!$E:$E,0))&lt;&gt;0,INDEX(使用レシピ!N:N,MATCH(テンプレート!$C592,使用レシピ!$E:$E,0)),""),"")</f>
        <v/>
      </c>
      <c r="N592" s="24" t="str">
        <f>IFERROR(IF(INDEX(使用レシピ!O:O,MATCH(テンプレート!$C592,使用レシピ!$E:$E,0))&lt;&gt;0,INDEX(使用レシピ!O:O,MATCH(テンプレート!$C592,使用レシピ!$E:$E,0)),""),"")</f>
        <v/>
      </c>
      <c r="O592" s="36" t="str">
        <f>IFERROR(IF(INDEX(使用レシピ!P:P,MATCH(テンプレート!$C592,使用レシピ!$E:$E,0))&lt;&gt;0,INDEX(使用レシピ!P:P,MATCH(テンプレート!$C592,使用レシピ!$E:$E,0)),""),"")</f>
        <v/>
      </c>
      <c r="P592" t="str">
        <f t="shared" si="46"/>
        <v/>
      </c>
      <c r="Q592" t="str">
        <f t="shared" si="47"/>
        <v/>
      </c>
      <c r="R592" t="str">
        <f t="shared" si="48"/>
        <v/>
      </c>
      <c r="S592" t="str">
        <f t="shared" si="49"/>
        <v/>
      </c>
      <c r="T592" s="24" t="str">
        <f t="shared" si="50"/>
        <v/>
      </c>
    </row>
    <row r="593" spans="2:20" x14ac:dyDescent="0.4">
      <c r="B593" s="49" t="str" cm="1">
        <f t="array" ref="B593">IFERROR((INDEX($P$4:$T$1000,MATCH(VALUE(LEFT($A593,LEN($A593)-1)),$A$4:$A$1000,0),VALUE(RIGHT($A593,1)))/ INDEX($O$4:$O$1000,MATCH(VALUE(LEFT($A593,LEN($A593)-1)),$A$4:$A$1000))) * INDEX($B$4:$B$1000,MATCH(VALUE(LEFT($A593,LEN($A593)-1)),$A$4:$A$1000)),"")</f>
        <v/>
      </c>
      <c r="C593" s="2" t="str" cm="1">
        <f t="array" ref="C593">IFERROR(IF(INDEX($D$4:$H$1000,MATCH(VALUE(LEFT($A593,LEN($A593)-1)),$A$4:$A$1000,0),VALUE(RIGHT($A593,1)))= 0,"",INDEX($D$4:$H$1000,MATCH(VALUE(LEFT($A593,LEN($A593)-1)),$A$4:$A$1000,0),VALUE(RIGHT($A593,1)))),"")</f>
        <v/>
      </c>
      <c r="D593" s="23" t="str">
        <f>IFERROR(IF(INDEX(使用レシピ!F:F,MATCH(テンプレート!$C593,使用レシピ!$E:$E,0))&lt;&gt;0,INDEX(使用レシピ!F:F,MATCH(テンプレート!$C593,使用レシピ!$E:$E,0)),""),"")</f>
        <v/>
      </c>
      <c r="E593" t="str">
        <f>IFERROR(IF(INDEX(使用レシピ!G:G,MATCH(テンプレート!$C593,使用レシピ!$E:$E,0))&lt;&gt;0,INDEX(使用レシピ!G:G,MATCH(テンプレート!$C593,使用レシピ!$E:$E,0)),""),"")</f>
        <v/>
      </c>
      <c r="F593" t="str">
        <f>IFERROR(IF(INDEX(使用レシピ!H:H,MATCH(テンプレート!$C593,使用レシピ!$E:$E,0))&lt;&gt;0,INDEX(使用レシピ!H:H,MATCH(テンプレート!$C593,使用レシピ!$E:$E,0)),""),"")</f>
        <v/>
      </c>
      <c r="G593" t="str">
        <f>IFERROR(IF(INDEX(使用レシピ!I:I,MATCH(テンプレート!$C593,使用レシピ!$E:$E,0))&lt;&gt;0,INDEX(使用レシピ!I:I,MATCH(テンプレート!$C593,使用レシピ!$E:$E,0)),""),"")</f>
        <v/>
      </c>
      <c r="H593" s="24" t="str">
        <f>IFERROR(IF(INDEX(使用レシピ!J:J,MATCH(テンプレート!$C593,使用レシピ!$E:$E,0))&lt;&gt;0,INDEX(使用レシピ!J:J,MATCH(テンプレート!$C593,使用レシピ!$E:$E,0)),""),"")</f>
        <v/>
      </c>
      <c r="I593" s="36" t="str">
        <f>IFERROR(IF(INDEX(使用レシピ!P:P,MATCH(テンプレート!$C593,使用レシピ!$E:$E,0))&lt;&gt;0,INDEX(使用レシピ!P:P,MATCH(テンプレート!$C593,使用レシピ!$E:$E,0)),""),"")</f>
        <v/>
      </c>
      <c r="J593" t="str">
        <f>IFERROR(IF(INDEX(使用レシピ!K:K,MATCH(テンプレート!$C593,使用レシピ!$E:$E,0))&lt;&gt;0,INDEX(使用レシピ!K:K,MATCH(テンプレート!$C593,使用レシピ!$E:$E,0)),""),"")</f>
        <v/>
      </c>
      <c r="K593" t="str">
        <f>IFERROR(IF(INDEX(使用レシピ!L:L,MATCH(テンプレート!$C593,使用レシピ!$E:$E,0))&lt;&gt;0,INDEX(使用レシピ!L:L,MATCH(テンプレート!$C593,使用レシピ!$E:$E,0)),""),"")</f>
        <v/>
      </c>
      <c r="L593" t="str">
        <f>IFERROR(IF(INDEX(使用レシピ!M:M,MATCH(テンプレート!$C593,使用レシピ!$E:$E,0))&lt;&gt;0,INDEX(使用レシピ!M:M,MATCH(テンプレート!$C593,使用レシピ!$E:$E,0)),""),"")</f>
        <v/>
      </c>
      <c r="M593" t="str">
        <f>IFERROR(IF(INDEX(使用レシピ!N:N,MATCH(テンプレート!$C593,使用レシピ!$E:$E,0))&lt;&gt;0,INDEX(使用レシピ!N:N,MATCH(テンプレート!$C593,使用レシピ!$E:$E,0)),""),"")</f>
        <v/>
      </c>
      <c r="N593" s="24" t="str">
        <f>IFERROR(IF(INDEX(使用レシピ!O:O,MATCH(テンプレート!$C593,使用レシピ!$E:$E,0))&lt;&gt;0,INDEX(使用レシピ!O:O,MATCH(テンプレート!$C593,使用レシピ!$E:$E,0)),""),"")</f>
        <v/>
      </c>
      <c r="O593" s="36" t="str">
        <f>IFERROR(IF(INDEX(使用レシピ!P:P,MATCH(テンプレート!$C593,使用レシピ!$E:$E,0))&lt;&gt;0,INDEX(使用レシピ!P:P,MATCH(テンプレート!$C593,使用レシピ!$E:$E,0)),""),"")</f>
        <v/>
      </c>
      <c r="P593" t="str">
        <f t="shared" si="46"/>
        <v/>
      </c>
      <c r="Q593" t="str">
        <f t="shared" si="47"/>
        <v/>
      </c>
      <c r="R593" t="str">
        <f t="shared" si="48"/>
        <v/>
      </c>
      <c r="S593" t="str">
        <f t="shared" si="49"/>
        <v/>
      </c>
      <c r="T593" s="24" t="str">
        <f t="shared" si="50"/>
        <v/>
      </c>
    </row>
    <row r="594" spans="2:20" x14ac:dyDescent="0.4">
      <c r="B594" s="49" t="str" cm="1">
        <f t="array" ref="B594">IFERROR((INDEX($P$4:$T$1000,MATCH(VALUE(LEFT($A594,LEN($A594)-1)),$A$4:$A$1000,0),VALUE(RIGHT($A594,1)))/ INDEX($O$4:$O$1000,MATCH(VALUE(LEFT($A594,LEN($A594)-1)),$A$4:$A$1000))) * INDEX($B$4:$B$1000,MATCH(VALUE(LEFT($A594,LEN($A594)-1)),$A$4:$A$1000)),"")</f>
        <v/>
      </c>
      <c r="C594" s="2" t="str" cm="1">
        <f t="array" ref="C594">IFERROR(IF(INDEX($D$4:$H$1000,MATCH(VALUE(LEFT($A594,LEN($A594)-1)),$A$4:$A$1000,0),VALUE(RIGHT($A594,1)))= 0,"",INDEX($D$4:$H$1000,MATCH(VALUE(LEFT($A594,LEN($A594)-1)),$A$4:$A$1000,0),VALUE(RIGHT($A594,1)))),"")</f>
        <v/>
      </c>
      <c r="D594" s="23" t="str">
        <f>IFERROR(IF(INDEX(使用レシピ!F:F,MATCH(テンプレート!$C594,使用レシピ!$E:$E,0))&lt;&gt;0,INDEX(使用レシピ!F:F,MATCH(テンプレート!$C594,使用レシピ!$E:$E,0)),""),"")</f>
        <v/>
      </c>
      <c r="E594" t="str">
        <f>IFERROR(IF(INDEX(使用レシピ!G:G,MATCH(テンプレート!$C594,使用レシピ!$E:$E,0))&lt;&gt;0,INDEX(使用レシピ!G:G,MATCH(テンプレート!$C594,使用レシピ!$E:$E,0)),""),"")</f>
        <v/>
      </c>
      <c r="F594" t="str">
        <f>IFERROR(IF(INDEX(使用レシピ!H:H,MATCH(テンプレート!$C594,使用レシピ!$E:$E,0))&lt;&gt;0,INDEX(使用レシピ!H:H,MATCH(テンプレート!$C594,使用レシピ!$E:$E,0)),""),"")</f>
        <v/>
      </c>
      <c r="G594" t="str">
        <f>IFERROR(IF(INDEX(使用レシピ!I:I,MATCH(テンプレート!$C594,使用レシピ!$E:$E,0))&lt;&gt;0,INDEX(使用レシピ!I:I,MATCH(テンプレート!$C594,使用レシピ!$E:$E,0)),""),"")</f>
        <v/>
      </c>
      <c r="H594" s="24" t="str">
        <f>IFERROR(IF(INDEX(使用レシピ!J:J,MATCH(テンプレート!$C594,使用レシピ!$E:$E,0))&lt;&gt;0,INDEX(使用レシピ!J:J,MATCH(テンプレート!$C594,使用レシピ!$E:$E,0)),""),"")</f>
        <v/>
      </c>
      <c r="I594" s="36" t="str">
        <f>IFERROR(IF(INDEX(使用レシピ!P:P,MATCH(テンプレート!$C594,使用レシピ!$E:$E,0))&lt;&gt;0,INDEX(使用レシピ!P:P,MATCH(テンプレート!$C594,使用レシピ!$E:$E,0)),""),"")</f>
        <v/>
      </c>
      <c r="J594" t="str">
        <f>IFERROR(IF(INDEX(使用レシピ!K:K,MATCH(テンプレート!$C594,使用レシピ!$E:$E,0))&lt;&gt;0,INDEX(使用レシピ!K:K,MATCH(テンプレート!$C594,使用レシピ!$E:$E,0)),""),"")</f>
        <v/>
      </c>
      <c r="K594" t="str">
        <f>IFERROR(IF(INDEX(使用レシピ!L:L,MATCH(テンプレート!$C594,使用レシピ!$E:$E,0))&lt;&gt;0,INDEX(使用レシピ!L:L,MATCH(テンプレート!$C594,使用レシピ!$E:$E,0)),""),"")</f>
        <v/>
      </c>
      <c r="L594" t="str">
        <f>IFERROR(IF(INDEX(使用レシピ!M:M,MATCH(テンプレート!$C594,使用レシピ!$E:$E,0))&lt;&gt;0,INDEX(使用レシピ!M:M,MATCH(テンプレート!$C594,使用レシピ!$E:$E,0)),""),"")</f>
        <v/>
      </c>
      <c r="M594" t="str">
        <f>IFERROR(IF(INDEX(使用レシピ!N:N,MATCH(テンプレート!$C594,使用レシピ!$E:$E,0))&lt;&gt;0,INDEX(使用レシピ!N:N,MATCH(テンプレート!$C594,使用レシピ!$E:$E,0)),""),"")</f>
        <v/>
      </c>
      <c r="N594" s="24" t="str">
        <f>IFERROR(IF(INDEX(使用レシピ!O:O,MATCH(テンプレート!$C594,使用レシピ!$E:$E,0))&lt;&gt;0,INDEX(使用レシピ!O:O,MATCH(テンプレート!$C594,使用レシピ!$E:$E,0)),""),"")</f>
        <v/>
      </c>
      <c r="O594" s="36" t="str">
        <f>IFERROR(IF(INDEX(使用レシピ!P:P,MATCH(テンプレート!$C594,使用レシピ!$E:$E,0))&lt;&gt;0,INDEX(使用レシピ!P:P,MATCH(テンプレート!$C594,使用レシピ!$E:$E,0)),""),"")</f>
        <v/>
      </c>
      <c r="P594" t="str">
        <f t="shared" si="46"/>
        <v/>
      </c>
      <c r="Q594" t="str">
        <f t="shared" si="47"/>
        <v/>
      </c>
      <c r="R594" t="str">
        <f t="shared" si="48"/>
        <v/>
      </c>
      <c r="S594" t="str">
        <f t="shared" si="49"/>
        <v/>
      </c>
      <c r="T594" s="24" t="str">
        <f t="shared" si="50"/>
        <v/>
      </c>
    </row>
    <row r="595" spans="2:20" x14ac:dyDescent="0.4">
      <c r="B595" s="49" t="str" cm="1">
        <f t="array" ref="B595">IFERROR((INDEX($P$4:$T$1000,MATCH(VALUE(LEFT($A595,LEN($A595)-1)),$A$4:$A$1000,0),VALUE(RIGHT($A595,1)))/ INDEX($O$4:$O$1000,MATCH(VALUE(LEFT($A595,LEN($A595)-1)),$A$4:$A$1000))) * INDEX($B$4:$B$1000,MATCH(VALUE(LEFT($A595,LEN($A595)-1)),$A$4:$A$1000)),"")</f>
        <v/>
      </c>
      <c r="C595" s="2" t="str" cm="1">
        <f t="array" ref="C595">IFERROR(IF(INDEX($D$4:$H$1000,MATCH(VALUE(LEFT($A595,LEN($A595)-1)),$A$4:$A$1000,0),VALUE(RIGHT($A595,1)))= 0,"",INDEX($D$4:$H$1000,MATCH(VALUE(LEFT($A595,LEN($A595)-1)),$A$4:$A$1000,0),VALUE(RIGHT($A595,1)))),"")</f>
        <v/>
      </c>
      <c r="D595" s="23" t="str">
        <f>IFERROR(IF(INDEX(使用レシピ!F:F,MATCH(テンプレート!$C595,使用レシピ!$E:$E,0))&lt;&gt;0,INDEX(使用レシピ!F:F,MATCH(テンプレート!$C595,使用レシピ!$E:$E,0)),""),"")</f>
        <v/>
      </c>
      <c r="E595" t="str">
        <f>IFERROR(IF(INDEX(使用レシピ!G:G,MATCH(テンプレート!$C595,使用レシピ!$E:$E,0))&lt;&gt;0,INDEX(使用レシピ!G:G,MATCH(テンプレート!$C595,使用レシピ!$E:$E,0)),""),"")</f>
        <v/>
      </c>
      <c r="F595" t="str">
        <f>IFERROR(IF(INDEX(使用レシピ!H:H,MATCH(テンプレート!$C595,使用レシピ!$E:$E,0))&lt;&gt;0,INDEX(使用レシピ!H:H,MATCH(テンプレート!$C595,使用レシピ!$E:$E,0)),""),"")</f>
        <v/>
      </c>
      <c r="G595" t="str">
        <f>IFERROR(IF(INDEX(使用レシピ!I:I,MATCH(テンプレート!$C595,使用レシピ!$E:$E,0))&lt;&gt;0,INDEX(使用レシピ!I:I,MATCH(テンプレート!$C595,使用レシピ!$E:$E,0)),""),"")</f>
        <v/>
      </c>
      <c r="H595" s="24" t="str">
        <f>IFERROR(IF(INDEX(使用レシピ!J:J,MATCH(テンプレート!$C595,使用レシピ!$E:$E,0))&lt;&gt;0,INDEX(使用レシピ!J:J,MATCH(テンプレート!$C595,使用レシピ!$E:$E,0)),""),"")</f>
        <v/>
      </c>
      <c r="I595" s="36" t="str">
        <f>IFERROR(IF(INDEX(使用レシピ!P:P,MATCH(テンプレート!$C595,使用レシピ!$E:$E,0))&lt;&gt;0,INDEX(使用レシピ!P:P,MATCH(テンプレート!$C595,使用レシピ!$E:$E,0)),""),"")</f>
        <v/>
      </c>
      <c r="J595" t="str">
        <f>IFERROR(IF(INDEX(使用レシピ!K:K,MATCH(テンプレート!$C595,使用レシピ!$E:$E,0))&lt;&gt;0,INDEX(使用レシピ!K:K,MATCH(テンプレート!$C595,使用レシピ!$E:$E,0)),""),"")</f>
        <v/>
      </c>
      <c r="K595" t="str">
        <f>IFERROR(IF(INDEX(使用レシピ!L:L,MATCH(テンプレート!$C595,使用レシピ!$E:$E,0))&lt;&gt;0,INDEX(使用レシピ!L:L,MATCH(テンプレート!$C595,使用レシピ!$E:$E,0)),""),"")</f>
        <v/>
      </c>
      <c r="L595" t="str">
        <f>IFERROR(IF(INDEX(使用レシピ!M:M,MATCH(テンプレート!$C595,使用レシピ!$E:$E,0))&lt;&gt;0,INDEX(使用レシピ!M:M,MATCH(テンプレート!$C595,使用レシピ!$E:$E,0)),""),"")</f>
        <v/>
      </c>
      <c r="M595" t="str">
        <f>IFERROR(IF(INDEX(使用レシピ!N:N,MATCH(テンプレート!$C595,使用レシピ!$E:$E,0))&lt;&gt;0,INDEX(使用レシピ!N:N,MATCH(テンプレート!$C595,使用レシピ!$E:$E,0)),""),"")</f>
        <v/>
      </c>
      <c r="N595" s="24" t="str">
        <f>IFERROR(IF(INDEX(使用レシピ!O:O,MATCH(テンプレート!$C595,使用レシピ!$E:$E,0))&lt;&gt;0,INDEX(使用レシピ!O:O,MATCH(テンプレート!$C595,使用レシピ!$E:$E,0)),""),"")</f>
        <v/>
      </c>
      <c r="O595" s="36" t="str">
        <f>IFERROR(IF(INDEX(使用レシピ!P:P,MATCH(テンプレート!$C595,使用レシピ!$E:$E,0))&lt;&gt;0,INDEX(使用レシピ!P:P,MATCH(テンプレート!$C595,使用レシピ!$E:$E,0)),""),"")</f>
        <v/>
      </c>
      <c r="P595" t="str">
        <f t="shared" si="46"/>
        <v/>
      </c>
      <c r="Q595" t="str">
        <f t="shared" si="47"/>
        <v/>
      </c>
      <c r="R595" t="str">
        <f t="shared" si="48"/>
        <v/>
      </c>
      <c r="S595" t="str">
        <f t="shared" si="49"/>
        <v/>
      </c>
      <c r="T595" s="24" t="str">
        <f t="shared" si="50"/>
        <v/>
      </c>
    </row>
    <row r="596" spans="2:20" x14ac:dyDescent="0.4">
      <c r="B596" s="49" t="str" cm="1">
        <f t="array" ref="B596">IFERROR((INDEX($P$4:$T$1000,MATCH(VALUE(LEFT($A596,LEN($A596)-1)),$A$4:$A$1000,0),VALUE(RIGHT($A596,1)))/ INDEX($O$4:$O$1000,MATCH(VALUE(LEFT($A596,LEN($A596)-1)),$A$4:$A$1000))) * INDEX($B$4:$B$1000,MATCH(VALUE(LEFT($A596,LEN($A596)-1)),$A$4:$A$1000)),"")</f>
        <v/>
      </c>
      <c r="C596" s="2" t="str" cm="1">
        <f t="array" ref="C596">IFERROR(IF(INDEX($D$4:$H$1000,MATCH(VALUE(LEFT($A596,LEN($A596)-1)),$A$4:$A$1000,0),VALUE(RIGHT($A596,1)))= 0,"",INDEX($D$4:$H$1000,MATCH(VALUE(LEFT($A596,LEN($A596)-1)),$A$4:$A$1000,0),VALUE(RIGHT($A596,1)))),"")</f>
        <v/>
      </c>
      <c r="D596" s="23" t="str">
        <f>IFERROR(IF(INDEX(使用レシピ!F:F,MATCH(テンプレート!$C596,使用レシピ!$E:$E,0))&lt;&gt;0,INDEX(使用レシピ!F:F,MATCH(テンプレート!$C596,使用レシピ!$E:$E,0)),""),"")</f>
        <v/>
      </c>
      <c r="E596" t="str">
        <f>IFERROR(IF(INDEX(使用レシピ!G:G,MATCH(テンプレート!$C596,使用レシピ!$E:$E,0))&lt;&gt;0,INDEX(使用レシピ!G:G,MATCH(テンプレート!$C596,使用レシピ!$E:$E,0)),""),"")</f>
        <v/>
      </c>
      <c r="F596" t="str">
        <f>IFERROR(IF(INDEX(使用レシピ!H:H,MATCH(テンプレート!$C596,使用レシピ!$E:$E,0))&lt;&gt;0,INDEX(使用レシピ!H:H,MATCH(テンプレート!$C596,使用レシピ!$E:$E,0)),""),"")</f>
        <v/>
      </c>
      <c r="G596" t="str">
        <f>IFERROR(IF(INDEX(使用レシピ!I:I,MATCH(テンプレート!$C596,使用レシピ!$E:$E,0))&lt;&gt;0,INDEX(使用レシピ!I:I,MATCH(テンプレート!$C596,使用レシピ!$E:$E,0)),""),"")</f>
        <v/>
      </c>
      <c r="H596" s="24" t="str">
        <f>IFERROR(IF(INDEX(使用レシピ!J:J,MATCH(テンプレート!$C596,使用レシピ!$E:$E,0))&lt;&gt;0,INDEX(使用レシピ!J:J,MATCH(テンプレート!$C596,使用レシピ!$E:$E,0)),""),"")</f>
        <v/>
      </c>
      <c r="I596" s="36" t="str">
        <f>IFERROR(IF(INDEX(使用レシピ!P:P,MATCH(テンプレート!$C596,使用レシピ!$E:$E,0))&lt;&gt;0,INDEX(使用レシピ!P:P,MATCH(テンプレート!$C596,使用レシピ!$E:$E,0)),""),"")</f>
        <v/>
      </c>
      <c r="J596" t="str">
        <f>IFERROR(IF(INDEX(使用レシピ!K:K,MATCH(テンプレート!$C596,使用レシピ!$E:$E,0))&lt;&gt;0,INDEX(使用レシピ!K:K,MATCH(テンプレート!$C596,使用レシピ!$E:$E,0)),""),"")</f>
        <v/>
      </c>
      <c r="K596" t="str">
        <f>IFERROR(IF(INDEX(使用レシピ!L:L,MATCH(テンプレート!$C596,使用レシピ!$E:$E,0))&lt;&gt;0,INDEX(使用レシピ!L:L,MATCH(テンプレート!$C596,使用レシピ!$E:$E,0)),""),"")</f>
        <v/>
      </c>
      <c r="L596" t="str">
        <f>IFERROR(IF(INDEX(使用レシピ!M:M,MATCH(テンプレート!$C596,使用レシピ!$E:$E,0))&lt;&gt;0,INDEX(使用レシピ!M:M,MATCH(テンプレート!$C596,使用レシピ!$E:$E,0)),""),"")</f>
        <v/>
      </c>
      <c r="M596" t="str">
        <f>IFERROR(IF(INDEX(使用レシピ!N:N,MATCH(テンプレート!$C596,使用レシピ!$E:$E,0))&lt;&gt;0,INDEX(使用レシピ!N:N,MATCH(テンプレート!$C596,使用レシピ!$E:$E,0)),""),"")</f>
        <v/>
      </c>
      <c r="N596" s="24" t="str">
        <f>IFERROR(IF(INDEX(使用レシピ!O:O,MATCH(テンプレート!$C596,使用レシピ!$E:$E,0))&lt;&gt;0,INDEX(使用レシピ!O:O,MATCH(テンプレート!$C596,使用レシピ!$E:$E,0)),""),"")</f>
        <v/>
      </c>
      <c r="O596" s="36" t="str">
        <f>IFERROR(IF(INDEX(使用レシピ!P:P,MATCH(テンプレート!$C596,使用レシピ!$E:$E,0))&lt;&gt;0,INDEX(使用レシピ!P:P,MATCH(テンプレート!$C596,使用レシピ!$E:$E,0)),""),"")</f>
        <v/>
      </c>
      <c r="P596" t="str">
        <f t="shared" si="46"/>
        <v/>
      </c>
      <c r="Q596" t="str">
        <f t="shared" si="47"/>
        <v/>
      </c>
      <c r="R596" t="str">
        <f t="shared" si="48"/>
        <v/>
      </c>
      <c r="S596" t="str">
        <f t="shared" si="49"/>
        <v/>
      </c>
      <c r="T596" s="24" t="str">
        <f t="shared" si="50"/>
        <v/>
      </c>
    </row>
    <row r="597" spans="2:20" x14ac:dyDescent="0.4">
      <c r="B597" s="49" t="str" cm="1">
        <f t="array" ref="B597">IFERROR((INDEX($P$4:$T$1000,MATCH(VALUE(LEFT($A597,LEN($A597)-1)),$A$4:$A$1000,0),VALUE(RIGHT($A597,1)))/ INDEX($O$4:$O$1000,MATCH(VALUE(LEFT($A597,LEN($A597)-1)),$A$4:$A$1000))) * INDEX($B$4:$B$1000,MATCH(VALUE(LEFT($A597,LEN($A597)-1)),$A$4:$A$1000)),"")</f>
        <v/>
      </c>
      <c r="C597" s="2" t="str" cm="1">
        <f t="array" ref="C597">IFERROR(IF(INDEX($D$4:$H$1000,MATCH(VALUE(LEFT($A597,LEN($A597)-1)),$A$4:$A$1000,0),VALUE(RIGHT($A597,1)))= 0,"",INDEX($D$4:$H$1000,MATCH(VALUE(LEFT($A597,LEN($A597)-1)),$A$4:$A$1000,0),VALUE(RIGHT($A597,1)))),"")</f>
        <v/>
      </c>
      <c r="D597" s="23" t="str">
        <f>IFERROR(IF(INDEX(使用レシピ!F:F,MATCH(テンプレート!$C597,使用レシピ!$E:$E,0))&lt;&gt;0,INDEX(使用レシピ!F:F,MATCH(テンプレート!$C597,使用レシピ!$E:$E,0)),""),"")</f>
        <v/>
      </c>
      <c r="E597" t="str">
        <f>IFERROR(IF(INDEX(使用レシピ!G:G,MATCH(テンプレート!$C597,使用レシピ!$E:$E,0))&lt;&gt;0,INDEX(使用レシピ!G:G,MATCH(テンプレート!$C597,使用レシピ!$E:$E,0)),""),"")</f>
        <v/>
      </c>
      <c r="F597" t="str">
        <f>IFERROR(IF(INDEX(使用レシピ!H:H,MATCH(テンプレート!$C597,使用レシピ!$E:$E,0))&lt;&gt;0,INDEX(使用レシピ!H:H,MATCH(テンプレート!$C597,使用レシピ!$E:$E,0)),""),"")</f>
        <v/>
      </c>
      <c r="G597" t="str">
        <f>IFERROR(IF(INDEX(使用レシピ!I:I,MATCH(テンプレート!$C597,使用レシピ!$E:$E,0))&lt;&gt;0,INDEX(使用レシピ!I:I,MATCH(テンプレート!$C597,使用レシピ!$E:$E,0)),""),"")</f>
        <v/>
      </c>
      <c r="H597" s="24" t="str">
        <f>IFERROR(IF(INDEX(使用レシピ!J:J,MATCH(テンプレート!$C597,使用レシピ!$E:$E,0))&lt;&gt;0,INDEX(使用レシピ!J:J,MATCH(テンプレート!$C597,使用レシピ!$E:$E,0)),""),"")</f>
        <v/>
      </c>
      <c r="I597" s="36" t="str">
        <f>IFERROR(IF(INDEX(使用レシピ!P:P,MATCH(テンプレート!$C597,使用レシピ!$E:$E,0))&lt;&gt;0,INDEX(使用レシピ!P:P,MATCH(テンプレート!$C597,使用レシピ!$E:$E,0)),""),"")</f>
        <v/>
      </c>
      <c r="J597" t="str">
        <f>IFERROR(IF(INDEX(使用レシピ!K:K,MATCH(テンプレート!$C597,使用レシピ!$E:$E,0))&lt;&gt;0,INDEX(使用レシピ!K:K,MATCH(テンプレート!$C597,使用レシピ!$E:$E,0)),""),"")</f>
        <v/>
      </c>
      <c r="K597" t="str">
        <f>IFERROR(IF(INDEX(使用レシピ!L:L,MATCH(テンプレート!$C597,使用レシピ!$E:$E,0))&lt;&gt;0,INDEX(使用レシピ!L:L,MATCH(テンプレート!$C597,使用レシピ!$E:$E,0)),""),"")</f>
        <v/>
      </c>
      <c r="L597" t="str">
        <f>IFERROR(IF(INDEX(使用レシピ!M:M,MATCH(テンプレート!$C597,使用レシピ!$E:$E,0))&lt;&gt;0,INDEX(使用レシピ!M:M,MATCH(テンプレート!$C597,使用レシピ!$E:$E,0)),""),"")</f>
        <v/>
      </c>
      <c r="M597" t="str">
        <f>IFERROR(IF(INDEX(使用レシピ!N:N,MATCH(テンプレート!$C597,使用レシピ!$E:$E,0))&lt;&gt;0,INDEX(使用レシピ!N:N,MATCH(テンプレート!$C597,使用レシピ!$E:$E,0)),""),"")</f>
        <v/>
      </c>
      <c r="N597" s="24" t="str">
        <f>IFERROR(IF(INDEX(使用レシピ!O:O,MATCH(テンプレート!$C597,使用レシピ!$E:$E,0))&lt;&gt;0,INDEX(使用レシピ!O:O,MATCH(テンプレート!$C597,使用レシピ!$E:$E,0)),""),"")</f>
        <v/>
      </c>
      <c r="O597" s="36" t="str">
        <f>IFERROR(IF(INDEX(使用レシピ!P:P,MATCH(テンプレート!$C597,使用レシピ!$E:$E,0))&lt;&gt;0,INDEX(使用レシピ!P:P,MATCH(テンプレート!$C597,使用レシピ!$E:$E,0)),""),"")</f>
        <v/>
      </c>
      <c r="P597" t="str">
        <f t="shared" si="46"/>
        <v/>
      </c>
      <c r="Q597" t="str">
        <f t="shared" si="47"/>
        <v/>
      </c>
      <c r="R597" t="str">
        <f t="shared" si="48"/>
        <v/>
      </c>
      <c r="S597" t="str">
        <f t="shared" si="49"/>
        <v/>
      </c>
      <c r="T597" s="24" t="str">
        <f t="shared" si="50"/>
        <v/>
      </c>
    </row>
    <row r="598" spans="2:20" x14ac:dyDescent="0.4">
      <c r="B598" s="49" t="str" cm="1">
        <f t="array" ref="B598">IFERROR((INDEX($P$4:$T$1000,MATCH(VALUE(LEFT($A598,LEN($A598)-1)),$A$4:$A$1000,0),VALUE(RIGHT($A598,1)))/ INDEX($O$4:$O$1000,MATCH(VALUE(LEFT($A598,LEN($A598)-1)),$A$4:$A$1000))) * INDEX($B$4:$B$1000,MATCH(VALUE(LEFT($A598,LEN($A598)-1)),$A$4:$A$1000)),"")</f>
        <v/>
      </c>
      <c r="C598" s="2" t="str" cm="1">
        <f t="array" ref="C598">IFERROR(IF(INDEX($D$4:$H$1000,MATCH(VALUE(LEFT($A598,LEN($A598)-1)),$A$4:$A$1000,0),VALUE(RIGHT($A598,1)))= 0,"",INDEX($D$4:$H$1000,MATCH(VALUE(LEFT($A598,LEN($A598)-1)),$A$4:$A$1000,0),VALUE(RIGHT($A598,1)))),"")</f>
        <v/>
      </c>
      <c r="D598" s="23" t="str">
        <f>IFERROR(IF(INDEX(使用レシピ!F:F,MATCH(テンプレート!$C598,使用レシピ!$E:$E,0))&lt;&gt;0,INDEX(使用レシピ!F:F,MATCH(テンプレート!$C598,使用レシピ!$E:$E,0)),""),"")</f>
        <v/>
      </c>
      <c r="E598" t="str">
        <f>IFERROR(IF(INDEX(使用レシピ!G:G,MATCH(テンプレート!$C598,使用レシピ!$E:$E,0))&lt;&gt;0,INDEX(使用レシピ!G:G,MATCH(テンプレート!$C598,使用レシピ!$E:$E,0)),""),"")</f>
        <v/>
      </c>
      <c r="F598" t="str">
        <f>IFERROR(IF(INDEX(使用レシピ!H:H,MATCH(テンプレート!$C598,使用レシピ!$E:$E,0))&lt;&gt;0,INDEX(使用レシピ!H:H,MATCH(テンプレート!$C598,使用レシピ!$E:$E,0)),""),"")</f>
        <v/>
      </c>
      <c r="G598" t="str">
        <f>IFERROR(IF(INDEX(使用レシピ!I:I,MATCH(テンプレート!$C598,使用レシピ!$E:$E,0))&lt;&gt;0,INDEX(使用レシピ!I:I,MATCH(テンプレート!$C598,使用レシピ!$E:$E,0)),""),"")</f>
        <v/>
      </c>
      <c r="H598" s="24" t="str">
        <f>IFERROR(IF(INDEX(使用レシピ!J:J,MATCH(テンプレート!$C598,使用レシピ!$E:$E,0))&lt;&gt;0,INDEX(使用レシピ!J:J,MATCH(テンプレート!$C598,使用レシピ!$E:$E,0)),""),"")</f>
        <v/>
      </c>
      <c r="I598" s="36" t="str">
        <f>IFERROR(IF(INDEX(使用レシピ!P:P,MATCH(テンプレート!$C598,使用レシピ!$E:$E,0))&lt;&gt;0,INDEX(使用レシピ!P:P,MATCH(テンプレート!$C598,使用レシピ!$E:$E,0)),""),"")</f>
        <v/>
      </c>
      <c r="J598" t="str">
        <f>IFERROR(IF(INDEX(使用レシピ!K:K,MATCH(テンプレート!$C598,使用レシピ!$E:$E,0))&lt;&gt;0,INDEX(使用レシピ!K:K,MATCH(テンプレート!$C598,使用レシピ!$E:$E,0)),""),"")</f>
        <v/>
      </c>
      <c r="K598" t="str">
        <f>IFERROR(IF(INDEX(使用レシピ!L:L,MATCH(テンプレート!$C598,使用レシピ!$E:$E,0))&lt;&gt;0,INDEX(使用レシピ!L:L,MATCH(テンプレート!$C598,使用レシピ!$E:$E,0)),""),"")</f>
        <v/>
      </c>
      <c r="L598" t="str">
        <f>IFERROR(IF(INDEX(使用レシピ!M:M,MATCH(テンプレート!$C598,使用レシピ!$E:$E,0))&lt;&gt;0,INDEX(使用レシピ!M:M,MATCH(テンプレート!$C598,使用レシピ!$E:$E,0)),""),"")</f>
        <v/>
      </c>
      <c r="M598" t="str">
        <f>IFERROR(IF(INDEX(使用レシピ!N:N,MATCH(テンプレート!$C598,使用レシピ!$E:$E,0))&lt;&gt;0,INDEX(使用レシピ!N:N,MATCH(テンプレート!$C598,使用レシピ!$E:$E,0)),""),"")</f>
        <v/>
      </c>
      <c r="N598" s="24" t="str">
        <f>IFERROR(IF(INDEX(使用レシピ!O:O,MATCH(テンプレート!$C598,使用レシピ!$E:$E,0))&lt;&gt;0,INDEX(使用レシピ!O:O,MATCH(テンプレート!$C598,使用レシピ!$E:$E,0)),""),"")</f>
        <v/>
      </c>
      <c r="O598" s="36" t="str">
        <f>IFERROR(IF(INDEX(使用レシピ!P:P,MATCH(テンプレート!$C598,使用レシピ!$E:$E,0))&lt;&gt;0,INDEX(使用レシピ!P:P,MATCH(テンプレート!$C598,使用レシピ!$E:$E,0)),""),"")</f>
        <v/>
      </c>
      <c r="P598" t="str">
        <f t="shared" si="46"/>
        <v/>
      </c>
      <c r="Q598" t="str">
        <f t="shared" si="47"/>
        <v/>
      </c>
      <c r="R598" t="str">
        <f t="shared" si="48"/>
        <v/>
      </c>
      <c r="S598" t="str">
        <f t="shared" si="49"/>
        <v/>
      </c>
      <c r="T598" s="24" t="str">
        <f t="shared" si="50"/>
        <v/>
      </c>
    </row>
    <row r="599" spans="2:20" x14ac:dyDescent="0.4">
      <c r="B599" s="49" t="str" cm="1">
        <f t="array" ref="B599">IFERROR((INDEX($P$4:$T$1000,MATCH(VALUE(LEFT($A599,LEN($A599)-1)),$A$4:$A$1000,0),VALUE(RIGHT($A599,1)))/ INDEX($O$4:$O$1000,MATCH(VALUE(LEFT($A599,LEN($A599)-1)),$A$4:$A$1000))) * INDEX($B$4:$B$1000,MATCH(VALUE(LEFT($A599,LEN($A599)-1)),$A$4:$A$1000)),"")</f>
        <v/>
      </c>
      <c r="C599" s="2" t="str" cm="1">
        <f t="array" ref="C599">IFERROR(IF(INDEX($D$4:$H$1000,MATCH(VALUE(LEFT($A599,LEN($A599)-1)),$A$4:$A$1000,0),VALUE(RIGHT($A599,1)))= 0,"",INDEX($D$4:$H$1000,MATCH(VALUE(LEFT($A599,LEN($A599)-1)),$A$4:$A$1000,0),VALUE(RIGHT($A599,1)))),"")</f>
        <v/>
      </c>
      <c r="D599" s="23" t="str">
        <f>IFERROR(IF(INDEX(使用レシピ!F:F,MATCH(テンプレート!$C599,使用レシピ!$E:$E,0))&lt;&gt;0,INDEX(使用レシピ!F:F,MATCH(テンプレート!$C599,使用レシピ!$E:$E,0)),""),"")</f>
        <v/>
      </c>
      <c r="E599" t="str">
        <f>IFERROR(IF(INDEX(使用レシピ!G:G,MATCH(テンプレート!$C599,使用レシピ!$E:$E,0))&lt;&gt;0,INDEX(使用レシピ!G:G,MATCH(テンプレート!$C599,使用レシピ!$E:$E,0)),""),"")</f>
        <v/>
      </c>
      <c r="F599" t="str">
        <f>IFERROR(IF(INDEX(使用レシピ!H:H,MATCH(テンプレート!$C599,使用レシピ!$E:$E,0))&lt;&gt;0,INDEX(使用レシピ!H:H,MATCH(テンプレート!$C599,使用レシピ!$E:$E,0)),""),"")</f>
        <v/>
      </c>
      <c r="G599" t="str">
        <f>IFERROR(IF(INDEX(使用レシピ!I:I,MATCH(テンプレート!$C599,使用レシピ!$E:$E,0))&lt;&gt;0,INDEX(使用レシピ!I:I,MATCH(テンプレート!$C599,使用レシピ!$E:$E,0)),""),"")</f>
        <v/>
      </c>
      <c r="H599" s="24" t="str">
        <f>IFERROR(IF(INDEX(使用レシピ!J:J,MATCH(テンプレート!$C599,使用レシピ!$E:$E,0))&lt;&gt;0,INDEX(使用レシピ!J:J,MATCH(テンプレート!$C599,使用レシピ!$E:$E,0)),""),"")</f>
        <v/>
      </c>
      <c r="I599" s="36" t="str">
        <f>IFERROR(IF(INDEX(使用レシピ!P:P,MATCH(テンプレート!$C599,使用レシピ!$E:$E,0))&lt;&gt;0,INDEX(使用レシピ!P:P,MATCH(テンプレート!$C599,使用レシピ!$E:$E,0)),""),"")</f>
        <v/>
      </c>
      <c r="J599" t="str">
        <f>IFERROR(IF(INDEX(使用レシピ!K:K,MATCH(テンプレート!$C599,使用レシピ!$E:$E,0))&lt;&gt;0,INDEX(使用レシピ!K:K,MATCH(テンプレート!$C599,使用レシピ!$E:$E,0)),""),"")</f>
        <v/>
      </c>
      <c r="K599" t="str">
        <f>IFERROR(IF(INDEX(使用レシピ!L:L,MATCH(テンプレート!$C599,使用レシピ!$E:$E,0))&lt;&gt;0,INDEX(使用レシピ!L:L,MATCH(テンプレート!$C599,使用レシピ!$E:$E,0)),""),"")</f>
        <v/>
      </c>
      <c r="L599" t="str">
        <f>IFERROR(IF(INDEX(使用レシピ!M:M,MATCH(テンプレート!$C599,使用レシピ!$E:$E,0))&lt;&gt;0,INDEX(使用レシピ!M:M,MATCH(テンプレート!$C599,使用レシピ!$E:$E,0)),""),"")</f>
        <v/>
      </c>
      <c r="M599" t="str">
        <f>IFERROR(IF(INDEX(使用レシピ!N:N,MATCH(テンプレート!$C599,使用レシピ!$E:$E,0))&lt;&gt;0,INDEX(使用レシピ!N:N,MATCH(テンプレート!$C599,使用レシピ!$E:$E,0)),""),"")</f>
        <v/>
      </c>
      <c r="N599" s="24" t="str">
        <f>IFERROR(IF(INDEX(使用レシピ!O:O,MATCH(テンプレート!$C599,使用レシピ!$E:$E,0))&lt;&gt;0,INDEX(使用レシピ!O:O,MATCH(テンプレート!$C599,使用レシピ!$E:$E,0)),""),"")</f>
        <v/>
      </c>
      <c r="O599" s="36" t="str">
        <f>IFERROR(IF(INDEX(使用レシピ!P:P,MATCH(テンプレート!$C599,使用レシピ!$E:$E,0))&lt;&gt;0,INDEX(使用レシピ!P:P,MATCH(テンプレート!$C599,使用レシピ!$E:$E,0)),""),"")</f>
        <v/>
      </c>
      <c r="P599" t="str">
        <f t="shared" si="46"/>
        <v/>
      </c>
      <c r="Q599" t="str">
        <f t="shared" si="47"/>
        <v/>
      </c>
      <c r="R599" t="str">
        <f t="shared" si="48"/>
        <v/>
      </c>
      <c r="S599" t="str">
        <f t="shared" si="49"/>
        <v/>
      </c>
      <c r="T599" s="24" t="str">
        <f t="shared" si="50"/>
        <v/>
      </c>
    </row>
    <row r="600" spans="2:20" x14ac:dyDescent="0.4">
      <c r="B600" s="49" t="str" cm="1">
        <f t="array" ref="B600">IFERROR((INDEX($P$4:$T$1000,MATCH(VALUE(LEFT($A600,LEN($A600)-1)),$A$4:$A$1000,0),VALUE(RIGHT($A600,1)))/ INDEX($O$4:$O$1000,MATCH(VALUE(LEFT($A600,LEN($A600)-1)),$A$4:$A$1000))) * INDEX($B$4:$B$1000,MATCH(VALUE(LEFT($A600,LEN($A600)-1)),$A$4:$A$1000)),"")</f>
        <v/>
      </c>
      <c r="C600" s="2" t="str" cm="1">
        <f t="array" ref="C600">IFERROR(IF(INDEX($D$4:$H$1000,MATCH(VALUE(LEFT($A600,LEN($A600)-1)),$A$4:$A$1000,0),VALUE(RIGHT($A600,1)))= 0,"",INDEX($D$4:$H$1000,MATCH(VALUE(LEFT($A600,LEN($A600)-1)),$A$4:$A$1000,0),VALUE(RIGHT($A600,1)))),"")</f>
        <v/>
      </c>
      <c r="D600" s="23" t="str">
        <f>IFERROR(IF(INDEX(使用レシピ!F:F,MATCH(テンプレート!$C600,使用レシピ!$E:$E,0))&lt;&gt;0,INDEX(使用レシピ!F:F,MATCH(テンプレート!$C600,使用レシピ!$E:$E,0)),""),"")</f>
        <v/>
      </c>
      <c r="E600" t="str">
        <f>IFERROR(IF(INDEX(使用レシピ!G:G,MATCH(テンプレート!$C600,使用レシピ!$E:$E,0))&lt;&gt;0,INDEX(使用レシピ!G:G,MATCH(テンプレート!$C600,使用レシピ!$E:$E,0)),""),"")</f>
        <v/>
      </c>
      <c r="F600" t="str">
        <f>IFERROR(IF(INDEX(使用レシピ!H:H,MATCH(テンプレート!$C600,使用レシピ!$E:$E,0))&lt;&gt;0,INDEX(使用レシピ!H:H,MATCH(テンプレート!$C600,使用レシピ!$E:$E,0)),""),"")</f>
        <v/>
      </c>
      <c r="G600" t="str">
        <f>IFERROR(IF(INDEX(使用レシピ!I:I,MATCH(テンプレート!$C600,使用レシピ!$E:$E,0))&lt;&gt;0,INDEX(使用レシピ!I:I,MATCH(テンプレート!$C600,使用レシピ!$E:$E,0)),""),"")</f>
        <v/>
      </c>
      <c r="H600" s="24" t="str">
        <f>IFERROR(IF(INDEX(使用レシピ!J:J,MATCH(テンプレート!$C600,使用レシピ!$E:$E,0))&lt;&gt;0,INDEX(使用レシピ!J:J,MATCH(テンプレート!$C600,使用レシピ!$E:$E,0)),""),"")</f>
        <v/>
      </c>
      <c r="I600" s="36" t="str">
        <f>IFERROR(IF(INDEX(使用レシピ!P:P,MATCH(テンプレート!$C600,使用レシピ!$E:$E,0))&lt;&gt;0,INDEX(使用レシピ!P:P,MATCH(テンプレート!$C600,使用レシピ!$E:$E,0)),""),"")</f>
        <v/>
      </c>
      <c r="J600" t="str">
        <f>IFERROR(IF(INDEX(使用レシピ!K:K,MATCH(テンプレート!$C600,使用レシピ!$E:$E,0))&lt;&gt;0,INDEX(使用レシピ!K:K,MATCH(テンプレート!$C600,使用レシピ!$E:$E,0)),""),"")</f>
        <v/>
      </c>
      <c r="K600" t="str">
        <f>IFERROR(IF(INDEX(使用レシピ!L:L,MATCH(テンプレート!$C600,使用レシピ!$E:$E,0))&lt;&gt;0,INDEX(使用レシピ!L:L,MATCH(テンプレート!$C600,使用レシピ!$E:$E,0)),""),"")</f>
        <v/>
      </c>
      <c r="L600" t="str">
        <f>IFERROR(IF(INDEX(使用レシピ!M:M,MATCH(テンプレート!$C600,使用レシピ!$E:$E,0))&lt;&gt;0,INDEX(使用レシピ!M:M,MATCH(テンプレート!$C600,使用レシピ!$E:$E,0)),""),"")</f>
        <v/>
      </c>
      <c r="M600" t="str">
        <f>IFERROR(IF(INDEX(使用レシピ!N:N,MATCH(テンプレート!$C600,使用レシピ!$E:$E,0))&lt;&gt;0,INDEX(使用レシピ!N:N,MATCH(テンプレート!$C600,使用レシピ!$E:$E,0)),""),"")</f>
        <v/>
      </c>
      <c r="N600" s="24" t="str">
        <f>IFERROR(IF(INDEX(使用レシピ!O:O,MATCH(テンプレート!$C600,使用レシピ!$E:$E,0))&lt;&gt;0,INDEX(使用レシピ!O:O,MATCH(テンプレート!$C600,使用レシピ!$E:$E,0)),""),"")</f>
        <v/>
      </c>
      <c r="O600" s="36" t="str">
        <f>IFERROR(IF(INDEX(使用レシピ!P:P,MATCH(テンプレート!$C600,使用レシピ!$E:$E,0))&lt;&gt;0,INDEX(使用レシピ!P:P,MATCH(テンプレート!$C600,使用レシピ!$E:$E,0)),""),"")</f>
        <v/>
      </c>
      <c r="P600" t="str">
        <f t="shared" si="46"/>
        <v/>
      </c>
      <c r="Q600" t="str">
        <f t="shared" si="47"/>
        <v/>
      </c>
      <c r="R600" t="str">
        <f t="shared" si="48"/>
        <v/>
      </c>
      <c r="S600" t="str">
        <f t="shared" si="49"/>
        <v/>
      </c>
      <c r="T600" s="24" t="str">
        <f t="shared" si="50"/>
        <v/>
      </c>
    </row>
    <row r="601" spans="2:20" x14ac:dyDescent="0.4">
      <c r="B601" s="49" t="str" cm="1">
        <f t="array" ref="B601">IFERROR((INDEX($P$4:$T$1000,MATCH(VALUE(LEFT($A601,LEN($A601)-1)),$A$4:$A$1000,0),VALUE(RIGHT($A601,1)))/ INDEX($O$4:$O$1000,MATCH(VALUE(LEFT($A601,LEN($A601)-1)),$A$4:$A$1000))) * INDEX($B$4:$B$1000,MATCH(VALUE(LEFT($A601,LEN($A601)-1)),$A$4:$A$1000)),"")</f>
        <v/>
      </c>
      <c r="C601" s="2" t="str" cm="1">
        <f t="array" ref="C601">IFERROR(IF(INDEX($D$4:$H$1000,MATCH(VALUE(LEFT($A601,LEN($A601)-1)),$A$4:$A$1000,0),VALUE(RIGHT($A601,1)))= 0,"",INDEX($D$4:$H$1000,MATCH(VALUE(LEFT($A601,LEN($A601)-1)),$A$4:$A$1000,0),VALUE(RIGHT($A601,1)))),"")</f>
        <v/>
      </c>
      <c r="D601" s="23" t="str">
        <f>IFERROR(IF(INDEX(使用レシピ!F:F,MATCH(テンプレート!$C601,使用レシピ!$E:$E,0))&lt;&gt;0,INDEX(使用レシピ!F:F,MATCH(テンプレート!$C601,使用レシピ!$E:$E,0)),""),"")</f>
        <v/>
      </c>
      <c r="E601" t="str">
        <f>IFERROR(IF(INDEX(使用レシピ!G:G,MATCH(テンプレート!$C601,使用レシピ!$E:$E,0))&lt;&gt;0,INDEX(使用レシピ!G:G,MATCH(テンプレート!$C601,使用レシピ!$E:$E,0)),""),"")</f>
        <v/>
      </c>
      <c r="F601" t="str">
        <f>IFERROR(IF(INDEX(使用レシピ!H:H,MATCH(テンプレート!$C601,使用レシピ!$E:$E,0))&lt;&gt;0,INDEX(使用レシピ!H:H,MATCH(テンプレート!$C601,使用レシピ!$E:$E,0)),""),"")</f>
        <v/>
      </c>
      <c r="G601" t="str">
        <f>IFERROR(IF(INDEX(使用レシピ!I:I,MATCH(テンプレート!$C601,使用レシピ!$E:$E,0))&lt;&gt;0,INDEX(使用レシピ!I:I,MATCH(テンプレート!$C601,使用レシピ!$E:$E,0)),""),"")</f>
        <v/>
      </c>
      <c r="H601" s="24" t="str">
        <f>IFERROR(IF(INDEX(使用レシピ!J:J,MATCH(テンプレート!$C601,使用レシピ!$E:$E,0))&lt;&gt;0,INDEX(使用レシピ!J:J,MATCH(テンプレート!$C601,使用レシピ!$E:$E,0)),""),"")</f>
        <v/>
      </c>
      <c r="I601" s="36" t="str">
        <f>IFERROR(IF(INDEX(使用レシピ!P:P,MATCH(テンプレート!$C601,使用レシピ!$E:$E,0))&lt;&gt;0,INDEX(使用レシピ!P:P,MATCH(テンプレート!$C601,使用レシピ!$E:$E,0)),""),"")</f>
        <v/>
      </c>
      <c r="J601" t="str">
        <f>IFERROR(IF(INDEX(使用レシピ!K:K,MATCH(テンプレート!$C601,使用レシピ!$E:$E,0))&lt;&gt;0,INDEX(使用レシピ!K:K,MATCH(テンプレート!$C601,使用レシピ!$E:$E,0)),""),"")</f>
        <v/>
      </c>
      <c r="K601" t="str">
        <f>IFERROR(IF(INDEX(使用レシピ!L:L,MATCH(テンプレート!$C601,使用レシピ!$E:$E,0))&lt;&gt;0,INDEX(使用レシピ!L:L,MATCH(テンプレート!$C601,使用レシピ!$E:$E,0)),""),"")</f>
        <v/>
      </c>
      <c r="L601" t="str">
        <f>IFERROR(IF(INDEX(使用レシピ!M:M,MATCH(テンプレート!$C601,使用レシピ!$E:$E,0))&lt;&gt;0,INDEX(使用レシピ!M:M,MATCH(テンプレート!$C601,使用レシピ!$E:$E,0)),""),"")</f>
        <v/>
      </c>
      <c r="M601" t="str">
        <f>IFERROR(IF(INDEX(使用レシピ!N:N,MATCH(テンプレート!$C601,使用レシピ!$E:$E,0))&lt;&gt;0,INDEX(使用レシピ!N:N,MATCH(テンプレート!$C601,使用レシピ!$E:$E,0)),""),"")</f>
        <v/>
      </c>
      <c r="N601" s="24" t="str">
        <f>IFERROR(IF(INDEX(使用レシピ!O:O,MATCH(テンプレート!$C601,使用レシピ!$E:$E,0))&lt;&gt;0,INDEX(使用レシピ!O:O,MATCH(テンプレート!$C601,使用レシピ!$E:$E,0)),""),"")</f>
        <v/>
      </c>
      <c r="O601" s="36" t="str">
        <f>IFERROR(IF(INDEX(使用レシピ!P:P,MATCH(テンプレート!$C601,使用レシピ!$E:$E,0))&lt;&gt;0,INDEX(使用レシピ!P:P,MATCH(テンプレート!$C601,使用レシピ!$E:$E,0)),""),"")</f>
        <v/>
      </c>
      <c r="P601" t="str">
        <f t="shared" si="46"/>
        <v/>
      </c>
      <c r="Q601" t="str">
        <f t="shared" si="47"/>
        <v/>
      </c>
      <c r="R601" t="str">
        <f t="shared" si="48"/>
        <v/>
      </c>
      <c r="S601" t="str">
        <f t="shared" si="49"/>
        <v/>
      </c>
      <c r="T601" s="24" t="str">
        <f t="shared" si="50"/>
        <v/>
      </c>
    </row>
    <row r="602" spans="2:20" x14ac:dyDescent="0.4">
      <c r="B602" s="49" t="str" cm="1">
        <f t="array" ref="B602">IFERROR((INDEX($P$4:$T$1000,MATCH(VALUE(LEFT($A602,LEN($A602)-1)),$A$4:$A$1000,0),VALUE(RIGHT($A602,1)))/ INDEX($O$4:$O$1000,MATCH(VALUE(LEFT($A602,LEN($A602)-1)),$A$4:$A$1000))) * INDEX($B$4:$B$1000,MATCH(VALUE(LEFT($A602,LEN($A602)-1)),$A$4:$A$1000)),"")</f>
        <v/>
      </c>
      <c r="C602" s="2" t="str" cm="1">
        <f t="array" ref="C602">IFERROR(IF(INDEX($D$4:$H$1000,MATCH(VALUE(LEFT($A602,LEN($A602)-1)),$A$4:$A$1000,0),VALUE(RIGHT($A602,1)))= 0,"",INDEX($D$4:$H$1000,MATCH(VALUE(LEFT($A602,LEN($A602)-1)),$A$4:$A$1000,0),VALUE(RIGHT($A602,1)))),"")</f>
        <v/>
      </c>
      <c r="D602" s="23" t="str">
        <f>IFERROR(IF(INDEX(使用レシピ!F:F,MATCH(テンプレート!$C602,使用レシピ!$E:$E,0))&lt;&gt;0,INDEX(使用レシピ!F:F,MATCH(テンプレート!$C602,使用レシピ!$E:$E,0)),""),"")</f>
        <v/>
      </c>
      <c r="E602" t="str">
        <f>IFERROR(IF(INDEX(使用レシピ!G:G,MATCH(テンプレート!$C602,使用レシピ!$E:$E,0))&lt;&gt;0,INDEX(使用レシピ!G:G,MATCH(テンプレート!$C602,使用レシピ!$E:$E,0)),""),"")</f>
        <v/>
      </c>
      <c r="F602" t="str">
        <f>IFERROR(IF(INDEX(使用レシピ!H:H,MATCH(テンプレート!$C602,使用レシピ!$E:$E,0))&lt;&gt;0,INDEX(使用レシピ!H:H,MATCH(テンプレート!$C602,使用レシピ!$E:$E,0)),""),"")</f>
        <v/>
      </c>
      <c r="G602" t="str">
        <f>IFERROR(IF(INDEX(使用レシピ!I:I,MATCH(テンプレート!$C602,使用レシピ!$E:$E,0))&lt;&gt;0,INDEX(使用レシピ!I:I,MATCH(テンプレート!$C602,使用レシピ!$E:$E,0)),""),"")</f>
        <v/>
      </c>
      <c r="H602" s="24" t="str">
        <f>IFERROR(IF(INDEX(使用レシピ!J:J,MATCH(テンプレート!$C602,使用レシピ!$E:$E,0))&lt;&gt;0,INDEX(使用レシピ!J:J,MATCH(テンプレート!$C602,使用レシピ!$E:$E,0)),""),"")</f>
        <v/>
      </c>
      <c r="I602" s="36" t="str">
        <f>IFERROR(IF(INDEX(使用レシピ!P:P,MATCH(テンプレート!$C602,使用レシピ!$E:$E,0))&lt;&gt;0,INDEX(使用レシピ!P:P,MATCH(テンプレート!$C602,使用レシピ!$E:$E,0)),""),"")</f>
        <v/>
      </c>
      <c r="J602" t="str">
        <f>IFERROR(IF(INDEX(使用レシピ!K:K,MATCH(テンプレート!$C602,使用レシピ!$E:$E,0))&lt;&gt;0,INDEX(使用レシピ!K:K,MATCH(テンプレート!$C602,使用レシピ!$E:$E,0)),""),"")</f>
        <v/>
      </c>
      <c r="K602" t="str">
        <f>IFERROR(IF(INDEX(使用レシピ!L:L,MATCH(テンプレート!$C602,使用レシピ!$E:$E,0))&lt;&gt;0,INDEX(使用レシピ!L:L,MATCH(テンプレート!$C602,使用レシピ!$E:$E,0)),""),"")</f>
        <v/>
      </c>
      <c r="L602" t="str">
        <f>IFERROR(IF(INDEX(使用レシピ!M:M,MATCH(テンプレート!$C602,使用レシピ!$E:$E,0))&lt;&gt;0,INDEX(使用レシピ!M:M,MATCH(テンプレート!$C602,使用レシピ!$E:$E,0)),""),"")</f>
        <v/>
      </c>
      <c r="M602" t="str">
        <f>IFERROR(IF(INDEX(使用レシピ!N:N,MATCH(テンプレート!$C602,使用レシピ!$E:$E,0))&lt;&gt;0,INDEX(使用レシピ!N:N,MATCH(テンプレート!$C602,使用レシピ!$E:$E,0)),""),"")</f>
        <v/>
      </c>
      <c r="N602" s="24" t="str">
        <f>IFERROR(IF(INDEX(使用レシピ!O:O,MATCH(テンプレート!$C602,使用レシピ!$E:$E,0))&lt;&gt;0,INDEX(使用レシピ!O:O,MATCH(テンプレート!$C602,使用レシピ!$E:$E,0)),""),"")</f>
        <v/>
      </c>
      <c r="O602" s="36" t="str">
        <f>IFERROR(IF(INDEX(使用レシピ!P:P,MATCH(テンプレート!$C602,使用レシピ!$E:$E,0))&lt;&gt;0,INDEX(使用レシピ!P:P,MATCH(テンプレート!$C602,使用レシピ!$E:$E,0)),""),"")</f>
        <v/>
      </c>
      <c r="P602" t="str">
        <f t="shared" si="46"/>
        <v/>
      </c>
      <c r="Q602" t="str">
        <f t="shared" si="47"/>
        <v/>
      </c>
      <c r="R602" t="str">
        <f t="shared" si="48"/>
        <v/>
      </c>
      <c r="S602" t="str">
        <f t="shared" si="49"/>
        <v/>
      </c>
      <c r="T602" s="24" t="str">
        <f t="shared" si="50"/>
        <v/>
      </c>
    </row>
    <row r="603" spans="2:20" x14ac:dyDescent="0.4">
      <c r="B603" s="49" t="str" cm="1">
        <f t="array" ref="B603">IFERROR((INDEX($P$4:$T$1000,MATCH(VALUE(LEFT($A603,LEN($A603)-1)),$A$4:$A$1000,0),VALUE(RIGHT($A603,1)))/ INDEX($O$4:$O$1000,MATCH(VALUE(LEFT($A603,LEN($A603)-1)),$A$4:$A$1000))) * INDEX($B$4:$B$1000,MATCH(VALUE(LEFT($A603,LEN($A603)-1)),$A$4:$A$1000)),"")</f>
        <v/>
      </c>
      <c r="C603" s="2" t="str" cm="1">
        <f t="array" ref="C603">IFERROR(IF(INDEX($D$4:$H$1000,MATCH(VALUE(LEFT($A603,LEN($A603)-1)),$A$4:$A$1000,0),VALUE(RIGHT($A603,1)))= 0,"",INDEX($D$4:$H$1000,MATCH(VALUE(LEFT($A603,LEN($A603)-1)),$A$4:$A$1000,0),VALUE(RIGHT($A603,1)))),"")</f>
        <v/>
      </c>
      <c r="D603" s="23" t="str">
        <f>IFERROR(IF(INDEX(使用レシピ!F:F,MATCH(テンプレート!$C603,使用レシピ!$E:$E,0))&lt;&gt;0,INDEX(使用レシピ!F:F,MATCH(テンプレート!$C603,使用レシピ!$E:$E,0)),""),"")</f>
        <v/>
      </c>
      <c r="E603" t="str">
        <f>IFERROR(IF(INDEX(使用レシピ!G:G,MATCH(テンプレート!$C603,使用レシピ!$E:$E,0))&lt;&gt;0,INDEX(使用レシピ!G:G,MATCH(テンプレート!$C603,使用レシピ!$E:$E,0)),""),"")</f>
        <v/>
      </c>
      <c r="F603" t="str">
        <f>IFERROR(IF(INDEX(使用レシピ!H:H,MATCH(テンプレート!$C603,使用レシピ!$E:$E,0))&lt;&gt;0,INDEX(使用レシピ!H:H,MATCH(テンプレート!$C603,使用レシピ!$E:$E,0)),""),"")</f>
        <v/>
      </c>
      <c r="G603" t="str">
        <f>IFERROR(IF(INDEX(使用レシピ!I:I,MATCH(テンプレート!$C603,使用レシピ!$E:$E,0))&lt;&gt;0,INDEX(使用レシピ!I:I,MATCH(テンプレート!$C603,使用レシピ!$E:$E,0)),""),"")</f>
        <v/>
      </c>
      <c r="H603" s="24" t="str">
        <f>IFERROR(IF(INDEX(使用レシピ!J:J,MATCH(テンプレート!$C603,使用レシピ!$E:$E,0))&lt;&gt;0,INDEX(使用レシピ!J:J,MATCH(テンプレート!$C603,使用レシピ!$E:$E,0)),""),"")</f>
        <v/>
      </c>
      <c r="I603" s="36" t="str">
        <f>IFERROR(IF(INDEX(使用レシピ!P:P,MATCH(テンプレート!$C603,使用レシピ!$E:$E,0))&lt;&gt;0,INDEX(使用レシピ!P:P,MATCH(テンプレート!$C603,使用レシピ!$E:$E,0)),""),"")</f>
        <v/>
      </c>
      <c r="J603" t="str">
        <f>IFERROR(IF(INDEX(使用レシピ!K:K,MATCH(テンプレート!$C603,使用レシピ!$E:$E,0))&lt;&gt;0,INDEX(使用レシピ!K:K,MATCH(テンプレート!$C603,使用レシピ!$E:$E,0)),""),"")</f>
        <v/>
      </c>
      <c r="K603" t="str">
        <f>IFERROR(IF(INDEX(使用レシピ!L:L,MATCH(テンプレート!$C603,使用レシピ!$E:$E,0))&lt;&gt;0,INDEX(使用レシピ!L:L,MATCH(テンプレート!$C603,使用レシピ!$E:$E,0)),""),"")</f>
        <v/>
      </c>
      <c r="L603" t="str">
        <f>IFERROR(IF(INDEX(使用レシピ!M:M,MATCH(テンプレート!$C603,使用レシピ!$E:$E,0))&lt;&gt;0,INDEX(使用レシピ!M:M,MATCH(テンプレート!$C603,使用レシピ!$E:$E,0)),""),"")</f>
        <v/>
      </c>
      <c r="M603" t="str">
        <f>IFERROR(IF(INDEX(使用レシピ!N:N,MATCH(テンプレート!$C603,使用レシピ!$E:$E,0))&lt;&gt;0,INDEX(使用レシピ!N:N,MATCH(テンプレート!$C603,使用レシピ!$E:$E,0)),""),"")</f>
        <v/>
      </c>
      <c r="N603" s="24" t="str">
        <f>IFERROR(IF(INDEX(使用レシピ!O:O,MATCH(テンプレート!$C603,使用レシピ!$E:$E,0))&lt;&gt;0,INDEX(使用レシピ!O:O,MATCH(テンプレート!$C603,使用レシピ!$E:$E,0)),""),"")</f>
        <v/>
      </c>
      <c r="O603" s="36" t="str">
        <f>IFERROR(IF(INDEX(使用レシピ!P:P,MATCH(テンプレート!$C603,使用レシピ!$E:$E,0))&lt;&gt;0,INDEX(使用レシピ!P:P,MATCH(テンプレート!$C603,使用レシピ!$E:$E,0)),""),"")</f>
        <v/>
      </c>
      <c r="P603" t="str">
        <f t="shared" si="46"/>
        <v/>
      </c>
      <c r="Q603" t="str">
        <f t="shared" si="47"/>
        <v/>
      </c>
      <c r="R603" t="str">
        <f t="shared" si="48"/>
        <v/>
      </c>
      <c r="S603" t="str">
        <f t="shared" si="49"/>
        <v/>
      </c>
      <c r="T603" s="24" t="str">
        <f t="shared" si="50"/>
        <v/>
      </c>
    </row>
    <row r="604" spans="2:20" x14ac:dyDescent="0.4">
      <c r="B604" s="49" t="str" cm="1">
        <f t="array" ref="B604">IFERROR((INDEX($P$4:$T$1000,MATCH(VALUE(LEFT($A604,LEN($A604)-1)),$A$4:$A$1000,0),VALUE(RIGHT($A604,1)))/ INDEX($O$4:$O$1000,MATCH(VALUE(LEFT($A604,LEN($A604)-1)),$A$4:$A$1000))) * INDEX($B$4:$B$1000,MATCH(VALUE(LEFT($A604,LEN($A604)-1)),$A$4:$A$1000)),"")</f>
        <v/>
      </c>
      <c r="C604" s="2" t="str" cm="1">
        <f t="array" ref="C604">IFERROR(IF(INDEX($D$4:$H$1000,MATCH(VALUE(LEFT($A604,LEN($A604)-1)),$A$4:$A$1000,0),VALUE(RIGHT($A604,1)))= 0,"",INDEX($D$4:$H$1000,MATCH(VALUE(LEFT($A604,LEN($A604)-1)),$A$4:$A$1000,0),VALUE(RIGHT($A604,1)))),"")</f>
        <v/>
      </c>
      <c r="D604" s="23" t="str">
        <f>IFERROR(IF(INDEX(使用レシピ!F:F,MATCH(テンプレート!$C604,使用レシピ!$E:$E,0))&lt;&gt;0,INDEX(使用レシピ!F:F,MATCH(テンプレート!$C604,使用レシピ!$E:$E,0)),""),"")</f>
        <v/>
      </c>
      <c r="E604" t="str">
        <f>IFERROR(IF(INDEX(使用レシピ!G:G,MATCH(テンプレート!$C604,使用レシピ!$E:$E,0))&lt;&gt;0,INDEX(使用レシピ!G:G,MATCH(テンプレート!$C604,使用レシピ!$E:$E,0)),""),"")</f>
        <v/>
      </c>
      <c r="F604" t="str">
        <f>IFERROR(IF(INDEX(使用レシピ!H:H,MATCH(テンプレート!$C604,使用レシピ!$E:$E,0))&lt;&gt;0,INDEX(使用レシピ!H:H,MATCH(テンプレート!$C604,使用レシピ!$E:$E,0)),""),"")</f>
        <v/>
      </c>
      <c r="G604" t="str">
        <f>IFERROR(IF(INDEX(使用レシピ!I:I,MATCH(テンプレート!$C604,使用レシピ!$E:$E,0))&lt;&gt;0,INDEX(使用レシピ!I:I,MATCH(テンプレート!$C604,使用レシピ!$E:$E,0)),""),"")</f>
        <v/>
      </c>
      <c r="H604" s="24" t="str">
        <f>IFERROR(IF(INDEX(使用レシピ!J:J,MATCH(テンプレート!$C604,使用レシピ!$E:$E,0))&lt;&gt;0,INDEX(使用レシピ!J:J,MATCH(テンプレート!$C604,使用レシピ!$E:$E,0)),""),"")</f>
        <v/>
      </c>
      <c r="I604" s="36" t="str">
        <f>IFERROR(IF(INDEX(使用レシピ!P:P,MATCH(テンプレート!$C604,使用レシピ!$E:$E,0))&lt;&gt;0,INDEX(使用レシピ!P:P,MATCH(テンプレート!$C604,使用レシピ!$E:$E,0)),""),"")</f>
        <v/>
      </c>
      <c r="J604" t="str">
        <f>IFERROR(IF(INDEX(使用レシピ!K:K,MATCH(テンプレート!$C604,使用レシピ!$E:$E,0))&lt;&gt;0,INDEX(使用レシピ!K:K,MATCH(テンプレート!$C604,使用レシピ!$E:$E,0)),""),"")</f>
        <v/>
      </c>
      <c r="K604" t="str">
        <f>IFERROR(IF(INDEX(使用レシピ!L:L,MATCH(テンプレート!$C604,使用レシピ!$E:$E,0))&lt;&gt;0,INDEX(使用レシピ!L:L,MATCH(テンプレート!$C604,使用レシピ!$E:$E,0)),""),"")</f>
        <v/>
      </c>
      <c r="L604" t="str">
        <f>IFERROR(IF(INDEX(使用レシピ!M:M,MATCH(テンプレート!$C604,使用レシピ!$E:$E,0))&lt;&gt;0,INDEX(使用レシピ!M:M,MATCH(テンプレート!$C604,使用レシピ!$E:$E,0)),""),"")</f>
        <v/>
      </c>
      <c r="M604" t="str">
        <f>IFERROR(IF(INDEX(使用レシピ!N:N,MATCH(テンプレート!$C604,使用レシピ!$E:$E,0))&lt;&gt;0,INDEX(使用レシピ!N:N,MATCH(テンプレート!$C604,使用レシピ!$E:$E,0)),""),"")</f>
        <v/>
      </c>
      <c r="N604" s="24" t="str">
        <f>IFERROR(IF(INDEX(使用レシピ!O:O,MATCH(テンプレート!$C604,使用レシピ!$E:$E,0))&lt;&gt;0,INDEX(使用レシピ!O:O,MATCH(テンプレート!$C604,使用レシピ!$E:$E,0)),""),"")</f>
        <v/>
      </c>
      <c r="O604" s="36" t="str">
        <f>IFERROR(IF(INDEX(使用レシピ!P:P,MATCH(テンプレート!$C604,使用レシピ!$E:$E,0))&lt;&gt;0,INDEX(使用レシピ!P:P,MATCH(テンプレート!$C604,使用レシピ!$E:$E,0)),""),"")</f>
        <v/>
      </c>
      <c r="P604" t="str">
        <f t="shared" si="46"/>
        <v/>
      </c>
      <c r="Q604" t="str">
        <f t="shared" si="47"/>
        <v/>
      </c>
      <c r="R604" t="str">
        <f t="shared" si="48"/>
        <v/>
      </c>
      <c r="S604" t="str">
        <f t="shared" si="49"/>
        <v/>
      </c>
      <c r="T604" s="24" t="str">
        <f t="shared" si="50"/>
        <v/>
      </c>
    </row>
    <row r="605" spans="2:20" x14ac:dyDescent="0.4">
      <c r="B605" s="49" t="str" cm="1">
        <f t="array" ref="B605">IFERROR((INDEX($P$4:$T$1000,MATCH(VALUE(LEFT($A605,LEN($A605)-1)),$A$4:$A$1000,0),VALUE(RIGHT($A605,1)))/ INDEX($O$4:$O$1000,MATCH(VALUE(LEFT($A605,LEN($A605)-1)),$A$4:$A$1000))) * INDEX($B$4:$B$1000,MATCH(VALUE(LEFT($A605,LEN($A605)-1)),$A$4:$A$1000)),"")</f>
        <v/>
      </c>
      <c r="C605" s="2" t="str" cm="1">
        <f t="array" ref="C605">IFERROR(IF(INDEX($D$4:$H$1000,MATCH(VALUE(LEFT($A605,LEN($A605)-1)),$A$4:$A$1000,0),VALUE(RIGHT($A605,1)))= 0,"",INDEX($D$4:$H$1000,MATCH(VALUE(LEFT($A605,LEN($A605)-1)),$A$4:$A$1000,0),VALUE(RIGHT($A605,1)))),"")</f>
        <v/>
      </c>
      <c r="D605" s="23" t="str">
        <f>IFERROR(IF(INDEX(使用レシピ!F:F,MATCH(テンプレート!$C605,使用レシピ!$E:$E,0))&lt;&gt;0,INDEX(使用レシピ!F:F,MATCH(テンプレート!$C605,使用レシピ!$E:$E,0)),""),"")</f>
        <v/>
      </c>
      <c r="E605" t="str">
        <f>IFERROR(IF(INDEX(使用レシピ!G:G,MATCH(テンプレート!$C605,使用レシピ!$E:$E,0))&lt;&gt;0,INDEX(使用レシピ!G:G,MATCH(テンプレート!$C605,使用レシピ!$E:$E,0)),""),"")</f>
        <v/>
      </c>
      <c r="F605" t="str">
        <f>IFERROR(IF(INDEX(使用レシピ!H:H,MATCH(テンプレート!$C605,使用レシピ!$E:$E,0))&lt;&gt;0,INDEX(使用レシピ!H:H,MATCH(テンプレート!$C605,使用レシピ!$E:$E,0)),""),"")</f>
        <v/>
      </c>
      <c r="G605" t="str">
        <f>IFERROR(IF(INDEX(使用レシピ!I:I,MATCH(テンプレート!$C605,使用レシピ!$E:$E,0))&lt;&gt;0,INDEX(使用レシピ!I:I,MATCH(テンプレート!$C605,使用レシピ!$E:$E,0)),""),"")</f>
        <v/>
      </c>
      <c r="H605" s="24" t="str">
        <f>IFERROR(IF(INDEX(使用レシピ!J:J,MATCH(テンプレート!$C605,使用レシピ!$E:$E,0))&lt;&gt;0,INDEX(使用レシピ!J:J,MATCH(テンプレート!$C605,使用レシピ!$E:$E,0)),""),"")</f>
        <v/>
      </c>
      <c r="I605" s="36" t="str">
        <f>IFERROR(IF(INDEX(使用レシピ!P:P,MATCH(テンプレート!$C605,使用レシピ!$E:$E,0))&lt;&gt;0,INDEX(使用レシピ!P:P,MATCH(テンプレート!$C605,使用レシピ!$E:$E,0)),""),"")</f>
        <v/>
      </c>
      <c r="J605" t="str">
        <f>IFERROR(IF(INDEX(使用レシピ!K:K,MATCH(テンプレート!$C605,使用レシピ!$E:$E,0))&lt;&gt;0,INDEX(使用レシピ!K:K,MATCH(テンプレート!$C605,使用レシピ!$E:$E,0)),""),"")</f>
        <v/>
      </c>
      <c r="K605" t="str">
        <f>IFERROR(IF(INDEX(使用レシピ!L:L,MATCH(テンプレート!$C605,使用レシピ!$E:$E,0))&lt;&gt;0,INDEX(使用レシピ!L:L,MATCH(テンプレート!$C605,使用レシピ!$E:$E,0)),""),"")</f>
        <v/>
      </c>
      <c r="L605" t="str">
        <f>IFERROR(IF(INDEX(使用レシピ!M:M,MATCH(テンプレート!$C605,使用レシピ!$E:$E,0))&lt;&gt;0,INDEX(使用レシピ!M:M,MATCH(テンプレート!$C605,使用レシピ!$E:$E,0)),""),"")</f>
        <v/>
      </c>
      <c r="M605" t="str">
        <f>IFERROR(IF(INDEX(使用レシピ!N:N,MATCH(テンプレート!$C605,使用レシピ!$E:$E,0))&lt;&gt;0,INDEX(使用レシピ!N:N,MATCH(テンプレート!$C605,使用レシピ!$E:$E,0)),""),"")</f>
        <v/>
      </c>
      <c r="N605" s="24" t="str">
        <f>IFERROR(IF(INDEX(使用レシピ!O:O,MATCH(テンプレート!$C605,使用レシピ!$E:$E,0))&lt;&gt;0,INDEX(使用レシピ!O:O,MATCH(テンプレート!$C605,使用レシピ!$E:$E,0)),""),"")</f>
        <v/>
      </c>
      <c r="O605" s="36" t="str">
        <f>IFERROR(IF(INDEX(使用レシピ!P:P,MATCH(テンプレート!$C605,使用レシピ!$E:$E,0))&lt;&gt;0,INDEX(使用レシピ!P:P,MATCH(テンプレート!$C605,使用レシピ!$E:$E,0)),""),"")</f>
        <v/>
      </c>
      <c r="P605" t="str">
        <f t="shared" si="46"/>
        <v/>
      </c>
      <c r="Q605" t="str">
        <f t="shared" si="47"/>
        <v/>
      </c>
      <c r="R605" t="str">
        <f t="shared" si="48"/>
        <v/>
      </c>
      <c r="S605" t="str">
        <f t="shared" si="49"/>
        <v/>
      </c>
      <c r="T605" s="24" t="str">
        <f t="shared" si="50"/>
        <v/>
      </c>
    </row>
    <row r="606" spans="2:20" x14ac:dyDescent="0.4">
      <c r="B606" s="49" t="str" cm="1">
        <f t="array" ref="B606">IFERROR((INDEX($P$4:$T$1000,MATCH(VALUE(LEFT($A606,LEN($A606)-1)),$A$4:$A$1000,0),VALUE(RIGHT($A606,1)))/ INDEX($O$4:$O$1000,MATCH(VALUE(LEFT($A606,LEN($A606)-1)),$A$4:$A$1000))) * INDEX($B$4:$B$1000,MATCH(VALUE(LEFT($A606,LEN($A606)-1)),$A$4:$A$1000)),"")</f>
        <v/>
      </c>
      <c r="C606" s="2" t="str" cm="1">
        <f t="array" ref="C606">IFERROR(IF(INDEX($D$4:$H$1000,MATCH(VALUE(LEFT($A606,LEN($A606)-1)),$A$4:$A$1000,0),VALUE(RIGHT($A606,1)))= 0,"",INDEX($D$4:$H$1000,MATCH(VALUE(LEFT($A606,LEN($A606)-1)),$A$4:$A$1000,0),VALUE(RIGHT($A606,1)))),"")</f>
        <v/>
      </c>
      <c r="D606" s="23" t="str">
        <f>IFERROR(IF(INDEX(使用レシピ!F:F,MATCH(テンプレート!$C606,使用レシピ!$E:$E,0))&lt;&gt;0,INDEX(使用レシピ!F:F,MATCH(テンプレート!$C606,使用レシピ!$E:$E,0)),""),"")</f>
        <v/>
      </c>
      <c r="E606" t="str">
        <f>IFERROR(IF(INDEX(使用レシピ!G:G,MATCH(テンプレート!$C606,使用レシピ!$E:$E,0))&lt;&gt;0,INDEX(使用レシピ!G:G,MATCH(テンプレート!$C606,使用レシピ!$E:$E,0)),""),"")</f>
        <v/>
      </c>
      <c r="F606" t="str">
        <f>IFERROR(IF(INDEX(使用レシピ!H:H,MATCH(テンプレート!$C606,使用レシピ!$E:$E,0))&lt;&gt;0,INDEX(使用レシピ!H:H,MATCH(テンプレート!$C606,使用レシピ!$E:$E,0)),""),"")</f>
        <v/>
      </c>
      <c r="G606" t="str">
        <f>IFERROR(IF(INDEX(使用レシピ!I:I,MATCH(テンプレート!$C606,使用レシピ!$E:$E,0))&lt;&gt;0,INDEX(使用レシピ!I:I,MATCH(テンプレート!$C606,使用レシピ!$E:$E,0)),""),"")</f>
        <v/>
      </c>
      <c r="H606" s="24" t="str">
        <f>IFERROR(IF(INDEX(使用レシピ!J:J,MATCH(テンプレート!$C606,使用レシピ!$E:$E,0))&lt;&gt;0,INDEX(使用レシピ!J:J,MATCH(テンプレート!$C606,使用レシピ!$E:$E,0)),""),"")</f>
        <v/>
      </c>
      <c r="I606" s="36" t="str">
        <f>IFERROR(IF(INDEX(使用レシピ!P:P,MATCH(テンプレート!$C606,使用レシピ!$E:$E,0))&lt;&gt;0,INDEX(使用レシピ!P:P,MATCH(テンプレート!$C606,使用レシピ!$E:$E,0)),""),"")</f>
        <v/>
      </c>
      <c r="J606" t="str">
        <f>IFERROR(IF(INDEX(使用レシピ!K:K,MATCH(テンプレート!$C606,使用レシピ!$E:$E,0))&lt;&gt;0,INDEX(使用レシピ!K:K,MATCH(テンプレート!$C606,使用レシピ!$E:$E,0)),""),"")</f>
        <v/>
      </c>
      <c r="K606" t="str">
        <f>IFERROR(IF(INDEX(使用レシピ!L:L,MATCH(テンプレート!$C606,使用レシピ!$E:$E,0))&lt;&gt;0,INDEX(使用レシピ!L:L,MATCH(テンプレート!$C606,使用レシピ!$E:$E,0)),""),"")</f>
        <v/>
      </c>
      <c r="L606" t="str">
        <f>IFERROR(IF(INDEX(使用レシピ!M:M,MATCH(テンプレート!$C606,使用レシピ!$E:$E,0))&lt;&gt;0,INDEX(使用レシピ!M:M,MATCH(テンプレート!$C606,使用レシピ!$E:$E,0)),""),"")</f>
        <v/>
      </c>
      <c r="M606" t="str">
        <f>IFERROR(IF(INDEX(使用レシピ!N:N,MATCH(テンプレート!$C606,使用レシピ!$E:$E,0))&lt;&gt;0,INDEX(使用レシピ!N:N,MATCH(テンプレート!$C606,使用レシピ!$E:$E,0)),""),"")</f>
        <v/>
      </c>
      <c r="N606" s="24" t="str">
        <f>IFERROR(IF(INDEX(使用レシピ!O:O,MATCH(テンプレート!$C606,使用レシピ!$E:$E,0))&lt;&gt;0,INDEX(使用レシピ!O:O,MATCH(テンプレート!$C606,使用レシピ!$E:$E,0)),""),"")</f>
        <v/>
      </c>
      <c r="O606" s="36" t="str">
        <f>IFERROR(IF(INDEX(使用レシピ!P:P,MATCH(テンプレート!$C606,使用レシピ!$E:$E,0))&lt;&gt;0,INDEX(使用レシピ!P:P,MATCH(テンプレート!$C606,使用レシピ!$E:$E,0)),""),"")</f>
        <v/>
      </c>
      <c r="P606" t="str">
        <f t="shared" si="46"/>
        <v/>
      </c>
      <c r="Q606" t="str">
        <f t="shared" si="47"/>
        <v/>
      </c>
      <c r="R606" t="str">
        <f t="shared" si="48"/>
        <v/>
      </c>
      <c r="S606" t="str">
        <f t="shared" si="49"/>
        <v/>
      </c>
      <c r="T606" s="24" t="str">
        <f t="shared" si="50"/>
        <v/>
      </c>
    </row>
    <row r="607" spans="2:20" x14ac:dyDescent="0.4">
      <c r="B607" s="49" t="str" cm="1">
        <f t="array" ref="B607">IFERROR((INDEX($P$4:$T$1000,MATCH(VALUE(LEFT($A607,LEN($A607)-1)),$A$4:$A$1000,0),VALUE(RIGHT($A607,1)))/ INDEX($O$4:$O$1000,MATCH(VALUE(LEFT($A607,LEN($A607)-1)),$A$4:$A$1000))) * INDEX($B$4:$B$1000,MATCH(VALUE(LEFT($A607,LEN($A607)-1)),$A$4:$A$1000)),"")</f>
        <v/>
      </c>
      <c r="C607" s="2" t="str" cm="1">
        <f t="array" ref="C607">IFERROR(IF(INDEX($D$4:$H$1000,MATCH(VALUE(LEFT($A607,LEN($A607)-1)),$A$4:$A$1000,0),VALUE(RIGHT($A607,1)))= 0,"",INDEX($D$4:$H$1000,MATCH(VALUE(LEFT($A607,LEN($A607)-1)),$A$4:$A$1000,0),VALUE(RIGHT($A607,1)))),"")</f>
        <v/>
      </c>
      <c r="D607" s="23" t="str">
        <f>IFERROR(IF(INDEX(使用レシピ!F:F,MATCH(テンプレート!$C607,使用レシピ!$E:$E,0))&lt;&gt;0,INDEX(使用レシピ!F:F,MATCH(テンプレート!$C607,使用レシピ!$E:$E,0)),""),"")</f>
        <v/>
      </c>
      <c r="E607" t="str">
        <f>IFERROR(IF(INDEX(使用レシピ!G:G,MATCH(テンプレート!$C607,使用レシピ!$E:$E,0))&lt;&gt;0,INDEX(使用レシピ!G:G,MATCH(テンプレート!$C607,使用レシピ!$E:$E,0)),""),"")</f>
        <v/>
      </c>
      <c r="F607" t="str">
        <f>IFERROR(IF(INDEX(使用レシピ!H:H,MATCH(テンプレート!$C607,使用レシピ!$E:$E,0))&lt;&gt;0,INDEX(使用レシピ!H:H,MATCH(テンプレート!$C607,使用レシピ!$E:$E,0)),""),"")</f>
        <v/>
      </c>
      <c r="G607" t="str">
        <f>IFERROR(IF(INDEX(使用レシピ!I:I,MATCH(テンプレート!$C607,使用レシピ!$E:$E,0))&lt;&gt;0,INDEX(使用レシピ!I:I,MATCH(テンプレート!$C607,使用レシピ!$E:$E,0)),""),"")</f>
        <v/>
      </c>
      <c r="H607" s="24" t="str">
        <f>IFERROR(IF(INDEX(使用レシピ!J:J,MATCH(テンプレート!$C607,使用レシピ!$E:$E,0))&lt;&gt;0,INDEX(使用レシピ!J:J,MATCH(テンプレート!$C607,使用レシピ!$E:$E,0)),""),"")</f>
        <v/>
      </c>
      <c r="I607" s="36" t="str">
        <f>IFERROR(IF(INDEX(使用レシピ!P:P,MATCH(テンプレート!$C607,使用レシピ!$E:$E,0))&lt;&gt;0,INDEX(使用レシピ!P:P,MATCH(テンプレート!$C607,使用レシピ!$E:$E,0)),""),"")</f>
        <v/>
      </c>
      <c r="J607" t="str">
        <f>IFERROR(IF(INDEX(使用レシピ!K:K,MATCH(テンプレート!$C607,使用レシピ!$E:$E,0))&lt;&gt;0,INDEX(使用レシピ!K:K,MATCH(テンプレート!$C607,使用レシピ!$E:$E,0)),""),"")</f>
        <v/>
      </c>
      <c r="K607" t="str">
        <f>IFERROR(IF(INDEX(使用レシピ!L:L,MATCH(テンプレート!$C607,使用レシピ!$E:$E,0))&lt;&gt;0,INDEX(使用レシピ!L:L,MATCH(テンプレート!$C607,使用レシピ!$E:$E,0)),""),"")</f>
        <v/>
      </c>
      <c r="L607" t="str">
        <f>IFERROR(IF(INDEX(使用レシピ!M:M,MATCH(テンプレート!$C607,使用レシピ!$E:$E,0))&lt;&gt;0,INDEX(使用レシピ!M:M,MATCH(テンプレート!$C607,使用レシピ!$E:$E,0)),""),"")</f>
        <v/>
      </c>
      <c r="M607" t="str">
        <f>IFERROR(IF(INDEX(使用レシピ!N:N,MATCH(テンプレート!$C607,使用レシピ!$E:$E,0))&lt;&gt;0,INDEX(使用レシピ!N:N,MATCH(テンプレート!$C607,使用レシピ!$E:$E,0)),""),"")</f>
        <v/>
      </c>
      <c r="N607" s="24" t="str">
        <f>IFERROR(IF(INDEX(使用レシピ!O:O,MATCH(テンプレート!$C607,使用レシピ!$E:$E,0))&lt;&gt;0,INDEX(使用レシピ!O:O,MATCH(テンプレート!$C607,使用レシピ!$E:$E,0)),""),"")</f>
        <v/>
      </c>
      <c r="O607" s="36" t="str">
        <f>IFERROR(IF(INDEX(使用レシピ!P:P,MATCH(テンプレート!$C607,使用レシピ!$E:$E,0))&lt;&gt;0,INDEX(使用レシピ!P:P,MATCH(テンプレート!$C607,使用レシピ!$E:$E,0)),""),"")</f>
        <v/>
      </c>
      <c r="P607" t="str">
        <f t="shared" si="46"/>
        <v/>
      </c>
      <c r="Q607" t="str">
        <f t="shared" si="47"/>
        <v/>
      </c>
      <c r="R607" t="str">
        <f t="shared" si="48"/>
        <v/>
      </c>
      <c r="S607" t="str">
        <f t="shared" si="49"/>
        <v/>
      </c>
      <c r="T607" s="24" t="str">
        <f t="shared" si="50"/>
        <v/>
      </c>
    </row>
    <row r="608" spans="2:20" x14ac:dyDescent="0.4">
      <c r="B608" s="49" t="str" cm="1">
        <f t="array" ref="B608">IFERROR((INDEX($P$4:$T$1000,MATCH(VALUE(LEFT($A608,LEN($A608)-1)),$A$4:$A$1000,0),VALUE(RIGHT($A608,1)))/ INDEX($O$4:$O$1000,MATCH(VALUE(LEFT($A608,LEN($A608)-1)),$A$4:$A$1000))) * INDEX($B$4:$B$1000,MATCH(VALUE(LEFT($A608,LEN($A608)-1)),$A$4:$A$1000)),"")</f>
        <v/>
      </c>
      <c r="C608" s="2" t="str" cm="1">
        <f t="array" ref="C608">IFERROR(IF(INDEX($D$4:$H$1000,MATCH(VALUE(LEFT($A608,LEN($A608)-1)),$A$4:$A$1000,0),VALUE(RIGHT($A608,1)))= 0,"",INDEX($D$4:$H$1000,MATCH(VALUE(LEFT($A608,LEN($A608)-1)),$A$4:$A$1000,0),VALUE(RIGHT($A608,1)))),"")</f>
        <v/>
      </c>
      <c r="D608" s="23" t="str">
        <f>IFERROR(IF(INDEX(使用レシピ!F:F,MATCH(テンプレート!$C608,使用レシピ!$E:$E,0))&lt;&gt;0,INDEX(使用レシピ!F:F,MATCH(テンプレート!$C608,使用レシピ!$E:$E,0)),""),"")</f>
        <v/>
      </c>
      <c r="E608" t="str">
        <f>IFERROR(IF(INDEX(使用レシピ!G:G,MATCH(テンプレート!$C608,使用レシピ!$E:$E,0))&lt;&gt;0,INDEX(使用レシピ!G:G,MATCH(テンプレート!$C608,使用レシピ!$E:$E,0)),""),"")</f>
        <v/>
      </c>
      <c r="F608" t="str">
        <f>IFERROR(IF(INDEX(使用レシピ!H:H,MATCH(テンプレート!$C608,使用レシピ!$E:$E,0))&lt;&gt;0,INDEX(使用レシピ!H:H,MATCH(テンプレート!$C608,使用レシピ!$E:$E,0)),""),"")</f>
        <v/>
      </c>
      <c r="G608" t="str">
        <f>IFERROR(IF(INDEX(使用レシピ!I:I,MATCH(テンプレート!$C608,使用レシピ!$E:$E,0))&lt;&gt;0,INDEX(使用レシピ!I:I,MATCH(テンプレート!$C608,使用レシピ!$E:$E,0)),""),"")</f>
        <v/>
      </c>
      <c r="H608" s="24" t="str">
        <f>IFERROR(IF(INDEX(使用レシピ!J:J,MATCH(テンプレート!$C608,使用レシピ!$E:$E,0))&lt;&gt;0,INDEX(使用レシピ!J:J,MATCH(テンプレート!$C608,使用レシピ!$E:$E,0)),""),"")</f>
        <v/>
      </c>
      <c r="I608" s="36" t="str">
        <f>IFERROR(IF(INDEX(使用レシピ!P:P,MATCH(テンプレート!$C608,使用レシピ!$E:$E,0))&lt;&gt;0,INDEX(使用レシピ!P:P,MATCH(テンプレート!$C608,使用レシピ!$E:$E,0)),""),"")</f>
        <v/>
      </c>
      <c r="J608" t="str">
        <f>IFERROR(IF(INDEX(使用レシピ!K:K,MATCH(テンプレート!$C608,使用レシピ!$E:$E,0))&lt;&gt;0,INDEX(使用レシピ!K:K,MATCH(テンプレート!$C608,使用レシピ!$E:$E,0)),""),"")</f>
        <v/>
      </c>
      <c r="K608" t="str">
        <f>IFERROR(IF(INDEX(使用レシピ!L:L,MATCH(テンプレート!$C608,使用レシピ!$E:$E,0))&lt;&gt;0,INDEX(使用レシピ!L:L,MATCH(テンプレート!$C608,使用レシピ!$E:$E,0)),""),"")</f>
        <v/>
      </c>
      <c r="L608" t="str">
        <f>IFERROR(IF(INDEX(使用レシピ!M:M,MATCH(テンプレート!$C608,使用レシピ!$E:$E,0))&lt;&gt;0,INDEX(使用レシピ!M:M,MATCH(テンプレート!$C608,使用レシピ!$E:$E,0)),""),"")</f>
        <v/>
      </c>
      <c r="M608" t="str">
        <f>IFERROR(IF(INDEX(使用レシピ!N:N,MATCH(テンプレート!$C608,使用レシピ!$E:$E,0))&lt;&gt;0,INDEX(使用レシピ!N:N,MATCH(テンプレート!$C608,使用レシピ!$E:$E,0)),""),"")</f>
        <v/>
      </c>
      <c r="N608" s="24" t="str">
        <f>IFERROR(IF(INDEX(使用レシピ!O:O,MATCH(テンプレート!$C608,使用レシピ!$E:$E,0))&lt;&gt;0,INDEX(使用レシピ!O:O,MATCH(テンプレート!$C608,使用レシピ!$E:$E,0)),""),"")</f>
        <v/>
      </c>
      <c r="O608" s="36" t="str">
        <f>IFERROR(IF(INDEX(使用レシピ!P:P,MATCH(テンプレート!$C608,使用レシピ!$E:$E,0))&lt;&gt;0,INDEX(使用レシピ!P:P,MATCH(テンプレート!$C608,使用レシピ!$E:$E,0)),""),"")</f>
        <v/>
      </c>
      <c r="P608" t="str">
        <f t="shared" si="46"/>
        <v/>
      </c>
      <c r="Q608" t="str">
        <f t="shared" si="47"/>
        <v/>
      </c>
      <c r="R608" t="str">
        <f t="shared" si="48"/>
        <v/>
      </c>
      <c r="S608" t="str">
        <f t="shared" si="49"/>
        <v/>
      </c>
      <c r="T608" s="24" t="str">
        <f t="shared" si="50"/>
        <v/>
      </c>
    </row>
    <row r="609" spans="2:20" x14ac:dyDescent="0.4">
      <c r="B609" s="49" t="str" cm="1">
        <f t="array" ref="B609">IFERROR((INDEX($P$4:$T$1000,MATCH(VALUE(LEFT($A609,LEN($A609)-1)),$A$4:$A$1000,0),VALUE(RIGHT($A609,1)))/ INDEX($O$4:$O$1000,MATCH(VALUE(LEFT($A609,LEN($A609)-1)),$A$4:$A$1000))) * INDEX($B$4:$B$1000,MATCH(VALUE(LEFT($A609,LEN($A609)-1)),$A$4:$A$1000)),"")</f>
        <v/>
      </c>
      <c r="C609" s="2" t="str" cm="1">
        <f t="array" ref="C609">IFERROR(IF(INDEX($D$4:$H$1000,MATCH(VALUE(LEFT($A609,LEN($A609)-1)),$A$4:$A$1000,0),VALUE(RIGHT($A609,1)))= 0,"",INDEX($D$4:$H$1000,MATCH(VALUE(LEFT($A609,LEN($A609)-1)),$A$4:$A$1000,0),VALUE(RIGHT($A609,1)))),"")</f>
        <v/>
      </c>
      <c r="D609" s="23" t="str">
        <f>IFERROR(IF(INDEX(使用レシピ!F:F,MATCH(テンプレート!$C609,使用レシピ!$E:$E,0))&lt;&gt;0,INDEX(使用レシピ!F:F,MATCH(テンプレート!$C609,使用レシピ!$E:$E,0)),""),"")</f>
        <v/>
      </c>
      <c r="E609" t="str">
        <f>IFERROR(IF(INDEX(使用レシピ!G:G,MATCH(テンプレート!$C609,使用レシピ!$E:$E,0))&lt;&gt;0,INDEX(使用レシピ!G:G,MATCH(テンプレート!$C609,使用レシピ!$E:$E,0)),""),"")</f>
        <v/>
      </c>
      <c r="F609" t="str">
        <f>IFERROR(IF(INDEX(使用レシピ!H:H,MATCH(テンプレート!$C609,使用レシピ!$E:$E,0))&lt;&gt;0,INDEX(使用レシピ!H:H,MATCH(テンプレート!$C609,使用レシピ!$E:$E,0)),""),"")</f>
        <v/>
      </c>
      <c r="G609" t="str">
        <f>IFERROR(IF(INDEX(使用レシピ!I:I,MATCH(テンプレート!$C609,使用レシピ!$E:$E,0))&lt;&gt;0,INDEX(使用レシピ!I:I,MATCH(テンプレート!$C609,使用レシピ!$E:$E,0)),""),"")</f>
        <v/>
      </c>
      <c r="H609" s="24" t="str">
        <f>IFERROR(IF(INDEX(使用レシピ!J:J,MATCH(テンプレート!$C609,使用レシピ!$E:$E,0))&lt;&gt;0,INDEX(使用レシピ!J:J,MATCH(テンプレート!$C609,使用レシピ!$E:$E,0)),""),"")</f>
        <v/>
      </c>
      <c r="I609" s="36" t="str">
        <f>IFERROR(IF(INDEX(使用レシピ!P:P,MATCH(テンプレート!$C609,使用レシピ!$E:$E,0))&lt;&gt;0,INDEX(使用レシピ!P:P,MATCH(テンプレート!$C609,使用レシピ!$E:$E,0)),""),"")</f>
        <v/>
      </c>
      <c r="J609" t="str">
        <f>IFERROR(IF(INDEX(使用レシピ!K:K,MATCH(テンプレート!$C609,使用レシピ!$E:$E,0))&lt;&gt;0,INDEX(使用レシピ!K:K,MATCH(テンプレート!$C609,使用レシピ!$E:$E,0)),""),"")</f>
        <v/>
      </c>
      <c r="K609" t="str">
        <f>IFERROR(IF(INDEX(使用レシピ!L:L,MATCH(テンプレート!$C609,使用レシピ!$E:$E,0))&lt;&gt;0,INDEX(使用レシピ!L:L,MATCH(テンプレート!$C609,使用レシピ!$E:$E,0)),""),"")</f>
        <v/>
      </c>
      <c r="L609" t="str">
        <f>IFERROR(IF(INDEX(使用レシピ!M:M,MATCH(テンプレート!$C609,使用レシピ!$E:$E,0))&lt;&gt;0,INDEX(使用レシピ!M:M,MATCH(テンプレート!$C609,使用レシピ!$E:$E,0)),""),"")</f>
        <v/>
      </c>
      <c r="M609" t="str">
        <f>IFERROR(IF(INDEX(使用レシピ!N:N,MATCH(テンプレート!$C609,使用レシピ!$E:$E,0))&lt;&gt;0,INDEX(使用レシピ!N:N,MATCH(テンプレート!$C609,使用レシピ!$E:$E,0)),""),"")</f>
        <v/>
      </c>
      <c r="N609" s="24" t="str">
        <f>IFERROR(IF(INDEX(使用レシピ!O:O,MATCH(テンプレート!$C609,使用レシピ!$E:$E,0))&lt;&gt;0,INDEX(使用レシピ!O:O,MATCH(テンプレート!$C609,使用レシピ!$E:$E,0)),""),"")</f>
        <v/>
      </c>
      <c r="O609" s="36" t="str">
        <f>IFERROR(IF(INDEX(使用レシピ!P:P,MATCH(テンプレート!$C609,使用レシピ!$E:$E,0))&lt;&gt;0,INDEX(使用レシピ!P:P,MATCH(テンプレート!$C609,使用レシピ!$E:$E,0)),""),"")</f>
        <v/>
      </c>
      <c r="P609" t="str">
        <f t="shared" si="46"/>
        <v/>
      </c>
      <c r="Q609" t="str">
        <f t="shared" si="47"/>
        <v/>
      </c>
      <c r="R609" t="str">
        <f t="shared" si="48"/>
        <v/>
      </c>
      <c r="S609" t="str">
        <f t="shared" si="49"/>
        <v/>
      </c>
      <c r="T609" s="24" t="str">
        <f t="shared" si="50"/>
        <v/>
      </c>
    </row>
    <row r="610" spans="2:20" x14ac:dyDescent="0.4">
      <c r="B610" s="49" t="str" cm="1">
        <f t="array" ref="B610">IFERROR((INDEX($P$4:$T$1000,MATCH(VALUE(LEFT($A610,LEN($A610)-1)),$A$4:$A$1000,0),VALUE(RIGHT($A610,1)))/ INDEX($O$4:$O$1000,MATCH(VALUE(LEFT($A610,LEN($A610)-1)),$A$4:$A$1000))) * INDEX($B$4:$B$1000,MATCH(VALUE(LEFT($A610,LEN($A610)-1)),$A$4:$A$1000)),"")</f>
        <v/>
      </c>
      <c r="C610" s="2" t="str" cm="1">
        <f t="array" ref="C610">IFERROR(IF(INDEX($D$4:$H$1000,MATCH(VALUE(LEFT($A610,LEN($A610)-1)),$A$4:$A$1000,0),VALUE(RIGHT($A610,1)))= 0,"",INDEX($D$4:$H$1000,MATCH(VALUE(LEFT($A610,LEN($A610)-1)),$A$4:$A$1000,0),VALUE(RIGHT($A610,1)))),"")</f>
        <v/>
      </c>
      <c r="D610" s="23" t="str">
        <f>IFERROR(IF(INDEX(使用レシピ!F:F,MATCH(テンプレート!$C610,使用レシピ!$E:$E,0))&lt;&gt;0,INDEX(使用レシピ!F:F,MATCH(テンプレート!$C610,使用レシピ!$E:$E,0)),""),"")</f>
        <v/>
      </c>
      <c r="E610" t="str">
        <f>IFERROR(IF(INDEX(使用レシピ!G:G,MATCH(テンプレート!$C610,使用レシピ!$E:$E,0))&lt;&gt;0,INDEX(使用レシピ!G:G,MATCH(テンプレート!$C610,使用レシピ!$E:$E,0)),""),"")</f>
        <v/>
      </c>
      <c r="F610" t="str">
        <f>IFERROR(IF(INDEX(使用レシピ!H:H,MATCH(テンプレート!$C610,使用レシピ!$E:$E,0))&lt;&gt;0,INDEX(使用レシピ!H:H,MATCH(テンプレート!$C610,使用レシピ!$E:$E,0)),""),"")</f>
        <v/>
      </c>
      <c r="G610" t="str">
        <f>IFERROR(IF(INDEX(使用レシピ!I:I,MATCH(テンプレート!$C610,使用レシピ!$E:$E,0))&lt;&gt;0,INDEX(使用レシピ!I:I,MATCH(テンプレート!$C610,使用レシピ!$E:$E,0)),""),"")</f>
        <v/>
      </c>
      <c r="H610" s="24" t="str">
        <f>IFERROR(IF(INDEX(使用レシピ!J:J,MATCH(テンプレート!$C610,使用レシピ!$E:$E,0))&lt;&gt;0,INDEX(使用レシピ!J:J,MATCH(テンプレート!$C610,使用レシピ!$E:$E,0)),""),"")</f>
        <v/>
      </c>
      <c r="I610" s="36" t="str">
        <f>IFERROR(IF(INDEX(使用レシピ!P:P,MATCH(テンプレート!$C610,使用レシピ!$E:$E,0))&lt;&gt;0,INDEX(使用レシピ!P:P,MATCH(テンプレート!$C610,使用レシピ!$E:$E,0)),""),"")</f>
        <v/>
      </c>
      <c r="J610" t="str">
        <f>IFERROR(IF(INDEX(使用レシピ!K:K,MATCH(テンプレート!$C610,使用レシピ!$E:$E,0))&lt;&gt;0,INDEX(使用レシピ!K:K,MATCH(テンプレート!$C610,使用レシピ!$E:$E,0)),""),"")</f>
        <v/>
      </c>
      <c r="K610" t="str">
        <f>IFERROR(IF(INDEX(使用レシピ!L:L,MATCH(テンプレート!$C610,使用レシピ!$E:$E,0))&lt;&gt;0,INDEX(使用レシピ!L:L,MATCH(テンプレート!$C610,使用レシピ!$E:$E,0)),""),"")</f>
        <v/>
      </c>
      <c r="L610" t="str">
        <f>IFERROR(IF(INDEX(使用レシピ!M:M,MATCH(テンプレート!$C610,使用レシピ!$E:$E,0))&lt;&gt;0,INDEX(使用レシピ!M:M,MATCH(テンプレート!$C610,使用レシピ!$E:$E,0)),""),"")</f>
        <v/>
      </c>
      <c r="M610" t="str">
        <f>IFERROR(IF(INDEX(使用レシピ!N:N,MATCH(テンプレート!$C610,使用レシピ!$E:$E,0))&lt;&gt;0,INDEX(使用レシピ!N:N,MATCH(テンプレート!$C610,使用レシピ!$E:$E,0)),""),"")</f>
        <v/>
      </c>
      <c r="N610" s="24" t="str">
        <f>IFERROR(IF(INDEX(使用レシピ!O:O,MATCH(テンプレート!$C610,使用レシピ!$E:$E,0))&lt;&gt;0,INDEX(使用レシピ!O:O,MATCH(テンプレート!$C610,使用レシピ!$E:$E,0)),""),"")</f>
        <v/>
      </c>
      <c r="O610" s="36" t="str">
        <f>IFERROR(IF(INDEX(使用レシピ!P:P,MATCH(テンプレート!$C610,使用レシピ!$E:$E,0))&lt;&gt;0,INDEX(使用レシピ!P:P,MATCH(テンプレート!$C610,使用レシピ!$E:$E,0)),""),"")</f>
        <v/>
      </c>
      <c r="P610" t="str">
        <f t="shared" si="46"/>
        <v/>
      </c>
      <c r="Q610" t="str">
        <f t="shared" si="47"/>
        <v/>
      </c>
      <c r="R610" t="str">
        <f t="shared" si="48"/>
        <v/>
      </c>
      <c r="S610" t="str">
        <f t="shared" si="49"/>
        <v/>
      </c>
      <c r="T610" s="24" t="str">
        <f t="shared" si="50"/>
        <v/>
      </c>
    </row>
    <row r="611" spans="2:20" x14ac:dyDescent="0.4">
      <c r="B611" s="49" t="str" cm="1">
        <f t="array" ref="B611">IFERROR((INDEX($P$4:$T$1000,MATCH(VALUE(LEFT($A611,LEN($A611)-1)),$A$4:$A$1000,0),VALUE(RIGHT($A611,1)))/ INDEX($O$4:$O$1000,MATCH(VALUE(LEFT($A611,LEN($A611)-1)),$A$4:$A$1000))) * INDEX($B$4:$B$1000,MATCH(VALUE(LEFT($A611,LEN($A611)-1)),$A$4:$A$1000)),"")</f>
        <v/>
      </c>
      <c r="C611" s="2" t="str" cm="1">
        <f t="array" ref="C611">IFERROR(IF(INDEX($D$4:$H$1000,MATCH(VALUE(LEFT($A611,LEN($A611)-1)),$A$4:$A$1000,0),VALUE(RIGHT($A611,1)))= 0,"",INDEX($D$4:$H$1000,MATCH(VALUE(LEFT($A611,LEN($A611)-1)),$A$4:$A$1000,0),VALUE(RIGHT($A611,1)))),"")</f>
        <v/>
      </c>
      <c r="D611" s="23" t="str">
        <f>IFERROR(IF(INDEX(使用レシピ!F:F,MATCH(テンプレート!$C611,使用レシピ!$E:$E,0))&lt;&gt;0,INDEX(使用レシピ!F:F,MATCH(テンプレート!$C611,使用レシピ!$E:$E,0)),""),"")</f>
        <v/>
      </c>
      <c r="E611" t="str">
        <f>IFERROR(IF(INDEX(使用レシピ!G:G,MATCH(テンプレート!$C611,使用レシピ!$E:$E,0))&lt;&gt;0,INDEX(使用レシピ!G:G,MATCH(テンプレート!$C611,使用レシピ!$E:$E,0)),""),"")</f>
        <v/>
      </c>
      <c r="F611" t="str">
        <f>IFERROR(IF(INDEX(使用レシピ!H:H,MATCH(テンプレート!$C611,使用レシピ!$E:$E,0))&lt;&gt;0,INDEX(使用レシピ!H:H,MATCH(テンプレート!$C611,使用レシピ!$E:$E,0)),""),"")</f>
        <v/>
      </c>
      <c r="G611" t="str">
        <f>IFERROR(IF(INDEX(使用レシピ!I:I,MATCH(テンプレート!$C611,使用レシピ!$E:$E,0))&lt;&gt;0,INDEX(使用レシピ!I:I,MATCH(テンプレート!$C611,使用レシピ!$E:$E,0)),""),"")</f>
        <v/>
      </c>
      <c r="H611" s="24" t="str">
        <f>IFERROR(IF(INDEX(使用レシピ!J:J,MATCH(テンプレート!$C611,使用レシピ!$E:$E,0))&lt;&gt;0,INDEX(使用レシピ!J:J,MATCH(テンプレート!$C611,使用レシピ!$E:$E,0)),""),"")</f>
        <v/>
      </c>
      <c r="I611" s="36" t="str">
        <f>IFERROR(IF(INDEX(使用レシピ!P:P,MATCH(テンプレート!$C611,使用レシピ!$E:$E,0))&lt;&gt;0,INDEX(使用レシピ!P:P,MATCH(テンプレート!$C611,使用レシピ!$E:$E,0)),""),"")</f>
        <v/>
      </c>
      <c r="J611" t="str">
        <f>IFERROR(IF(INDEX(使用レシピ!K:K,MATCH(テンプレート!$C611,使用レシピ!$E:$E,0))&lt;&gt;0,INDEX(使用レシピ!K:K,MATCH(テンプレート!$C611,使用レシピ!$E:$E,0)),""),"")</f>
        <v/>
      </c>
      <c r="K611" t="str">
        <f>IFERROR(IF(INDEX(使用レシピ!L:L,MATCH(テンプレート!$C611,使用レシピ!$E:$E,0))&lt;&gt;0,INDEX(使用レシピ!L:L,MATCH(テンプレート!$C611,使用レシピ!$E:$E,0)),""),"")</f>
        <v/>
      </c>
      <c r="L611" t="str">
        <f>IFERROR(IF(INDEX(使用レシピ!M:M,MATCH(テンプレート!$C611,使用レシピ!$E:$E,0))&lt;&gt;0,INDEX(使用レシピ!M:M,MATCH(テンプレート!$C611,使用レシピ!$E:$E,0)),""),"")</f>
        <v/>
      </c>
      <c r="M611" t="str">
        <f>IFERROR(IF(INDEX(使用レシピ!N:N,MATCH(テンプレート!$C611,使用レシピ!$E:$E,0))&lt;&gt;0,INDEX(使用レシピ!N:N,MATCH(テンプレート!$C611,使用レシピ!$E:$E,0)),""),"")</f>
        <v/>
      </c>
      <c r="N611" s="24" t="str">
        <f>IFERROR(IF(INDEX(使用レシピ!O:O,MATCH(テンプレート!$C611,使用レシピ!$E:$E,0))&lt;&gt;0,INDEX(使用レシピ!O:O,MATCH(テンプレート!$C611,使用レシピ!$E:$E,0)),""),"")</f>
        <v/>
      </c>
      <c r="O611" s="36" t="str">
        <f>IFERROR(IF(INDEX(使用レシピ!P:P,MATCH(テンプレート!$C611,使用レシピ!$E:$E,0))&lt;&gt;0,INDEX(使用レシピ!P:P,MATCH(テンプレート!$C611,使用レシピ!$E:$E,0)),""),"")</f>
        <v/>
      </c>
      <c r="P611" t="str">
        <f t="shared" si="46"/>
        <v/>
      </c>
      <c r="Q611" t="str">
        <f t="shared" si="47"/>
        <v/>
      </c>
      <c r="R611" t="str">
        <f t="shared" si="48"/>
        <v/>
      </c>
      <c r="S611" t="str">
        <f t="shared" si="49"/>
        <v/>
      </c>
      <c r="T611" s="24" t="str">
        <f t="shared" si="50"/>
        <v/>
      </c>
    </row>
    <row r="612" spans="2:20" x14ac:dyDescent="0.4">
      <c r="B612" s="49" t="str" cm="1">
        <f t="array" ref="B612">IFERROR((INDEX($P$4:$T$1000,MATCH(VALUE(LEFT($A612,LEN($A612)-1)),$A$4:$A$1000,0),VALUE(RIGHT($A612,1)))/ INDEX($O$4:$O$1000,MATCH(VALUE(LEFT($A612,LEN($A612)-1)),$A$4:$A$1000))) * INDEX($B$4:$B$1000,MATCH(VALUE(LEFT($A612,LEN($A612)-1)),$A$4:$A$1000)),"")</f>
        <v/>
      </c>
      <c r="C612" s="2" t="str" cm="1">
        <f t="array" ref="C612">IFERROR(IF(INDEX($D$4:$H$1000,MATCH(VALUE(LEFT($A612,LEN($A612)-1)),$A$4:$A$1000,0),VALUE(RIGHT($A612,1)))= 0,"",INDEX($D$4:$H$1000,MATCH(VALUE(LEFT($A612,LEN($A612)-1)),$A$4:$A$1000,0),VALUE(RIGHT($A612,1)))),"")</f>
        <v/>
      </c>
      <c r="D612" s="23" t="str">
        <f>IFERROR(IF(INDEX(使用レシピ!F:F,MATCH(テンプレート!$C612,使用レシピ!$E:$E,0))&lt;&gt;0,INDEX(使用レシピ!F:F,MATCH(テンプレート!$C612,使用レシピ!$E:$E,0)),""),"")</f>
        <v/>
      </c>
      <c r="E612" t="str">
        <f>IFERROR(IF(INDEX(使用レシピ!G:G,MATCH(テンプレート!$C612,使用レシピ!$E:$E,0))&lt;&gt;0,INDEX(使用レシピ!G:G,MATCH(テンプレート!$C612,使用レシピ!$E:$E,0)),""),"")</f>
        <v/>
      </c>
      <c r="F612" t="str">
        <f>IFERROR(IF(INDEX(使用レシピ!H:H,MATCH(テンプレート!$C612,使用レシピ!$E:$E,0))&lt;&gt;0,INDEX(使用レシピ!H:H,MATCH(テンプレート!$C612,使用レシピ!$E:$E,0)),""),"")</f>
        <v/>
      </c>
      <c r="G612" t="str">
        <f>IFERROR(IF(INDEX(使用レシピ!I:I,MATCH(テンプレート!$C612,使用レシピ!$E:$E,0))&lt;&gt;0,INDEX(使用レシピ!I:I,MATCH(テンプレート!$C612,使用レシピ!$E:$E,0)),""),"")</f>
        <v/>
      </c>
      <c r="H612" s="24" t="str">
        <f>IFERROR(IF(INDEX(使用レシピ!J:J,MATCH(テンプレート!$C612,使用レシピ!$E:$E,0))&lt;&gt;0,INDEX(使用レシピ!J:J,MATCH(テンプレート!$C612,使用レシピ!$E:$E,0)),""),"")</f>
        <v/>
      </c>
      <c r="I612" s="36" t="str">
        <f>IFERROR(IF(INDEX(使用レシピ!P:P,MATCH(テンプレート!$C612,使用レシピ!$E:$E,0))&lt;&gt;0,INDEX(使用レシピ!P:P,MATCH(テンプレート!$C612,使用レシピ!$E:$E,0)),""),"")</f>
        <v/>
      </c>
      <c r="J612" t="str">
        <f>IFERROR(IF(INDEX(使用レシピ!K:K,MATCH(テンプレート!$C612,使用レシピ!$E:$E,0))&lt;&gt;0,INDEX(使用レシピ!K:K,MATCH(テンプレート!$C612,使用レシピ!$E:$E,0)),""),"")</f>
        <v/>
      </c>
      <c r="K612" t="str">
        <f>IFERROR(IF(INDEX(使用レシピ!L:L,MATCH(テンプレート!$C612,使用レシピ!$E:$E,0))&lt;&gt;0,INDEX(使用レシピ!L:L,MATCH(テンプレート!$C612,使用レシピ!$E:$E,0)),""),"")</f>
        <v/>
      </c>
      <c r="L612" t="str">
        <f>IFERROR(IF(INDEX(使用レシピ!M:M,MATCH(テンプレート!$C612,使用レシピ!$E:$E,0))&lt;&gt;0,INDEX(使用レシピ!M:M,MATCH(テンプレート!$C612,使用レシピ!$E:$E,0)),""),"")</f>
        <v/>
      </c>
      <c r="M612" t="str">
        <f>IFERROR(IF(INDEX(使用レシピ!N:N,MATCH(テンプレート!$C612,使用レシピ!$E:$E,0))&lt;&gt;0,INDEX(使用レシピ!N:N,MATCH(テンプレート!$C612,使用レシピ!$E:$E,0)),""),"")</f>
        <v/>
      </c>
      <c r="N612" s="24" t="str">
        <f>IFERROR(IF(INDEX(使用レシピ!O:O,MATCH(テンプレート!$C612,使用レシピ!$E:$E,0))&lt;&gt;0,INDEX(使用レシピ!O:O,MATCH(テンプレート!$C612,使用レシピ!$E:$E,0)),""),"")</f>
        <v/>
      </c>
      <c r="O612" s="36" t="str">
        <f>IFERROR(IF(INDEX(使用レシピ!P:P,MATCH(テンプレート!$C612,使用レシピ!$E:$E,0))&lt;&gt;0,INDEX(使用レシピ!P:P,MATCH(テンプレート!$C612,使用レシピ!$E:$E,0)),""),"")</f>
        <v/>
      </c>
      <c r="P612" t="str">
        <f t="shared" si="46"/>
        <v/>
      </c>
      <c r="Q612" t="str">
        <f t="shared" si="47"/>
        <v/>
      </c>
      <c r="R612" t="str">
        <f t="shared" si="48"/>
        <v/>
      </c>
      <c r="S612" t="str">
        <f t="shared" si="49"/>
        <v/>
      </c>
      <c r="T612" s="24" t="str">
        <f t="shared" si="50"/>
        <v/>
      </c>
    </row>
    <row r="613" spans="2:20" x14ac:dyDescent="0.4">
      <c r="B613" s="49" t="str" cm="1">
        <f t="array" ref="B613">IFERROR((INDEX($P$4:$T$1000,MATCH(VALUE(LEFT($A613,LEN($A613)-1)),$A$4:$A$1000,0),VALUE(RIGHT($A613,1)))/ INDEX($O$4:$O$1000,MATCH(VALUE(LEFT($A613,LEN($A613)-1)),$A$4:$A$1000))) * INDEX($B$4:$B$1000,MATCH(VALUE(LEFT($A613,LEN($A613)-1)),$A$4:$A$1000)),"")</f>
        <v/>
      </c>
      <c r="C613" s="2" t="str" cm="1">
        <f t="array" ref="C613">IFERROR(IF(INDEX($D$4:$H$1000,MATCH(VALUE(LEFT($A613,LEN($A613)-1)),$A$4:$A$1000,0),VALUE(RIGHT($A613,1)))= 0,"",INDEX($D$4:$H$1000,MATCH(VALUE(LEFT($A613,LEN($A613)-1)),$A$4:$A$1000,0),VALUE(RIGHT($A613,1)))),"")</f>
        <v/>
      </c>
      <c r="D613" s="23" t="str">
        <f>IFERROR(IF(INDEX(使用レシピ!F:F,MATCH(テンプレート!$C613,使用レシピ!$E:$E,0))&lt;&gt;0,INDEX(使用レシピ!F:F,MATCH(テンプレート!$C613,使用レシピ!$E:$E,0)),""),"")</f>
        <v/>
      </c>
      <c r="E613" t="str">
        <f>IFERROR(IF(INDEX(使用レシピ!G:G,MATCH(テンプレート!$C613,使用レシピ!$E:$E,0))&lt;&gt;0,INDEX(使用レシピ!G:G,MATCH(テンプレート!$C613,使用レシピ!$E:$E,0)),""),"")</f>
        <v/>
      </c>
      <c r="F613" t="str">
        <f>IFERROR(IF(INDEX(使用レシピ!H:H,MATCH(テンプレート!$C613,使用レシピ!$E:$E,0))&lt;&gt;0,INDEX(使用レシピ!H:H,MATCH(テンプレート!$C613,使用レシピ!$E:$E,0)),""),"")</f>
        <v/>
      </c>
      <c r="G613" t="str">
        <f>IFERROR(IF(INDEX(使用レシピ!I:I,MATCH(テンプレート!$C613,使用レシピ!$E:$E,0))&lt;&gt;0,INDEX(使用レシピ!I:I,MATCH(テンプレート!$C613,使用レシピ!$E:$E,0)),""),"")</f>
        <v/>
      </c>
      <c r="H613" s="24" t="str">
        <f>IFERROR(IF(INDEX(使用レシピ!J:J,MATCH(テンプレート!$C613,使用レシピ!$E:$E,0))&lt;&gt;0,INDEX(使用レシピ!J:J,MATCH(テンプレート!$C613,使用レシピ!$E:$E,0)),""),"")</f>
        <v/>
      </c>
      <c r="I613" s="36" t="str">
        <f>IFERROR(IF(INDEX(使用レシピ!P:P,MATCH(テンプレート!$C613,使用レシピ!$E:$E,0))&lt;&gt;0,INDEX(使用レシピ!P:P,MATCH(テンプレート!$C613,使用レシピ!$E:$E,0)),""),"")</f>
        <v/>
      </c>
      <c r="J613" t="str">
        <f>IFERROR(IF(INDEX(使用レシピ!K:K,MATCH(テンプレート!$C613,使用レシピ!$E:$E,0))&lt;&gt;0,INDEX(使用レシピ!K:K,MATCH(テンプレート!$C613,使用レシピ!$E:$E,0)),""),"")</f>
        <v/>
      </c>
      <c r="K613" t="str">
        <f>IFERROR(IF(INDEX(使用レシピ!L:L,MATCH(テンプレート!$C613,使用レシピ!$E:$E,0))&lt;&gt;0,INDEX(使用レシピ!L:L,MATCH(テンプレート!$C613,使用レシピ!$E:$E,0)),""),"")</f>
        <v/>
      </c>
      <c r="L613" t="str">
        <f>IFERROR(IF(INDEX(使用レシピ!M:M,MATCH(テンプレート!$C613,使用レシピ!$E:$E,0))&lt;&gt;0,INDEX(使用レシピ!M:M,MATCH(テンプレート!$C613,使用レシピ!$E:$E,0)),""),"")</f>
        <v/>
      </c>
      <c r="M613" t="str">
        <f>IFERROR(IF(INDEX(使用レシピ!N:N,MATCH(テンプレート!$C613,使用レシピ!$E:$E,0))&lt;&gt;0,INDEX(使用レシピ!N:N,MATCH(テンプレート!$C613,使用レシピ!$E:$E,0)),""),"")</f>
        <v/>
      </c>
      <c r="N613" s="24" t="str">
        <f>IFERROR(IF(INDEX(使用レシピ!O:O,MATCH(テンプレート!$C613,使用レシピ!$E:$E,0))&lt;&gt;0,INDEX(使用レシピ!O:O,MATCH(テンプレート!$C613,使用レシピ!$E:$E,0)),""),"")</f>
        <v/>
      </c>
      <c r="O613" s="36" t="str">
        <f>IFERROR(IF(INDEX(使用レシピ!P:P,MATCH(テンプレート!$C613,使用レシピ!$E:$E,0))&lt;&gt;0,INDEX(使用レシピ!P:P,MATCH(テンプレート!$C613,使用レシピ!$E:$E,0)),""),"")</f>
        <v/>
      </c>
      <c r="P613" t="str">
        <f t="shared" si="46"/>
        <v/>
      </c>
      <c r="Q613" t="str">
        <f t="shared" si="47"/>
        <v/>
      </c>
      <c r="R613" t="str">
        <f t="shared" si="48"/>
        <v/>
      </c>
      <c r="S613" t="str">
        <f t="shared" si="49"/>
        <v/>
      </c>
      <c r="T613" s="24" t="str">
        <f t="shared" si="50"/>
        <v/>
      </c>
    </row>
    <row r="614" spans="2:20" x14ac:dyDescent="0.4">
      <c r="B614" s="49" t="str" cm="1">
        <f t="array" ref="B614">IFERROR((INDEX($P$4:$T$1000,MATCH(VALUE(LEFT($A614,LEN($A614)-1)),$A$4:$A$1000,0),VALUE(RIGHT($A614,1)))/ INDEX($O$4:$O$1000,MATCH(VALUE(LEFT($A614,LEN($A614)-1)),$A$4:$A$1000))) * INDEX($B$4:$B$1000,MATCH(VALUE(LEFT($A614,LEN($A614)-1)),$A$4:$A$1000)),"")</f>
        <v/>
      </c>
      <c r="C614" s="2" t="str" cm="1">
        <f t="array" ref="C614">IFERROR(IF(INDEX($D$4:$H$1000,MATCH(VALUE(LEFT($A614,LEN($A614)-1)),$A$4:$A$1000,0),VALUE(RIGHT($A614,1)))= 0,"",INDEX($D$4:$H$1000,MATCH(VALUE(LEFT($A614,LEN($A614)-1)),$A$4:$A$1000,0),VALUE(RIGHT($A614,1)))),"")</f>
        <v/>
      </c>
      <c r="D614" s="23" t="str">
        <f>IFERROR(IF(INDEX(使用レシピ!F:F,MATCH(テンプレート!$C614,使用レシピ!$E:$E,0))&lt;&gt;0,INDEX(使用レシピ!F:F,MATCH(テンプレート!$C614,使用レシピ!$E:$E,0)),""),"")</f>
        <v/>
      </c>
      <c r="E614" t="str">
        <f>IFERROR(IF(INDEX(使用レシピ!G:G,MATCH(テンプレート!$C614,使用レシピ!$E:$E,0))&lt;&gt;0,INDEX(使用レシピ!G:G,MATCH(テンプレート!$C614,使用レシピ!$E:$E,0)),""),"")</f>
        <v/>
      </c>
      <c r="F614" t="str">
        <f>IFERROR(IF(INDEX(使用レシピ!H:H,MATCH(テンプレート!$C614,使用レシピ!$E:$E,0))&lt;&gt;0,INDEX(使用レシピ!H:H,MATCH(テンプレート!$C614,使用レシピ!$E:$E,0)),""),"")</f>
        <v/>
      </c>
      <c r="G614" t="str">
        <f>IFERROR(IF(INDEX(使用レシピ!I:I,MATCH(テンプレート!$C614,使用レシピ!$E:$E,0))&lt;&gt;0,INDEX(使用レシピ!I:I,MATCH(テンプレート!$C614,使用レシピ!$E:$E,0)),""),"")</f>
        <v/>
      </c>
      <c r="H614" s="24" t="str">
        <f>IFERROR(IF(INDEX(使用レシピ!J:J,MATCH(テンプレート!$C614,使用レシピ!$E:$E,0))&lt;&gt;0,INDEX(使用レシピ!J:J,MATCH(テンプレート!$C614,使用レシピ!$E:$E,0)),""),"")</f>
        <v/>
      </c>
      <c r="I614" s="36" t="str">
        <f>IFERROR(IF(INDEX(使用レシピ!P:P,MATCH(テンプレート!$C614,使用レシピ!$E:$E,0))&lt;&gt;0,INDEX(使用レシピ!P:P,MATCH(テンプレート!$C614,使用レシピ!$E:$E,0)),""),"")</f>
        <v/>
      </c>
      <c r="J614" t="str">
        <f>IFERROR(IF(INDEX(使用レシピ!K:K,MATCH(テンプレート!$C614,使用レシピ!$E:$E,0))&lt;&gt;0,INDEX(使用レシピ!K:K,MATCH(テンプレート!$C614,使用レシピ!$E:$E,0)),""),"")</f>
        <v/>
      </c>
      <c r="K614" t="str">
        <f>IFERROR(IF(INDEX(使用レシピ!L:L,MATCH(テンプレート!$C614,使用レシピ!$E:$E,0))&lt;&gt;0,INDEX(使用レシピ!L:L,MATCH(テンプレート!$C614,使用レシピ!$E:$E,0)),""),"")</f>
        <v/>
      </c>
      <c r="L614" t="str">
        <f>IFERROR(IF(INDEX(使用レシピ!M:M,MATCH(テンプレート!$C614,使用レシピ!$E:$E,0))&lt;&gt;0,INDEX(使用レシピ!M:M,MATCH(テンプレート!$C614,使用レシピ!$E:$E,0)),""),"")</f>
        <v/>
      </c>
      <c r="M614" t="str">
        <f>IFERROR(IF(INDEX(使用レシピ!N:N,MATCH(テンプレート!$C614,使用レシピ!$E:$E,0))&lt;&gt;0,INDEX(使用レシピ!N:N,MATCH(テンプレート!$C614,使用レシピ!$E:$E,0)),""),"")</f>
        <v/>
      </c>
      <c r="N614" s="24" t="str">
        <f>IFERROR(IF(INDEX(使用レシピ!O:O,MATCH(テンプレート!$C614,使用レシピ!$E:$E,0))&lt;&gt;0,INDEX(使用レシピ!O:O,MATCH(テンプレート!$C614,使用レシピ!$E:$E,0)),""),"")</f>
        <v/>
      </c>
      <c r="O614" s="36" t="str">
        <f>IFERROR(IF(INDEX(使用レシピ!P:P,MATCH(テンプレート!$C614,使用レシピ!$E:$E,0))&lt;&gt;0,INDEX(使用レシピ!P:P,MATCH(テンプレート!$C614,使用レシピ!$E:$E,0)),""),"")</f>
        <v/>
      </c>
      <c r="P614" t="str">
        <f t="shared" si="46"/>
        <v/>
      </c>
      <c r="Q614" t="str">
        <f t="shared" si="47"/>
        <v/>
      </c>
      <c r="R614" t="str">
        <f t="shared" si="48"/>
        <v/>
      </c>
      <c r="S614" t="str">
        <f t="shared" si="49"/>
        <v/>
      </c>
      <c r="T614" s="24" t="str">
        <f t="shared" si="50"/>
        <v/>
      </c>
    </row>
    <row r="615" spans="2:20" x14ac:dyDescent="0.4">
      <c r="B615" s="49" t="str" cm="1">
        <f t="array" ref="B615">IFERROR((INDEX($P$4:$T$1000,MATCH(VALUE(LEFT($A615,LEN($A615)-1)),$A$4:$A$1000,0),VALUE(RIGHT($A615,1)))/ INDEX($O$4:$O$1000,MATCH(VALUE(LEFT($A615,LEN($A615)-1)),$A$4:$A$1000))) * INDEX($B$4:$B$1000,MATCH(VALUE(LEFT($A615,LEN($A615)-1)),$A$4:$A$1000)),"")</f>
        <v/>
      </c>
      <c r="C615" s="2" t="str" cm="1">
        <f t="array" ref="C615">IFERROR(IF(INDEX($D$4:$H$1000,MATCH(VALUE(LEFT($A615,LEN($A615)-1)),$A$4:$A$1000,0),VALUE(RIGHT($A615,1)))= 0,"",INDEX($D$4:$H$1000,MATCH(VALUE(LEFT($A615,LEN($A615)-1)),$A$4:$A$1000,0),VALUE(RIGHT($A615,1)))),"")</f>
        <v/>
      </c>
      <c r="D615" s="23" t="str">
        <f>IFERROR(IF(INDEX(使用レシピ!F:F,MATCH(テンプレート!$C615,使用レシピ!$E:$E,0))&lt;&gt;0,INDEX(使用レシピ!F:F,MATCH(テンプレート!$C615,使用レシピ!$E:$E,0)),""),"")</f>
        <v/>
      </c>
      <c r="E615" t="str">
        <f>IFERROR(IF(INDEX(使用レシピ!G:G,MATCH(テンプレート!$C615,使用レシピ!$E:$E,0))&lt;&gt;0,INDEX(使用レシピ!G:G,MATCH(テンプレート!$C615,使用レシピ!$E:$E,0)),""),"")</f>
        <v/>
      </c>
      <c r="F615" t="str">
        <f>IFERROR(IF(INDEX(使用レシピ!H:H,MATCH(テンプレート!$C615,使用レシピ!$E:$E,0))&lt;&gt;0,INDEX(使用レシピ!H:H,MATCH(テンプレート!$C615,使用レシピ!$E:$E,0)),""),"")</f>
        <v/>
      </c>
      <c r="G615" t="str">
        <f>IFERROR(IF(INDEX(使用レシピ!I:I,MATCH(テンプレート!$C615,使用レシピ!$E:$E,0))&lt;&gt;0,INDEX(使用レシピ!I:I,MATCH(テンプレート!$C615,使用レシピ!$E:$E,0)),""),"")</f>
        <v/>
      </c>
      <c r="H615" s="24" t="str">
        <f>IFERROR(IF(INDEX(使用レシピ!J:J,MATCH(テンプレート!$C615,使用レシピ!$E:$E,0))&lt;&gt;0,INDEX(使用レシピ!J:J,MATCH(テンプレート!$C615,使用レシピ!$E:$E,0)),""),"")</f>
        <v/>
      </c>
      <c r="I615" s="36" t="str">
        <f>IFERROR(IF(INDEX(使用レシピ!P:P,MATCH(テンプレート!$C615,使用レシピ!$E:$E,0))&lt;&gt;0,INDEX(使用レシピ!P:P,MATCH(テンプレート!$C615,使用レシピ!$E:$E,0)),""),"")</f>
        <v/>
      </c>
      <c r="J615" t="str">
        <f>IFERROR(IF(INDEX(使用レシピ!K:K,MATCH(テンプレート!$C615,使用レシピ!$E:$E,0))&lt;&gt;0,INDEX(使用レシピ!K:K,MATCH(テンプレート!$C615,使用レシピ!$E:$E,0)),""),"")</f>
        <v/>
      </c>
      <c r="K615" t="str">
        <f>IFERROR(IF(INDEX(使用レシピ!L:L,MATCH(テンプレート!$C615,使用レシピ!$E:$E,0))&lt;&gt;0,INDEX(使用レシピ!L:L,MATCH(テンプレート!$C615,使用レシピ!$E:$E,0)),""),"")</f>
        <v/>
      </c>
      <c r="L615" t="str">
        <f>IFERROR(IF(INDEX(使用レシピ!M:M,MATCH(テンプレート!$C615,使用レシピ!$E:$E,0))&lt;&gt;0,INDEX(使用レシピ!M:M,MATCH(テンプレート!$C615,使用レシピ!$E:$E,0)),""),"")</f>
        <v/>
      </c>
      <c r="M615" t="str">
        <f>IFERROR(IF(INDEX(使用レシピ!N:N,MATCH(テンプレート!$C615,使用レシピ!$E:$E,0))&lt;&gt;0,INDEX(使用レシピ!N:N,MATCH(テンプレート!$C615,使用レシピ!$E:$E,0)),""),"")</f>
        <v/>
      </c>
      <c r="N615" s="24" t="str">
        <f>IFERROR(IF(INDEX(使用レシピ!O:O,MATCH(テンプレート!$C615,使用レシピ!$E:$E,0))&lt;&gt;0,INDEX(使用レシピ!O:O,MATCH(テンプレート!$C615,使用レシピ!$E:$E,0)),""),"")</f>
        <v/>
      </c>
      <c r="O615" s="36" t="str">
        <f>IFERROR(IF(INDEX(使用レシピ!P:P,MATCH(テンプレート!$C615,使用レシピ!$E:$E,0))&lt;&gt;0,INDEX(使用レシピ!P:P,MATCH(テンプレート!$C615,使用レシピ!$E:$E,0)),""),"")</f>
        <v/>
      </c>
      <c r="P615" t="str">
        <f t="shared" si="46"/>
        <v/>
      </c>
      <c r="Q615" t="str">
        <f t="shared" si="47"/>
        <v/>
      </c>
      <c r="R615" t="str">
        <f t="shared" si="48"/>
        <v/>
      </c>
      <c r="S615" t="str">
        <f t="shared" si="49"/>
        <v/>
      </c>
      <c r="T615" s="24" t="str">
        <f t="shared" si="50"/>
        <v/>
      </c>
    </row>
    <row r="616" spans="2:20" x14ac:dyDescent="0.4">
      <c r="B616" s="49" t="str" cm="1">
        <f t="array" ref="B616">IFERROR((INDEX($P$4:$T$1000,MATCH(VALUE(LEFT($A616,LEN($A616)-1)),$A$4:$A$1000,0),VALUE(RIGHT($A616,1)))/ INDEX($O$4:$O$1000,MATCH(VALUE(LEFT($A616,LEN($A616)-1)),$A$4:$A$1000))) * INDEX($B$4:$B$1000,MATCH(VALUE(LEFT($A616,LEN($A616)-1)),$A$4:$A$1000)),"")</f>
        <v/>
      </c>
      <c r="C616" s="2" t="str" cm="1">
        <f t="array" ref="C616">IFERROR(IF(INDEX($D$4:$H$1000,MATCH(VALUE(LEFT($A616,LEN($A616)-1)),$A$4:$A$1000,0),VALUE(RIGHT($A616,1)))= 0,"",INDEX($D$4:$H$1000,MATCH(VALUE(LEFT($A616,LEN($A616)-1)),$A$4:$A$1000,0),VALUE(RIGHT($A616,1)))),"")</f>
        <v/>
      </c>
      <c r="D616" s="23" t="str">
        <f>IFERROR(IF(INDEX(使用レシピ!F:F,MATCH(テンプレート!$C616,使用レシピ!$E:$E,0))&lt;&gt;0,INDEX(使用レシピ!F:F,MATCH(テンプレート!$C616,使用レシピ!$E:$E,0)),""),"")</f>
        <v/>
      </c>
      <c r="E616" t="str">
        <f>IFERROR(IF(INDEX(使用レシピ!G:G,MATCH(テンプレート!$C616,使用レシピ!$E:$E,0))&lt;&gt;0,INDEX(使用レシピ!G:G,MATCH(テンプレート!$C616,使用レシピ!$E:$E,0)),""),"")</f>
        <v/>
      </c>
      <c r="F616" t="str">
        <f>IFERROR(IF(INDEX(使用レシピ!H:H,MATCH(テンプレート!$C616,使用レシピ!$E:$E,0))&lt;&gt;0,INDEX(使用レシピ!H:H,MATCH(テンプレート!$C616,使用レシピ!$E:$E,0)),""),"")</f>
        <v/>
      </c>
      <c r="G616" t="str">
        <f>IFERROR(IF(INDEX(使用レシピ!I:I,MATCH(テンプレート!$C616,使用レシピ!$E:$E,0))&lt;&gt;0,INDEX(使用レシピ!I:I,MATCH(テンプレート!$C616,使用レシピ!$E:$E,0)),""),"")</f>
        <v/>
      </c>
      <c r="H616" s="24" t="str">
        <f>IFERROR(IF(INDEX(使用レシピ!J:J,MATCH(テンプレート!$C616,使用レシピ!$E:$E,0))&lt;&gt;0,INDEX(使用レシピ!J:J,MATCH(テンプレート!$C616,使用レシピ!$E:$E,0)),""),"")</f>
        <v/>
      </c>
      <c r="I616" s="36" t="str">
        <f>IFERROR(IF(INDEX(使用レシピ!P:P,MATCH(テンプレート!$C616,使用レシピ!$E:$E,0))&lt;&gt;0,INDEX(使用レシピ!P:P,MATCH(テンプレート!$C616,使用レシピ!$E:$E,0)),""),"")</f>
        <v/>
      </c>
      <c r="J616" t="str">
        <f>IFERROR(IF(INDEX(使用レシピ!K:K,MATCH(テンプレート!$C616,使用レシピ!$E:$E,0))&lt;&gt;0,INDEX(使用レシピ!K:K,MATCH(テンプレート!$C616,使用レシピ!$E:$E,0)),""),"")</f>
        <v/>
      </c>
      <c r="K616" t="str">
        <f>IFERROR(IF(INDEX(使用レシピ!L:L,MATCH(テンプレート!$C616,使用レシピ!$E:$E,0))&lt;&gt;0,INDEX(使用レシピ!L:L,MATCH(テンプレート!$C616,使用レシピ!$E:$E,0)),""),"")</f>
        <v/>
      </c>
      <c r="L616" t="str">
        <f>IFERROR(IF(INDEX(使用レシピ!M:M,MATCH(テンプレート!$C616,使用レシピ!$E:$E,0))&lt;&gt;0,INDEX(使用レシピ!M:M,MATCH(テンプレート!$C616,使用レシピ!$E:$E,0)),""),"")</f>
        <v/>
      </c>
      <c r="M616" t="str">
        <f>IFERROR(IF(INDEX(使用レシピ!N:N,MATCH(テンプレート!$C616,使用レシピ!$E:$E,0))&lt;&gt;0,INDEX(使用レシピ!N:N,MATCH(テンプレート!$C616,使用レシピ!$E:$E,0)),""),"")</f>
        <v/>
      </c>
      <c r="N616" s="24" t="str">
        <f>IFERROR(IF(INDEX(使用レシピ!O:O,MATCH(テンプレート!$C616,使用レシピ!$E:$E,0))&lt;&gt;0,INDEX(使用レシピ!O:O,MATCH(テンプレート!$C616,使用レシピ!$E:$E,0)),""),"")</f>
        <v/>
      </c>
      <c r="O616" s="36" t="str">
        <f>IFERROR(IF(INDEX(使用レシピ!P:P,MATCH(テンプレート!$C616,使用レシピ!$E:$E,0))&lt;&gt;0,INDEX(使用レシピ!P:P,MATCH(テンプレート!$C616,使用レシピ!$E:$E,0)),""),"")</f>
        <v/>
      </c>
      <c r="P616" t="str">
        <f t="shared" si="46"/>
        <v/>
      </c>
      <c r="Q616" t="str">
        <f t="shared" si="47"/>
        <v/>
      </c>
      <c r="R616" t="str">
        <f t="shared" si="48"/>
        <v/>
      </c>
      <c r="S616" t="str">
        <f t="shared" si="49"/>
        <v/>
      </c>
      <c r="T616" s="24" t="str">
        <f t="shared" si="50"/>
        <v/>
      </c>
    </row>
    <row r="617" spans="2:20" x14ac:dyDescent="0.4">
      <c r="B617" s="49" t="str" cm="1">
        <f t="array" ref="B617">IFERROR((INDEX($P$4:$T$1000,MATCH(VALUE(LEFT($A617,LEN($A617)-1)),$A$4:$A$1000,0),VALUE(RIGHT($A617,1)))/ INDEX($O$4:$O$1000,MATCH(VALUE(LEFT($A617,LEN($A617)-1)),$A$4:$A$1000))) * INDEX($B$4:$B$1000,MATCH(VALUE(LEFT($A617,LEN($A617)-1)),$A$4:$A$1000)),"")</f>
        <v/>
      </c>
      <c r="C617" s="2" t="str" cm="1">
        <f t="array" ref="C617">IFERROR(IF(INDEX($D$4:$H$1000,MATCH(VALUE(LEFT($A617,LEN($A617)-1)),$A$4:$A$1000,0),VALUE(RIGHT($A617,1)))= 0,"",INDEX($D$4:$H$1000,MATCH(VALUE(LEFT($A617,LEN($A617)-1)),$A$4:$A$1000,0),VALUE(RIGHT($A617,1)))),"")</f>
        <v/>
      </c>
      <c r="D617" s="23" t="str">
        <f>IFERROR(IF(INDEX(使用レシピ!F:F,MATCH(テンプレート!$C617,使用レシピ!$E:$E,0))&lt;&gt;0,INDEX(使用レシピ!F:F,MATCH(テンプレート!$C617,使用レシピ!$E:$E,0)),""),"")</f>
        <v/>
      </c>
      <c r="E617" t="str">
        <f>IFERROR(IF(INDEX(使用レシピ!G:G,MATCH(テンプレート!$C617,使用レシピ!$E:$E,0))&lt;&gt;0,INDEX(使用レシピ!G:G,MATCH(テンプレート!$C617,使用レシピ!$E:$E,0)),""),"")</f>
        <v/>
      </c>
      <c r="F617" t="str">
        <f>IFERROR(IF(INDEX(使用レシピ!H:H,MATCH(テンプレート!$C617,使用レシピ!$E:$E,0))&lt;&gt;0,INDEX(使用レシピ!H:H,MATCH(テンプレート!$C617,使用レシピ!$E:$E,0)),""),"")</f>
        <v/>
      </c>
      <c r="G617" t="str">
        <f>IFERROR(IF(INDEX(使用レシピ!I:I,MATCH(テンプレート!$C617,使用レシピ!$E:$E,0))&lt;&gt;0,INDEX(使用レシピ!I:I,MATCH(テンプレート!$C617,使用レシピ!$E:$E,0)),""),"")</f>
        <v/>
      </c>
      <c r="H617" s="24" t="str">
        <f>IFERROR(IF(INDEX(使用レシピ!J:J,MATCH(テンプレート!$C617,使用レシピ!$E:$E,0))&lt;&gt;0,INDEX(使用レシピ!J:J,MATCH(テンプレート!$C617,使用レシピ!$E:$E,0)),""),"")</f>
        <v/>
      </c>
      <c r="I617" s="36" t="str">
        <f>IFERROR(IF(INDEX(使用レシピ!P:P,MATCH(テンプレート!$C617,使用レシピ!$E:$E,0))&lt;&gt;0,INDEX(使用レシピ!P:P,MATCH(テンプレート!$C617,使用レシピ!$E:$E,0)),""),"")</f>
        <v/>
      </c>
      <c r="J617" t="str">
        <f>IFERROR(IF(INDEX(使用レシピ!K:K,MATCH(テンプレート!$C617,使用レシピ!$E:$E,0))&lt;&gt;0,INDEX(使用レシピ!K:K,MATCH(テンプレート!$C617,使用レシピ!$E:$E,0)),""),"")</f>
        <v/>
      </c>
      <c r="K617" t="str">
        <f>IFERROR(IF(INDEX(使用レシピ!L:L,MATCH(テンプレート!$C617,使用レシピ!$E:$E,0))&lt;&gt;0,INDEX(使用レシピ!L:L,MATCH(テンプレート!$C617,使用レシピ!$E:$E,0)),""),"")</f>
        <v/>
      </c>
      <c r="L617" t="str">
        <f>IFERROR(IF(INDEX(使用レシピ!M:M,MATCH(テンプレート!$C617,使用レシピ!$E:$E,0))&lt;&gt;0,INDEX(使用レシピ!M:M,MATCH(テンプレート!$C617,使用レシピ!$E:$E,0)),""),"")</f>
        <v/>
      </c>
      <c r="M617" t="str">
        <f>IFERROR(IF(INDEX(使用レシピ!N:N,MATCH(テンプレート!$C617,使用レシピ!$E:$E,0))&lt;&gt;0,INDEX(使用レシピ!N:N,MATCH(テンプレート!$C617,使用レシピ!$E:$E,0)),""),"")</f>
        <v/>
      </c>
      <c r="N617" s="24" t="str">
        <f>IFERROR(IF(INDEX(使用レシピ!O:O,MATCH(テンプレート!$C617,使用レシピ!$E:$E,0))&lt;&gt;0,INDEX(使用レシピ!O:O,MATCH(テンプレート!$C617,使用レシピ!$E:$E,0)),""),"")</f>
        <v/>
      </c>
      <c r="O617" s="36" t="str">
        <f>IFERROR(IF(INDEX(使用レシピ!P:P,MATCH(テンプレート!$C617,使用レシピ!$E:$E,0))&lt;&gt;0,INDEX(使用レシピ!P:P,MATCH(テンプレート!$C617,使用レシピ!$E:$E,0)),""),"")</f>
        <v/>
      </c>
      <c r="P617" t="str">
        <f t="shared" si="46"/>
        <v/>
      </c>
      <c r="Q617" t="str">
        <f t="shared" si="47"/>
        <v/>
      </c>
      <c r="R617" t="str">
        <f t="shared" si="48"/>
        <v/>
      </c>
      <c r="S617" t="str">
        <f t="shared" si="49"/>
        <v/>
      </c>
      <c r="T617" s="24" t="str">
        <f t="shared" si="50"/>
        <v/>
      </c>
    </row>
    <row r="618" spans="2:20" x14ac:dyDescent="0.4">
      <c r="B618" s="49" t="str" cm="1">
        <f t="array" ref="B618">IFERROR((INDEX($P$4:$T$1000,MATCH(VALUE(LEFT($A618,LEN($A618)-1)),$A$4:$A$1000,0),VALUE(RIGHT($A618,1)))/ INDEX($O$4:$O$1000,MATCH(VALUE(LEFT($A618,LEN($A618)-1)),$A$4:$A$1000))) * INDEX($B$4:$B$1000,MATCH(VALUE(LEFT($A618,LEN($A618)-1)),$A$4:$A$1000)),"")</f>
        <v/>
      </c>
      <c r="C618" s="2" t="str" cm="1">
        <f t="array" ref="C618">IFERROR(IF(INDEX($D$4:$H$1000,MATCH(VALUE(LEFT($A618,LEN($A618)-1)),$A$4:$A$1000,0),VALUE(RIGHT($A618,1)))= 0,"",INDEX($D$4:$H$1000,MATCH(VALUE(LEFT($A618,LEN($A618)-1)),$A$4:$A$1000,0),VALUE(RIGHT($A618,1)))),"")</f>
        <v/>
      </c>
      <c r="D618" s="23" t="str">
        <f>IFERROR(IF(INDEX(使用レシピ!F:F,MATCH(テンプレート!$C618,使用レシピ!$E:$E,0))&lt;&gt;0,INDEX(使用レシピ!F:F,MATCH(テンプレート!$C618,使用レシピ!$E:$E,0)),""),"")</f>
        <v/>
      </c>
      <c r="E618" t="str">
        <f>IFERROR(IF(INDEX(使用レシピ!G:G,MATCH(テンプレート!$C618,使用レシピ!$E:$E,0))&lt;&gt;0,INDEX(使用レシピ!G:G,MATCH(テンプレート!$C618,使用レシピ!$E:$E,0)),""),"")</f>
        <v/>
      </c>
      <c r="F618" t="str">
        <f>IFERROR(IF(INDEX(使用レシピ!H:H,MATCH(テンプレート!$C618,使用レシピ!$E:$E,0))&lt;&gt;0,INDEX(使用レシピ!H:H,MATCH(テンプレート!$C618,使用レシピ!$E:$E,0)),""),"")</f>
        <v/>
      </c>
      <c r="G618" t="str">
        <f>IFERROR(IF(INDEX(使用レシピ!I:I,MATCH(テンプレート!$C618,使用レシピ!$E:$E,0))&lt;&gt;0,INDEX(使用レシピ!I:I,MATCH(テンプレート!$C618,使用レシピ!$E:$E,0)),""),"")</f>
        <v/>
      </c>
      <c r="H618" s="24" t="str">
        <f>IFERROR(IF(INDEX(使用レシピ!J:J,MATCH(テンプレート!$C618,使用レシピ!$E:$E,0))&lt;&gt;0,INDEX(使用レシピ!J:J,MATCH(テンプレート!$C618,使用レシピ!$E:$E,0)),""),"")</f>
        <v/>
      </c>
      <c r="I618" s="36" t="str">
        <f>IFERROR(IF(INDEX(使用レシピ!P:P,MATCH(テンプレート!$C618,使用レシピ!$E:$E,0))&lt;&gt;0,INDEX(使用レシピ!P:P,MATCH(テンプレート!$C618,使用レシピ!$E:$E,0)),""),"")</f>
        <v/>
      </c>
      <c r="J618" t="str">
        <f>IFERROR(IF(INDEX(使用レシピ!K:K,MATCH(テンプレート!$C618,使用レシピ!$E:$E,0))&lt;&gt;0,INDEX(使用レシピ!K:K,MATCH(テンプレート!$C618,使用レシピ!$E:$E,0)),""),"")</f>
        <v/>
      </c>
      <c r="K618" t="str">
        <f>IFERROR(IF(INDEX(使用レシピ!L:L,MATCH(テンプレート!$C618,使用レシピ!$E:$E,0))&lt;&gt;0,INDEX(使用レシピ!L:L,MATCH(テンプレート!$C618,使用レシピ!$E:$E,0)),""),"")</f>
        <v/>
      </c>
      <c r="L618" t="str">
        <f>IFERROR(IF(INDEX(使用レシピ!M:M,MATCH(テンプレート!$C618,使用レシピ!$E:$E,0))&lt;&gt;0,INDEX(使用レシピ!M:M,MATCH(テンプレート!$C618,使用レシピ!$E:$E,0)),""),"")</f>
        <v/>
      </c>
      <c r="M618" t="str">
        <f>IFERROR(IF(INDEX(使用レシピ!N:N,MATCH(テンプレート!$C618,使用レシピ!$E:$E,0))&lt;&gt;0,INDEX(使用レシピ!N:N,MATCH(テンプレート!$C618,使用レシピ!$E:$E,0)),""),"")</f>
        <v/>
      </c>
      <c r="N618" s="24" t="str">
        <f>IFERROR(IF(INDEX(使用レシピ!O:O,MATCH(テンプレート!$C618,使用レシピ!$E:$E,0))&lt;&gt;0,INDEX(使用レシピ!O:O,MATCH(テンプレート!$C618,使用レシピ!$E:$E,0)),""),"")</f>
        <v/>
      </c>
      <c r="O618" s="36" t="str">
        <f>IFERROR(IF(INDEX(使用レシピ!P:P,MATCH(テンプレート!$C618,使用レシピ!$E:$E,0))&lt;&gt;0,INDEX(使用レシピ!P:P,MATCH(テンプレート!$C618,使用レシピ!$E:$E,0)),""),"")</f>
        <v/>
      </c>
      <c r="P618" t="str">
        <f t="shared" si="46"/>
        <v/>
      </c>
      <c r="Q618" t="str">
        <f t="shared" si="47"/>
        <v/>
      </c>
      <c r="R618" t="str">
        <f t="shared" si="48"/>
        <v/>
      </c>
      <c r="S618" t="str">
        <f t="shared" si="49"/>
        <v/>
      </c>
      <c r="T618" s="24" t="str">
        <f t="shared" si="50"/>
        <v/>
      </c>
    </row>
    <row r="619" spans="2:20" x14ac:dyDescent="0.4">
      <c r="B619" s="49" t="str" cm="1">
        <f t="array" ref="B619">IFERROR((INDEX($P$4:$T$1000,MATCH(VALUE(LEFT($A619,LEN($A619)-1)),$A$4:$A$1000,0),VALUE(RIGHT($A619,1)))/ INDEX($O$4:$O$1000,MATCH(VALUE(LEFT($A619,LEN($A619)-1)),$A$4:$A$1000))) * INDEX($B$4:$B$1000,MATCH(VALUE(LEFT($A619,LEN($A619)-1)),$A$4:$A$1000)),"")</f>
        <v/>
      </c>
      <c r="C619" s="2" t="str" cm="1">
        <f t="array" ref="C619">IFERROR(IF(INDEX($D$4:$H$1000,MATCH(VALUE(LEFT($A619,LEN($A619)-1)),$A$4:$A$1000,0),VALUE(RIGHT($A619,1)))= 0,"",INDEX($D$4:$H$1000,MATCH(VALUE(LEFT($A619,LEN($A619)-1)),$A$4:$A$1000,0),VALUE(RIGHT($A619,1)))),"")</f>
        <v/>
      </c>
      <c r="D619" s="23" t="str">
        <f>IFERROR(IF(INDEX(使用レシピ!F:F,MATCH(テンプレート!$C619,使用レシピ!$E:$E,0))&lt;&gt;0,INDEX(使用レシピ!F:F,MATCH(テンプレート!$C619,使用レシピ!$E:$E,0)),""),"")</f>
        <v/>
      </c>
      <c r="E619" t="str">
        <f>IFERROR(IF(INDEX(使用レシピ!G:G,MATCH(テンプレート!$C619,使用レシピ!$E:$E,0))&lt;&gt;0,INDEX(使用レシピ!G:G,MATCH(テンプレート!$C619,使用レシピ!$E:$E,0)),""),"")</f>
        <v/>
      </c>
      <c r="F619" t="str">
        <f>IFERROR(IF(INDEX(使用レシピ!H:H,MATCH(テンプレート!$C619,使用レシピ!$E:$E,0))&lt;&gt;0,INDEX(使用レシピ!H:H,MATCH(テンプレート!$C619,使用レシピ!$E:$E,0)),""),"")</f>
        <v/>
      </c>
      <c r="G619" t="str">
        <f>IFERROR(IF(INDEX(使用レシピ!I:I,MATCH(テンプレート!$C619,使用レシピ!$E:$E,0))&lt;&gt;0,INDEX(使用レシピ!I:I,MATCH(テンプレート!$C619,使用レシピ!$E:$E,0)),""),"")</f>
        <v/>
      </c>
      <c r="H619" s="24" t="str">
        <f>IFERROR(IF(INDEX(使用レシピ!J:J,MATCH(テンプレート!$C619,使用レシピ!$E:$E,0))&lt;&gt;0,INDEX(使用レシピ!J:J,MATCH(テンプレート!$C619,使用レシピ!$E:$E,0)),""),"")</f>
        <v/>
      </c>
      <c r="I619" s="36" t="str">
        <f>IFERROR(IF(INDEX(使用レシピ!P:P,MATCH(テンプレート!$C619,使用レシピ!$E:$E,0))&lt;&gt;0,INDEX(使用レシピ!P:P,MATCH(テンプレート!$C619,使用レシピ!$E:$E,0)),""),"")</f>
        <v/>
      </c>
      <c r="J619" t="str">
        <f>IFERROR(IF(INDEX(使用レシピ!K:K,MATCH(テンプレート!$C619,使用レシピ!$E:$E,0))&lt;&gt;0,INDEX(使用レシピ!K:K,MATCH(テンプレート!$C619,使用レシピ!$E:$E,0)),""),"")</f>
        <v/>
      </c>
      <c r="K619" t="str">
        <f>IFERROR(IF(INDEX(使用レシピ!L:L,MATCH(テンプレート!$C619,使用レシピ!$E:$E,0))&lt;&gt;0,INDEX(使用レシピ!L:L,MATCH(テンプレート!$C619,使用レシピ!$E:$E,0)),""),"")</f>
        <v/>
      </c>
      <c r="L619" t="str">
        <f>IFERROR(IF(INDEX(使用レシピ!M:M,MATCH(テンプレート!$C619,使用レシピ!$E:$E,0))&lt;&gt;0,INDEX(使用レシピ!M:M,MATCH(テンプレート!$C619,使用レシピ!$E:$E,0)),""),"")</f>
        <v/>
      </c>
      <c r="M619" t="str">
        <f>IFERROR(IF(INDEX(使用レシピ!N:N,MATCH(テンプレート!$C619,使用レシピ!$E:$E,0))&lt;&gt;0,INDEX(使用レシピ!N:N,MATCH(テンプレート!$C619,使用レシピ!$E:$E,0)),""),"")</f>
        <v/>
      </c>
      <c r="N619" s="24" t="str">
        <f>IFERROR(IF(INDEX(使用レシピ!O:O,MATCH(テンプレート!$C619,使用レシピ!$E:$E,0))&lt;&gt;0,INDEX(使用レシピ!O:O,MATCH(テンプレート!$C619,使用レシピ!$E:$E,0)),""),"")</f>
        <v/>
      </c>
      <c r="O619" s="36" t="str">
        <f>IFERROR(IF(INDEX(使用レシピ!P:P,MATCH(テンプレート!$C619,使用レシピ!$E:$E,0))&lt;&gt;0,INDEX(使用レシピ!P:P,MATCH(テンプレート!$C619,使用レシピ!$E:$E,0)),""),"")</f>
        <v/>
      </c>
      <c r="P619" t="str">
        <f t="shared" si="46"/>
        <v/>
      </c>
      <c r="Q619" t="str">
        <f t="shared" si="47"/>
        <v/>
      </c>
      <c r="R619" t="str">
        <f t="shared" si="48"/>
        <v/>
      </c>
      <c r="S619" t="str">
        <f t="shared" si="49"/>
        <v/>
      </c>
      <c r="T619" s="24" t="str">
        <f t="shared" si="50"/>
        <v/>
      </c>
    </row>
    <row r="620" spans="2:20" x14ac:dyDescent="0.4">
      <c r="B620" s="49" t="str" cm="1">
        <f t="array" ref="B620">IFERROR((INDEX($P$4:$T$1000,MATCH(VALUE(LEFT($A620,LEN($A620)-1)),$A$4:$A$1000,0),VALUE(RIGHT($A620,1)))/ INDEX($O$4:$O$1000,MATCH(VALUE(LEFT($A620,LEN($A620)-1)),$A$4:$A$1000))) * INDEX($B$4:$B$1000,MATCH(VALUE(LEFT($A620,LEN($A620)-1)),$A$4:$A$1000)),"")</f>
        <v/>
      </c>
      <c r="C620" s="2" t="str" cm="1">
        <f t="array" ref="C620">IFERROR(IF(INDEX($D$4:$H$1000,MATCH(VALUE(LEFT($A620,LEN($A620)-1)),$A$4:$A$1000,0),VALUE(RIGHT($A620,1)))= 0,"",INDEX($D$4:$H$1000,MATCH(VALUE(LEFT($A620,LEN($A620)-1)),$A$4:$A$1000,0),VALUE(RIGHT($A620,1)))),"")</f>
        <v/>
      </c>
      <c r="D620" s="23" t="str">
        <f>IFERROR(IF(INDEX(使用レシピ!F:F,MATCH(テンプレート!$C620,使用レシピ!$E:$E,0))&lt;&gt;0,INDEX(使用レシピ!F:F,MATCH(テンプレート!$C620,使用レシピ!$E:$E,0)),""),"")</f>
        <v/>
      </c>
      <c r="E620" t="str">
        <f>IFERROR(IF(INDEX(使用レシピ!G:G,MATCH(テンプレート!$C620,使用レシピ!$E:$E,0))&lt;&gt;0,INDEX(使用レシピ!G:G,MATCH(テンプレート!$C620,使用レシピ!$E:$E,0)),""),"")</f>
        <v/>
      </c>
      <c r="F620" t="str">
        <f>IFERROR(IF(INDEX(使用レシピ!H:H,MATCH(テンプレート!$C620,使用レシピ!$E:$E,0))&lt;&gt;0,INDEX(使用レシピ!H:H,MATCH(テンプレート!$C620,使用レシピ!$E:$E,0)),""),"")</f>
        <v/>
      </c>
      <c r="G620" t="str">
        <f>IFERROR(IF(INDEX(使用レシピ!I:I,MATCH(テンプレート!$C620,使用レシピ!$E:$E,0))&lt;&gt;0,INDEX(使用レシピ!I:I,MATCH(テンプレート!$C620,使用レシピ!$E:$E,0)),""),"")</f>
        <v/>
      </c>
      <c r="H620" s="24" t="str">
        <f>IFERROR(IF(INDEX(使用レシピ!J:J,MATCH(テンプレート!$C620,使用レシピ!$E:$E,0))&lt;&gt;0,INDEX(使用レシピ!J:J,MATCH(テンプレート!$C620,使用レシピ!$E:$E,0)),""),"")</f>
        <v/>
      </c>
      <c r="I620" s="36" t="str">
        <f>IFERROR(IF(INDEX(使用レシピ!P:P,MATCH(テンプレート!$C620,使用レシピ!$E:$E,0))&lt;&gt;0,INDEX(使用レシピ!P:P,MATCH(テンプレート!$C620,使用レシピ!$E:$E,0)),""),"")</f>
        <v/>
      </c>
      <c r="J620" t="str">
        <f>IFERROR(IF(INDEX(使用レシピ!K:K,MATCH(テンプレート!$C620,使用レシピ!$E:$E,0))&lt;&gt;0,INDEX(使用レシピ!K:K,MATCH(テンプレート!$C620,使用レシピ!$E:$E,0)),""),"")</f>
        <v/>
      </c>
      <c r="K620" t="str">
        <f>IFERROR(IF(INDEX(使用レシピ!L:L,MATCH(テンプレート!$C620,使用レシピ!$E:$E,0))&lt;&gt;0,INDEX(使用レシピ!L:L,MATCH(テンプレート!$C620,使用レシピ!$E:$E,0)),""),"")</f>
        <v/>
      </c>
      <c r="L620" t="str">
        <f>IFERROR(IF(INDEX(使用レシピ!M:M,MATCH(テンプレート!$C620,使用レシピ!$E:$E,0))&lt;&gt;0,INDEX(使用レシピ!M:M,MATCH(テンプレート!$C620,使用レシピ!$E:$E,0)),""),"")</f>
        <v/>
      </c>
      <c r="M620" t="str">
        <f>IFERROR(IF(INDEX(使用レシピ!N:N,MATCH(テンプレート!$C620,使用レシピ!$E:$E,0))&lt;&gt;0,INDEX(使用レシピ!N:N,MATCH(テンプレート!$C620,使用レシピ!$E:$E,0)),""),"")</f>
        <v/>
      </c>
      <c r="N620" s="24" t="str">
        <f>IFERROR(IF(INDEX(使用レシピ!O:O,MATCH(テンプレート!$C620,使用レシピ!$E:$E,0))&lt;&gt;0,INDEX(使用レシピ!O:O,MATCH(テンプレート!$C620,使用レシピ!$E:$E,0)),""),"")</f>
        <v/>
      </c>
      <c r="O620" s="36" t="str">
        <f>IFERROR(IF(INDEX(使用レシピ!P:P,MATCH(テンプレート!$C620,使用レシピ!$E:$E,0))&lt;&gt;0,INDEX(使用レシピ!P:P,MATCH(テンプレート!$C620,使用レシピ!$E:$E,0)),""),"")</f>
        <v/>
      </c>
      <c r="P620" t="str">
        <f t="shared" si="46"/>
        <v/>
      </c>
      <c r="Q620" t="str">
        <f t="shared" si="47"/>
        <v/>
      </c>
      <c r="R620" t="str">
        <f t="shared" si="48"/>
        <v/>
      </c>
      <c r="S620" t="str">
        <f t="shared" si="49"/>
        <v/>
      </c>
      <c r="T620" s="24" t="str">
        <f t="shared" si="50"/>
        <v/>
      </c>
    </row>
    <row r="621" spans="2:20" x14ac:dyDescent="0.4">
      <c r="B621" s="49" t="str" cm="1">
        <f t="array" ref="B621">IFERROR((INDEX($P$4:$T$1000,MATCH(VALUE(LEFT($A621,LEN($A621)-1)),$A$4:$A$1000,0),VALUE(RIGHT($A621,1)))/ INDEX($O$4:$O$1000,MATCH(VALUE(LEFT($A621,LEN($A621)-1)),$A$4:$A$1000))) * INDEX($B$4:$B$1000,MATCH(VALUE(LEFT($A621,LEN($A621)-1)),$A$4:$A$1000)),"")</f>
        <v/>
      </c>
      <c r="C621" s="2" t="str" cm="1">
        <f t="array" ref="C621">IFERROR(IF(INDEX($D$4:$H$1000,MATCH(VALUE(LEFT($A621,LEN($A621)-1)),$A$4:$A$1000,0),VALUE(RIGHT($A621,1)))= 0,"",INDEX($D$4:$H$1000,MATCH(VALUE(LEFT($A621,LEN($A621)-1)),$A$4:$A$1000,0),VALUE(RIGHT($A621,1)))),"")</f>
        <v/>
      </c>
      <c r="D621" s="23" t="str">
        <f>IFERROR(IF(INDEX(使用レシピ!F:F,MATCH(テンプレート!$C621,使用レシピ!$E:$E,0))&lt;&gt;0,INDEX(使用レシピ!F:F,MATCH(テンプレート!$C621,使用レシピ!$E:$E,0)),""),"")</f>
        <v/>
      </c>
      <c r="E621" t="str">
        <f>IFERROR(IF(INDEX(使用レシピ!G:G,MATCH(テンプレート!$C621,使用レシピ!$E:$E,0))&lt;&gt;0,INDEX(使用レシピ!G:G,MATCH(テンプレート!$C621,使用レシピ!$E:$E,0)),""),"")</f>
        <v/>
      </c>
      <c r="F621" t="str">
        <f>IFERROR(IF(INDEX(使用レシピ!H:H,MATCH(テンプレート!$C621,使用レシピ!$E:$E,0))&lt;&gt;0,INDEX(使用レシピ!H:H,MATCH(テンプレート!$C621,使用レシピ!$E:$E,0)),""),"")</f>
        <v/>
      </c>
      <c r="G621" t="str">
        <f>IFERROR(IF(INDEX(使用レシピ!I:I,MATCH(テンプレート!$C621,使用レシピ!$E:$E,0))&lt;&gt;0,INDEX(使用レシピ!I:I,MATCH(テンプレート!$C621,使用レシピ!$E:$E,0)),""),"")</f>
        <v/>
      </c>
      <c r="H621" s="24" t="str">
        <f>IFERROR(IF(INDEX(使用レシピ!J:J,MATCH(テンプレート!$C621,使用レシピ!$E:$E,0))&lt;&gt;0,INDEX(使用レシピ!J:J,MATCH(テンプレート!$C621,使用レシピ!$E:$E,0)),""),"")</f>
        <v/>
      </c>
      <c r="I621" s="36" t="str">
        <f>IFERROR(IF(INDEX(使用レシピ!P:P,MATCH(テンプレート!$C621,使用レシピ!$E:$E,0))&lt;&gt;0,INDEX(使用レシピ!P:P,MATCH(テンプレート!$C621,使用レシピ!$E:$E,0)),""),"")</f>
        <v/>
      </c>
      <c r="J621" t="str">
        <f>IFERROR(IF(INDEX(使用レシピ!K:K,MATCH(テンプレート!$C621,使用レシピ!$E:$E,0))&lt;&gt;0,INDEX(使用レシピ!K:K,MATCH(テンプレート!$C621,使用レシピ!$E:$E,0)),""),"")</f>
        <v/>
      </c>
      <c r="K621" t="str">
        <f>IFERROR(IF(INDEX(使用レシピ!L:L,MATCH(テンプレート!$C621,使用レシピ!$E:$E,0))&lt;&gt;0,INDEX(使用レシピ!L:L,MATCH(テンプレート!$C621,使用レシピ!$E:$E,0)),""),"")</f>
        <v/>
      </c>
      <c r="L621" t="str">
        <f>IFERROR(IF(INDEX(使用レシピ!M:M,MATCH(テンプレート!$C621,使用レシピ!$E:$E,0))&lt;&gt;0,INDEX(使用レシピ!M:M,MATCH(テンプレート!$C621,使用レシピ!$E:$E,0)),""),"")</f>
        <v/>
      </c>
      <c r="M621" t="str">
        <f>IFERROR(IF(INDEX(使用レシピ!N:N,MATCH(テンプレート!$C621,使用レシピ!$E:$E,0))&lt;&gt;0,INDEX(使用レシピ!N:N,MATCH(テンプレート!$C621,使用レシピ!$E:$E,0)),""),"")</f>
        <v/>
      </c>
      <c r="N621" s="24" t="str">
        <f>IFERROR(IF(INDEX(使用レシピ!O:O,MATCH(テンプレート!$C621,使用レシピ!$E:$E,0))&lt;&gt;0,INDEX(使用レシピ!O:O,MATCH(テンプレート!$C621,使用レシピ!$E:$E,0)),""),"")</f>
        <v/>
      </c>
      <c r="O621" s="36" t="str">
        <f>IFERROR(IF(INDEX(使用レシピ!P:P,MATCH(テンプレート!$C621,使用レシピ!$E:$E,0))&lt;&gt;0,INDEX(使用レシピ!P:P,MATCH(テンプレート!$C621,使用レシピ!$E:$E,0)),""),"")</f>
        <v/>
      </c>
      <c r="P621" t="str">
        <f t="shared" ref="P621:P684" si="51">IFERROR(IF($O621/$I621*J621 &gt; 0,$O621/$I621*J621,""),"")</f>
        <v/>
      </c>
      <c r="Q621" t="str">
        <f t="shared" ref="Q621:Q684" si="52">IFERROR(IF($O621/$I621*K621 &gt; 0,$O621/$I621*K621,""),"")</f>
        <v/>
      </c>
      <c r="R621" t="str">
        <f t="shared" ref="R621:R684" si="53">IFERROR(IF($O621/$I621*L621 &gt; 0,$O621/$I621*L621,""),"")</f>
        <v/>
      </c>
      <c r="S621" t="str">
        <f t="shared" ref="S621:S684" si="54">IFERROR(IF($O621/$I621*M621 &gt; 0,$O621/$I621*M621,""),"")</f>
        <v/>
      </c>
      <c r="T621" s="24" t="str">
        <f t="shared" ref="T621:T684" si="55">IFERROR(IF($O621/$I621*N621 &gt; 0,$O621/$I621*N621,""),"")</f>
        <v/>
      </c>
    </row>
    <row r="622" spans="2:20" x14ac:dyDescent="0.4">
      <c r="B622" s="49" t="str" cm="1">
        <f t="array" ref="B622">IFERROR((INDEX($P$4:$T$1000,MATCH(VALUE(LEFT($A622,LEN($A622)-1)),$A$4:$A$1000,0),VALUE(RIGHT($A622,1)))/ INDEX($O$4:$O$1000,MATCH(VALUE(LEFT($A622,LEN($A622)-1)),$A$4:$A$1000))) * INDEX($B$4:$B$1000,MATCH(VALUE(LEFT($A622,LEN($A622)-1)),$A$4:$A$1000)),"")</f>
        <v/>
      </c>
      <c r="C622" s="2" t="str" cm="1">
        <f t="array" ref="C622">IFERROR(IF(INDEX($D$4:$H$1000,MATCH(VALUE(LEFT($A622,LEN($A622)-1)),$A$4:$A$1000,0),VALUE(RIGHT($A622,1)))= 0,"",INDEX($D$4:$H$1000,MATCH(VALUE(LEFT($A622,LEN($A622)-1)),$A$4:$A$1000,0),VALUE(RIGHT($A622,1)))),"")</f>
        <v/>
      </c>
      <c r="D622" s="23" t="str">
        <f>IFERROR(IF(INDEX(使用レシピ!F:F,MATCH(テンプレート!$C622,使用レシピ!$E:$E,0))&lt;&gt;0,INDEX(使用レシピ!F:F,MATCH(テンプレート!$C622,使用レシピ!$E:$E,0)),""),"")</f>
        <v/>
      </c>
      <c r="E622" t="str">
        <f>IFERROR(IF(INDEX(使用レシピ!G:G,MATCH(テンプレート!$C622,使用レシピ!$E:$E,0))&lt;&gt;0,INDEX(使用レシピ!G:G,MATCH(テンプレート!$C622,使用レシピ!$E:$E,0)),""),"")</f>
        <v/>
      </c>
      <c r="F622" t="str">
        <f>IFERROR(IF(INDEX(使用レシピ!H:H,MATCH(テンプレート!$C622,使用レシピ!$E:$E,0))&lt;&gt;0,INDEX(使用レシピ!H:H,MATCH(テンプレート!$C622,使用レシピ!$E:$E,0)),""),"")</f>
        <v/>
      </c>
      <c r="G622" t="str">
        <f>IFERROR(IF(INDEX(使用レシピ!I:I,MATCH(テンプレート!$C622,使用レシピ!$E:$E,0))&lt;&gt;0,INDEX(使用レシピ!I:I,MATCH(テンプレート!$C622,使用レシピ!$E:$E,0)),""),"")</f>
        <v/>
      </c>
      <c r="H622" s="24" t="str">
        <f>IFERROR(IF(INDEX(使用レシピ!J:J,MATCH(テンプレート!$C622,使用レシピ!$E:$E,0))&lt;&gt;0,INDEX(使用レシピ!J:J,MATCH(テンプレート!$C622,使用レシピ!$E:$E,0)),""),"")</f>
        <v/>
      </c>
      <c r="I622" s="36" t="str">
        <f>IFERROR(IF(INDEX(使用レシピ!P:P,MATCH(テンプレート!$C622,使用レシピ!$E:$E,0))&lt;&gt;0,INDEX(使用レシピ!P:P,MATCH(テンプレート!$C622,使用レシピ!$E:$E,0)),""),"")</f>
        <v/>
      </c>
      <c r="J622" t="str">
        <f>IFERROR(IF(INDEX(使用レシピ!K:K,MATCH(テンプレート!$C622,使用レシピ!$E:$E,0))&lt;&gt;0,INDEX(使用レシピ!K:K,MATCH(テンプレート!$C622,使用レシピ!$E:$E,0)),""),"")</f>
        <v/>
      </c>
      <c r="K622" t="str">
        <f>IFERROR(IF(INDEX(使用レシピ!L:L,MATCH(テンプレート!$C622,使用レシピ!$E:$E,0))&lt;&gt;0,INDEX(使用レシピ!L:L,MATCH(テンプレート!$C622,使用レシピ!$E:$E,0)),""),"")</f>
        <v/>
      </c>
      <c r="L622" t="str">
        <f>IFERROR(IF(INDEX(使用レシピ!M:M,MATCH(テンプレート!$C622,使用レシピ!$E:$E,0))&lt;&gt;0,INDEX(使用レシピ!M:M,MATCH(テンプレート!$C622,使用レシピ!$E:$E,0)),""),"")</f>
        <v/>
      </c>
      <c r="M622" t="str">
        <f>IFERROR(IF(INDEX(使用レシピ!N:N,MATCH(テンプレート!$C622,使用レシピ!$E:$E,0))&lt;&gt;0,INDEX(使用レシピ!N:N,MATCH(テンプレート!$C622,使用レシピ!$E:$E,0)),""),"")</f>
        <v/>
      </c>
      <c r="N622" s="24" t="str">
        <f>IFERROR(IF(INDEX(使用レシピ!O:O,MATCH(テンプレート!$C622,使用レシピ!$E:$E,0))&lt;&gt;0,INDEX(使用レシピ!O:O,MATCH(テンプレート!$C622,使用レシピ!$E:$E,0)),""),"")</f>
        <v/>
      </c>
      <c r="O622" s="36" t="str">
        <f>IFERROR(IF(INDEX(使用レシピ!P:P,MATCH(テンプレート!$C622,使用レシピ!$E:$E,0))&lt;&gt;0,INDEX(使用レシピ!P:P,MATCH(テンプレート!$C622,使用レシピ!$E:$E,0)),""),"")</f>
        <v/>
      </c>
      <c r="P622" t="str">
        <f t="shared" si="51"/>
        <v/>
      </c>
      <c r="Q622" t="str">
        <f t="shared" si="52"/>
        <v/>
      </c>
      <c r="R622" t="str">
        <f t="shared" si="53"/>
        <v/>
      </c>
      <c r="S622" t="str">
        <f t="shared" si="54"/>
        <v/>
      </c>
      <c r="T622" s="24" t="str">
        <f t="shared" si="55"/>
        <v/>
      </c>
    </row>
    <row r="623" spans="2:20" x14ac:dyDescent="0.4">
      <c r="B623" s="49" t="str" cm="1">
        <f t="array" ref="B623">IFERROR((INDEX($P$4:$T$1000,MATCH(VALUE(LEFT($A623,LEN($A623)-1)),$A$4:$A$1000,0),VALUE(RIGHT($A623,1)))/ INDEX($O$4:$O$1000,MATCH(VALUE(LEFT($A623,LEN($A623)-1)),$A$4:$A$1000))) * INDEX($B$4:$B$1000,MATCH(VALUE(LEFT($A623,LEN($A623)-1)),$A$4:$A$1000)),"")</f>
        <v/>
      </c>
      <c r="C623" s="2" t="str" cm="1">
        <f t="array" ref="C623">IFERROR(IF(INDEX($D$4:$H$1000,MATCH(VALUE(LEFT($A623,LEN($A623)-1)),$A$4:$A$1000,0),VALUE(RIGHT($A623,1)))= 0,"",INDEX($D$4:$H$1000,MATCH(VALUE(LEFT($A623,LEN($A623)-1)),$A$4:$A$1000,0),VALUE(RIGHT($A623,1)))),"")</f>
        <v/>
      </c>
      <c r="D623" s="23" t="str">
        <f>IFERROR(IF(INDEX(使用レシピ!F:F,MATCH(テンプレート!$C623,使用レシピ!$E:$E,0))&lt;&gt;0,INDEX(使用レシピ!F:F,MATCH(テンプレート!$C623,使用レシピ!$E:$E,0)),""),"")</f>
        <v/>
      </c>
      <c r="E623" t="str">
        <f>IFERROR(IF(INDEX(使用レシピ!G:G,MATCH(テンプレート!$C623,使用レシピ!$E:$E,0))&lt;&gt;0,INDEX(使用レシピ!G:G,MATCH(テンプレート!$C623,使用レシピ!$E:$E,0)),""),"")</f>
        <v/>
      </c>
      <c r="F623" t="str">
        <f>IFERROR(IF(INDEX(使用レシピ!H:H,MATCH(テンプレート!$C623,使用レシピ!$E:$E,0))&lt;&gt;0,INDEX(使用レシピ!H:H,MATCH(テンプレート!$C623,使用レシピ!$E:$E,0)),""),"")</f>
        <v/>
      </c>
      <c r="G623" t="str">
        <f>IFERROR(IF(INDEX(使用レシピ!I:I,MATCH(テンプレート!$C623,使用レシピ!$E:$E,0))&lt;&gt;0,INDEX(使用レシピ!I:I,MATCH(テンプレート!$C623,使用レシピ!$E:$E,0)),""),"")</f>
        <v/>
      </c>
      <c r="H623" s="24" t="str">
        <f>IFERROR(IF(INDEX(使用レシピ!J:J,MATCH(テンプレート!$C623,使用レシピ!$E:$E,0))&lt;&gt;0,INDEX(使用レシピ!J:J,MATCH(テンプレート!$C623,使用レシピ!$E:$E,0)),""),"")</f>
        <v/>
      </c>
      <c r="I623" s="36" t="str">
        <f>IFERROR(IF(INDEX(使用レシピ!P:P,MATCH(テンプレート!$C623,使用レシピ!$E:$E,0))&lt;&gt;0,INDEX(使用レシピ!P:P,MATCH(テンプレート!$C623,使用レシピ!$E:$E,0)),""),"")</f>
        <v/>
      </c>
      <c r="J623" t="str">
        <f>IFERROR(IF(INDEX(使用レシピ!K:K,MATCH(テンプレート!$C623,使用レシピ!$E:$E,0))&lt;&gt;0,INDEX(使用レシピ!K:K,MATCH(テンプレート!$C623,使用レシピ!$E:$E,0)),""),"")</f>
        <v/>
      </c>
      <c r="K623" t="str">
        <f>IFERROR(IF(INDEX(使用レシピ!L:L,MATCH(テンプレート!$C623,使用レシピ!$E:$E,0))&lt;&gt;0,INDEX(使用レシピ!L:L,MATCH(テンプレート!$C623,使用レシピ!$E:$E,0)),""),"")</f>
        <v/>
      </c>
      <c r="L623" t="str">
        <f>IFERROR(IF(INDEX(使用レシピ!M:M,MATCH(テンプレート!$C623,使用レシピ!$E:$E,0))&lt;&gt;0,INDEX(使用レシピ!M:M,MATCH(テンプレート!$C623,使用レシピ!$E:$E,0)),""),"")</f>
        <v/>
      </c>
      <c r="M623" t="str">
        <f>IFERROR(IF(INDEX(使用レシピ!N:N,MATCH(テンプレート!$C623,使用レシピ!$E:$E,0))&lt;&gt;0,INDEX(使用レシピ!N:N,MATCH(テンプレート!$C623,使用レシピ!$E:$E,0)),""),"")</f>
        <v/>
      </c>
      <c r="N623" s="24" t="str">
        <f>IFERROR(IF(INDEX(使用レシピ!O:O,MATCH(テンプレート!$C623,使用レシピ!$E:$E,0))&lt;&gt;0,INDEX(使用レシピ!O:O,MATCH(テンプレート!$C623,使用レシピ!$E:$E,0)),""),"")</f>
        <v/>
      </c>
      <c r="O623" s="36" t="str">
        <f>IFERROR(IF(INDEX(使用レシピ!P:P,MATCH(テンプレート!$C623,使用レシピ!$E:$E,0))&lt;&gt;0,INDEX(使用レシピ!P:P,MATCH(テンプレート!$C623,使用レシピ!$E:$E,0)),""),"")</f>
        <v/>
      </c>
      <c r="P623" t="str">
        <f t="shared" si="51"/>
        <v/>
      </c>
      <c r="Q623" t="str">
        <f t="shared" si="52"/>
        <v/>
      </c>
      <c r="R623" t="str">
        <f t="shared" si="53"/>
        <v/>
      </c>
      <c r="S623" t="str">
        <f t="shared" si="54"/>
        <v/>
      </c>
      <c r="T623" s="24" t="str">
        <f t="shared" si="55"/>
        <v/>
      </c>
    </row>
    <row r="624" spans="2:20" x14ac:dyDescent="0.4">
      <c r="B624" s="49" t="str" cm="1">
        <f t="array" ref="B624">IFERROR((INDEX($P$4:$T$1000,MATCH(VALUE(LEFT($A624,LEN($A624)-1)),$A$4:$A$1000,0),VALUE(RIGHT($A624,1)))/ INDEX($O$4:$O$1000,MATCH(VALUE(LEFT($A624,LEN($A624)-1)),$A$4:$A$1000))) * INDEX($B$4:$B$1000,MATCH(VALUE(LEFT($A624,LEN($A624)-1)),$A$4:$A$1000)),"")</f>
        <v/>
      </c>
      <c r="C624" s="2" t="str" cm="1">
        <f t="array" ref="C624">IFERROR(IF(INDEX($D$4:$H$1000,MATCH(VALUE(LEFT($A624,LEN($A624)-1)),$A$4:$A$1000,0),VALUE(RIGHT($A624,1)))= 0,"",INDEX($D$4:$H$1000,MATCH(VALUE(LEFT($A624,LEN($A624)-1)),$A$4:$A$1000,0),VALUE(RIGHT($A624,1)))),"")</f>
        <v/>
      </c>
      <c r="D624" s="23" t="str">
        <f>IFERROR(IF(INDEX(使用レシピ!F:F,MATCH(テンプレート!$C624,使用レシピ!$E:$E,0))&lt;&gt;0,INDEX(使用レシピ!F:F,MATCH(テンプレート!$C624,使用レシピ!$E:$E,0)),""),"")</f>
        <v/>
      </c>
      <c r="E624" t="str">
        <f>IFERROR(IF(INDEX(使用レシピ!G:G,MATCH(テンプレート!$C624,使用レシピ!$E:$E,0))&lt;&gt;0,INDEX(使用レシピ!G:G,MATCH(テンプレート!$C624,使用レシピ!$E:$E,0)),""),"")</f>
        <v/>
      </c>
      <c r="F624" t="str">
        <f>IFERROR(IF(INDEX(使用レシピ!H:H,MATCH(テンプレート!$C624,使用レシピ!$E:$E,0))&lt;&gt;0,INDEX(使用レシピ!H:H,MATCH(テンプレート!$C624,使用レシピ!$E:$E,0)),""),"")</f>
        <v/>
      </c>
      <c r="G624" t="str">
        <f>IFERROR(IF(INDEX(使用レシピ!I:I,MATCH(テンプレート!$C624,使用レシピ!$E:$E,0))&lt;&gt;0,INDEX(使用レシピ!I:I,MATCH(テンプレート!$C624,使用レシピ!$E:$E,0)),""),"")</f>
        <v/>
      </c>
      <c r="H624" s="24" t="str">
        <f>IFERROR(IF(INDEX(使用レシピ!J:J,MATCH(テンプレート!$C624,使用レシピ!$E:$E,0))&lt;&gt;0,INDEX(使用レシピ!J:J,MATCH(テンプレート!$C624,使用レシピ!$E:$E,0)),""),"")</f>
        <v/>
      </c>
      <c r="I624" s="36" t="str">
        <f>IFERROR(IF(INDEX(使用レシピ!P:P,MATCH(テンプレート!$C624,使用レシピ!$E:$E,0))&lt;&gt;0,INDEX(使用レシピ!P:P,MATCH(テンプレート!$C624,使用レシピ!$E:$E,0)),""),"")</f>
        <v/>
      </c>
      <c r="J624" t="str">
        <f>IFERROR(IF(INDEX(使用レシピ!K:K,MATCH(テンプレート!$C624,使用レシピ!$E:$E,0))&lt;&gt;0,INDEX(使用レシピ!K:K,MATCH(テンプレート!$C624,使用レシピ!$E:$E,0)),""),"")</f>
        <v/>
      </c>
      <c r="K624" t="str">
        <f>IFERROR(IF(INDEX(使用レシピ!L:L,MATCH(テンプレート!$C624,使用レシピ!$E:$E,0))&lt;&gt;0,INDEX(使用レシピ!L:L,MATCH(テンプレート!$C624,使用レシピ!$E:$E,0)),""),"")</f>
        <v/>
      </c>
      <c r="L624" t="str">
        <f>IFERROR(IF(INDEX(使用レシピ!M:M,MATCH(テンプレート!$C624,使用レシピ!$E:$E,0))&lt;&gt;0,INDEX(使用レシピ!M:M,MATCH(テンプレート!$C624,使用レシピ!$E:$E,0)),""),"")</f>
        <v/>
      </c>
      <c r="M624" t="str">
        <f>IFERROR(IF(INDEX(使用レシピ!N:N,MATCH(テンプレート!$C624,使用レシピ!$E:$E,0))&lt;&gt;0,INDEX(使用レシピ!N:N,MATCH(テンプレート!$C624,使用レシピ!$E:$E,0)),""),"")</f>
        <v/>
      </c>
      <c r="N624" s="24" t="str">
        <f>IFERROR(IF(INDEX(使用レシピ!O:O,MATCH(テンプレート!$C624,使用レシピ!$E:$E,0))&lt;&gt;0,INDEX(使用レシピ!O:O,MATCH(テンプレート!$C624,使用レシピ!$E:$E,0)),""),"")</f>
        <v/>
      </c>
      <c r="O624" s="36" t="str">
        <f>IFERROR(IF(INDEX(使用レシピ!P:P,MATCH(テンプレート!$C624,使用レシピ!$E:$E,0))&lt;&gt;0,INDEX(使用レシピ!P:P,MATCH(テンプレート!$C624,使用レシピ!$E:$E,0)),""),"")</f>
        <v/>
      </c>
      <c r="P624" t="str">
        <f t="shared" si="51"/>
        <v/>
      </c>
      <c r="Q624" t="str">
        <f t="shared" si="52"/>
        <v/>
      </c>
      <c r="R624" t="str">
        <f t="shared" si="53"/>
        <v/>
      </c>
      <c r="S624" t="str">
        <f t="shared" si="54"/>
        <v/>
      </c>
      <c r="T624" s="24" t="str">
        <f t="shared" si="55"/>
        <v/>
      </c>
    </row>
    <row r="625" spans="2:20" x14ac:dyDescent="0.4">
      <c r="B625" s="49" t="str" cm="1">
        <f t="array" ref="B625">IFERROR((INDEX($P$4:$T$1000,MATCH(VALUE(LEFT($A625,LEN($A625)-1)),$A$4:$A$1000,0),VALUE(RIGHT($A625,1)))/ INDEX($O$4:$O$1000,MATCH(VALUE(LEFT($A625,LEN($A625)-1)),$A$4:$A$1000))) * INDEX($B$4:$B$1000,MATCH(VALUE(LEFT($A625,LEN($A625)-1)),$A$4:$A$1000)),"")</f>
        <v/>
      </c>
      <c r="C625" s="2" t="str" cm="1">
        <f t="array" ref="C625">IFERROR(IF(INDEX($D$4:$H$1000,MATCH(VALUE(LEFT($A625,LEN($A625)-1)),$A$4:$A$1000,0),VALUE(RIGHT($A625,1)))= 0,"",INDEX($D$4:$H$1000,MATCH(VALUE(LEFT($A625,LEN($A625)-1)),$A$4:$A$1000,0),VALUE(RIGHT($A625,1)))),"")</f>
        <v/>
      </c>
      <c r="D625" s="23" t="str">
        <f>IFERROR(IF(INDEX(使用レシピ!F:F,MATCH(テンプレート!$C625,使用レシピ!$E:$E,0))&lt;&gt;0,INDEX(使用レシピ!F:F,MATCH(テンプレート!$C625,使用レシピ!$E:$E,0)),""),"")</f>
        <v/>
      </c>
      <c r="E625" t="str">
        <f>IFERROR(IF(INDEX(使用レシピ!G:G,MATCH(テンプレート!$C625,使用レシピ!$E:$E,0))&lt;&gt;0,INDEX(使用レシピ!G:G,MATCH(テンプレート!$C625,使用レシピ!$E:$E,0)),""),"")</f>
        <v/>
      </c>
      <c r="F625" t="str">
        <f>IFERROR(IF(INDEX(使用レシピ!H:H,MATCH(テンプレート!$C625,使用レシピ!$E:$E,0))&lt;&gt;0,INDEX(使用レシピ!H:H,MATCH(テンプレート!$C625,使用レシピ!$E:$E,0)),""),"")</f>
        <v/>
      </c>
      <c r="G625" t="str">
        <f>IFERROR(IF(INDEX(使用レシピ!I:I,MATCH(テンプレート!$C625,使用レシピ!$E:$E,0))&lt;&gt;0,INDEX(使用レシピ!I:I,MATCH(テンプレート!$C625,使用レシピ!$E:$E,0)),""),"")</f>
        <v/>
      </c>
      <c r="H625" s="24" t="str">
        <f>IFERROR(IF(INDEX(使用レシピ!J:J,MATCH(テンプレート!$C625,使用レシピ!$E:$E,0))&lt;&gt;0,INDEX(使用レシピ!J:J,MATCH(テンプレート!$C625,使用レシピ!$E:$E,0)),""),"")</f>
        <v/>
      </c>
      <c r="I625" s="36" t="str">
        <f>IFERROR(IF(INDEX(使用レシピ!P:P,MATCH(テンプレート!$C625,使用レシピ!$E:$E,0))&lt;&gt;0,INDEX(使用レシピ!P:P,MATCH(テンプレート!$C625,使用レシピ!$E:$E,0)),""),"")</f>
        <v/>
      </c>
      <c r="J625" t="str">
        <f>IFERROR(IF(INDEX(使用レシピ!K:K,MATCH(テンプレート!$C625,使用レシピ!$E:$E,0))&lt;&gt;0,INDEX(使用レシピ!K:K,MATCH(テンプレート!$C625,使用レシピ!$E:$E,0)),""),"")</f>
        <v/>
      </c>
      <c r="K625" t="str">
        <f>IFERROR(IF(INDEX(使用レシピ!L:L,MATCH(テンプレート!$C625,使用レシピ!$E:$E,0))&lt;&gt;0,INDEX(使用レシピ!L:L,MATCH(テンプレート!$C625,使用レシピ!$E:$E,0)),""),"")</f>
        <v/>
      </c>
      <c r="L625" t="str">
        <f>IFERROR(IF(INDEX(使用レシピ!M:M,MATCH(テンプレート!$C625,使用レシピ!$E:$E,0))&lt;&gt;0,INDEX(使用レシピ!M:M,MATCH(テンプレート!$C625,使用レシピ!$E:$E,0)),""),"")</f>
        <v/>
      </c>
      <c r="M625" t="str">
        <f>IFERROR(IF(INDEX(使用レシピ!N:N,MATCH(テンプレート!$C625,使用レシピ!$E:$E,0))&lt;&gt;0,INDEX(使用レシピ!N:N,MATCH(テンプレート!$C625,使用レシピ!$E:$E,0)),""),"")</f>
        <v/>
      </c>
      <c r="N625" s="24" t="str">
        <f>IFERROR(IF(INDEX(使用レシピ!O:O,MATCH(テンプレート!$C625,使用レシピ!$E:$E,0))&lt;&gt;0,INDEX(使用レシピ!O:O,MATCH(テンプレート!$C625,使用レシピ!$E:$E,0)),""),"")</f>
        <v/>
      </c>
      <c r="O625" s="36" t="str">
        <f>IFERROR(IF(INDEX(使用レシピ!P:P,MATCH(テンプレート!$C625,使用レシピ!$E:$E,0))&lt;&gt;0,INDEX(使用レシピ!P:P,MATCH(テンプレート!$C625,使用レシピ!$E:$E,0)),""),"")</f>
        <v/>
      </c>
      <c r="P625" t="str">
        <f t="shared" si="51"/>
        <v/>
      </c>
      <c r="Q625" t="str">
        <f t="shared" si="52"/>
        <v/>
      </c>
      <c r="R625" t="str">
        <f t="shared" si="53"/>
        <v/>
      </c>
      <c r="S625" t="str">
        <f t="shared" si="54"/>
        <v/>
      </c>
      <c r="T625" s="24" t="str">
        <f t="shared" si="55"/>
        <v/>
      </c>
    </row>
    <row r="626" spans="2:20" x14ac:dyDescent="0.4">
      <c r="B626" s="49" t="str" cm="1">
        <f t="array" ref="B626">IFERROR((INDEX($P$4:$T$1000,MATCH(VALUE(LEFT($A626,LEN($A626)-1)),$A$4:$A$1000,0),VALUE(RIGHT($A626,1)))/ INDEX($O$4:$O$1000,MATCH(VALUE(LEFT($A626,LEN($A626)-1)),$A$4:$A$1000))) * INDEX($B$4:$B$1000,MATCH(VALUE(LEFT($A626,LEN($A626)-1)),$A$4:$A$1000)),"")</f>
        <v/>
      </c>
      <c r="C626" s="2" t="str" cm="1">
        <f t="array" ref="C626">IFERROR(IF(INDEX($D$4:$H$1000,MATCH(VALUE(LEFT($A626,LEN($A626)-1)),$A$4:$A$1000,0),VALUE(RIGHT($A626,1)))= 0,"",INDEX($D$4:$H$1000,MATCH(VALUE(LEFT($A626,LEN($A626)-1)),$A$4:$A$1000,0),VALUE(RIGHT($A626,1)))),"")</f>
        <v/>
      </c>
      <c r="D626" s="23" t="str">
        <f>IFERROR(IF(INDEX(使用レシピ!F:F,MATCH(テンプレート!$C626,使用レシピ!$E:$E,0))&lt;&gt;0,INDEX(使用レシピ!F:F,MATCH(テンプレート!$C626,使用レシピ!$E:$E,0)),""),"")</f>
        <v/>
      </c>
      <c r="E626" t="str">
        <f>IFERROR(IF(INDEX(使用レシピ!G:G,MATCH(テンプレート!$C626,使用レシピ!$E:$E,0))&lt;&gt;0,INDEX(使用レシピ!G:G,MATCH(テンプレート!$C626,使用レシピ!$E:$E,0)),""),"")</f>
        <v/>
      </c>
      <c r="F626" t="str">
        <f>IFERROR(IF(INDEX(使用レシピ!H:H,MATCH(テンプレート!$C626,使用レシピ!$E:$E,0))&lt;&gt;0,INDEX(使用レシピ!H:H,MATCH(テンプレート!$C626,使用レシピ!$E:$E,0)),""),"")</f>
        <v/>
      </c>
      <c r="G626" t="str">
        <f>IFERROR(IF(INDEX(使用レシピ!I:I,MATCH(テンプレート!$C626,使用レシピ!$E:$E,0))&lt;&gt;0,INDEX(使用レシピ!I:I,MATCH(テンプレート!$C626,使用レシピ!$E:$E,0)),""),"")</f>
        <v/>
      </c>
      <c r="H626" s="24" t="str">
        <f>IFERROR(IF(INDEX(使用レシピ!J:J,MATCH(テンプレート!$C626,使用レシピ!$E:$E,0))&lt;&gt;0,INDEX(使用レシピ!J:J,MATCH(テンプレート!$C626,使用レシピ!$E:$E,0)),""),"")</f>
        <v/>
      </c>
      <c r="I626" s="36" t="str">
        <f>IFERROR(IF(INDEX(使用レシピ!P:P,MATCH(テンプレート!$C626,使用レシピ!$E:$E,0))&lt;&gt;0,INDEX(使用レシピ!P:P,MATCH(テンプレート!$C626,使用レシピ!$E:$E,0)),""),"")</f>
        <v/>
      </c>
      <c r="J626" t="str">
        <f>IFERROR(IF(INDEX(使用レシピ!K:K,MATCH(テンプレート!$C626,使用レシピ!$E:$E,0))&lt;&gt;0,INDEX(使用レシピ!K:K,MATCH(テンプレート!$C626,使用レシピ!$E:$E,0)),""),"")</f>
        <v/>
      </c>
      <c r="K626" t="str">
        <f>IFERROR(IF(INDEX(使用レシピ!L:L,MATCH(テンプレート!$C626,使用レシピ!$E:$E,0))&lt;&gt;0,INDEX(使用レシピ!L:L,MATCH(テンプレート!$C626,使用レシピ!$E:$E,0)),""),"")</f>
        <v/>
      </c>
      <c r="L626" t="str">
        <f>IFERROR(IF(INDEX(使用レシピ!M:M,MATCH(テンプレート!$C626,使用レシピ!$E:$E,0))&lt;&gt;0,INDEX(使用レシピ!M:M,MATCH(テンプレート!$C626,使用レシピ!$E:$E,0)),""),"")</f>
        <v/>
      </c>
      <c r="M626" t="str">
        <f>IFERROR(IF(INDEX(使用レシピ!N:N,MATCH(テンプレート!$C626,使用レシピ!$E:$E,0))&lt;&gt;0,INDEX(使用レシピ!N:N,MATCH(テンプレート!$C626,使用レシピ!$E:$E,0)),""),"")</f>
        <v/>
      </c>
      <c r="N626" s="24" t="str">
        <f>IFERROR(IF(INDEX(使用レシピ!O:O,MATCH(テンプレート!$C626,使用レシピ!$E:$E,0))&lt;&gt;0,INDEX(使用レシピ!O:O,MATCH(テンプレート!$C626,使用レシピ!$E:$E,0)),""),"")</f>
        <v/>
      </c>
      <c r="O626" s="36" t="str">
        <f>IFERROR(IF(INDEX(使用レシピ!P:P,MATCH(テンプレート!$C626,使用レシピ!$E:$E,0))&lt;&gt;0,INDEX(使用レシピ!P:P,MATCH(テンプレート!$C626,使用レシピ!$E:$E,0)),""),"")</f>
        <v/>
      </c>
      <c r="P626" t="str">
        <f t="shared" si="51"/>
        <v/>
      </c>
      <c r="Q626" t="str">
        <f t="shared" si="52"/>
        <v/>
      </c>
      <c r="R626" t="str">
        <f t="shared" si="53"/>
        <v/>
      </c>
      <c r="S626" t="str">
        <f t="shared" si="54"/>
        <v/>
      </c>
      <c r="T626" s="24" t="str">
        <f t="shared" si="55"/>
        <v/>
      </c>
    </row>
    <row r="627" spans="2:20" x14ac:dyDescent="0.4">
      <c r="B627" s="49" t="str" cm="1">
        <f t="array" ref="B627">IFERROR((INDEX($P$4:$T$1000,MATCH(VALUE(LEFT($A627,LEN($A627)-1)),$A$4:$A$1000,0),VALUE(RIGHT($A627,1)))/ INDEX($O$4:$O$1000,MATCH(VALUE(LEFT($A627,LEN($A627)-1)),$A$4:$A$1000))) * INDEX($B$4:$B$1000,MATCH(VALUE(LEFT($A627,LEN($A627)-1)),$A$4:$A$1000)),"")</f>
        <v/>
      </c>
      <c r="C627" s="2" t="str" cm="1">
        <f t="array" ref="C627">IFERROR(IF(INDEX($D$4:$H$1000,MATCH(VALUE(LEFT($A627,LEN($A627)-1)),$A$4:$A$1000,0),VALUE(RIGHT($A627,1)))= 0,"",INDEX($D$4:$H$1000,MATCH(VALUE(LEFT($A627,LEN($A627)-1)),$A$4:$A$1000,0),VALUE(RIGHT($A627,1)))),"")</f>
        <v/>
      </c>
      <c r="D627" s="23" t="str">
        <f>IFERROR(IF(INDEX(使用レシピ!F:F,MATCH(テンプレート!$C627,使用レシピ!$E:$E,0))&lt;&gt;0,INDEX(使用レシピ!F:F,MATCH(テンプレート!$C627,使用レシピ!$E:$E,0)),""),"")</f>
        <v/>
      </c>
      <c r="E627" t="str">
        <f>IFERROR(IF(INDEX(使用レシピ!G:G,MATCH(テンプレート!$C627,使用レシピ!$E:$E,0))&lt;&gt;0,INDEX(使用レシピ!G:G,MATCH(テンプレート!$C627,使用レシピ!$E:$E,0)),""),"")</f>
        <v/>
      </c>
      <c r="F627" t="str">
        <f>IFERROR(IF(INDEX(使用レシピ!H:H,MATCH(テンプレート!$C627,使用レシピ!$E:$E,0))&lt;&gt;0,INDEX(使用レシピ!H:H,MATCH(テンプレート!$C627,使用レシピ!$E:$E,0)),""),"")</f>
        <v/>
      </c>
      <c r="G627" t="str">
        <f>IFERROR(IF(INDEX(使用レシピ!I:I,MATCH(テンプレート!$C627,使用レシピ!$E:$E,0))&lt;&gt;0,INDEX(使用レシピ!I:I,MATCH(テンプレート!$C627,使用レシピ!$E:$E,0)),""),"")</f>
        <v/>
      </c>
      <c r="H627" s="24" t="str">
        <f>IFERROR(IF(INDEX(使用レシピ!J:J,MATCH(テンプレート!$C627,使用レシピ!$E:$E,0))&lt;&gt;0,INDEX(使用レシピ!J:J,MATCH(テンプレート!$C627,使用レシピ!$E:$E,0)),""),"")</f>
        <v/>
      </c>
      <c r="I627" s="36" t="str">
        <f>IFERROR(IF(INDEX(使用レシピ!P:P,MATCH(テンプレート!$C627,使用レシピ!$E:$E,0))&lt;&gt;0,INDEX(使用レシピ!P:P,MATCH(テンプレート!$C627,使用レシピ!$E:$E,0)),""),"")</f>
        <v/>
      </c>
      <c r="J627" t="str">
        <f>IFERROR(IF(INDEX(使用レシピ!K:K,MATCH(テンプレート!$C627,使用レシピ!$E:$E,0))&lt;&gt;0,INDEX(使用レシピ!K:K,MATCH(テンプレート!$C627,使用レシピ!$E:$E,0)),""),"")</f>
        <v/>
      </c>
      <c r="K627" t="str">
        <f>IFERROR(IF(INDEX(使用レシピ!L:L,MATCH(テンプレート!$C627,使用レシピ!$E:$E,0))&lt;&gt;0,INDEX(使用レシピ!L:L,MATCH(テンプレート!$C627,使用レシピ!$E:$E,0)),""),"")</f>
        <v/>
      </c>
      <c r="L627" t="str">
        <f>IFERROR(IF(INDEX(使用レシピ!M:M,MATCH(テンプレート!$C627,使用レシピ!$E:$E,0))&lt;&gt;0,INDEX(使用レシピ!M:M,MATCH(テンプレート!$C627,使用レシピ!$E:$E,0)),""),"")</f>
        <v/>
      </c>
      <c r="M627" t="str">
        <f>IFERROR(IF(INDEX(使用レシピ!N:N,MATCH(テンプレート!$C627,使用レシピ!$E:$E,0))&lt;&gt;0,INDEX(使用レシピ!N:N,MATCH(テンプレート!$C627,使用レシピ!$E:$E,0)),""),"")</f>
        <v/>
      </c>
      <c r="N627" s="24" t="str">
        <f>IFERROR(IF(INDEX(使用レシピ!O:O,MATCH(テンプレート!$C627,使用レシピ!$E:$E,0))&lt;&gt;0,INDEX(使用レシピ!O:O,MATCH(テンプレート!$C627,使用レシピ!$E:$E,0)),""),"")</f>
        <v/>
      </c>
      <c r="O627" s="36" t="str">
        <f>IFERROR(IF(INDEX(使用レシピ!P:P,MATCH(テンプレート!$C627,使用レシピ!$E:$E,0))&lt;&gt;0,INDEX(使用レシピ!P:P,MATCH(テンプレート!$C627,使用レシピ!$E:$E,0)),""),"")</f>
        <v/>
      </c>
      <c r="P627" t="str">
        <f t="shared" si="51"/>
        <v/>
      </c>
      <c r="Q627" t="str">
        <f t="shared" si="52"/>
        <v/>
      </c>
      <c r="R627" t="str">
        <f t="shared" si="53"/>
        <v/>
      </c>
      <c r="S627" t="str">
        <f t="shared" si="54"/>
        <v/>
      </c>
      <c r="T627" s="24" t="str">
        <f t="shared" si="55"/>
        <v/>
      </c>
    </row>
    <row r="628" spans="2:20" x14ac:dyDescent="0.4">
      <c r="B628" s="49" t="str" cm="1">
        <f t="array" ref="B628">IFERROR((INDEX($P$4:$T$1000,MATCH(VALUE(LEFT($A628,LEN($A628)-1)),$A$4:$A$1000,0),VALUE(RIGHT($A628,1)))/ INDEX($O$4:$O$1000,MATCH(VALUE(LEFT($A628,LEN($A628)-1)),$A$4:$A$1000))) * INDEX($B$4:$B$1000,MATCH(VALUE(LEFT($A628,LEN($A628)-1)),$A$4:$A$1000)),"")</f>
        <v/>
      </c>
      <c r="C628" s="2" t="str" cm="1">
        <f t="array" ref="C628">IFERROR(IF(INDEX($D$4:$H$1000,MATCH(VALUE(LEFT($A628,LEN($A628)-1)),$A$4:$A$1000,0),VALUE(RIGHT($A628,1)))= 0,"",INDEX($D$4:$H$1000,MATCH(VALUE(LEFT($A628,LEN($A628)-1)),$A$4:$A$1000,0),VALUE(RIGHT($A628,1)))),"")</f>
        <v/>
      </c>
      <c r="D628" s="23" t="str">
        <f>IFERROR(IF(INDEX(使用レシピ!F:F,MATCH(テンプレート!$C628,使用レシピ!$E:$E,0))&lt;&gt;0,INDEX(使用レシピ!F:F,MATCH(テンプレート!$C628,使用レシピ!$E:$E,0)),""),"")</f>
        <v/>
      </c>
      <c r="E628" t="str">
        <f>IFERROR(IF(INDEX(使用レシピ!G:G,MATCH(テンプレート!$C628,使用レシピ!$E:$E,0))&lt;&gt;0,INDEX(使用レシピ!G:G,MATCH(テンプレート!$C628,使用レシピ!$E:$E,0)),""),"")</f>
        <v/>
      </c>
      <c r="F628" t="str">
        <f>IFERROR(IF(INDEX(使用レシピ!H:H,MATCH(テンプレート!$C628,使用レシピ!$E:$E,0))&lt;&gt;0,INDEX(使用レシピ!H:H,MATCH(テンプレート!$C628,使用レシピ!$E:$E,0)),""),"")</f>
        <v/>
      </c>
      <c r="G628" t="str">
        <f>IFERROR(IF(INDEX(使用レシピ!I:I,MATCH(テンプレート!$C628,使用レシピ!$E:$E,0))&lt;&gt;0,INDEX(使用レシピ!I:I,MATCH(テンプレート!$C628,使用レシピ!$E:$E,0)),""),"")</f>
        <v/>
      </c>
      <c r="H628" s="24" t="str">
        <f>IFERROR(IF(INDEX(使用レシピ!J:J,MATCH(テンプレート!$C628,使用レシピ!$E:$E,0))&lt;&gt;0,INDEX(使用レシピ!J:J,MATCH(テンプレート!$C628,使用レシピ!$E:$E,0)),""),"")</f>
        <v/>
      </c>
      <c r="I628" s="36" t="str">
        <f>IFERROR(IF(INDEX(使用レシピ!P:P,MATCH(テンプレート!$C628,使用レシピ!$E:$E,0))&lt;&gt;0,INDEX(使用レシピ!P:P,MATCH(テンプレート!$C628,使用レシピ!$E:$E,0)),""),"")</f>
        <v/>
      </c>
      <c r="J628" t="str">
        <f>IFERROR(IF(INDEX(使用レシピ!K:K,MATCH(テンプレート!$C628,使用レシピ!$E:$E,0))&lt;&gt;0,INDEX(使用レシピ!K:K,MATCH(テンプレート!$C628,使用レシピ!$E:$E,0)),""),"")</f>
        <v/>
      </c>
      <c r="K628" t="str">
        <f>IFERROR(IF(INDEX(使用レシピ!L:L,MATCH(テンプレート!$C628,使用レシピ!$E:$E,0))&lt;&gt;0,INDEX(使用レシピ!L:L,MATCH(テンプレート!$C628,使用レシピ!$E:$E,0)),""),"")</f>
        <v/>
      </c>
      <c r="L628" t="str">
        <f>IFERROR(IF(INDEX(使用レシピ!M:M,MATCH(テンプレート!$C628,使用レシピ!$E:$E,0))&lt;&gt;0,INDEX(使用レシピ!M:M,MATCH(テンプレート!$C628,使用レシピ!$E:$E,0)),""),"")</f>
        <v/>
      </c>
      <c r="M628" t="str">
        <f>IFERROR(IF(INDEX(使用レシピ!N:N,MATCH(テンプレート!$C628,使用レシピ!$E:$E,0))&lt;&gt;0,INDEX(使用レシピ!N:N,MATCH(テンプレート!$C628,使用レシピ!$E:$E,0)),""),"")</f>
        <v/>
      </c>
      <c r="N628" s="24" t="str">
        <f>IFERROR(IF(INDEX(使用レシピ!O:O,MATCH(テンプレート!$C628,使用レシピ!$E:$E,0))&lt;&gt;0,INDEX(使用レシピ!O:O,MATCH(テンプレート!$C628,使用レシピ!$E:$E,0)),""),"")</f>
        <v/>
      </c>
      <c r="O628" s="36" t="str">
        <f>IFERROR(IF(INDEX(使用レシピ!P:P,MATCH(テンプレート!$C628,使用レシピ!$E:$E,0))&lt;&gt;0,INDEX(使用レシピ!P:P,MATCH(テンプレート!$C628,使用レシピ!$E:$E,0)),""),"")</f>
        <v/>
      </c>
      <c r="P628" t="str">
        <f t="shared" si="51"/>
        <v/>
      </c>
      <c r="Q628" t="str">
        <f t="shared" si="52"/>
        <v/>
      </c>
      <c r="R628" t="str">
        <f t="shared" si="53"/>
        <v/>
      </c>
      <c r="S628" t="str">
        <f t="shared" si="54"/>
        <v/>
      </c>
      <c r="T628" s="24" t="str">
        <f t="shared" si="55"/>
        <v/>
      </c>
    </row>
    <row r="629" spans="2:20" x14ac:dyDescent="0.4">
      <c r="B629" s="49" t="str" cm="1">
        <f t="array" ref="B629">IFERROR((INDEX($P$4:$T$1000,MATCH(VALUE(LEFT($A629,LEN($A629)-1)),$A$4:$A$1000,0),VALUE(RIGHT($A629,1)))/ INDEX($O$4:$O$1000,MATCH(VALUE(LEFT($A629,LEN($A629)-1)),$A$4:$A$1000))) * INDEX($B$4:$B$1000,MATCH(VALUE(LEFT($A629,LEN($A629)-1)),$A$4:$A$1000)),"")</f>
        <v/>
      </c>
      <c r="C629" s="2" t="str" cm="1">
        <f t="array" ref="C629">IFERROR(IF(INDEX($D$4:$H$1000,MATCH(VALUE(LEFT($A629,LEN($A629)-1)),$A$4:$A$1000,0),VALUE(RIGHT($A629,1)))= 0,"",INDEX($D$4:$H$1000,MATCH(VALUE(LEFT($A629,LEN($A629)-1)),$A$4:$A$1000,0),VALUE(RIGHT($A629,1)))),"")</f>
        <v/>
      </c>
      <c r="D629" s="23" t="str">
        <f>IFERROR(IF(INDEX(使用レシピ!F:F,MATCH(テンプレート!$C629,使用レシピ!$E:$E,0))&lt;&gt;0,INDEX(使用レシピ!F:F,MATCH(テンプレート!$C629,使用レシピ!$E:$E,0)),""),"")</f>
        <v/>
      </c>
      <c r="E629" t="str">
        <f>IFERROR(IF(INDEX(使用レシピ!G:G,MATCH(テンプレート!$C629,使用レシピ!$E:$E,0))&lt;&gt;0,INDEX(使用レシピ!G:G,MATCH(テンプレート!$C629,使用レシピ!$E:$E,0)),""),"")</f>
        <v/>
      </c>
      <c r="F629" t="str">
        <f>IFERROR(IF(INDEX(使用レシピ!H:H,MATCH(テンプレート!$C629,使用レシピ!$E:$E,0))&lt;&gt;0,INDEX(使用レシピ!H:H,MATCH(テンプレート!$C629,使用レシピ!$E:$E,0)),""),"")</f>
        <v/>
      </c>
      <c r="G629" t="str">
        <f>IFERROR(IF(INDEX(使用レシピ!I:I,MATCH(テンプレート!$C629,使用レシピ!$E:$E,0))&lt;&gt;0,INDEX(使用レシピ!I:I,MATCH(テンプレート!$C629,使用レシピ!$E:$E,0)),""),"")</f>
        <v/>
      </c>
      <c r="H629" s="24" t="str">
        <f>IFERROR(IF(INDEX(使用レシピ!J:J,MATCH(テンプレート!$C629,使用レシピ!$E:$E,0))&lt;&gt;0,INDEX(使用レシピ!J:J,MATCH(テンプレート!$C629,使用レシピ!$E:$E,0)),""),"")</f>
        <v/>
      </c>
      <c r="I629" s="36" t="str">
        <f>IFERROR(IF(INDEX(使用レシピ!P:P,MATCH(テンプレート!$C629,使用レシピ!$E:$E,0))&lt;&gt;0,INDEX(使用レシピ!P:P,MATCH(テンプレート!$C629,使用レシピ!$E:$E,0)),""),"")</f>
        <v/>
      </c>
      <c r="J629" t="str">
        <f>IFERROR(IF(INDEX(使用レシピ!K:K,MATCH(テンプレート!$C629,使用レシピ!$E:$E,0))&lt;&gt;0,INDEX(使用レシピ!K:K,MATCH(テンプレート!$C629,使用レシピ!$E:$E,0)),""),"")</f>
        <v/>
      </c>
      <c r="K629" t="str">
        <f>IFERROR(IF(INDEX(使用レシピ!L:L,MATCH(テンプレート!$C629,使用レシピ!$E:$E,0))&lt;&gt;0,INDEX(使用レシピ!L:L,MATCH(テンプレート!$C629,使用レシピ!$E:$E,0)),""),"")</f>
        <v/>
      </c>
      <c r="L629" t="str">
        <f>IFERROR(IF(INDEX(使用レシピ!M:M,MATCH(テンプレート!$C629,使用レシピ!$E:$E,0))&lt;&gt;0,INDEX(使用レシピ!M:M,MATCH(テンプレート!$C629,使用レシピ!$E:$E,0)),""),"")</f>
        <v/>
      </c>
      <c r="M629" t="str">
        <f>IFERROR(IF(INDEX(使用レシピ!N:N,MATCH(テンプレート!$C629,使用レシピ!$E:$E,0))&lt;&gt;0,INDEX(使用レシピ!N:N,MATCH(テンプレート!$C629,使用レシピ!$E:$E,0)),""),"")</f>
        <v/>
      </c>
      <c r="N629" s="24" t="str">
        <f>IFERROR(IF(INDEX(使用レシピ!O:O,MATCH(テンプレート!$C629,使用レシピ!$E:$E,0))&lt;&gt;0,INDEX(使用レシピ!O:O,MATCH(テンプレート!$C629,使用レシピ!$E:$E,0)),""),"")</f>
        <v/>
      </c>
      <c r="O629" s="36" t="str">
        <f>IFERROR(IF(INDEX(使用レシピ!P:P,MATCH(テンプレート!$C629,使用レシピ!$E:$E,0))&lt;&gt;0,INDEX(使用レシピ!P:P,MATCH(テンプレート!$C629,使用レシピ!$E:$E,0)),""),"")</f>
        <v/>
      </c>
      <c r="P629" t="str">
        <f t="shared" si="51"/>
        <v/>
      </c>
      <c r="Q629" t="str">
        <f t="shared" si="52"/>
        <v/>
      </c>
      <c r="R629" t="str">
        <f t="shared" si="53"/>
        <v/>
      </c>
      <c r="S629" t="str">
        <f t="shared" si="54"/>
        <v/>
      </c>
      <c r="T629" s="24" t="str">
        <f t="shared" si="55"/>
        <v/>
      </c>
    </row>
    <row r="630" spans="2:20" x14ac:dyDescent="0.4">
      <c r="B630" s="49" t="str" cm="1">
        <f t="array" ref="B630">IFERROR((INDEX($P$4:$T$1000,MATCH(VALUE(LEFT($A630,LEN($A630)-1)),$A$4:$A$1000,0),VALUE(RIGHT($A630,1)))/ INDEX($O$4:$O$1000,MATCH(VALUE(LEFT($A630,LEN($A630)-1)),$A$4:$A$1000))) * INDEX($B$4:$B$1000,MATCH(VALUE(LEFT($A630,LEN($A630)-1)),$A$4:$A$1000)),"")</f>
        <v/>
      </c>
      <c r="C630" s="2" t="str" cm="1">
        <f t="array" ref="C630">IFERROR(IF(INDEX($D$4:$H$1000,MATCH(VALUE(LEFT($A630,LEN($A630)-1)),$A$4:$A$1000,0),VALUE(RIGHT($A630,1)))= 0,"",INDEX($D$4:$H$1000,MATCH(VALUE(LEFT($A630,LEN($A630)-1)),$A$4:$A$1000,0),VALUE(RIGHT($A630,1)))),"")</f>
        <v/>
      </c>
      <c r="D630" s="23" t="str">
        <f>IFERROR(IF(INDEX(使用レシピ!F:F,MATCH(テンプレート!$C630,使用レシピ!$E:$E,0))&lt;&gt;0,INDEX(使用レシピ!F:F,MATCH(テンプレート!$C630,使用レシピ!$E:$E,0)),""),"")</f>
        <v/>
      </c>
      <c r="E630" t="str">
        <f>IFERROR(IF(INDEX(使用レシピ!G:G,MATCH(テンプレート!$C630,使用レシピ!$E:$E,0))&lt;&gt;0,INDEX(使用レシピ!G:G,MATCH(テンプレート!$C630,使用レシピ!$E:$E,0)),""),"")</f>
        <v/>
      </c>
      <c r="F630" t="str">
        <f>IFERROR(IF(INDEX(使用レシピ!H:H,MATCH(テンプレート!$C630,使用レシピ!$E:$E,0))&lt;&gt;0,INDEX(使用レシピ!H:H,MATCH(テンプレート!$C630,使用レシピ!$E:$E,0)),""),"")</f>
        <v/>
      </c>
      <c r="G630" t="str">
        <f>IFERROR(IF(INDEX(使用レシピ!I:I,MATCH(テンプレート!$C630,使用レシピ!$E:$E,0))&lt;&gt;0,INDEX(使用レシピ!I:I,MATCH(テンプレート!$C630,使用レシピ!$E:$E,0)),""),"")</f>
        <v/>
      </c>
      <c r="H630" s="24" t="str">
        <f>IFERROR(IF(INDEX(使用レシピ!J:J,MATCH(テンプレート!$C630,使用レシピ!$E:$E,0))&lt;&gt;0,INDEX(使用レシピ!J:J,MATCH(テンプレート!$C630,使用レシピ!$E:$E,0)),""),"")</f>
        <v/>
      </c>
      <c r="I630" s="36" t="str">
        <f>IFERROR(IF(INDEX(使用レシピ!P:P,MATCH(テンプレート!$C630,使用レシピ!$E:$E,0))&lt;&gt;0,INDEX(使用レシピ!P:P,MATCH(テンプレート!$C630,使用レシピ!$E:$E,0)),""),"")</f>
        <v/>
      </c>
      <c r="J630" t="str">
        <f>IFERROR(IF(INDEX(使用レシピ!K:K,MATCH(テンプレート!$C630,使用レシピ!$E:$E,0))&lt;&gt;0,INDEX(使用レシピ!K:K,MATCH(テンプレート!$C630,使用レシピ!$E:$E,0)),""),"")</f>
        <v/>
      </c>
      <c r="K630" t="str">
        <f>IFERROR(IF(INDEX(使用レシピ!L:L,MATCH(テンプレート!$C630,使用レシピ!$E:$E,0))&lt;&gt;0,INDEX(使用レシピ!L:L,MATCH(テンプレート!$C630,使用レシピ!$E:$E,0)),""),"")</f>
        <v/>
      </c>
      <c r="L630" t="str">
        <f>IFERROR(IF(INDEX(使用レシピ!M:M,MATCH(テンプレート!$C630,使用レシピ!$E:$E,0))&lt;&gt;0,INDEX(使用レシピ!M:M,MATCH(テンプレート!$C630,使用レシピ!$E:$E,0)),""),"")</f>
        <v/>
      </c>
      <c r="M630" t="str">
        <f>IFERROR(IF(INDEX(使用レシピ!N:N,MATCH(テンプレート!$C630,使用レシピ!$E:$E,0))&lt;&gt;0,INDEX(使用レシピ!N:N,MATCH(テンプレート!$C630,使用レシピ!$E:$E,0)),""),"")</f>
        <v/>
      </c>
      <c r="N630" s="24" t="str">
        <f>IFERROR(IF(INDEX(使用レシピ!O:O,MATCH(テンプレート!$C630,使用レシピ!$E:$E,0))&lt;&gt;0,INDEX(使用レシピ!O:O,MATCH(テンプレート!$C630,使用レシピ!$E:$E,0)),""),"")</f>
        <v/>
      </c>
      <c r="O630" s="36" t="str">
        <f>IFERROR(IF(INDEX(使用レシピ!P:P,MATCH(テンプレート!$C630,使用レシピ!$E:$E,0))&lt;&gt;0,INDEX(使用レシピ!P:P,MATCH(テンプレート!$C630,使用レシピ!$E:$E,0)),""),"")</f>
        <v/>
      </c>
      <c r="P630" t="str">
        <f t="shared" si="51"/>
        <v/>
      </c>
      <c r="Q630" t="str">
        <f t="shared" si="52"/>
        <v/>
      </c>
      <c r="R630" t="str">
        <f t="shared" si="53"/>
        <v/>
      </c>
      <c r="S630" t="str">
        <f t="shared" si="54"/>
        <v/>
      </c>
      <c r="T630" s="24" t="str">
        <f t="shared" si="55"/>
        <v/>
      </c>
    </row>
    <row r="631" spans="2:20" x14ac:dyDescent="0.4">
      <c r="B631" s="49" t="str" cm="1">
        <f t="array" ref="B631">IFERROR((INDEX($P$4:$T$1000,MATCH(VALUE(LEFT($A631,LEN($A631)-1)),$A$4:$A$1000,0),VALUE(RIGHT($A631,1)))/ INDEX($O$4:$O$1000,MATCH(VALUE(LEFT($A631,LEN($A631)-1)),$A$4:$A$1000))) * INDEX($B$4:$B$1000,MATCH(VALUE(LEFT($A631,LEN($A631)-1)),$A$4:$A$1000)),"")</f>
        <v/>
      </c>
      <c r="C631" s="2" t="str" cm="1">
        <f t="array" ref="C631">IFERROR(IF(INDEX($D$4:$H$1000,MATCH(VALUE(LEFT($A631,LEN($A631)-1)),$A$4:$A$1000,0),VALUE(RIGHT($A631,1)))= 0,"",INDEX($D$4:$H$1000,MATCH(VALUE(LEFT($A631,LEN($A631)-1)),$A$4:$A$1000,0),VALUE(RIGHT($A631,1)))),"")</f>
        <v/>
      </c>
      <c r="D631" s="23" t="str">
        <f>IFERROR(IF(INDEX(使用レシピ!F:F,MATCH(テンプレート!$C631,使用レシピ!$E:$E,0))&lt;&gt;0,INDEX(使用レシピ!F:F,MATCH(テンプレート!$C631,使用レシピ!$E:$E,0)),""),"")</f>
        <v/>
      </c>
      <c r="E631" t="str">
        <f>IFERROR(IF(INDEX(使用レシピ!G:G,MATCH(テンプレート!$C631,使用レシピ!$E:$E,0))&lt;&gt;0,INDEX(使用レシピ!G:G,MATCH(テンプレート!$C631,使用レシピ!$E:$E,0)),""),"")</f>
        <v/>
      </c>
      <c r="F631" t="str">
        <f>IFERROR(IF(INDEX(使用レシピ!H:H,MATCH(テンプレート!$C631,使用レシピ!$E:$E,0))&lt;&gt;0,INDEX(使用レシピ!H:H,MATCH(テンプレート!$C631,使用レシピ!$E:$E,0)),""),"")</f>
        <v/>
      </c>
      <c r="G631" t="str">
        <f>IFERROR(IF(INDEX(使用レシピ!I:I,MATCH(テンプレート!$C631,使用レシピ!$E:$E,0))&lt;&gt;0,INDEX(使用レシピ!I:I,MATCH(テンプレート!$C631,使用レシピ!$E:$E,0)),""),"")</f>
        <v/>
      </c>
      <c r="H631" s="24" t="str">
        <f>IFERROR(IF(INDEX(使用レシピ!J:J,MATCH(テンプレート!$C631,使用レシピ!$E:$E,0))&lt;&gt;0,INDEX(使用レシピ!J:J,MATCH(テンプレート!$C631,使用レシピ!$E:$E,0)),""),"")</f>
        <v/>
      </c>
      <c r="I631" s="36" t="str">
        <f>IFERROR(IF(INDEX(使用レシピ!P:P,MATCH(テンプレート!$C631,使用レシピ!$E:$E,0))&lt;&gt;0,INDEX(使用レシピ!P:P,MATCH(テンプレート!$C631,使用レシピ!$E:$E,0)),""),"")</f>
        <v/>
      </c>
      <c r="J631" t="str">
        <f>IFERROR(IF(INDEX(使用レシピ!K:K,MATCH(テンプレート!$C631,使用レシピ!$E:$E,0))&lt;&gt;0,INDEX(使用レシピ!K:K,MATCH(テンプレート!$C631,使用レシピ!$E:$E,0)),""),"")</f>
        <v/>
      </c>
      <c r="K631" t="str">
        <f>IFERROR(IF(INDEX(使用レシピ!L:L,MATCH(テンプレート!$C631,使用レシピ!$E:$E,0))&lt;&gt;0,INDEX(使用レシピ!L:L,MATCH(テンプレート!$C631,使用レシピ!$E:$E,0)),""),"")</f>
        <v/>
      </c>
      <c r="L631" t="str">
        <f>IFERROR(IF(INDEX(使用レシピ!M:M,MATCH(テンプレート!$C631,使用レシピ!$E:$E,0))&lt;&gt;0,INDEX(使用レシピ!M:M,MATCH(テンプレート!$C631,使用レシピ!$E:$E,0)),""),"")</f>
        <v/>
      </c>
      <c r="M631" t="str">
        <f>IFERROR(IF(INDEX(使用レシピ!N:N,MATCH(テンプレート!$C631,使用レシピ!$E:$E,0))&lt;&gt;0,INDEX(使用レシピ!N:N,MATCH(テンプレート!$C631,使用レシピ!$E:$E,0)),""),"")</f>
        <v/>
      </c>
      <c r="N631" s="24" t="str">
        <f>IFERROR(IF(INDEX(使用レシピ!O:O,MATCH(テンプレート!$C631,使用レシピ!$E:$E,0))&lt;&gt;0,INDEX(使用レシピ!O:O,MATCH(テンプレート!$C631,使用レシピ!$E:$E,0)),""),"")</f>
        <v/>
      </c>
      <c r="O631" s="36" t="str">
        <f>IFERROR(IF(INDEX(使用レシピ!P:P,MATCH(テンプレート!$C631,使用レシピ!$E:$E,0))&lt;&gt;0,INDEX(使用レシピ!P:P,MATCH(テンプレート!$C631,使用レシピ!$E:$E,0)),""),"")</f>
        <v/>
      </c>
      <c r="P631" t="str">
        <f t="shared" si="51"/>
        <v/>
      </c>
      <c r="Q631" t="str">
        <f t="shared" si="52"/>
        <v/>
      </c>
      <c r="R631" t="str">
        <f t="shared" si="53"/>
        <v/>
      </c>
      <c r="S631" t="str">
        <f t="shared" si="54"/>
        <v/>
      </c>
      <c r="T631" s="24" t="str">
        <f t="shared" si="55"/>
        <v/>
      </c>
    </row>
    <row r="632" spans="2:20" x14ac:dyDescent="0.4">
      <c r="B632" s="49" t="str" cm="1">
        <f t="array" ref="B632">IFERROR((INDEX($P$4:$T$1000,MATCH(VALUE(LEFT($A632,LEN($A632)-1)),$A$4:$A$1000,0),VALUE(RIGHT($A632,1)))/ INDEX($O$4:$O$1000,MATCH(VALUE(LEFT($A632,LEN($A632)-1)),$A$4:$A$1000))) * INDEX($B$4:$B$1000,MATCH(VALUE(LEFT($A632,LEN($A632)-1)),$A$4:$A$1000)),"")</f>
        <v/>
      </c>
      <c r="C632" s="2" t="str" cm="1">
        <f t="array" ref="C632">IFERROR(IF(INDEX($D$4:$H$1000,MATCH(VALUE(LEFT($A632,LEN($A632)-1)),$A$4:$A$1000,0),VALUE(RIGHT($A632,1)))= 0,"",INDEX($D$4:$H$1000,MATCH(VALUE(LEFT($A632,LEN($A632)-1)),$A$4:$A$1000,0),VALUE(RIGHT($A632,1)))),"")</f>
        <v/>
      </c>
      <c r="D632" s="23" t="str">
        <f>IFERROR(IF(INDEX(使用レシピ!F:F,MATCH(テンプレート!$C632,使用レシピ!$E:$E,0))&lt;&gt;0,INDEX(使用レシピ!F:F,MATCH(テンプレート!$C632,使用レシピ!$E:$E,0)),""),"")</f>
        <v/>
      </c>
      <c r="E632" t="str">
        <f>IFERROR(IF(INDEX(使用レシピ!G:G,MATCH(テンプレート!$C632,使用レシピ!$E:$E,0))&lt;&gt;0,INDEX(使用レシピ!G:G,MATCH(テンプレート!$C632,使用レシピ!$E:$E,0)),""),"")</f>
        <v/>
      </c>
      <c r="F632" t="str">
        <f>IFERROR(IF(INDEX(使用レシピ!H:H,MATCH(テンプレート!$C632,使用レシピ!$E:$E,0))&lt;&gt;0,INDEX(使用レシピ!H:H,MATCH(テンプレート!$C632,使用レシピ!$E:$E,0)),""),"")</f>
        <v/>
      </c>
      <c r="G632" t="str">
        <f>IFERROR(IF(INDEX(使用レシピ!I:I,MATCH(テンプレート!$C632,使用レシピ!$E:$E,0))&lt;&gt;0,INDEX(使用レシピ!I:I,MATCH(テンプレート!$C632,使用レシピ!$E:$E,0)),""),"")</f>
        <v/>
      </c>
      <c r="H632" s="24" t="str">
        <f>IFERROR(IF(INDEX(使用レシピ!J:J,MATCH(テンプレート!$C632,使用レシピ!$E:$E,0))&lt;&gt;0,INDEX(使用レシピ!J:J,MATCH(テンプレート!$C632,使用レシピ!$E:$E,0)),""),"")</f>
        <v/>
      </c>
      <c r="I632" s="36" t="str">
        <f>IFERROR(IF(INDEX(使用レシピ!P:P,MATCH(テンプレート!$C632,使用レシピ!$E:$E,0))&lt;&gt;0,INDEX(使用レシピ!P:P,MATCH(テンプレート!$C632,使用レシピ!$E:$E,0)),""),"")</f>
        <v/>
      </c>
      <c r="J632" t="str">
        <f>IFERROR(IF(INDEX(使用レシピ!K:K,MATCH(テンプレート!$C632,使用レシピ!$E:$E,0))&lt;&gt;0,INDEX(使用レシピ!K:K,MATCH(テンプレート!$C632,使用レシピ!$E:$E,0)),""),"")</f>
        <v/>
      </c>
      <c r="K632" t="str">
        <f>IFERROR(IF(INDEX(使用レシピ!L:L,MATCH(テンプレート!$C632,使用レシピ!$E:$E,0))&lt;&gt;0,INDEX(使用レシピ!L:L,MATCH(テンプレート!$C632,使用レシピ!$E:$E,0)),""),"")</f>
        <v/>
      </c>
      <c r="L632" t="str">
        <f>IFERROR(IF(INDEX(使用レシピ!M:M,MATCH(テンプレート!$C632,使用レシピ!$E:$E,0))&lt;&gt;0,INDEX(使用レシピ!M:M,MATCH(テンプレート!$C632,使用レシピ!$E:$E,0)),""),"")</f>
        <v/>
      </c>
      <c r="M632" t="str">
        <f>IFERROR(IF(INDEX(使用レシピ!N:N,MATCH(テンプレート!$C632,使用レシピ!$E:$E,0))&lt;&gt;0,INDEX(使用レシピ!N:N,MATCH(テンプレート!$C632,使用レシピ!$E:$E,0)),""),"")</f>
        <v/>
      </c>
      <c r="N632" s="24" t="str">
        <f>IFERROR(IF(INDEX(使用レシピ!O:O,MATCH(テンプレート!$C632,使用レシピ!$E:$E,0))&lt;&gt;0,INDEX(使用レシピ!O:O,MATCH(テンプレート!$C632,使用レシピ!$E:$E,0)),""),"")</f>
        <v/>
      </c>
      <c r="O632" s="36" t="str">
        <f>IFERROR(IF(INDEX(使用レシピ!P:P,MATCH(テンプレート!$C632,使用レシピ!$E:$E,0))&lt;&gt;0,INDEX(使用レシピ!P:P,MATCH(テンプレート!$C632,使用レシピ!$E:$E,0)),""),"")</f>
        <v/>
      </c>
      <c r="P632" t="str">
        <f t="shared" si="51"/>
        <v/>
      </c>
      <c r="Q632" t="str">
        <f t="shared" si="52"/>
        <v/>
      </c>
      <c r="R632" t="str">
        <f t="shared" si="53"/>
        <v/>
      </c>
      <c r="S632" t="str">
        <f t="shared" si="54"/>
        <v/>
      </c>
      <c r="T632" s="24" t="str">
        <f t="shared" si="55"/>
        <v/>
      </c>
    </row>
    <row r="633" spans="2:20" x14ac:dyDescent="0.4">
      <c r="B633" s="49" t="str" cm="1">
        <f t="array" ref="B633">IFERROR((INDEX($P$4:$T$1000,MATCH(VALUE(LEFT($A633,LEN($A633)-1)),$A$4:$A$1000,0),VALUE(RIGHT($A633,1)))/ INDEX($O$4:$O$1000,MATCH(VALUE(LEFT($A633,LEN($A633)-1)),$A$4:$A$1000))) * INDEX($B$4:$B$1000,MATCH(VALUE(LEFT($A633,LEN($A633)-1)),$A$4:$A$1000)),"")</f>
        <v/>
      </c>
      <c r="C633" s="2" t="str" cm="1">
        <f t="array" ref="C633">IFERROR(IF(INDEX($D$4:$H$1000,MATCH(VALUE(LEFT($A633,LEN($A633)-1)),$A$4:$A$1000,0),VALUE(RIGHT($A633,1)))= 0,"",INDEX($D$4:$H$1000,MATCH(VALUE(LEFT($A633,LEN($A633)-1)),$A$4:$A$1000,0),VALUE(RIGHT($A633,1)))),"")</f>
        <v/>
      </c>
      <c r="D633" s="23" t="str">
        <f>IFERROR(IF(INDEX(使用レシピ!F:F,MATCH(テンプレート!$C633,使用レシピ!$E:$E,0))&lt;&gt;0,INDEX(使用レシピ!F:F,MATCH(テンプレート!$C633,使用レシピ!$E:$E,0)),""),"")</f>
        <v/>
      </c>
      <c r="E633" t="str">
        <f>IFERROR(IF(INDEX(使用レシピ!G:G,MATCH(テンプレート!$C633,使用レシピ!$E:$E,0))&lt;&gt;0,INDEX(使用レシピ!G:G,MATCH(テンプレート!$C633,使用レシピ!$E:$E,0)),""),"")</f>
        <v/>
      </c>
      <c r="F633" t="str">
        <f>IFERROR(IF(INDEX(使用レシピ!H:H,MATCH(テンプレート!$C633,使用レシピ!$E:$E,0))&lt;&gt;0,INDEX(使用レシピ!H:H,MATCH(テンプレート!$C633,使用レシピ!$E:$E,0)),""),"")</f>
        <v/>
      </c>
      <c r="G633" t="str">
        <f>IFERROR(IF(INDEX(使用レシピ!I:I,MATCH(テンプレート!$C633,使用レシピ!$E:$E,0))&lt;&gt;0,INDEX(使用レシピ!I:I,MATCH(テンプレート!$C633,使用レシピ!$E:$E,0)),""),"")</f>
        <v/>
      </c>
      <c r="H633" s="24" t="str">
        <f>IFERROR(IF(INDEX(使用レシピ!J:J,MATCH(テンプレート!$C633,使用レシピ!$E:$E,0))&lt;&gt;0,INDEX(使用レシピ!J:J,MATCH(テンプレート!$C633,使用レシピ!$E:$E,0)),""),"")</f>
        <v/>
      </c>
      <c r="I633" s="36" t="str">
        <f>IFERROR(IF(INDEX(使用レシピ!P:P,MATCH(テンプレート!$C633,使用レシピ!$E:$E,0))&lt;&gt;0,INDEX(使用レシピ!P:P,MATCH(テンプレート!$C633,使用レシピ!$E:$E,0)),""),"")</f>
        <v/>
      </c>
      <c r="J633" t="str">
        <f>IFERROR(IF(INDEX(使用レシピ!K:K,MATCH(テンプレート!$C633,使用レシピ!$E:$E,0))&lt;&gt;0,INDEX(使用レシピ!K:K,MATCH(テンプレート!$C633,使用レシピ!$E:$E,0)),""),"")</f>
        <v/>
      </c>
      <c r="K633" t="str">
        <f>IFERROR(IF(INDEX(使用レシピ!L:L,MATCH(テンプレート!$C633,使用レシピ!$E:$E,0))&lt;&gt;0,INDEX(使用レシピ!L:L,MATCH(テンプレート!$C633,使用レシピ!$E:$E,0)),""),"")</f>
        <v/>
      </c>
      <c r="L633" t="str">
        <f>IFERROR(IF(INDEX(使用レシピ!M:M,MATCH(テンプレート!$C633,使用レシピ!$E:$E,0))&lt;&gt;0,INDEX(使用レシピ!M:M,MATCH(テンプレート!$C633,使用レシピ!$E:$E,0)),""),"")</f>
        <v/>
      </c>
      <c r="M633" t="str">
        <f>IFERROR(IF(INDEX(使用レシピ!N:N,MATCH(テンプレート!$C633,使用レシピ!$E:$E,0))&lt;&gt;0,INDEX(使用レシピ!N:N,MATCH(テンプレート!$C633,使用レシピ!$E:$E,0)),""),"")</f>
        <v/>
      </c>
      <c r="N633" s="24" t="str">
        <f>IFERROR(IF(INDEX(使用レシピ!O:O,MATCH(テンプレート!$C633,使用レシピ!$E:$E,0))&lt;&gt;0,INDEX(使用レシピ!O:O,MATCH(テンプレート!$C633,使用レシピ!$E:$E,0)),""),"")</f>
        <v/>
      </c>
      <c r="O633" s="36" t="str">
        <f>IFERROR(IF(INDEX(使用レシピ!P:P,MATCH(テンプレート!$C633,使用レシピ!$E:$E,0))&lt;&gt;0,INDEX(使用レシピ!P:P,MATCH(テンプレート!$C633,使用レシピ!$E:$E,0)),""),"")</f>
        <v/>
      </c>
      <c r="P633" t="str">
        <f t="shared" si="51"/>
        <v/>
      </c>
      <c r="Q633" t="str">
        <f t="shared" si="52"/>
        <v/>
      </c>
      <c r="R633" t="str">
        <f t="shared" si="53"/>
        <v/>
      </c>
      <c r="S633" t="str">
        <f t="shared" si="54"/>
        <v/>
      </c>
      <c r="T633" s="24" t="str">
        <f t="shared" si="55"/>
        <v/>
      </c>
    </row>
    <row r="634" spans="2:20" x14ac:dyDescent="0.4">
      <c r="B634" s="49" t="str" cm="1">
        <f t="array" ref="B634">IFERROR((INDEX($P$4:$T$1000,MATCH(VALUE(LEFT($A634,LEN($A634)-1)),$A$4:$A$1000,0),VALUE(RIGHT($A634,1)))/ INDEX($O$4:$O$1000,MATCH(VALUE(LEFT($A634,LEN($A634)-1)),$A$4:$A$1000))) * INDEX($B$4:$B$1000,MATCH(VALUE(LEFT($A634,LEN($A634)-1)),$A$4:$A$1000)),"")</f>
        <v/>
      </c>
      <c r="C634" s="2" t="str" cm="1">
        <f t="array" ref="C634">IFERROR(IF(INDEX($D$4:$H$1000,MATCH(VALUE(LEFT($A634,LEN($A634)-1)),$A$4:$A$1000,0),VALUE(RIGHT($A634,1)))= 0,"",INDEX($D$4:$H$1000,MATCH(VALUE(LEFT($A634,LEN($A634)-1)),$A$4:$A$1000,0),VALUE(RIGHT($A634,1)))),"")</f>
        <v/>
      </c>
      <c r="D634" s="23" t="str">
        <f>IFERROR(IF(INDEX(使用レシピ!F:F,MATCH(テンプレート!$C634,使用レシピ!$E:$E,0))&lt;&gt;0,INDEX(使用レシピ!F:F,MATCH(テンプレート!$C634,使用レシピ!$E:$E,0)),""),"")</f>
        <v/>
      </c>
      <c r="E634" t="str">
        <f>IFERROR(IF(INDEX(使用レシピ!G:G,MATCH(テンプレート!$C634,使用レシピ!$E:$E,0))&lt;&gt;0,INDEX(使用レシピ!G:G,MATCH(テンプレート!$C634,使用レシピ!$E:$E,0)),""),"")</f>
        <v/>
      </c>
      <c r="F634" t="str">
        <f>IFERROR(IF(INDEX(使用レシピ!H:H,MATCH(テンプレート!$C634,使用レシピ!$E:$E,0))&lt;&gt;0,INDEX(使用レシピ!H:H,MATCH(テンプレート!$C634,使用レシピ!$E:$E,0)),""),"")</f>
        <v/>
      </c>
      <c r="G634" t="str">
        <f>IFERROR(IF(INDEX(使用レシピ!I:I,MATCH(テンプレート!$C634,使用レシピ!$E:$E,0))&lt;&gt;0,INDEX(使用レシピ!I:I,MATCH(テンプレート!$C634,使用レシピ!$E:$E,0)),""),"")</f>
        <v/>
      </c>
      <c r="H634" s="24" t="str">
        <f>IFERROR(IF(INDEX(使用レシピ!J:J,MATCH(テンプレート!$C634,使用レシピ!$E:$E,0))&lt;&gt;0,INDEX(使用レシピ!J:J,MATCH(テンプレート!$C634,使用レシピ!$E:$E,0)),""),"")</f>
        <v/>
      </c>
      <c r="I634" s="36" t="str">
        <f>IFERROR(IF(INDEX(使用レシピ!P:P,MATCH(テンプレート!$C634,使用レシピ!$E:$E,0))&lt;&gt;0,INDEX(使用レシピ!P:P,MATCH(テンプレート!$C634,使用レシピ!$E:$E,0)),""),"")</f>
        <v/>
      </c>
      <c r="J634" t="str">
        <f>IFERROR(IF(INDEX(使用レシピ!K:K,MATCH(テンプレート!$C634,使用レシピ!$E:$E,0))&lt;&gt;0,INDEX(使用レシピ!K:K,MATCH(テンプレート!$C634,使用レシピ!$E:$E,0)),""),"")</f>
        <v/>
      </c>
      <c r="K634" t="str">
        <f>IFERROR(IF(INDEX(使用レシピ!L:L,MATCH(テンプレート!$C634,使用レシピ!$E:$E,0))&lt;&gt;0,INDEX(使用レシピ!L:L,MATCH(テンプレート!$C634,使用レシピ!$E:$E,0)),""),"")</f>
        <v/>
      </c>
      <c r="L634" t="str">
        <f>IFERROR(IF(INDEX(使用レシピ!M:M,MATCH(テンプレート!$C634,使用レシピ!$E:$E,0))&lt;&gt;0,INDEX(使用レシピ!M:M,MATCH(テンプレート!$C634,使用レシピ!$E:$E,0)),""),"")</f>
        <v/>
      </c>
      <c r="M634" t="str">
        <f>IFERROR(IF(INDEX(使用レシピ!N:N,MATCH(テンプレート!$C634,使用レシピ!$E:$E,0))&lt;&gt;0,INDEX(使用レシピ!N:N,MATCH(テンプレート!$C634,使用レシピ!$E:$E,0)),""),"")</f>
        <v/>
      </c>
      <c r="N634" s="24" t="str">
        <f>IFERROR(IF(INDEX(使用レシピ!O:O,MATCH(テンプレート!$C634,使用レシピ!$E:$E,0))&lt;&gt;0,INDEX(使用レシピ!O:O,MATCH(テンプレート!$C634,使用レシピ!$E:$E,0)),""),"")</f>
        <v/>
      </c>
      <c r="O634" s="36" t="str">
        <f>IFERROR(IF(INDEX(使用レシピ!P:P,MATCH(テンプレート!$C634,使用レシピ!$E:$E,0))&lt;&gt;0,INDEX(使用レシピ!P:P,MATCH(テンプレート!$C634,使用レシピ!$E:$E,0)),""),"")</f>
        <v/>
      </c>
      <c r="P634" t="str">
        <f t="shared" si="51"/>
        <v/>
      </c>
      <c r="Q634" t="str">
        <f t="shared" si="52"/>
        <v/>
      </c>
      <c r="R634" t="str">
        <f t="shared" si="53"/>
        <v/>
      </c>
      <c r="S634" t="str">
        <f t="shared" si="54"/>
        <v/>
      </c>
      <c r="T634" s="24" t="str">
        <f t="shared" si="55"/>
        <v/>
      </c>
    </row>
    <row r="635" spans="2:20" x14ac:dyDescent="0.4">
      <c r="B635" s="49" t="str" cm="1">
        <f t="array" ref="B635">IFERROR((INDEX($P$4:$T$1000,MATCH(VALUE(LEFT($A635,LEN($A635)-1)),$A$4:$A$1000,0),VALUE(RIGHT($A635,1)))/ INDEX($O$4:$O$1000,MATCH(VALUE(LEFT($A635,LEN($A635)-1)),$A$4:$A$1000))) * INDEX($B$4:$B$1000,MATCH(VALUE(LEFT($A635,LEN($A635)-1)),$A$4:$A$1000)),"")</f>
        <v/>
      </c>
      <c r="C635" s="2" t="str" cm="1">
        <f t="array" ref="C635">IFERROR(IF(INDEX($D$4:$H$1000,MATCH(VALUE(LEFT($A635,LEN($A635)-1)),$A$4:$A$1000,0),VALUE(RIGHT($A635,1)))= 0,"",INDEX($D$4:$H$1000,MATCH(VALUE(LEFT($A635,LEN($A635)-1)),$A$4:$A$1000,0),VALUE(RIGHT($A635,1)))),"")</f>
        <v/>
      </c>
      <c r="D635" s="23" t="str">
        <f>IFERROR(IF(INDEX(使用レシピ!F:F,MATCH(テンプレート!$C635,使用レシピ!$E:$E,0))&lt;&gt;0,INDEX(使用レシピ!F:F,MATCH(テンプレート!$C635,使用レシピ!$E:$E,0)),""),"")</f>
        <v/>
      </c>
      <c r="E635" t="str">
        <f>IFERROR(IF(INDEX(使用レシピ!G:G,MATCH(テンプレート!$C635,使用レシピ!$E:$E,0))&lt;&gt;0,INDEX(使用レシピ!G:G,MATCH(テンプレート!$C635,使用レシピ!$E:$E,0)),""),"")</f>
        <v/>
      </c>
      <c r="F635" t="str">
        <f>IFERROR(IF(INDEX(使用レシピ!H:H,MATCH(テンプレート!$C635,使用レシピ!$E:$E,0))&lt;&gt;0,INDEX(使用レシピ!H:H,MATCH(テンプレート!$C635,使用レシピ!$E:$E,0)),""),"")</f>
        <v/>
      </c>
      <c r="G635" t="str">
        <f>IFERROR(IF(INDEX(使用レシピ!I:I,MATCH(テンプレート!$C635,使用レシピ!$E:$E,0))&lt;&gt;0,INDEX(使用レシピ!I:I,MATCH(テンプレート!$C635,使用レシピ!$E:$E,0)),""),"")</f>
        <v/>
      </c>
      <c r="H635" s="24" t="str">
        <f>IFERROR(IF(INDEX(使用レシピ!J:J,MATCH(テンプレート!$C635,使用レシピ!$E:$E,0))&lt;&gt;0,INDEX(使用レシピ!J:J,MATCH(テンプレート!$C635,使用レシピ!$E:$E,0)),""),"")</f>
        <v/>
      </c>
      <c r="I635" s="36" t="str">
        <f>IFERROR(IF(INDEX(使用レシピ!P:P,MATCH(テンプレート!$C635,使用レシピ!$E:$E,0))&lt;&gt;0,INDEX(使用レシピ!P:P,MATCH(テンプレート!$C635,使用レシピ!$E:$E,0)),""),"")</f>
        <v/>
      </c>
      <c r="J635" t="str">
        <f>IFERROR(IF(INDEX(使用レシピ!K:K,MATCH(テンプレート!$C635,使用レシピ!$E:$E,0))&lt;&gt;0,INDEX(使用レシピ!K:K,MATCH(テンプレート!$C635,使用レシピ!$E:$E,0)),""),"")</f>
        <v/>
      </c>
      <c r="K635" t="str">
        <f>IFERROR(IF(INDEX(使用レシピ!L:L,MATCH(テンプレート!$C635,使用レシピ!$E:$E,0))&lt;&gt;0,INDEX(使用レシピ!L:L,MATCH(テンプレート!$C635,使用レシピ!$E:$E,0)),""),"")</f>
        <v/>
      </c>
      <c r="L635" t="str">
        <f>IFERROR(IF(INDEX(使用レシピ!M:M,MATCH(テンプレート!$C635,使用レシピ!$E:$E,0))&lt;&gt;0,INDEX(使用レシピ!M:M,MATCH(テンプレート!$C635,使用レシピ!$E:$E,0)),""),"")</f>
        <v/>
      </c>
      <c r="M635" t="str">
        <f>IFERROR(IF(INDEX(使用レシピ!N:N,MATCH(テンプレート!$C635,使用レシピ!$E:$E,0))&lt;&gt;0,INDEX(使用レシピ!N:N,MATCH(テンプレート!$C635,使用レシピ!$E:$E,0)),""),"")</f>
        <v/>
      </c>
      <c r="N635" s="24" t="str">
        <f>IFERROR(IF(INDEX(使用レシピ!O:O,MATCH(テンプレート!$C635,使用レシピ!$E:$E,0))&lt;&gt;0,INDEX(使用レシピ!O:O,MATCH(テンプレート!$C635,使用レシピ!$E:$E,0)),""),"")</f>
        <v/>
      </c>
      <c r="O635" s="36" t="str">
        <f>IFERROR(IF(INDEX(使用レシピ!P:P,MATCH(テンプレート!$C635,使用レシピ!$E:$E,0))&lt;&gt;0,INDEX(使用レシピ!P:P,MATCH(テンプレート!$C635,使用レシピ!$E:$E,0)),""),"")</f>
        <v/>
      </c>
      <c r="P635" t="str">
        <f t="shared" si="51"/>
        <v/>
      </c>
      <c r="Q635" t="str">
        <f t="shared" si="52"/>
        <v/>
      </c>
      <c r="R635" t="str">
        <f t="shared" si="53"/>
        <v/>
      </c>
      <c r="S635" t="str">
        <f t="shared" si="54"/>
        <v/>
      </c>
      <c r="T635" s="24" t="str">
        <f t="shared" si="55"/>
        <v/>
      </c>
    </row>
    <row r="636" spans="2:20" x14ac:dyDescent="0.4">
      <c r="B636" s="49" t="str" cm="1">
        <f t="array" ref="B636">IFERROR((INDEX($P$4:$T$1000,MATCH(VALUE(LEFT($A636,LEN($A636)-1)),$A$4:$A$1000,0),VALUE(RIGHT($A636,1)))/ INDEX($O$4:$O$1000,MATCH(VALUE(LEFT($A636,LEN($A636)-1)),$A$4:$A$1000))) * INDEX($B$4:$B$1000,MATCH(VALUE(LEFT($A636,LEN($A636)-1)),$A$4:$A$1000)),"")</f>
        <v/>
      </c>
      <c r="C636" s="2" t="str" cm="1">
        <f t="array" ref="C636">IFERROR(IF(INDEX($D$4:$H$1000,MATCH(VALUE(LEFT($A636,LEN($A636)-1)),$A$4:$A$1000,0),VALUE(RIGHT($A636,1)))= 0,"",INDEX($D$4:$H$1000,MATCH(VALUE(LEFT($A636,LEN($A636)-1)),$A$4:$A$1000,0),VALUE(RIGHT($A636,1)))),"")</f>
        <v/>
      </c>
      <c r="D636" s="23" t="str">
        <f>IFERROR(IF(INDEX(使用レシピ!F:F,MATCH(テンプレート!$C636,使用レシピ!$E:$E,0))&lt;&gt;0,INDEX(使用レシピ!F:F,MATCH(テンプレート!$C636,使用レシピ!$E:$E,0)),""),"")</f>
        <v/>
      </c>
      <c r="E636" t="str">
        <f>IFERROR(IF(INDEX(使用レシピ!G:G,MATCH(テンプレート!$C636,使用レシピ!$E:$E,0))&lt;&gt;0,INDEX(使用レシピ!G:G,MATCH(テンプレート!$C636,使用レシピ!$E:$E,0)),""),"")</f>
        <v/>
      </c>
      <c r="F636" t="str">
        <f>IFERROR(IF(INDEX(使用レシピ!H:H,MATCH(テンプレート!$C636,使用レシピ!$E:$E,0))&lt;&gt;0,INDEX(使用レシピ!H:H,MATCH(テンプレート!$C636,使用レシピ!$E:$E,0)),""),"")</f>
        <v/>
      </c>
      <c r="G636" t="str">
        <f>IFERROR(IF(INDEX(使用レシピ!I:I,MATCH(テンプレート!$C636,使用レシピ!$E:$E,0))&lt;&gt;0,INDEX(使用レシピ!I:I,MATCH(テンプレート!$C636,使用レシピ!$E:$E,0)),""),"")</f>
        <v/>
      </c>
      <c r="H636" s="24" t="str">
        <f>IFERROR(IF(INDEX(使用レシピ!J:J,MATCH(テンプレート!$C636,使用レシピ!$E:$E,0))&lt;&gt;0,INDEX(使用レシピ!J:J,MATCH(テンプレート!$C636,使用レシピ!$E:$E,0)),""),"")</f>
        <v/>
      </c>
      <c r="I636" s="36" t="str">
        <f>IFERROR(IF(INDEX(使用レシピ!P:P,MATCH(テンプレート!$C636,使用レシピ!$E:$E,0))&lt;&gt;0,INDEX(使用レシピ!P:P,MATCH(テンプレート!$C636,使用レシピ!$E:$E,0)),""),"")</f>
        <v/>
      </c>
      <c r="J636" t="str">
        <f>IFERROR(IF(INDEX(使用レシピ!K:K,MATCH(テンプレート!$C636,使用レシピ!$E:$E,0))&lt;&gt;0,INDEX(使用レシピ!K:K,MATCH(テンプレート!$C636,使用レシピ!$E:$E,0)),""),"")</f>
        <v/>
      </c>
      <c r="K636" t="str">
        <f>IFERROR(IF(INDEX(使用レシピ!L:L,MATCH(テンプレート!$C636,使用レシピ!$E:$E,0))&lt;&gt;0,INDEX(使用レシピ!L:L,MATCH(テンプレート!$C636,使用レシピ!$E:$E,0)),""),"")</f>
        <v/>
      </c>
      <c r="L636" t="str">
        <f>IFERROR(IF(INDEX(使用レシピ!M:M,MATCH(テンプレート!$C636,使用レシピ!$E:$E,0))&lt;&gt;0,INDEX(使用レシピ!M:M,MATCH(テンプレート!$C636,使用レシピ!$E:$E,0)),""),"")</f>
        <v/>
      </c>
      <c r="M636" t="str">
        <f>IFERROR(IF(INDEX(使用レシピ!N:N,MATCH(テンプレート!$C636,使用レシピ!$E:$E,0))&lt;&gt;0,INDEX(使用レシピ!N:N,MATCH(テンプレート!$C636,使用レシピ!$E:$E,0)),""),"")</f>
        <v/>
      </c>
      <c r="N636" s="24" t="str">
        <f>IFERROR(IF(INDEX(使用レシピ!O:O,MATCH(テンプレート!$C636,使用レシピ!$E:$E,0))&lt;&gt;0,INDEX(使用レシピ!O:O,MATCH(テンプレート!$C636,使用レシピ!$E:$E,0)),""),"")</f>
        <v/>
      </c>
      <c r="O636" s="36" t="str">
        <f>IFERROR(IF(INDEX(使用レシピ!P:P,MATCH(テンプレート!$C636,使用レシピ!$E:$E,0))&lt;&gt;0,INDEX(使用レシピ!P:P,MATCH(テンプレート!$C636,使用レシピ!$E:$E,0)),""),"")</f>
        <v/>
      </c>
      <c r="P636" t="str">
        <f t="shared" si="51"/>
        <v/>
      </c>
      <c r="Q636" t="str">
        <f t="shared" si="52"/>
        <v/>
      </c>
      <c r="R636" t="str">
        <f t="shared" si="53"/>
        <v/>
      </c>
      <c r="S636" t="str">
        <f t="shared" si="54"/>
        <v/>
      </c>
      <c r="T636" s="24" t="str">
        <f t="shared" si="55"/>
        <v/>
      </c>
    </row>
    <row r="637" spans="2:20" x14ac:dyDescent="0.4">
      <c r="B637" s="49" t="str" cm="1">
        <f t="array" ref="B637">IFERROR((INDEX($P$4:$T$1000,MATCH(VALUE(LEFT($A637,LEN($A637)-1)),$A$4:$A$1000,0),VALUE(RIGHT($A637,1)))/ INDEX($O$4:$O$1000,MATCH(VALUE(LEFT($A637,LEN($A637)-1)),$A$4:$A$1000))) * INDEX($B$4:$B$1000,MATCH(VALUE(LEFT($A637,LEN($A637)-1)),$A$4:$A$1000)),"")</f>
        <v/>
      </c>
      <c r="C637" s="2" t="str" cm="1">
        <f t="array" ref="C637">IFERROR(IF(INDEX($D$4:$H$1000,MATCH(VALUE(LEFT($A637,LEN($A637)-1)),$A$4:$A$1000,0),VALUE(RIGHT($A637,1)))= 0,"",INDEX($D$4:$H$1000,MATCH(VALUE(LEFT($A637,LEN($A637)-1)),$A$4:$A$1000,0),VALUE(RIGHT($A637,1)))),"")</f>
        <v/>
      </c>
      <c r="D637" s="23" t="str">
        <f>IFERROR(IF(INDEX(使用レシピ!F:F,MATCH(テンプレート!$C637,使用レシピ!$E:$E,0))&lt;&gt;0,INDEX(使用レシピ!F:F,MATCH(テンプレート!$C637,使用レシピ!$E:$E,0)),""),"")</f>
        <v/>
      </c>
      <c r="E637" t="str">
        <f>IFERROR(IF(INDEX(使用レシピ!G:G,MATCH(テンプレート!$C637,使用レシピ!$E:$E,0))&lt;&gt;0,INDEX(使用レシピ!G:G,MATCH(テンプレート!$C637,使用レシピ!$E:$E,0)),""),"")</f>
        <v/>
      </c>
      <c r="F637" t="str">
        <f>IFERROR(IF(INDEX(使用レシピ!H:H,MATCH(テンプレート!$C637,使用レシピ!$E:$E,0))&lt;&gt;0,INDEX(使用レシピ!H:H,MATCH(テンプレート!$C637,使用レシピ!$E:$E,0)),""),"")</f>
        <v/>
      </c>
      <c r="G637" t="str">
        <f>IFERROR(IF(INDEX(使用レシピ!I:I,MATCH(テンプレート!$C637,使用レシピ!$E:$E,0))&lt;&gt;0,INDEX(使用レシピ!I:I,MATCH(テンプレート!$C637,使用レシピ!$E:$E,0)),""),"")</f>
        <v/>
      </c>
      <c r="H637" s="24" t="str">
        <f>IFERROR(IF(INDEX(使用レシピ!J:J,MATCH(テンプレート!$C637,使用レシピ!$E:$E,0))&lt;&gt;0,INDEX(使用レシピ!J:J,MATCH(テンプレート!$C637,使用レシピ!$E:$E,0)),""),"")</f>
        <v/>
      </c>
      <c r="I637" s="36" t="str">
        <f>IFERROR(IF(INDEX(使用レシピ!P:P,MATCH(テンプレート!$C637,使用レシピ!$E:$E,0))&lt;&gt;0,INDEX(使用レシピ!P:P,MATCH(テンプレート!$C637,使用レシピ!$E:$E,0)),""),"")</f>
        <v/>
      </c>
      <c r="J637" t="str">
        <f>IFERROR(IF(INDEX(使用レシピ!K:K,MATCH(テンプレート!$C637,使用レシピ!$E:$E,0))&lt;&gt;0,INDEX(使用レシピ!K:K,MATCH(テンプレート!$C637,使用レシピ!$E:$E,0)),""),"")</f>
        <v/>
      </c>
      <c r="K637" t="str">
        <f>IFERROR(IF(INDEX(使用レシピ!L:L,MATCH(テンプレート!$C637,使用レシピ!$E:$E,0))&lt;&gt;0,INDEX(使用レシピ!L:L,MATCH(テンプレート!$C637,使用レシピ!$E:$E,0)),""),"")</f>
        <v/>
      </c>
      <c r="L637" t="str">
        <f>IFERROR(IF(INDEX(使用レシピ!M:M,MATCH(テンプレート!$C637,使用レシピ!$E:$E,0))&lt;&gt;0,INDEX(使用レシピ!M:M,MATCH(テンプレート!$C637,使用レシピ!$E:$E,0)),""),"")</f>
        <v/>
      </c>
      <c r="M637" t="str">
        <f>IFERROR(IF(INDEX(使用レシピ!N:N,MATCH(テンプレート!$C637,使用レシピ!$E:$E,0))&lt;&gt;0,INDEX(使用レシピ!N:N,MATCH(テンプレート!$C637,使用レシピ!$E:$E,0)),""),"")</f>
        <v/>
      </c>
      <c r="N637" s="24" t="str">
        <f>IFERROR(IF(INDEX(使用レシピ!O:O,MATCH(テンプレート!$C637,使用レシピ!$E:$E,0))&lt;&gt;0,INDEX(使用レシピ!O:O,MATCH(テンプレート!$C637,使用レシピ!$E:$E,0)),""),"")</f>
        <v/>
      </c>
      <c r="O637" s="36" t="str">
        <f>IFERROR(IF(INDEX(使用レシピ!P:P,MATCH(テンプレート!$C637,使用レシピ!$E:$E,0))&lt;&gt;0,INDEX(使用レシピ!P:P,MATCH(テンプレート!$C637,使用レシピ!$E:$E,0)),""),"")</f>
        <v/>
      </c>
      <c r="P637" t="str">
        <f t="shared" si="51"/>
        <v/>
      </c>
      <c r="Q637" t="str">
        <f t="shared" si="52"/>
        <v/>
      </c>
      <c r="R637" t="str">
        <f t="shared" si="53"/>
        <v/>
      </c>
      <c r="S637" t="str">
        <f t="shared" si="54"/>
        <v/>
      </c>
      <c r="T637" s="24" t="str">
        <f t="shared" si="55"/>
        <v/>
      </c>
    </row>
    <row r="638" spans="2:20" x14ac:dyDescent="0.4">
      <c r="B638" s="49" t="str" cm="1">
        <f t="array" ref="B638">IFERROR((INDEX($P$4:$T$1000,MATCH(VALUE(LEFT($A638,LEN($A638)-1)),$A$4:$A$1000,0),VALUE(RIGHT($A638,1)))/ INDEX($O$4:$O$1000,MATCH(VALUE(LEFT($A638,LEN($A638)-1)),$A$4:$A$1000))) * INDEX($B$4:$B$1000,MATCH(VALUE(LEFT($A638,LEN($A638)-1)),$A$4:$A$1000)),"")</f>
        <v/>
      </c>
      <c r="C638" s="2" t="str" cm="1">
        <f t="array" ref="C638">IFERROR(IF(INDEX($D$4:$H$1000,MATCH(VALUE(LEFT($A638,LEN($A638)-1)),$A$4:$A$1000,0),VALUE(RIGHT($A638,1)))= 0,"",INDEX($D$4:$H$1000,MATCH(VALUE(LEFT($A638,LEN($A638)-1)),$A$4:$A$1000,0),VALUE(RIGHT($A638,1)))),"")</f>
        <v/>
      </c>
      <c r="D638" s="23" t="str">
        <f>IFERROR(IF(INDEX(使用レシピ!F:F,MATCH(テンプレート!$C638,使用レシピ!$E:$E,0))&lt;&gt;0,INDEX(使用レシピ!F:F,MATCH(テンプレート!$C638,使用レシピ!$E:$E,0)),""),"")</f>
        <v/>
      </c>
      <c r="E638" t="str">
        <f>IFERROR(IF(INDEX(使用レシピ!G:G,MATCH(テンプレート!$C638,使用レシピ!$E:$E,0))&lt;&gt;0,INDEX(使用レシピ!G:G,MATCH(テンプレート!$C638,使用レシピ!$E:$E,0)),""),"")</f>
        <v/>
      </c>
      <c r="F638" t="str">
        <f>IFERROR(IF(INDEX(使用レシピ!H:H,MATCH(テンプレート!$C638,使用レシピ!$E:$E,0))&lt;&gt;0,INDEX(使用レシピ!H:H,MATCH(テンプレート!$C638,使用レシピ!$E:$E,0)),""),"")</f>
        <v/>
      </c>
      <c r="G638" t="str">
        <f>IFERROR(IF(INDEX(使用レシピ!I:I,MATCH(テンプレート!$C638,使用レシピ!$E:$E,0))&lt;&gt;0,INDEX(使用レシピ!I:I,MATCH(テンプレート!$C638,使用レシピ!$E:$E,0)),""),"")</f>
        <v/>
      </c>
      <c r="H638" s="24" t="str">
        <f>IFERROR(IF(INDEX(使用レシピ!J:J,MATCH(テンプレート!$C638,使用レシピ!$E:$E,0))&lt;&gt;0,INDEX(使用レシピ!J:J,MATCH(テンプレート!$C638,使用レシピ!$E:$E,0)),""),"")</f>
        <v/>
      </c>
      <c r="I638" s="36" t="str">
        <f>IFERROR(IF(INDEX(使用レシピ!P:P,MATCH(テンプレート!$C638,使用レシピ!$E:$E,0))&lt;&gt;0,INDEX(使用レシピ!P:P,MATCH(テンプレート!$C638,使用レシピ!$E:$E,0)),""),"")</f>
        <v/>
      </c>
      <c r="J638" t="str">
        <f>IFERROR(IF(INDEX(使用レシピ!K:K,MATCH(テンプレート!$C638,使用レシピ!$E:$E,0))&lt;&gt;0,INDEX(使用レシピ!K:K,MATCH(テンプレート!$C638,使用レシピ!$E:$E,0)),""),"")</f>
        <v/>
      </c>
      <c r="K638" t="str">
        <f>IFERROR(IF(INDEX(使用レシピ!L:L,MATCH(テンプレート!$C638,使用レシピ!$E:$E,0))&lt;&gt;0,INDEX(使用レシピ!L:L,MATCH(テンプレート!$C638,使用レシピ!$E:$E,0)),""),"")</f>
        <v/>
      </c>
      <c r="L638" t="str">
        <f>IFERROR(IF(INDEX(使用レシピ!M:M,MATCH(テンプレート!$C638,使用レシピ!$E:$E,0))&lt;&gt;0,INDEX(使用レシピ!M:M,MATCH(テンプレート!$C638,使用レシピ!$E:$E,0)),""),"")</f>
        <v/>
      </c>
      <c r="M638" t="str">
        <f>IFERROR(IF(INDEX(使用レシピ!N:N,MATCH(テンプレート!$C638,使用レシピ!$E:$E,0))&lt;&gt;0,INDEX(使用レシピ!N:N,MATCH(テンプレート!$C638,使用レシピ!$E:$E,0)),""),"")</f>
        <v/>
      </c>
      <c r="N638" s="24" t="str">
        <f>IFERROR(IF(INDEX(使用レシピ!O:O,MATCH(テンプレート!$C638,使用レシピ!$E:$E,0))&lt;&gt;0,INDEX(使用レシピ!O:O,MATCH(テンプレート!$C638,使用レシピ!$E:$E,0)),""),"")</f>
        <v/>
      </c>
      <c r="O638" s="36" t="str">
        <f>IFERROR(IF(INDEX(使用レシピ!P:P,MATCH(テンプレート!$C638,使用レシピ!$E:$E,0))&lt;&gt;0,INDEX(使用レシピ!P:P,MATCH(テンプレート!$C638,使用レシピ!$E:$E,0)),""),"")</f>
        <v/>
      </c>
      <c r="P638" t="str">
        <f t="shared" si="51"/>
        <v/>
      </c>
      <c r="Q638" t="str">
        <f t="shared" si="52"/>
        <v/>
      </c>
      <c r="R638" t="str">
        <f t="shared" si="53"/>
        <v/>
      </c>
      <c r="S638" t="str">
        <f t="shared" si="54"/>
        <v/>
      </c>
      <c r="T638" s="24" t="str">
        <f t="shared" si="55"/>
        <v/>
      </c>
    </row>
    <row r="639" spans="2:20" x14ac:dyDescent="0.4">
      <c r="B639" s="49" t="str" cm="1">
        <f t="array" ref="B639">IFERROR((INDEX($P$4:$T$1000,MATCH(VALUE(LEFT($A639,LEN($A639)-1)),$A$4:$A$1000,0),VALUE(RIGHT($A639,1)))/ INDEX($O$4:$O$1000,MATCH(VALUE(LEFT($A639,LEN($A639)-1)),$A$4:$A$1000))) * INDEX($B$4:$B$1000,MATCH(VALUE(LEFT($A639,LEN($A639)-1)),$A$4:$A$1000)),"")</f>
        <v/>
      </c>
      <c r="C639" s="2" t="str" cm="1">
        <f t="array" ref="C639">IFERROR(IF(INDEX($D$4:$H$1000,MATCH(VALUE(LEFT($A639,LEN($A639)-1)),$A$4:$A$1000,0),VALUE(RIGHT($A639,1)))= 0,"",INDEX($D$4:$H$1000,MATCH(VALUE(LEFT($A639,LEN($A639)-1)),$A$4:$A$1000,0),VALUE(RIGHT($A639,1)))),"")</f>
        <v/>
      </c>
      <c r="D639" s="23" t="str">
        <f>IFERROR(IF(INDEX(使用レシピ!F:F,MATCH(テンプレート!$C639,使用レシピ!$E:$E,0))&lt;&gt;0,INDEX(使用レシピ!F:F,MATCH(テンプレート!$C639,使用レシピ!$E:$E,0)),""),"")</f>
        <v/>
      </c>
      <c r="E639" t="str">
        <f>IFERROR(IF(INDEX(使用レシピ!G:G,MATCH(テンプレート!$C639,使用レシピ!$E:$E,0))&lt;&gt;0,INDEX(使用レシピ!G:G,MATCH(テンプレート!$C639,使用レシピ!$E:$E,0)),""),"")</f>
        <v/>
      </c>
      <c r="F639" t="str">
        <f>IFERROR(IF(INDEX(使用レシピ!H:H,MATCH(テンプレート!$C639,使用レシピ!$E:$E,0))&lt;&gt;0,INDEX(使用レシピ!H:H,MATCH(テンプレート!$C639,使用レシピ!$E:$E,0)),""),"")</f>
        <v/>
      </c>
      <c r="G639" t="str">
        <f>IFERROR(IF(INDEX(使用レシピ!I:I,MATCH(テンプレート!$C639,使用レシピ!$E:$E,0))&lt;&gt;0,INDEX(使用レシピ!I:I,MATCH(テンプレート!$C639,使用レシピ!$E:$E,0)),""),"")</f>
        <v/>
      </c>
      <c r="H639" s="24" t="str">
        <f>IFERROR(IF(INDEX(使用レシピ!J:J,MATCH(テンプレート!$C639,使用レシピ!$E:$E,0))&lt;&gt;0,INDEX(使用レシピ!J:J,MATCH(テンプレート!$C639,使用レシピ!$E:$E,0)),""),"")</f>
        <v/>
      </c>
      <c r="I639" s="36" t="str">
        <f>IFERROR(IF(INDEX(使用レシピ!P:P,MATCH(テンプレート!$C639,使用レシピ!$E:$E,0))&lt;&gt;0,INDEX(使用レシピ!P:P,MATCH(テンプレート!$C639,使用レシピ!$E:$E,0)),""),"")</f>
        <v/>
      </c>
      <c r="J639" t="str">
        <f>IFERROR(IF(INDEX(使用レシピ!K:K,MATCH(テンプレート!$C639,使用レシピ!$E:$E,0))&lt;&gt;0,INDEX(使用レシピ!K:K,MATCH(テンプレート!$C639,使用レシピ!$E:$E,0)),""),"")</f>
        <v/>
      </c>
      <c r="K639" t="str">
        <f>IFERROR(IF(INDEX(使用レシピ!L:L,MATCH(テンプレート!$C639,使用レシピ!$E:$E,0))&lt;&gt;0,INDEX(使用レシピ!L:L,MATCH(テンプレート!$C639,使用レシピ!$E:$E,0)),""),"")</f>
        <v/>
      </c>
      <c r="L639" t="str">
        <f>IFERROR(IF(INDEX(使用レシピ!M:M,MATCH(テンプレート!$C639,使用レシピ!$E:$E,0))&lt;&gt;0,INDEX(使用レシピ!M:M,MATCH(テンプレート!$C639,使用レシピ!$E:$E,0)),""),"")</f>
        <v/>
      </c>
      <c r="M639" t="str">
        <f>IFERROR(IF(INDEX(使用レシピ!N:N,MATCH(テンプレート!$C639,使用レシピ!$E:$E,0))&lt;&gt;0,INDEX(使用レシピ!N:N,MATCH(テンプレート!$C639,使用レシピ!$E:$E,0)),""),"")</f>
        <v/>
      </c>
      <c r="N639" s="24" t="str">
        <f>IFERROR(IF(INDEX(使用レシピ!O:O,MATCH(テンプレート!$C639,使用レシピ!$E:$E,0))&lt;&gt;0,INDEX(使用レシピ!O:O,MATCH(テンプレート!$C639,使用レシピ!$E:$E,0)),""),"")</f>
        <v/>
      </c>
      <c r="O639" s="36" t="str">
        <f>IFERROR(IF(INDEX(使用レシピ!P:P,MATCH(テンプレート!$C639,使用レシピ!$E:$E,0))&lt;&gt;0,INDEX(使用レシピ!P:P,MATCH(テンプレート!$C639,使用レシピ!$E:$E,0)),""),"")</f>
        <v/>
      </c>
      <c r="P639" t="str">
        <f t="shared" si="51"/>
        <v/>
      </c>
      <c r="Q639" t="str">
        <f t="shared" si="52"/>
        <v/>
      </c>
      <c r="R639" t="str">
        <f t="shared" si="53"/>
        <v/>
      </c>
      <c r="S639" t="str">
        <f t="shared" si="54"/>
        <v/>
      </c>
      <c r="T639" s="24" t="str">
        <f t="shared" si="55"/>
        <v/>
      </c>
    </row>
    <row r="640" spans="2:20" x14ac:dyDescent="0.4">
      <c r="B640" s="49" t="str" cm="1">
        <f t="array" ref="B640">IFERROR((INDEX($P$4:$T$1000,MATCH(VALUE(LEFT($A640,LEN($A640)-1)),$A$4:$A$1000,0),VALUE(RIGHT($A640,1)))/ INDEX($O$4:$O$1000,MATCH(VALUE(LEFT($A640,LEN($A640)-1)),$A$4:$A$1000))) * INDEX($B$4:$B$1000,MATCH(VALUE(LEFT($A640,LEN($A640)-1)),$A$4:$A$1000)),"")</f>
        <v/>
      </c>
      <c r="C640" s="2" t="str" cm="1">
        <f t="array" ref="C640">IFERROR(IF(INDEX($D$4:$H$1000,MATCH(VALUE(LEFT($A640,LEN($A640)-1)),$A$4:$A$1000,0),VALUE(RIGHT($A640,1)))= 0,"",INDEX($D$4:$H$1000,MATCH(VALUE(LEFT($A640,LEN($A640)-1)),$A$4:$A$1000,0),VALUE(RIGHT($A640,1)))),"")</f>
        <v/>
      </c>
      <c r="D640" s="23" t="str">
        <f>IFERROR(IF(INDEX(使用レシピ!F:F,MATCH(テンプレート!$C640,使用レシピ!$E:$E,0))&lt;&gt;0,INDEX(使用レシピ!F:F,MATCH(テンプレート!$C640,使用レシピ!$E:$E,0)),""),"")</f>
        <v/>
      </c>
      <c r="E640" t="str">
        <f>IFERROR(IF(INDEX(使用レシピ!G:G,MATCH(テンプレート!$C640,使用レシピ!$E:$E,0))&lt;&gt;0,INDEX(使用レシピ!G:G,MATCH(テンプレート!$C640,使用レシピ!$E:$E,0)),""),"")</f>
        <v/>
      </c>
      <c r="F640" t="str">
        <f>IFERROR(IF(INDEX(使用レシピ!H:H,MATCH(テンプレート!$C640,使用レシピ!$E:$E,0))&lt;&gt;0,INDEX(使用レシピ!H:H,MATCH(テンプレート!$C640,使用レシピ!$E:$E,0)),""),"")</f>
        <v/>
      </c>
      <c r="G640" t="str">
        <f>IFERROR(IF(INDEX(使用レシピ!I:I,MATCH(テンプレート!$C640,使用レシピ!$E:$E,0))&lt;&gt;0,INDEX(使用レシピ!I:I,MATCH(テンプレート!$C640,使用レシピ!$E:$E,0)),""),"")</f>
        <v/>
      </c>
      <c r="H640" s="24" t="str">
        <f>IFERROR(IF(INDEX(使用レシピ!J:J,MATCH(テンプレート!$C640,使用レシピ!$E:$E,0))&lt;&gt;0,INDEX(使用レシピ!J:J,MATCH(テンプレート!$C640,使用レシピ!$E:$E,0)),""),"")</f>
        <v/>
      </c>
      <c r="I640" s="36" t="str">
        <f>IFERROR(IF(INDEX(使用レシピ!P:P,MATCH(テンプレート!$C640,使用レシピ!$E:$E,0))&lt;&gt;0,INDEX(使用レシピ!P:P,MATCH(テンプレート!$C640,使用レシピ!$E:$E,0)),""),"")</f>
        <v/>
      </c>
      <c r="J640" t="str">
        <f>IFERROR(IF(INDEX(使用レシピ!K:K,MATCH(テンプレート!$C640,使用レシピ!$E:$E,0))&lt;&gt;0,INDEX(使用レシピ!K:K,MATCH(テンプレート!$C640,使用レシピ!$E:$E,0)),""),"")</f>
        <v/>
      </c>
      <c r="K640" t="str">
        <f>IFERROR(IF(INDEX(使用レシピ!L:L,MATCH(テンプレート!$C640,使用レシピ!$E:$E,0))&lt;&gt;0,INDEX(使用レシピ!L:L,MATCH(テンプレート!$C640,使用レシピ!$E:$E,0)),""),"")</f>
        <v/>
      </c>
      <c r="L640" t="str">
        <f>IFERROR(IF(INDEX(使用レシピ!M:M,MATCH(テンプレート!$C640,使用レシピ!$E:$E,0))&lt;&gt;0,INDEX(使用レシピ!M:M,MATCH(テンプレート!$C640,使用レシピ!$E:$E,0)),""),"")</f>
        <v/>
      </c>
      <c r="M640" t="str">
        <f>IFERROR(IF(INDEX(使用レシピ!N:N,MATCH(テンプレート!$C640,使用レシピ!$E:$E,0))&lt;&gt;0,INDEX(使用レシピ!N:N,MATCH(テンプレート!$C640,使用レシピ!$E:$E,0)),""),"")</f>
        <v/>
      </c>
      <c r="N640" s="24" t="str">
        <f>IFERROR(IF(INDEX(使用レシピ!O:O,MATCH(テンプレート!$C640,使用レシピ!$E:$E,0))&lt;&gt;0,INDEX(使用レシピ!O:O,MATCH(テンプレート!$C640,使用レシピ!$E:$E,0)),""),"")</f>
        <v/>
      </c>
      <c r="O640" s="36" t="str">
        <f>IFERROR(IF(INDEX(使用レシピ!P:P,MATCH(テンプレート!$C640,使用レシピ!$E:$E,0))&lt;&gt;0,INDEX(使用レシピ!P:P,MATCH(テンプレート!$C640,使用レシピ!$E:$E,0)),""),"")</f>
        <v/>
      </c>
      <c r="P640" t="str">
        <f t="shared" si="51"/>
        <v/>
      </c>
      <c r="Q640" t="str">
        <f t="shared" si="52"/>
        <v/>
      </c>
      <c r="R640" t="str">
        <f t="shared" si="53"/>
        <v/>
      </c>
      <c r="S640" t="str">
        <f t="shared" si="54"/>
        <v/>
      </c>
      <c r="T640" s="24" t="str">
        <f t="shared" si="55"/>
        <v/>
      </c>
    </row>
    <row r="641" spans="2:20" x14ac:dyDescent="0.4">
      <c r="B641" s="49" t="str" cm="1">
        <f t="array" ref="B641">IFERROR((INDEX($P$4:$T$1000,MATCH(VALUE(LEFT($A641,LEN($A641)-1)),$A$4:$A$1000,0),VALUE(RIGHT($A641,1)))/ INDEX($O$4:$O$1000,MATCH(VALUE(LEFT($A641,LEN($A641)-1)),$A$4:$A$1000))) * INDEX($B$4:$B$1000,MATCH(VALUE(LEFT($A641,LEN($A641)-1)),$A$4:$A$1000)),"")</f>
        <v/>
      </c>
      <c r="C641" s="2" t="str" cm="1">
        <f t="array" ref="C641">IFERROR(IF(INDEX($D$4:$H$1000,MATCH(VALUE(LEFT($A641,LEN($A641)-1)),$A$4:$A$1000,0),VALUE(RIGHT($A641,1)))= 0,"",INDEX($D$4:$H$1000,MATCH(VALUE(LEFT($A641,LEN($A641)-1)),$A$4:$A$1000,0),VALUE(RIGHT($A641,1)))),"")</f>
        <v/>
      </c>
      <c r="D641" s="23" t="str">
        <f>IFERROR(IF(INDEX(使用レシピ!F:F,MATCH(テンプレート!$C641,使用レシピ!$E:$E,0))&lt;&gt;0,INDEX(使用レシピ!F:F,MATCH(テンプレート!$C641,使用レシピ!$E:$E,0)),""),"")</f>
        <v/>
      </c>
      <c r="E641" t="str">
        <f>IFERROR(IF(INDEX(使用レシピ!G:G,MATCH(テンプレート!$C641,使用レシピ!$E:$E,0))&lt;&gt;0,INDEX(使用レシピ!G:G,MATCH(テンプレート!$C641,使用レシピ!$E:$E,0)),""),"")</f>
        <v/>
      </c>
      <c r="F641" t="str">
        <f>IFERROR(IF(INDEX(使用レシピ!H:H,MATCH(テンプレート!$C641,使用レシピ!$E:$E,0))&lt;&gt;0,INDEX(使用レシピ!H:H,MATCH(テンプレート!$C641,使用レシピ!$E:$E,0)),""),"")</f>
        <v/>
      </c>
      <c r="G641" t="str">
        <f>IFERROR(IF(INDEX(使用レシピ!I:I,MATCH(テンプレート!$C641,使用レシピ!$E:$E,0))&lt;&gt;0,INDEX(使用レシピ!I:I,MATCH(テンプレート!$C641,使用レシピ!$E:$E,0)),""),"")</f>
        <v/>
      </c>
      <c r="H641" s="24" t="str">
        <f>IFERROR(IF(INDEX(使用レシピ!J:J,MATCH(テンプレート!$C641,使用レシピ!$E:$E,0))&lt;&gt;0,INDEX(使用レシピ!J:J,MATCH(テンプレート!$C641,使用レシピ!$E:$E,0)),""),"")</f>
        <v/>
      </c>
      <c r="I641" s="36" t="str">
        <f>IFERROR(IF(INDEX(使用レシピ!P:P,MATCH(テンプレート!$C641,使用レシピ!$E:$E,0))&lt;&gt;0,INDEX(使用レシピ!P:P,MATCH(テンプレート!$C641,使用レシピ!$E:$E,0)),""),"")</f>
        <v/>
      </c>
      <c r="J641" t="str">
        <f>IFERROR(IF(INDEX(使用レシピ!K:K,MATCH(テンプレート!$C641,使用レシピ!$E:$E,0))&lt;&gt;0,INDEX(使用レシピ!K:K,MATCH(テンプレート!$C641,使用レシピ!$E:$E,0)),""),"")</f>
        <v/>
      </c>
      <c r="K641" t="str">
        <f>IFERROR(IF(INDEX(使用レシピ!L:L,MATCH(テンプレート!$C641,使用レシピ!$E:$E,0))&lt;&gt;0,INDEX(使用レシピ!L:L,MATCH(テンプレート!$C641,使用レシピ!$E:$E,0)),""),"")</f>
        <v/>
      </c>
      <c r="L641" t="str">
        <f>IFERROR(IF(INDEX(使用レシピ!M:M,MATCH(テンプレート!$C641,使用レシピ!$E:$E,0))&lt;&gt;0,INDEX(使用レシピ!M:M,MATCH(テンプレート!$C641,使用レシピ!$E:$E,0)),""),"")</f>
        <v/>
      </c>
      <c r="M641" t="str">
        <f>IFERROR(IF(INDEX(使用レシピ!N:N,MATCH(テンプレート!$C641,使用レシピ!$E:$E,0))&lt;&gt;0,INDEX(使用レシピ!N:N,MATCH(テンプレート!$C641,使用レシピ!$E:$E,0)),""),"")</f>
        <v/>
      </c>
      <c r="N641" s="24" t="str">
        <f>IFERROR(IF(INDEX(使用レシピ!O:O,MATCH(テンプレート!$C641,使用レシピ!$E:$E,0))&lt;&gt;0,INDEX(使用レシピ!O:O,MATCH(テンプレート!$C641,使用レシピ!$E:$E,0)),""),"")</f>
        <v/>
      </c>
      <c r="O641" s="36" t="str">
        <f>IFERROR(IF(INDEX(使用レシピ!P:P,MATCH(テンプレート!$C641,使用レシピ!$E:$E,0))&lt;&gt;0,INDEX(使用レシピ!P:P,MATCH(テンプレート!$C641,使用レシピ!$E:$E,0)),""),"")</f>
        <v/>
      </c>
      <c r="P641" t="str">
        <f t="shared" si="51"/>
        <v/>
      </c>
      <c r="Q641" t="str">
        <f t="shared" si="52"/>
        <v/>
      </c>
      <c r="R641" t="str">
        <f t="shared" si="53"/>
        <v/>
      </c>
      <c r="S641" t="str">
        <f t="shared" si="54"/>
        <v/>
      </c>
      <c r="T641" s="24" t="str">
        <f t="shared" si="55"/>
        <v/>
      </c>
    </row>
    <row r="642" spans="2:20" x14ac:dyDescent="0.4">
      <c r="B642" s="49" t="str" cm="1">
        <f t="array" ref="B642">IFERROR((INDEX($P$4:$T$1000,MATCH(VALUE(LEFT($A642,LEN($A642)-1)),$A$4:$A$1000,0),VALUE(RIGHT($A642,1)))/ INDEX($O$4:$O$1000,MATCH(VALUE(LEFT($A642,LEN($A642)-1)),$A$4:$A$1000))) * INDEX($B$4:$B$1000,MATCH(VALUE(LEFT($A642,LEN($A642)-1)),$A$4:$A$1000)),"")</f>
        <v/>
      </c>
      <c r="C642" s="2" t="str" cm="1">
        <f t="array" ref="C642">IFERROR(IF(INDEX($D$4:$H$1000,MATCH(VALUE(LEFT($A642,LEN($A642)-1)),$A$4:$A$1000,0),VALUE(RIGHT($A642,1)))= 0,"",INDEX($D$4:$H$1000,MATCH(VALUE(LEFT($A642,LEN($A642)-1)),$A$4:$A$1000,0),VALUE(RIGHT($A642,1)))),"")</f>
        <v/>
      </c>
      <c r="D642" s="23" t="str">
        <f>IFERROR(IF(INDEX(使用レシピ!F:F,MATCH(テンプレート!$C642,使用レシピ!$E:$E,0))&lt;&gt;0,INDEX(使用レシピ!F:F,MATCH(テンプレート!$C642,使用レシピ!$E:$E,0)),""),"")</f>
        <v/>
      </c>
      <c r="E642" t="str">
        <f>IFERROR(IF(INDEX(使用レシピ!G:G,MATCH(テンプレート!$C642,使用レシピ!$E:$E,0))&lt;&gt;0,INDEX(使用レシピ!G:G,MATCH(テンプレート!$C642,使用レシピ!$E:$E,0)),""),"")</f>
        <v/>
      </c>
      <c r="F642" t="str">
        <f>IFERROR(IF(INDEX(使用レシピ!H:H,MATCH(テンプレート!$C642,使用レシピ!$E:$E,0))&lt;&gt;0,INDEX(使用レシピ!H:H,MATCH(テンプレート!$C642,使用レシピ!$E:$E,0)),""),"")</f>
        <v/>
      </c>
      <c r="G642" t="str">
        <f>IFERROR(IF(INDEX(使用レシピ!I:I,MATCH(テンプレート!$C642,使用レシピ!$E:$E,0))&lt;&gt;0,INDEX(使用レシピ!I:I,MATCH(テンプレート!$C642,使用レシピ!$E:$E,0)),""),"")</f>
        <v/>
      </c>
      <c r="H642" s="24" t="str">
        <f>IFERROR(IF(INDEX(使用レシピ!J:J,MATCH(テンプレート!$C642,使用レシピ!$E:$E,0))&lt;&gt;0,INDEX(使用レシピ!J:J,MATCH(テンプレート!$C642,使用レシピ!$E:$E,0)),""),"")</f>
        <v/>
      </c>
      <c r="I642" s="36" t="str">
        <f>IFERROR(IF(INDEX(使用レシピ!P:P,MATCH(テンプレート!$C642,使用レシピ!$E:$E,0))&lt;&gt;0,INDEX(使用レシピ!P:P,MATCH(テンプレート!$C642,使用レシピ!$E:$E,0)),""),"")</f>
        <v/>
      </c>
      <c r="J642" t="str">
        <f>IFERROR(IF(INDEX(使用レシピ!K:K,MATCH(テンプレート!$C642,使用レシピ!$E:$E,0))&lt;&gt;0,INDEX(使用レシピ!K:K,MATCH(テンプレート!$C642,使用レシピ!$E:$E,0)),""),"")</f>
        <v/>
      </c>
      <c r="K642" t="str">
        <f>IFERROR(IF(INDEX(使用レシピ!L:L,MATCH(テンプレート!$C642,使用レシピ!$E:$E,0))&lt;&gt;0,INDEX(使用レシピ!L:L,MATCH(テンプレート!$C642,使用レシピ!$E:$E,0)),""),"")</f>
        <v/>
      </c>
      <c r="L642" t="str">
        <f>IFERROR(IF(INDEX(使用レシピ!M:M,MATCH(テンプレート!$C642,使用レシピ!$E:$E,0))&lt;&gt;0,INDEX(使用レシピ!M:M,MATCH(テンプレート!$C642,使用レシピ!$E:$E,0)),""),"")</f>
        <v/>
      </c>
      <c r="M642" t="str">
        <f>IFERROR(IF(INDEX(使用レシピ!N:N,MATCH(テンプレート!$C642,使用レシピ!$E:$E,0))&lt;&gt;0,INDEX(使用レシピ!N:N,MATCH(テンプレート!$C642,使用レシピ!$E:$E,0)),""),"")</f>
        <v/>
      </c>
      <c r="N642" s="24" t="str">
        <f>IFERROR(IF(INDEX(使用レシピ!O:O,MATCH(テンプレート!$C642,使用レシピ!$E:$E,0))&lt;&gt;0,INDEX(使用レシピ!O:O,MATCH(テンプレート!$C642,使用レシピ!$E:$E,0)),""),"")</f>
        <v/>
      </c>
      <c r="O642" s="36" t="str">
        <f>IFERROR(IF(INDEX(使用レシピ!P:P,MATCH(テンプレート!$C642,使用レシピ!$E:$E,0))&lt;&gt;0,INDEX(使用レシピ!P:P,MATCH(テンプレート!$C642,使用レシピ!$E:$E,0)),""),"")</f>
        <v/>
      </c>
      <c r="P642" t="str">
        <f t="shared" si="51"/>
        <v/>
      </c>
      <c r="Q642" t="str">
        <f t="shared" si="52"/>
        <v/>
      </c>
      <c r="R642" t="str">
        <f t="shared" si="53"/>
        <v/>
      </c>
      <c r="S642" t="str">
        <f t="shared" si="54"/>
        <v/>
      </c>
      <c r="T642" s="24" t="str">
        <f t="shared" si="55"/>
        <v/>
      </c>
    </row>
    <row r="643" spans="2:20" x14ac:dyDescent="0.4">
      <c r="B643" s="49" t="str" cm="1">
        <f t="array" ref="B643">IFERROR((INDEX($P$4:$T$1000,MATCH(VALUE(LEFT($A643,LEN($A643)-1)),$A$4:$A$1000,0),VALUE(RIGHT($A643,1)))/ INDEX($O$4:$O$1000,MATCH(VALUE(LEFT($A643,LEN($A643)-1)),$A$4:$A$1000))) * INDEX($B$4:$B$1000,MATCH(VALUE(LEFT($A643,LEN($A643)-1)),$A$4:$A$1000)),"")</f>
        <v/>
      </c>
      <c r="C643" s="2" t="str" cm="1">
        <f t="array" ref="C643">IFERROR(IF(INDEX($D$4:$H$1000,MATCH(VALUE(LEFT($A643,LEN($A643)-1)),$A$4:$A$1000,0),VALUE(RIGHT($A643,1)))= 0,"",INDEX($D$4:$H$1000,MATCH(VALUE(LEFT($A643,LEN($A643)-1)),$A$4:$A$1000,0),VALUE(RIGHT($A643,1)))),"")</f>
        <v/>
      </c>
      <c r="D643" s="23" t="str">
        <f>IFERROR(IF(INDEX(使用レシピ!F:F,MATCH(テンプレート!$C643,使用レシピ!$E:$E,0))&lt;&gt;0,INDEX(使用レシピ!F:F,MATCH(テンプレート!$C643,使用レシピ!$E:$E,0)),""),"")</f>
        <v/>
      </c>
      <c r="E643" t="str">
        <f>IFERROR(IF(INDEX(使用レシピ!G:G,MATCH(テンプレート!$C643,使用レシピ!$E:$E,0))&lt;&gt;0,INDEX(使用レシピ!G:G,MATCH(テンプレート!$C643,使用レシピ!$E:$E,0)),""),"")</f>
        <v/>
      </c>
      <c r="F643" t="str">
        <f>IFERROR(IF(INDEX(使用レシピ!H:H,MATCH(テンプレート!$C643,使用レシピ!$E:$E,0))&lt;&gt;0,INDEX(使用レシピ!H:H,MATCH(テンプレート!$C643,使用レシピ!$E:$E,0)),""),"")</f>
        <v/>
      </c>
      <c r="G643" t="str">
        <f>IFERROR(IF(INDEX(使用レシピ!I:I,MATCH(テンプレート!$C643,使用レシピ!$E:$E,0))&lt;&gt;0,INDEX(使用レシピ!I:I,MATCH(テンプレート!$C643,使用レシピ!$E:$E,0)),""),"")</f>
        <v/>
      </c>
      <c r="H643" s="24" t="str">
        <f>IFERROR(IF(INDEX(使用レシピ!J:J,MATCH(テンプレート!$C643,使用レシピ!$E:$E,0))&lt;&gt;0,INDEX(使用レシピ!J:J,MATCH(テンプレート!$C643,使用レシピ!$E:$E,0)),""),"")</f>
        <v/>
      </c>
      <c r="I643" s="36" t="str">
        <f>IFERROR(IF(INDEX(使用レシピ!P:P,MATCH(テンプレート!$C643,使用レシピ!$E:$E,0))&lt;&gt;0,INDEX(使用レシピ!P:P,MATCH(テンプレート!$C643,使用レシピ!$E:$E,0)),""),"")</f>
        <v/>
      </c>
      <c r="J643" t="str">
        <f>IFERROR(IF(INDEX(使用レシピ!K:K,MATCH(テンプレート!$C643,使用レシピ!$E:$E,0))&lt;&gt;0,INDEX(使用レシピ!K:K,MATCH(テンプレート!$C643,使用レシピ!$E:$E,0)),""),"")</f>
        <v/>
      </c>
      <c r="K643" t="str">
        <f>IFERROR(IF(INDEX(使用レシピ!L:L,MATCH(テンプレート!$C643,使用レシピ!$E:$E,0))&lt;&gt;0,INDEX(使用レシピ!L:L,MATCH(テンプレート!$C643,使用レシピ!$E:$E,0)),""),"")</f>
        <v/>
      </c>
      <c r="L643" t="str">
        <f>IFERROR(IF(INDEX(使用レシピ!M:M,MATCH(テンプレート!$C643,使用レシピ!$E:$E,0))&lt;&gt;0,INDEX(使用レシピ!M:M,MATCH(テンプレート!$C643,使用レシピ!$E:$E,0)),""),"")</f>
        <v/>
      </c>
      <c r="M643" t="str">
        <f>IFERROR(IF(INDEX(使用レシピ!N:N,MATCH(テンプレート!$C643,使用レシピ!$E:$E,0))&lt;&gt;0,INDEX(使用レシピ!N:N,MATCH(テンプレート!$C643,使用レシピ!$E:$E,0)),""),"")</f>
        <v/>
      </c>
      <c r="N643" s="24" t="str">
        <f>IFERROR(IF(INDEX(使用レシピ!O:O,MATCH(テンプレート!$C643,使用レシピ!$E:$E,0))&lt;&gt;0,INDEX(使用レシピ!O:O,MATCH(テンプレート!$C643,使用レシピ!$E:$E,0)),""),"")</f>
        <v/>
      </c>
      <c r="O643" s="36" t="str">
        <f>IFERROR(IF(INDEX(使用レシピ!P:P,MATCH(テンプレート!$C643,使用レシピ!$E:$E,0))&lt;&gt;0,INDEX(使用レシピ!P:P,MATCH(テンプレート!$C643,使用レシピ!$E:$E,0)),""),"")</f>
        <v/>
      </c>
      <c r="P643" t="str">
        <f t="shared" si="51"/>
        <v/>
      </c>
      <c r="Q643" t="str">
        <f t="shared" si="52"/>
        <v/>
      </c>
      <c r="R643" t="str">
        <f t="shared" si="53"/>
        <v/>
      </c>
      <c r="S643" t="str">
        <f t="shared" si="54"/>
        <v/>
      </c>
      <c r="T643" s="24" t="str">
        <f t="shared" si="55"/>
        <v/>
      </c>
    </row>
    <row r="644" spans="2:20" x14ac:dyDescent="0.4">
      <c r="B644" s="49" t="str" cm="1">
        <f t="array" ref="B644">IFERROR((INDEX($P$4:$T$1000,MATCH(VALUE(LEFT($A644,LEN($A644)-1)),$A$4:$A$1000,0),VALUE(RIGHT($A644,1)))/ INDEX($O$4:$O$1000,MATCH(VALUE(LEFT($A644,LEN($A644)-1)),$A$4:$A$1000))) * INDEX($B$4:$B$1000,MATCH(VALUE(LEFT($A644,LEN($A644)-1)),$A$4:$A$1000)),"")</f>
        <v/>
      </c>
      <c r="C644" s="2" t="str" cm="1">
        <f t="array" ref="C644">IFERROR(IF(INDEX($D$4:$H$1000,MATCH(VALUE(LEFT($A644,LEN($A644)-1)),$A$4:$A$1000,0),VALUE(RIGHT($A644,1)))= 0,"",INDEX($D$4:$H$1000,MATCH(VALUE(LEFT($A644,LEN($A644)-1)),$A$4:$A$1000,0),VALUE(RIGHT($A644,1)))),"")</f>
        <v/>
      </c>
      <c r="D644" s="23" t="str">
        <f>IFERROR(IF(INDEX(使用レシピ!F:F,MATCH(テンプレート!$C644,使用レシピ!$E:$E,0))&lt;&gt;0,INDEX(使用レシピ!F:F,MATCH(テンプレート!$C644,使用レシピ!$E:$E,0)),""),"")</f>
        <v/>
      </c>
      <c r="E644" t="str">
        <f>IFERROR(IF(INDEX(使用レシピ!G:G,MATCH(テンプレート!$C644,使用レシピ!$E:$E,0))&lt;&gt;0,INDEX(使用レシピ!G:G,MATCH(テンプレート!$C644,使用レシピ!$E:$E,0)),""),"")</f>
        <v/>
      </c>
      <c r="F644" t="str">
        <f>IFERROR(IF(INDEX(使用レシピ!H:H,MATCH(テンプレート!$C644,使用レシピ!$E:$E,0))&lt;&gt;0,INDEX(使用レシピ!H:H,MATCH(テンプレート!$C644,使用レシピ!$E:$E,0)),""),"")</f>
        <v/>
      </c>
      <c r="G644" t="str">
        <f>IFERROR(IF(INDEX(使用レシピ!I:I,MATCH(テンプレート!$C644,使用レシピ!$E:$E,0))&lt;&gt;0,INDEX(使用レシピ!I:I,MATCH(テンプレート!$C644,使用レシピ!$E:$E,0)),""),"")</f>
        <v/>
      </c>
      <c r="H644" s="24" t="str">
        <f>IFERROR(IF(INDEX(使用レシピ!J:J,MATCH(テンプレート!$C644,使用レシピ!$E:$E,0))&lt;&gt;0,INDEX(使用レシピ!J:J,MATCH(テンプレート!$C644,使用レシピ!$E:$E,0)),""),"")</f>
        <v/>
      </c>
      <c r="I644" s="36" t="str">
        <f>IFERROR(IF(INDEX(使用レシピ!P:P,MATCH(テンプレート!$C644,使用レシピ!$E:$E,0))&lt;&gt;0,INDEX(使用レシピ!P:P,MATCH(テンプレート!$C644,使用レシピ!$E:$E,0)),""),"")</f>
        <v/>
      </c>
      <c r="J644" t="str">
        <f>IFERROR(IF(INDEX(使用レシピ!K:K,MATCH(テンプレート!$C644,使用レシピ!$E:$E,0))&lt;&gt;0,INDEX(使用レシピ!K:K,MATCH(テンプレート!$C644,使用レシピ!$E:$E,0)),""),"")</f>
        <v/>
      </c>
      <c r="K644" t="str">
        <f>IFERROR(IF(INDEX(使用レシピ!L:L,MATCH(テンプレート!$C644,使用レシピ!$E:$E,0))&lt;&gt;0,INDEX(使用レシピ!L:L,MATCH(テンプレート!$C644,使用レシピ!$E:$E,0)),""),"")</f>
        <v/>
      </c>
      <c r="L644" t="str">
        <f>IFERROR(IF(INDEX(使用レシピ!M:M,MATCH(テンプレート!$C644,使用レシピ!$E:$E,0))&lt;&gt;0,INDEX(使用レシピ!M:M,MATCH(テンプレート!$C644,使用レシピ!$E:$E,0)),""),"")</f>
        <v/>
      </c>
      <c r="M644" t="str">
        <f>IFERROR(IF(INDEX(使用レシピ!N:N,MATCH(テンプレート!$C644,使用レシピ!$E:$E,0))&lt;&gt;0,INDEX(使用レシピ!N:N,MATCH(テンプレート!$C644,使用レシピ!$E:$E,0)),""),"")</f>
        <v/>
      </c>
      <c r="N644" s="24" t="str">
        <f>IFERROR(IF(INDEX(使用レシピ!O:O,MATCH(テンプレート!$C644,使用レシピ!$E:$E,0))&lt;&gt;0,INDEX(使用レシピ!O:O,MATCH(テンプレート!$C644,使用レシピ!$E:$E,0)),""),"")</f>
        <v/>
      </c>
      <c r="O644" s="36" t="str">
        <f>IFERROR(IF(INDEX(使用レシピ!P:P,MATCH(テンプレート!$C644,使用レシピ!$E:$E,0))&lt;&gt;0,INDEX(使用レシピ!P:P,MATCH(テンプレート!$C644,使用レシピ!$E:$E,0)),""),"")</f>
        <v/>
      </c>
      <c r="P644" t="str">
        <f t="shared" si="51"/>
        <v/>
      </c>
      <c r="Q644" t="str">
        <f t="shared" si="52"/>
        <v/>
      </c>
      <c r="R644" t="str">
        <f t="shared" si="53"/>
        <v/>
      </c>
      <c r="S644" t="str">
        <f t="shared" si="54"/>
        <v/>
      </c>
      <c r="T644" s="24" t="str">
        <f t="shared" si="55"/>
        <v/>
      </c>
    </row>
    <row r="645" spans="2:20" x14ac:dyDescent="0.4">
      <c r="B645" s="49" t="str" cm="1">
        <f t="array" ref="B645">IFERROR((INDEX($P$4:$T$1000,MATCH(VALUE(LEFT($A645,LEN($A645)-1)),$A$4:$A$1000,0),VALUE(RIGHT($A645,1)))/ INDEX($O$4:$O$1000,MATCH(VALUE(LEFT($A645,LEN($A645)-1)),$A$4:$A$1000))) * INDEX($B$4:$B$1000,MATCH(VALUE(LEFT($A645,LEN($A645)-1)),$A$4:$A$1000)),"")</f>
        <v/>
      </c>
      <c r="C645" s="2" t="str" cm="1">
        <f t="array" ref="C645">IFERROR(IF(INDEX($D$4:$H$1000,MATCH(VALUE(LEFT($A645,LEN($A645)-1)),$A$4:$A$1000,0),VALUE(RIGHT($A645,1)))= 0,"",INDEX($D$4:$H$1000,MATCH(VALUE(LEFT($A645,LEN($A645)-1)),$A$4:$A$1000,0),VALUE(RIGHT($A645,1)))),"")</f>
        <v/>
      </c>
      <c r="D645" s="23" t="str">
        <f>IFERROR(IF(INDEX(使用レシピ!F:F,MATCH(テンプレート!$C645,使用レシピ!$E:$E,0))&lt;&gt;0,INDEX(使用レシピ!F:F,MATCH(テンプレート!$C645,使用レシピ!$E:$E,0)),""),"")</f>
        <v/>
      </c>
      <c r="E645" t="str">
        <f>IFERROR(IF(INDEX(使用レシピ!G:G,MATCH(テンプレート!$C645,使用レシピ!$E:$E,0))&lt;&gt;0,INDEX(使用レシピ!G:G,MATCH(テンプレート!$C645,使用レシピ!$E:$E,0)),""),"")</f>
        <v/>
      </c>
      <c r="F645" t="str">
        <f>IFERROR(IF(INDEX(使用レシピ!H:H,MATCH(テンプレート!$C645,使用レシピ!$E:$E,0))&lt;&gt;0,INDEX(使用レシピ!H:H,MATCH(テンプレート!$C645,使用レシピ!$E:$E,0)),""),"")</f>
        <v/>
      </c>
      <c r="G645" t="str">
        <f>IFERROR(IF(INDEX(使用レシピ!I:I,MATCH(テンプレート!$C645,使用レシピ!$E:$E,0))&lt;&gt;0,INDEX(使用レシピ!I:I,MATCH(テンプレート!$C645,使用レシピ!$E:$E,0)),""),"")</f>
        <v/>
      </c>
      <c r="H645" s="24" t="str">
        <f>IFERROR(IF(INDEX(使用レシピ!J:J,MATCH(テンプレート!$C645,使用レシピ!$E:$E,0))&lt;&gt;0,INDEX(使用レシピ!J:J,MATCH(テンプレート!$C645,使用レシピ!$E:$E,0)),""),"")</f>
        <v/>
      </c>
      <c r="I645" s="36" t="str">
        <f>IFERROR(IF(INDEX(使用レシピ!P:P,MATCH(テンプレート!$C645,使用レシピ!$E:$E,0))&lt;&gt;0,INDEX(使用レシピ!P:P,MATCH(テンプレート!$C645,使用レシピ!$E:$E,0)),""),"")</f>
        <v/>
      </c>
      <c r="J645" t="str">
        <f>IFERROR(IF(INDEX(使用レシピ!K:K,MATCH(テンプレート!$C645,使用レシピ!$E:$E,0))&lt;&gt;0,INDEX(使用レシピ!K:K,MATCH(テンプレート!$C645,使用レシピ!$E:$E,0)),""),"")</f>
        <v/>
      </c>
      <c r="K645" t="str">
        <f>IFERROR(IF(INDEX(使用レシピ!L:L,MATCH(テンプレート!$C645,使用レシピ!$E:$E,0))&lt;&gt;0,INDEX(使用レシピ!L:L,MATCH(テンプレート!$C645,使用レシピ!$E:$E,0)),""),"")</f>
        <v/>
      </c>
      <c r="L645" t="str">
        <f>IFERROR(IF(INDEX(使用レシピ!M:M,MATCH(テンプレート!$C645,使用レシピ!$E:$E,0))&lt;&gt;0,INDEX(使用レシピ!M:M,MATCH(テンプレート!$C645,使用レシピ!$E:$E,0)),""),"")</f>
        <v/>
      </c>
      <c r="M645" t="str">
        <f>IFERROR(IF(INDEX(使用レシピ!N:N,MATCH(テンプレート!$C645,使用レシピ!$E:$E,0))&lt;&gt;0,INDEX(使用レシピ!N:N,MATCH(テンプレート!$C645,使用レシピ!$E:$E,0)),""),"")</f>
        <v/>
      </c>
      <c r="N645" s="24" t="str">
        <f>IFERROR(IF(INDEX(使用レシピ!O:O,MATCH(テンプレート!$C645,使用レシピ!$E:$E,0))&lt;&gt;0,INDEX(使用レシピ!O:O,MATCH(テンプレート!$C645,使用レシピ!$E:$E,0)),""),"")</f>
        <v/>
      </c>
      <c r="O645" s="36" t="str">
        <f>IFERROR(IF(INDEX(使用レシピ!P:P,MATCH(テンプレート!$C645,使用レシピ!$E:$E,0))&lt;&gt;0,INDEX(使用レシピ!P:P,MATCH(テンプレート!$C645,使用レシピ!$E:$E,0)),""),"")</f>
        <v/>
      </c>
      <c r="P645" t="str">
        <f t="shared" si="51"/>
        <v/>
      </c>
      <c r="Q645" t="str">
        <f t="shared" si="52"/>
        <v/>
      </c>
      <c r="R645" t="str">
        <f t="shared" si="53"/>
        <v/>
      </c>
      <c r="S645" t="str">
        <f t="shared" si="54"/>
        <v/>
      </c>
      <c r="T645" s="24" t="str">
        <f t="shared" si="55"/>
        <v/>
      </c>
    </row>
    <row r="646" spans="2:20" x14ac:dyDescent="0.4">
      <c r="B646" s="49" t="str" cm="1">
        <f t="array" ref="B646">IFERROR((INDEX($P$4:$T$1000,MATCH(VALUE(LEFT($A646,LEN($A646)-1)),$A$4:$A$1000,0),VALUE(RIGHT($A646,1)))/ INDEX($O$4:$O$1000,MATCH(VALUE(LEFT($A646,LEN($A646)-1)),$A$4:$A$1000))) * INDEX($B$4:$B$1000,MATCH(VALUE(LEFT($A646,LEN($A646)-1)),$A$4:$A$1000)),"")</f>
        <v/>
      </c>
      <c r="C646" s="2" t="str" cm="1">
        <f t="array" ref="C646">IFERROR(IF(INDEX($D$4:$H$1000,MATCH(VALUE(LEFT($A646,LEN($A646)-1)),$A$4:$A$1000,0),VALUE(RIGHT($A646,1)))= 0,"",INDEX($D$4:$H$1000,MATCH(VALUE(LEFT($A646,LEN($A646)-1)),$A$4:$A$1000,0),VALUE(RIGHT($A646,1)))),"")</f>
        <v/>
      </c>
      <c r="D646" s="23" t="str">
        <f>IFERROR(IF(INDEX(使用レシピ!F:F,MATCH(テンプレート!$C646,使用レシピ!$E:$E,0))&lt;&gt;0,INDEX(使用レシピ!F:F,MATCH(テンプレート!$C646,使用レシピ!$E:$E,0)),""),"")</f>
        <v/>
      </c>
      <c r="E646" t="str">
        <f>IFERROR(IF(INDEX(使用レシピ!G:G,MATCH(テンプレート!$C646,使用レシピ!$E:$E,0))&lt;&gt;0,INDEX(使用レシピ!G:G,MATCH(テンプレート!$C646,使用レシピ!$E:$E,0)),""),"")</f>
        <v/>
      </c>
      <c r="F646" t="str">
        <f>IFERROR(IF(INDEX(使用レシピ!H:H,MATCH(テンプレート!$C646,使用レシピ!$E:$E,0))&lt;&gt;0,INDEX(使用レシピ!H:H,MATCH(テンプレート!$C646,使用レシピ!$E:$E,0)),""),"")</f>
        <v/>
      </c>
      <c r="G646" t="str">
        <f>IFERROR(IF(INDEX(使用レシピ!I:I,MATCH(テンプレート!$C646,使用レシピ!$E:$E,0))&lt;&gt;0,INDEX(使用レシピ!I:I,MATCH(テンプレート!$C646,使用レシピ!$E:$E,0)),""),"")</f>
        <v/>
      </c>
      <c r="H646" s="24" t="str">
        <f>IFERROR(IF(INDEX(使用レシピ!J:J,MATCH(テンプレート!$C646,使用レシピ!$E:$E,0))&lt;&gt;0,INDEX(使用レシピ!J:J,MATCH(テンプレート!$C646,使用レシピ!$E:$E,0)),""),"")</f>
        <v/>
      </c>
      <c r="I646" s="36" t="str">
        <f>IFERROR(IF(INDEX(使用レシピ!P:P,MATCH(テンプレート!$C646,使用レシピ!$E:$E,0))&lt;&gt;0,INDEX(使用レシピ!P:P,MATCH(テンプレート!$C646,使用レシピ!$E:$E,0)),""),"")</f>
        <v/>
      </c>
      <c r="J646" t="str">
        <f>IFERROR(IF(INDEX(使用レシピ!K:K,MATCH(テンプレート!$C646,使用レシピ!$E:$E,0))&lt;&gt;0,INDEX(使用レシピ!K:K,MATCH(テンプレート!$C646,使用レシピ!$E:$E,0)),""),"")</f>
        <v/>
      </c>
      <c r="K646" t="str">
        <f>IFERROR(IF(INDEX(使用レシピ!L:L,MATCH(テンプレート!$C646,使用レシピ!$E:$E,0))&lt;&gt;0,INDEX(使用レシピ!L:L,MATCH(テンプレート!$C646,使用レシピ!$E:$E,0)),""),"")</f>
        <v/>
      </c>
      <c r="L646" t="str">
        <f>IFERROR(IF(INDEX(使用レシピ!M:M,MATCH(テンプレート!$C646,使用レシピ!$E:$E,0))&lt;&gt;0,INDEX(使用レシピ!M:M,MATCH(テンプレート!$C646,使用レシピ!$E:$E,0)),""),"")</f>
        <v/>
      </c>
      <c r="M646" t="str">
        <f>IFERROR(IF(INDEX(使用レシピ!N:N,MATCH(テンプレート!$C646,使用レシピ!$E:$E,0))&lt;&gt;0,INDEX(使用レシピ!N:N,MATCH(テンプレート!$C646,使用レシピ!$E:$E,0)),""),"")</f>
        <v/>
      </c>
      <c r="N646" s="24" t="str">
        <f>IFERROR(IF(INDEX(使用レシピ!O:O,MATCH(テンプレート!$C646,使用レシピ!$E:$E,0))&lt;&gt;0,INDEX(使用レシピ!O:O,MATCH(テンプレート!$C646,使用レシピ!$E:$E,0)),""),"")</f>
        <v/>
      </c>
      <c r="O646" s="36" t="str">
        <f>IFERROR(IF(INDEX(使用レシピ!P:P,MATCH(テンプレート!$C646,使用レシピ!$E:$E,0))&lt;&gt;0,INDEX(使用レシピ!P:P,MATCH(テンプレート!$C646,使用レシピ!$E:$E,0)),""),"")</f>
        <v/>
      </c>
      <c r="P646" t="str">
        <f t="shared" si="51"/>
        <v/>
      </c>
      <c r="Q646" t="str">
        <f t="shared" si="52"/>
        <v/>
      </c>
      <c r="R646" t="str">
        <f t="shared" si="53"/>
        <v/>
      </c>
      <c r="S646" t="str">
        <f t="shared" si="54"/>
        <v/>
      </c>
      <c r="T646" s="24" t="str">
        <f t="shared" si="55"/>
        <v/>
      </c>
    </row>
    <row r="647" spans="2:20" x14ac:dyDescent="0.4">
      <c r="B647" s="49" t="str" cm="1">
        <f t="array" ref="B647">IFERROR((INDEX($P$4:$T$1000,MATCH(VALUE(LEFT($A647,LEN($A647)-1)),$A$4:$A$1000,0),VALUE(RIGHT($A647,1)))/ INDEX($O$4:$O$1000,MATCH(VALUE(LEFT($A647,LEN($A647)-1)),$A$4:$A$1000))) * INDEX($B$4:$B$1000,MATCH(VALUE(LEFT($A647,LEN($A647)-1)),$A$4:$A$1000)),"")</f>
        <v/>
      </c>
      <c r="C647" s="2" t="str" cm="1">
        <f t="array" ref="C647">IFERROR(IF(INDEX($D$4:$H$1000,MATCH(VALUE(LEFT($A647,LEN($A647)-1)),$A$4:$A$1000,0),VALUE(RIGHT($A647,1)))= 0,"",INDEX($D$4:$H$1000,MATCH(VALUE(LEFT($A647,LEN($A647)-1)),$A$4:$A$1000,0),VALUE(RIGHT($A647,1)))),"")</f>
        <v/>
      </c>
      <c r="D647" s="23" t="str">
        <f>IFERROR(IF(INDEX(使用レシピ!F:F,MATCH(テンプレート!$C647,使用レシピ!$E:$E,0))&lt;&gt;0,INDEX(使用レシピ!F:F,MATCH(テンプレート!$C647,使用レシピ!$E:$E,0)),""),"")</f>
        <v/>
      </c>
      <c r="E647" t="str">
        <f>IFERROR(IF(INDEX(使用レシピ!G:G,MATCH(テンプレート!$C647,使用レシピ!$E:$E,0))&lt;&gt;0,INDEX(使用レシピ!G:G,MATCH(テンプレート!$C647,使用レシピ!$E:$E,0)),""),"")</f>
        <v/>
      </c>
      <c r="F647" t="str">
        <f>IFERROR(IF(INDEX(使用レシピ!H:H,MATCH(テンプレート!$C647,使用レシピ!$E:$E,0))&lt;&gt;0,INDEX(使用レシピ!H:H,MATCH(テンプレート!$C647,使用レシピ!$E:$E,0)),""),"")</f>
        <v/>
      </c>
      <c r="G647" t="str">
        <f>IFERROR(IF(INDEX(使用レシピ!I:I,MATCH(テンプレート!$C647,使用レシピ!$E:$E,0))&lt;&gt;0,INDEX(使用レシピ!I:I,MATCH(テンプレート!$C647,使用レシピ!$E:$E,0)),""),"")</f>
        <v/>
      </c>
      <c r="H647" s="24" t="str">
        <f>IFERROR(IF(INDEX(使用レシピ!J:J,MATCH(テンプレート!$C647,使用レシピ!$E:$E,0))&lt;&gt;0,INDEX(使用レシピ!J:J,MATCH(テンプレート!$C647,使用レシピ!$E:$E,0)),""),"")</f>
        <v/>
      </c>
      <c r="I647" s="36" t="str">
        <f>IFERROR(IF(INDEX(使用レシピ!P:P,MATCH(テンプレート!$C647,使用レシピ!$E:$E,0))&lt;&gt;0,INDEX(使用レシピ!P:P,MATCH(テンプレート!$C647,使用レシピ!$E:$E,0)),""),"")</f>
        <v/>
      </c>
      <c r="J647" t="str">
        <f>IFERROR(IF(INDEX(使用レシピ!K:K,MATCH(テンプレート!$C647,使用レシピ!$E:$E,0))&lt;&gt;0,INDEX(使用レシピ!K:K,MATCH(テンプレート!$C647,使用レシピ!$E:$E,0)),""),"")</f>
        <v/>
      </c>
      <c r="K647" t="str">
        <f>IFERROR(IF(INDEX(使用レシピ!L:L,MATCH(テンプレート!$C647,使用レシピ!$E:$E,0))&lt;&gt;0,INDEX(使用レシピ!L:L,MATCH(テンプレート!$C647,使用レシピ!$E:$E,0)),""),"")</f>
        <v/>
      </c>
      <c r="L647" t="str">
        <f>IFERROR(IF(INDEX(使用レシピ!M:M,MATCH(テンプレート!$C647,使用レシピ!$E:$E,0))&lt;&gt;0,INDEX(使用レシピ!M:M,MATCH(テンプレート!$C647,使用レシピ!$E:$E,0)),""),"")</f>
        <v/>
      </c>
      <c r="M647" t="str">
        <f>IFERROR(IF(INDEX(使用レシピ!N:N,MATCH(テンプレート!$C647,使用レシピ!$E:$E,0))&lt;&gt;0,INDEX(使用レシピ!N:N,MATCH(テンプレート!$C647,使用レシピ!$E:$E,0)),""),"")</f>
        <v/>
      </c>
      <c r="N647" s="24" t="str">
        <f>IFERROR(IF(INDEX(使用レシピ!O:O,MATCH(テンプレート!$C647,使用レシピ!$E:$E,0))&lt;&gt;0,INDEX(使用レシピ!O:O,MATCH(テンプレート!$C647,使用レシピ!$E:$E,0)),""),"")</f>
        <v/>
      </c>
      <c r="O647" s="36" t="str">
        <f>IFERROR(IF(INDEX(使用レシピ!P:P,MATCH(テンプレート!$C647,使用レシピ!$E:$E,0))&lt;&gt;0,INDEX(使用レシピ!P:P,MATCH(テンプレート!$C647,使用レシピ!$E:$E,0)),""),"")</f>
        <v/>
      </c>
      <c r="P647" t="str">
        <f t="shared" si="51"/>
        <v/>
      </c>
      <c r="Q647" t="str">
        <f t="shared" si="52"/>
        <v/>
      </c>
      <c r="R647" t="str">
        <f t="shared" si="53"/>
        <v/>
      </c>
      <c r="S647" t="str">
        <f t="shared" si="54"/>
        <v/>
      </c>
      <c r="T647" s="24" t="str">
        <f t="shared" si="55"/>
        <v/>
      </c>
    </row>
    <row r="648" spans="2:20" x14ac:dyDescent="0.4">
      <c r="B648" s="49" t="str" cm="1">
        <f t="array" ref="B648">IFERROR((INDEX($P$4:$T$1000,MATCH(VALUE(LEFT($A648,LEN($A648)-1)),$A$4:$A$1000,0),VALUE(RIGHT($A648,1)))/ INDEX($O$4:$O$1000,MATCH(VALUE(LEFT($A648,LEN($A648)-1)),$A$4:$A$1000))) * INDEX($B$4:$B$1000,MATCH(VALUE(LEFT($A648,LEN($A648)-1)),$A$4:$A$1000)),"")</f>
        <v/>
      </c>
      <c r="C648" s="2" t="str" cm="1">
        <f t="array" ref="C648">IFERROR(IF(INDEX($D$4:$H$1000,MATCH(VALUE(LEFT($A648,LEN($A648)-1)),$A$4:$A$1000,0),VALUE(RIGHT($A648,1)))= 0,"",INDEX($D$4:$H$1000,MATCH(VALUE(LEFT($A648,LEN($A648)-1)),$A$4:$A$1000,0),VALUE(RIGHT($A648,1)))),"")</f>
        <v/>
      </c>
      <c r="D648" s="23" t="str">
        <f>IFERROR(IF(INDEX(使用レシピ!F:F,MATCH(テンプレート!$C648,使用レシピ!$E:$E,0))&lt;&gt;0,INDEX(使用レシピ!F:F,MATCH(テンプレート!$C648,使用レシピ!$E:$E,0)),""),"")</f>
        <v/>
      </c>
      <c r="E648" t="str">
        <f>IFERROR(IF(INDEX(使用レシピ!G:G,MATCH(テンプレート!$C648,使用レシピ!$E:$E,0))&lt;&gt;0,INDEX(使用レシピ!G:G,MATCH(テンプレート!$C648,使用レシピ!$E:$E,0)),""),"")</f>
        <v/>
      </c>
      <c r="F648" t="str">
        <f>IFERROR(IF(INDEX(使用レシピ!H:H,MATCH(テンプレート!$C648,使用レシピ!$E:$E,0))&lt;&gt;0,INDEX(使用レシピ!H:H,MATCH(テンプレート!$C648,使用レシピ!$E:$E,0)),""),"")</f>
        <v/>
      </c>
      <c r="G648" t="str">
        <f>IFERROR(IF(INDEX(使用レシピ!I:I,MATCH(テンプレート!$C648,使用レシピ!$E:$E,0))&lt;&gt;0,INDEX(使用レシピ!I:I,MATCH(テンプレート!$C648,使用レシピ!$E:$E,0)),""),"")</f>
        <v/>
      </c>
      <c r="H648" s="24" t="str">
        <f>IFERROR(IF(INDEX(使用レシピ!J:J,MATCH(テンプレート!$C648,使用レシピ!$E:$E,0))&lt;&gt;0,INDEX(使用レシピ!J:J,MATCH(テンプレート!$C648,使用レシピ!$E:$E,0)),""),"")</f>
        <v/>
      </c>
      <c r="I648" s="36" t="str">
        <f>IFERROR(IF(INDEX(使用レシピ!P:P,MATCH(テンプレート!$C648,使用レシピ!$E:$E,0))&lt;&gt;0,INDEX(使用レシピ!P:P,MATCH(テンプレート!$C648,使用レシピ!$E:$E,0)),""),"")</f>
        <v/>
      </c>
      <c r="J648" t="str">
        <f>IFERROR(IF(INDEX(使用レシピ!K:K,MATCH(テンプレート!$C648,使用レシピ!$E:$E,0))&lt;&gt;0,INDEX(使用レシピ!K:K,MATCH(テンプレート!$C648,使用レシピ!$E:$E,0)),""),"")</f>
        <v/>
      </c>
      <c r="K648" t="str">
        <f>IFERROR(IF(INDEX(使用レシピ!L:L,MATCH(テンプレート!$C648,使用レシピ!$E:$E,0))&lt;&gt;0,INDEX(使用レシピ!L:L,MATCH(テンプレート!$C648,使用レシピ!$E:$E,0)),""),"")</f>
        <v/>
      </c>
      <c r="L648" t="str">
        <f>IFERROR(IF(INDEX(使用レシピ!M:M,MATCH(テンプレート!$C648,使用レシピ!$E:$E,0))&lt;&gt;0,INDEX(使用レシピ!M:M,MATCH(テンプレート!$C648,使用レシピ!$E:$E,0)),""),"")</f>
        <v/>
      </c>
      <c r="M648" t="str">
        <f>IFERROR(IF(INDEX(使用レシピ!N:N,MATCH(テンプレート!$C648,使用レシピ!$E:$E,0))&lt;&gt;0,INDEX(使用レシピ!N:N,MATCH(テンプレート!$C648,使用レシピ!$E:$E,0)),""),"")</f>
        <v/>
      </c>
      <c r="N648" s="24" t="str">
        <f>IFERROR(IF(INDEX(使用レシピ!O:O,MATCH(テンプレート!$C648,使用レシピ!$E:$E,0))&lt;&gt;0,INDEX(使用レシピ!O:O,MATCH(テンプレート!$C648,使用レシピ!$E:$E,0)),""),"")</f>
        <v/>
      </c>
      <c r="O648" s="36" t="str">
        <f>IFERROR(IF(INDEX(使用レシピ!P:P,MATCH(テンプレート!$C648,使用レシピ!$E:$E,0))&lt;&gt;0,INDEX(使用レシピ!P:P,MATCH(テンプレート!$C648,使用レシピ!$E:$E,0)),""),"")</f>
        <v/>
      </c>
      <c r="P648" t="str">
        <f t="shared" si="51"/>
        <v/>
      </c>
      <c r="Q648" t="str">
        <f t="shared" si="52"/>
        <v/>
      </c>
      <c r="R648" t="str">
        <f t="shared" si="53"/>
        <v/>
      </c>
      <c r="S648" t="str">
        <f t="shared" si="54"/>
        <v/>
      </c>
      <c r="T648" s="24" t="str">
        <f t="shared" si="55"/>
        <v/>
      </c>
    </row>
    <row r="649" spans="2:20" x14ac:dyDescent="0.4">
      <c r="B649" s="49" t="str" cm="1">
        <f t="array" ref="B649">IFERROR((INDEX($P$4:$T$1000,MATCH(VALUE(LEFT($A649,LEN($A649)-1)),$A$4:$A$1000,0),VALUE(RIGHT($A649,1)))/ INDEX($O$4:$O$1000,MATCH(VALUE(LEFT($A649,LEN($A649)-1)),$A$4:$A$1000))) * INDEX($B$4:$B$1000,MATCH(VALUE(LEFT($A649,LEN($A649)-1)),$A$4:$A$1000)),"")</f>
        <v/>
      </c>
      <c r="C649" s="2" t="str" cm="1">
        <f t="array" ref="C649">IFERROR(IF(INDEX($D$4:$H$1000,MATCH(VALUE(LEFT($A649,LEN($A649)-1)),$A$4:$A$1000,0),VALUE(RIGHT($A649,1)))= 0,"",INDEX($D$4:$H$1000,MATCH(VALUE(LEFT($A649,LEN($A649)-1)),$A$4:$A$1000,0),VALUE(RIGHT($A649,1)))),"")</f>
        <v/>
      </c>
      <c r="D649" s="23" t="str">
        <f>IFERROR(IF(INDEX(使用レシピ!F:F,MATCH(テンプレート!$C649,使用レシピ!$E:$E,0))&lt;&gt;0,INDEX(使用レシピ!F:F,MATCH(テンプレート!$C649,使用レシピ!$E:$E,0)),""),"")</f>
        <v/>
      </c>
      <c r="E649" t="str">
        <f>IFERROR(IF(INDEX(使用レシピ!G:G,MATCH(テンプレート!$C649,使用レシピ!$E:$E,0))&lt;&gt;0,INDEX(使用レシピ!G:G,MATCH(テンプレート!$C649,使用レシピ!$E:$E,0)),""),"")</f>
        <v/>
      </c>
      <c r="F649" t="str">
        <f>IFERROR(IF(INDEX(使用レシピ!H:H,MATCH(テンプレート!$C649,使用レシピ!$E:$E,0))&lt;&gt;0,INDEX(使用レシピ!H:H,MATCH(テンプレート!$C649,使用レシピ!$E:$E,0)),""),"")</f>
        <v/>
      </c>
      <c r="G649" t="str">
        <f>IFERROR(IF(INDEX(使用レシピ!I:I,MATCH(テンプレート!$C649,使用レシピ!$E:$E,0))&lt;&gt;0,INDEX(使用レシピ!I:I,MATCH(テンプレート!$C649,使用レシピ!$E:$E,0)),""),"")</f>
        <v/>
      </c>
      <c r="H649" s="24" t="str">
        <f>IFERROR(IF(INDEX(使用レシピ!J:J,MATCH(テンプレート!$C649,使用レシピ!$E:$E,0))&lt;&gt;0,INDEX(使用レシピ!J:J,MATCH(テンプレート!$C649,使用レシピ!$E:$E,0)),""),"")</f>
        <v/>
      </c>
      <c r="I649" s="36" t="str">
        <f>IFERROR(IF(INDEX(使用レシピ!P:P,MATCH(テンプレート!$C649,使用レシピ!$E:$E,0))&lt;&gt;0,INDEX(使用レシピ!P:P,MATCH(テンプレート!$C649,使用レシピ!$E:$E,0)),""),"")</f>
        <v/>
      </c>
      <c r="J649" t="str">
        <f>IFERROR(IF(INDEX(使用レシピ!K:K,MATCH(テンプレート!$C649,使用レシピ!$E:$E,0))&lt;&gt;0,INDEX(使用レシピ!K:K,MATCH(テンプレート!$C649,使用レシピ!$E:$E,0)),""),"")</f>
        <v/>
      </c>
      <c r="K649" t="str">
        <f>IFERROR(IF(INDEX(使用レシピ!L:L,MATCH(テンプレート!$C649,使用レシピ!$E:$E,0))&lt;&gt;0,INDEX(使用レシピ!L:L,MATCH(テンプレート!$C649,使用レシピ!$E:$E,0)),""),"")</f>
        <v/>
      </c>
      <c r="L649" t="str">
        <f>IFERROR(IF(INDEX(使用レシピ!M:M,MATCH(テンプレート!$C649,使用レシピ!$E:$E,0))&lt;&gt;0,INDEX(使用レシピ!M:M,MATCH(テンプレート!$C649,使用レシピ!$E:$E,0)),""),"")</f>
        <v/>
      </c>
      <c r="M649" t="str">
        <f>IFERROR(IF(INDEX(使用レシピ!N:N,MATCH(テンプレート!$C649,使用レシピ!$E:$E,0))&lt;&gt;0,INDEX(使用レシピ!N:N,MATCH(テンプレート!$C649,使用レシピ!$E:$E,0)),""),"")</f>
        <v/>
      </c>
      <c r="N649" s="24" t="str">
        <f>IFERROR(IF(INDEX(使用レシピ!O:O,MATCH(テンプレート!$C649,使用レシピ!$E:$E,0))&lt;&gt;0,INDEX(使用レシピ!O:O,MATCH(テンプレート!$C649,使用レシピ!$E:$E,0)),""),"")</f>
        <v/>
      </c>
      <c r="O649" s="36" t="str">
        <f>IFERROR(IF(INDEX(使用レシピ!P:P,MATCH(テンプレート!$C649,使用レシピ!$E:$E,0))&lt;&gt;0,INDEX(使用レシピ!P:P,MATCH(テンプレート!$C649,使用レシピ!$E:$E,0)),""),"")</f>
        <v/>
      </c>
      <c r="P649" t="str">
        <f t="shared" si="51"/>
        <v/>
      </c>
      <c r="Q649" t="str">
        <f t="shared" si="52"/>
        <v/>
      </c>
      <c r="R649" t="str">
        <f t="shared" si="53"/>
        <v/>
      </c>
      <c r="S649" t="str">
        <f t="shared" si="54"/>
        <v/>
      </c>
      <c r="T649" s="24" t="str">
        <f t="shared" si="55"/>
        <v/>
      </c>
    </row>
    <row r="650" spans="2:20" x14ac:dyDescent="0.4">
      <c r="B650" s="49" t="str" cm="1">
        <f t="array" ref="B650">IFERROR((INDEX($P$4:$T$1000,MATCH(VALUE(LEFT($A650,LEN($A650)-1)),$A$4:$A$1000,0),VALUE(RIGHT($A650,1)))/ INDEX($O$4:$O$1000,MATCH(VALUE(LEFT($A650,LEN($A650)-1)),$A$4:$A$1000))) * INDEX($B$4:$B$1000,MATCH(VALUE(LEFT($A650,LEN($A650)-1)),$A$4:$A$1000)),"")</f>
        <v/>
      </c>
      <c r="C650" s="2" t="str" cm="1">
        <f t="array" ref="C650">IFERROR(IF(INDEX($D$4:$H$1000,MATCH(VALUE(LEFT($A650,LEN($A650)-1)),$A$4:$A$1000,0),VALUE(RIGHT($A650,1)))= 0,"",INDEX($D$4:$H$1000,MATCH(VALUE(LEFT($A650,LEN($A650)-1)),$A$4:$A$1000,0),VALUE(RIGHT($A650,1)))),"")</f>
        <v/>
      </c>
      <c r="D650" s="23" t="str">
        <f>IFERROR(IF(INDEX(使用レシピ!F:F,MATCH(テンプレート!$C650,使用レシピ!$E:$E,0))&lt;&gt;0,INDEX(使用レシピ!F:F,MATCH(テンプレート!$C650,使用レシピ!$E:$E,0)),""),"")</f>
        <v/>
      </c>
      <c r="E650" t="str">
        <f>IFERROR(IF(INDEX(使用レシピ!G:G,MATCH(テンプレート!$C650,使用レシピ!$E:$E,0))&lt;&gt;0,INDEX(使用レシピ!G:G,MATCH(テンプレート!$C650,使用レシピ!$E:$E,0)),""),"")</f>
        <v/>
      </c>
      <c r="F650" t="str">
        <f>IFERROR(IF(INDEX(使用レシピ!H:H,MATCH(テンプレート!$C650,使用レシピ!$E:$E,0))&lt;&gt;0,INDEX(使用レシピ!H:H,MATCH(テンプレート!$C650,使用レシピ!$E:$E,0)),""),"")</f>
        <v/>
      </c>
      <c r="G650" t="str">
        <f>IFERROR(IF(INDEX(使用レシピ!I:I,MATCH(テンプレート!$C650,使用レシピ!$E:$E,0))&lt;&gt;0,INDEX(使用レシピ!I:I,MATCH(テンプレート!$C650,使用レシピ!$E:$E,0)),""),"")</f>
        <v/>
      </c>
      <c r="H650" s="24" t="str">
        <f>IFERROR(IF(INDEX(使用レシピ!J:J,MATCH(テンプレート!$C650,使用レシピ!$E:$E,0))&lt;&gt;0,INDEX(使用レシピ!J:J,MATCH(テンプレート!$C650,使用レシピ!$E:$E,0)),""),"")</f>
        <v/>
      </c>
      <c r="I650" s="36" t="str">
        <f>IFERROR(IF(INDEX(使用レシピ!P:P,MATCH(テンプレート!$C650,使用レシピ!$E:$E,0))&lt;&gt;0,INDEX(使用レシピ!P:P,MATCH(テンプレート!$C650,使用レシピ!$E:$E,0)),""),"")</f>
        <v/>
      </c>
      <c r="J650" t="str">
        <f>IFERROR(IF(INDEX(使用レシピ!K:K,MATCH(テンプレート!$C650,使用レシピ!$E:$E,0))&lt;&gt;0,INDEX(使用レシピ!K:K,MATCH(テンプレート!$C650,使用レシピ!$E:$E,0)),""),"")</f>
        <v/>
      </c>
      <c r="K650" t="str">
        <f>IFERROR(IF(INDEX(使用レシピ!L:L,MATCH(テンプレート!$C650,使用レシピ!$E:$E,0))&lt;&gt;0,INDEX(使用レシピ!L:L,MATCH(テンプレート!$C650,使用レシピ!$E:$E,0)),""),"")</f>
        <v/>
      </c>
      <c r="L650" t="str">
        <f>IFERROR(IF(INDEX(使用レシピ!M:M,MATCH(テンプレート!$C650,使用レシピ!$E:$E,0))&lt;&gt;0,INDEX(使用レシピ!M:M,MATCH(テンプレート!$C650,使用レシピ!$E:$E,0)),""),"")</f>
        <v/>
      </c>
      <c r="M650" t="str">
        <f>IFERROR(IF(INDEX(使用レシピ!N:N,MATCH(テンプレート!$C650,使用レシピ!$E:$E,0))&lt;&gt;0,INDEX(使用レシピ!N:N,MATCH(テンプレート!$C650,使用レシピ!$E:$E,0)),""),"")</f>
        <v/>
      </c>
      <c r="N650" s="24" t="str">
        <f>IFERROR(IF(INDEX(使用レシピ!O:O,MATCH(テンプレート!$C650,使用レシピ!$E:$E,0))&lt;&gt;0,INDEX(使用レシピ!O:O,MATCH(テンプレート!$C650,使用レシピ!$E:$E,0)),""),"")</f>
        <v/>
      </c>
      <c r="O650" s="36" t="str">
        <f>IFERROR(IF(INDEX(使用レシピ!P:P,MATCH(テンプレート!$C650,使用レシピ!$E:$E,0))&lt;&gt;0,INDEX(使用レシピ!P:P,MATCH(テンプレート!$C650,使用レシピ!$E:$E,0)),""),"")</f>
        <v/>
      </c>
      <c r="P650" t="str">
        <f t="shared" si="51"/>
        <v/>
      </c>
      <c r="Q650" t="str">
        <f t="shared" si="52"/>
        <v/>
      </c>
      <c r="R650" t="str">
        <f t="shared" si="53"/>
        <v/>
      </c>
      <c r="S650" t="str">
        <f t="shared" si="54"/>
        <v/>
      </c>
      <c r="T650" s="24" t="str">
        <f t="shared" si="55"/>
        <v/>
      </c>
    </row>
    <row r="651" spans="2:20" x14ac:dyDescent="0.4">
      <c r="B651" s="49" t="str" cm="1">
        <f t="array" ref="B651">IFERROR((INDEX($P$4:$T$1000,MATCH(VALUE(LEFT($A651,LEN($A651)-1)),$A$4:$A$1000,0),VALUE(RIGHT($A651,1)))/ INDEX($O$4:$O$1000,MATCH(VALUE(LEFT($A651,LEN($A651)-1)),$A$4:$A$1000))) * INDEX($B$4:$B$1000,MATCH(VALUE(LEFT($A651,LEN($A651)-1)),$A$4:$A$1000)),"")</f>
        <v/>
      </c>
      <c r="C651" s="2" t="str" cm="1">
        <f t="array" ref="C651">IFERROR(IF(INDEX($D$4:$H$1000,MATCH(VALUE(LEFT($A651,LEN($A651)-1)),$A$4:$A$1000,0),VALUE(RIGHT($A651,1)))= 0,"",INDEX($D$4:$H$1000,MATCH(VALUE(LEFT($A651,LEN($A651)-1)),$A$4:$A$1000,0),VALUE(RIGHT($A651,1)))),"")</f>
        <v/>
      </c>
      <c r="D651" s="23" t="str">
        <f>IFERROR(IF(INDEX(使用レシピ!F:F,MATCH(テンプレート!$C651,使用レシピ!$E:$E,0))&lt;&gt;0,INDEX(使用レシピ!F:F,MATCH(テンプレート!$C651,使用レシピ!$E:$E,0)),""),"")</f>
        <v/>
      </c>
      <c r="E651" t="str">
        <f>IFERROR(IF(INDEX(使用レシピ!G:G,MATCH(テンプレート!$C651,使用レシピ!$E:$E,0))&lt;&gt;0,INDEX(使用レシピ!G:G,MATCH(テンプレート!$C651,使用レシピ!$E:$E,0)),""),"")</f>
        <v/>
      </c>
      <c r="F651" t="str">
        <f>IFERROR(IF(INDEX(使用レシピ!H:H,MATCH(テンプレート!$C651,使用レシピ!$E:$E,0))&lt;&gt;0,INDEX(使用レシピ!H:H,MATCH(テンプレート!$C651,使用レシピ!$E:$E,0)),""),"")</f>
        <v/>
      </c>
      <c r="G651" t="str">
        <f>IFERROR(IF(INDEX(使用レシピ!I:I,MATCH(テンプレート!$C651,使用レシピ!$E:$E,0))&lt;&gt;0,INDEX(使用レシピ!I:I,MATCH(テンプレート!$C651,使用レシピ!$E:$E,0)),""),"")</f>
        <v/>
      </c>
      <c r="H651" s="24" t="str">
        <f>IFERROR(IF(INDEX(使用レシピ!J:J,MATCH(テンプレート!$C651,使用レシピ!$E:$E,0))&lt;&gt;0,INDEX(使用レシピ!J:J,MATCH(テンプレート!$C651,使用レシピ!$E:$E,0)),""),"")</f>
        <v/>
      </c>
      <c r="I651" s="36" t="str">
        <f>IFERROR(IF(INDEX(使用レシピ!P:P,MATCH(テンプレート!$C651,使用レシピ!$E:$E,0))&lt;&gt;0,INDEX(使用レシピ!P:P,MATCH(テンプレート!$C651,使用レシピ!$E:$E,0)),""),"")</f>
        <v/>
      </c>
      <c r="J651" t="str">
        <f>IFERROR(IF(INDEX(使用レシピ!K:K,MATCH(テンプレート!$C651,使用レシピ!$E:$E,0))&lt;&gt;0,INDEX(使用レシピ!K:K,MATCH(テンプレート!$C651,使用レシピ!$E:$E,0)),""),"")</f>
        <v/>
      </c>
      <c r="K651" t="str">
        <f>IFERROR(IF(INDEX(使用レシピ!L:L,MATCH(テンプレート!$C651,使用レシピ!$E:$E,0))&lt;&gt;0,INDEX(使用レシピ!L:L,MATCH(テンプレート!$C651,使用レシピ!$E:$E,0)),""),"")</f>
        <v/>
      </c>
      <c r="L651" t="str">
        <f>IFERROR(IF(INDEX(使用レシピ!M:M,MATCH(テンプレート!$C651,使用レシピ!$E:$E,0))&lt;&gt;0,INDEX(使用レシピ!M:M,MATCH(テンプレート!$C651,使用レシピ!$E:$E,0)),""),"")</f>
        <v/>
      </c>
      <c r="M651" t="str">
        <f>IFERROR(IF(INDEX(使用レシピ!N:N,MATCH(テンプレート!$C651,使用レシピ!$E:$E,0))&lt;&gt;0,INDEX(使用レシピ!N:N,MATCH(テンプレート!$C651,使用レシピ!$E:$E,0)),""),"")</f>
        <v/>
      </c>
      <c r="N651" s="24" t="str">
        <f>IFERROR(IF(INDEX(使用レシピ!O:O,MATCH(テンプレート!$C651,使用レシピ!$E:$E,0))&lt;&gt;0,INDEX(使用レシピ!O:O,MATCH(テンプレート!$C651,使用レシピ!$E:$E,0)),""),"")</f>
        <v/>
      </c>
      <c r="O651" s="36" t="str">
        <f>IFERROR(IF(INDEX(使用レシピ!P:P,MATCH(テンプレート!$C651,使用レシピ!$E:$E,0))&lt;&gt;0,INDEX(使用レシピ!P:P,MATCH(テンプレート!$C651,使用レシピ!$E:$E,0)),""),"")</f>
        <v/>
      </c>
      <c r="P651" t="str">
        <f t="shared" si="51"/>
        <v/>
      </c>
      <c r="Q651" t="str">
        <f t="shared" si="52"/>
        <v/>
      </c>
      <c r="R651" t="str">
        <f t="shared" si="53"/>
        <v/>
      </c>
      <c r="S651" t="str">
        <f t="shared" si="54"/>
        <v/>
      </c>
      <c r="T651" s="24" t="str">
        <f t="shared" si="55"/>
        <v/>
      </c>
    </row>
    <row r="652" spans="2:20" x14ac:dyDescent="0.4">
      <c r="B652" s="49" t="str" cm="1">
        <f t="array" ref="B652">IFERROR((INDEX($P$4:$T$1000,MATCH(VALUE(LEFT($A652,LEN($A652)-1)),$A$4:$A$1000,0),VALUE(RIGHT($A652,1)))/ INDEX($O$4:$O$1000,MATCH(VALUE(LEFT($A652,LEN($A652)-1)),$A$4:$A$1000))) * INDEX($B$4:$B$1000,MATCH(VALUE(LEFT($A652,LEN($A652)-1)),$A$4:$A$1000)),"")</f>
        <v/>
      </c>
      <c r="C652" s="2" t="str" cm="1">
        <f t="array" ref="C652">IFERROR(IF(INDEX($D$4:$H$1000,MATCH(VALUE(LEFT($A652,LEN($A652)-1)),$A$4:$A$1000,0),VALUE(RIGHT($A652,1)))= 0,"",INDEX($D$4:$H$1000,MATCH(VALUE(LEFT($A652,LEN($A652)-1)),$A$4:$A$1000,0),VALUE(RIGHT($A652,1)))),"")</f>
        <v/>
      </c>
      <c r="D652" s="23" t="str">
        <f>IFERROR(IF(INDEX(使用レシピ!F:F,MATCH(テンプレート!$C652,使用レシピ!$E:$E,0))&lt;&gt;0,INDEX(使用レシピ!F:F,MATCH(テンプレート!$C652,使用レシピ!$E:$E,0)),""),"")</f>
        <v/>
      </c>
      <c r="E652" t="str">
        <f>IFERROR(IF(INDEX(使用レシピ!G:G,MATCH(テンプレート!$C652,使用レシピ!$E:$E,0))&lt;&gt;0,INDEX(使用レシピ!G:G,MATCH(テンプレート!$C652,使用レシピ!$E:$E,0)),""),"")</f>
        <v/>
      </c>
      <c r="F652" t="str">
        <f>IFERROR(IF(INDEX(使用レシピ!H:H,MATCH(テンプレート!$C652,使用レシピ!$E:$E,0))&lt;&gt;0,INDEX(使用レシピ!H:H,MATCH(テンプレート!$C652,使用レシピ!$E:$E,0)),""),"")</f>
        <v/>
      </c>
      <c r="G652" t="str">
        <f>IFERROR(IF(INDEX(使用レシピ!I:I,MATCH(テンプレート!$C652,使用レシピ!$E:$E,0))&lt;&gt;0,INDEX(使用レシピ!I:I,MATCH(テンプレート!$C652,使用レシピ!$E:$E,0)),""),"")</f>
        <v/>
      </c>
      <c r="H652" s="24" t="str">
        <f>IFERROR(IF(INDEX(使用レシピ!J:J,MATCH(テンプレート!$C652,使用レシピ!$E:$E,0))&lt;&gt;0,INDEX(使用レシピ!J:J,MATCH(テンプレート!$C652,使用レシピ!$E:$E,0)),""),"")</f>
        <v/>
      </c>
      <c r="I652" s="36" t="str">
        <f>IFERROR(IF(INDEX(使用レシピ!P:P,MATCH(テンプレート!$C652,使用レシピ!$E:$E,0))&lt;&gt;0,INDEX(使用レシピ!P:P,MATCH(テンプレート!$C652,使用レシピ!$E:$E,0)),""),"")</f>
        <v/>
      </c>
      <c r="J652" t="str">
        <f>IFERROR(IF(INDEX(使用レシピ!K:K,MATCH(テンプレート!$C652,使用レシピ!$E:$E,0))&lt;&gt;0,INDEX(使用レシピ!K:K,MATCH(テンプレート!$C652,使用レシピ!$E:$E,0)),""),"")</f>
        <v/>
      </c>
      <c r="K652" t="str">
        <f>IFERROR(IF(INDEX(使用レシピ!L:L,MATCH(テンプレート!$C652,使用レシピ!$E:$E,0))&lt;&gt;0,INDEX(使用レシピ!L:L,MATCH(テンプレート!$C652,使用レシピ!$E:$E,0)),""),"")</f>
        <v/>
      </c>
      <c r="L652" t="str">
        <f>IFERROR(IF(INDEX(使用レシピ!M:M,MATCH(テンプレート!$C652,使用レシピ!$E:$E,0))&lt;&gt;0,INDEX(使用レシピ!M:M,MATCH(テンプレート!$C652,使用レシピ!$E:$E,0)),""),"")</f>
        <v/>
      </c>
      <c r="M652" t="str">
        <f>IFERROR(IF(INDEX(使用レシピ!N:N,MATCH(テンプレート!$C652,使用レシピ!$E:$E,0))&lt;&gt;0,INDEX(使用レシピ!N:N,MATCH(テンプレート!$C652,使用レシピ!$E:$E,0)),""),"")</f>
        <v/>
      </c>
      <c r="N652" s="24" t="str">
        <f>IFERROR(IF(INDEX(使用レシピ!O:O,MATCH(テンプレート!$C652,使用レシピ!$E:$E,0))&lt;&gt;0,INDEX(使用レシピ!O:O,MATCH(テンプレート!$C652,使用レシピ!$E:$E,0)),""),"")</f>
        <v/>
      </c>
      <c r="O652" s="36" t="str">
        <f>IFERROR(IF(INDEX(使用レシピ!P:P,MATCH(テンプレート!$C652,使用レシピ!$E:$E,0))&lt;&gt;0,INDEX(使用レシピ!P:P,MATCH(テンプレート!$C652,使用レシピ!$E:$E,0)),""),"")</f>
        <v/>
      </c>
      <c r="P652" t="str">
        <f t="shared" si="51"/>
        <v/>
      </c>
      <c r="Q652" t="str">
        <f t="shared" si="52"/>
        <v/>
      </c>
      <c r="R652" t="str">
        <f t="shared" si="53"/>
        <v/>
      </c>
      <c r="S652" t="str">
        <f t="shared" si="54"/>
        <v/>
      </c>
      <c r="T652" s="24" t="str">
        <f t="shared" si="55"/>
        <v/>
      </c>
    </row>
    <row r="653" spans="2:20" x14ac:dyDescent="0.4">
      <c r="B653" s="49" t="str" cm="1">
        <f t="array" ref="B653">IFERROR((INDEX($P$4:$T$1000,MATCH(VALUE(LEFT($A653,LEN($A653)-1)),$A$4:$A$1000,0),VALUE(RIGHT($A653,1)))/ INDEX($O$4:$O$1000,MATCH(VALUE(LEFT($A653,LEN($A653)-1)),$A$4:$A$1000))) * INDEX($B$4:$B$1000,MATCH(VALUE(LEFT($A653,LEN($A653)-1)),$A$4:$A$1000)),"")</f>
        <v/>
      </c>
      <c r="C653" s="2" t="str" cm="1">
        <f t="array" ref="C653">IFERROR(IF(INDEX($D$4:$H$1000,MATCH(VALUE(LEFT($A653,LEN($A653)-1)),$A$4:$A$1000,0),VALUE(RIGHT($A653,1)))= 0,"",INDEX($D$4:$H$1000,MATCH(VALUE(LEFT($A653,LEN($A653)-1)),$A$4:$A$1000,0),VALUE(RIGHT($A653,1)))),"")</f>
        <v/>
      </c>
      <c r="D653" s="23" t="str">
        <f>IFERROR(IF(INDEX(使用レシピ!F:F,MATCH(テンプレート!$C653,使用レシピ!$E:$E,0))&lt;&gt;0,INDEX(使用レシピ!F:F,MATCH(テンプレート!$C653,使用レシピ!$E:$E,0)),""),"")</f>
        <v/>
      </c>
      <c r="E653" t="str">
        <f>IFERROR(IF(INDEX(使用レシピ!G:G,MATCH(テンプレート!$C653,使用レシピ!$E:$E,0))&lt;&gt;0,INDEX(使用レシピ!G:G,MATCH(テンプレート!$C653,使用レシピ!$E:$E,0)),""),"")</f>
        <v/>
      </c>
      <c r="F653" t="str">
        <f>IFERROR(IF(INDEX(使用レシピ!H:H,MATCH(テンプレート!$C653,使用レシピ!$E:$E,0))&lt;&gt;0,INDEX(使用レシピ!H:H,MATCH(テンプレート!$C653,使用レシピ!$E:$E,0)),""),"")</f>
        <v/>
      </c>
      <c r="G653" t="str">
        <f>IFERROR(IF(INDEX(使用レシピ!I:I,MATCH(テンプレート!$C653,使用レシピ!$E:$E,0))&lt;&gt;0,INDEX(使用レシピ!I:I,MATCH(テンプレート!$C653,使用レシピ!$E:$E,0)),""),"")</f>
        <v/>
      </c>
      <c r="H653" s="24" t="str">
        <f>IFERROR(IF(INDEX(使用レシピ!J:J,MATCH(テンプレート!$C653,使用レシピ!$E:$E,0))&lt;&gt;0,INDEX(使用レシピ!J:J,MATCH(テンプレート!$C653,使用レシピ!$E:$E,0)),""),"")</f>
        <v/>
      </c>
      <c r="I653" s="36" t="str">
        <f>IFERROR(IF(INDEX(使用レシピ!P:P,MATCH(テンプレート!$C653,使用レシピ!$E:$E,0))&lt;&gt;0,INDEX(使用レシピ!P:P,MATCH(テンプレート!$C653,使用レシピ!$E:$E,0)),""),"")</f>
        <v/>
      </c>
      <c r="J653" t="str">
        <f>IFERROR(IF(INDEX(使用レシピ!K:K,MATCH(テンプレート!$C653,使用レシピ!$E:$E,0))&lt;&gt;0,INDEX(使用レシピ!K:K,MATCH(テンプレート!$C653,使用レシピ!$E:$E,0)),""),"")</f>
        <v/>
      </c>
      <c r="K653" t="str">
        <f>IFERROR(IF(INDEX(使用レシピ!L:L,MATCH(テンプレート!$C653,使用レシピ!$E:$E,0))&lt;&gt;0,INDEX(使用レシピ!L:L,MATCH(テンプレート!$C653,使用レシピ!$E:$E,0)),""),"")</f>
        <v/>
      </c>
      <c r="L653" t="str">
        <f>IFERROR(IF(INDEX(使用レシピ!M:M,MATCH(テンプレート!$C653,使用レシピ!$E:$E,0))&lt;&gt;0,INDEX(使用レシピ!M:M,MATCH(テンプレート!$C653,使用レシピ!$E:$E,0)),""),"")</f>
        <v/>
      </c>
      <c r="M653" t="str">
        <f>IFERROR(IF(INDEX(使用レシピ!N:N,MATCH(テンプレート!$C653,使用レシピ!$E:$E,0))&lt;&gt;0,INDEX(使用レシピ!N:N,MATCH(テンプレート!$C653,使用レシピ!$E:$E,0)),""),"")</f>
        <v/>
      </c>
      <c r="N653" s="24" t="str">
        <f>IFERROR(IF(INDEX(使用レシピ!O:O,MATCH(テンプレート!$C653,使用レシピ!$E:$E,0))&lt;&gt;0,INDEX(使用レシピ!O:O,MATCH(テンプレート!$C653,使用レシピ!$E:$E,0)),""),"")</f>
        <v/>
      </c>
      <c r="O653" s="36" t="str">
        <f>IFERROR(IF(INDEX(使用レシピ!P:P,MATCH(テンプレート!$C653,使用レシピ!$E:$E,0))&lt;&gt;0,INDEX(使用レシピ!P:P,MATCH(テンプレート!$C653,使用レシピ!$E:$E,0)),""),"")</f>
        <v/>
      </c>
      <c r="P653" t="str">
        <f t="shared" si="51"/>
        <v/>
      </c>
      <c r="Q653" t="str">
        <f t="shared" si="52"/>
        <v/>
      </c>
      <c r="R653" t="str">
        <f t="shared" si="53"/>
        <v/>
      </c>
      <c r="S653" t="str">
        <f t="shared" si="54"/>
        <v/>
      </c>
      <c r="T653" s="24" t="str">
        <f t="shared" si="55"/>
        <v/>
      </c>
    </row>
    <row r="654" spans="2:20" x14ac:dyDescent="0.4">
      <c r="B654" s="49" t="str" cm="1">
        <f t="array" ref="B654">IFERROR((INDEX($P$4:$T$1000,MATCH(VALUE(LEFT($A654,LEN($A654)-1)),$A$4:$A$1000,0),VALUE(RIGHT($A654,1)))/ INDEX($O$4:$O$1000,MATCH(VALUE(LEFT($A654,LEN($A654)-1)),$A$4:$A$1000))) * INDEX($B$4:$B$1000,MATCH(VALUE(LEFT($A654,LEN($A654)-1)),$A$4:$A$1000)),"")</f>
        <v/>
      </c>
      <c r="C654" s="2" t="str" cm="1">
        <f t="array" ref="C654">IFERROR(IF(INDEX($D$4:$H$1000,MATCH(VALUE(LEFT($A654,LEN($A654)-1)),$A$4:$A$1000,0),VALUE(RIGHT($A654,1)))= 0,"",INDEX($D$4:$H$1000,MATCH(VALUE(LEFT($A654,LEN($A654)-1)),$A$4:$A$1000,0),VALUE(RIGHT($A654,1)))),"")</f>
        <v/>
      </c>
      <c r="D654" s="23" t="str">
        <f>IFERROR(IF(INDEX(使用レシピ!F:F,MATCH(テンプレート!$C654,使用レシピ!$E:$E,0))&lt;&gt;0,INDEX(使用レシピ!F:F,MATCH(テンプレート!$C654,使用レシピ!$E:$E,0)),""),"")</f>
        <v/>
      </c>
      <c r="E654" t="str">
        <f>IFERROR(IF(INDEX(使用レシピ!G:G,MATCH(テンプレート!$C654,使用レシピ!$E:$E,0))&lt;&gt;0,INDEX(使用レシピ!G:G,MATCH(テンプレート!$C654,使用レシピ!$E:$E,0)),""),"")</f>
        <v/>
      </c>
      <c r="F654" t="str">
        <f>IFERROR(IF(INDEX(使用レシピ!H:H,MATCH(テンプレート!$C654,使用レシピ!$E:$E,0))&lt;&gt;0,INDEX(使用レシピ!H:H,MATCH(テンプレート!$C654,使用レシピ!$E:$E,0)),""),"")</f>
        <v/>
      </c>
      <c r="G654" t="str">
        <f>IFERROR(IF(INDEX(使用レシピ!I:I,MATCH(テンプレート!$C654,使用レシピ!$E:$E,0))&lt;&gt;0,INDEX(使用レシピ!I:I,MATCH(テンプレート!$C654,使用レシピ!$E:$E,0)),""),"")</f>
        <v/>
      </c>
      <c r="H654" s="24" t="str">
        <f>IFERROR(IF(INDEX(使用レシピ!J:J,MATCH(テンプレート!$C654,使用レシピ!$E:$E,0))&lt;&gt;0,INDEX(使用レシピ!J:J,MATCH(テンプレート!$C654,使用レシピ!$E:$E,0)),""),"")</f>
        <v/>
      </c>
      <c r="I654" s="36" t="str">
        <f>IFERROR(IF(INDEX(使用レシピ!P:P,MATCH(テンプレート!$C654,使用レシピ!$E:$E,0))&lt;&gt;0,INDEX(使用レシピ!P:P,MATCH(テンプレート!$C654,使用レシピ!$E:$E,0)),""),"")</f>
        <v/>
      </c>
      <c r="J654" t="str">
        <f>IFERROR(IF(INDEX(使用レシピ!K:K,MATCH(テンプレート!$C654,使用レシピ!$E:$E,0))&lt;&gt;0,INDEX(使用レシピ!K:K,MATCH(テンプレート!$C654,使用レシピ!$E:$E,0)),""),"")</f>
        <v/>
      </c>
      <c r="K654" t="str">
        <f>IFERROR(IF(INDEX(使用レシピ!L:L,MATCH(テンプレート!$C654,使用レシピ!$E:$E,0))&lt;&gt;0,INDEX(使用レシピ!L:L,MATCH(テンプレート!$C654,使用レシピ!$E:$E,0)),""),"")</f>
        <v/>
      </c>
      <c r="L654" t="str">
        <f>IFERROR(IF(INDEX(使用レシピ!M:M,MATCH(テンプレート!$C654,使用レシピ!$E:$E,0))&lt;&gt;0,INDEX(使用レシピ!M:M,MATCH(テンプレート!$C654,使用レシピ!$E:$E,0)),""),"")</f>
        <v/>
      </c>
      <c r="M654" t="str">
        <f>IFERROR(IF(INDEX(使用レシピ!N:N,MATCH(テンプレート!$C654,使用レシピ!$E:$E,0))&lt;&gt;0,INDEX(使用レシピ!N:N,MATCH(テンプレート!$C654,使用レシピ!$E:$E,0)),""),"")</f>
        <v/>
      </c>
      <c r="N654" s="24" t="str">
        <f>IFERROR(IF(INDEX(使用レシピ!O:O,MATCH(テンプレート!$C654,使用レシピ!$E:$E,0))&lt;&gt;0,INDEX(使用レシピ!O:O,MATCH(テンプレート!$C654,使用レシピ!$E:$E,0)),""),"")</f>
        <v/>
      </c>
      <c r="O654" s="36" t="str">
        <f>IFERROR(IF(INDEX(使用レシピ!P:P,MATCH(テンプレート!$C654,使用レシピ!$E:$E,0))&lt;&gt;0,INDEX(使用レシピ!P:P,MATCH(テンプレート!$C654,使用レシピ!$E:$E,0)),""),"")</f>
        <v/>
      </c>
      <c r="P654" t="str">
        <f t="shared" si="51"/>
        <v/>
      </c>
      <c r="Q654" t="str">
        <f t="shared" si="52"/>
        <v/>
      </c>
      <c r="R654" t="str">
        <f t="shared" si="53"/>
        <v/>
      </c>
      <c r="S654" t="str">
        <f t="shared" si="54"/>
        <v/>
      </c>
      <c r="T654" s="24" t="str">
        <f t="shared" si="55"/>
        <v/>
      </c>
    </row>
    <row r="655" spans="2:20" x14ac:dyDescent="0.4">
      <c r="B655" s="49" t="str" cm="1">
        <f t="array" ref="B655">IFERROR((INDEX($P$4:$T$1000,MATCH(VALUE(LEFT($A655,LEN($A655)-1)),$A$4:$A$1000,0),VALUE(RIGHT($A655,1)))/ INDEX($O$4:$O$1000,MATCH(VALUE(LEFT($A655,LEN($A655)-1)),$A$4:$A$1000))) * INDEX($B$4:$B$1000,MATCH(VALUE(LEFT($A655,LEN($A655)-1)),$A$4:$A$1000)),"")</f>
        <v/>
      </c>
      <c r="C655" s="2" t="str" cm="1">
        <f t="array" ref="C655">IFERROR(IF(INDEX($D$4:$H$1000,MATCH(VALUE(LEFT($A655,LEN($A655)-1)),$A$4:$A$1000,0),VALUE(RIGHT($A655,1)))= 0,"",INDEX($D$4:$H$1000,MATCH(VALUE(LEFT($A655,LEN($A655)-1)),$A$4:$A$1000,0),VALUE(RIGHT($A655,1)))),"")</f>
        <v/>
      </c>
      <c r="D655" s="23" t="str">
        <f>IFERROR(IF(INDEX(使用レシピ!F:F,MATCH(テンプレート!$C655,使用レシピ!$E:$E,0))&lt;&gt;0,INDEX(使用レシピ!F:F,MATCH(テンプレート!$C655,使用レシピ!$E:$E,0)),""),"")</f>
        <v/>
      </c>
      <c r="E655" t="str">
        <f>IFERROR(IF(INDEX(使用レシピ!G:G,MATCH(テンプレート!$C655,使用レシピ!$E:$E,0))&lt;&gt;0,INDEX(使用レシピ!G:G,MATCH(テンプレート!$C655,使用レシピ!$E:$E,0)),""),"")</f>
        <v/>
      </c>
      <c r="F655" t="str">
        <f>IFERROR(IF(INDEX(使用レシピ!H:H,MATCH(テンプレート!$C655,使用レシピ!$E:$E,0))&lt;&gt;0,INDEX(使用レシピ!H:H,MATCH(テンプレート!$C655,使用レシピ!$E:$E,0)),""),"")</f>
        <v/>
      </c>
      <c r="G655" t="str">
        <f>IFERROR(IF(INDEX(使用レシピ!I:I,MATCH(テンプレート!$C655,使用レシピ!$E:$E,0))&lt;&gt;0,INDEX(使用レシピ!I:I,MATCH(テンプレート!$C655,使用レシピ!$E:$E,0)),""),"")</f>
        <v/>
      </c>
      <c r="H655" s="24" t="str">
        <f>IFERROR(IF(INDEX(使用レシピ!J:J,MATCH(テンプレート!$C655,使用レシピ!$E:$E,0))&lt;&gt;0,INDEX(使用レシピ!J:J,MATCH(テンプレート!$C655,使用レシピ!$E:$E,0)),""),"")</f>
        <v/>
      </c>
      <c r="I655" s="36" t="str">
        <f>IFERROR(IF(INDEX(使用レシピ!P:P,MATCH(テンプレート!$C655,使用レシピ!$E:$E,0))&lt;&gt;0,INDEX(使用レシピ!P:P,MATCH(テンプレート!$C655,使用レシピ!$E:$E,0)),""),"")</f>
        <v/>
      </c>
      <c r="J655" t="str">
        <f>IFERROR(IF(INDEX(使用レシピ!K:K,MATCH(テンプレート!$C655,使用レシピ!$E:$E,0))&lt;&gt;0,INDEX(使用レシピ!K:K,MATCH(テンプレート!$C655,使用レシピ!$E:$E,0)),""),"")</f>
        <v/>
      </c>
      <c r="K655" t="str">
        <f>IFERROR(IF(INDEX(使用レシピ!L:L,MATCH(テンプレート!$C655,使用レシピ!$E:$E,0))&lt;&gt;0,INDEX(使用レシピ!L:L,MATCH(テンプレート!$C655,使用レシピ!$E:$E,0)),""),"")</f>
        <v/>
      </c>
      <c r="L655" t="str">
        <f>IFERROR(IF(INDEX(使用レシピ!M:M,MATCH(テンプレート!$C655,使用レシピ!$E:$E,0))&lt;&gt;0,INDEX(使用レシピ!M:M,MATCH(テンプレート!$C655,使用レシピ!$E:$E,0)),""),"")</f>
        <v/>
      </c>
      <c r="M655" t="str">
        <f>IFERROR(IF(INDEX(使用レシピ!N:N,MATCH(テンプレート!$C655,使用レシピ!$E:$E,0))&lt;&gt;0,INDEX(使用レシピ!N:N,MATCH(テンプレート!$C655,使用レシピ!$E:$E,0)),""),"")</f>
        <v/>
      </c>
      <c r="N655" s="24" t="str">
        <f>IFERROR(IF(INDEX(使用レシピ!O:O,MATCH(テンプレート!$C655,使用レシピ!$E:$E,0))&lt;&gt;0,INDEX(使用レシピ!O:O,MATCH(テンプレート!$C655,使用レシピ!$E:$E,0)),""),"")</f>
        <v/>
      </c>
      <c r="O655" s="36" t="str">
        <f>IFERROR(IF(INDEX(使用レシピ!P:P,MATCH(テンプレート!$C655,使用レシピ!$E:$E,0))&lt;&gt;0,INDEX(使用レシピ!P:P,MATCH(テンプレート!$C655,使用レシピ!$E:$E,0)),""),"")</f>
        <v/>
      </c>
      <c r="P655" t="str">
        <f t="shared" si="51"/>
        <v/>
      </c>
      <c r="Q655" t="str">
        <f t="shared" si="52"/>
        <v/>
      </c>
      <c r="R655" t="str">
        <f t="shared" si="53"/>
        <v/>
      </c>
      <c r="S655" t="str">
        <f t="shared" si="54"/>
        <v/>
      </c>
      <c r="T655" s="24" t="str">
        <f t="shared" si="55"/>
        <v/>
      </c>
    </row>
    <row r="656" spans="2:20" x14ac:dyDescent="0.4">
      <c r="B656" s="49" t="str" cm="1">
        <f t="array" ref="B656">IFERROR((INDEX($P$4:$T$1000,MATCH(VALUE(LEFT($A656,LEN($A656)-1)),$A$4:$A$1000,0),VALUE(RIGHT($A656,1)))/ INDEX($O$4:$O$1000,MATCH(VALUE(LEFT($A656,LEN($A656)-1)),$A$4:$A$1000))) * INDEX($B$4:$B$1000,MATCH(VALUE(LEFT($A656,LEN($A656)-1)),$A$4:$A$1000)),"")</f>
        <v/>
      </c>
      <c r="C656" s="2" t="str" cm="1">
        <f t="array" ref="C656">IFERROR(IF(INDEX($D$4:$H$1000,MATCH(VALUE(LEFT($A656,LEN($A656)-1)),$A$4:$A$1000,0),VALUE(RIGHT($A656,1)))= 0,"",INDEX($D$4:$H$1000,MATCH(VALUE(LEFT($A656,LEN($A656)-1)),$A$4:$A$1000,0),VALUE(RIGHT($A656,1)))),"")</f>
        <v/>
      </c>
      <c r="D656" s="23" t="str">
        <f>IFERROR(IF(INDEX(使用レシピ!F:F,MATCH(テンプレート!$C656,使用レシピ!$E:$E,0))&lt;&gt;0,INDEX(使用レシピ!F:F,MATCH(テンプレート!$C656,使用レシピ!$E:$E,0)),""),"")</f>
        <v/>
      </c>
      <c r="E656" t="str">
        <f>IFERROR(IF(INDEX(使用レシピ!G:G,MATCH(テンプレート!$C656,使用レシピ!$E:$E,0))&lt;&gt;0,INDEX(使用レシピ!G:G,MATCH(テンプレート!$C656,使用レシピ!$E:$E,0)),""),"")</f>
        <v/>
      </c>
      <c r="F656" t="str">
        <f>IFERROR(IF(INDEX(使用レシピ!H:H,MATCH(テンプレート!$C656,使用レシピ!$E:$E,0))&lt;&gt;0,INDEX(使用レシピ!H:H,MATCH(テンプレート!$C656,使用レシピ!$E:$E,0)),""),"")</f>
        <v/>
      </c>
      <c r="G656" t="str">
        <f>IFERROR(IF(INDEX(使用レシピ!I:I,MATCH(テンプレート!$C656,使用レシピ!$E:$E,0))&lt;&gt;0,INDEX(使用レシピ!I:I,MATCH(テンプレート!$C656,使用レシピ!$E:$E,0)),""),"")</f>
        <v/>
      </c>
      <c r="H656" s="24" t="str">
        <f>IFERROR(IF(INDEX(使用レシピ!J:J,MATCH(テンプレート!$C656,使用レシピ!$E:$E,0))&lt;&gt;0,INDEX(使用レシピ!J:J,MATCH(テンプレート!$C656,使用レシピ!$E:$E,0)),""),"")</f>
        <v/>
      </c>
      <c r="I656" s="36" t="str">
        <f>IFERROR(IF(INDEX(使用レシピ!P:P,MATCH(テンプレート!$C656,使用レシピ!$E:$E,0))&lt;&gt;0,INDEX(使用レシピ!P:P,MATCH(テンプレート!$C656,使用レシピ!$E:$E,0)),""),"")</f>
        <v/>
      </c>
      <c r="J656" t="str">
        <f>IFERROR(IF(INDEX(使用レシピ!K:K,MATCH(テンプレート!$C656,使用レシピ!$E:$E,0))&lt;&gt;0,INDEX(使用レシピ!K:K,MATCH(テンプレート!$C656,使用レシピ!$E:$E,0)),""),"")</f>
        <v/>
      </c>
      <c r="K656" t="str">
        <f>IFERROR(IF(INDEX(使用レシピ!L:L,MATCH(テンプレート!$C656,使用レシピ!$E:$E,0))&lt;&gt;0,INDEX(使用レシピ!L:L,MATCH(テンプレート!$C656,使用レシピ!$E:$E,0)),""),"")</f>
        <v/>
      </c>
      <c r="L656" t="str">
        <f>IFERROR(IF(INDEX(使用レシピ!M:M,MATCH(テンプレート!$C656,使用レシピ!$E:$E,0))&lt;&gt;0,INDEX(使用レシピ!M:M,MATCH(テンプレート!$C656,使用レシピ!$E:$E,0)),""),"")</f>
        <v/>
      </c>
      <c r="M656" t="str">
        <f>IFERROR(IF(INDEX(使用レシピ!N:N,MATCH(テンプレート!$C656,使用レシピ!$E:$E,0))&lt;&gt;0,INDEX(使用レシピ!N:N,MATCH(テンプレート!$C656,使用レシピ!$E:$E,0)),""),"")</f>
        <v/>
      </c>
      <c r="N656" s="24" t="str">
        <f>IFERROR(IF(INDEX(使用レシピ!O:O,MATCH(テンプレート!$C656,使用レシピ!$E:$E,0))&lt;&gt;0,INDEX(使用レシピ!O:O,MATCH(テンプレート!$C656,使用レシピ!$E:$E,0)),""),"")</f>
        <v/>
      </c>
      <c r="O656" s="36" t="str">
        <f>IFERROR(IF(INDEX(使用レシピ!P:P,MATCH(テンプレート!$C656,使用レシピ!$E:$E,0))&lt;&gt;0,INDEX(使用レシピ!P:P,MATCH(テンプレート!$C656,使用レシピ!$E:$E,0)),""),"")</f>
        <v/>
      </c>
      <c r="P656" t="str">
        <f t="shared" si="51"/>
        <v/>
      </c>
      <c r="Q656" t="str">
        <f t="shared" si="52"/>
        <v/>
      </c>
      <c r="R656" t="str">
        <f t="shared" si="53"/>
        <v/>
      </c>
      <c r="S656" t="str">
        <f t="shared" si="54"/>
        <v/>
      </c>
      <c r="T656" s="24" t="str">
        <f t="shared" si="55"/>
        <v/>
      </c>
    </row>
    <row r="657" spans="2:20" x14ac:dyDescent="0.4">
      <c r="B657" s="49" t="str" cm="1">
        <f t="array" ref="B657">IFERROR((INDEX($P$4:$T$1000,MATCH(VALUE(LEFT($A657,LEN($A657)-1)),$A$4:$A$1000,0),VALUE(RIGHT($A657,1)))/ INDEX($O$4:$O$1000,MATCH(VALUE(LEFT($A657,LEN($A657)-1)),$A$4:$A$1000))) * INDEX($B$4:$B$1000,MATCH(VALUE(LEFT($A657,LEN($A657)-1)),$A$4:$A$1000)),"")</f>
        <v/>
      </c>
      <c r="C657" s="2" t="str" cm="1">
        <f t="array" ref="C657">IFERROR(IF(INDEX($D$4:$H$1000,MATCH(VALUE(LEFT($A657,LEN($A657)-1)),$A$4:$A$1000,0),VALUE(RIGHT($A657,1)))= 0,"",INDEX($D$4:$H$1000,MATCH(VALUE(LEFT($A657,LEN($A657)-1)),$A$4:$A$1000,0),VALUE(RIGHT($A657,1)))),"")</f>
        <v/>
      </c>
      <c r="D657" s="23" t="str">
        <f>IFERROR(IF(INDEX(使用レシピ!F:F,MATCH(テンプレート!$C657,使用レシピ!$E:$E,0))&lt;&gt;0,INDEX(使用レシピ!F:F,MATCH(テンプレート!$C657,使用レシピ!$E:$E,0)),""),"")</f>
        <v/>
      </c>
      <c r="E657" t="str">
        <f>IFERROR(IF(INDEX(使用レシピ!G:G,MATCH(テンプレート!$C657,使用レシピ!$E:$E,0))&lt;&gt;0,INDEX(使用レシピ!G:G,MATCH(テンプレート!$C657,使用レシピ!$E:$E,0)),""),"")</f>
        <v/>
      </c>
      <c r="F657" t="str">
        <f>IFERROR(IF(INDEX(使用レシピ!H:H,MATCH(テンプレート!$C657,使用レシピ!$E:$E,0))&lt;&gt;0,INDEX(使用レシピ!H:H,MATCH(テンプレート!$C657,使用レシピ!$E:$E,0)),""),"")</f>
        <v/>
      </c>
      <c r="G657" t="str">
        <f>IFERROR(IF(INDEX(使用レシピ!I:I,MATCH(テンプレート!$C657,使用レシピ!$E:$E,0))&lt;&gt;0,INDEX(使用レシピ!I:I,MATCH(テンプレート!$C657,使用レシピ!$E:$E,0)),""),"")</f>
        <v/>
      </c>
      <c r="H657" s="24" t="str">
        <f>IFERROR(IF(INDEX(使用レシピ!J:J,MATCH(テンプレート!$C657,使用レシピ!$E:$E,0))&lt;&gt;0,INDEX(使用レシピ!J:J,MATCH(テンプレート!$C657,使用レシピ!$E:$E,0)),""),"")</f>
        <v/>
      </c>
      <c r="I657" s="36" t="str">
        <f>IFERROR(IF(INDEX(使用レシピ!P:P,MATCH(テンプレート!$C657,使用レシピ!$E:$E,0))&lt;&gt;0,INDEX(使用レシピ!P:P,MATCH(テンプレート!$C657,使用レシピ!$E:$E,0)),""),"")</f>
        <v/>
      </c>
      <c r="J657" t="str">
        <f>IFERROR(IF(INDEX(使用レシピ!K:K,MATCH(テンプレート!$C657,使用レシピ!$E:$E,0))&lt;&gt;0,INDEX(使用レシピ!K:K,MATCH(テンプレート!$C657,使用レシピ!$E:$E,0)),""),"")</f>
        <v/>
      </c>
      <c r="K657" t="str">
        <f>IFERROR(IF(INDEX(使用レシピ!L:L,MATCH(テンプレート!$C657,使用レシピ!$E:$E,0))&lt;&gt;0,INDEX(使用レシピ!L:L,MATCH(テンプレート!$C657,使用レシピ!$E:$E,0)),""),"")</f>
        <v/>
      </c>
      <c r="L657" t="str">
        <f>IFERROR(IF(INDEX(使用レシピ!M:M,MATCH(テンプレート!$C657,使用レシピ!$E:$E,0))&lt;&gt;0,INDEX(使用レシピ!M:M,MATCH(テンプレート!$C657,使用レシピ!$E:$E,0)),""),"")</f>
        <v/>
      </c>
      <c r="M657" t="str">
        <f>IFERROR(IF(INDEX(使用レシピ!N:N,MATCH(テンプレート!$C657,使用レシピ!$E:$E,0))&lt;&gt;0,INDEX(使用レシピ!N:N,MATCH(テンプレート!$C657,使用レシピ!$E:$E,0)),""),"")</f>
        <v/>
      </c>
      <c r="N657" s="24" t="str">
        <f>IFERROR(IF(INDEX(使用レシピ!O:O,MATCH(テンプレート!$C657,使用レシピ!$E:$E,0))&lt;&gt;0,INDEX(使用レシピ!O:O,MATCH(テンプレート!$C657,使用レシピ!$E:$E,0)),""),"")</f>
        <v/>
      </c>
      <c r="O657" s="36" t="str">
        <f>IFERROR(IF(INDEX(使用レシピ!P:P,MATCH(テンプレート!$C657,使用レシピ!$E:$E,0))&lt;&gt;0,INDEX(使用レシピ!P:P,MATCH(テンプレート!$C657,使用レシピ!$E:$E,0)),""),"")</f>
        <v/>
      </c>
      <c r="P657" t="str">
        <f t="shared" si="51"/>
        <v/>
      </c>
      <c r="Q657" t="str">
        <f t="shared" si="52"/>
        <v/>
      </c>
      <c r="R657" t="str">
        <f t="shared" si="53"/>
        <v/>
      </c>
      <c r="S657" t="str">
        <f t="shared" si="54"/>
        <v/>
      </c>
      <c r="T657" s="24" t="str">
        <f t="shared" si="55"/>
        <v/>
      </c>
    </row>
    <row r="658" spans="2:20" x14ac:dyDescent="0.4">
      <c r="B658" s="49" t="str" cm="1">
        <f t="array" ref="B658">IFERROR((INDEX($P$4:$T$1000,MATCH(VALUE(LEFT($A658,LEN($A658)-1)),$A$4:$A$1000,0),VALUE(RIGHT($A658,1)))/ INDEX($O$4:$O$1000,MATCH(VALUE(LEFT($A658,LEN($A658)-1)),$A$4:$A$1000))) * INDEX($B$4:$B$1000,MATCH(VALUE(LEFT($A658,LEN($A658)-1)),$A$4:$A$1000)),"")</f>
        <v/>
      </c>
      <c r="C658" s="2" t="str" cm="1">
        <f t="array" ref="C658">IFERROR(IF(INDEX($D$4:$H$1000,MATCH(VALUE(LEFT($A658,LEN($A658)-1)),$A$4:$A$1000,0),VALUE(RIGHT($A658,1)))= 0,"",INDEX($D$4:$H$1000,MATCH(VALUE(LEFT($A658,LEN($A658)-1)),$A$4:$A$1000,0),VALUE(RIGHT($A658,1)))),"")</f>
        <v/>
      </c>
      <c r="D658" s="23" t="str">
        <f>IFERROR(IF(INDEX(使用レシピ!F:F,MATCH(テンプレート!$C658,使用レシピ!$E:$E,0))&lt;&gt;0,INDEX(使用レシピ!F:F,MATCH(テンプレート!$C658,使用レシピ!$E:$E,0)),""),"")</f>
        <v/>
      </c>
      <c r="E658" t="str">
        <f>IFERROR(IF(INDEX(使用レシピ!G:G,MATCH(テンプレート!$C658,使用レシピ!$E:$E,0))&lt;&gt;0,INDEX(使用レシピ!G:G,MATCH(テンプレート!$C658,使用レシピ!$E:$E,0)),""),"")</f>
        <v/>
      </c>
      <c r="F658" t="str">
        <f>IFERROR(IF(INDEX(使用レシピ!H:H,MATCH(テンプレート!$C658,使用レシピ!$E:$E,0))&lt;&gt;0,INDEX(使用レシピ!H:H,MATCH(テンプレート!$C658,使用レシピ!$E:$E,0)),""),"")</f>
        <v/>
      </c>
      <c r="G658" t="str">
        <f>IFERROR(IF(INDEX(使用レシピ!I:I,MATCH(テンプレート!$C658,使用レシピ!$E:$E,0))&lt;&gt;0,INDEX(使用レシピ!I:I,MATCH(テンプレート!$C658,使用レシピ!$E:$E,0)),""),"")</f>
        <v/>
      </c>
      <c r="H658" s="24" t="str">
        <f>IFERROR(IF(INDEX(使用レシピ!J:J,MATCH(テンプレート!$C658,使用レシピ!$E:$E,0))&lt;&gt;0,INDEX(使用レシピ!J:J,MATCH(テンプレート!$C658,使用レシピ!$E:$E,0)),""),"")</f>
        <v/>
      </c>
      <c r="I658" s="36" t="str">
        <f>IFERROR(IF(INDEX(使用レシピ!P:P,MATCH(テンプレート!$C658,使用レシピ!$E:$E,0))&lt;&gt;0,INDEX(使用レシピ!P:P,MATCH(テンプレート!$C658,使用レシピ!$E:$E,0)),""),"")</f>
        <v/>
      </c>
      <c r="J658" t="str">
        <f>IFERROR(IF(INDEX(使用レシピ!K:K,MATCH(テンプレート!$C658,使用レシピ!$E:$E,0))&lt;&gt;0,INDEX(使用レシピ!K:K,MATCH(テンプレート!$C658,使用レシピ!$E:$E,0)),""),"")</f>
        <v/>
      </c>
      <c r="K658" t="str">
        <f>IFERROR(IF(INDEX(使用レシピ!L:L,MATCH(テンプレート!$C658,使用レシピ!$E:$E,0))&lt;&gt;0,INDEX(使用レシピ!L:L,MATCH(テンプレート!$C658,使用レシピ!$E:$E,0)),""),"")</f>
        <v/>
      </c>
      <c r="L658" t="str">
        <f>IFERROR(IF(INDEX(使用レシピ!M:M,MATCH(テンプレート!$C658,使用レシピ!$E:$E,0))&lt;&gt;0,INDEX(使用レシピ!M:M,MATCH(テンプレート!$C658,使用レシピ!$E:$E,0)),""),"")</f>
        <v/>
      </c>
      <c r="M658" t="str">
        <f>IFERROR(IF(INDEX(使用レシピ!N:N,MATCH(テンプレート!$C658,使用レシピ!$E:$E,0))&lt;&gt;0,INDEX(使用レシピ!N:N,MATCH(テンプレート!$C658,使用レシピ!$E:$E,0)),""),"")</f>
        <v/>
      </c>
      <c r="N658" s="24" t="str">
        <f>IFERROR(IF(INDEX(使用レシピ!O:O,MATCH(テンプレート!$C658,使用レシピ!$E:$E,0))&lt;&gt;0,INDEX(使用レシピ!O:O,MATCH(テンプレート!$C658,使用レシピ!$E:$E,0)),""),"")</f>
        <v/>
      </c>
      <c r="O658" s="36" t="str">
        <f>IFERROR(IF(INDEX(使用レシピ!P:P,MATCH(テンプレート!$C658,使用レシピ!$E:$E,0))&lt;&gt;0,INDEX(使用レシピ!P:P,MATCH(テンプレート!$C658,使用レシピ!$E:$E,0)),""),"")</f>
        <v/>
      </c>
      <c r="P658" t="str">
        <f t="shared" si="51"/>
        <v/>
      </c>
      <c r="Q658" t="str">
        <f t="shared" si="52"/>
        <v/>
      </c>
      <c r="R658" t="str">
        <f t="shared" si="53"/>
        <v/>
      </c>
      <c r="S658" t="str">
        <f t="shared" si="54"/>
        <v/>
      </c>
      <c r="T658" s="24" t="str">
        <f t="shared" si="55"/>
        <v/>
      </c>
    </row>
    <row r="659" spans="2:20" x14ac:dyDescent="0.4">
      <c r="B659" s="49" t="str" cm="1">
        <f t="array" ref="B659">IFERROR((INDEX($P$4:$T$1000,MATCH(VALUE(LEFT($A659,LEN($A659)-1)),$A$4:$A$1000,0),VALUE(RIGHT($A659,1)))/ INDEX($O$4:$O$1000,MATCH(VALUE(LEFT($A659,LEN($A659)-1)),$A$4:$A$1000))) * INDEX($B$4:$B$1000,MATCH(VALUE(LEFT($A659,LEN($A659)-1)),$A$4:$A$1000)),"")</f>
        <v/>
      </c>
      <c r="C659" s="2" t="str" cm="1">
        <f t="array" ref="C659">IFERROR(IF(INDEX($D$4:$H$1000,MATCH(VALUE(LEFT($A659,LEN($A659)-1)),$A$4:$A$1000,0),VALUE(RIGHT($A659,1)))= 0,"",INDEX($D$4:$H$1000,MATCH(VALUE(LEFT($A659,LEN($A659)-1)),$A$4:$A$1000,0),VALUE(RIGHT($A659,1)))),"")</f>
        <v/>
      </c>
      <c r="D659" s="23" t="str">
        <f>IFERROR(IF(INDEX(使用レシピ!F:F,MATCH(テンプレート!$C659,使用レシピ!$E:$E,0))&lt;&gt;0,INDEX(使用レシピ!F:F,MATCH(テンプレート!$C659,使用レシピ!$E:$E,0)),""),"")</f>
        <v/>
      </c>
      <c r="E659" t="str">
        <f>IFERROR(IF(INDEX(使用レシピ!G:G,MATCH(テンプレート!$C659,使用レシピ!$E:$E,0))&lt;&gt;0,INDEX(使用レシピ!G:G,MATCH(テンプレート!$C659,使用レシピ!$E:$E,0)),""),"")</f>
        <v/>
      </c>
      <c r="F659" t="str">
        <f>IFERROR(IF(INDEX(使用レシピ!H:H,MATCH(テンプレート!$C659,使用レシピ!$E:$E,0))&lt;&gt;0,INDEX(使用レシピ!H:H,MATCH(テンプレート!$C659,使用レシピ!$E:$E,0)),""),"")</f>
        <v/>
      </c>
      <c r="G659" t="str">
        <f>IFERROR(IF(INDEX(使用レシピ!I:I,MATCH(テンプレート!$C659,使用レシピ!$E:$E,0))&lt;&gt;0,INDEX(使用レシピ!I:I,MATCH(テンプレート!$C659,使用レシピ!$E:$E,0)),""),"")</f>
        <v/>
      </c>
      <c r="H659" s="24" t="str">
        <f>IFERROR(IF(INDEX(使用レシピ!J:J,MATCH(テンプレート!$C659,使用レシピ!$E:$E,0))&lt;&gt;0,INDEX(使用レシピ!J:J,MATCH(テンプレート!$C659,使用レシピ!$E:$E,0)),""),"")</f>
        <v/>
      </c>
      <c r="I659" s="36" t="str">
        <f>IFERROR(IF(INDEX(使用レシピ!P:P,MATCH(テンプレート!$C659,使用レシピ!$E:$E,0))&lt;&gt;0,INDEX(使用レシピ!P:P,MATCH(テンプレート!$C659,使用レシピ!$E:$E,0)),""),"")</f>
        <v/>
      </c>
      <c r="J659" t="str">
        <f>IFERROR(IF(INDEX(使用レシピ!K:K,MATCH(テンプレート!$C659,使用レシピ!$E:$E,0))&lt;&gt;0,INDEX(使用レシピ!K:K,MATCH(テンプレート!$C659,使用レシピ!$E:$E,0)),""),"")</f>
        <v/>
      </c>
      <c r="K659" t="str">
        <f>IFERROR(IF(INDEX(使用レシピ!L:L,MATCH(テンプレート!$C659,使用レシピ!$E:$E,0))&lt;&gt;0,INDEX(使用レシピ!L:L,MATCH(テンプレート!$C659,使用レシピ!$E:$E,0)),""),"")</f>
        <v/>
      </c>
      <c r="L659" t="str">
        <f>IFERROR(IF(INDEX(使用レシピ!M:M,MATCH(テンプレート!$C659,使用レシピ!$E:$E,0))&lt;&gt;0,INDEX(使用レシピ!M:M,MATCH(テンプレート!$C659,使用レシピ!$E:$E,0)),""),"")</f>
        <v/>
      </c>
      <c r="M659" t="str">
        <f>IFERROR(IF(INDEX(使用レシピ!N:N,MATCH(テンプレート!$C659,使用レシピ!$E:$E,0))&lt;&gt;0,INDEX(使用レシピ!N:N,MATCH(テンプレート!$C659,使用レシピ!$E:$E,0)),""),"")</f>
        <v/>
      </c>
      <c r="N659" s="24" t="str">
        <f>IFERROR(IF(INDEX(使用レシピ!O:O,MATCH(テンプレート!$C659,使用レシピ!$E:$E,0))&lt;&gt;0,INDEX(使用レシピ!O:O,MATCH(テンプレート!$C659,使用レシピ!$E:$E,0)),""),"")</f>
        <v/>
      </c>
      <c r="O659" s="36" t="str">
        <f>IFERROR(IF(INDEX(使用レシピ!P:P,MATCH(テンプレート!$C659,使用レシピ!$E:$E,0))&lt;&gt;0,INDEX(使用レシピ!P:P,MATCH(テンプレート!$C659,使用レシピ!$E:$E,0)),""),"")</f>
        <v/>
      </c>
      <c r="P659" t="str">
        <f t="shared" si="51"/>
        <v/>
      </c>
      <c r="Q659" t="str">
        <f t="shared" si="52"/>
        <v/>
      </c>
      <c r="R659" t="str">
        <f t="shared" si="53"/>
        <v/>
      </c>
      <c r="S659" t="str">
        <f t="shared" si="54"/>
        <v/>
      </c>
      <c r="T659" s="24" t="str">
        <f t="shared" si="55"/>
        <v/>
      </c>
    </row>
    <row r="660" spans="2:20" x14ac:dyDescent="0.4">
      <c r="B660" s="49" t="str" cm="1">
        <f t="array" ref="B660">IFERROR((INDEX($P$4:$T$1000,MATCH(VALUE(LEFT($A660,LEN($A660)-1)),$A$4:$A$1000,0),VALUE(RIGHT($A660,1)))/ INDEX($O$4:$O$1000,MATCH(VALUE(LEFT($A660,LEN($A660)-1)),$A$4:$A$1000))) * INDEX($B$4:$B$1000,MATCH(VALUE(LEFT($A660,LEN($A660)-1)),$A$4:$A$1000)),"")</f>
        <v/>
      </c>
      <c r="C660" s="2" t="str" cm="1">
        <f t="array" ref="C660">IFERROR(IF(INDEX($D$4:$H$1000,MATCH(VALUE(LEFT($A660,LEN($A660)-1)),$A$4:$A$1000,0),VALUE(RIGHT($A660,1)))= 0,"",INDEX($D$4:$H$1000,MATCH(VALUE(LEFT($A660,LEN($A660)-1)),$A$4:$A$1000,0),VALUE(RIGHT($A660,1)))),"")</f>
        <v/>
      </c>
      <c r="D660" s="23" t="str">
        <f>IFERROR(IF(INDEX(使用レシピ!F:F,MATCH(テンプレート!$C660,使用レシピ!$E:$E,0))&lt;&gt;0,INDEX(使用レシピ!F:F,MATCH(テンプレート!$C660,使用レシピ!$E:$E,0)),""),"")</f>
        <v/>
      </c>
      <c r="E660" t="str">
        <f>IFERROR(IF(INDEX(使用レシピ!G:G,MATCH(テンプレート!$C660,使用レシピ!$E:$E,0))&lt;&gt;0,INDEX(使用レシピ!G:G,MATCH(テンプレート!$C660,使用レシピ!$E:$E,0)),""),"")</f>
        <v/>
      </c>
      <c r="F660" t="str">
        <f>IFERROR(IF(INDEX(使用レシピ!H:H,MATCH(テンプレート!$C660,使用レシピ!$E:$E,0))&lt;&gt;0,INDEX(使用レシピ!H:H,MATCH(テンプレート!$C660,使用レシピ!$E:$E,0)),""),"")</f>
        <v/>
      </c>
      <c r="G660" t="str">
        <f>IFERROR(IF(INDEX(使用レシピ!I:I,MATCH(テンプレート!$C660,使用レシピ!$E:$E,0))&lt;&gt;0,INDEX(使用レシピ!I:I,MATCH(テンプレート!$C660,使用レシピ!$E:$E,0)),""),"")</f>
        <v/>
      </c>
      <c r="H660" s="24" t="str">
        <f>IFERROR(IF(INDEX(使用レシピ!J:J,MATCH(テンプレート!$C660,使用レシピ!$E:$E,0))&lt;&gt;0,INDEX(使用レシピ!J:J,MATCH(テンプレート!$C660,使用レシピ!$E:$E,0)),""),"")</f>
        <v/>
      </c>
      <c r="I660" s="36" t="str">
        <f>IFERROR(IF(INDEX(使用レシピ!P:P,MATCH(テンプレート!$C660,使用レシピ!$E:$E,0))&lt;&gt;0,INDEX(使用レシピ!P:P,MATCH(テンプレート!$C660,使用レシピ!$E:$E,0)),""),"")</f>
        <v/>
      </c>
      <c r="J660" t="str">
        <f>IFERROR(IF(INDEX(使用レシピ!K:K,MATCH(テンプレート!$C660,使用レシピ!$E:$E,0))&lt;&gt;0,INDEX(使用レシピ!K:K,MATCH(テンプレート!$C660,使用レシピ!$E:$E,0)),""),"")</f>
        <v/>
      </c>
      <c r="K660" t="str">
        <f>IFERROR(IF(INDEX(使用レシピ!L:L,MATCH(テンプレート!$C660,使用レシピ!$E:$E,0))&lt;&gt;0,INDEX(使用レシピ!L:L,MATCH(テンプレート!$C660,使用レシピ!$E:$E,0)),""),"")</f>
        <v/>
      </c>
      <c r="L660" t="str">
        <f>IFERROR(IF(INDEX(使用レシピ!M:M,MATCH(テンプレート!$C660,使用レシピ!$E:$E,0))&lt;&gt;0,INDEX(使用レシピ!M:M,MATCH(テンプレート!$C660,使用レシピ!$E:$E,0)),""),"")</f>
        <v/>
      </c>
      <c r="M660" t="str">
        <f>IFERROR(IF(INDEX(使用レシピ!N:N,MATCH(テンプレート!$C660,使用レシピ!$E:$E,0))&lt;&gt;0,INDEX(使用レシピ!N:N,MATCH(テンプレート!$C660,使用レシピ!$E:$E,0)),""),"")</f>
        <v/>
      </c>
      <c r="N660" s="24" t="str">
        <f>IFERROR(IF(INDEX(使用レシピ!O:O,MATCH(テンプレート!$C660,使用レシピ!$E:$E,0))&lt;&gt;0,INDEX(使用レシピ!O:O,MATCH(テンプレート!$C660,使用レシピ!$E:$E,0)),""),"")</f>
        <v/>
      </c>
      <c r="O660" s="36" t="str">
        <f>IFERROR(IF(INDEX(使用レシピ!P:P,MATCH(テンプレート!$C660,使用レシピ!$E:$E,0))&lt;&gt;0,INDEX(使用レシピ!P:P,MATCH(テンプレート!$C660,使用レシピ!$E:$E,0)),""),"")</f>
        <v/>
      </c>
      <c r="P660" t="str">
        <f t="shared" si="51"/>
        <v/>
      </c>
      <c r="Q660" t="str">
        <f t="shared" si="52"/>
        <v/>
      </c>
      <c r="R660" t="str">
        <f t="shared" si="53"/>
        <v/>
      </c>
      <c r="S660" t="str">
        <f t="shared" si="54"/>
        <v/>
      </c>
      <c r="T660" s="24" t="str">
        <f t="shared" si="55"/>
        <v/>
      </c>
    </row>
    <row r="661" spans="2:20" x14ac:dyDescent="0.4">
      <c r="B661" s="49" t="str" cm="1">
        <f t="array" ref="B661">IFERROR((INDEX($P$4:$T$1000,MATCH(VALUE(LEFT($A661,LEN($A661)-1)),$A$4:$A$1000,0),VALUE(RIGHT($A661,1)))/ INDEX($O$4:$O$1000,MATCH(VALUE(LEFT($A661,LEN($A661)-1)),$A$4:$A$1000))) * INDEX($B$4:$B$1000,MATCH(VALUE(LEFT($A661,LEN($A661)-1)),$A$4:$A$1000)),"")</f>
        <v/>
      </c>
      <c r="C661" s="2" t="str" cm="1">
        <f t="array" ref="C661">IFERROR(IF(INDEX($D$4:$H$1000,MATCH(VALUE(LEFT($A661,LEN($A661)-1)),$A$4:$A$1000,0),VALUE(RIGHT($A661,1)))= 0,"",INDEX($D$4:$H$1000,MATCH(VALUE(LEFT($A661,LEN($A661)-1)),$A$4:$A$1000,0),VALUE(RIGHT($A661,1)))),"")</f>
        <v/>
      </c>
      <c r="D661" s="23" t="str">
        <f>IFERROR(IF(INDEX(使用レシピ!F:F,MATCH(テンプレート!$C661,使用レシピ!$E:$E,0))&lt;&gt;0,INDEX(使用レシピ!F:F,MATCH(テンプレート!$C661,使用レシピ!$E:$E,0)),""),"")</f>
        <v/>
      </c>
      <c r="E661" t="str">
        <f>IFERROR(IF(INDEX(使用レシピ!G:G,MATCH(テンプレート!$C661,使用レシピ!$E:$E,0))&lt;&gt;0,INDEX(使用レシピ!G:G,MATCH(テンプレート!$C661,使用レシピ!$E:$E,0)),""),"")</f>
        <v/>
      </c>
      <c r="F661" t="str">
        <f>IFERROR(IF(INDEX(使用レシピ!H:H,MATCH(テンプレート!$C661,使用レシピ!$E:$E,0))&lt;&gt;0,INDEX(使用レシピ!H:H,MATCH(テンプレート!$C661,使用レシピ!$E:$E,0)),""),"")</f>
        <v/>
      </c>
      <c r="G661" t="str">
        <f>IFERROR(IF(INDEX(使用レシピ!I:I,MATCH(テンプレート!$C661,使用レシピ!$E:$E,0))&lt;&gt;0,INDEX(使用レシピ!I:I,MATCH(テンプレート!$C661,使用レシピ!$E:$E,0)),""),"")</f>
        <v/>
      </c>
      <c r="H661" s="24" t="str">
        <f>IFERROR(IF(INDEX(使用レシピ!J:J,MATCH(テンプレート!$C661,使用レシピ!$E:$E,0))&lt;&gt;0,INDEX(使用レシピ!J:J,MATCH(テンプレート!$C661,使用レシピ!$E:$E,0)),""),"")</f>
        <v/>
      </c>
      <c r="I661" s="36" t="str">
        <f>IFERROR(IF(INDEX(使用レシピ!P:P,MATCH(テンプレート!$C661,使用レシピ!$E:$E,0))&lt;&gt;0,INDEX(使用レシピ!P:P,MATCH(テンプレート!$C661,使用レシピ!$E:$E,0)),""),"")</f>
        <v/>
      </c>
      <c r="J661" t="str">
        <f>IFERROR(IF(INDEX(使用レシピ!K:K,MATCH(テンプレート!$C661,使用レシピ!$E:$E,0))&lt;&gt;0,INDEX(使用レシピ!K:K,MATCH(テンプレート!$C661,使用レシピ!$E:$E,0)),""),"")</f>
        <v/>
      </c>
      <c r="K661" t="str">
        <f>IFERROR(IF(INDEX(使用レシピ!L:L,MATCH(テンプレート!$C661,使用レシピ!$E:$E,0))&lt;&gt;0,INDEX(使用レシピ!L:L,MATCH(テンプレート!$C661,使用レシピ!$E:$E,0)),""),"")</f>
        <v/>
      </c>
      <c r="L661" t="str">
        <f>IFERROR(IF(INDEX(使用レシピ!M:M,MATCH(テンプレート!$C661,使用レシピ!$E:$E,0))&lt;&gt;0,INDEX(使用レシピ!M:M,MATCH(テンプレート!$C661,使用レシピ!$E:$E,0)),""),"")</f>
        <v/>
      </c>
      <c r="M661" t="str">
        <f>IFERROR(IF(INDEX(使用レシピ!N:N,MATCH(テンプレート!$C661,使用レシピ!$E:$E,0))&lt;&gt;0,INDEX(使用レシピ!N:N,MATCH(テンプレート!$C661,使用レシピ!$E:$E,0)),""),"")</f>
        <v/>
      </c>
      <c r="N661" s="24" t="str">
        <f>IFERROR(IF(INDEX(使用レシピ!O:O,MATCH(テンプレート!$C661,使用レシピ!$E:$E,0))&lt;&gt;0,INDEX(使用レシピ!O:O,MATCH(テンプレート!$C661,使用レシピ!$E:$E,0)),""),"")</f>
        <v/>
      </c>
      <c r="O661" s="36" t="str">
        <f>IFERROR(IF(INDEX(使用レシピ!P:P,MATCH(テンプレート!$C661,使用レシピ!$E:$E,0))&lt;&gt;0,INDEX(使用レシピ!P:P,MATCH(テンプレート!$C661,使用レシピ!$E:$E,0)),""),"")</f>
        <v/>
      </c>
      <c r="P661" t="str">
        <f t="shared" si="51"/>
        <v/>
      </c>
      <c r="Q661" t="str">
        <f t="shared" si="52"/>
        <v/>
      </c>
      <c r="R661" t="str">
        <f t="shared" si="53"/>
        <v/>
      </c>
      <c r="S661" t="str">
        <f t="shared" si="54"/>
        <v/>
      </c>
      <c r="T661" s="24" t="str">
        <f t="shared" si="55"/>
        <v/>
      </c>
    </row>
    <row r="662" spans="2:20" x14ac:dyDescent="0.4">
      <c r="B662" s="49" t="str" cm="1">
        <f t="array" ref="B662">IFERROR((INDEX($P$4:$T$1000,MATCH(VALUE(LEFT($A662,LEN($A662)-1)),$A$4:$A$1000,0),VALUE(RIGHT($A662,1)))/ INDEX($O$4:$O$1000,MATCH(VALUE(LEFT($A662,LEN($A662)-1)),$A$4:$A$1000))) * INDEX($B$4:$B$1000,MATCH(VALUE(LEFT($A662,LEN($A662)-1)),$A$4:$A$1000)),"")</f>
        <v/>
      </c>
      <c r="C662" s="2" t="str" cm="1">
        <f t="array" ref="C662">IFERROR(IF(INDEX($D$4:$H$1000,MATCH(VALUE(LEFT($A662,LEN($A662)-1)),$A$4:$A$1000,0),VALUE(RIGHT($A662,1)))= 0,"",INDEX($D$4:$H$1000,MATCH(VALUE(LEFT($A662,LEN($A662)-1)),$A$4:$A$1000,0),VALUE(RIGHT($A662,1)))),"")</f>
        <v/>
      </c>
      <c r="D662" s="23" t="str">
        <f>IFERROR(IF(INDEX(使用レシピ!F:F,MATCH(テンプレート!$C662,使用レシピ!$E:$E,0))&lt;&gt;0,INDEX(使用レシピ!F:F,MATCH(テンプレート!$C662,使用レシピ!$E:$E,0)),""),"")</f>
        <v/>
      </c>
      <c r="E662" t="str">
        <f>IFERROR(IF(INDEX(使用レシピ!G:G,MATCH(テンプレート!$C662,使用レシピ!$E:$E,0))&lt;&gt;0,INDEX(使用レシピ!G:G,MATCH(テンプレート!$C662,使用レシピ!$E:$E,0)),""),"")</f>
        <v/>
      </c>
      <c r="F662" t="str">
        <f>IFERROR(IF(INDEX(使用レシピ!H:H,MATCH(テンプレート!$C662,使用レシピ!$E:$E,0))&lt;&gt;0,INDEX(使用レシピ!H:H,MATCH(テンプレート!$C662,使用レシピ!$E:$E,0)),""),"")</f>
        <v/>
      </c>
      <c r="G662" t="str">
        <f>IFERROR(IF(INDEX(使用レシピ!I:I,MATCH(テンプレート!$C662,使用レシピ!$E:$E,0))&lt;&gt;0,INDEX(使用レシピ!I:I,MATCH(テンプレート!$C662,使用レシピ!$E:$E,0)),""),"")</f>
        <v/>
      </c>
      <c r="H662" s="24" t="str">
        <f>IFERROR(IF(INDEX(使用レシピ!J:J,MATCH(テンプレート!$C662,使用レシピ!$E:$E,0))&lt;&gt;0,INDEX(使用レシピ!J:J,MATCH(テンプレート!$C662,使用レシピ!$E:$E,0)),""),"")</f>
        <v/>
      </c>
      <c r="I662" s="36" t="str">
        <f>IFERROR(IF(INDEX(使用レシピ!P:P,MATCH(テンプレート!$C662,使用レシピ!$E:$E,0))&lt;&gt;0,INDEX(使用レシピ!P:P,MATCH(テンプレート!$C662,使用レシピ!$E:$E,0)),""),"")</f>
        <v/>
      </c>
      <c r="J662" t="str">
        <f>IFERROR(IF(INDEX(使用レシピ!K:K,MATCH(テンプレート!$C662,使用レシピ!$E:$E,0))&lt;&gt;0,INDEX(使用レシピ!K:K,MATCH(テンプレート!$C662,使用レシピ!$E:$E,0)),""),"")</f>
        <v/>
      </c>
      <c r="K662" t="str">
        <f>IFERROR(IF(INDEX(使用レシピ!L:L,MATCH(テンプレート!$C662,使用レシピ!$E:$E,0))&lt;&gt;0,INDEX(使用レシピ!L:L,MATCH(テンプレート!$C662,使用レシピ!$E:$E,0)),""),"")</f>
        <v/>
      </c>
      <c r="L662" t="str">
        <f>IFERROR(IF(INDEX(使用レシピ!M:M,MATCH(テンプレート!$C662,使用レシピ!$E:$E,0))&lt;&gt;0,INDEX(使用レシピ!M:M,MATCH(テンプレート!$C662,使用レシピ!$E:$E,0)),""),"")</f>
        <v/>
      </c>
      <c r="M662" t="str">
        <f>IFERROR(IF(INDEX(使用レシピ!N:N,MATCH(テンプレート!$C662,使用レシピ!$E:$E,0))&lt;&gt;0,INDEX(使用レシピ!N:N,MATCH(テンプレート!$C662,使用レシピ!$E:$E,0)),""),"")</f>
        <v/>
      </c>
      <c r="N662" s="24" t="str">
        <f>IFERROR(IF(INDEX(使用レシピ!O:O,MATCH(テンプレート!$C662,使用レシピ!$E:$E,0))&lt;&gt;0,INDEX(使用レシピ!O:O,MATCH(テンプレート!$C662,使用レシピ!$E:$E,0)),""),"")</f>
        <v/>
      </c>
      <c r="O662" s="36" t="str">
        <f>IFERROR(IF(INDEX(使用レシピ!P:P,MATCH(テンプレート!$C662,使用レシピ!$E:$E,0))&lt;&gt;0,INDEX(使用レシピ!P:P,MATCH(テンプレート!$C662,使用レシピ!$E:$E,0)),""),"")</f>
        <v/>
      </c>
      <c r="P662" t="str">
        <f t="shared" si="51"/>
        <v/>
      </c>
      <c r="Q662" t="str">
        <f t="shared" si="52"/>
        <v/>
      </c>
      <c r="R662" t="str">
        <f t="shared" si="53"/>
        <v/>
      </c>
      <c r="S662" t="str">
        <f t="shared" si="54"/>
        <v/>
      </c>
      <c r="T662" s="24" t="str">
        <f t="shared" si="55"/>
        <v/>
      </c>
    </row>
    <row r="663" spans="2:20" x14ac:dyDescent="0.4">
      <c r="B663" s="49" t="str" cm="1">
        <f t="array" ref="B663">IFERROR((INDEX($P$4:$T$1000,MATCH(VALUE(LEFT($A663,LEN($A663)-1)),$A$4:$A$1000,0),VALUE(RIGHT($A663,1)))/ INDEX($O$4:$O$1000,MATCH(VALUE(LEFT($A663,LEN($A663)-1)),$A$4:$A$1000))) * INDEX($B$4:$B$1000,MATCH(VALUE(LEFT($A663,LEN($A663)-1)),$A$4:$A$1000)),"")</f>
        <v/>
      </c>
      <c r="C663" s="2" t="str" cm="1">
        <f t="array" ref="C663">IFERROR(IF(INDEX($D$4:$H$1000,MATCH(VALUE(LEFT($A663,LEN($A663)-1)),$A$4:$A$1000,0),VALUE(RIGHT($A663,1)))= 0,"",INDEX($D$4:$H$1000,MATCH(VALUE(LEFT($A663,LEN($A663)-1)),$A$4:$A$1000,0),VALUE(RIGHT($A663,1)))),"")</f>
        <v/>
      </c>
      <c r="D663" s="23" t="str">
        <f>IFERROR(IF(INDEX(使用レシピ!F:F,MATCH(テンプレート!$C663,使用レシピ!$E:$E,0))&lt;&gt;0,INDEX(使用レシピ!F:F,MATCH(テンプレート!$C663,使用レシピ!$E:$E,0)),""),"")</f>
        <v/>
      </c>
      <c r="E663" t="str">
        <f>IFERROR(IF(INDEX(使用レシピ!G:G,MATCH(テンプレート!$C663,使用レシピ!$E:$E,0))&lt;&gt;0,INDEX(使用レシピ!G:G,MATCH(テンプレート!$C663,使用レシピ!$E:$E,0)),""),"")</f>
        <v/>
      </c>
      <c r="F663" t="str">
        <f>IFERROR(IF(INDEX(使用レシピ!H:H,MATCH(テンプレート!$C663,使用レシピ!$E:$E,0))&lt;&gt;0,INDEX(使用レシピ!H:H,MATCH(テンプレート!$C663,使用レシピ!$E:$E,0)),""),"")</f>
        <v/>
      </c>
      <c r="G663" t="str">
        <f>IFERROR(IF(INDEX(使用レシピ!I:I,MATCH(テンプレート!$C663,使用レシピ!$E:$E,0))&lt;&gt;0,INDEX(使用レシピ!I:I,MATCH(テンプレート!$C663,使用レシピ!$E:$E,0)),""),"")</f>
        <v/>
      </c>
      <c r="H663" s="24" t="str">
        <f>IFERROR(IF(INDEX(使用レシピ!J:J,MATCH(テンプレート!$C663,使用レシピ!$E:$E,0))&lt;&gt;0,INDEX(使用レシピ!J:J,MATCH(テンプレート!$C663,使用レシピ!$E:$E,0)),""),"")</f>
        <v/>
      </c>
      <c r="I663" s="36" t="str">
        <f>IFERROR(IF(INDEX(使用レシピ!P:P,MATCH(テンプレート!$C663,使用レシピ!$E:$E,0))&lt;&gt;0,INDEX(使用レシピ!P:P,MATCH(テンプレート!$C663,使用レシピ!$E:$E,0)),""),"")</f>
        <v/>
      </c>
      <c r="J663" t="str">
        <f>IFERROR(IF(INDEX(使用レシピ!K:K,MATCH(テンプレート!$C663,使用レシピ!$E:$E,0))&lt;&gt;0,INDEX(使用レシピ!K:K,MATCH(テンプレート!$C663,使用レシピ!$E:$E,0)),""),"")</f>
        <v/>
      </c>
      <c r="K663" t="str">
        <f>IFERROR(IF(INDEX(使用レシピ!L:L,MATCH(テンプレート!$C663,使用レシピ!$E:$E,0))&lt;&gt;0,INDEX(使用レシピ!L:L,MATCH(テンプレート!$C663,使用レシピ!$E:$E,0)),""),"")</f>
        <v/>
      </c>
      <c r="L663" t="str">
        <f>IFERROR(IF(INDEX(使用レシピ!M:M,MATCH(テンプレート!$C663,使用レシピ!$E:$E,0))&lt;&gt;0,INDEX(使用レシピ!M:M,MATCH(テンプレート!$C663,使用レシピ!$E:$E,0)),""),"")</f>
        <v/>
      </c>
      <c r="M663" t="str">
        <f>IFERROR(IF(INDEX(使用レシピ!N:N,MATCH(テンプレート!$C663,使用レシピ!$E:$E,0))&lt;&gt;0,INDEX(使用レシピ!N:N,MATCH(テンプレート!$C663,使用レシピ!$E:$E,0)),""),"")</f>
        <v/>
      </c>
      <c r="N663" s="24" t="str">
        <f>IFERROR(IF(INDEX(使用レシピ!O:O,MATCH(テンプレート!$C663,使用レシピ!$E:$E,0))&lt;&gt;0,INDEX(使用レシピ!O:O,MATCH(テンプレート!$C663,使用レシピ!$E:$E,0)),""),"")</f>
        <v/>
      </c>
      <c r="O663" s="36" t="str">
        <f>IFERROR(IF(INDEX(使用レシピ!P:P,MATCH(テンプレート!$C663,使用レシピ!$E:$E,0))&lt;&gt;0,INDEX(使用レシピ!P:P,MATCH(テンプレート!$C663,使用レシピ!$E:$E,0)),""),"")</f>
        <v/>
      </c>
      <c r="P663" t="str">
        <f t="shared" si="51"/>
        <v/>
      </c>
      <c r="Q663" t="str">
        <f t="shared" si="52"/>
        <v/>
      </c>
      <c r="R663" t="str">
        <f t="shared" si="53"/>
        <v/>
      </c>
      <c r="S663" t="str">
        <f t="shared" si="54"/>
        <v/>
      </c>
      <c r="T663" s="24" t="str">
        <f t="shared" si="55"/>
        <v/>
      </c>
    </row>
    <row r="664" spans="2:20" x14ac:dyDescent="0.4">
      <c r="B664" s="49" t="str" cm="1">
        <f t="array" ref="B664">IFERROR((INDEX($P$4:$T$1000,MATCH(VALUE(LEFT($A664,LEN($A664)-1)),$A$4:$A$1000,0),VALUE(RIGHT($A664,1)))/ INDEX($O$4:$O$1000,MATCH(VALUE(LEFT($A664,LEN($A664)-1)),$A$4:$A$1000))) * INDEX($B$4:$B$1000,MATCH(VALUE(LEFT($A664,LEN($A664)-1)),$A$4:$A$1000)),"")</f>
        <v/>
      </c>
      <c r="C664" s="2" t="str" cm="1">
        <f t="array" ref="C664">IFERROR(IF(INDEX($D$4:$H$1000,MATCH(VALUE(LEFT($A664,LEN($A664)-1)),$A$4:$A$1000,0),VALUE(RIGHT($A664,1)))= 0,"",INDEX($D$4:$H$1000,MATCH(VALUE(LEFT($A664,LEN($A664)-1)),$A$4:$A$1000,0),VALUE(RIGHT($A664,1)))),"")</f>
        <v/>
      </c>
      <c r="D664" s="23" t="str">
        <f>IFERROR(IF(INDEX(使用レシピ!F:F,MATCH(テンプレート!$C664,使用レシピ!$E:$E,0))&lt;&gt;0,INDEX(使用レシピ!F:F,MATCH(テンプレート!$C664,使用レシピ!$E:$E,0)),""),"")</f>
        <v/>
      </c>
      <c r="E664" t="str">
        <f>IFERROR(IF(INDEX(使用レシピ!G:G,MATCH(テンプレート!$C664,使用レシピ!$E:$E,0))&lt;&gt;0,INDEX(使用レシピ!G:G,MATCH(テンプレート!$C664,使用レシピ!$E:$E,0)),""),"")</f>
        <v/>
      </c>
      <c r="F664" t="str">
        <f>IFERROR(IF(INDEX(使用レシピ!H:H,MATCH(テンプレート!$C664,使用レシピ!$E:$E,0))&lt;&gt;0,INDEX(使用レシピ!H:H,MATCH(テンプレート!$C664,使用レシピ!$E:$E,0)),""),"")</f>
        <v/>
      </c>
      <c r="G664" t="str">
        <f>IFERROR(IF(INDEX(使用レシピ!I:I,MATCH(テンプレート!$C664,使用レシピ!$E:$E,0))&lt;&gt;0,INDEX(使用レシピ!I:I,MATCH(テンプレート!$C664,使用レシピ!$E:$E,0)),""),"")</f>
        <v/>
      </c>
      <c r="H664" s="24" t="str">
        <f>IFERROR(IF(INDEX(使用レシピ!J:J,MATCH(テンプレート!$C664,使用レシピ!$E:$E,0))&lt;&gt;0,INDEX(使用レシピ!J:J,MATCH(テンプレート!$C664,使用レシピ!$E:$E,0)),""),"")</f>
        <v/>
      </c>
      <c r="I664" s="36" t="str">
        <f>IFERROR(IF(INDEX(使用レシピ!P:P,MATCH(テンプレート!$C664,使用レシピ!$E:$E,0))&lt;&gt;0,INDEX(使用レシピ!P:P,MATCH(テンプレート!$C664,使用レシピ!$E:$E,0)),""),"")</f>
        <v/>
      </c>
      <c r="J664" t="str">
        <f>IFERROR(IF(INDEX(使用レシピ!K:K,MATCH(テンプレート!$C664,使用レシピ!$E:$E,0))&lt;&gt;0,INDEX(使用レシピ!K:K,MATCH(テンプレート!$C664,使用レシピ!$E:$E,0)),""),"")</f>
        <v/>
      </c>
      <c r="K664" t="str">
        <f>IFERROR(IF(INDEX(使用レシピ!L:L,MATCH(テンプレート!$C664,使用レシピ!$E:$E,0))&lt;&gt;0,INDEX(使用レシピ!L:L,MATCH(テンプレート!$C664,使用レシピ!$E:$E,0)),""),"")</f>
        <v/>
      </c>
      <c r="L664" t="str">
        <f>IFERROR(IF(INDEX(使用レシピ!M:M,MATCH(テンプレート!$C664,使用レシピ!$E:$E,0))&lt;&gt;0,INDEX(使用レシピ!M:M,MATCH(テンプレート!$C664,使用レシピ!$E:$E,0)),""),"")</f>
        <v/>
      </c>
      <c r="M664" t="str">
        <f>IFERROR(IF(INDEX(使用レシピ!N:N,MATCH(テンプレート!$C664,使用レシピ!$E:$E,0))&lt;&gt;0,INDEX(使用レシピ!N:N,MATCH(テンプレート!$C664,使用レシピ!$E:$E,0)),""),"")</f>
        <v/>
      </c>
      <c r="N664" s="24" t="str">
        <f>IFERROR(IF(INDEX(使用レシピ!O:O,MATCH(テンプレート!$C664,使用レシピ!$E:$E,0))&lt;&gt;0,INDEX(使用レシピ!O:O,MATCH(テンプレート!$C664,使用レシピ!$E:$E,0)),""),"")</f>
        <v/>
      </c>
      <c r="O664" s="36" t="str">
        <f>IFERROR(IF(INDEX(使用レシピ!P:P,MATCH(テンプレート!$C664,使用レシピ!$E:$E,0))&lt;&gt;0,INDEX(使用レシピ!P:P,MATCH(テンプレート!$C664,使用レシピ!$E:$E,0)),""),"")</f>
        <v/>
      </c>
      <c r="P664" t="str">
        <f t="shared" si="51"/>
        <v/>
      </c>
      <c r="Q664" t="str">
        <f t="shared" si="52"/>
        <v/>
      </c>
      <c r="R664" t="str">
        <f t="shared" si="53"/>
        <v/>
      </c>
      <c r="S664" t="str">
        <f t="shared" si="54"/>
        <v/>
      </c>
      <c r="T664" s="24" t="str">
        <f t="shared" si="55"/>
        <v/>
      </c>
    </row>
    <row r="665" spans="2:20" x14ac:dyDescent="0.4">
      <c r="B665" s="49" t="str" cm="1">
        <f t="array" ref="B665">IFERROR((INDEX($P$4:$T$1000,MATCH(VALUE(LEFT($A665,LEN($A665)-1)),$A$4:$A$1000,0),VALUE(RIGHT($A665,1)))/ INDEX($O$4:$O$1000,MATCH(VALUE(LEFT($A665,LEN($A665)-1)),$A$4:$A$1000))) * INDEX($B$4:$B$1000,MATCH(VALUE(LEFT($A665,LEN($A665)-1)),$A$4:$A$1000)),"")</f>
        <v/>
      </c>
      <c r="C665" s="2" t="str" cm="1">
        <f t="array" ref="C665">IFERROR(IF(INDEX($D$4:$H$1000,MATCH(VALUE(LEFT($A665,LEN($A665)-1)),$A$4:$A$1000,0),VALUE(RIGHT($A665,1)))= 0,"",INDEX($D$4:$H$1000,MATCH(VALUE(LEFT($A665,LEN($A665)-1)),$A$4:$A$1000,0),VALUE(RIGHT($A665,1)))),"")</f>
        <v/>
      </c>
      <c r="D665" s="23" t="str">
        <f>IFERROR(IF(INDEX(使用レシピ!F:F,MATCH(テンプレート!$C665,使用レシピ!$E:$E,0))&lt;&gt;0,INDEX(使用レシピ!F:F,MATCH(テンプレート!$C665,使用レシピ!$E:$E,0)),""),"")</f>
        <v/>
      </c>
      <c r="E665" t="str">
        <f>IFERROR(IF(INDEX(使用レシピ!G:G,MATCH(テンプレート!$C665,使用レシピ!$E:$E,0))&lt;&gt;0,INDEX(使用レシピ!G:G,MATCH(テンプレート!$C665,使用レシピ!$E:$E,0)),""),"")</f>
        <v/>
      </c>
      <c r="F665" t="str">
        <f>IFERROR(IF(INDEX(使用レシピ!H:H,MATCH(テンプレート!$C665,使用レシピ!$E:$E,0))&lt;&gt;0,INDEX(使用レシピ!H:H,MATCH(テンプレート!$C665,使用レシピ!$E:$E,0)),""),"")</f>
        <v/>
      </c>
      <c r="G665" t="str">
        <f>IFERROR(IF(INDEX(使用レシピ!I:I,MATCH(テンプレート!$C665,使用レシピ!$E:$E,0))&lt;&gt;0,INDEX(使用レシピ!I:I,MATCH(テンプレート!$C665,使用レシピ!$E:$E,0)),""),"")</f>
        <v/>
      </c>
      <c r="H665" s="24" t="str">
        <f>IFERROR(IF(INDEX(使用レシピ!J:J,MATCH(テンプレート!$C665,使用レシピ!$E:$E,0))&lt;&gt;0,INDEX(使用レシピ!J:J,MATCH(テンプレート!$C665,使用レシピ!$E:$E,0)),""),"")</f>
        <v/>
      </c>
      <c r="I665" s="36" t="str">
        <f>IFERROR(IF(INDEX(使用レシピ!P:P,MATCH(テンプレート!$C665,使用レシピ!$E:$E,0))&lt;&gt;0,INDEX(使用レシピ!P:P,MATCH(テンプレート!$C665,使用レシピ!$E:$E,0)),""),"")</f>
        <v/>
      </c>
      <c r="J665" t="str">
        <f>IFERROR(IF(INDEX(使用レシピ!K:K,MATCH(テンプレート!$C665,使用レシピ!$E:$E,0))&lt;&gt;0,INDEX(使用レシピ!K:K,MATCH(テンプレート!$C665,使用レシピ!$E:$E,0)),""),"")</f>
        <v/>
      </c>
      <c r="K665" t="str">
        <f>IFERROR(IF(INDEX(使用レシピ!L:L,MATCH(テンプレート!$C665,使用レシピ!$E:$E,0))&lt;&gt;0,INDEX(使用レシピ!L:L,MATCH(テンプレート!$C665,使用レシピ!$E:$E,0)),""),"")</f>
        <v/>
      </c>
      <c r="L665" t="str">
        <f>IFERROR(IF(INDEX(使用レシピ!M:M,MATCH(テンプレート!$C665,使用レシピ!$E:$E,0))&lt;&gt;0,INDEX(使用レシピ!M:M,MATCH(テンプレート!$C665,使用レシピ!$E:$E,0)),""),"")</f>
        <v/>
      </c>
      <c r="M665" t="str">
        <f>IFERROR(IF(INDEX(使用レシピ!N:N,MATCH(テンプレート!$C665,使用レシピ!$E:$E,0))&lt;&gt;0,INDEX(使用レシピ!N:N,MATCH(テンプレート!$C665,使用レシピ!$E:$E,0)),""),"")</f>
        <v/>
      </c>
      <c r="N665" s="24" t="str">
        <f>IFERROR(IF(INDEX(使用レシピ!O:O,MATCH(テンプレート!$C665,使用レシピ!$E:$E,0))&lt;&gt;0,INDEX(使用レシピ!O:O,MATCH(テンプレート!$C665,使用レシピ!$E:$E,0)),""),"")</f>
        <v/>
      </c>
      <c r="O665" s="36" t="str">
        <f>IFERROR(IF(INDEX(使用レシピ!P:P,MATCH(テンプレート!$C665,使用レシピ!$E:$E,0))&lt;&gt;0,INDEX(使用レシピ!P:P,MATCH(テンプレート!$C665,使用レシピ!$E:$E,0)),""),"")</f>
        <v/>
      </c>
      <c r="P665" t="str">
        <f t="shared" si="51"/>
        <v/>
      </c>
      <c r="Q665" t="str">
        <f t="shared" si="52"/>
        <v/>
      </c>
      <c r="R665" t="str">
        <f t="shared" si="53"/>
        <v/>
      </c>
      <c r="S665" t="str">
        <f t="shared" si="54"/>
        <v/>
      </c>
      <c r="T665" s="24" t="str">
        <f t="shared" si="55"/>
        <v/>
      </c>
    </row>
    <row r="666" spans="2:20" x14ac:dyDescent="0.4">
      <c r="B666" s="49" t="str" cm="1">
        <f t="array" ref="B666">IFERROR((INDEX($P$4:$T$1000,MATCH(VALUE(LEFT($A666,LEN($A666)-1)),$A$4:$A$1000,0),VALUE(RIGHT($A666,1)))/ INDEX($O$4:$O$1000,MATCH(VALUE(LEFT($A666,LEN($A666)-1)),$A$4:$A$1000))) * INDEX($B$4:$B$1000,MATCH(VALUE(LEFT($A666,LEN($A666)-1)),$A$4:$A$1000)),"")</f>
        <v/>
      </c>
      <c r="C666" s="2" t="str" cm="1">
        <f t="array" ref="C666">IFERROR(IF(INDEX($D$4:$H$1000,MATCH(VALUE(LEFT($A666,LEN($A666)-1)),$A$4:$A$1000,0),VALUE(RIGHT($A666,1)))= 0,"",INDEX($D$4:$H$1000,MATCH(VALUE(LEFT($A666,LEN($A666)-1)),$A$4:$A$1000,0),VALUE(RIGHT($A666,1)))),"")</f>
        <v/>
      </c>
      <c r="D666" s="23" t="str">
        <f>IFERROR(IF(INDEX(使用レシピ!F:F,MATCH(テンプレート!$C666,使用レシピ!$E:$E,0))&lt;&gt;0,INDEX(使用レシピ!F:F,MATCH(テンプレート!$C666,使用レシピ!$E:$E,0)),""),"")</f>
        <v/>
      </c>
      <c r="E666" t="str">
        <f>IFERROR(IF(INDEX(使用レシピ!G:G,MATCH(テンプレート!$C666,使用レシピ!$E:$E,0))&lt;&gt;0,INDEX(使用レシピ!G:G,MATCH(テンプレート!$C666,使用レシピ!$E:$E,0)),""),"")</f>
        <v/>
      </c>
      <c r="F666" t="str">
        <f>IFERROR(IF(INDEX(使用レシピ!H:H,MATCH(テンプレート!$C666,使用レシピ!$E:$E,0))&lt;&gt;0,INDEX(使用レシピ!H:H,MATCH(テンプレート!$C666,使用レシピ!$E:$E,0)),""),"")</f>
        <v/>
      </c>
      <c r="G666" t="str">
        <f>IFERROR(IF(INDEX(使用レシピ!I:I,MATCH(テンプレート!$C666,使用レシピ!$E:$E,0))&lt;&gt;0,INDEX(使用レシピ!I:I,MATCH(テンプレート!$C666,使用レシピ!$E:$E,0)),""),"")</f>
        <v/>
      </c>
      <c r="H666" s="24" t="str">
        <f>IFERROR(IF(INDEX(使用レシピ!J:J,MATCH(テンプレート!$C666,使用レシピ!$E:$E,0))&lt;&gt;0,INDEX(使用レシピ!J:J,MATCH(テンプレート!$C666,使用レシピ!$E:$E,0)),""),"")</f>
        <v/>
      </c>
      <c r="I666" s="36" t="str">
        <f>IFERROR(IF(INDEX(使用レシピ!P:P,MATCH(テンプレート!$C666,使用レシピ!$E:$E,0))&lt;&gt;0,INDEX(使用レシピ!P:P,MATCH(テンプレート!$C666,使用レシピ!$E:$E,0)),""),"")</f>
        <v/>
      </c>
      <c r="J666" t="str">
        <f>IFERROR(IF(INDEX(使用レシピ!K:K,MATCH(テンプレート!$C666,使用レシピ!$E:$E,0))&lt;&gt;0,INDEX(使用レシピ!K:K,MATCH(テンプレート!$C666,使用レシピ!$E:$E,0)),""),"")</f>
        <v/>
      </c>
      <c r="K666" t="str">
        <f>IFERROR(IF(INDEX(使用レシピ!L:L,MATCH(テンプレート!$C666,使用レシピ!$E:$E,0))&lt;&gt;0,INDEX(使用レシピ!L:L,MATCH(テンプレート!$C666,使用レシピ!$E:$E,0)),""),"")</f>
        <v/>
      </c>
      <c r="L666" t="str">
        <f>IFERROR(IF(INDEX(使用レシピ!M:M,MATCH(テンプレート!$C666,使用レシピ!$E:$E,0))&lt;&gt;0,INDEX(使用レシピ!M:M,MATCH(テンプレート!$C666,使用レシピ!$E:$E,0)),""),"")</f>
        <v/>
      </c>
      <c r="M666" t="str">
        <f>IFERROR(IF(INDEX(使用レシピ!N:N,MATCH(テンプレート!$C666,使用レシピ!$E:$E,0))&lt;&gt;0,INDEX(使用レシピ!N:N,MATCH(テンプレート!$C666,使用レシピ!$E:$E,0)),""),"")</f>
        <v/>
      </c>
      <c r="N666" s="24" t="str">
        <f>IFERROR(IF(INDEX(使用レシピ!O:O,MATCH(テンプレート!$C666,使用レシピ!$E:$E,0))&lt;&gt;0,INDEX(使用レシピ!O:O,MATCH(テンプレート!$C666,使用レシピ!$E:$E,0)),""),"")</f>
        <v/>
      </c>
      <c r="O666" s="36" t="str">
        <f>IFERROR(IF(INDEX(使用レシピ!P:P,MATCH(テンプレート!$C666,使用レシピ!$E:$E,0))&lt;&gt;0,INDEX(使用レシピ!P:P,MATCH(テンプレート!$C666,使用レシピ!$E:$E,0)),""),"")</f>
        <v/>
      </c>
      <c r="P666" t="str">
        <f t="shared" si="51"/>
        <v/>
      </c>
      <c r="Q666" t="str">
        <f t="shared" si="52"/>
        <v/>
      </c>
      <c r="R666" t="str">
        <f t="shared" si="53"/>
        <v/>
      </c>
      <c r="S666" t="str">
        <f t="shared" si="54"/>
        <v/>
      </c>
      <c r="T666" s="24" t="str">
        <f t="shared" si="55"/>
        <v/>
      </c>
    </row>
    <row r="667" spans="2:20" x14ac:dyDescent="0.4">
      <c r="B667" s="49" t="str" cm="1">
        <f t="array" ref="B667">IFERROR((INDEX($P$4:$T$1000,MATCH(VALUE(LEFT($A667,LEN($A667)-1)),$A$4:$A$1000,0),VALUE(RIGHT($A667,1)))/ INDEX($O$4:$O$1000,MATCH(VALUE(LEFT($A667,LEN($A667)-1)),$A$4:$A$1000))) * INDEX($B$4:$B$1000,MATCH(VALUE(LEFT($A667,LEN($A667)-1)),$A$4:$A$1000)),"")</f>
        <v/>
      </c>
      <c r="C667" s="2" t="str" cm="1">
        <f t="array" ref="C667">IFERROR(IF(INDEX($D$4:$H$1000,MATCH(VALUE(LEFT($A667,LEN($A667)-1)),$A$4:$A$1000,0),VALUE(RIGHT($A667,1)))= 0,"",INDEX($D$4:$H$1000,MATCH(VALUE(LEFT($A667,LEN($A667)-1)),$A$4:$A$1000,0),VALUE(RIGHT($A667,1)))),"")</f>
        <v/>
      </c>
      <c r="D667" s="23" t="str">
        <f>IFERROR(IF(INDEX(使用レシピ!F:F,MATCH(テンプレート!$C667,使用レシピ!$E:$E,0))&lt;&gt;0,INDEX(使用レシピ!F:F,MATCH(テンプレート!$C667,使用レシピ!$E:$E,0)),""),"")</f>
        <v/>
      </c>
      <c r="E667" t="str">
        <f>IFERROR(IF(INDEX(使用レシピ!G:G,MATCH(テンプレート!$C667,使用レシピ!$E:$E,0))&lt;&gt;0,INDEX(使用レシピ!G:G,MATCH(テンプレート!$C667,使用レシピ!$E:$E,0)),""),"")</f>
        <v/>
      </c>
      <c r="F667" t="str">
        <f>IFERROR(IF(INDEX(使用レシピ!H:H,MATCH(テンプレート!$C667,使用レシピ!$E:$E,0))&lt;&gt;0,INDEX(使用レシピ!H:H,MATCH(テンプレート!$C667,使用レシピ!$E:$E,0)),""),"")</f>
        <v/>
      </c>
      <c r="G667" t="str">
        <f>IFERROR(IF(INDEX(使用レシピ!I:I,MATCH(テンプレート!$C667,使用レシピ!$E:$E,0))&lt;&gt;0,INDEX(使用レシピ!I:I,MATCH(テンプレート!$C667,使用レシピ!$E:$E,0)),""),"")</f>
        <v/>
      </c>
      <c r="H667" s="24" t="str">
        <f>IFERROR(IF(INDEX(使用レシピ!J:J,MATCH(テンプレート!$C667,使用レシピ!$E:$E,0))&lt;&gt;0,INDEX(使用レシピ!J:J,MATCH(テンプレート!$C667,使用レシピ!$E:$E,0)),""),"")</f>
        <v/>
      </c>
      <c r="I667" s="36" t="str">
        <f>IFERROR(IF(INDEX(使用レシピ!P:P,MATCH(テンプレート!$C667,使用レシピ!$E:$E,0))&lt;&gt;0,INDEX(使用レシピ!P:P,MATCH(テンプレート!$C667,使用レシピ!$E:$E,0)),""),"")</f>
        <v/>
      </c>
      <c r="J667" t="str">
        <f>IFERROR(IF(INDEX(使用レシピ!K:K,MATCH(テンプレート!$C667,使用レシピ!$E:$E,0))&lt;&gt;0,INDEX(使用レシピ!K:K,MATCH(テンプレート!$C667,使用レシピ!$E:$E,0)),""),"")</f>
        <v/>
      </c>
      <c r="K667" t="str">
        <f>IFERROR(IF(INDEX(使用レシピ!L:L,MATCH(テンプレート!$C667,使用レシピ!$E:$E,0))&lt;&gt;0,INDEX(使用レシピ!L:L,MATCH(テンプレート!$C667,使用レシピ!$E:$E,0)),""),"")</f>
        <v/>
      </c>
      <c r="L667" t="str">
        <f>IFERROR(IF(INDEX(使用レシピ!M:M,MATCH(テンプレート!$C667,使用レシピ!$E:$E,0))&lt;&gt;0,INDEX(使用レシピ!M:M,MATCH(テンプレート!$C667,使用レシピ!$E:$E,0)),""),"")</f>
        <v/>
      </c>
      <c r="M667" t="str">
        <f>IFERROR(IF(INDEX(使用レシピ!N:N,MATCH(テンプレート!$C667,使用レシピ!$E:$E,0))&lt;&gt;0,INDEX(使用レシピ!N:N,MATCH(テンプレート!$C667,使用レシピ!$E:$E,0)),""),"")</f>
        <v/>
      </c>
      <c r="N667" s="24" t="str">
        <f>IFERROR(IF(INDEX(使用レシピ!O:O,MATCH(テンプレート!$C667,使用レシピ!$E:$E,0))&lt;&gt;0,INDEX(使用レシピ!O:O,MATCH(テンプレート!$C667,使用レシピ!$E:$E,0)),""),"")</f>
        <v/>
      </c>
      <c r="O667" s="36" t="str">
        <f>IFERROR(IF(INDEX(使用レシピ!P:P,MATCH(テンプレート!$C667,使用レシピ!$E:$E,0))&lt;&gt;0,INDEX(使用レシピ!P:P,MATCH(テンプレート!$C667,使用レシピ!$E:$E,0)),""),"")</f>
        <v/>
      </c>
      <c r="P667" t="str">
        <f t="shared" si="51"/>
        <v/>
      </c>
      <c r="Q667" t="str">
        <f t="shared" si="52"/>
        <v/>
      </c>
      <c r="R667" t="str">
        <f t="shared" si="53"/>
        <v/>
      </c>
      <c r="S667" t="str">
        <f t="shared" si="54"/>
        <v/>
      </c>
      <c r="T667" s="24" t="str">
        <f t="shared" si="55"/>
        <v/>
      </c>
    </row>
    <row r="668" spans="2:20" x14ac:dyDescent="0.4">
      <c r="B668" s="49" t="str" cm="1">
        <f t="array" ref="B668">IFERROR((INDEX($P$4:$T$1000,MATCH(VALUE(LEFT($A668,LEN($A668)-1)),$A$4:$A$1000,0),VALUE(RIGHT($A668,1)))/ INDEX($O$4:$O$1000,MATCH(VALUE(LEFT($A668,LEN($A668)-1)),$A$4:$A$1000))) * INDEX($B$4:$B$1000,MATCH(VALUE(LEFT($A668,LEN($A668)-1)),$A$4:$A$1000)),"")</f>
        <v/>
      </c>
      <c r="C668" s="2" t="str" cm="1">
        <f t="array" ref="C668">IFERROR(IF(INDEX($D$4:$H$1000,MATCH(VALUE(LEFT($A668,LEN($A668)-1)),$A$4:$A$1000,0),VALUE(RIGHT($A668,1)))= 0,"",INDEX($D$4:$H$1000,MATCH(VALUE(LEFT($A668,LEN($A668)-1)),$A$4:$A$1000,0),VALUE(RIGHT($A668,1)))),"")</f>
        <v/>
      </c>
      <c r="D668" s="23" t="str">
        <f>IFERROR(IF(INDEX(使用レシピ!F:F,MATCH(テンプレート!$C668,使用レシピ!$E:$E,0))&lt;&gt;0,INDEX(使用レシピ!F:F,MATCH(テンプレート!$C668,使用レシピ!$E:$E,0)),""),"")</f>
        <v/>
      </c>
      <c r="E668" t="str">
        <f>IFERROR(IF(INDEX(使用レシピ!G:G,MATCH(テンプレート!$C668,使用レシピ!$E:$E,0))&lt;&gt;0,INDEX(使用レシピ!G:G,MATCH(テンプレート!$C668,使用レシピ!$E:$E,0)),""),"")</f>
        <v/>
      </c>
      <c r="F668" t="str">
        <f>IFERROR(IF(INDEX(使用レシピ!H:H,MATCH(テンプレート!$C668,使用レシピ!$E:$E,0))&lt;&gt;0,INDEX(使用レシピ!H:H,MATCH(テンプレート!$C668,使用レシピ!$E:$E,0)),""),"")</f>
        <v/>
      </c>
      <c r="G668" t="str">
        <f>IFERROR(IF(INDEX(使用レシピ!I:I,MATCH(テンプレート!$C668,使用レシピ!$E:$E,0))&lt;&gt;0,INDEX(使用レシピ!I:I,MATCH(テンプレート!$C668,使用レシピ!$E:$E,0)),""),"")</f>
        <v/>
      </c>
      <c r="H668" s="24" t="str">
        <f>IFERROR(IF(INDEX(使用レシピ!J:J,MATCH(テンプレート!$C668,使用レシピ!$E:$E,0))&lt;&gt;0,INDEX(使用レシピ!J:J,MATCH(テンプレート!$C668,使用レシピ!$E:$E,0)),""),"")</f>
        <v/>
      </c>
      <c r="I668" s="36" t="str">
        <f>IFERROR(IF(INDEX(使用レシピ!P:P,MATCH(テンプレート!$C668,使用レシピ!$E:$E,0))&lt;&gt;0,INDEX(使用レシピ!P:P,MATCH(テンプレート!$C668,使用レシピ!$E:$E,0)),""),"")</f>
        <v/>
      </c>
      <c r="J668" t="str">
        <f>IFERROR(IF(INDEX(使用レシピ!K:K,MATCH(テンプレート!$C668,使用レシピ!$E:$E,0))&lt;&gt;0,INDEX(使用レシピ!K:K,MATCH(テンプレート!$C668,使用レシピ!$E:$E,0)),""),"")</f>
        <v/>
      </c>
      <c r="K668" t="str">
        <f>IFERROR(IF(INDEX(使用レシピ!L:L,MATCH(テンプレート!$C668,使用レシピ!$E:$E,0))&lt;&gt;0,INDEX(使用レシピ!L:L,MATCH(テンプレート!$C668,使用レシピ!$E:$E,0)),""),"")</f>
        <v/>
      </c>
      <c r="L668" t="str">
        <f>IFERROR(IF(INDEX(使用レシピ!M:M,MATCH(テンプレート!$C668,使用レシピ!$E:$E,0))&lt;&gt;0,INDEX(使用レシピ!M:M,MATCH(テンプレート!$C668,使用レシピ!$E:$E,0)),""),"")</f>
        <v/>
      </c>
      <c r="M668" t="str">
        <f>IFERROR(IF(INDEX(使用レシピ!N:N,MATCH(テンプレート!$C668,使用レシピ!$E:$E,0))&lt;&gt;0,INDEX(使用レシピ!N:N,MATCH(テンプレート!$C668,使用レシピ!$E:$E,0)),""),"")</f>
        <v/>
      </c>
      <c r="N668" s="24" t="str">
        <f>IFERROR(IF(INDEX(使用レシピ!O:O,MATCH(テンプレート!$C668,使用レシピ!$E:$E,0))&lt;&gt;0,INDEX(使用レシピ!O:O,MATCH(テンプレート!$C668,使用レシピ!$E:$E,0)),""),"")</f>
        <v/>
      </c>
      <c r="O668" s="36" t="str">
        <f>IFERROR(IF(INDEX(使用レシピ!P:P,MATCH(テンプレート!$C668,使用レシピ!$E:$E,0))&lt;&gt;0,INDEX(使用レシピ!P:P,MATCH(テンプレート!$C668,使用レシピ!$E:$E,0)),""),"")</f>
        <v/>
      </c>
      <c r="P668" t="str">
        <f t="shared" si="51"/>
        <v/>
      </c>
      <c r="Q668" t="str">
        <f t="shared" si="52"/>
        <v/>
      </c>
      <c r="R668" t="str">
        <f t="shared" si="53"/>
        <v/>
      </c>
      <c r="S668" t="str">
        <f t="shared" si="54"/>
        <v/>
      </c>
      <c r="T668" s="24" t="str">
        <f t="shared" si="55"/>
        <v/>
      </c>
    </row>
    <row r="669" spans="2:20" x14ac:dyDescent="0.4">
      <c r="B669" s="49" t="str" cm="1">
        <f t="array" ref="B669">IFERROR((INDEX($P$4:$T$1000,MATCH(VALUE(LEFT($A669,LEN($A669)-1)),$A$4:$A$1000,0),VALUE(RIGHT($A669,1)))/ INDEX($O$4:$O$1000,MATCH(VALUE(LEFT($A669,LEN($A669)-1)),$A$4:$A$1000))) * INDEX($B$4:$B$1000,MATCH(VALUE(LEFT($A669,LEN($A669)-1)),$A$4:$A$1000)),"")</f>
        <v/>
      </c>
      <c r="C669" s="2" t="str" cm="1">
        <f t="array" ref="C669">IFERROR(IF(INDEX($D$4:$H$1000,MATCH(VALUE(LEFT($A669,LEN($A669)-1)),$A$4:$A$1000,0),VALUE(RIGHT($A669,1)))= 0,"",INDEX($D$4:$H$1000,MATCH(VALUE(LEFT($A669,LEN($A669)-1)),$A$4:$A$1000,0),VALUE(RIGHT($A669,1)))),"")</f>
        <v/>
      </c>
      <c r="D669" s="23" t="str">
        <f>IFERROR(IF(INDEX(使用レシピ!F:F,MATCH(テンプレート!$C669,使用レシピ!$E:$E,0))&lt;&gt;0,INDEX(使用レシピ!F:F,MATCH(テンプレート!$C669,使用レシピ!$E:$E,0)),""),"")</f>
        <v/>
      </c>
      <c r="E669" t="str">
        <f>IFERROR(IF(INDEX(使用レシピ!G:G,MATCH(テンプレート!$C669,使用レシピ!$E:$E,0))&lt;&gt;0,INDEX(使用レシピ!G:G,MATCH(テンプレート!$C669,使用レシピ!$E:$E,0)),""),"")</f>
        <v/>
      </c>
      <c r="F669" t="str">
        <f>IFERROR(IF(INDEX(使用レシピ!H:H,MATCH(テンプレート!$C669,使用レシピ!$E:$E,0))&lt;&gt;0,INDEX(使用レシピ!H:H,MATCH(テンプレート!$C669,使用レシピ!$E:$E,0)),""),"")</f>
        <v/>
      </c>
      <c r="G669" t="str">
        <f>IFERROR(IF(INDEX(使用レシピ!I:I,MATCH(テンプレート!$C669,使用レシピ!$E:$E,0))&lt;&gt;0,INDEX(使用レシピ!I:I,MATCH(テンプレート!$C669,使用レシピ!$E:$E,0)),""),"")</f>
        <v/>
      </c>
      <c r="H669" s="24" t="str">
        <f>IFERROR(IF(INDEX(使用レシピ!J:J,MATCH(テンプレート!$C669,使用レシピ!$E:$E,0))&lt;&gt;0,INDEX(使用レシピ!J:J,MATCH(テンプレート!$C669,使用レシピ!$E:$E,0)),""),"")</f>
        <v/>
      </c>
      <c r="I669" s="36" t="str">
        <f>IFERROR(IF(INDEX(使用レシピ!P:P,MATCH(テンプレート!$C669,使用レシピ!$E:$E,0))&lt;&gt;0,INDEX(使用レシピ!P:P,MATCH(テンプレート!$C669,使用レシピ!$E:$E,0)),""),"")</f>
        <v/>
      </c>
      <c r="J669" t="str">
        <f>IFERROR(IF(INDEX(使用レシピ!K:K,MATCH(テンプレート!$C669,使用レシピ!$E:$E,0))&lt;&gt;0,INDEX(使用レシピ!K:K,MATCH(テンプレート!$C669,使用レシピ!$E:$E,0)),""),"")</f>
        <v/>
      </c>
      <c r="K669" t="str">
        <f>IFERROR(IF(INDEX(使用レシピ!L:L,MATCH(テンプレート!$C669,使用レシピ!$E:$E,0))&lt;&gt;0,INDEX(使用レシピ!L:L,MATCH(テンプレート!$C669,使用レシピ!$E:$E,0)),""),"")</f>
        <v/>
      </c>
      <c r="L669" t="str">
        <f>IFERROR(IF(INDEX(使用レシピ!M:M,MATCH(テンプレート!$C669,使用レシピ!$E:$E,0))&lt;&gt;0,INDEX(使用レシピ!M:M,MATCH(テンプレート!$C669,使用レシピ!$E:$E,0)),""),"")</f>
        <v/>
      </c>
      <c r="M669" t="str">
        <f>IFERROR(IF(INDEX(使用レシピ!N:N,MATCH(テンプレート!$C669,使用レシピ!$E:$E,0))&lt;&gt;0,INDEX(使用レシピ!N:N,MATCH(テンプレート!$C669,使用レシピ!$E:$E,0)),""),"")</f>
        <v/>
      </c>
      <c r="N669" s="24" t="str">
        <f>IFERROR(IF(INDEX(使用レシピ!O:O,MATCH(テンプレート!$C669,使用レシピ!$E:$E,0))&lt;&gt;0,INDEX(使用レシピ!O:O,MATCH(テンプレート!$C669,使用レシピ!$E:$E,0)),""),"")</f>
        <v/>
      </c>
      <c r="O669" s="36" t="str">
        <f>IFERROR(IF(INDEX(使用レシピ!P:P,MATCH(テンプレート!$C669,使用レシピ!$E:$E,0))&lt;&gt;0,INDEX(使用レシピ!P:P,MATCH(テンプレート!$C669,使用レシピ!$E:$E,0)),""),"")</f>
        <v/>
      </c>
      <c r="P669" t="str">
        <f t="shared" si="51"/>
        <v/>
      </c>
      <c r="Q669" t="str">
        <f t="shared" si="52"/>
        <v/>
      </c>
      <c r="R669" t="str">
        <f t="shared" si="53"/>
        <v/>
      </c>
      <c r="S669" t="str">
        <f t="shared" si="54"/>
        <v/>
      </c>
      <c r="T669" s="24" t="str">
        <f t="shared" si="55"/>
        <v/>
      </c>
    </row>
    <row r="670" spans="2:20" x14ac:dyDescent="0.4">
      <c r="B670" s="49" t="str" cm="1">
        <f t="array" ref="B670">IFERROR((INDEX($P$4:$T$1000,MATCH(VALUE(LEFT($A670,LEN($A670)-1)),$A$4:$A$1000,0),VALUE(RIGHT($A670,1)))/ INDEX($O$4:$O$1000,MATCH(VALUE(LEFT($A670,LEN($A670)-1)),$A$4:$A$1000))) * INDEX($B$4:$B$1000,MATCH(VALUE(LEFT($A670,LEN($A670)-1)),$A$4:$A$1000)),"")</f>
        <v/>
      </c>
      <c r="C670" s="2" t="str" cm="1">
        <f t="array" ref="C670">IFERROR(IF(INDEX($D$4:$H$1000,MATCH(VALUE(LEFT($A670,LEN($A670)-1)),$A$4:$A$1000,0),VALUE(RIGHT($A670,1)))= 0,"",INDEX($D$4:$H$1000,MATCH(VALUE(LEFT($A670,LEN($A670)-1)),$A$4:$A$1000,0),VALUE(RIGHT($A670,1)))),"")</f>
        <v/>
      </c>
      <c r="D670" s="23" t="str">
        <f>IFERROR(IF(INDEX(使用レシピ!F:F,MATCH(テンプレート!$C670,使用レシピ!$E:$E,0))&lt;&gt;0,INDEX(使用レシピ!F:F,MATCH(テンプレート!$C670,使用レシピ!$E:$E,0)),""),"")</f>
        <v/>
      </c>
      <c r="E670" t="str">
        <f>IFERROR(IF(INDEX(使用レシピ!G:G,MATCH(テンプレート!$C670,使用レシピ!$E:$E,0))&lt;&gt;0,INDEX(使用レシピ!G:G,MATCH(テンプレート!$C670,使用レシピ!$E:$E,0)),""),"")</f>
        <v/>
      </c>
      <c r="F670" t="str">
        <f>IFERROR(IF(INDEX(使用レシピ!H:H,MATCH(テンプレート!$C670,使用レシピ!$E:$E,0))&lt;&gt;0,INDEX(使用レシピ!H:H,MATCH(テンプレート!$C670,使用レシピ!$E:$E,0)),""),"")</f>
        <v/>
      </c>
      <c r="G670" t="str">
        <f>IFERROR(IF(INDEX(使用レシピ!I:I,MATCH(テンプレート!$C670,使用レシピ!$E:$E,0))&lt;&gt;0,INDEX(使用レシピ!I:I,MATCH(テンプレート!$C670,使用レシピ!$E:$E,0)),""),"")</f>
        <v/>
      </c>
      <c r="H670" s="24" t="str">
        <f>IFERROR(IF(INDEX(使用レシピ!J:J,MATCH(テンプレート!$C670,使用レシピ!$E:$E,0))&lt;&gt;0,INDEX(使用レシピ!J:J,MATCH(テンプレート!$C670,使用レシピ!$E:$E,0)),""),"")</f>
        <v/>
      </c>
      <c r="I670" s="36" t="str">
        <f>IFERROR(IF(INDEX(使用レシピ!P:P,MATCH(テンプレート!$C670,使用レシピ!$E:$E,0))&lt;&gt;0,INDEX(使用レシピ!P:P,MATCH(テンプレート!$C670,使用レシピ!$E:$E,0)),""),"")</f>
        <v/>
      </c>
      <c r="J670" t="str">
        <f>IFERROR(IF(INDEX(使用レシピ!K:K,MATCH(テンプレート!$C670,使用レシピ!$E:$E,0))&lt;&gt;0,INDEX(使用レシピ!K:K,MATCH(テンプレート!$C670,使用レシピ!$E:$E,0)),""),"")</f>
        <v/>
      </c>
      <c r="K670" t="str">
        <f>IFERROR(IF(INDEX(使用レシピ!L:L,MATCH(テンプレート!$C670,使用レシピ!$E:$E,0))&lt;&gt;0,INDEX(使用レシピ!L:L,MATCH(テンプレート!$C670,使用レシピ!$E:$E,0)),""),"")</f>
        <v/>
      </c>
      <c r="L670" t="str">
        <f>IFERROR(IF(INDEX(使用レシピ!M:M,MATCH(テンプレート!$C670,使用レシピ!$E:$E,0))&lt;&gt;0,INDEX(使用レシピ!M:M,MATCH(テンプレート!$C670,使用レシピ!$E:$E,0)),""),"")</f>
        <v/>
      </c>
      <c r="M670" t="str">
        <f>IFERROR(IF(INDEX(使用レシピ!N:N,MATCH(テンプレート!$C670,使用レシピ!$E:$E,0))&lt;&gt;0,INDEX(使用レシピ!N:N,MATCH(テンプレート!$C670,使用レシピ!$E:$E,0)),""),"")</f>
        <v/>
      </c>
      <c r="N670" s="24" t="str">
        <f>IFERROR(IF(INDEX(使用レシピ!O:O,MATCH(テンプレート!$C670,使用レシピ!$E:$E,0))&lt;&gt;0,INDEX(使用レシピ!O:O,MATCH(テンプレート!$C670,使用レシピ!$E:$E,0)),""),"")</f>
        <v/>
      </c>
      <c r="O670" s="36" t="str">
        <f>IFERROR(IF(INDEX(使用レシピ!P:P,MATCH(テンプレート!$C670,使用レシピ!$E:$E,0))&lt;&gt;0,INDEX(使用レシピ!P:P,MATCH(テンプレート!$C670,使用レシピ!$E:$E,0)),""),"")</f>
        <v/>
      </c>
      <c r="P670" t="str">
        <f t="shared" si="51"/>
        <v/>
      </c>
      <c r="Q670" t="str">
        <f t="shared" si="52"/>
        <v/>
      </c>
      <c r="R670" t="str">
        <f t="shared" si="53"/>
        <v/>
      </c>
      <c r="S670" t="str">
        <f t="shared" si="54"/>
        <v/>
      </c>
      <c r="T670" s="24" t="str">
        <f t="shared" si="55"/>
        <v/>
      </c>
    </row>
    <row r="671" spans="2:20" x14ac:dyDescent="0.4">
      <c r="B671" s="49" t="str" cm="1">
        <f t="array" ref="B671">IFERROR((INDEX($P$4:$T$1000,MATCH(VALUE(LEFT($A671,LEN($A671)-1)),$A$4:$A$1000,0),VALUE(RIGHT($A671,1)))/ INDEX($O$4:$O$1000,MATCH(VALUE(LEFT($A671,LEN($A671)-1)),$A$4:$A$1000))) * INDEX($B$4:$B$1000,MATCH(VALUE(LEFT($A671,LEN($A671)-1)),$A$4:$A$1000)),"")</f>
        <v/>
      </c>
      <c r="C671" s="2" t="str" cm="1">
        <f t="array" ref="C671">IFERROR(IF(INDEX($D$4:$H$1000,MATCH(VALUE(LEFT($A671,LEN($A671)-1)),$A$4:$A$1000,0),VALUE(RIGHT($A671,1)))= 0,"",INDEX($D$4:$H$1000,MATCH(VALUE(LEFT($A671,LEN($A671)-1)),$A$4:$A$1000,0),VALUE(RIGHT($A671,1)))),"")</f>
        <v/>
      </c>
      <c r="D671" s="23" t="str">
        <f>IFERROR(IF(INDEX(使用レシピ!F:F,MATCH(テンプレート!$C671,使用レシピ!$E:$E,0))&lt;&gt;0,INDEX(使用レシピ!F:F,MATCH(テンプレート!$C671,使用レシピ!$E:$E,0)),""),"")</f>
        <v/>
      </c>
      <c r="E671" t="str">
        <f>IFERROR(IF(INDEX(使用レシピ!G:G,MATCH(テンプレート!$C671,使用レシピ!$E:$E,0))&lt;&gt;0,INDEX(使用レシピ!G:G,MATCH(テンプレート!$C671,使用レシピ!$E:$E,0)),""),"")</f>
        <v/>
      </c>
      <c r="F671" t="str">
        <f>IFERROR(IF(INDEX(使用レシピ!H:H,MATCH(テンプレート!$C671,使用レシピ!$E:$E,0))&lt;&gt;0,INDEX(使用レシピ!H:H,MATCH(テンプレート!$C671,使用レシピ!$E:$E,0)),""),"")</f>
        <v/>
      </c>
      <c r="G671" t="str">
        <f>IFERROR(IF(INDEX(使用レシピ!I:I,MATCH(テンプレート!$C671,使用レシピ!$E:$E,0))&lt;&gt;0,INDEX(使用レシピ!I:I,MATCH(テンプレート!$C671,使用レシピ!$E:$E,0)),""),"")</f>
        <v/>
      </c>
      <c r="H671" s="24" t="str">
        <f>IFERROR(IF(INDEX(使用レシピ!J:J,MATCH(テンプレート!$C671,使用レシピ!$E:$E,0))&lt;&gt;0,INDEX(使用レシピ!J:J,MATCH(テンプレート!$C671,使用レシピ!$E:$E,0)),""),"")</f>
        <v/>
      </c>
      <c r="I671" s="36" t="str">
        <f>IFERROR(IF(INDEX(使用レシピ!P:P,MATCH(テンプレート!$C671,使用レシピ!$E:$E,0))&lt;&gt;0,INDEX(使用レシピ!P:P,MATCH(テンプレート!$C671,使用レシピ!$E:$E,0)),""),"")</f>
        <v/>
      </c>
      <c r="J671" t="str">
        <f>IFERROR(IF(INDEX(使用レシピ!K:K,MATCH(テンプレート!$C671,使用レシピ!$E:$E,0))&lt;&gt;0,INDEX(使用レシピ!K:K,MATCH(テンプレート!$C671,使用レシピ!$E:$E,0)),""),"")</f>
        <v/>
      </c>
      <c r="K671" t="str">
        <f>IFERROR(IF(INDEX(使用レシピ!L:L,MATCH(テンプレート!$C671,使用レシピ!$E:$E,0))&lt;&gt;0,INDEX(使用レシピ!L:L,MATCH(テンプレート!$C671,使用レシピ!$E:$E,0)),""),"")</f>
        <v/>
      </c>
      <c r="L671" t="str">
        <f>IFERROR(IF(INDEX(使用レシピ!M:M,MATCH(テンプレート!$C671,使用レシピ!$E:$E,0))&lt;&gt;0,INDEX(使用レシピ!M:M,MATCH(テンプレート!$C671,使用レシピ!$E:$E,0)),""),"")</f>
        <v/>
      </c>
      <c r="M671" t="str">
        <f>IFERROR(IF(INDEX(使用レシピ!N:N,MATCH(テンプレート!$C671,使用レシピ!$E:$E,0))&lt;&gt;0,INDEX(使用レシピ!N:N,MATCH(テンプレート!$C671,使用レシピ!$E:$E,0)),""),"")</f>
        <v/>
      </c>
      <c r="N671" s="24" t="str">
        <f>IFERROR(IF(INDEX(使用レシピ!O:O,MATCH(テンプレート!$C671,使用レシピ!$E:$E,0))&lt;&gt;0,INDEX(使用レシピ!O:O,MATCH(テンプレート!$C671,使用レシピ!$E:$E,0)),""),"")</f>
        <v/>
      </c>
      <c r="O671" s="36" t="str">
        <f>IFERROR(IF(INDEX(使用レシピ!P:P,MATCH(テンプレート!$C671,使用レシピ!$E:$E,0))&lt;&gt;0,INDEX(使用レシピ!P:P,MATCH(テンプレート!$C671,使用レシピ!$E:$E,0)),""),"")</f>
        <v/>
      </c>
      <c r="P671" t="str">
        <f t="shared" si="51"/>
        <v/>
      </c>
      <c r="Q671" t="str">
        <f t="shared" si="52"/>
        <v/>
      </c>
      <c r="R671" t="str">
        <f t="shared" si="53"/>
        <v/>
      </c>
      <c r="S671" t="str">
        <f t="shared" si="54"/>
        <v/>
      </c>
      <c r="T671" s="24" t="str">
        <f t="shared" si="55"/>
        <v/>
      </c>
    </row>
    <row r="672" spans="2:20" x14ac:dyDescent="0.4">
      <c r="B672" s="49" t="str" cm="1">
        <f t="array" ref="B672">IFERROR((INDEX($P$4:$T$1000,MATCH(VALUE(LEFT($A672,LEN($A672)-1)),$A$4:$A$1000,0),VALUE(RIGHT($A672,1)))/ INDEX($O$4:$O$1000,MATCH(VALUE(LEFT($A672,LEN($A672)-1)),$A$4:$A$1000))) * INDEX($B$4:$B$1000,MATCH(VALUE(LEFT($A672,LEN($A672)-1)),$A$4:$A$1000)),"")</f>
        <v/>
      </c>
      <c r="C672" s="2" t="str" cm="1">
        <f t="array" ref="C672">IFERROR(IF(INDEX($D$4:$H$1000,MATCH(VALUE(LEFT($A672,LEN($A672)-1)),$A$4:$A$1000,0),VALUE(RIGHT($A672,1)))= 0,"",INDEX($D$4:$H$1000,MATCH(VALUE(LEFT($A672,LEN($A672)-1)),$A$4:$A$1000,0),VALUE(RIGHT($A672,1)))),"")</f>
        <v/>
      </c>
      <c r="D672" s="23" t="str">
        <f>IFERROR(IF(INDEX(使用レシピ!F:F,MATCH(テンプレート!$C672,使用レシピ!$E:$E,0))&lt;&gt;0,INDEX(使用レシピ!F:F,MATCH(テンプレート!$C672,使用レシピ!$E:$E,0)),""),"")</f>
        <v/>
      </c>
      <c r="E672" t="str">
        <f>IFERROR(IF(INDEX(使用レシピ!G:G,MATCH(テンプレート!$C672,使用レシピ!$E:$E,0))&lt;&gt;0,INDEX(使用レシピ!G:G,MATCH(テンプレート!$C672,使用レシピ!$E:$E,0)),""),"")</f>
        <v/>
      </c>
      <c r="F672" t="str">
        <f>IFERROR(IF(INDEX(使用レシピ!H:H,MATCH(テンプレート!$C672,使用レシピ!$E:$E,0))&lt;&gt;0,INDEX(使用レシピ!H:H,MATCH(テンプレート!$C672,使用レシピ!$E:$E,0)),""),"")</f>
        <v/>
      </c>
      <c r="G672" t="str">
        <f>IFERROR(IF(INDEX(使用レシピ!I:I,MATCH(テンプレート!$C672,使用レシピ!$E:$E,0))&lt;&gt;0,INDEX(使用レシピ!I:I,MATCH(テンプレート!$C672,使用レシピ!$E:$E,0)),""),"")</f>
        <v/>
      </c>
      <c r="H672" s="24" t="str">
        <f>IFERROR(IF(INDEX(使用レシピ!J:J,MATCH(テンプレート!$C672,使用レシピ!$E:$E,0))&lt;&gt;0,INDEX(使用レシピ!J:J,MATCH(テンプレート!$C672,使用レシピ!$E:$E,0)),""),"")</f>
        <v/>
      </c>
      <c r="I672" s="36" t="str">
        <f>IFERROR(IF(INDEX(使用レシピ!P:P,MATCH(テンプレート!$C672,使用レシピ!$E:$E,0))&lt;&gt;0,INDEX(使用レシピ!P:P,MATCH(テンプレート!$C672,使用レシピ!$E:$E,0)),""),"")</f>
        <v/>
      </c>
      <c r="J672" t="str">
        <f>IFERROR(IF(INDEX(使用レシピ!K:K,MATCH(テンプレート!$C672,使用レシピ!$E:$E,0))&lt;&gt;0,INDEX(使用レシピ!K:K,MATCH(テンプレート!$C672,使用レシピ!$E:$E,0)),""),"")</f>
        <v/>
      </c>
      <c r="K672" t="str">
        <f>IFERROR(IF(INDEX(使用レシピ!L:L,MATCH(テンプレート!$C672,使用レシピ!$E:$E,0))&lt;&gt;0,INDEX(使用レシピ!L:L,MATCH(テンプレート!$C672,使用レシピ!$E:$E,0)),""),"")</f>
        <v/>
      </c>
      <c r="L672" t="str">
        <f>IFERROR(IF(INDEX(使用レシピ!M:M,MATCH(テンプレート!$C672,使用レシピ!$E:$E,0))&lt;&gt;0,INDEX(使用レシピ!M:M,MATCH(テンプレート!$C672,使用レシピ!$E:$E,0)),""),"")</f>
        <v/>
      </c>
      <c r="M672" t="str">
        <f>IFERROR(IF(INDEX(使用レシピ!N:N,MATCH(テンプレート!$C672,使用レシピ!$E:$E,0))&lt;&gt;0,INDEX(使用レシピ!N:N,MATCH(テンプレート!$C672,使用レシピ!$E:$E,0)),""),"")</f>
        <v/>
      </c>
      <c r="N672" s="24" t="str">
        <f>IFERROR(IF(INDEX(使用レシピ!O:O,MATCH(テンプレート!$C672,使用レシピ!$E:$E,0))&lt;&gt;0,INDEX(使用レシピ!O:O,MATCH(テンプレート!$C672,使用レシピ!$E:$E,0)),""),"")</f>
        <v/>
      </c>
      <c r="O672" s="36" t="str">
        <f>IFERROR(IF(INDEX(使用レシピ!P:P,MATCH(テンプレート!$C672,使用レシピ!$E:$E,0))&lt;&gt;0,INDEX(使用レシピ!P:P,MATCH(テンプレート!$C672,使用レシピ!$E:$E,0)),""),"")</f>
        <v/>
      </c>
      <c r="P672" t="str">
        <f t="shared" si="51"/>
        <v/>
      </c>
      <c r="Q672" t="str">
        <f t="shared" si="52"/>
        <v/>
      </c>
      <c r="R672" t="str">
        <f t="shared" si="53"/>
        <v/>
      </c>
      <c r="S672" t="str">
        <f t="shared" si="54"/>
        <v/>
      </c>
      <c r="T672" s="24" t="str">
        <f t="shared" si="55"/>
        <v/>
      </c>
    </row>
    <row r="673" spans="2:20" x14ac:dyDescent="0.4">
      <c r="B673" s="49" t="str" cm="1">
        <f t="array" ref="B673">IFERROR((INDEX($P$4:$T$1000,MATCH(VALUE(LEFT($A673,LEN($A673)-1)),$A$4:$A$1000,0),VALUE(RIGHT($A673,1)))/ INDEX($O$4:$O$1000,MATCH(VALUE(LEFT($A673,LEN($A673)-1)),$A$4:$A$1000))) * INDEX($B$4:$B$1000,MATCH(VALUE(LEFT($A673,LEN($A673)-1)),$A$4:$A$1000)),"")</f>
        <v/>
      </c>
      <c r="C673" s="2" t="str" cm="1">
        <f t="array" ref="C673">IFERROR(IF(INDEX($D$4:$H$1000,MATCH(VALUE(LEFT($A673,LEN($A673)-1)),$A$4:$A$1000,0),VALUE(RIGHT($A673,1)))= 0,"",INDEX($D$4:$H$1000,MATCH(VALUE(LEFT($A673,LEN($A673)-1)),$A$4:$A$1000,0),VALUE(RIGHT($A673,1)))),"")</f>
        <v/>
      </c>
      <c r="D673" s="23" t="str">
        <f>IFERROR(IF(INDEX(使用レシピ!F:F,MATCH(テンプレート!$C673,使用レシピ!$E:$E,0))&lt;&gt;0,INDEX(使用レシピ!F:F,MATCH(テンプレート!$C673,使用レシピ!$E:$E,0)),""),"")</f>
        <v/>
      </c>
      <c r="E673" t="str">
        <f>IFERROR(IF(INDEX(使用レシピ!G:G,MATCH(テンプレート!$C673,使用レシピ!$E:$E,0))&lt;&gt;0,INDEX(使用レシピ!G:G,MATCH(テンプレート!$C673,使用レシピ!$E:$E,0)),""),"")</f>
        <v/>
      </c>
      <c r="F673" t="str">
        <f>IFERROR(IF(INDEX(使用レシピ!H:H,MATCH(テンプレート!$C673,使用レシピ!$E:$E,0))&lt;&gt;0,INDEX(使用レシピ!H:H,MATCH(テンプレート!$C673,使用レシピ!$E:$E,0)),""),"")</f>
        <v/>
      </c>
      <c r="G673" t="str">
        <f>IFERROR(IF(INDEX(使用レシピ!I:I,MATCH(テンプレート!$C673,使用レシピ!$E:$E,0))&lt;&gt;0,INDEX(使用レシピ!I:I,MATCH(テンプレート!$C673,使用レシピ!$E:$E,0)),""),"")</f>
        <v/>
      </c>
      <c r="H673" s="24" t="str">
        <f>IFERROR(IF(INDEX(使用レシピ!J:J,MATCH(テンプレート!$C673,使用レシピ!$E:$E,0))&lt;&gt;0,INDEX(使用レシピ!J:J,MATCH(テンプレート!$C673,使用レシピ!$E:$E,0)),""),"")</f>
        <v/>
      </c>
      <c r="I673" s="36" t="str">
        <f>IFERROR(IF(INDEX(使用レシピ!P:P,MATCH(テンプレート!$C673,使用レシピ!$E:$E,0))&lt;&gt;0,INDEX(使用レシピ!P:P,MATCH(テンプレート!$C673,使用レシピ!$E:$E,0)),""),"")</f>
        <v/>
      </c>
      <c r="J673" t="str">
        <f>IFERROR(IF(INDEX(使用レシピ!K:K,MATCH(テンプレート!$C673,使用レシピ!$E:$E,0))&lt;&gt;0,INDEX(使用レシピ!K:K,MATCH(テンプレート!$C673,使用レシピ!$E:$E,0)),""),"")</f>
        <v/>
      </c>
      <c r="K673" t="str">
        <f>IFERROR(IF(INDEX(使用レシピ!L:L,MATCH(テンプレート!$C673,使用レシピ!$E:$E,0))&lt;&gt;0,INDEX(使用レシピ!L:L,MATCH(テンプレート!$C673,使用レシピ!$E:$E,0)),""),"")</f>
        <v/>
      </c>
      <c r="L673" t="str">
        <f>IFERROR(IF(INDEX(使用レシピ!M:M,MATCH(テンプレート!$C673,使用レシピ!$E:$E,0))&lt;&gt;0,INDEX(使用レシピ!M:M,MATCH(テンプレート!$C673,使用レシピ!$E:$E,0)),""),"")</f>
        <v/>
      </c>
      <c r="M673" t="str">
        <f>IFERROR(IF(INDEX(使用レシピ!N:N,MATCH(テンプレート!$C673,使用レシピ!$E:$E,0))&lt;&gt;0,INDEX(使用レシピ!N:N,MATCH(テンプレート!$C673,使用レシピ!$E:$E,0)),""),"")</f>
        <v/>
      </c>
      <c r="N673" s="24" t="str">
        <f>IFERROR(IF(INDEX(使用レシピ!O:O,MATCH(テンプレート!$C673,使用レシピ!$E:$E,0))&lt;&gt;0,INDEX(使用レシピ!O:O,MATCH(テンプレート!$C673,使用レシピ!$E:$E,0)),""),"")</f>
        <v/>
      </c>
      <c r="O673" s="36" t="str">
        <f>IFERROR(IF(INDEX(使用レシピ!P:P,MATCH(テンプレート!$C673,使用レシピ!$E:$E,0))&lt;&gt;0,INDEX(使用レシピ!P:P,MATCH(テンプレート!$C673,使用レシピ!$E:$E,0)),""),"")</f>
        <v/>
      </c>
      <c r="P673" t="str">
        <f t="shared" si="51"/>
        <v/>
      </c>
      <c r="Q673" t="str">
        <f t="shared" si="52"/>
        <v/>
      </c>
      <c r="R673" t="str">
        <f t="shared" si="53"/>
        <v/>
      </c>
      <c r="S673" t="str">
        <f t="shared" si="54"/>
        <v/>
      </c>
      <c r="T673" s="24" t="str">
        <f t="shared" si="55"/>
        <v/>
      </c>
    </row>
    <row r="674" spans="2:20" x14ac:dyDescent="0.4">
      <c r="B674" s="49" t="str" cm="1">
        <f t="array" ref="B674">IFERROR((INDEX($P$4:$T$1000,MATCH(VALUE(LEFT($A674,LEN($A674)-1)),$A$4:$A$1000,0),VALUE(RIGHT($A674,1)))/ INDEX($O$4:$O$1000,MATCH(VALUE(LEFT($A674,LEN($A674)-1)),$A$4:$A$1000))) * INDEX($B$4:$B$1000,MATCH(VALUE(LEFT($A674,LEN($A674)-1)),$A$4:$A$1000)),"")</f>
        <v/>
      </c>
      <c r="C674" s="2" t="str" cm="1">
        <f t="array" ref="C674">IFERROR(IF(INDEX($D$4:$H$1000,MATCH(VALUE(LEFT($A674,LEN($A674)-1)),$A$4:$A$1000,0),VALUE(RIGHT($A674,1)))= 0,"",INDEX($D$4:$H$1000,MATCH(VALUE(LEFT($A674,LEN($A674)-1)),$A$4:$A$1000,0),VALUE(RIGHT($A674,1)))),"")</f>
        <v/>
      </c>
      <c r="D674" s="23" t="str">
        <f>IFERROR(IF(INDEX(使用レシピ!F:F,MATCH(テンプレート!$C674,使用レシピ!$E:$E,0))&lt;&gt;0,INDEX(使用レシピ!F:F,MATCH(テンプレート!$C674,使用レシピ!$E:$E,0)),""),"")</f>
        <v/>
      </c>
      <c r="E674" t="str">
        <f>IFERROR(IF(INDEX(使用レシピ!G:G,MATCH(テンプレート!$C674,使用レシピ!$E:$E,0))&lt;&gt;0,INDEX(使用レシピ!G:G,MATCH(テンプレート!$C674,使用レシピ!$E:$E,0)),""),"")</f>
        <v/>
      </c>
      <c r="F674" t="str">
        <f>IFERROR(IF(INDEX(使用レシピ!H:H,MATCH(テンプレート!$C674,使用レシピ!$E:$E,0))&lt;&gt;0,INDEX(使用レシピ!H:H,MATCH(テンプレート!$C674,使用レシピ!$E:$E,0)),""),"")</f>
        <v/>
      </c>
      <c r="G674" t="str">
        <f>IFERROR(IF(INDEX(使用レシピ!I:I,MATCH(テンプレート!$C674,使用レシピ!$E:$E,0))&lt;&gt;0,INDEX(使用レシピ!I:I,MATCH(テンプレート!$C674,使用レシピ!$E:$E,0)),""),"")</f>
        <v/>
      </c>
      <c r="H674" s="24" t="str">
        <f>IFERROR(IF(INDEX(使用レシピ!J:J,MATCH(テンプレート!$C674,使用レシピ!$E:$E,0))&lt;&gt;0,INDEX(使用レシピ!J:J,MATCH(テンプレート!$C674,使用レシピ!$E:$E,0)),""),"")</f>
        <v/>
      </c>
      <c r="I674" s="36" t="str">
        <f>IFERROR(IF(INDEX(使用レシピ!P:P,MATCH(テンプレート!$C674,使用レシピ!$E:$E,0))&lt;&gt;0,INDEX(使用レシピ!P:P,MATCH(テンプレート!$C674,使用レシピ!$E:$E,0)),""),"")</f>
        <v/>
      </c>
      <c r="J674" t="str">
        <f>IFERROR(IF(INDEX(使用レシピ!K:K,MATCH(テンプレート!$C674,使用レシピ!$E:$E,0))&lt;&gt;0,INDEX(使用レシピ!K:K,MATCH(テンプレート!$C674,使用レシピ!$E:$E,0)),""),"")</f>
        <v/>
      </c>
      <c r="K674" t="str">
        <f>IFERROR(IF(INDEX(使用レシピ!L:L,MATCH(テンプレート!$C674,使用レシピ!$E:$E,0))&lt;&gt;0,INDEX(使用レシピ!L:L,MATCH(テンプレート!$C674,使用レシピ!$E:$E,0)),""),"")</f>
        <v/>
      </c>
      <c r="L674" t="str">
        <f>IFERROR(IF(INDEX(使用レシピ!M:M,MATCH(テンプレート!$C674,使用レシピ!$E:$E,0))&lt;&gt;0,INDEX(使用レシピ!M:M,MATCH(テンプレート!$C674,使用レシピ!$E:$E,0)),""),"")</f>
        <v/>
      </c>
      <c r="M674" t="str">
        <f>IFERROR(IF(INDEX(使用レシピ!N:N,MATCH(テンプレート!$C674,使用レシピ!$E:$E,0))&lt;&gt;0,INDEX(使用レシピ!N:N,MATCH(テンプレート!$C674,使用レシピ!$E:$E,0)),""),"")</f>
        <v/>
      </c>
      <c r="N674" s="24" t="str">
        <f>IFERROR(IF(INDEX(使用レシピ!O:O,MATCH(テンプレート!$C674,使用レシピ!$E:$E,0))&lt;&gt;0,INDEX(使用レシピ!O:O,MATCH(テンプレート!$C674,使用レシピ!$E:$E,0)),""),"")</f>
        <v/>
      </c>
      <c r="O674" s="36" t="str">
        <f>IFERROR(IF(INDEX(使用レシピ!P:P,MATCH(テンプレート!$C674,使用レシピ!$E:$E,0))&lt;&gt;0,INDEX(使用レシピ!P:P,MATCH(テンプレート!$C674,使用レシピ!$E:$E,0)),""),"")</f>
        <v/>
      </c>
      <c r="P674" t="str">
        <f t="shared" si="51"/>
        <v/>
      </c>
      <c r="Q674" t="str">
        <f t="shared" si="52"/>
        <v/>
      </c>
      <c r="R674" t="str">
        <f t="shared" si="53"/>
        <v/>
      </c>
      <c r="S674" t="str">
        <f t="shared" si="54"/>
        <v/>
      </c>
      <c r="T674" s="24" t="str">
        <f t="shared" si="55"/>
        <v/>
      </c>
    </row>
    <row r="675" spans="2:20" x14ac:dyDescent="0.4">
      <c r="B675" s="49" t="str" cm="1">
        <f t="array" ref="B675">IFERROR((INDEX($P$4:$T$1000,MATCH(VALUE(LEFT($A675,LEN($A675)-1)),$A$4:$A$1000,0),VALUE(RIGHT($A675,1)))/ INDEX($O$4:$O$1000,MATCH(VALUE(LEFT($A675,LEN($A675)-1)),$A$4:$A$1000))) * INDEX($B$4:$B$1000,MATCH(VALUE(LEFT($A675,LEN($A675)-1)),$A$4:$A$1000)),"")</f>
        <v/>
      </c>
      <c r="C675" s="2" t="str" cm="1">
        <f t="array" ref="C675">IFERROR(IF(INDEX($D$4:$H$1000,MATCH(VALUE(LEFT($A675,LEN($A675)-1)),$A$4:$A$1000,0),VALUE(RIGHT($A675,1)))= 0,"",INDEX($D$4:$H$1000,MATCH(VALUE(LEFT($A675,LEN($A675)-1)),$A$4:$A$1000,0),VALUE(RIGHT($A675,1)))),"")</f>
        <v/>
      </c>
      <c r="D675" s="23" t="str">
        <f>IFERROR(IF(INDEX(使用レシピ!F:F,MATCH(テンプレート!$C675,使用レシピ!$E:$E,0))&lt;&gt;0,INDEX(使用レシピ!F:F,MATCH(テンプレート!$C675,使用レシピ!$E:$E,0)),""),"")</f>
        <v/>
      </c>
      <c r="E675" t="str">
        <f>IFERROR(IF(INDEX(使用レシピ!G:G,MATCH(テンプレート!$C675,使用レシピ!$E:$E,0))&lt;&gt;0,INDEX(使用レシピ!G:G,MATCH(テンプレート!$C675,使用レシピ!$E:$E,0)),""),"")</f>
        <v/>
      </c>
      <c r="F675" t="str">
        <f>IFERROR(IF(INDEX(使用レシピ!H:H,MATCH(テンプレート!$C675,使用レシピ!$E:$E,0))&lt;&gt;0,INDEX(使用レシピ!H:H,MATCH(テンプレート!$C675,使用レシピ!$E:$E,0)),""),"")</f>
        <v/>
      </c>
      <c r="G675" t="str">
        <f>IFERROR(IF(INDEX(使用レシピ!I:I,MATCH(テンプレート!$C675,使用レシピ!$E:$E,0))&lt;&gt;0,INDEX(使用レシピ!I:I,MATCH(テンプレート!$C675,使用レシピ!$E:$E,0)),""),"")</f>
        <v/>
      </c>
      <c r="H675" s="24" t="str">
        <f>IFERROR(IF(INDEX(使用レシピ!J:J,MATCH(テンプレート!$C675,使用レシピ!$E:$E,0))&lt;&gt;0,INDEX(使用レシピ!J:J,MATCH(テンプレート!$C675,使用レシピ!$E:$E,0)),""),"")</f>
        <v/>
      </c>
      <c r="I675" s="36" t="str">
        <f>IFERROR(IF(INDEX(使用レシピ!P:P,MATCH(テンプレート!$C675,使用レシピ!$E:$E,0))&lt;&gt;0,INDEX(使用レシピ!P:P,MATCH(テンプレート!$C675,使用レシピ!$E:$E,0)),""),"")</f>
        <v/>
      </c>
      <c r="J675" t="str">
        <f>IFERROR(IF(INDEX(使用レシピ!K:K,MATCH(テンプレート!$C675,使用レシピ!$E:$E,0))&lt;&gt;0,INDEX(使用レシピ!K:K,MATCH(テンプレート!$C675,使用レシピ!$E:$E,0)),""),"")</f>
        <v/>
      </c>
      <c r="K675" t="str">
        <f>IFERROR(IF(INDEX(使用レシピ!L:L,MATCH(テンプレート!$C675,使用レシピ!$E:$E,0))&lt;&gt;0,INDEX(使用レシピ!L:L,MATCH(テンプレート!$C675,使用レシピ!$E:$E,0)),""),"")</f>
        <v/>
      </c>
      <c r="L675" t="str">
        <f>IFERROR(IF(INDEX(使用レシピ!M:M,MATCH(テンプレート!$C675,使用レシピ!$E:$E,0))&lt;&gt;0,INDEX(使用レシピ!M:M,MATCH(テンプレート!$C675,使用レシピ!$E:$E,0)),""),"")</f>
        <v/>
      </c>
      <c r="M675" t="str">
        <f>IFERROR(IF(INDEX(使用レシピ!N:N,MATCH(テンプレート!$C675,使用レシピ!$E:$E,0))&lt;&gt;0,INDEX(使用レシピ!N:N,MATCH(テンプレート!$C675,使用レシピ!$E:$E,0)),""),"")</f>
        <v/>
      </c>
      <c r="N675" s="24" t="str">
        <f>IFERROR(IF(INDEX(使用レシピ!O:O,MATCH(テンプレート!$C675,使用レシピ!$E:$E,0))&lt;&gt;0,INDEX(使用レシピ!O:O,MATCH(テンプレート!$C675,使用レシピ!$E:$E,0)),""),"")</f>
        <v/>
      </c>
      <c r="O675" s="36" t="str">
        <f>IFERROR(IF(INDEX(使用レシピ!P:P,MATCH(テンプレート!$C675,使用レシピ!$E:$E,0))&lt;&gt;0,INDEX(使用レシピ!P:P,MATCH(テンプレート!$C675,使用レシピ!$E:$E,0)),""),"")</f>
        <v/>
      </c>
      <c r="P675" t="str">
        <f t="shared" si="51"/>
        <v/>
      </c>
      <c r="Q675" t="str">
        <f t="shared" si="52"/>
        <v/>
      </c>
      <c r="R675" t="str">
        <f t="shared" si="53"/>
        <v/>
      </c>
      <c r="S675" t="str">
        <f t="shared" si="54"/>
        <v/>
      </c>
      <c r="T675" s="24" t="str">
        <f t="shared" si="55"/>
        <v/>
      </c>
    </row>
    <row r="676" spans="2:20" x14ac:dyDescent="0.4">
      <c r="B676" s="49" t="str" cm="1">
        <f t="array" ref="B676">IFERROR((INDEX($P$4:$T$1000,MATCH(VALUE(LEFT($A676,LEN($A676)-1)),$A$4:$A$1000,0),VALUE(RIGHT($A676,1)))/ INDEX($O$4:$O$1000,MATCH(VALUE(LEFT($A676,LEN($A676)-1)),$A$4:$A$1000))) * INDEX($B$4:$B$1000,MATCH(VALUE(LEFT($A676,LEN($A676)-1)),$A$4:$A$1000)),"")</f>
        <v/>
      </c>
      <c r="C676" s="2" t="str" cm="1">
        <f t="array" ref="C676">IFERROR(IF(INDEX($D$4:$H$1000,MATCH(VALUE(LEFT($A676,LEN($A676)-1)),$A$4:$A$1000,0),VALUE(RIGHT($A676,1)))= 0,"",INDEX($D$4:$H$1000,MATCH(VALUE(LEFT($A676,LEN($A676)-1)),$A$4:$A$1000,0),VALUE(RIGHT($A676,1)))),"")</f>
        <v/>
      </c>
      <c r="D676" s="23" t="str">
        <f>IFERROR(IF(INDEX(使用レシピ!F:F,MATCH(テンプレート!$C676,使用レシピ!$E:$E,0))&lt;&gt;0,INDEX(使用レシピ!F:F,MATCH(テンプレート!$C676,使用レシピ!$E:$E,0)),""),"")</f>
        <v/>
      </c>
      <c r="E676" t="str">
        <f>IFERROR(IF(INDEX(使用レシピ!G:G,MATCH(テンプレート!$C676,使用レシピ!$E:$E,0))&lt;&gt;0,INDEX(使用レシピ!G:G,MATCH(テンプレート!$C676,使用レシピ!$E:$E,0)),""),"")</f>
        <v/>
      </c>
      <c r="F676" t="str">
        <f>IFERROR(IF(INDEX(使用レシピ!H:H,MATCH(テンプレート!$C676,使用レシピ!$E:$E,0))&lt;&gt;0,INDEX(使用レシピ!H:H,MATCH(テンプレート!$C676,使用レシピ!$E:$E,0)),""),"")</f>
        <v/>
      </c>
      <c r="G676" t="str">
        <f>IFERROR(IF(INDEX(使用レシピ!I:I,MATCH(テンプレート!$C676,使用レシピ!$E:$E,0))&lt;&gt;0,INDEX(使用レシピ!I:I,MATCH(テンプレート!$C676,使用レシピ!$E:$E,0)),""),"")</f>
        <v/>
      </c>
      <c r="H676" s="24" t="str">
        <f>IFERROR(IF(INDEX(使用レシピ!J:J,MATCH(テンプレート!$C676,使用レシピ!$E:$E,0))&lt;&gt;0,INDEX(使用レシピ!J:J,MATCH(テンプレート!$C676,使用レシピ!$E:$E,0)),""),"")</f>
        <v/>
      </c>
      <c r="I676" s="36" t="str">
        <f>IFERROR(IF(INDEX(使用レシピ!P:P,MATCH(テンプレート!$C676,使用レシピ!$E:$E,0))&lt;&gt;0,INDEX(使用レシピ!P:P,MATCH(テンプレート!$C676,使用レシピ!$E:$E,0)),""),"")</f>
        <v/>
      </c>
      <c r="J676" t="str">
        <f>IFERROR(IF(INDEX(使用レシピ!K:K,MATCH(テンプレート!$C676,使用レシピ!$E:$E,0))&lt;&gt;0,INDEX(使用レシピ!K:K,MATCH(テンプレート!$C676,使用レシピ!$E:$E,0)),""),"")</f>
        <v/>
      </c>
      <c r="K676" t="str">
        <f>IFERROR(IF(INDEX(使用レシピ!L:L,MATCH(テンプレート!$C676,使用レシピ!$E:$E,0))&lt;&gt;0,INDEX(使用レシピ!L:L,MATCH(テンプレート!$C676,使用レシピ!$E:$E,0)),""),"")</f>
        <v/>
      </c>
      <c r="L676" t="str">
        <f>IFERROR(IF(INDEX(使用レシピ!M:M,MATCH(テンプレート!$C676,使用レシピ!$E:$E,0))&lt;&gt;0,INDEX(使用レシピ!M:M,MATCH(テンプレート!$C676,使用レシピ!$E:$E,0)),""),"")</f>
        <v/>
      </c>
      <c r="M676" t="str">
        <f>IFERROR(IF(INDEX(使用レシピ!N:N,MATCH(テンプレート!$C676,使用レシピ!$E:$E,0))&lt;&gt;0,INDEX(使用レシピ!N:N,MATCH(テンプレート!$C676,使用レシピ!$E:$E,0)),""),"")</f>
        <v/>
      </c>
      <c r="N676" s="24" t="str">
        <f>IFERROR(IF(INDEX(使用レシピ!O:O,MATCH(テンプレート!$C676,使用レシピ!$E:$E,0))&lt;&gt;0,INDEX(使用レシピ!O:O,MATCH(テンプレート!$C676,使用レシピ!$E:$E,0)),""),"")</f>
        <v/>
      </c>
      <c r="O676" s="36" t="str">
        <f>IFERROR(IF(INDEX(使用レシピ!P:P,MATCH(テンプレート!$C676,使用レシピ!$E:$E,0))&lt;&gt;0,INDEX(使用レシピ!P:P,MATCH(テンプレート!$C676,使用レシピ!$E:$E,0)),""),"")</f>
        <v/>
      </c>
      <c r="P676" t="str">
        <f t="shared" si="51"/>
        <v/>
      </c>
      <c r="Q676" t="str">
        <f t="shared" si="52"/>
        <v/>
      </c>
      <c r="R676" t="str">
        <f t="shared" si="53"/>
        <v/>
      </c>
      <c r="S676" t="str">
        <f t="shared" si="54"/>
        <v/>
      </c>
      <c r="T676" s="24" t="str">
        <f t="shared" si="55"/>
        <v/>
      </c>
    </row>
    <row r="677" spans="2:20" x14ac:dyDescent="0.4">
      <c r="B677" s="49" t="str" cm="1">
        <f t="array" ref="B677">IFERROR((INDEX($P$4:$T$1000,MATCH(VALUE(LEFT($A677,LEN($A677)-1)),$A$4:$A$1000,0),VALUE(RIGHT($A677,1)))/ INDEX($O$4:$O$1000,MATCH(VALUE(LEFT($A677,LEN($A677)-1)),$A$4:$A$1000))) * INDEX($B$4:$B$1000,MATCH(VALUE(LEFT($A677,LEN($A677)-1)),$A$4:$A$1000)),"")</f>
        <v/>
      </c>
      <c r="C677" s="2" t="str" cm="1">
        <f t="array" ref="C677">IFERROR(IF(INDEX($D$4:$H$1000,MATCH(VALUE(LEFT($A677,LEN($A677)-1)),$A$4:$A$1000,0),VALUE(RIGHT($A677,1)))= 0,"",INDEX($D$4:$H$1000,MATCH(VALUE(LEFT($A677,LEN($A677)-1)),$A$4:$A$1000,0),VALUE(RIGHT($A677,1)))),"")</f>
        <v/>
      </c>
      <c r="D677" s="23" t="str">
        <f>IFERROR(IF(INDEX(使用レシピ!F:F,MATCH(テンプレート!$C677,使用レシピ!$E:$E,0))&lt;&gt;0,INDEX(使用レシピ!F:F,MATCH(テンプレート!$C677,使用レシピ!$E:$E,0)),""),"")</f>
        <v/>
      </c>
      <c r="E677" t="str">
        <f>IFERROR(IF(INDEX(使用レシピ!G:G,MATCH(テンプレート!$C677,使用レシピ!$E:$E,0))&lt;&gt;0,INDEX(使用レシピ!G:G,MATCH(テンプレート!$C677,使用レシピ!$E:$E,0)),""),"")</f>
        <v/>
      </c>
      <c r="F677" t="str">
        <f>IFERROR(IF(INDEX(使用レシピ!H:H,MATCH(テンプレート!$C677,使用レシピ!$E:$E,0))&lt;&gt;0,INDEX(使用レシピ!H:H,MATCH(テンプレート!$C677,使用レシピ!$E:$E,0)),""),"")</f>
        <v/>
      </c>
      <c r="G677" t="str">
        <f>IFERROR(IF(INDEX(使用レシピ!I:I,MATCH(テンプレート!$C677,使用レシピ!$E:$E,0))&lt;&gt;0,INDEX(使用レシピ!I:I,MATCH(テンプレート!$C677,使用レシピ!$E:$E,0)),""),"")</f>
        <v/>
      </c>
      <c r="H677" s="24" t="str">
        <f>IFERROR(IF(INDEX(使用レシピ!J:J,MATCH(テンプレート!$C677,使用レシピ!$E:$E,0))&lt;&gt;0,INDEX(使用レシピ!J:J,MATCH(テンプレート!$C677,使用レシピ!$E:$E,0)),""),"")</f>
        <v/>
      </c>
      <c r="I677" s="36" t="str">
        <f>IFERROR(IF(INDEX(使用レシピ!P:P,MATCH(テンプレート!$C677,使用レシピ!$E:$E,0))&lt;&gt;0,INDEX(使用レシピ!P:P,MATCH(テンプレート!$C677,使用レシピ!$E:$E,0)),""),"")</f>
        <v/>
      </c>
      <c r="J677" t="str">
        <f>IFERROR(IF(INDEX(使用レシピ!K:K,MATCH(テンプレート!$C677,使用レシピ!$E:$E,0))&lt;&gt;0,INDEX(使用レシピ!K:K,MATCH(テンプレート!$C677,使用レシピ!$E:$E,0)),""),"")</f>
        <v/>
      </c>
      <c r="K677" t="str">
        <f>IFERROR(IF(INDEX(使用レシピ!L:L,MATCH(テンプレート!$C677,使用レシピ!$E:$E,0))&lt;&gt;0,INDEX(使用レシピ!L:L,MATCH(テンプレート!$C677,使用レシピ!$E:$E,0)),""),"")</f>
        <v/>
      </c>
      <c r="L677" t="str">
        <f>IFERROR(IF(INDEX(使用レシピ!M:M,MATCH(テンプレート!$C677,使用レシピ!$E:$E,0))&lt;&gt;0,INDEX(使用レシピ!M:M,MATCH(テンプレート!$C677,使用レシピ!$E:$E,0)),""),"")</f>
        <v/>
      </c>
      <c r="M677" t="str">
        <f>IFERROR(IF(INDEX(使用レシピ!N:N,MATCH(テンプレート!$C677,使用レシピ!$E:$E,0))&lt;&gt;0,INDEX(使用レシピ!N:N,MATCH(テンプレート!$C677,使用レシピ!$E:$E,0)),""),"")</f>
        <v/>
      </c>
      <c r="N677" s="24" t="str">
        <f>IFERROR(IF(INDEX(使用レシピ!O:O,MATCH(テンプレート!$C677,使用レシピ!$E:$E,0))&lt;&gt;0,INDEX(使用レシピ!O:O,MATCH(テンプレート!$C677,使用レシピ!$E:$E,0)),""),"")</f>
        <v/>
      </c>
      <c r="O677" s="36" t="str">
        <f>IFERROR(IF(INDEX(使用レシピ!P:P,MATCH(テンプレート!$C677,使用レシピ!$E:$E,0))&lt;&gt;0,INDEX(使用レシピ!P:P,MATCH(テンプレート!$C677,使用レシピ!$E:$E,0)),""),"")</f>
        <v/>
      </c>
      <c r="P677" t="str">
        <f t="shared" si="51"/>
        <v/>
      </c>
      <c r="Q677" t="str">
        <f t="shared" si="52"/>
        <v/>
      </c>
      <c r="R677" t="str">
        <f t="shared" si="53"/>
        <v/>
      </c>
      <c r="S677" t="str">
        <f t="shared" si="54"/>
        <v/>
      </c>
      <c r="T677" s="24" t="str">
        <f t="shared" si="55"/>
        <v/>
      </c>
    </row>
    <row r="678" spans="2:20" x14ac:dyDescent="0.4">
      <c r="B678" s="49" t="str" cm="1">
        <f t="array" ref="B678">IFERROR((INDEX($P$4:$T$1000,MATCH(VALUE(LEFT($A678,LEN($A678)-1)),$A$4:$A$1000,0),VALUE(RIGHT($A678,1)))/ INDEX($O$4:$O$1000,MATCH(VALUE(LEFT($A678,LEN($A678)-1)),$A$4:$A$1000))) * INDEX($B$4:$B$1000,MATCH(VALUE(LEFT($A678,LEN($A678)-1)),$A$4:$A$1000)),"")</f>
        <v/>
      </c>
      <c r="C678" s="2" t="str" cm="1">
        <f t="array" ref="C678">IFERROR(IF(INDEX($D$4:$H$1000,MATCH(VALUE(LEFT($A678,LEN($A678)-1)),$A$4:$A$1000,0),VALUE(RIGHT($A678,1)))= 0,"",INDEX($D$4:$H$1000,MATCH(VALUE(LEFT($A678,LEN($A678)-1)),$A$4:$A$1000,0),VALUE(RIGHT($A678,1)))),"")</f>
        <v/>
      </c>
      <c r="D678" s="23" t="str">
        <f>IFERROR(IF(INDEX(使用レシピ!F:F,MATCH(テンプレート!$C678,使用レシピ!$E:$E,0))&lt;&gt;0,INDEX(使用レシピ!F:F,MATCH(テンプレート!$C678,使用レシピ!$E:$E,0)),""),"")</f>
        <v/>
      </c>
      <c r="E678" t="str">
        <f>IFERROR(IF(INDEX(使用レシピ!G:G,MATCH(テンプレート!$C678,使用レシピ!$E:$E,0))&lt;&gt;0,INDEX(使用レシピ!G:G,MATCH(テンプレート!$C678,使用レシピ!$E:$E,0)),""),"")</f>
        <v/>
      </c>
      <c r="F678" t="str">
        <f>IFERROR(IF(INDEX(使用レシピ!H:H,MATCH(テンプレート!$C678,使用レシピ!$E:$E,0))&lt;&gt;0,INDEX(使用レシピ!H:H,MATCH(テンプレート!$C678,使用レシピ!$E:$E,0)),""),"")</f>
        <v/>
      </c>
      <c r="G678" t="str">
        <f>IFERROR(IF(INDEX(使用レシピ!I:I,MATCH(テンプレート!$C678,使用レシピ!$E:$E,0))&lt;&gt;0,INDEX(使用レシピ!I:I,MATCH(テンプレート!$C678,使用レシピ!$E:$E,0)),""),"")</f>
        <v/>
      </c>
      <c r="H678" s="24" t="str">
        <f>IFERROR(IF(INDEX(使用レシピ!J:J,MATCH(テンプレート!$C678,使用レシピ!$E:$E,0))&lt;&gt;0,INDEX(使用レシピ!J:J,MATCH(テンプレート!$C678,使用レシピ!$E:$E,0)),""),"")</f>
        <v/>
      </c>
      <c r="I678" s="36" t="str">
        <f>IFERROR(IF(INDEX(使用レシピ!P:P,MATCH(テンプレート!$C678,使用レシピ!$E:$E,0))&lt;&gt;0,INDEX(使用レシピ!P:P,MATCH(テンプレート!$C678,使用レシピ!$E:$E,0)),""),"")</f>
        <v/>
      </c>
      <c r="J678" t="str">
        <f>IFERROR(IF(INDEX(使用レシピ!K:K,MATCH(テンプレート!$C678,使用レシピ!$E:$E,0))&lt;&gt;0,INDEX(使用レシピ!K:K,MATCH(テンプレート!$C678,使用レシピ!$E:$E,0)),""),"")</f>
        <v/>
      </c>
      <c r="K678" t="str">
        <f>IFERROR(IF(INDEX(使用レシピ!L:L,MATCH(テンプレート!$C678,使用レシピ!$E:$E,0))&lt;&gt;0,INDEX(使用レシピ!L:L,MATCH(テンプレート!$C678,使用レシピ!$E:$E,0)),""),"")</f>
        <v/>
      </c>
      <c r="L678" t="str">
        <f>IFERROR(IF(INDEX(使用レシピ!M:M,MATCH(テンプレート!$C678,使用レシピ!$E:$E,0))&lt;&gt;0,INDEX(使用レシピ!M:M,MATCH(テンプレート!$C678,使用レシピ!$E:$E,0)),""),"")</f>
        <v/>
      </c>
      <c r="M678" t="str">
        <f>IFERROR(IF(INDEX(使用レシピ!N:N,MATCH(テンプレート!$C678,使用レシピ!$E:$E,0))&lt;&gt;0,INDEX(使用レシピ!N:N,MATCH(テンプレート!$C678,使用レシピ!$E:$E,0)),""),"")</f>
        <v/>
      </c>
      <c r="N678" s="24" t="str">
        <f>IFERROR(IF(INDEX(使用レシピ!O:O,MATCH(テンプレート!$C678,使用レシピ!$E:$E,0))&lt;&gt;0,INDEX(使用レシピ!O:O,MATCH(テンプレート!$C678,使用レシピ!$E:$E,0)),""),"")</f>
        <v/>
      </c>
      <c r="O678" s="36" t="str">
        <f>IFERROR(IF(INDEX(使用レシピ!P:P,MATCH(テンプレート!$C678,使用レシピ!$E:$E,0))&lt;&gt;0,INDEX(使用レシピ!P:P,MATCH(テンプレート!$C678,使用レシピ!$E:$E,0)),""),"")</f>
        <v/>
      </c>
      <c r="P678" t="str">
        <f t="shared" si="51"/>
        <v/>
      </c>
      <c r="Q678" t="str">
        <f t="shared" si="52"/>
        <v/>
      </c>
      <c r="R678" t="str">
        <f t="shared" si="53"/>
        <v/>
      </c>
      <c r="S678" t="str">
        <f t="shared" si="54"/>
        <v/>
      </c>
      <c r="T678" s="24" t="str">
        <f t="shared" si="55"/>
        <v/>
      </c>
    </row>
    <row r="679" spans="2:20" x14ac:dyDescent="0.4">
      <c r="B679" s="49" t="str" cm="1">
        <f t="array" ref="B679">IFERROR((INDEX($P$4:$T$1000,MATCH(VALUE(LEFT($A679,LEN($A679)-1)),$A$4:$A$1000,0),VALUE(RIGHT($A679,1)))/ INDEX($O$4:$O$1000,MATCH(VALUE(LEFT($A679,LEN($A679)-1)),$A$4:$A$1000))) * INDEX($B$4:$B$1000,MATCH(VALUE(LEFT($A679,LEN($A679)-1)),$A$4:$A$1000)),"")</f>
        <v/>
      </c>
      <c r="C679" s="2" t="str" cm="1">
        <f t="array" ref="C679">IFERROR(IF(INDEX($D$4:$H$1000,MATCH(VALUE(LEFT($A679,LEN($A679)-1)),$A$4:$A$1000,0),VALUE(RIGHT($A679,1)))= 0,"",INDEX($D$4:$H$1000,MATCH(VALUE(LEFT($A679,LEN($A679)-1)),$A$4:$A$1000,0),VALUE(RIGHT($A679,1)))),"")</f>
        <v/>
      </c>
      <c r="D679" s="23" t="str">
        <f>IFERROR(IF(INDEX(使用レシピ!F:F,MATCH(テンプレート!$C679,使用レシピ!$E:$E,0))&lt;&gt;0,INDEX(使用レシピ!F:F,MATCH(テンプレート!$C679,使用レシピ!$E:$E,0)),""),"")</f>
        <v/>
      </c>
      <c r="E679" t="str">
        <f>IFERROR(IF(INDEX(使用レシピ!G:G,MATCH(テンプレート!$C679,使用レシピ!$E:$E,0))&lt;&gt;0,INDEX(使用レシピ!G:G,MATCH(テンプレート!$C679,使用レシピ!$E:$E,0)),""),"")</f>
        <v/>
      </c>
      <c r="F679" t="str">
        <f>IFERROR(IF(INDEX(使用レシピ!H:H,MATCH(テンプレート!$C679,使用レシピ!$E:$E,0))&lt;&gt;0,INDEX(使用レシピ!H:H,MATCH(テンプレート!$C679,使用レシピ!$E:$E,0)),""),"")</f>
        <v/>
      </c>
      <c r="G679" t="str">
        <f>IFERROR(IF(INDEX(使用レシピ!I:I,MATCH(テンプレート!$C679,使用レシピ!$E:$E,0))&lt;&gt;0,INDEX(使用レシピ!I:I,MATCH(テンプレート!$C679,使用レシピ!$E:$E,0)),""),"")</f>
        <v/>
      </c>
      <c r="H679" s="24" t="str">
        <f>IFERROR(IF(INDEX(使用レシピ!J:J,MATCH(テンプレート!$C679,使用レシピ!$E:$E,0))&lt;&gt;0,INDEX(使用レシピ!J:J,MATCH(テンプレート!$C679,使用レシピ!$E:$E,0)),""),"")</f>
        <v/>
      </c>
      <c r="I679" s="36" t="str">
        <f>IFERROR(IF(INDEX(使用レシピ!P:P,MATCH(テンプレート!$C679,使用レシピ!$E:$E,0))&lt;&gt;0,INDEX(使用レシピ!P:P,MATCH(テンプレート!$C679,使用レシピ!$E:$E,0)),""),"")</f>
        <v/>
      </c>
      <c r="J679" t="str">
        <f>IFERROR(IF(INDEX(使用レシピ!K:K,MATCH(テンプレート!$C679,使用レシピ!$E:$E,0))&lt;&gt;0,INDEX(使用レシピ!K:K,MATCH(テンプレート!$C679,使用レシピ!$E:$E,0)),""),"")</f>
        <v/>
      </c>
      <c r="K679" t="str">
        <f>IFERROR(IF(INDEX(使用レシピ!L:L,MATCH(テンプレート!$C679,使用レシピ!$E:$E,0))&lt;&gt;0,INDEX(使用レシピ!L:L,MATCH(テンプレート!$C679,使用レシピ!$E:$E,0)),""),"")</f>
        <v/>
      </c>
      <c r="L679" t="str">
        <f>IFERROR(IF(INDEX(使用レシピ!M:M,MATCH(テンプレート!$C679,使用レシピ!$E:$E,0))&lt;&gt;0,INDEX(使用レシピ!M:M,MATCH(テンプレート!$C679,使用レシピ!$E:$E,0)),""),"")</f>
        <v/>
      </c>
      <c r="M679" t="str">
        <f>IFERROR(IF(INDEX(使用レシピ!N:N,MATCH(テンプレート!$C679,使用レシピ!$E:$E,0))&lt;&gt;0,INDEX(使用レシピ!N:N,MATCH(テンプレート!$C679,使用レシピ!$E:$E,0)),""),"")</f>
        <v/>
      </c>
      <c r="N679" s="24" t="str">
        <f>IFERROR(IF(INDEX(使用レシピ!O:O,MATCH(テンプレート!$C679,使用レシピ!$E:$E,0))&lt;&gt;0,INDEX(使用レシピ!O:O,MATCH(テンプレート!$C679,使用レシピ!$E:$E,0)),""),"")</f>
        <v/>
      </c>
      <c r="O679" s="36" t="str">
        <f>IFERROR(IF(INDEX(使用レシピ!P:P,MATCH(テンプレート!$C679,使用レシピ!$E:$E,0))&lt;&gt;0,INDEX(使用レシピ!P:P,MATCH(テンプレート!$C679,使用レシピ!$E:$E,0)),""),"")</f>
        <v/>
      </c>
      <c r="P679" t="str">
        <f t="shared" si="51"/>
        <v/>
      </c>
      <c r="Q679" t="str">
        <f t="shared" si="52"/>
        <v/>
      </c>
      <c r="R679" t="str">
        <f t="shared" si="53"/>
        <v/>
      </c>
      <c r="S679" t="str">
        <f t="shared" si="54"/>
        <v/>
      </c>
      <c r="T679" s="24" t="str">
        <f t="shared" si="55"/>
        <v/>
      </c>
    </row>
    <row r="680" spans="2:20" x14ac:dyDescent="0.4">
      <c r="B680" s="49" t="str" cm="1">
        <f t="array" ref="B680">IFERROR((INDEX($P$4:$T$1000,MATCH(VALUE(LEFT($A680,LEN($A680)-1)),$A$4:$A$1000,0),VALUE(RIGHT($A680,1)))/ INDEX($O$4:$O$1000,MATCH(VALUE(LEFT($A680,LEN($A680)-1)),$A$4:$A$1000))) * INDEX($B$4:$B$1000,MATCH(VALUE(LEFT($A680,LEN($A680)-1)),$A$4:$A$1000)),"")</f>
        <v/>
      </c>
      <c r="C680" s="2" t="str" cm="1">
        <f t="array" ref="C680">IFERROR(IF(INDEX($D$4:$H$1000,MATCH(VALUE(LEFT($A680,LEN($A680)-1)),$A$4:$A$1000,0),VALUE(RIGHT($A680,1)))= 0,"",INDEX($D$4:$H$1000,MATCH(VALUE(LEFT($A680,LEN($A680)-1)),$A$4:$A$1000,0),VALUE(RIGHT($A680,1)))),"")</f>
        <v/>
      </c>
      <c r="D680" s="23" t="str">
        <f>IFERROR(IF(INDEX(使用レシピ!F:F,MATCH(テンプレート!$C680,使用レシピ!$E:$E,0))&lt;&gt;0,INDEX(使用レシピ!F:F,MATCH(テンプレート!$C680,使用レシピ!$E:$E,0)),""),"")</f>
        <v/>
      </c>
      <c r="E680" t="str">
        <f>IFERROR(IF(INDEX(使用レシピ!G:G,MATCH(テンプレート!$C680,使用レシピ!$E:$E,0))&lt;&gt;0,INDEX(使用レシピ!G:G,MATCH(テンプレート!$C680,使用レシピ!$E:$E,0)),""),"")</f>
        <v/>
      </c>
      <c r="F680" t="str">
        <f>IFERROR(IF(INDEX(使用レシピ!H:H,MATCH(テンプレート!$C680,使用レシピ!$E:$E,0))&lt;&gt;0,INDEX(使用レシピ!H:H,MATCH(テンプレート!$C680,使用レシピ!$E:$E,0)),""),"")</f>
        <v/>
      </c>
      <c r="G680" t="str">
        <f>IFERROR(IF(INDEX(使用レシピ!I:I,MATCH(テンプレート!$C680,使用レシピ!$E:$E,0))&lt;&gt;0,INDEX(使用レシピ!I:I,MATCH(テンプレート!$C680,使用レシピ!$E:$E,0)),""),"")</f>
        <v/>
      </c>
      <c r="H680" s="24" t="str">
        <f>IFERROR(IF(INDEX(使用レシピ!J:J,MATCH(テンプレート!$C680,使用レシピ!$E:$E,0))&lt;&gt;0,INDEX(使用レシピ!J:J,MATCH(テンプレート!$C680,使用レシピ!$E:$E,0)),""),"")</f>
        <v/>
      </c>
      <c r="I680" s="36" t="str">
        <f>IFERROR(IF(INDEX(使用レシピ!P:P,MATCH(テンプレート!$C680,使用レシピ!$E:$E,0))&lt;&gt;0,INDEX(使用レシピ!P:P,MATCH(テンプレート!$C680,使用レシピ!$E:$E,0)),""),"")</f>
        <v/>
      </c>
      <c r="J680" t="str">
        <f>IFERROR(IF(INDEX(使用レシピ!K:K,MATCH(テンプレート!$C680,使用レシピ!$E:$E,0))&lt;&gt;0,INDEX(使用レシピ!K:K,MATCH(テンプレート!$C680,使用レシピ!$E:$E,0)),""),"")</f>
        <v/>
      </c>
      <c r="K680" t="str">
        <f>IFERROR(IF(INDEX(使用レシピ!L:L,MATCH(テンプレート!$C680,使用レシピ!$E:$E,0))&lt;&gt;0,INDEX(使用レシピ!L:L,MATCH(テンプレート!$C680,使用レシピ!$E:$E,0)),""),"")</f>
        <v/>
      </c>
      <c r="L680" t="str">
        <f>IFERROR(IF(INDEX(使用レシピ!M:M,MATCH(テンプレート!$C680,使用レシピ!$E:$E,0))&lt;&gt;0,INDEX(使用レシピ!M:M,MATCH(テンプレート!$C680,使用レシピ!$E:$E,0)),""),"")</f>
        <v/>
      </c>
      <c r="M680" t="str">
        <f>IFERROR(IF(INDEX(使用レシピ!N:N,MATCH(テンプレート!$C680,使用レシピ!$E:$E,0))&lt;&gt;0,INDEX(使用レシピ!N:N,MATCH(テンプレート!$C680,使用レシピ!$E:$E,0)),""),"")</f>
        <v/>
      </c>
      <c r="N680" s="24" t="str">
        <f>IFERROR(IF(INDEX(使用レシピ!O:O,MATCH(テンプレート!$C680,使用レシピ!$E:$E,0))&lt;&gt;0,INDEX(使用レシピ!O:O,MATCH(テンプレート!$C680,使用レシピ!$E:$E,0)),""),"")</f>
        <v/>
      </c>
      <c r="O680" s="36" t="str">
        <f>IFERROR(IF(INDEX(使用レシピ!P:P,MATCH(テンプレート!$C680,使用レシピ!$E:$E,0))&lt;&gt;0,INDEX(使用レシピ!P:P,MATCH(テンプレート!$C680,使用レシピ!$E:$E,0)),""),"")</f>
        <v/>
      </c>
      <c r="P680" t="str">
        <f t="shared" si="51"/>
        <v/>
      </c>
      <c r="Q680" t="str">
        <f t="shared" si="52"/>
        <v/>
      </c>
      <c r="R680" t="str">
        <f t="shared" si="53"/>
        <v/>
      </c>
      <c r="S680" t="str">
        <f t="shared" si="54"/>
        <v/>
      </c>
      <c r="T680" s="24" t="str">
        <f t="shared" si="55"/>
        <v/>
      </c>
    </row>
    <row r="681" spans="2:20" x14ac:dyDescent="0.4">
      <c r="B681" s="49" t="str" cm="1">
        <f t="array" ref="B681">IFERROR((INDEX($P$4:$T$1000,MATCH(VALUE(LEFT($A681,LEN($A681)-1)),$A$4:$A$1000,0),VALUE(RIGHT($A681,1)))/ INDEX($O$4:$O$1000,MATCH(VALUE(LEFT($A681,LEN($A681)-1)),$A$4:$A$1000))) * INDEX($B$4:$B$1000,MATCH(VALUE(LEFT($A681,LEN($A681)-1)),$A$4:$A$1000)),"")</f>
        <v/>
      </c>
      <c r="C681" s="2" t="str" cm="1">
        <f t="array" ref="C681">IFERROR(IF(INDEX($D$4:$H$1000,MATCH(VALUE(LEFT($A681,LEN($A681)-1)),$A$4:$A$1000,0),VALUE(RIGHT($A681,1)))= 0,"",INDEX($D$4:$H$1000,MATCH(VALUE(LEFT($A681,LEN($A681)-1)),$A$4:$A$1000,0),VALUE(RIGHT($A681,1)))),"")</f>
        <v/>
      </c>
      <c r="D681" s="23" t="str">
        <f>IFERROR(IF(INDEX(使用レシピ!F:F,MATCH(テンプレート!$C681,使用レシピ!$E:$E,0))&lt;&gt;0,INDEX(使用レシピ!F:F,MATCH(テンプレート!$C681,使用レシピ!$E:$E,0)),""),"")</f>
        <v/>
      </c>
      <c r="E681" t="str">
        <f>IFERROR(IF(INDEX(使用レシピ!G:G,MATCH(テンプレート!$C681,使用レシピ!$E:$E,0))&lt;&gt;0,INDEX(使用レシピ!G:G,MATCH(テンプレート!$C681,使用レシピ!$E:$E,0)),""),"")</f>
        <v/>
      </c>
      <c r="F681" t="str">
        <f>IFERROR(IF(INDEX(使用レシピ!H:H,MATCH(テンプレート!$C681,使用レシピ!$E:$E,0))&lt;&gt;0,INDEX(使用レシピ!H:H,MATCH(テンプレート!$C681,使用レシピ!$E:$E,0)),""),"")</f>
        <v/>
      </c>
      <c r="G681" t="str">
        <f>IFERROR(IF(INDEX(使用レシピ!I:I,MATCH(テンプレート!$C681,使用レシピ!$E:$E,0))&lt;&gt;0,INDEX(使用レシピ!I:I,MATCH(テンプレート!$C681,使用レシピ!$E:$E,0)),""),"")</f>
        <v/>
      </c>
      <c r="H681" s="24" t="str">
        <f>IFERROR(IF(INDEX(使用レシピ!J:J,MATCH(テンプレート!$C681,使用レシピ!$E:$E,0))&lt;&gt;0,INDEX(使用レシピ!J:J,MATCH(テンプレート!$C681,使用レシピ!$E:$E,0)),""),"")</f>
        <v/>
      </c>
      <c r="I681" s="36" t="str">
        <f>IFERROR(IF(INDEX(使用レシピ!P:P,MATCH(テンプレート!$C681,使用レシピ!$E:$E,0))&lt;&gt;0,INDEX(使用レシピ!P:P,MATCH(テンプレート!$C681,使用レシピ!$E:$E,0)),""),"")</f>
        <v/>
      </c>
      <c r="J681" t="str">
        <f>IFERROR(IF(INDEX(使用レシピ!K:K,MATCH(テンプレート!$C681,使用レシピ!$E:$E,0))&lt;&gt;0,INDEX(使用レシピ!K:K,MATCH(テンプレート!$C681,使用レシピ!$E:$E,0)),""),"")</f>
        <v/>
      </c>
      <c r="K681" t="str">
        <f>IFERROR(IF(INDEX(使用レシピ!L:L,MATCH(テンプレート!$C681,使用レシピ!$E:$E,0))&lt;&gt;0,INDEX(使用レシピ!L:L,MATCH(テンプレート!$C681,使用レシピ!$E:$E,0)),""),"")</f>
        <v/>
      </c>
      <c r="L681" t="str">
        <f>IFERROR(IF(INDEX(使用レシピ!M:M,MATCH(テンプレート!$C681,使用レシピ!$E:$E,0))&lt;&gt;0,INDEX(使用レシピ!M:M,MATCH(テンプレート!$C681,使用レシピ!$E:$E,0)),""),"")</f>
        <v/>
      </c>
      <c r="M681" t="str">
        <f>IFERROR(IF(INDEX(使用レシピ!N:N,MATCH(テンプレート!$C681,使用レシピ!$E:$E,0))&lt;&gt;0,INDEX(使用レシピ!N:N,MATCH(テンプレート!$C681,使用レシピ!$E:$E,0)),""),"")</f>
        <v/>
      </c>
      <c r="N681" s="24" t="str">
        <f>IFERROR(IF(INDEX(使用レシピ!O:O,MATCH(テンプレート!$C681,使用レシピ!$E:$E,0))&lt;&gt;0,INDEX(使用レシピ!O:O,MATCH(テンプレート!$C681,使用レシピ!$E:$E,0)),""),"")</f>
        <v/>
      </c>
      <c r="O681" s="36" t="str">
        <f>IFERROR(IF(INDEX(使用レシピ!P:P,MATCH(テンプレート!$C681,使用レシピ!$E:$E,0))&lt;&gt;0,INDEX(使用レシピ!P:P,MATCH(テンプレート!$C681,使用レシピ!$E:$E,0)),""),"")</f>
        <v/>
      </c>
      <c r="P681" t="str">
        <f t="shared" si="51"/>
        <v/>
      </c>
      <c r="Q681" t="str">
        <f t="shared" si="52"/>
        <v/>
      </c>
      <c r="R681" t="str">
        <f t="shared" si="53"/>
        <v/>
      </c>
      <c r="S681" t="str">
        <f t="shared" si="54"/>
        <v/>
      </c>
      <c r="T681" s="24" t="str">
        <f t="shared" si="55"/>
        <v/>
      </c>
    </row>
    <row r="682" spans="2:20" x14ac:dyDescent="0.4">
      <c r="B682" s="49" t="str" cm="1">
        <f t="array" ref="B682">IFERROR((INDEX($P$4:$T$1000,MATCH(VALUE(LEFT($A682,LEN($A682)-1)),$A$4:$A$1000,0),VALUE(RIGHT($A682,1)))/ INDEX($O$4:$O$1000,MATCH(VALUE(LEFT($A682,LEN($A682)-1)),$A$4:$A$1000))) * INDEX($B$4:$B$1000,MATCH(VALUE(LEFT($A682,LEN($A682)-1)),$A$4:$A$1000)),"")</f>
        <v/>
      </c>
      <c r="C682" s="2" t="str" cm="1">
        <f t="array" ref="C682">IFERROR(IF(INDEX($D$4:$H$1000,MATCH(VALUE(LEFT($A682,LEN($A682)-1)),$A$4:$A$1000,0),VALUE(RIGHT($A682,1)))= 0,"",INDEX($D$4:$H$1000,MATCH(VALUE(LEFT($A682,LEN($A682)-1)),$A$4:$A$1000,0),VALUE(RIGHT($A682,1)))),"")</f>
        <v/>
      </c>
      <c r="D682" s="23" t="str">
        <f>IFERROR(IF(INDEX(使用レシピ!F:F,MATCH(テンプレート!$C682,使用レシピ!$E:$E,0))&lt;&gt;0,INDEX(使用レシピ!F:F,MATCH(テンプレート!$C682,使用レシピ!$E:$E,0)),""),"")</f>
        <v/>
      </c>
      <c r="E682" t="str">
        <f>IFERROR(IF(INDEX(使用レシピ!G:G,MATCH(テンプレート!$C682,使用レシピ!$E:$E,0))&lt;&gt;0,INDEX(使用レシピ!G:G,MATCH(テンプレート!$C682,使用レシピ!$E:$E,0)),""),"")</f>
        <v/>
      </c>
      <c r="F682" t="str">
        <f>IFERROR(IF(INDEX(使用レシピ!H:H,MATCH(テンプレート!$C682,使用レシピ!$E:$E,0))&lt;&gt;0,INDEX(使用レシピ!H:H,MATCH(テンプレート!$C682,使用レシピ!$E:$E,0)),""),"")</f>
        <v/>
      </c>
      <c r="G682" t="str">
        <f>IFERROR(IF(INDEX(使用レシピ!I:I,MATCH(テンプレート!$C682,使用レシピ!$E:$E,0))&lt;&gt;0,INDEX(使用レシピ!I:I,MATCH(テンプレート!$C682,使用レシピ!$E:$E,0)),""),"")</f>
        <v/>
      </c>
      <c r="H682" s="24" t="str">
        <f>IFERROR(IF(INDEX(使用レシピ!J:J,MATCH(テンプレート!$C682,使用レシピ!$E:$E,0))&lt;&gt;0,INDEX(使用レシピ!J:J,MATCH(テンプレート!$C682,使用レシピ!$E:$E,0)),""),"")</f>
        <v/>
      </c>
      <c r="I682" s="36" t="str">
        <f>IFERROR(IF(INDEX(使用レシピ!P:P,MATCH(テンプレート!$C682,使用レシピ!$E:$E,0))&lt;&gt;0,INDEX(使用レシピ!P:P,MATCH(テンプレート!$C682,使用レシピ!$E:$E,0)),""),"")</f>
        <v/>
      </c>
      <c r="J682" t="str">
        <f>IFERROR(IF(INDEX(使用レシピ!K:K,MATCH(テンプレート!$C682,使用レシピ!$E:$E,0))&lt;&gt;0,INDEX(使用レシピ!K:K,MATCH(テンプレート!$C682,使用レシピ!$E:$E,0)),""),"")</f>
        <v/>
      </c>
      <c r="K682" t="str">
        <f>IFERROR(IF(INDEX(使用レシピ!L:L,MATCH(テンプレート!$C682,使用レシピ!$E:$E,0))&lt;&gt;0,INDEX(使用レシピ!L:L,MATCH(テンプレート!$C682,使用レシピ!$E:$E,0)),""),"")</f>
        <v/>
      </c>
      <c r="L682" t="str">
        <f>IFERROR(IF(INDEX(使用レシピ!M:M,MATCH(テンプレート!$C682,使用レシピ!$E:$E,0))&lt;&gt;0,INDEX(使用レシピ!M:M,MATCH(テンプレート!$C682,使用レシピ!$E:$E,0)),""),"")</f>
        <v/>
      </c>
      <c r="M682" t="str">
        <f>IFERROR(IF(INDEX(使用レシピ!N:N,MATCH(テンプレート!$C682,使用レシピ!$E:$E,0))&lt;&gt;0,INDEX(使用レシピ!N:N,MATCH(テンプレート!$C682,使用レシピ!$E:$E,0)),""),"")</f>
        <v/>
      </c>
      <c r="N682" s="24" t="str">
        <f>IFERROR(IF(INDEX(使用レシピ!O:O,MATCH(テンプレート!$C682,使用レシピ!$E:$E,0))&lt;&gt;0,INDEX(使用レシピ!O:O,MATCH(テンプレート!$C682,使用レシピ!$E:$E,0)),""),"")</f>
        <v/>
      </c>
      <c r="O682" s="36" t="str">
        <f>IFERROR(IF(INDEX(使用レシピ!P:P,MATCH(テンプレート!$C682,使用レシピ!$E:$E,0))&lt;&gt;0,INDEX(使用レシピ!P:P,MATCH(テンプレート!$C682,使用レシピ!$E:$E,0)),""),"")</f>
        <v/>
      </c>
      <c r="P682" t="str">
        <f t="shared" si="51"/>
        <v/>
      </c>
      <c r="Q682" t="str">
        <f t="shared" si="52"/>
        <v/>
      </c>
      <c r="R682" t="str">
        <f t="shared" si="53"/>
        <v/>
      </c>
      <c r="S682" t="str">
        <f t="shared" si="54"/>
        <v/>
      </c>
      <c r="T682" s="24" t="str">
        <f t="shared" si="55"/>
        <v/>
      </c>
    </row>
    <row r="683" spans="2:20" x14ac:dyDescent="0.4">
      <c r="B683" s="49" t="str" cm="1">
        <f t="array" ref="B683">IFERROR((INDEX($P$4:$T$1000,MATCH(VALUE(LEFT($A683,LEN($A683)-1)),$A$4:$A$1000,0),VALUE(RIGHT($A683,1)))/ INDEX($O$4:$O$1000,MATCH(VALUE(LEFT($A683,LEN($A683)-1)),$A$4:$A$1000))) * INDEX($B$4:$B$1000,MATCH(VALUE(LEFT($A683,LEN($A683)-1)),$A$4:$A$1000)),"")</f>
        <v/>
      </c>
      <c r="C683" s="2" t="str" cm="1">
        <f t="array" ref="C683">IFERROR(IF(INDEX($D$4:$H$1000,MATCH(VALUE(LEFT($A683,LEN($A683)-1)),$A$4:$A$1000,0),VALUE(RIGHT($A683,1)))= 0,"",INDEX($D$4:$H$1000,MATCH(VALUE(LEFT($A683,LEN($A683)-1)),$A$4:$A$1000,0),VALUE(RIGHT($A683,1)))),"")</f>
        <v/>
      </c>
      <c r="D683" s="23" t="str">
        <f>IFERROR(IF(INDEX(使用レシピ!F:F,MATCH(テンプレート!$C683,使用レシピ!$E:$E,0))&lt;&gt;0,INDEX(使用レシピ!F:F,MATCH(テンプレート!$C683,使用レシピ!$E:$E,0)),""),"")</f>
        <v/>
      </c>
      <c r="E683" t="str">
        <f>IFERROR(IF(INDEX(使用レシピ!G:G,MATCH(テンプレート!$C683,使用レシピ!$E:$E,0))&lt;&gt;0,INDEX(使用レシピ!G:G,MATCH(テンプレート!$C683,使用レシピ!$E:$E,0)),""),"")</f>
        <v/>
      </c>
      <c r="F683" t="str">
        <f>IFERROR(IF(INDEX(使用レシピ!H:H,MATCH(テンプレート!$C683,使用レシピ!$E:$E,0))&lt;&gt;0,INDEX(使用レシピ!H:H,MATCH(テンプレート!$C683,使用レシピ!$E:$E,0)),""),"")</f>
        <v/>
      </c>
      <c r="G683" t="str">
        <f>IFERROR(IF(INDEX(使用レシピ!I:I,MATCH(テンプレート!$C683,使用レシピ!$E:$E,0))&lt;&gt;0,INDEX(使用レシピ!I:I,MATCH(テンプレート!$C683,使用レシピ!$E:$E,0)),""),"")</f>
        <v/>
      </c>
      <c r="H683" s="24" t="str">
        <f>IFERROR(IF(INDEX(使用レシピ!J:J,MATCH(テンプレート!$C683,使用レシピ!$E:$E,0))&lt;&gt;0,INDEX(使用レシピ!J:J,MATCH(テンプレート!$C683,使用レシピ!$E:$E,0)),""),"")</f>
        <v/>
      </c>
      <c r="I683" s="36" t="str">
        <f>IFERROR(IF(INDEX(使用レシピ!P:P,MATCH(テンプレート!$C683,使用レシピ!$E:$E,0))&lt;&gt;0,INDEX(使用レシピ!P:P,MATCH(テンプレート!$C683,使用レシピ!$E:$E,0)),""),"")</f>
        <v/>
      </c>
      <c r="J683" t="str">
        <f>IFERROR(IF(INDEX(使用レシピ!K:K,MATCH(テンプレート!$C683,使用レシピ!$E:$E,0))&lt;&gt;0,INDEX(使用レシピ!K:K,MATCH(テンプレート!$C683,使用レシピ!$E:$E,0)),""),"")</f>
        <v/>
      </c>
      <c r="K683" t="str">
        <f>IFERROR(IF(INDEX(使用レシピ!L:L,MATCH(テンプレート!$C683,使用レシピ!$E:$E,0))&lt;&gt;0,INDEX(使用レシピ!L:L,MATCH(テンプレート!$C683,使用レシピ!$E:$E,0)),""),"")</f>
        <v/>
      </c>
      <c r="L683" t="str">
        <f>IFERROR(IF(INDEX(使用レシピ!M:M,MATCH(テンプレート!$C683,使用レシピ!$E:$E,0))&lt;&gt;0,INDEX(使用レシピ!M:M,MATCH(テンプレート!$C683,使用レシピ!$E:$E,0)),""),"")</f>
        <v/>
      </c>
      <c r="M683" t="str">
        <f>IFERROR(IF(INDEX(使用レシピ!N:N,MATCH(テンプレート!$C683,使用レシピ!$E:$E,0))&lt;&gt;0,INDEX(使用レシピ!N:N,MATCH(テンプレート!$C683,使用レシピ!$E:$E,0)),""),"")</f>
        <v/>
      </c>
      <c r="N683" s="24" t="str">
        <f>IFERROR(IF(INDEX(使用レシピ!O:O,MATCH(テンプレート!$C683,使用レシピ!$E:$E,0))&lt;&gt;0,INDEX(使用レシピ!O:O,MATCH(テンプレート!$C683,使用レシピ!$E:$E,0)),""),"")</f>
        <v/>
      </c>
      <c r="O683" s="36" t="str">
        <f>IFERROR(IF(INDEX(使用レシピ!P:P,MATCH(テンプレート!$C683,使用レシピ!$E:$E,0))&lt;&gt;0,INDEX(使用レシピ!P:P,MATCH(テンプレート!$C683,使用レシピ!$E:$E,0)),""),"")</f>
        <v/>
      </c>
      <c r="P683" t="str">
        <f t="shared" si="51"/>
        <v/>
      </c>
      <c r="Q683" t="str">
        <f t="shared" si="52"/>
        <v/>
      </c>
      <c r="R683" t="str">
        <f t="shared" si="53"/>
        <v/>
      </c>
      <c r="S683" t="str">
        <f t="shared" si="54"/>
        <v/>
      </c>
      <c r="T683" s="24" t="str">
        <f t="shared" si="55"/>
        <v/>
      </c>
    </row>
    <row r="684" spans="2:20" x14ac:dyDescent="0.4">
      <c r="B684" s="49" t="str" cm="1">
        <f t="array" ref="B684">IFERROR((INDEX($P$4:$T$1000,MATCH(VALUE(LEFT($A684,LEN($A684)-1)),$A$4:$A$1000,0),VALUE(RIGHT($A684,1)))/ INDEX($O$4:$O$1000,MATCH(VALUE(LEFT($A684,LEN($A684)-1)),$A$4:$A$1000))) * INDEX($B$4:$B$1000,MATCH(VALUE(LEFT($A684,LEN($A684)-1)),$A$4:$A$1000)),"")</f>
        <v/>
      </c>
      <c r="C684" s="2" t="str" cm="1">
        <f t="array" ref="C684">IFERROR(IF(INDEX($D$4:$H$1000,MATCH(VALUE(LEFT($A684,LEN($A684)-1)),$A$4:$A$1000,0),VALUE(RIGHT($A684,1)))= 0,"",INDEX($D$4:$H$1000,MATCH(VALUE(LEFT($A684,LEN($A684)-1)),$A$4:$A$1000,0),VALUE(RIGHT($A684,1)))),"")</f>
        <v/>
      </c>
      <c r="D684" s="23" t="str">
        <f>IFERROR(IF(INDEX(使用レシピ!F:F,MATCH(テンプレート!$C684,使用レシピ!$E:$E,0))&lt;&gt;0,INDEX(使用レシピ!F:F,MATCH(テンプレート!$C684,使用レシピ!$E:$E,0)),""),"")</f>
        <v/>
      </c>
      <c r="E684" t="str">
        <f>IFERROR(IF(INDEX(使用レシピ!G:G,MATCH(テンプレート!$C684,使用レシピ!$E:$E,0))&lt;&gt;0,INDEX(使用レシピ!G:G,MATCH(テンプレート!$C684,使用レシピ!$E:$E,0)),""),"")</f>
        <v/>
      </c>
      <c r="F684" t="str">
        <f>IFERROR(IF(INDEX(使用レシピ!H:H,MATCH(テンプレート!$C684,使用レシピ!$E:$E,0))&lt;&gt;0,INDEX(使用レシピ!H:H,MATCH(テンプレート!$C684,使用レシピ!$E:$E,0)),""),"")</f>
        <v/>
      </c>
      <c r="G684" t="str">
        <f>IFERROR(IF(INDEX(使用レシピ!I:I,MATCH(テンプレート!$C684,使用レシピ!$E:$E,0))&lt;&gt;0,INDEX(使用レシピ!I:I,MATCH(テンプレート!$C684,使用レシピ!$E:$E,0)),""),"")</f>
        <v/>
      </c>
      <c r="H684" s="24" t="str">
        <f>IFERROR(IF(INDEX(使用レシピ!J:J,MATCH(テンプレート!$C684,使用レシピ!$E:$E,0))&lt;&gt;0,INDEX(使用レシピ!J:J,MATCH(テンプレート!$C684,使用レシピ!$E:$E,0)),""),"")</f>
        <v/>
      </c>
      <c r="I684" s="36" t="str">
        <f>IFERROR(IF(INDEX(使用レシピ!P:P,MATCH(テンプレート!$C684,使用レシピ!$E:$E,0))&lt;&gt;0,INDEX(使用レシピ!P:P,MATCH(テンプレート!$C684,使用レシピ!$E:$E,0)),""),"")</f>
        <v/>
      </c>
      <c r="J684" t="str">
        <f>IFERROR(IF(INDEX(使用レシピ!K:K,MATCH(テンプレート!$C684,使用レシピ!$E:$E,0))&lt;&gt;0,INDEX(使用レシピ!K:K,MATCH(テンプレート!$C684,使用レシピ!$E:$E,0)),""),"")</f>
        <v/>
      </c>
      <c r="K684" t="str">
        <f>IFERROR(IF(INDEX(使用レシピ!L:L,MATCH(テンプレート!$C684,使用レシピ!$E:$E,0))&lt;&gt;0,INDEX(使用レシピ!L:L,MATCH(テンプレート!$C684,使用レシピ!$E:$E,0)),""),"")</f>
        <v/>
      </c>
      <c r="L684" t="str">
        <f>IFERROR(IF(INDEX(使用レシピ!M:M,MATCH(テンプレート!$C684,使用レシピ!$E:$E,0))&lt;&gt;0,INDEX(使用レシピ!M:M,MATCH(テンプレート!$C684,使用レシピ!$E:$E,0)),""),"")</f>
        <v/>
      </c>
      <c r="M684" t="str">
        <f>IFERROR(IF(INDEX(使用レシピ!N:N,MATCH(テンプレート!$C684,使用レシピ!$E:$E,0))&lt;&gt;0,INDEX(使用レシピ!N:N,MATCH(テンプレート!$C684,使用レシピ!$E:$E,0)),""),"")</f>
        <v/>
      </c>
      <c r="N684" s="24" t="str">
        <f>IFERROR(IF(INDEX(使用レシピ!O:O,MATCH(テンプレート!$C684,使用レシピ!$E:$E,0))&lt;&gt;0,INDEX(使用レシピ!O:O,MATCH(テンプレート!$C684,使用レシピ!$E:$E,0)),""),"")</f>
        <v/>
      </c>
      <c r="O684" s="36" t="str">
        <f>IFERROR(IF(INDEX(使用レシピ!P:P,MATCH(テンプレート!$C684,使用レシピ!$E:$E,0))&lt;&gt;0,INDEX(使用レシピ!P:P,MATCH(テンプレート!$C684,使用レシピ!$E:$E,0)),""),"")</f>
        <v/>
      </c>
      <c r="P684" t="str">
        <f t="shared" si="51"/>
        <v/>
      </c>
      <c r="Q684" t="str">
        <f t="shared" si="52"/>
        <v/>
      </c>
      <c r="R684" t="str">
        <f t="shared" si="53"/>
        <v/>
      </c>
      <c r="S684" t="str">
        <f t="shared" si="54"/>
        <v/>
      </c>
      <c r="T684" s="24" t="str">
        <f t="shared" si="55"/>
        <v/>
      </c>
    </row>
    <row r="685" spans="2:20" x14ac:dyDescent="0.4">
      <c r="B685" s="49" t="str" cm="1">
        <f t="array" ref="B685">IFERROR((INDEX($P$4:$T$1000,MATCH(VALUE(LEFT($A685,LEN($A685)-1)),$A$4:$A$1000,0),VALUE(RIGHT($A685,1)))/ INDEX($O$4:$O$1000,MATCH(VALUE(LEFT($A685,LEN($A685)-1)),$A$4:$A$1000))) * INDEX($B$4:$B$1000,MATCH(VALUE(LEFT($A685,LEN($A685)-1)),$A$4:$A$1000)),"")</f>
        <v/>
      </c>
      <c r="C685" s="2" t="str" cm="1">
        <f t="array" ref="C685">IFERROR(IF(INDEX($D$4:$H$1000,MATCH(VALUE(LEFT($A685,LEN($A685)-1)),$A$4:$A$1000,0),VALUE(RIGHT($A685,1)))= 0,"",INDEX($D$4:$H$1000,MATCH(VALUE(LEFT($A685,LEN($A685)-1)),$A$4:$A$1000,0),VALUE(RIGHT($A685,1)))),"")</f>
        <v/>
      </c>
      <c r="D685" s="23" t="str">
        <f>IFERROR(IF(INDEX(使用レシピ!F:F,MATCH(テンプレート!$C685,使用レシピ!$E:$E,0))&lt;&gt;0,INDEX(使用レシピ!F:F,MATCH(テンプレート!$C685,使用レシピ!$E:$E,0)),""),"")</f>
        <v/>
      </c>
      <c r="E685" t="str">
        <f>IFERROR(IF(INDEX(使用レシピ!G:G,MATCH(テンプレート!$C685,使用レシピ!$E:$E,0))&lt;&gt;0,INDEX(使用レシピ!G:G,MATCH(テンプレート!$C685,使用レシピ!$E:$E,0)),""),"")</f>
        <v/>
      </c>
      <c r="F685" t="str">
        <f>IFERROR(IF(INDEX(使用レシピ!H:H,MATCH(テンプレート!$C685,使用レシピ!$E:$E,0))&lt;&gt;0,INDEX(使用レシピ!H:H,MATCH(テンプレート!$C685,使用レシピ!$E:$E,0)),""),"")</f>
        <v/>
      </c>
      <c r="G685" t="str">
        <f>IFERROR(IF(INDEX(使用レシピ!I:I,MATCH(テンプレート!$C685,使用レシピ!$E:$E,0))&lt;&gt;0,INDEX(使用レシピ!I:I,MATCH(テンプレート!$C685,使用レシピ!$E:$E,0)),""),"")</f>
        <v/>
      </c>
      <c r="H685" s="24" t="str">
        <f>IFERROR(IF(INDEX(使用レシピ!J:J,MATCH(テンプレート!$C685,使用レシピ!$E:$E,0))&lt;&gt;0,INDEX(使用レシピ!J:J,MATCH(テンプレート!$C685,使用レシピ!$E:$E,0)),""),"")</f>
        <v/>
      </c>
      <c r="I685" s="36" t="str">
        <f>IFERROR(IF(INDEX(使用レシピ!P:P,MATCH(テンプレート!$C685,使用レシピ!$E:$E,0))&lt;&gt;0,INDEX(使用レシピ!P:P,MATCH(テンプレート!$C685,使用レシピ!$E:$E,0)),""),"")</f>
        <v/>
      </c>
      <c r="J685" t="str">
        <f>IFERROR(IF(INDEX(使用レシピ!K:K,MATCH(テンプレート!$C685,使用レシピ!$E:$E,0))&lt;&gt;0,INDEX(使用レシピ!K:K,MATCH(テンプレート!$C685,使用レシピ!$E:$E,0)),""),"")</f>
        <v/>
      </c>
      <c r="K685" t="str">
        <f>IFERROR(IF(INDEX(使用レシピ!L:L,MATCH(テンプレート!$C685,使用レシピ!$E:$E,0))&lt;&gt;0,INDEX(使用レシピ!L:L,MATCH(テンプレート!$C685,使用レシピ!$E:$E,0)),""),"")</f>
        <v/>
      </c>
      <c r="L685" t="str">
        <f>IFERROR(IF(INDEX(使用レシピ!M:M,MATCH(テンプレート!$C685,使用レシピ!$E:$E,0))&lt;&gt;0,INDEX(使用レシピ!M:M,MATCH(テンプレート!$C685,使用レシピ!$E:$E,0)),""),"")</f>
        <v/>
      </c>
      <c r="M685" t="str">
        <f>IFERROR(IF(INDEX(使用レシピ!N:N,MATCH(テンプレート!$C685,使用レシピ!$E:$E,0))&lt;&gt;0,INDEX(使用レシピ!N:N,MATCH(テンプレート!$C685,使用レシピ!$E:$E,0)),""),"")</f>
        <v/>
      </c>
      <c r="N685" s="24" t="str">
        <f>IFERROR(IF(INDEX(使用レシピ!O:O,MATCH(テンプレート!$C685,使用レシピ!$E:$E,0))&lt;&gt;0,INDEX(使用レシピ!O:O,MATCH(テンプレート!$C685,使用レシピ!$E:$E,0)),""),"")</f>
        <v/>
      </c>
      <c r="O685" s="36" t="str">
        <f>IFERROR(IF(INDEX(使用レシピ!P:P,MATCH(テンプレート!$C685,使用レシピ!$E:$E,0))&lt;&gt;0,INDEX(使用レシピ!P:P,MATCH(テンプレート!$C685,使用レシピ!$E:$E,0)),""),"")</f>
        <v/>
      </c>
      <c r="P685" t="str">
        <f t="shared" ref="P685:P748" si="56">IFERROR(IF($O685/$I685*J685 &gt; 0,$O685/$I685*J685,""),"")</f>
        <v/>
      </c>
      <c r="Q685" t="str">
        <f t="shared" ref="Q685:Q748" si="57">IFERROR(IF($O685/$I685*K685 &gt; 0,$O685/$I685*K685,""),"")</f>
        <v/>
      </c>
      <c r="R685" t="str">
        <f t="shared" ref="R685:R748" si="58">IFERROR(IF($O685/$I685*L685 &gt; 0,$O685/$I685*L685,""),"")</f>
        <v/>
      </c>
      <c r="S685" t="str">
        <f t="shared" ref="S685:S748" si="59">IFERROR(IF($O685/$I685*M685 &gt; 0,$O685/$I685*M685,""),"")</f>
        <v/>
      </c>
      <c r="T685" s="24" t="str">
        <f t="shared" ref="T685:T748" si="60">IFERROR(IF($O685/$I685*N685 &gt; 0,$O685/$I685*N685,""),"")</f>
        <v/>
      </c>
    </row>
    <row r="686" spans="2:20" x14ac:dyDescent="0.4">
      <c r="B686" s="49" t="str" cm="1">
        <f t="array" ref="B686">IFERROR((INDEX($P$4:$T$1000,MATCH(VALUE(LEFT($A686,LEN($A686)-1)),$A$4:$A$1000,0),VALUE(RIGHT($A686,1)))/ INDEX($O$4:$O$1000,MATCH(VALUE(LEFT($A686,LEN($A686)-1)),$A$4:$A$1000))) * INDEX($B$4:$B$1000,MATCH(VALUE(LEFT($A686,LEN($A686)-1)),$A$4:$A$1000)),"")</f>
        <v/>
      </c>
      <c r="C686" s="2" t="str" cm="1">
        <f t="array" ref="C686">IFERROR(IF(INDEX($D$4:$H$1000,MATCH(VALUE(LEFT($A686,LEN($A686)-1)),$A$4:$A$1000,0),VALUE(RIGHT($A686,1)))= 0,"",INDEX($D$4:$H$1000,MATCH(VALUE(LEFT($A686,LEN($A686)-1)),$A$4:$A$1000,0),VALUE(RIGHT($A686,1)))),"")</f>
        <v/>
      </c>
      <c r="D686" s="23" t="str">
        <f>IFERROR(IF(INDEX(使用レシピ!F:F,MATCH(テンプレート!$C686,使用レシピ!$E:$E,0))&lt;&gt;0,INDEX(使用レシピ!F:F,MATCH(テンプレート!$C686,使用レシピ!$E:$E,0)),""),"")</f>
        <v/>
      </c>
      <c r="E686" t="str">
        <f>IFERROR(IF(INDEX(使用レシピ!G:G,MATCH(テンプレート!$C686,使用レシピ!$E:$E,0))&lt;&gt;0,INDEX(使用レシピ!G:G,MATCH(テンプレート!$C686,使用レシピ!$E:$E,0)),""),"")</f>
        <v/>
      </c>
      <c r="F686" t="str">
        <f>IFERROR(IF(INDEX(使用レシピ!H:H,MATCH(テンプレート!$C686,使用レシピ!$E:$E,0))&lt;&gt;0,INDEX(使用レシピ!H:H,MATCH(テンプレート!$C686,使用レシピ!$E:$E,0)),""),"")</f>
        <v/>
      </c>
      <c r="G686" t="str">
        <f>IFERROR(IF(INDEX(使用レシピ!I:I,MATCH(テンプレート!$C686,使用レシピ!$E:$E,0))&lt;&gt;0,INDEX(使用レシピ!I:I,MATCH(テンプレート!$C686,使用レシピ!$E:$E,0)),""),"")</f>
        <v/>
      </c>
      <c r="H686" s="24" t="str">
        <f>IFERROR(IF(INDEX(使用レシピ!J:J,MATCH(テンプレート!$C686,使用レシピ!$E:$E,0))&lt;&gt;0,INDEX(使用レシピ!J:J,MATCH(テンプレート!$C686,使用レシピ!$E:$E,0)),""),"")</f>
        <v/>
      </c>
      <c r="I686" s="36" t="str">
        <f>IFERROR(IF(INDEX(使用レシピ!P:P,MATCH(テンプレート!$C686,使用レシピ!$E:$E,0))&lt;&gt;0,INDEX(使用レシピ!P:P,MATCH(テンプレート!$C686,使用レシピ!$E:$E,0)),""),"")</f>
        <v/>
      </c>
      <c r="J686" t="str">
        <f>IFERROR(IF(INDEX(使用レシピ!K:K,MATCH(テンプレート!$C686,使用レシピ!$E:$E,0))&lt;&gt;0,INDEX(使用レシピ!K:K,MATCH(テンプレート!$C686,使用レシピ!$E:$E,0)),""),"")</f>
        <v/>
      </c>
      <c r="K686" t="str">
        <f>IFERROR(IF(INDEX(使用レシピ!L:L,MATCH(テンプレート!$C686,使用レシピ!$E:$E,0))&lt;&gt;0,INDEX(使用レシピ!L:L,MATCH(テンプレート!$C686,使用レシピ!$E:$E,0)),""),"")</f>
        <v/>
      </c>
      <c r="L686" t="str">
        <f>IFERROR(IF(INDEX(使用レシピ!M:M,MATCH(テンプレート!$C686,使用レシピ!$E:$E,0))&lt;&gt;0,INDEX(使用レシピ!M:M,MATCH(テンプレート!$C686,使用レシピ!$E:$E,0)),""),"")</f>
        <v/>
      </c>
      <c r="M686" t="str">
        <f>IFERROR(IF(INDEX(使用レシピ!N:N,MATCH(テンプレート!$C686,使用レシピ!$E:$E,0))&lt;&gt;0,INDEX(使用レシピ!N:N,MATCH(テンプレート!$C686,使用レシピ!$E:$E,0)),""),"")</f>
        <v/>
      </c>
      <c r="N686" s="24" t="str">
        <f>IFERROR(IF(INDEX(使用レシピ!O:O,MATCH(テンプレート!$C686,使用レシピ!$E:$E,0))&lt;&gt;0,INDEX(使用レシピ!O:O,MATCH(テンプレート!$C686,使用レシピ!$E:$E,0)),""),"")</f>
        <v/>
      </c>
      <c r="O686" s="36" t="str">
        <f>IFERROR(IF(INDEX(使用レシピ!P:P,MATCH(テンプレート!$C686,使用レシピ!$E:$E,0))&lt;&gt;0,INDEX(使用レシピ!P:P,MATCH(テンプレート!$C686,使用レシピ!$E:$E,0)),""),"")</f>
        <v/>
      </c>
      <c r="P686" t="str">
        <f t="shared" si="56"/>
        <v/>
      </c>
      <c r="Q686" t="str">
        <f t="shared" si="57"/>
        <v/>
      </c>
      <c r="R686" t="str">
        <f t="shared" si="58"/>
        <v/>
      </c>
      <c r="S686" t="str">
        <f t="shared" si="59"/>
        <v/>
      </c>
      <c r="T686" s="24" t="str">
        <f t="shared" si="60"/>
        <v/>
      </c>
    </row>
    <row r="687" spans="2:20" x14ac:dyDescent="0.4">
      <c r="B687" s="49" t="str" cm="1">
        <f t="array" ref="B687">IFERROR((INDEX($P$4:$T$1000,MATCH(VALUE(LEFT($A687,LEN($A687)-1)),$A$4:$A$1000,0),VALUE(RIGHT($A687,1)))/ INDEX($O$4:$O$1000,MATCH(VALUE(LEFT($A687,LEN($A687)-1)),$A$4:$A$1000))) * INDEX($B$4:$B$1000,MATCH(VALUE(LEFT($A687,LEN($A687)-1)),$A$4:$A$1000)),"")</f>
        <v/>
      </c>
      <c r="C687" s="2" t="str" cm="1">
        <f t="array" ref="C687">IFERROR(IF(INDEX($D$4:$H$1000,MATCH(VALUE(LEFT($A687,LEN($A687)-1)),$A$4:$A$1000,0),VALUE(RIGHT($A687,1)))= 0,"",INDEX($D$4:$H$1000,MATCH(VALUE(LEFT($A687,LEN($A687)-1)),$A$4:$A$1000,0),VALUE(RIGHT($A687,1)))),"")</f>
        <v/>
      </c>
      <c r="D687" s="23" t="str">
        <f>IFERROR(IF(INDEX(使用レシピ!F:F,MATCH(テンプレート!$C687,使用レシピ!$E:$E,0))&lt;&gt;0,INDEX(使用レシピ!F:F,MATCH(テンプレート!$C687,使用レシピ!$E:$E,0)),""),"")</f>
        <v/>
      </c>
      <c r="E687" t="str">
        <f>IFERROR(IF(INDEX(使用レシピ!G:G,MATCH(テンプレート!$C687,使用レシピ!$E:$E,0))&lt;&gt;0,INDEX(使用レシピ!G:G,MATCH(テンプレート!$C687,使用レシピ!$E:$E,0)),""),"")</f>
        <v/>
      </c>
      <c r="F687" t="str">
        <f>IFERROR(IF(INDEX(使用レシピ!H:H,MATCH(テンプレート!$C687,使用レシピ!$E:$E,0))&lt;&gt;0,INDEX(使用レシピ!H:H,MATCH(テンプレート!$C687,使用レシピ!$E:$E,0)),""),"")</f>
        <v/>
      </c>
      <c r="G687" t="str">
        <f>IFERROR(IF(INDEX(使用レシピ!I:I,MATCH(テンプレート!$C687,使用レシピ!$E:$E,0))&lt;&gt;0,INDEX(使用レシピ!I:I,MATCH(テンプレート!$C687,使用レシピ!$E:$E,0)),""),"")</f>
        <v/>
      </c>
      <c r="H687" s="24" t="str">
        <f>IFERROR(IF(INDEX(使用レシピ!J:J,MATCH(テンプレート!$C687,使用レシピ!$E:$E,0))&lt;&gt;0,INDEX(使用レシピ!J:J,MATCH(テンプレート!$C687,使用レシピ!$E:$E,0)),""),"")</f>
        <v/>
      </c>
      <c r="I687" s="36" t="str">
        <f>IFERROR(IF(INDEX(使用レシピ!P:P,MATCH(テンプレート!$C687,使用レシピ!$E:$E,0))&lt;&gt;0,INDEX(使用レシピ!P:P,MATCH(テンプレート!$C687,使用レシピ!$E:$E,0)),""),"")</f>
        <v/>
      </c>
      <c r="J687" t="str">
        <f>IFERROR(IF(INDEX(使用レシピ!K:K,MATCH(テンプレート!$C687,使用レシピ!$E:$E,0))&lt;&gt;0,INDEX(使用レシピ!K:K,MATCH(テンプレート!$C687,使用レシピ!$E:$E,0)),""),"")</f>
        <v/>
      </c>
      <c r="K687" t="str">
        <f>IFERROR(IF(INDEX(使用レシピ!L:L,MATCH(テンプレート!$C687,使用レシピ!$E:$E,0))&lt;&gt;0,INDEX(使用レシピ!L:L,MATCH(テンプレート!$C687,使用レシピ!$E:$E,0)),""),"")</f>
        <v/>
      </c>
      <c r="L687" t="str">
        <f>IFERROR(IF(INDEX(使用レシピ!M:M,MATCH(テンプレート!$C687,使用レシピ!$E:$E,0))&lt;&gt;0,INDEX(使用レシピ!M:M,MATCH(テンプレート!$C687,使用レシピ!$E:$E,0)),""),"")</f>
        <v/>
      </c>
      <c r="M687" t="str">
        <f>IFERROR(IF(INDEX(使用レシピ!N:N,MATCH(テンプレート!$C687,使用レシピ!$E:$E,0))&lt;&gt;0,INDEX(使用レシピ!N:N,MATCH(テンプレート!$C687,使用レシピ!$E:$E,0)),""),"")</f>
        <v/>
      </c>
      <c r="N687" s="24" t="str">
        <f>IFERROR(IF(INDEX(使用レシピ!O:O,MATCH(テンプレート!$C687,使用レシピ!$E:$E,0))&lt;&gt;0,INDEX(使用レシピ!O:O,MATCH(テンプレート!$C687,使用レシピ!$E:$E,0)),""),"")</f>
        <v/>
      </c>
      <c r="O687" s="36" t="str">
        <f>IFERROR(IF(INDEX(使用レシピ!P:P,MATCH(テンプレート!$C687,使用レシピ!$E:$E,0))&lt;&gt;0,INDEX(使用レシピ!P:P,MATCH(テンプレート!$C687,使用レシピ!$E:$E,0)),""),"")</f>
        <v/>
      </c>
      <c r="P687" t="str">
        <f t="shared" si="56"/>
        <v/>
      </c>
      <c r="Q687" t="str">
        <f t="shared" si="57"/>
        <v/>
      </c>
      <c r="R687" t="str">
        <f t="shared" si="58"/>
        <v/>
      </c>
      <c r="S687" t="str">
        <f t="shared" si="59"/>
        <v/>
      </c>
      <c r="T687" s="24" t="str">
        <f t="shared" si="60"/>
        <v/>
      </c>
    </row>
    <row r="688" spans="2:20" x14ac:dyDescent="0.4">
      <c r="B688" s="49" t="str" cm="1">
        <f t="array" ref="B688">IFERROR((INDEX($P$4:$T$1000,MATCH(VALUE(LEFT($A688,LEN($A688)-1)),$A$4:$A$1000,0),VALUE(RIGHT($A688,1)))/ INDEX($O$4:$O$1000,MATCH(VALUE(LEFT($A688,LEN($A688)-1)),$A$4:$A$1000))) * INDEX($B$4:$B$1000,MATCH(VALUE(LEFT($A688,LEN($A688)-1)),$A$4:$A$1000)),"")</f>
        <v/>
      </c>
      <c r="C688" s="2" t="str" cm="1">
        <f t="array" ref="C688">IFERROR(IF(INDEX($D$4:$H$1000,MATCH(VALUE(LEFT($A688,LEN($A688)-1)),$A$4:$A$1000,0),VALUE(RIGHT($A688,1)))= 0,"",INDEX($D$4:$H$1000,MATCH(VALUE(LEFT($A688,LEN($A688)-1)),$A$4:$A$1000,0),VALUE(RIGHT($A688,1)))),"")</f>
        <v/>
      </c>
      <c r="D688" s="23" t="str">
        <f>IFERROR(IF(INDEX(使用レシピ!F:F,MATCH(テンプレート!$C688,使用レシピ!$E:$E,0))&lt;&gt;0,INDEX(使用レシピ!F:F,MATCH(テンプレート!$C688,使用レシピ!$E:$E,0)),""),"")</f>
        <v/>
      </c>
      <c r="E688" t="str">
        <f>IFERROR(IF(INDEX(使用レシピ!G:G,MATCH(テンプレート!$C688,使用レシピ!$E:$E,0))&lt;&gt;0,INDEX(使用レシピ!G:G,MATCH(テンプレート!$C688,使用レシピ!$E:$E,0)),""),"")</f>
        <v/>
      </c>
      <c r="F688" t="str">
        <f>IFERROR(IF(INDEX(使用レシピ!H:H,MATCH(テンプレート!$C688,使用レシピ!$E:$E,0))&lt;&gt;0,INDEX(使用レシピ!H:H,MATCH(テンプレート!$C688,使用レシピ!$E:$E,0)),""),"")</f>
        <v/>
      </c>
      <c r="G688" t="str">
        <f>IFERROR(IF(INDEX(使用レシピ!I:I,MATCH(テンプレート!$C688,使用レシピ!$E:$E,0))&lt;&gt;0,INDEX(使用レシピ!I:I,MATCH(テンプレート!$C688,使用レシピ!$E:$E,0)),""),"")</f>
        <v/>
      </c>
      <c r="H688" s="24" t="str">
        <f>IFERROR(IF(INDEX(使用レシピ!J:J,MATCH(テンプレート!$C688,使用レシピ!$E:$E,0))&lt;&gt;0,INDEX(使用レシピ!J:J,MATCH(テンプレート!$C688,使用レシピ!$E:$E,0)),""),"")</f>
        <v/>
      </c>
      <c r="I688" s="36" t="str">
        <f>IFERROR(IF(INDEX(使用レシピ!P:P,MATCH(テンプレート!$C688,使用レシピ!$E:$E,0))&lt;&gt;0,INDEX(使用レシピ!P:P,MATCH(テンプレート!$C688,使用レシピ!$E:$E,0)),""),"")</f>
        <v/>
      </c>
      <c r="J688" t="str">
        <f>IFERROR(IF(INDEX(使用レシピ!K:K,MATCH(テンプレート!$C688,使用レシピ!$E:$E,0))&lt;&gt;0,INDEX(使用レシピ!K:K,MATCH(テンプレート!$C688,使用レシピ!$E:$E,0)),""),"")</f>
        <v/>
      </c>
      <c r="K688" t="str">
        <f>IFERROR(IF(INDEX(使用レシピ!L:L,MATCH(テンプレート!$C688,使用レシピ!$E:$E,0))&lt;&gt;0,INDEX(使用レシピ!L:L,MATCH(テンプレート!$C688,使用レシピ!$E:$E,0)),""),"")</f>
        <v/>
      </c>
      <c r="L688" t="str">
        <f>IFERROR(IF(INDEX(使用レシピ!M:M,MATCH(テンプレート!$C688,使用レシピ!$E:$E,0))&lt;&gt;0,INDEX(使用レシピ!M:M,MATCH(テンプレート!$C688,使用レシピ!$E:$E,0)),""),"")</f>
        <v/>
      </c>
      <c r="M688" t="str">
        <f>IFERROR(IF(INDEX(使用レシピ!N:N,MATCH(テンプレート!$C688,使用レシピ!$E:$E,0))&lt;&gt;0,INDEX(使用レシピ!N:N,MATCH(テンプレート!$C688,使用レシピ!$E:$E,0)),""),"")</f>
        <v/>
      </c>
      <c r="N688" s="24" t="str">
        <f>IFERROR(IF(INDEX(使用レシピ!O:O,MATCH(テンプレート!$C688,使用レシピ!$E:$E,0))&lt;&gt;0,INDEX(使用レシピ!O:O,MATCH(テンプレート!$C688,使用レシピ!$E:$E,0)),""),"")</f>
        <v/>
      </c>
      <c r="O688" s="36" t="str">
        <f>IFERROR(IF(INDEX(使用レシピ!P:P,MATCH(テンプレート!$C688,使用レシピ!$E:$E,0))&lt;&gt;0,INDEX(使用レシピ!P:P,MATCH(テンプレート!$C688,使用レシピ!$E:$E,0)),""),"")</f>
        <v/>
      </c>
      <c r="P688" t="str">
        <f t="shared" si="56"/>
        <v/>
      </c>
      <c r="Q688" t="str">
        <f t="shared" si="57"/>
        <v/>
      </c>
      <c r="R688" t="str">
        <f t="shared" si="58"/>
        <v/>
      </c>
      <c r="S688" t="str">
        <f t="shared" si="59"/>
        <v/>
      </c>
      <c r="T688" s="24" t="str">
        <f t="shared" si="60"/>
        <v/>
      </c>
    </row>
    <row r="689" spans="2:20" x14ac:dyDescent="0.4">
      <c r="B689" s="49" t="str" cm="1">
        <f t="array" ref="B689">IFERROR((INDEX($P$4:$T$1000,MATCH(VALUE(LEFT($A689,LEN($A689)-1)),$A$4:$A$1000,0),VALUE(RIGHT($A689,1)))/ INDEX($O$4:$O$1000,MATCH(VALUE(LEFT($A689,LEN($A689)-1)),$A$4:$A$1000))) * INDEX($B$4:$B$1000,MATCH(VALUE(LEFT($A689,LEN($A689)-1)),$A$4:$A$1000)),"")</f>
        <v/>
      </c>
      <c r="C689" s="2" t="str" cm="1">
        <f t="array" ref="C689">IFERROR(IF(INDEX($D$4:$H$1000,MATCH(VALUE(LEFT($A689,LEN($A689)-1)),$A$4:$A$1000,0),VALUE(RIGHT($A689,1)))= 0,"",INDEX($D$4:$H$1000,MATCH(VALUE(LEFT($A689,LEN($A689)-1)),$A$4:$A$1000,0),VALUE(RIGHT($A689,1)))),"")</f>
        <v/>
      </c>
      <c r="D689" s="23" t="str">
        <f>IFERROR(IF(INDEX(使用レシピ!F:F,MATCH(テンプレート!$C689,使用レシピ!$E:$E,0))&lt;&gt;0,INDEX(使用レシピ!F:F,MATCH(テンプレート!$C689,使用レシピ!$E:$E,0)),""),"")</f>
        <v/>
      </c>
      <c r="E689" t="str">
        <f>IFERROR(IF(INDEX(使用レシピ!G:G,MATCH(テンプレート!$C689,使用レシピ!$E:$E,0))&lt;&gt;0,INDEX(使用レシピ!G:G,MATCH(テンプレート!$C689,使用レシピ!$E:$E,0)),""),"")</f>
        <v/>
      </c>
      <c r="F689" t="str">
        <f>IFERROR(IF(INDEX(使用レシピ!H:H,MATCH(テンプレート!$C689,使用レシピ!$E:$E,0))&lt;&gt;0,INDEX(使用レシピ!H:H,MATCH(テンプレート!$C689,使用レシピ!$E:$E,0)),""),"")</f>
        <v/>
      </c>
      <c r="G689" t="str">
        <f>IFERROR(IF(INDEX(使用レシピ!I:I,MATCH(テンプレート!$C689,使用レシピ!$E:$E,0))&lt;&gt;0,INDEX(使用レシピ!I:I,MATCH(テンプレート!$C689,使用レシピ!$E:$E,0)),""),"")</f>
        <v/>
      </c>
      <c r="H689" s="24" t="str">
        <f>IFERROR(IF(INDEX(使用レシピ!J:J,MATCH(テンプレート!$C689,使用レシピ!$E:$E,0))&lt;&gt;0,INDEX(使用レシピ!J:J,MATCH(テンプレート!$C689,使用レシピ!$E:$E,0)),""),"")</f>
        <v/>
      </c>
      <c r="I689" s="36" t="str">
        <f>IFERROR(IF(INDEX(使用レシピ!P:P,MATCH(テンプレート!$C689,使用レシピ!$E:$E,0))&lt;&gt;0,INDEX(使用レシピ!P:P,MATCH(テンプレート!$C689,使用レシピ!$E:$E,0)),""),"")</f>
        <v/>
      </c>
      <c r="J689" t="str">
        <f>IFERROR(IF(INDEX(使用レシピ!K:K,MATCH(テンプレート!$C689,使用レシピ!$E:$E,0))&lt;&gt;0,INDEX(使用レシピ!K:K,MATCH(テンプレート!$C689,使用レシピ!$E:$E,0)),""),"")</f>
        <v/>
      </c>
      <c r="K689" t="str">
        <f>IFERROR(IF(INDEX(使用レシピ!L:L,MATCH(テンプレート!$C689,使用レシピ!$E:$E,0))&lt;&gt;0,INDEX(使用レシピ!L:L,MATCH(テンプレート!$C689,使用レシピ!$E:$E,0)),""),"")</f>
        <v/>
      </c>
      <c r="L689" t="str">
        <f>IFERROR(IF(INDEX(使用レシピ!M:M,MATCH(テンプレート!$C689,使用レシピ!$E:$E,0))&lt;&gt;0,INDEX(使用レシピ!M:M,MATCH(テンプレート!$C689,使用レシピ!$E:$E,0)),""),"")</f>
        <v/>
      </c>
      <c r="M689" t="str">
        <f>IFERROR(IF(INDEX(使用レシピ!N:N,MATCH(テンプレート!$C689,使用レシピ!$E:$E,0))&lt;&gt;0,INDEX(使用レシピ!N:N,MATCH(テンプレート!$C689,使用レシピ!$E:$E,0)),""),"")</f>
        <v/>
      </c>
      <c r="N689" s="24" t="str">
        <f>IFERROR(IF(INDEX(使用レシピ!O:O,MATCH(テンプレート!$C689,使用レシピ!$E:$E,0))&lt;&gt;0,INDEX(使用レシピ!O:O,MATCH(テンプレート!$C689,使用レシピ!$E:$E,0)),""),"")</f>
        <v/>
      </c>
      <c r="O689" s="36" t="str">
        <f>IFERROR(IF(INDEX(使用レシピ!P:P,MATCH(テンプレート!$C689,使用レシピ!$E:$E,0))&lt;&gt;0,INDEX(使用レシピ!P:P,MATCH(テンプレート!$C689,使用レシピ!$E:$E,0)),""),"")</f>
        <v/>
      </c>
      <c r="P689" t="str">
        <f t="shared" si="56"/>
        <v/>
      </c>
      <c r="Q689" t="str">
        <f t="shared" si="57"/>
        <v/>
      </c>
      <c r="R689" t="str">
        <f t="shared" si="58"/>
        <v/>
      </c>
      <c r="S689" t="str">
        <f t="shared" si="59"/>
        <v/>
      </c>
      <c r="T689" s="24" t="str">
        <f t="shared" si="60"/>
        <v/>
      </c>
    </row>
    <row r="690" spans="2:20" x14ac:dyDescent="0.4">
      <c r="B690" s="49" t="str" cm="1">
        <f t="array" ref="B690">IFERROR((INDEX($P$4:$T$1000,MATCH(VALUE(LEFT($A690,LEN($A690)-1)),$A$4:$A$1000,0),VALUE(RIGHT($A690,1)))/ INDEX($O$4:$O$1000,MATCH(VALUE(LEFT($A690,LEN($A690)-1)),$A$4:$A$1000))) * INDEX($B$4:$B$1000,MATCH(VALUE(LEFT($A690,LEN($A690)-1)),$A$4:$A$1000)),"")</f>
        <v/>
      </c>
      <c r="C690" s="2" t="str" cm="1">
        <f t="array" ref="C690">IFERROR(IF(INDEX($D$4:$H$1000,MATCH(VALUE(LEFT($A690,LEN($A690)-1)),$A$4:$A$1000,0),VALUE(RIGHT($A690,1)))= 0,"",INDEX($D$4:$H$1000,MATCH(VALUE(LEFT($A690,LEN($A690)-1)),$A$4:$A$1000,0),VALUE(RIGHT($A690,1)))),"")</f>
        <v/>
      </c>
      <c r="D690" s="23" t="str">
        <f>IFERROR(IF(INDEX(使用レシピ!F:F,MATCH(テンプレート!$C690,使用レシピ!$E:$E,0))&lt;&gt;0,INDEX(使用レシピ!F:F,MATCH(テンプレート!$C690,使用レシピ!$E:$E,0)),""),"")</f>
        <v/>
      </c>
      <c r="E690" t="str">
        <f>IFERROR(IF(INDEX(使用レシピ!G:G,MATCH(テンプレート!$C690,使用レシピ!$E:$E,0))&lt;&gt;0,INDEX(使用レシピ!G:G,MATCH(テンプレート!$C690,使用レシピ!$E:$E,0)),""),"")</f>
        <v/>
      </c>
      <c r="F690" t="str">
        <f>IFERROR(IF(INDEX(使用レシピ!H:H,MATCH(テンプレート!$C690,使用レシピ!$E:$E,0))&lt;&gt;0,INDEX(使用レシピ!H:H,MATCH(テンプレート!$C690,使用レシピ!$E:$E,0)),""),"")</f>
        <v/>
      </c>
      <c r="G690" t="str">
        <f>IFERROR(IF(INDEX(使用レシピ!I:I,MATCH(テンプレート!$C690,使用レシピ!$E:$E,0))&lt;&gt;0,INDEX(使用レシピ!I:I,MATCH(テンプレート!$C690,使用レシピ!$E:$E,0)),""),"")</f>
        <v/>
      </c>
      <c r="H690" s="24" t="str">
        <f>IFERROR(IF(INDEX(使用レシピ!J:J,MATCH(テンプレート!$C690,使用レシピ!$E:$E,0))&lt;&gt;0,INDEX(使用レシピ!J:J,MATCH(テンプレート!$C690,使用レシピ!$E:$E,0)),""),"")</f>
        <v/>
      </c>
      <c r="I690" s="36" t="str">
        <f>IFERROR(IF(INDEX(使用レシピ!P:P,MATCH(テンプレート!$C690,使用レシピ!$E:$E,0))&lt;&gt;0,INDEX(使用レシピ!P:P,MATCH(テンプレート!$C690,使用レシピ!$E:$E,0)),""),"")</f>
        <v/>
      </c>
      <c r="J690" t="str">
        <f>IFERROR(IF(INDEX(使用レシピ!K:K,MATCH(テンプレート!$C690,使用レシピ!$E:$E,0))&lt;&gt;0,INDEX(使用レシピ!K:K,MATCH(テンプレート!$C690,使用レシピ!$E:$E,0)),""),"")</f>
        <v/>
      </c>
      <c r="K690" t="str">
        <f>IFERROR(IF(INDEX(使用レシピ!L:L,MATCH(テンプレート!$C690,使用レシピ!$E:$E,0))&lt;&gt;0,INDEX(使用レシピ!L:L,MATCH(テンプレート!$C690,使用レシピ!$E:$E,0)),""),"")</f>
        <v/>
      </c>
      <c r="L690" t="str">
        <f>IFERROR(IF(INDEX(使用レシピ!M:M,MATCH(テンプレート!$C690,使用レシピ!$E:$E,0))&lt;&gt;0,INDEX(使用レシピ!M:M,MATCH(テンプレート!$C690,使用レシピ!$E:$E,0)),""),"")</f>
        <v/>
      </c>
      <c r="M690" t="str">
        <f>IFERROR(IF(INDEX(使用レシピ!N:N,MATCH(テンプレート!$C690,使用レシピ!$E:$E,0))&lt;&gt;0,INDEX(使用レシピ!N:N,MATCH(テンプレート!$C690,使用レシピ!$E:$E,0)),""),"")</f>
        <v/>
      </c>
      <c r="N690" s="24" t="str">
        <f>IFERROR(IF(INDEX(使用レシピ!O:O,MATCH(テンプレート!$C690,使用レシピ!$E:$E,0))&lt;&gt;0,INDEX(使用レシピ!O:O,MATCH(テンプレート!$C690,使用レシピ!$E:$E,0)),""),"")</f>
        <v/>
      </c>
      <c r="O690" s="36" t="str">
        <f>IFERROR(IF(INDEX(使用レシピ!P:P,MATCH(テンプレート!$C690,使用レシピ!$E:$E,0))&lt;&gt;0,INDEX(使用レシピ!P:P,MATCH(テンプレート!$C690,使用レシピ!$E:$E,0)),""),"")</f>
        <v/>
      </c>
      <c r="P690" t="str">
        <f t="shared" si="56"/>
        <v/>
      </c>
      <c r="Q690" t="str">
        <f t="shared" si="57"/>
        <v/>
      </c>
      <c r="R690" t="str">
        <f t="shared" si="58"/>
        <v/>
      </c>
      <c r="S690" t="str">
        <f t="shared" si="59"/>
        <v/>
      </c>
      <c r="T690" s="24" t="str">
        <f t="shared" si="60"/>
        <v/>
      </c>
    </row>
    <row r="691" spans="2:20" x14ac:dyDescent="0.4">
      <c r="B691" s="49" t="str" cm="1">
        <f t="array" ref="B691">IFERROR((INDEX($P$4:$T$1000,MATCH(VALUE(LEFT($A691,LEN($A691)-1)),$A$4:$A$1000,0),VALUE(RIGHT($A691,1)))/ INDEX($O$4:$O$1000,MATCH(VALUE(LEFT($A691,LEN($A691)-1)),$A$4:$A$1000))) * INDEX($B$4:$B$1000,MATCH(VALUE(LEFT($A691,LEN($A691)-1)),$A$4:$A$1000)),"")</f>
        <v/>
      </c>
      <c r="C691" s="2" t="str" cm="1">
        <f t="array" ref="C691">IFERROR(IF(INDEX($D$4:$H$1000,MATCH(VALUE(LEFT($A691,LEN($A691)-1)),$A$4:$A$1000,0),VALUE(RIGHT($A691,1)))= 0,"",INDEX($D$4:$H$1000,MATCH(VALUE(LEFT($A691,LEN($A691)-1)),$A$4:$A$1000,0),VALUE(RIGHT($A691,1)))),"")</f>
        <v/>
      </c>
      <c r="D691" s="23" t="str">
        <f>IFERROR(IF(INDEX(使用レシピ!F:F,MATCH(テンプレート!$C691,使用レシピ!$E:$E,0))&lt;&gt;0,INDEX(使用レシピ!F:F,MATCH(テンプレート!$C691,使用レシピ!$E:$E,0)),""),"")</f>
        <v/>
      </c>
      <c r="E691" t="str">
        <f>IFERROR(IF(INDEX(使用レシピ!G:G,MATCH(テンプレート!$C691,使用レシピ!$E:$E,0))&lt;&gt;0,INDEX(使用レシピ!G:G,MATCH(テンプレート!$C691,使用レシピ!$E:$E,0)),""),"")</f>
        <v/>
      </c>
      <c r="F691" t="str">
        <f>IFERROR(IF(INDEX(使用レシピ!H:H,MATCH(テンプレート!$C691,使用レシピ!$E:$E,0))&lt;&gt;0,INDEX(使用レシピ!H:H,MATCH(テンプレート!$C691,使用レシピ!$E:$E,0)),""),"")</f>
        <v/>
      </c>
      <c r="G691" t="str">
        <f>IFERROR(IF(INDEX(使用レシピ!I:I,MATCH(テンプレート!$C691,使用レシピ!$E:$E,0))&lt;&gt;0,INDEX(使用レシピ!I:I,MATCH(テンプレート!$C691,使用レシピ!$E:$E,0)),""),"")</f>
        <v/>
      </c>
      <c r="H691" s="24" t="str">
        <f>IFERROR(IF(INDEX(使用レシピ!J:J,MATCH(テンプレート!$C691,使用レシピ!$E:$E,0))&lt;&gt;0,INDEX(使用レシピ!J:J,MATCH(テンプレート!$C691,使用レシピ!$E:$E,0)),""),"")</f>
        <v/>
      </c>
      <c r="I691" s="36" t="str">
        <f>IFERROR(IF(INDEX(使用レシピ!P:P,MATCH(テンプレート!$C691,使用レシピ!$E:$E,0))&lt;&gt;0,INDEX(使用レシピ!P:P,MATCH(テンプレート!$C691,使用レシピ!$E:$E,0)),""),"")</f>
        <v/>
      </c>
      <c r="J691" t="str">
        <f>IFERROR(IF(INDEX(使用レシピ!K:K,MATCH(テンプレート!$C691,使用レシピ!$E:$E,0))&lt;&gt;0,INDEX(使用レシピ!K:K,MATCH(テンプレート!$C691,使用レシピ!$E:$E,0)),""),"")</f>
        <v/>
      </c>
      <c r="K691" t="str">
        <f>IFERROR(IF(INDEX(使用レシピ!L:L,MATCH(テンプレート!$C691,使用レシピ!$E:$E,0))&lt;&gt;0,INDEX(使用レシピ!L:L,MATCH(テンプレート!$C691,使用レシピ!$E:$E,0)),""),"")</f>
        <v/>
      </c>
      <c r="L691" t="str">
        <f>IFERROR(IF(INDEX(使用レシピ!M:M,MATCH(テンプレート!$C691,使用レシピ!$E:$E,0))&lt;&gt;0,INDEX(使用レシピ!M:M,MATCH(テンプレート!$C691,使用レシピ!$E:$E,0)),""),"")</f>
        <v/>
      </c>
      <c r="M691" t="str">
        <f>IFERROR(IF(INDEX(使用レシピ!N:N,MATCH(テンプレート!$C691,使用レシピ!$E:$E,0))&lt;&gt;0,INDEX(使用レシピ!N:N,MATCH(テンプレート!$C691,使用レシピ!$E:$E,0)),""),"")</f>
        <v/>
      </c>
      <c r="N691" s="24" t="str">
        <f>IFERROR(IF(INDEX(使用レシピ!O:O,MATCH(テンプレート!$C691,使用レシピ!$E:$E,0))&lt;&gt;0,INDEX(使用レシピ!O:O,MATCH(テンプレート!$C691,使用レシピ!$E:$E,0)),""),"")</f>
        <v/>
      </c>
      <c r="O691" s="36" t="str">
        <f>IFERROR(IF(INDEX(使用レシピ!P:P,MATCH(テンプレート!$C691,使用レシピ!$E:$E,0))&lt;&gt;0,INDEX(使用レシピ!P:P,MATCH(テンプレート!$C691,使用レシピ!$E:$E,0)),""),"")</f>
        <v/>
      </c>
      <c r="P691" t="str">
        <f t="shared" si="56"/>
        <v/>
      </c>
      <c r="Q691" t="str">
        <f t="shared" si="57"/>
        <v/>
      </c>
      <c r="R691" t="str">
        <f t="shared" si="58"/>
        <v/>
      </c>
      <c r="S691" t="str">
        <f t="shared" si="59"/>
        <v/>
      </c>
      <c r="T691" s="24" t="str">
        <f t="shared" si="60"/>
        <v/>
      </c>
    </row>
    <row r="692" spans="2:20" x14ac:dyDescent="0.4">
      <c r="B692" s="49" t="str" cm="1">
        <f t="array" ref="B692">IFERROR((INDEX($P$4:$T$1000,MATCH(VALUE(LEFT($A692,LEN($A692)-1)),$A$4:$A$1000,0),VALUE(RIGHT($A692,1)))/ INDEX($O$4:$O$1000,MATCH(VALUE(LEFT($A692,LEN($A692)-1)),$A$4:$A$1000))) * INDEX($B$4:$B$1000,MATCH(VALUE(LEFT($A692,LEN($A692)-1)),$A$4:$A$1000)),"")</f>
        <v/>
      </c>
      <c r="C692" s="2" t="str" cm="1">
        <f t="array" ref="C692">IFERROR(IF(INDEX($D$4:$H$1000,MATCH(VALUE(LEFT($A692,LEN($A692)-1)),$A$4:$A$1000,0),VALUE(RIGHT($A692,1)))= 0,"",INDEX($D$4:$H$1000,MATCH(VALUE(LEFT($A692,LEN($A692)-1)),$A$4:$A$1000,0),VALUE(RIGHT($A692,1)))),"")</f>
        <v/>
      </c>
      <c r="D692" s="23" t="str">
        <f>IFERROR(IF(INDEX(使用レシピ!F:F,MATCH(テンプレート!$C692,使用レシピ!$E:$E,0))&lt;&gt;0,INDEX(使用レシピ!F:F,MATCH(テンプレート!$C692,使用レシピ!$E:$E,0)),""),"")</f>
        <v/>
      </c>
      <c r="E692" t="str">
        <f>IFERROR(IF(INDEX(使用レシピ!G:G,MATCH(テンプレート!$C692,使用レシピ!$E:$E,0))&lt;&gt;0,INDEX(使用レシピ!G:G,MATCH(テンプレート!$C692,使用レシピ!$E:$E,0)),""),"")</f>
        <v/>
      </c>
      <c r="F692" t="str">
        <f>IFERROR(IF(INDEX(使用レシピ!H:H,MATCH(テンプレート!$C692,使用レシピ!$E:$E,0))&lt;&gt;0,INDEX(使用レシピ!H:H,MATCH(テンプレート!$C692,使用レシピ!$E:$E,0)),""),"")</f>
        <v/>
      </c>
      <c r="G692" t="str">
        <f>IFERROR(IF(INDEX(使用レシピ!I:I,MATCH(テンプレート!$C692,使用レシピ!$E:$E,0))&lt;&gt;0,INDEX(使用レシピ!I:I,MATCH(テンプレート!$C692,使用レシピ!$E:$E,0)),""),"")</f>
        <v/>
      </c>
      <c r="H692" s="24" t="str">
        <f>IFERROR(IF(INDEX(使用レシピ!J:J,MATCH(テンプレート!$C692,使用レシピ!$E:$E,0))&lt;&gt;0,INDEX(使用レシピ!J:J,MATCH(テンプレート!$C692,使用レシピ!$E:$E,0)),""),"")</f>
        <v/>
      </c>
      <c r="I692" s="36" t="str">
        <f>IFERROR(IF(INDEX(使用レシピ!P:P,MATCH(テンプレート!$C692,使用レシピ!$E:$E,0))&lt;&gt;0,INDEX(使用レシピ!P:P,MATCH(テンプレート!$C692,使用レシピ!$E:$E,0)),""),"")</f>
        <v/>
      </c>
      <c r="J692" t="str">
        <f>IFERROR(IF(INDEX(使用レシピ!K:K,MATCH(テンプレート!$C692,使用レシピ!$E:$E,0))&lt;&gt;0,INDEX(使用レシピ!K:K,MATCH(テンプレート!$C692,使用レシピ!$E:$E,0)),""),"")</f>
        <v/>
      </c>
      <c r="K692" t="str">
        <f>IFERROR(IF(INDEX(使用レシピ!L:L,MATCH(テンプレート!$C692,使用レシピ!$E:$E,0))&lt;&gt;0,INDEX(使用レシピ!L:L,MATCH(テンプレート!$C692,使用レシピ!$E:$E,0)),""),"")</f>
        <v/>
      </c>
      <c r="L692" t="str">
        <f>IFERROR(IF(INDEX(使用レシピ!M:M,MATCH(テンプレート!$C692,使用レシピ!$E:$E,0))&lt;&gt;0,INDEX(使用レシピ!M:M,MATCH(テンプレート!$C692,使用レシピ!$E:$E,0)),""),"")</f>
        <v/>
      </c>
      <c r="M692" t="str">
        <f>IFERROR(IF(INDEX(使用レシピ!N:N,MATCH(テンプレート!$C692,使用レシピ!$E:$E,0))&lt;&gt;0,INDEX(使用レシピ!N:N,MATCH(テンプレート!$C692,使用レシピ!$E:$E,0)),""),"")</f>
        <v/>
      </c>
      <c r="N692" s="24" t="str">
        <f>IFERROR(IF(INDEX(使用レシピ!O:O,MATCH(テンプレート!$C692,使用レシピ!$E:$E,0))&lt;&gt;0,INDEX(使用レシピ!O:O,MATCH(テンプレート!$C692,使用レシピ!$E:$E,0)),""),"")</f>
        <v/>
      </c>
      <c r="O692" s="36" t="str">
        <f>IFERROR(IF(INDEX(使用レシピ!P:P,MATCH(テンプレート!$C692,使用レシピ!$E:$E,0))&lt;&gt;0,INDEX(使用レシピ!P:P,MATCH(テンプレート!$C692,使用レシピ!$E:$E,0)),""),"")</f>
        <v/>
      </c>
      <c r="P692" t="str">
        <f t="shared" si="56"/>
        <v/>
      </c>
      <c r="Q692" t="str">
        <f t="shared" si="57"/>
        <v/>
      </c>
      <c r="R692" t="str">
        <f t="shared" si="58"/>
        <v/>
      </c>
      <c r="S692" t="str">
        <f t="shared" si="59"/>
        <v/>
      </c>
      <c r="T692" s="24" t="str">
        <f t="shared" si="60"/>
        <v/>
      </c>
    </row>
    <row r="693" spans="2:20" x14ac:dyDescent="0.4">
      <c r="B693" s="49" t="str" cm="1">
        <f t="array" ref="B693">IFERROR((INDEX($P$4:$T$1000,MATCH(VALUE(LEFT($A693,LEN($A693)-1)),$A$4:$A$1000,0),VALUE(RIGHT($A693,1)))/ INDEX($O$4:$O$1000,MATCH(VALUE(LEFT($A693,LEN($A693)-1)),$A$4:$A$1000))) * INDEX($B$4:$B$1000,MATCH(VALUE(LEFT($A693,LEN($A693)-1)),$A$4:$A$1000)),"")</f>
        <v/>
      </c>
      <c r="C693" s="2" t="str" cm="1">
        <f t="array" ref="C693">IFERROR(IF(INDEX($D$4:$H$1000,MATCH(VALUE(LEFT($A693,LEN($A693)-1)),$A$4:$A$1000,0),VALUE(RIGHT($A693,1)))= 0,"",INDEX($D$4:$H$1000,MATCH(VALUE(LEFT($A693,LEN($A693)-1)),$A$4:$A$1000,0),VALUE(RIGHT($A693,1)))),"")</f>
        <v/>
      </c>
      <c r="D693" s="23" t="str">
        <f>IFERROR(IF(INDEX(使用レシピ!F:F,MATCH(テンプレート!$C693,使用レシピ!$E:$E,0))&lt;&gt;0,INDEX(使用レシピ!F:F,MATCH(テンプレート!$C693,使用レシピ!$E:$E,0)),""),"")</f>
        <v/>
      </c>
      <c r="E693" t="str">
        <f>IFERROR(IF(INDEX(使用レシピ!G:G,MATCH(テンプレート!$C693,使用レシピ!$E:$E,0))&lt;&gt;0,INDEX(使用レシピ!G:G,MATCH(テンプレート!$C693,使用レシピ!$E:$E,0)),""),"")</f>
        <v/>
      </c>
      <c r="F693" t="str">
        <f>IFERROR(IF(INDEX(使用レシピ!H:H,MATCH(テンプレート!$C693,使用レシピ!$E:$E,0))&lt;&gt;0,INDEX(使用レシピ!H:H,MATCH(テンプレート!$C693,使用レシピ!$E:$E,0)),""),"")</f>
        <v/>
      </c>
      <c r="G693" t="str">
        <f>IFERROR(IF(INDEX(使用レシピ!I:I,MATCH(テンプレート!$C693,使用レシピ!$E:$E,0))&lt;&gt;0,INDEX(使用レシピ!I:I,MATCH(テンプレート!$C693,使用レシピ!$E:$E,0)),""),"")</f>
        <v/>
      </c>
      <c r="H693" s="24" t="str">
        <f>IFERROR(IF(INDEX(使用レシピ!J:J,MATCH(テンプレート!$C693,使用レシピ!$E:$E,0))&lt;&gt;0,INDEX(使用レシピ!J:J,MATCH(テンプレート!$C693,使用レシピ!$E:$E,0)),""),"")</f>
        <v/>
      </c>
      <c r="I693" s="36" t="str">
        <f>IFERROR(IF(INDEX(使用レシピ!P:P,MATCH(テンプレート!$C693,使用レシピ!$E:$E,0))&lt;&gt;0,INDEX(使用レシピ!P:P,MATCH(テンプレート!$C693,使用レシピ!$E:$E,0)),""),"")</f>
        <v/>
      </c>
      <c r="J693" t="str">
        <f>IFERROR(IF(INDEX(使用レシピ!K:K,MATCH(テンプレート!$C693,使用レシピ!$E:$E,0))&lt;&gt;0,INDEX(使用レシピ!K:K,MATCH(テンプレート!$C693,使用レシピ!$E:$E,0)),""),"")</f>
        <v/>
      </c>
      <c r="K693" t="str">
        <f>IFERROR(IF(INDEX(使用レシピ!L:L,MATCH(テンプレート!$C693,使用レシピ!$E:$E,0))&lt;&gt;0,INDEX(使用レシピ!L:L,MATCH(テンプレート!$C693,使用レシピ!$E:$E,0)),""),"")</f>
        <v/>
      </c>
      <c r="L693" t="str">
        <f>IFERROR(IF(INDEX(使用レシピ!M:M,MATCH(テンプレート!$C693,使用レシピ!$E:$E,0))&lt;&gt;0,INDEX(使用レシピ!M:M,MATCH(テンプレート!$C693,使用レシピ!$E:$E,0)),""),"")</f>
        <v/>
      </c>
      <c r="M693" t="str">
        <f>IFERROR(IF(INDEX(使用レシピ!N:N,MATCH(テンプレート!$C693,使用レシピ!$E:$E,0))&lt;&gt;0,INDEX(使用レシピ!N:N,MATCH(テンプレート!$C693,使用レシピ!$E:$E,0)),""),"")</f>
        <v/>
      </c>
      <c r="N693" s="24" t="str">
        <f>IFERROR(IF(INDEX(使用レシピ!O:O,MATCH(テンプレート!$C693,使用レシピ!$E:$E,0))&lt;&gt;0,INDEX(使用レシピ!O:O,MATCH(テンプレート!$C693,使用レシピ!$E:$E,0)),""),"")</f>
        <v/>
      </c>
      <c r="O693" s="36" t="str">
        <f>IFERROR(IF(INDEX(使用レシピ!P:P,MATCH(テンプレート!$C693,使用レシピ!$E:$E,0))&lt;&gt;0,INDEX(使用レシピ!P:P,MATCH(テンプレート!$C693,使用レシピ!$E:$E,0)),""),"")</f>
        <v/>
      </c>
      <c r="P693" t="str">
        <f t="shared" si="56"/>
        <v/>
      </c>
      <c r="Q693" t="str">
        <f t="shared" si="57"/>
        <v/>
      </c>
      <c r="R693" t="str">
        <f t="shared" si="58"/>
        <v/>
      </c>
      <c r="S693" t="str">
        <f t="shared" si="59"/>
        <v/>
      </c>
      <c r="T693" s="24" t="str">
        <f t="shared" si="60"/>
        <v/>
      </c>
    </row>
    <row r="694" spans="2:20" x14ac:dyDescent="0.4">
      <c r="B694" s="49" t="str" cm="1">
        <f t="array" ref="B694">IFERROR((INDEX($P$4:$T$1000,MATCH(VALUE(LEFT($A694,LEN($A694)-1)),$A$4:$A$1000,0),VALUE(RIGHT($A694,1)))/ INDEX($O$4:$O$1000,MATCH(VALUE(LEFT($A694,LEN($A694)-1)),$A$4:$A$1000))) * INDEX($B$4:$B$1000,MATCH(VALUE(LEFT($A694,LEN($A694)-1)),$A$4:$A$1000)),"")</f>
        <v/>
      </c>
      <c r="C694" s="2" t="str" cm="1">
        <f t="array" ref="C694">IFERROR(IF(INDEX($D$4:$H$1000,MATCH(VALUE(LEFT($A694,LEN($A694)-1)),$A$4:$A$1000,0),VALUE(RIGHT($A694,1)))= 0,"",INDEX($D$4:$H$1000,MATCH(VALUE(LEFT($A694,LEN($A694)-1)),$A$4:$A$1000,0),VALUE(RIGHT($A694,1)))),"")</f>
        <v/>
      </c>
      <c r="D694" s="23" t="str">
        <f>IFERROR(IF(INDEX(使用レシピ!F:F,MATCH(テンプレート!$C694,使用レシピ!$E:$E,0))&lt;&gt;0,INDEX(使用レシピ!F:F,MATCH(テンプレート!$C694,使用レシピ!$E:$E,0)),""),"")</f>
        <v/>
      </c>
      <c r="E694" t="str">
        <f>IFERROR(IF(INDEX(使用レシピ!G:G,MATCH(テンプレート!$C694,使用レシピ!$E:$E,0))&lt;&gt;0,INDEX(使用レシピ!G:G,MATCH(テンプレート!$C694,使用レシピ!$E:$E,0)),""),"")</f>
        <v/>
      </c>
      <c r="F694" t="str">
        <f>IFERROR(IF(INDEX(使用レシピ!H:H,MATCH(テンプレート!$C694,使用レシピ!$E:$E,0))&lt;&gt;0,INDEX(使用レシピ!H:H,MATCH(テンプレート!$C694,使用レシピ!$E:$E,0)),""),"")</f>
        <v/>
      </c>
      <c r="G694" t="str">
        <f>IFERROR(IF(INDEX(使用レシピ!I:I,MATCH(テンプレート!$C694,使用レシピ!$E:$E,0))&lt;&gt;0,INDEX(使用レシピ!I:I,MATCH(テンプレート!$C694,使用レシピ!$E:$E,0)),""),"")</f>
        <v/>
      </c>
      <c r="H694" s="24" t="str">
        <f>IFERROR(IF(INDEX(使用レシピ!J:J,MATCH(テンプレート!$C694,使用レシピ!$E:$E,0))&lt;&gt;0,INDEX(使用レシピ!J:J,MATCH(テンプレート!$C694,使用レシピ!$E:$E,0)),""),"")</f>
        <v/>
      </c>
      <c r="I694" s="36" t="str">
        <f>IFERROR(IF(INDEX(使用レシピ!P:P,MATCH(テンプレート!$C694,使用レシピ!$E:$E,0))&lt;&gt;0,INDEX(使用レシピ!P:P,MATCH(テンプレート!$C694,使用レシピ!$E:$E,0)),""),"")</f>
        <v/>
      </c>
      <c r="J694" t="str">
        <f>IFERROR(IF(INDEX(使用レシピ!K:K,MATCH(テンプレート!$C694,使用レシピ!$E:$E,0))&lt;&gt;0,INDEX(使用レシピ!K:K,MATCH(テンプレート!$C694,使用レシピ!$E:$E,0)),""),"")</f>
        <v/>
      </c>
      <c r="K694" t="str">
        <f>IFERROR(IF(INDEX(使用レシピ!L:L,MATCH(テンプレート!$C694,使用レシピ!$E:$E,0))&lt;&gt;0,INDEX(使用レシピ!L:L,MATCH(テンプレート!$C694,使用レシピ!$E:$E,0)),""),"")</f>
        <v/>
      </c>
      <c r="L694" t="str">
        <f>IFERROR(IF(INDEX(使用レシピ!M:M,MATCH(テンプレート!$C694,使用レシピ!$E:$E,0))&lt;&gt;0,INDEX(使用レシピ!M:M,MATCH(テンプレート!$C694,使用レシピ!$E:$E,0)),""),"")</f>
        <v/>
      </c>
      <c r="M694" t="str">
        <f>IFERROR(IF(INDEX(使用レシピ!N:N,MATCH(テンプレート!$C694,使用レシピ!$E:$E,0))&lt;&gt;0,INDEX(使用レシピ!N:N,MATCH(テンプレート!$C694,使用レシピ!$E:$E,0)),""),"")</f>
        <v/>
      </c>
      <c r="N694" s="24" t="str">
        <f>IFERROR(IF(INDEX(使用レシピ!O:O,MATCH(テンプレート!$C694,使用レシピ!$E:$E,0))&lt;&gt;0,INDEX(使用レシピ!O:O,MATCH(テンプレート!$C694,使用レシピ!$E:$E,0)),""),"")</f>
        <v/>
      </c>
      <c r="O694" s="36" t="str">
        <f>IFERROR(IF(INDEX(使用レシピ!P:P,MATCH(テンプレート!$C694,使用レシピ!$E:$E,0))&lt;&gt;0,INDEX(使用レシピ!P:P,MATCH(テンプレート!$C694,使用レシピ!$E:$E,0)),""),"")</f>
        <v/>
      </c>
      <c r="P694" t="str">
        <f t="shared" si="56"/>
        <v/>
      </c>
      <c r="Q694" t="str">
        <f t="shared" si="57"/>
        <v/>
      </c>
      <c r="R694" t="str">
        <f t="shared" si="58"/>
        <v/>
      </c>
      <c r="S694" t="str">
        <f t="shared" si="59"/>
        <v/>
      </c>
      <c r="T694" s="24" t="str">
        <f t="shared" si="60"/>
        <v/>
      </c>
    </row>
    <row r="695" spans="2:20" x14ac:dyDescent="0.4">
      <c r="B695" s="49" t="str" cm="1">
        <f t="array" ref="B695">IFERROR((INDEX($P$4:$T$1000,MATCH(VALUE(LEFT($A695,LEN($A695)-1)),$A$4:$A$1000,0),VALUE(RIGHT($A695,1)))/ INDEX($O$4:$O$1000,MATCH(VALUE(LEFT($A695,LEN($A695)-1)),$A$4:$A$1000))) * INDEX($B$4:$B$1000,MATCH(VALUE(LEFT($A695,LEN($A695)-1)),$A$4:$A$1000)),"")</f>
        <v/>
      </c>
      <c r="C695" s="2" t="str" cm="1">
        <f t="array" ref="C695">IFERROR(IF(INDEX($D$4:$H$1000,MATCH(VALUE(LEFT($A695,LEN($A695)-1)),$A$4:$A$1000,0),VALUE(RIGHT($A695,1)))= 0,"",INDEX($D$4:$H$1000,MATCH(VALUE(LEFT($A695,LEN($A695)-1)),$A$4:$A$1000,0),VALUE(RIGHT($A695,1)))),"")</f>
        <v/>
      </c>
      <c r="D695" s="23" t="str">
        <f>IFERROR(IF(INDEX(使用レシピ!F:F,MATCH(テンプレート!$C695,使用レシピ!$E:$E,0))&lt;&gt;0,INDEX(使用レシピ!F:F,MATCH(テンプレート!$C695,使用レシピ!$E:$E,0)),""),"")</f>
        <v/>
      </c>
      <c r="E695" t="str">
        <f>IFERROR(IF(INDEX(使用レシピ!G:G,MATCH(テンプレート!$C695,使用レシピ!$E:$E,0))&lt;&gt;0,INDEX(使用レシピ!G:G,MATCH(テンプレート!$C695,使用レシピ!$E:$E,0)),""),"")</f>
        <v/>
      </c>
      <c r="F695" t="str">
        <f>IFERROR(IF(INDEX(使用レシピ!H:H,MATCH(テンプレート!$C695,使用レシピ!$E:$E,0))&lt;&gt;0,INDEX(使用レシピ!H:H,MATCH(テンプレート!$C695,使用レシピ!$E:$E,0)),""),"")</f>
        <v/>
      </c>
      <c r="G695" t="str">
        <f>IFERROR(IF(INDEX(使用レシピ!I:I,MATCH(テンプレート!$C695,使用レシピ!$E:$E,0))&lt;&gt;0,INDEX(使用レシピ!I:I,MATCH(テンプレート!$C695,使用レシピ!$E:$E,0)),""),"")</f>
        <v/>
      </c>
      <c r="H695" s="24" t="str">
        <f>IFERROR(IF(INDEX(使用レシピ!J:J,MATCH(テンプレート!$C695,使用レシピ!$E:$E,0))&lt;&gt;0,INDEX(使用レシピ!J:J,MATCH(テンプレート!$C695,使用レシピ!$E:$E,0)),""),"")</f>
        <v/>
      </c>
      <c r="I695" s="36" t="str">
        <f>IFERROR(IF(INDEX(使用レシピ!P:P,MATCH(テンプレート!$C695,使用レシピ!$E:$E,0))&lt;&gt;0,INDEX(使用レシピ!P:P,MATCH(テンプレート!$C695,使用レシピ!$E:$E,0)),""),"")</f>
        <v/>
      </c>
      <c r="J695" t="str">
        <f>IFERROR(IF(INDEX(使用レシピ!K:K,MATCH(テンプレート!$C695,使用レシピ!$E:$E,0))&lt;&gt;0,INDEX(使用レシピ!K:K,MATCH(テンプレート!$C695,使用レシピ!$E:$E,0)),""),"")</f>
        <v/>
      </c>
      <c r="K695" t="str">
        <f>IFERROR(IF(INDEX(使用レシピ!L:L,MATCH(テンプレート!$C695,使用レシピ!$E:$E,0))&lt;&gt;0,INDEX(使用レシピ!L:L,MATCH(テンプレート!$C695,使用レシピ!$E:$E,0)),""),"")</f>
        <v/>
      </c>
      <c r="L695" t="str">
        <f>IFERROR(IF(INDEX(使用レシピ!M:M,MATCH(テンプレート!$C695,使用レシピ!$E:$E,0))&lt;&gt;0,INDEX(使用レシピ!M:M,MATCH(テンプレート!$C695,使用レシピ!$E:$E,0)),""),"")</f>
        <v/>
      </c>
      <c r="M695" t="str">
        <f>IFERROR(IF(INDEX(使用レシピ!N:N,MATCH(テンプレート!$C695,使用レシピ!$E:$E,0))&lt;&gt;0,INDEX(使用レシピ!N:N,MATCH(テンプレート!$C695,使用レシピ!$E:$E,0)),""),"")</f>
        <v/>
      </c>
      <c r="N695" s="24" t="str">
        <f>IFERROR(IF(INDEX(使用レシピ!O:O,MATCH(テンプレート!$C695,使用レシピ!$E:$E,0))&lt;&gt;0,INDEX(使用レシピ!O:O,MATCH(テンプレート!$C695,使用レシピ!$E:$E,0)),""),"")</f>
        <v/>
      </c>
      <c r="O695" s="36" t="str">
        <f>IFERROR(IF(INDEX(使用レシピ!P:P,MATCH(テンプレート!$C695,使用レシピ!$E:$E,0))&lt;&gt;0,INDEX(使用レシピ!P:P,MATCH(テンプレート!$C695,使用レシピ!$E:$E,0)),""),"")</f>
        <v/>
      </c>
      <c r="P695" t="str">
        <f t="shared" si="56"/>
        <v/>
      </c>
      <c r="Q695" t="str">
        <f t="shared" si="57"/>
        <v/>
      </c>
      <c r="R695" t="str">
        <f t="shared" si="58"/>
        <v/>
      </c>
      <c r="S695" t="str">
        <f t="shared" si="59"/>
        <v/>
      </c>
      <c r="T695" s="24" t="str">
        <f t="shared" si="60"/>
        <v/>
      </c>
    </row>
    <row r="696" spans="2:20" x14ac:dyDescent="0.4">
      <c r="B696" s="49" t="str" cm="1">
        <f t="array" ref="B696">IFERROR((INDEX($P$4:$T$1000,MATCH(VALUE(LEFT($A696,LEN($A696)-1)),$A$4:$A$1000,0),VALUE(RIGHT($A696,1)))/ INDEX($O$4:$O$1000,MATCH(VALUE(LEFT($A696,LEN($A696)-1)),$A$4:$A$1000))) * INDEX($B$4:$B$1000,MATCH(VALUE(LEFT($A696,LEN($A696)-1)),$A$4:$A$1000)),"")</f>
        <v/>
      </c>
      <c r="C696" s="2" t="str" cm="1">
        <f t="array" ref="C696">IFERROR(IF(INDEX($D$4:$H$1000,MATCH(VALUE(LEFT($A696,LEN($A696)-1)),$A$4:$A$1000,0),VALUE(RIGHT($A696,1)))= 0,"",INDEX($D$4:$H$1000,MATCH(VALUE(LEFT($A696,LEN($A696)-1)),$A$4:$A$1000,0),VALUE(RIGHT($A696,1)))),"")</f>
        <v/>
      </c>
      <c r="D696" s="23" t="str">
        <f>IFERROR(IF(INDEX(使用レシピ!F:F,MATCH(テンプレート!$C696,使用レシピ!$E:$E,0))&lt;&gt;0,INDEX(使用レシピ!F:F,MATCH(テンプレート!$C696,使用レシピ!$E:$E,0)),""),"")</f>
        <v/>
      </c>
      <c r="E696" t="str">
        <f>IFERROR(IF(INDEX(使用レシピ!G:G,MATCH(テンプレート!$C696,使用レシピ!$E:$E,0))&lt;&gt;0,INDEX(使用レシピ!G:G,MATCH(テンプレート!$C696,使用レシピ!$E:$E,0)),""),"")</f>
        <v/>
      </c>
      <c r="F696" t="str">
        <f>IFERROR(IF(INDEX(使用レシピ!H:H,MATCH(テンプレート!$C696,使用レシピ!$E:$E,0))&lt;&gt;0,INDEX(使用レシピ!H:H,MATCH(テンプレート!$C696,使用レシピ!$E:$E,0)),""),"")</f>
        <v/>
      </c>
      <c r="G696" t="str">
        <f>IFERROR(IF(INDEX(使用レシピ!I:I,MATCH(テンプレート!$C696,使用レシピ!$E:$E,0))&lt;&gt;0,INDEX(使用レシピ!I:I,MATCH(テンプレート!$C696,使用レシピ!$E:$E,0)),""),"")</f>
        <v/>
      </c>
      <c r="H696" s="24" t="str">
        <f>IFERROR(IF(INDEX(使用レシピ!J:J,MATCH(テンプレート!$C696,使用レシピ!$E:$E,0))&lt;&gt;0,INDEX(使用レシピ!J:J,MATCH(テンプレート!$C696,使用レシピ!$E:$E,0)),""),"")</f>
        <v/>
      </c>
      <c r="I696" s="36" t="str">
        <f>IFERROR(IF(INDEX(使用レシピ!P:P,MATCH(テンプレート!$C696,使用レシピ!$E:$E,0))&lt;&gt;0,INDEX(使用レシピ!P:P,MATCH(テンプレート!$C696,使用レシピ!$E:$E,0)),""),"")</f>
        <v/>
      </c>
      <c r="J696" t="str">
        <f>IFERROR(IF(INDEX(使用レシピ!K:K,MATCH(テンプレート!$C696,使用レシピ!$E:$E,0))&lt;&gt;0,INDEX(使用レシピ!K:K,MATCH(テンプレート!$C696,使用レシピ!$E:$E,0)),""),"")</f>
        <v/>
      </c>
      <c r="K696" t="str">
        <f>IFERROR(IF(INDEX(使用レシピ!L:L,MATCH(テンプレート!$C696,使用レシピ!$E:$E,0))&lt;&gt;0,INDEX(使用レシピ!L:L,MATCH(テンプレート!$C696,使用レシピ!$E:$E,0)),""),"")</f>
        <v/>
      </c>
      <c r="L696" t="str">
        <f>IFERROR(IF(INDEX(使用レシピ!M:M,MATCH(テンプレート!$C696,使用レシピ!$E:$E,0))&lt;&gt;0,INDEX(使用レシピ!M:M,MATCH(テンプレート!$C696,使用レシピ!$E:$E,0)),""),"")</f>
        <v/>
      </c>
      <c r="M696" t="str">
        <f>IFERROR(IF(INDEX(使用レシピ!N:N,MATCH(テンプレート!$C696,使用レシピ!$E:$E,0))&lt;&gt;0,INDEX(使用レシピ!N:N,MATCH(テンプレート!$C696,使用レシピ!$E:$E,0)),""),"")</f>
        <v/>
      </c>
      <c r="N696" s="24" t="str">
        <f>IFERROR(IF(INDEX(使用レシピ!O:O,MATCH(テンプレート!$C696,使用レシピ!$E:$E,0))&lt;&gt;0,INDEX(使用レシピ!O:O,MATCH(テンプレート!$C696,使用レシピ!$E:$E,0)),""),"")</f>
        <v/>
      </c>
      <c r="O696" s="36" t="str">
        <f>IFERROR(IF(INDEX(使用レシピ!P:P,MATCH(テンプレート!$C696,使用レシピ!$E:$E,0))&lt;&gt;0,INDEX(使用レシピ!P:P,MATCH(テンプレート!$C696,使用レシピ!$E:$E,0)),""),"")</f>
        <v/>
      </c>
      <c r="P696" t="str">
        <f t="shared" si="56"/>
        <v/>
      </c>
      <c r="Q696" t="str">
        <f t="shared" si="57"/>
        <v/>
      </c>
      <c r="R696" t="str">
        <f t="shared" si="58"/>
        <v/>
      </c>
      <c r="S696" t="str">
        <f t="shared" si="59"/>
        <v/>
      </c>
      <c r="T696" s="24" t="str">
        <f t="shared" si="60"/>
        <v/>
      </c>
    </row>
    <row r="697" spans="2:20" x14ac:dyDescent="0.4">
      <c r="B697" s="49" t="str" cm="1">
        <f t="array" ref="B697">IFERROR((INDEX($P$4:$T$1000,MATCH(VALUE(LEFT($A697,LEN($A697)-1)),$A$4:$A$1000,0),VALUE(RIGHT($A697,1)))/ INDEX($O$4:$O$1000,MATCH(VALUE(LEFT($A697,LEN($A697)-1)),$A$4:$A$1000))) * INDEX($B$4:$B$1000,MATCH(VALUE(LEFT($A697,LEN($A697)-1)),$A$4:$A$1000)),"")</f>
        <v/>
      </c>
      <c r="C697" s="2" t="str" cm="1">
        <f t="array" ref="C697">IFERROR(IF(INDEX($D$4:$H$1000,MATCH(VALUE(LEFT($A697,LEN($A697)-1)),$A$4:$A$1000,0),VALUE(RIGHT($A697,1)))= 0,"",INDEX($D$4:$H$1000,MATCH(VALUE(LEFT($A697,LEN($A697)-1)),$A$4:$A$1000,0),VALUE(RIGHT($A697,1)))),"")</f>
        <v/>
      </c>
      <c r="D697" s="23" t="str">
        <f>IFERROR(IF(INDEX(使用レシピ!F:F,MATCH(テンプレート!$C697,使用レシピ!$E:$E,0))&lt;&gt;0,INDEX(使用レシピ!F:F,MATCH(テンプレート!$C697,使用レシピ!$E:$E,0)),""),"")</f>
        <v/>
      </c>
      <c r="E697" t="str">
        <f>IFERROR(IF(INDEX(使用レシピ!G:G,MATCH(テンプレート!$C697,使用レシピ!$E:$E,0))&lt;&gt;0,INDEX(使用レシピ!G:G,MATCH(テンプレート!$C697,使用レシピ!$E:$E,0)),""),"")</f>
        <v/>
      </c>
      <c r="F697" t="str">
        <f>IFERROR(IF(INDEX(使用レシピ!H:H,MATCH(テンプレート!$C697,使用レシピ!$E:$E,0))&lt;&gt;0,INDEX(使用レシピ!H:H,MATCH(テンプレート!$C697,使用レシピ!$E:$E,0)),""),"")</f>
        <v/>
      </c>
      <c r="G697" t="str">
        <f>IFERROR(IF(INDEX(使用レシピ!I:I,MATCH(テンプレート!$C697,使用レシピ!$E:$E,0))&lt;&gt;0,INDEX(使用レシピ!I:I,MATCH(テンプレート!$C697,使用レシピ!$E:$E,0)),""),"")</f>
        <v/>
      </c>
      <c r="H697" s="24" t="str">
        <f>IFERROR(IF(INDEX(使用レシピ!J:J,MATCH(テンプレート!$C697,使用レシピ!$E:$E,0))&lt;&gt;0,INDEX(使用レシピ!J:J,MATCH(テンプレート!$C697,使用レシピ!$E:$E,0)),""),"")</f>
        <v/>
      </c>
      <c r="I697" s="36" t="str">
        <f>IFERROR(IF(INDEX(使用レシピ!P:P,MATCH(テンプレート!$C697,使用レシピ!$E:$E,0))&lt;&gt;0,INDEX(使用レシピ!P:P,MATCH(テンプレート!$C697,使用レシピ!$E:$E,0)),""),"")</f>
        <v/>
      </c>
      <c r="J697" t="str">
        <f>IFERROR(IF(INDEX(使用レシピ!K:K,MATCH(テンプレート!$C697,使用レシピ!$E:$E,0))&lt;&gt;0,INDEX(使用レシピ!K:K,MATCH(テンプレート!$C697,使用レシピ!$E:$E,0)),""),"")</f>
        <v/>
      </c>
      <c r="K697" t="str">
        <f>IFERROR(IF(INDEX(使用レシピ!L:L,MATCH(テンプレート!$C697,使用レシピ!$E:$E,0))&lt;&gt;0,INDEX(使用レシピ!L:L,MATCH(テンプレート!$C697,使用レシピ!$E:$E,0)),""),"")</f>
        <v/>
      </c>
      <c r="L697" t="str">
        <f>IFERROR(IF(INDEX(使用レシピ!M:M,MATCH(テンプレート!$C697,使用レシピ!$E:$E,0))&lt;&gt;0,INDEX(使用レシピ!M:M,MATCH(テンプレート!$C697,使用レシピ!$E:$E,0)),""),"")</f>
        <v/>
      </c>
      <c r="M697" t="str">
        <f>IFERROR(IF(INDEX(使用レシピ!N:N,MATCH(テンプレート!$C697,使用レシピ!$E:$E,0))&lt;&gt;0,INDEX(使用レシピ!N:N,MATCH(テンプレート!$C697,使用レシピ!$E:$E,0)),""),"")</f>
        <v/>
      </c>
      <c r="N697" s="24" t="str">
        <f>IFERROR(IF(INDEX(使用レシピ!O:O,MATCH(テンプレート!$C697,使用レシピ!$E:$E,0))&lt;&gt;0,INDEX(使用レシピ!O:O,MATCH(テンプレート!$C697,使用レシピ!$E:$E,0)),""),"")</f>
        <v/>
      </c>
      <c r="O697" s="36" t="str">
        <f>IFERROR(IF(INDEX(使用レシピ!P:P,MATCH(テンプレート!$C697,使用レシピ!$E:$E,0))&lt;&gt;0,INDEX(使用レシピ!P:P,MATCH(テンプレート!$C697,使用レシピ!$E:$E,0)),""),"")</f>
        <v/>
      </c>
      <c r="P697" t="str">
        <f t="shared" si="56"/>
        <v/>
      </c>
      <c r="Q697" t="str">
        <f t="shared" si="57"/>
        <v/>
      </c>
      <c r="R697" t="str">
        <f t="shared" si="58"/>
        <v/>
      </c>
      <c r="S697" t="str">
        <f t="shared" si="59"/>
        <v/>
      </c>
      <c r="T697" s="24" t="str">
        <f t="shared" si="60"/>
        <v/>
      </c>
    </row>
    <row r="698" spans="2:20" x14ac:dyDescent="0.4">
      <c r="B698" s="49" t="str" cm="1">
        <f t="array" ref="B698">IFERROR((INDEX($P$4:$T$1000,MATCH(VALUE(LEFT($A698,LEN($A698)-1)),$A$4:$A$1000,0),VALUE(RIGHT($A698,1)))/ INDEX($O$4:$O$1000,MATCH(VALUE(LEFT($A698,LEN($A698)-1)),$A$4:$A$1000))) * INDEX($B$4:$B$1000,MATCH(VALUE(LEFT($A698,LEN($A698)-1)),$A$4:$A$1000)),"")</f>
        <v/>
      </c>
      <c r="C698" s="2" t="str" cm="1">
        <f t="array" ref="C698">IFERROR(IF(INDEX($D$4:$H$1000,MATCH(VALUE(LEFT($A698,LEN($A698)-1)),$A$4:$A$1000,0),VALUE(RIGHT($A698,1)))= 0,"",INDEX($D$4:$H$1000,MATCH(VALUE(LEFT($A698,LEN($A698)-1)),$A$4:$A$1000,0),VALUE(RIGHT($A698,1)))),"")</f>
        <v/>
      </c>
      <c r="D698" s="23" t="str">
        <f>IFERROR(IF(INDEX(使用レシピ!F:F,MATCH(テンプレート!$C698,使用レシピ!$E:$E,0))&lt;&gt;0,INDEX(使用レシピ!F:F,MATCH(テンプレート!$C698,使用レシピ!$E:$E,0)),""),"")</f>
        <v/>
      </c>
      <c r="E698" t="str">
        <f>IFERROR(IF(INDEX(使用レシピ!G:G,MATCH(テンプレート!$C698,使用レシピ!$E:$E,0))&lt;&gt;0,INDEX(使用レシピ!G:G,MATCH(テンプレート!$C698,使用レシピ!$E:$E,0)),""),"")</f>
        <v/>
      </c>
      <c r="F698" t="str">
        <f>IFERROR(IF(INDEX(使用レシピ!H:H,MATCH(テンプレート!$C698,使用レシピ!$E:$E,0))&lt;&gt;0,INDEX(使用レシピ!H:H,MATCH(テンプレート!$C698,使用レシピ!$E:$E,0)),""),"")</f>
        <v/>
      </c>
      <c r="G698" t="str">
        <f>IFERROR(IF(INDEX(使用レシピ!I:I,MATCH(テンプレート!$C698,使用レシピ!$E:$E,0))&lt;&gt;0,INDEX(使用レシピ!I:I,MATCH(テンプレート!$C698,使用レシピ!$E:$E,0)),""),"")</f>
        <v/>
      </c>
      <c r="H698" s="24" t="str">
        <f>IFERROR(IF(INDEX(使用レシピ!J:J,MATCH(テンプレート!$C698,使用レシピ!$E:$E,0))&lt;&gt;0,INDEX(使用レシピ!J:J,MATCH(テンプレート!$C698,使用レシピ!$E:$E,0)),""),"")</f>
        <v/>
      </c>
      <c r="I698" s="36" t="str">
        <f>IFERROR(IF(INDEX(使用レシピ!P:P,MATCH(テンプレート!$C698,使用レシピ!$E:$E,0))&lt;&gt;0,INDEX(使用レシピ!P:P,MATCH(テンプレート!$C698,使用レシピ!$E:$E,0)),""),"")</f>
        <v/>
      </c>
      <c r="J698" t="str">
        <f>IFERROR(IF(INDEX(使用レシピ!K:K,MATCH(テンプレート!$C698,使用レシピ!$E:$E,0))&lt;&gt;0,INDEX(使用レシピ!K:K,MATCH(テンプレート!$C698,使用レシピ!$E:$E,0)),""),"")</f>
        <v/>
      </c>
      <c r="K698" t="str">
        <f>IFERROR(IF(INDEX(使用レシピ!L:L,MATCH(テンプレート!$C698,使用レシピ!$E:$E,0))&lt;&gt;0,INDEX(使用レシピ!L:L,MATCH(テンプレート!$C698,使用レシピ!$E:$E,0)),""),"")</f>
        <v/>
      </c>
      <c r="L698" t="str">
        <f>IFERROR(IF(INDEX(使用レシピ!M:M,MATCH(テンプレート!$C698,使用レシピ!$E:$E,0))&lt;&gt;0,INDEX(使用レシピ!M:M,MATCH(テンプレート!$C698,使用レシピ!$E:$E,0)),""),"")</f>
        <v/>
      </c>
      <c r="M698" t="str">
        <f>IFERROR(IF(INDEX(使用レシピ!N:N,MATCH(テンプレート!$C698,使用レシピ!$E:$E,0))&lt;&gt;0,INDEX(使用レシピ!N:N,MATCH(テンプレート!$C698,使用レシピ!$E:$E,0)),""),"")</f>
        <v/>
      </c>
      <c r="N698" s="24" t="str">
        <f>IFERROR(IF(INDEX(使用レシピ!O:O,MATCH(テンプレート!$C698,使用レシピ!$E:$E,0))&lt;&gt;0,INDEX(使用レシピ!O:O,MATCH(テンプレート!$C698,使用レシピ!$E:$E,0)),""),"")</f>
        <v/>
      </c>
      <c r="O698" s="36" t="str">
        <f>IFERROR(IF(INDEX(使用レシピ!P:P,MATCH(テンプレート!$C698,使用レシピ!$E:$E,0))&lt;&gt;0,INDEX(使用レシピ!P:P,MATCH(テンプレート!$C698,使用レシピ!$E:$E,0)),""),"")</f>
        <v/>
      </c>
      <c r="P698" t="str">
        <f t="shared" si="56"/>
        <v/>
      </c>
      <c r="Q698" t="str">
        <f t="shared" si="57"/>
        <v/>
      </c>
      <c r="R698" t="str">
        <f t="shared" si="58"/>
        <v/>
      </c>
      <c r="S698" t="str">
        <f t="shared" si="59"/>
        <v/>
      </c>
      <c r="T698" s="24" t="str">
        <f t="shared" si="60"/>
        <v/>
      </c>
    </row>
    <row r="699" spans="2:20" x14ac:dyDescent="0.4">
      <c r="B699" s="49" t="str" cm="1">
        <f t="array" ref="B699">IFERROR((INDEX($P$4:$T$1000,MATCH(VALUE(LEFT($A699,LEN($A699)-1)),$A$4:$A$1000,0),VALUE(RIGHT($A699,1)))/ INDEX($O$4:$O$1000,MATCH(VALUE(LEFT($A699,LEN($A699)-1)),$A$4:$A$1000))) * INDEX($B$4:$B$1000,MATCH(VALUE(LEFT($A699,LEN($A699)-1)),$A$4:$A$1000)),"")</f>
        <v/>
      </c>
      <c r="C699" s="2" t="str" cm="1">
        <f t="array" ref="C699">IFERROR(IF(INDEX($D$4:$H$1000,MATCH(VALUE(LEFT($A699,LEN($A699)-1)),$A$4:$A$1000,0),VALUE(RIGHT($A699,1)))= 0,"",INDEX($D$4:$H$1000,MATCH(VALUE(LEFT($A699,LEN($A699)-1)),$A$4:$A$1000,0),VALUE(RIGHT($A699,1)))),"")</f>
        <v/>
      </c>
      <c r="D699" s="23" t="str">
        <f>IFERROR(IF(INDEX(使用レシピ!F:F,MATCH(テンプレート!$C699,使用レシピ!$E:$E,0))&lt;&gt;0,INDEX(使用レシピ!F:F,MATCH(テンプレート!$C699,使用レシピ!$E:$E,0)),""),"")</f>
        <v/>
      </c>
      <c r="E699" t="str">
        <f>IFERROR(IF(INDEX(使用レシピ!G:G,MATCH(テンプレート!$C699,使用レシピ!$E:$E,0))&lt;&gt;0,INDEX(使用レシピ!G:G,MATCH(テンプレート!$C699,使用レシピ!$E:$E,0)),""),"")</f>
        <v/>
      </c>
      <c r="F699" t="str">
        <f>IFERROR(IF(INDEX(使用レシピ!H:H,MATCH(テンプレート!$C699,使用レシピ!$E:$E,0))&lt;&gt;0,INDEX(使用レシピ!H:H,MATCH(テンプレート!$C699,使用レシピ!$E:$E,0)),""),"")</f>
        <v/>
      </c>
      <c r="G699" t="str">
        <f>IFERROR(IF(INDEX(使用レシピ!I:I,MATCH(テンプレート!$C699,使用レシピ!$E:$E,0))&lt;&gt;0,INDEX(使用レシピ!I:I,MATCH(テンプレート!$C699,使用レシピ!$E:$E,0)),""),"")</f>
        <v/>
      </c>
      <c r="H699" s="24" t="str">
        <f>IFERROR(IF(INDEX(使用レシピ!J:J,MATCH(テンプレート!$C699,使用レシピ!$E:$E,0))&lt;&gt;0,INDEX(使用レシピ!J:J,MATCH(テンプレート!$C699,使用レシピ!$E:$E,0)),""),"")</f>
        <v/>
      </c>
      <c r="I699" s="36" t="str">
        <f>IFERROR(IF(INDEX(使用レシピ!P:P,MATCH(テンプレート!$C699,使用レシピ!$E:$E,0))&lt;&gt;0,INDEX(使用レシピ!P:P,MATCH(テンプレート!$C699,使用レシピ!$E:$E,0)),""),"")</f>
        <v/>
      </c>
      <c r="J699" t="str">
        <f>IFERROR(IF(INDEX(使用レシピ!K:K,MATCH(テンプレート!$C699,使用レシピ!$E:$E,0))&lt;&gt;0,INDEX(使用レシピ!K:K,MATCH(テンプレート!$C699,使用レシピ!$E:$E,0)),""),"")</f>
        <v/>
      </c>
      <c r="K699" t="str">
        <f>IFERROR(IF(INDEX(使用レシピ!L:L,MATCH(テンプレート!$C699,使用レシピ!$E:$E,0))&lt;&gt;0,INDEX(使用レシピ!L:L,MATCH(テンプレート!$C699,使用レシピ!$E:$E,0)),""),"")</f>
        <v/>
      </c>
      <c r="L699" t="str">
        <f>IFERROR(IF(INDEX(使用レシピ!M:M,MATCH(テンプレート!$C699,使用レシピ!$E:$E,0))&lt;&gt;0,INDEX(使用レシピ!M:M,MATCH(テンプレート!$C699,使用レシピ!$E:$E,0)),""),"")</f>
        <v/>
      </c>
      <c r="M699" t="str">
        <f>IFERROR(IF(INDEX(使用レシピ!N:N,MATCH(テンプレート!$C699,使用レシピ!$E:$E,0))&lt;&gt;0,INDEX(使用レシピ!N:N,MATCH(テンプレート!$C699,使用レシピ!$E:$E,0)),""),"")</f>
        <v/>
      </c>
      <c r="N699" s="24" t="str">
        <f>IFERROR(IF(INDEX(使用レシピ!O:O,MATCH(テンプレート!$C699,使用レシピ!$E:$E,0))&lt;&gt;0,INDEX(使用レシピ!O:O,MATCH(テンプレート!$C699,使用レシピ!$E:$E,0)),""),"")</f>
        <v/>
      </c>
      <c r="O699" s="36" t="str">
        <f>IFERROR(IF(INDEX(使用レシピ!P:P,MATCH(テンプレート!$C699,使用レシピ!$E:$E,0))&lt;&gt;0,INDEX(使用レシピ!P:P,MATCH(テンプレート!$C699,使用レシピ!$E:$E,0)),""),"")</f>
        <v/>
      </c>
      <c r="P699" t="str">
        <f t="shared" si="56"/>
        <v/>
      </c>
      <c r="Q699" t="str">
        <f t="shared" si="57"/>
        <v/>
      </c>
      <c r="R699" t="str">
        <f t="shared" si="58"/>
        <v/>
      </c>
      <c r="S699" t="str">
        <f t="shared" si="59"/>
        <v/>
      </c>
      <c r="T699" s="24" t="str">
        <f t="shared" si="60"/>
        <v/>
      </c>
    </row>
    <row r="700" spans="2:20" x14ac:dyDescent="0.4">
      <c r="B700" s="49" t="str" cm="1">
        <f t="array" ref="B700">IFERROR((INDEX($P$4:$T$1000,MATCH(VALUE(LEFT($A700,LEN($A700)-1)),$A$4:$A$1000,0),VALUE(RIGHT($A700,1)))/ INDEX($O$4:$O$1000,MATCH(VALUE(LEFT($A700,LEN($A700)-1)),$A$4:$A$1000))) * INDEX($B$4:$B$1000,MATCH(VALUE(LEFT($A700,LEN($A700)-1)),$A$4:$A$1000)),"")</f>
        <v/>
      </c>
      <c r="C700" s="2" t="str" cm="1">
        <f t="array" ref="C700">IFERROR(IF(INDEX($D$4:$H$1000,MATCH(VALUE(LEFT($A700,LEN($A700)-1)),$A$4:$A$1000,0),VALUE(RIGHT($A700,1)))= 0,"",INDEX($D$4:$H$1000,MATCH(VALUE(LEFT($A700,LEN($A700)-1)),$A$4:$A$1000,0),VALUE(RIGHT($A700,1)))),"")</f>
        <v/>
      </c>
      <c r="D700" s="23" t="str">
        <f>IFERROR(IF(INDEX(使用レシピ!F:F,MATCH(テンプレート!$C700,使用レシピ!$E:$E,0))&lt;&gt;0,INDEX(使用レシピ!F:F,MATCH(テンプレート!$C700,使用レシピ!$E:$E,0)),""),"")</f>
        <v/>
      </c>
      <c r="E700" t="str">
        <f>IFERROR(IF(INDEX(使用レシピ!G:G,MATCH(テンプレート!$C700,使用レシピ!$E:$E,0))&lt;&gt;0,INDEX(使用レシピ!G:G,MATCH(テンプレート!$C700,使用レシピ!$E:$E,0)),""),"")</f>
        <v/>
      </c>
      <c r="F700" t="str">
        <f>IFERROR(IF(INDEX(使用レシピ!H:H,MATCH(テンプレート!$C700,使用レシピ!$E:$E,0))&lt;&gt;0,INDEX(使用レシピ!H:H,MATCH(テンプレート!$C700,使用レシピ!$E:$E,0)),""),"")</f>
        <v/>
      </c>
      <c r="G700" t="str">
        <f>IFERROR(IF(INDEX(使用レシピ!I:I,MATCH(テンプレート!$C700,使用レシピ!$E:$E,0))&lt;&gt;0,INDEX(使用レシピ!I:I,MATCH(テンプレート!$C700,使用レシピ!$E:$E,0)),""),"")</f>
        <v/>
      </c>
      <c r="H700" s="24" t="str">
        <f>IFERROR(IF(INDEX(使用レシピ!J:J,MATCH(テンプレート!$C700,使用レシピ!$E:$E,0))&lt;&gt;0,INDEX(使用レシピ!J:J,MATCH(テンプレート!$C700,使用レシピ!$E:$E,0)),""),"")</f>
        <v/>
      </c>
      <c r="I700" s="36" t="str">
        <f>IFERROR(IF(INDEX(使用レシピ!P:P,MATCH(テンプレート!$C700,使用レシピ!$E:$E,0))&lt;&gt;0,INDEX(使用レシピ!P:P,MATCH(テンプレート!$C700,使用レシピ!$E:$E,0)),""),"")</f>
        <v/>
      </c>
      <c r="J700" t="str">
        <f>IFERROR(IF(INDEX(使用レシピ!K:K,MATCH(テンプレート!$C700,使用レシピ!$E:$E,0))&lt;&gt;0,INDEX(使用レシピ!K:K,MATCH(テンプレート!$C700,使用レシピ!$E:$E,0)),""),"")</f>
        <v/>
      </c>
      <c r="K700" t="str">
        <f>IFERROR(IF(INDEX(使用レシピ!L:L,MATCH(テンプレート!$C700,使用レシピ!$E:$E,0))&lt;&gt;0,INDEX(使用レシピ!L:L,MATCH(テンプレート!$C700,使用レシピ!$E:$E,0)),""),"")</f>
        <v/>
      </c>
      <c r="L700" t="str">
        <f>IFERROR(IF(INDEX(使用レシピ!M:M,MATCH(テンプレート!$C700,使用レシピ!$E:$E,0))&lt;&gt;0,INDEX(使用レシピ!M:M,MATCH(テンプレート!$C700,使用レシピ!$E:$E,0)),""),"")</f>
        <v/>
      </c>
      <c r="M700" t="str">
        <f>IFERROR(IF(INDEX(使用レシピ!N:N,MATCH(テンプレート!$C700,使用レシピ!$E:$E,0))&lt;&gt;0,INDEX(使用レシピ!N:N,MATCH(テンプレート!$C700,使用レシピ!$E:$E,0)),""),"")</f>
        <v/>
      </c>
      <c r="N700" s="24" t="str">
        <f>IFERROR(IF(INDEX(使用レシピ!O:O,MATCH(テンプレート!$C700,使用レシピ!$E:$E,0))&lt;&gt;0,INDEX(使用レシピ!O:O,MATCH(テンプレート!$C700,使用レシピ!$E:$E,0)),""),"")</f>
        <v/>
      </c>
      <c r="O700" s="36" t="str">
        <f>IFERROR(IF(INDEX(使用レシピ!P:P,MATCH(テンプレート!$C700,使用レシピ!$E:$E,0))&lt;&gt;0,INDEX(使用レシピ!P:P,MATCH(テンプレート!$C700,使用レシピ!$E:$E,0)),""),"")</f>
        <v/>
      </c>
      <c r="P700" t="str">
        <f t="shared" si="56"/>
        <v/>
      </c>
      <c r="Q700" t="str">
        <f t="shared" si="57"/>
        <v/>
      </c>
      <c r="R700" t="str">
        <f t="shared" si="58"/>
        <v/>
      </c>
      <c r="S700" t="str">
        <f t="shared" si="59"/>
        <v/>
      </c>
      <c r="T700" s="24" t="str">
        <f t="shared" si="60"/>
        <v/>
      </c>
    </row>
    <row r="701" spans="2:20" x14ac:dyDescent="0.4">
      <c r="B701" s="49" t="str" cm="1">
        <f t="array" ref="B701">IFERROR((INDEX($P$4:$T$1000,MATCH(VALUE(LEFT($A701,LEN($A701)-1)),$A$4:$A$1000,0),VALUE(RIGHT($A701,1)))/ INDEX($O$4:$O$1000,MATCH(VALUE(LEFT($A701,LEN($A701)-1)),$A$4:$A$1000))) * INDEX($B$4:$B$1000,MATCH(VALUE(LEFT($A701,LEN($A701)-1)),$A$4:$A$1000)),"")</f>
        <v/>
      </c>
      <c r="C701" s="2" t="str" cm="1">
        <f t="array" ref="C701">IFERROR(IF(INDEX($D$4:$H$1000,MATCH(VALUE(LEFT($A701,LEN($A701)-1)),$A$4:$A$1000,0),VALUE(RIGHT($A701,1)))= 0,"",INDEX($D$4:$H$1000,MATCH(VALUE(LEFT($A701,LEN($A701)-1)),$A$4:$A$1000,0),VALUE(RIGHT($A701,1)))),"")</f>
        <v/>
      </c>
      <c r="D701" s="23" t="str">
        <f>IFERROR(IF(INDEX(使用レシピ!F:F,MATCH(テンプレート!$C701,使用レシピ!$E:$E,0))&lt;&gt;0,INDEX(使用レシピ!F:F,MATCH(テンプレート!$C701,使用レシピ!$E:$E,0)),""),"")</f>
        <v/>
      </c>
      <c r="E701" t="str">
        <f>IFERROR(IF(INDEX(使用レシピ!G:G,MATCH(テンプレート!$C701,使用レシピ!$E:$E,0))&lt;&gt;0,INDEX(使用レシピ!G:G,MATCH(テンプレート!$C701,使用レシピ!$E:$E,0)),""),"")</f>
        <v/>
      </c>
      <c r="F701" t="str">
        <f>IFERROR(IF(INDEX(使用レシピ!H:H,MATCH(テンプレート!$C701,使用レシピ!$E:$E,0))&lt;&gt;0,INDEX(使用レシピ!H:H,MATCH(テンプレート!$C701,使用レシピ!$E:$E,0)),""),"")</f>
        <v/>
      </c>
      <c r="G701" t="str">
        <f>IFERROR(IF(INDEX(使用レシピ!I:I,MATCH(テンプレート!$C701,使用レシピ!$E:$E,0))&lt;&gt;0,INDEX(使用レシピ!I:I,MATCH(テンプレート!$C701,使用レシピ!$E:$E,0)),""),"")</f>
        <v/>
      </c>
      <c r="H701" s="24" t="str">
        <f>IFERROR(IF(INDEX(使用レシピ!J:J,MATCH(テンプレート!$C701,使用レシピ!$E:$E,0))&lt;&gt;0,INDEX(使用レシピ!J:J,MATCH(テンプレート!$C701,使用レシピ!$E:$E,0)),""),"")</f>
        <v/>
      </c>
      <c r="I701" s="36" t="str">
        <f>IFERROR(IF(INDEX(使用レシピ!P:P,MATCH(テンプレート!$C701,使用レシピ!$E:$E,0))&lt;&gt;0,INDEX(使用レシピ!P:P,MATCH(テンプレート!$C701,使用レシピ!$E:$E,0)),""),"")</f>
        <v/>
      </c>
      <c r="J701" t="str">
        <f>IFERROR(IF(INDEX(使用レシピ!K:K,MATCH(テンプレート!$C701,使用レシピ!$E:$E,0))&lt;&gt;0,INDEX(使用レシピ!K:K,MATCH(テンプレート!$C701,使用レシピ!$E:$E,0)),""),"")</f>
        <v/>
      </c>
      <c r="K701" t="str">
        <f>IFERROR(IF(INDEX(使用レシピ!L:L,MATCH(テンプレート!$C701,使用レシピ!$E:$E,0))&lt;&gt;0,INDEX(使用レシピ!L:L,MATCH(テンプレート!$C701,使用レシピ!$E:$E,0)),""),"")</f>
        <v/>
      </c>
      <c r="L701" t="str">
        <f>IFERROR(IF(INDEX(使用レシピ!M:M,MATCH(テンプレート!$C701,使用レシピ!$E:$E,0))&lt;&gt;0,INDEX(使用レシピ!M:M,MATCH(テンプレート!$C701,使用レシピ!$E:$E,0)),""),"")</f>
        <v/>
      </c>
      <c r="M701" t="str">
        <f>IFERROR(IF(INDEX(使用レシピ!N:N,MATCH(テンプレート!$C701,使用レシピ!$E:$E,0))&lt;&gt;0,INDEX(使用レシピ!N:N,MATCH(テンプレート!$C701,使用レシピ!$E:$E,0)),""),"")</f>
        <v/>
      </c>
      <c r="N701" s="24" t="str">
        <f>IFERROR(IF(INDEX(使用レシピ!O:O,MATCH(テンプレート!$C701,使用レシピ!$E:$E,0))&lt;&gt;0,INDEX(使用レシピ!O:O,MATCH(テンプレート!$C701,使用レシピ!$E:$E,0)),""),"")</f>
        <v/>
      </c>
      <c r="O701" s="36" t="str">
        <f>IFERROR(IF(INDEX(使用レシピ!P:P,MATCH(テンプレート!$C701,使用レシピ!$E:$E,0))&lt;&gt;0,INDEX(使用レシピ!P:P,MATCH(テンプレート!$C701,使用レシピ!$E:$E,0)),""),"")</f>
        <v/>
      </c>
      <c r="P701" t="str">
        <f t="shared" si="56"/>
        <v/>
      </c>
      <c r="Q701" t="str">
        <f t="shared" si="57"/>
        <v/>
      </c>
      <c r="R701" t="str">
        <f t="shared" si="58"/>
        <v/>
      </c>
      <c r="S701" t="str">
        <f t="shared" si="59"/>
        <v/>
      </c>
      <c r="T701" s="24" t="str">
        <f t="shared" si="60"/>
        <v/>
      </c>
    </row>
    <row r="702" spans="2:20" x14ac:dyDescent="0.4">
      <c r="B702" s="49" t="str" cm="1">
        <f t="array" ref="B702">IFERROR((INDEX($P$4:$T$1000,MATCH(VALUE(LEFT($A702,LEN($A702)-1)),$A$4:$A$1000,0),VALUE(RIGHT($A702,1)))/ INDEX($O$4:$O$1000,MATCH(VALUE(LEFT($A702,LEN($A702)-1)),$A$4:$A$1000))) * INDEX($B$4:$B$1000,MATCH(VALUE(LEFT($A702,LEN($A702)-1)),$A$4:$A$1000)),"")</f>
        <v/>
      </c>
      <c r="C702" s="2" t="str" cm="1">
        <f t="array" ref="C702">IFERROR(IF(INDEX($D$4:$H$1000,MATCH(VALUE(LEFT($A702,LEN($A702)-1)),$A$4:$A$1000,0),VALUE(RIGHT($A702,1)))= 0,"",INDEX($D$4:$H$1000,MATCH(VALUE(LEFT($A702,LEN($A702)-1)),$A$4:$A$1000,0),VALUE(RIGHT($A702,1)))),"")</f>
        <v/>
      </c>
      <c r="D702" s="23" t="str">
        <f>IFERROR(IF(INDEX(使用レシピ!F:F,MATCH(テンプレート!$C702,使用レシピ!$E:$E,0))&lt;&gt;0,INDEX(使用レシピ!F:F,MATCH(テンプレート!$C702,使用レシピ!$E:$E,0)),""),"")</f>
        <v/>
      </c>
      <c r="E702" t="str">
        <f>IFERROR(IF(INDEX(使用レシピ!G:G,MATCH(テンプレート!$C702,使用レシピ!$E:$E,0))&lt;&gt;0,INDEX(使用レシピ!G:G,MATCH(テンプレート!$C702,使用レシピ!$E:$E,0)),""),"")</f>
        <v/>
      </c>
      <c r="F702" t="str">
        <f>IFERROR(IF(INDEX(使用レシピ!H:H,MATCH(テンプレート!$C702,使用レシピ!$E:$E,0))&lt;&gt;0,INDEX(使用レシピ!H:H,MATCH(テンプレート!$C702,使用レシピ!$E:$E,0)),""),"")</f>
        <v/>
      </c>
      <c r="G702" t="str">
        <f>IFERROR(IF(INDEX(使用レシピ!I:I,MATCH(テンプレート!$C702,使用レシピ!$E:$E,0))&lt;&gt;0,INDEX(使用レシピ!I:I,MATCH(テンプレート!$C702,使用レシピ!$E:$E,0)),""),"")</f>
        <v/>
      </c>
      <c r="H702" s="24" t="str">
        <f>IFERROR(IF(INDEX(使用レシピ!J:J,MATCH(テンプレート!$C702,使用レシピ!$E:$E,0))&lt;&gt;0,INDEX(使用レシピ!J:J,MATCH(テンプレート!$C702,使用レシピ!$E:$E,0)),""),"")</f>
        <v/>
      </c>
      <c r="I702" s="36" t="str">
        <f>IFERROR(IF(INDEX(使用レシピ!P:P,MATCH(テンプレート!$C702,使用レシピ!$E:$E,0))&lt;&gt;0,INDEX(使用レシピ!P:P,MATCH(テンプレート!$C702,使用レシピ!$E:$E,0)),""),"")</f>
        <v/>
      </c>
      <c r="J702" t="str">
        <f>IFERROR(IF(INDEX(使用レシピ!K:K,MATCH(テンプレート!$C702,使用レシピ!$E:$E,0))&lt;&gt;0,INDEX(使用レシピ!K:K,MATCH(テンプレート!$C702,使用レシピ!$E:$E,0)),""),"")</f>
        <v/>
      </c>
      <c r="K702" t="str">
        <f>IFERROR(IF(INDEX(使用レシピ!L:L,MATCH(テンプレート!$C702,使用レシピ!$E:$E,0))&lt;&gt;0,INDEX(使用レシピ!L:L,MATCH(テンプレート!$C702,使用レシピ!$E:$E,0)),""),"")</f>
        <v/>
      </c>
      <c r="L702" t="str">
        <f>IFERROR(IF(INDEX(使用レシピ!M:M,MATCH(テンプレート!$C702,使用レシピ!$E:$E,0))&lt;&gt;0,INDEX(使用レシピ!M:M,MATCH(テンプレート!$C702,使用レシピ!$E:$E,0)),""),"")</f>
        <v/>
      </c>
      <c r="M702" t="str">
        <f>IFERROR(IF(INDEX(使用レシピ!N:N,MATCH(テンプレート!$C702,使用レシピ!$E:$E,0))&lt;&gt;0,INDEX(使用レシピ!N:N,MATCH(テンプレート!$C702,使用レシピ!$E:$E,0)),""),"")</f>
        <v/>
      </c>
      <c r="N702" s="24" t="str">
        <f>IFERROR(IF(INDEX(使用レシピ!O:O,MATCH(テンプレート!$C702,使用レシピ!$E:$E,0))&lt;&gt;0,INDEX(使用レシピ!O:O,MATCH(テンプレート!$C702,使用レシピ!$E:$E,0)),""),"")</f>
        <v/>
      </c>
      <c r="O702" s="36" t="str">
        <f>IFERROR(IF(INDEX(使用レシピ!P:P,MATCH(テンプレート!$C702,使用レシピ!$E:$E,0))&lt;&gt;0,INDEX(使用レシピ!P:P,MATCH(テンプレート!$C702,使用レシピ!$E:$E,0)),""),"")</f>
        <v/>
      </c>
      <c r="P702" t="str">
        <f t="shared" si="56"/>
        <v/>
      </c>
      <c r="Q702" t="str">
        <f t="shared" si="57"/>
        <v/>
      </c>
      <c r="R702" t="str">
        <f t="shared" si="58"/>
        <v/>
      </c>
      <c r="S702" t="str">
        <f t="shared" si="59"/>
        <v/>
      </c>
      <c r="T702" s="24" t="str">
        <f t="shared" si="60"/>
        <v/>
      </c>
    </row>
    <row r="703" spans="2:20" x14ac:dyDescent="0.4">
      <c r="B703" s="49" t="str" cm="1">
        <f t="array" ref="B703">IFERROR((INDEX($P$4:$T$1000,MATCH(VALUE(LEFT($A703,LEN($A703)-1)),$A$4:$A$1000,0),VALUE(RIGHT($A703,1)))/ INDEX($O$4:$O$1000,MATCH(VALUE(LEFT($A703,LEN($A703)-1)),$A$4:$A$1000))) * INDEX($B$4:$B$1000,MATCH(VALUE(LEFT($A703,LEN($A703)-1)),$A$4:$A$1000)),"")</f>
        <v/>
      </c>
      <c r="C703" s="2" t="str" cm="1">
        <f t="array" ref="C703">IFERROR(IF(INDEX($D$4:$H$1000,MATCH(VALUE(LEFT($A703,LEN($A703)-1)),$A$4:$A$1000,0),VALUE(RIGHT($A703,1)))= 0,"",INDEX($D$4:$H$1000,MATCH(VALUE(LEFT($A703,LEN($A703)-1)),$A$4:$A$1000,0),VALUE(RIGHT($A703,1)))),"")</f>
        <v/>
      </c>
      <c r="D703" s="23" t="str">
        <f>IFERROR(IF(INDEX(使用レシピ!F:F,MATCH(テンプレート!$C703,使用レシピ!$E:$E,0))&lt;&gt;0,INDEX(使用レシピ!F:F,MATCH(テンプレート!$C703,使用レシピ!$E:$E,0)),""),"")</f>
        <v/>
      </c>
      <c r="E703" t="str">
        <f>IFERROR(IF(INDEX(使用レシピ!G:G,MATCH(テンプレート!$C703,使用レシピ!$E:$E,0))&lt;&gt;0,INDEX(使用レシピ!G:G,MATCH(テンプレート!$C703,使用レシピ!$E:$E,0)),""),"")</f>
        <v/>
      </c>
      <c r="F703" t="str">
        <f>IFERROR(IF(INDEX(使用レシピ!H:H,MATCH(テンプレート!$C703,使用レシピ!$E:$E,0))&lt;&gt;0,INDEX(使用レシピ!H:H,MATCH(テンプレート!$C703,使用レシピ!$E:$E,0)),""),"")</f>
        <v/>
      </c>
      <c r="G703" t="str">
        <f>IFERROR(IF(INDEX(使用レシピ!I:I,MATCH(テンプレート!$C703,使用レシピ!$E:$E,0))&lt;&gt;0,INDEX(使用レシピ!I:I,MATCH(テンプレート!$C703,使用レシピ!$E:$E,0)),""),"")</f>
        <v/>
      </c>
      <c r="H703" s="24" t="str">
        <f>IFERROR(IF(INDEX(使用レシピ!J:J,MATCH(テンプレート!$C703,使用レシピ!$E:$E,0))&lt;&gt;0,INDEX(使用レシピ!J:J,MATCH(テンプレート!$C703,使用レシピ!$E:$E,0)),""),"")</f>
        <v/>
      </c>
      <c r="I703" s="36" t="str">
        <f>IFERROR(IF(INDEX(使用レシピ!P:P,MATCH(テンプレート!$C703,使用レシピ!$E:$E,0))&lt;&gt;0,INDEX(使用レシピ!P:P,MATCH(テンプレート!$C703,使用レシピ!$E:$E,0)),""),"")</f>
        <v/>
      </c>
      <c r="J703" t="str">
        <f>IFERROR(IF(INDEX(使用レシピ!K:K,MATCH(テンプレート!$C703,使用レシピ!$E:$E,0))&lt;&gt;0,INDEX(使用レシピ!K:K,MATCH(テンプレート!$C703,使用レシピ!$E:$E,0)),""),"")</f>
        <v/>
      </c>
      <c r="K703" t="str">
        <f>IFERROR(IF(INDEX(使用レシピ!L:L,MATCH(テンプレート!$C703,使用レシピ!$E:$E,0))&lt;&gt;0,INDEX(使用レシピ!L:L,MATCH(テンプレート!$C703,使用レシピ!$E:$E,0)),""),"")</f>
        <v/>
      </c>
      <c r="L703" t="str">
        <f>IFERROR(IF(INDEX(使用レシピ!M:M,MATCH(テンプレート!$C703,使用レシピ!$E:$E,0))&lt;&gt;0,INDEX(使用レシピ!M:M,MATCH(テンプレート!$C703,使用レシピ!$E:$E,0)),""),"")</f>
        <v/>
      </c>
      <c r="M703" t="str">
        <f>IFERROR(IF(INDEX(使用レシピ!N:N,MATCH(テンプレート!$C703,使用レシピ!$E:$E,0))&lt;&gt;0,INDEX(使用レシピ!N:N,MATCH(テンプレート!$C703,使用レシピ!$E:$E,0)),""),"")</f>
        <v/>
      </c>
      <c r="N703" s="24" t="str">
        <f>IFERROR(IF(INDEX(使用レシピ!O:O,MATCH(テンプレート!$C703,使用レシピ!$E:$E,0))&lt;&gt;0,INDEX(使用レシピ!O:O,MATCH(テンプレート!$C703,使用レシピ!$E:$E,0)),""),"")</f>
        <v/>
      </c>
      <c r="O703" s="36" t="str">
        <f>IFERROR(IF(INDEX(使用レシピ!P:P,MATCH(テンプレート!$C703,使用レシピ!$E:$E,0))&lt;&gt;0,INDEX(使用レシピ!P:P,MATCH(テンプレート!$C703,使用レシピ!$E:$E,0)),""),"")</f>
        <v/>
      </c>
      <c r="P703" t="str">
        <f t="shared" si="56"/>
        <v/>
      </c>
      <c r="Q703" t="str">
        <f t="shared" si="57"/>
        <v/>
      </c>
      <c r="R703" t="str">
        <f t="shared" si="58"/>
        <v/>
      </c>
      <c r="S703" t="str">
        <f t="shared" si="59"/>
        <v/>
      </c>
      <c r="T703" s="24" t="str">
        <f t="shared" si="60"/>
        <v/>
      </c>
    </row>
    <row r="704" spans="2:20" x14ac:dyDescent="0.4">
      <c r="B704" s="49" t="str" cm="1">
        <f t="array" ref="B704">IFERROR((INDEX($P$4:$T$1000,MATCH(VALUE(LEFT($A704,LEN($A704)-1)),$A$4:$A$1000,0),VALUE(RIGHT($A704,1)))/ INDEX($O$4:$O$1000,MATCH(VALUE(LEFT($A704,LEN($A704)-1)),$A$4:$A$1000))) * INDEX($B$4:$B$1000,MATCH(VALUE(LEFT($A704,LEN($A704)-1)),$A$4:$A$1000)),"")</f>
        <v/>
      </c>
      <c r="C704" s="2" t="str" cm="1">
        <f t="array" ref="C704">IFERROR(IF(INDEX($D$4:$H$1000,MATCH(VALUE(LEFT($A704,LEN($A704)-1)),$A$4:$A$1000,0),VALUE(RIGHT($A704,1)))= 0,"",INDEX($D$4:$H$1000,MATCH(VALUE(LEFT($A704,LEN($A704)-1)),$A$4:$A$1000,0),VALUE(RIGHT($A704,1)))),"")</f>
        <v/>
      </c>
      <c r="D704" s="23" t="str">
        <f>IFERROR(IF(INDEX(使用レシピ!F:F,MATCH(テンプレート!$C704,使用レシピ!$E:$E,0))&lt;&gt;0,INDEX(使用レシピ!F:F,MATCH(テンプレート!$C704,使用レシピ!$E:$E,0)),""),"")</f>
        <v/>
      </c>
      <c r="E704" t="str">
        <f>IFERROR(IF(INDEX(使用レシピ!G:G,MATCH(テンプレート!$C704,使用レシピ!$E:$E,0))&lt;&gt;0,INDEX(使用レシピ!G:G,MATCH(テンプレート!$C704,使用レシピ!$E:$E,0)),""),"")</f>
        <v/>
      </c>
      <c r="F704" t="str">
        <f>IFERROR(IF(INDEX(使用レシピ!H:H,MATCH(テンプレート!$C704,使用レシピ!$E:$E,0))&lt;&gt;0,INDEX(使用レシピ!H:H,MATCH(テンプレート!$C704,使用レシピ!$E:$E,0)),""),"")</f>
        <v/>
      </c>
      <c r="G704" t="str">
        <f>IFERROR(IF(INDEX(使用レシピ!I:I,MATCH(テンプレート!$C704,使用レシピ!$E:$E,0))&lt;&gt;0,INDEX(使用レシピ!I:I,MATCH(テンプレート!$C704,使用レシピ!$E:$E,0)),""),"")</f>
        <v/>
      </c>
      <c r="H704" s="24" t="str">
        <f>IFERROR(IF(INDEX(使用レシピ!J:J,MATCH(テンプレート!$C704,使用レシピ!$E:$E,0))&lt;&gt;0,INDEX(使用レシピ!J:J,MATCH(テンプレート!$C704,使用レシピ!$E:$E,0)),""),"")</f>
        <v/>
      </c>
      <c r="I704" s="36" t="str">
        <f>IFERROR(IF(INDEX(使用レシピ!P:P,MATCH(テンプレート!$C704,使用レシピ!$E:$E,0))&lt;&gt;0,INDEX(使用レシピ!P:P,MATCH(テンプレート!$C704,使用レシピ!$E:$E,0)),""),"")</f>
        <v/>
      </c>
      <c r="J704" t="str">
        <f>IFERROR(IF(INDEX(使用レシピ!K:K,MATCH(テンプレート!$C704,使用レシピ!$E:$E,0))&lt;&gt;0,INDEX(使用レシピ!K:K,MATCH(テンプレート!$C704,使用レシピ!$E:$E,0)),""),"")</f>
        <v/>
      </c>
      <c r="K704" t="str">
        <f>IFERROR(IF(INDEX(使用レシピ!L:L,MATCH(テンプレート!$C704,使用レシピ!$E:$E,0))&lt;&gt;0,INDEX(使用レシピ!L:L,MATCH(テンプレート!$C704,使用レシピ!$E:$E,0)),""),"")</f>
        <v/>
      </c>
      <c r="L704" t="str">
        <f>IFERROR(IF(INDEX(使用レシピ!M:M,MATCH(テンプレート!$C704,使用レシピ!$E:$E,0))&lt;&gt;0,INDEX(使用レシピ!M:M,MATCH(テンプレート!$C704,使用レシピ!$E:$E,0)),""),"")</f>
        <v/>
      </c>
      <c r="M704" t="str">
        <f>IFERROR(IF(INDEX(使用レシピ!N:N,MATCH(テンプレート!$C704,使用レシピ!$E:$E,0))&lt;&gt;0,INDEX(使用レシピ!N:N,MATCH(テンプレート!$C704,使用レシピ!$E:$E,0)),""),"")</f>
        <v/>
      </c>
      <c r="N704" s="24" t="str">
        <f>IFERROR(IF(INDEX(使用レシピ!O:O,MATCH(テンプレート!$C704,使用レシピ!$E:$E,0))&lt;&gt;0,INDEX(使用レシピ!O:O,MATCH(テンプレート!$C704,使用レシピ!$E:$E,0)),""),"")</f>
        <v/>
      </c>
      <c r="O704" s="36" t="str">
        <f>IFERROR(IF(INDEX(使用レシピ!P:P,MATCH(テンプレート!$C704,使用レシピ!$E:$E,0))&lt;&gt;0,INDEX(使用レシピ!P:P,MATCH(テンプレート!$C704,使用レシピ!$E:$E,0)),""),"")</f>
        <v/>
      </c>
      <c r="P704" t="str">
        <f t="shared" si="56"/>
        <v/>
      </c>
      <c r="Q704" t="str">
        <f t="shared" si="57"/>
        <v/>
      </c>
      <c r="R704" t="str">
        <f t="shared" si="58"/>
        <v/>
      </c>
      <c r="S704" t="str">
        <f t="shared" si="59"/>
        <v/>
      </c>
      <c r="T704" s="24" t="str">
        <f t="shared" si="60"/>
        <v/>
      </c>
    </row>
    <row r="705" spans="2:20" x14ac:dyDescent="0.4">
      <c r="B705" s="49" t="str" cm="1">
        <f t="array" ref="B705">IFERROR((INDEX($P$4:$T$1000,MATCH(VALUE(LEFT($A705,LEN($A705)-1)),$A$4:$A$1000,0),VALUE(RIGHT($A705,1)))/ INDEX($O$4:$O$1000,MATCH(VALUE(LEFT($A705,LEN($A705)-1)),$A$4:$A$1000))) * INDEX($B$4:$B$1000,MATCH(VALUE(LEFT($A705,LEN($A705)-1)),$A$4:$A$1000)),"")</f>
        <v/>
      </c>
      <c r="C705" s="2" t="str" cm="1">
        <f t="array" ref="C705">IFERROR(IF(INDEX($D$4:$H$1000,MATCH(VALUE(LEFT($A705,LEN($A705)-1)),$A$4:$A$1000,0),VALUE(RIGHT($A705,1)))= 0,"",INDEX($D$4:$H$1000,MATCH(VALUE(LEFT($A705,LEN($A705)-1)),$A$4:$A$1000,0),VALUE(RIGHT($A705,1)))),"")</f>
        <v/>
      </c>
      <c r="D705" s="23" t="str">
        <f>IFERROR(IF(INDEX(使用レシピ!F:F,MATCH(テンプレート!$C705,使用レシピ!$E:$E,0))&lt;&gt;0,INDEX(使用レシピ!F:F,MATCH(テンプレート!$C705,使用レシピ!$E:$E,0)),""),"")</f>
        <v/>
      </c>
      <c r="E705" t="str">
        <f>IFERROR(IF(INDEX(使用レシピ!G:G,MATCH(テンプレート!$C705,使用レシピ!$E:$E,0))&lt;&gt;0,INDEX(使用レシピ!G:G,MATCH(テンプレート!$C705,使用レシピ!$E:$E,0)),""),"")</f>
        <v/>
      </c>
      <c r="F705" t="str">
        <f>IFERROR(IF(INDEX(使用レシピ!H:H,MATCH(テンプレート!$C705,使用レシピ!$E:$E,0))&lt;&gt;0,INDEX(使用レシピ!H:H,MATCH(テンプレート!$C705,使用レシピ!$E:$E,0)),""),"")</f>
        <v/>
      </c>
      <c r="G705" t="str">
        <f>IFERROR(IF(INDEX(使用レシピ!I:I,MATCH(テンプレート!$C705,使用レシピ!$E:$E,0))&lt;&gt;0,INDEX(使用レシピ!I:I,MATCH(テンプレート!$C705,使用レシピ!$E:$E,0)),""),"")</f>
        <v/>
      </c>
      <c r="H705" s="24" t="str">
        <f>IFERROR(IF(INDEX(使用レシピ!J:J,MATCH(テンプレート!$C705,使用レシピ!$E:$E,0))&lt;&gt;0,INDEX(使用レシピ!J:J,MATCH(テンプレート!$C705,使用レシピ!$E:$E,0)),""),"")</f>
        <v/>
      </c>
      <c r="I705" s="36" t="str">
        <f>IFERROR(IF(INDEX(使用レシピ!P:P,MATCH(テンプレート!$C705,使用レシピ!$E:$E,0))&lt;&gt;0,INDEX(使用レシピ!P:P,MATCH(テンプレート!$C705,使用レシピ!$E:$E,0)),""),"")</f>
        <v/>
      </c>
      <c r="J705" t="str">
        <f>IFERROR(IF(INDEX(使用レシピ!K:K,MATCH(テンプレート!$C705,使用レシピ!$E:$E,0))&lt;&gt;0,INDEX(使用レシピ!K:K,MATCH(テンプレート!$C705,使用レシピ!$E:$E,0)),""),"")</f>
        <v/>
      </c>
      <c r="K705" t="str">
        <f>IFERROR(IF(INDEX(使用レシピ!L:L,MATCH(テンプレート!$C705,使用レシピ!$E:$E,0))&lt;&gt;0,INDEX(使用レシピ!L:L,MATCH(テンプレート!$C705,使用レシピ!$E:$E,0)),""),"")</f>
        <v/>
      </c>
      <c r="L705" t="str">
        <f>IFERROR(IF(INDEX(使用レシピ!M:M,MATCH(テンプレート!$C705,使用レシピ!$E:$E,0))&lt;&gt;0,INDEX(使用レシピ!M:M,MATCH(テンプレート!$C705,使用レシピ!$E:$E,0)),""),"")</f>
        <v/>
      </c>
      <c r="M705" t="str">
        <f>IFERROR(IF(INDEX(使用レシピ!N:N,MATCH(テンプレート!$C705,使用レシピ!$E:$E,0))&lt;&gt;0,INDEX(使用レシピ!N:N,MATCH(テンプレート!$C705,使用レシピ!$E:$E,0)),""),"")</f>
        <v/>
      </c>
      <c r="N705" s="24" t="str">
        <f>IFERROR(IF(INDEX(使用レシピ!O:O,MATCH(テンプレート!$C705,使用レシピ!$E:$E,0))&lt;&gt;0,INDEX(使用レシピ!O:O,MATCH(テンプレート!$C705,使用レシピ!$E:$E,0)),""),"")</f>
        <v/>
      </c>
      <c r="O705" s="36" t="str">
        <f>IFERROR(IF(INDEX(使用レシピ!P:P,MATCH(テンプレート!$C705,使用レシピ!$E:$E,0))&lt;&gt;0,INDEX(使用レシピ!P:P,MATCH(テンプレート!$C705,使用レシピ!$E:$E,0)),""),"")</f>
        <v/>
      </c>
      <c r="P705" t="str">
        <f t="shared" si="56"/>
        <v/>
      </c>
      <c r="Q705" t="str">
        <f t="shared" si="57"/>
        <v/>
      </c>
      <c r="R705" t="str">
        <f t="shared" si="58"/>
        <v/>
      </c>
      <c r="S705" t="str">
        <f t="shared" si="59"/>
        <v/>
      </c>
      <c r="T705" s="24" t="str">
        <f t="shared" si="60"/>
        <v/>
      </c>
    </row>
    <row r="706" spans="2:20" x14ac:dyDescent="0.4">
      <c r="B706" s="49" t="str" cm="1">
        <f t="array" ref="B706">IFERROR((INDEX($P$4:$T$1000,MATCH(VALUE(LEFT($A706,LEN($A706)-1)),$A$4:$A$1000,0),VALUE(RIGHT($A706,1)))/ INDEX($O$4:$O$1000,MATCH(VALUE(LEFT($A706,LEN($A706)-1)),$A$4:$A$1000))) * INDEX($B$4:$B$1000,MATCH(VALUE(LEFT($A706,LEN($A706)-1)),$A$4:$A$1000)),"")</f>
        <v/>
      </c>
      <c r="C706" s="2" t="str" cm="1">
        <f t="array" ref="C706">IFERROR(IF(INDEX($D$4:$H$1000,MATCH(VALUE(LEFT($A706,LEN($A706)-1)),$A$4:$A$1000,0),VALUE(RIGHT($A706,1)))= 0,"",INDEX($D$4:$H$1000,MATCH(VALUE(LEFT($A706,LEN($A706)-1)),$A$4:$A$1000,0),VALUE(RIGHT($A706,1)))),"")</f>
        <v/>
      </c>
      <c r="D706" s="23" t="str">
        <f>IFERROR(IF(INDEX(使用レシピ!F:F,MATCH(テンプレート!$C706,使用レシピ!$E:$E,0))&lt;&gt;0,INDEX(使用レシピ!F:F,MATCH(テンプレート!$C706,使用レシピ!$E:$E,0)),""),"")</f>
        <v/>
      </c>
      <c r="E706" t="str">
        <f>IFERROR(IF(INDEX(使用レシピ!G:G,MATCH(テンプレート!$C706,使用レシピ!$E:$E,0))&lt;&gt;0,INDEX(使用レシピ!G:G,MATCH(テンプレート!$C706,使用レシピ!$E:$E,0)),""),"")</f>
        <v/>
      </c>
      <c r="F706" t="str">
        <f>IFERROR(IF(INDEX(使用レシピ!H:H,MATCH(テンプレート!$C706,使用レシピ!$E:$E,0))&lt;&gt;0,INDEX(使用レシピ!H:H,MATCH(テンプレート!$C706,使用レシピ!$E:$E,0)),""),"")</f>
        <v/>
      </c>
      <c r="G706" t="str">
        <f>IFERROR(IF(INDEX(使用レシピ!I:I,MATCH(テンプレート!$C706,使用レシピ!$E:$E,0))&lt;&gt;0,INDEX(使用レシピ!I:I,MATCH(テンプレート!$C706,使用レシピ!$E:$E,0)),""),"")</f>
        <v/>
      </c>
      <c r="H706" s="24" t="str">
        <f>IFERROR(IF(INDEX(使用レシピ!J:J,MATCH(テンプレート!$C706,使用レシピ!$E:$E,0))&lt;&gt;0,INDEX(使用レシピ!J:J,MATCH(テンプレート!$C706,使用レシピ!$E:$E,0)),""),"")</f>
        <v/>
      </c>
      <c r="I706" s="36" t="str">
        <f>IFERROR(IF(INDEX(使用レシピ!P:P,MATCH(テンプレート!$C706,使用レシピ!$E:$E,0))&lt;&gt;0,INDEX(使用レシピ!P:P,MATCH(テンプレート!$C706,使用レシピ!$E:$E,0)),""),"")</f>
        <v/>
      </c>
      <c r="J706" t="str">
        <f>IFERROR(IF(INDEX(使用レシピ!K:K,MATCH(テンプレート!$C706,使用レシピ!$E:$E,0))&lt;&gt;0,INDEX(使用レシピ!K:K,MATCH(テンプレート!$C706,使用レシピ!$E:$E,0)),""),"")</f>
        <v/>
      </c>
      <c r="K706" t="str">
        <f>IFERROR(IF(INDEX(使用レシピ!L:L,MATCH(テンプレート!$C706,使用レシピ!$E:$E,0))&lt;&gt;0,INDEX(使用レシピ!L:L,MATCH(テンプレート!$C706,使用レシピ!$E:$E,0)),""),"")</f>
        <v/>
      </c>
      <c r="L706" t="str">
        <f>IFERROR(IF(INDEX(使用レシピ!M:M,MATCH(テンプレート!$C706,使用レシピ!$E:$E,0))&lt;&gt;0,INDEX(使用レシピ!M:M,MATCH(テンプレート!$C706,使用レシピ!$E:$E,0)),""),"")</f>
        <v/>
      </c>
      <c r="M706" t="str">
        <f>IFERROR(IF(INDEX(使用レシピ!N:N,MATCH(テンプレート!$C706,使用レシピ!$E:$E,0))&lt;&gt;0,INDEX(使用レシピ!N:N,MATCH(テンプレート!$C706,使用レシピ!$E:$E,0)),""),"")</f>
        <v/>
      </c>
      <c r="N706" s="24" t="str">
        <f>IFERROR(IF(INDEX(使用レシピ!O:O,MATCH(テンプレート!$C706,使用レシピ!$E:$E,0))&lt;&gt;0,INDEX(使用レシピ!O:O,MATCH(テンプレート!$C706,使用レシピ!$E:$E,0)),""),"")</f>
        <v/>
      </c>
      <c r="O706" s="36" t="str">
        <f>IFERROR(IF(INDEX(使用レシピ!P:P,MATCH(テンプレート!$C706,使用レシピ!$E:$E,0))&lt;&gt;0,INDEX(使用レシピ!P:P,MATCH(テンプレート!$C706,使用レシピ!$E:$E,0)),""),"")</f>
        <v/>
      </c>
      <c r="P706" t="str">
        <f t="shared" si="56"/>
        <v/>
      </c>
      <c r="Q706" t="str">
        <f t="shared" si="57"/>
        <v/>
      </c>
      <c r="R706" t="str">
        <f t="shared" si="58"/>
        <v/>
      </c>
      <c r="S706" t="str">
        <f t="shared" si="59"/>
        <v/>
      </c>
      <c r="T706" s="24" t="str">
        <f t="shared" si="60"/>
        <v/>
      </c>
    </row>
    <row r="707" spans="2:20" x14ac:dyDescent="0.4">
      <c r="B707" s="49" t="str" cm="1">
        <f t="array" ref="B707">IFERROR((INDEX($P$4:$T$1000,MATCH(VALUE(LEFT($A707,LEN($A707)-1)),$A$4:$A$1000,0),VALUE(RIGHT($A707,1)))/ INDEX($O$4:$O$1000,MATCH(VALUE(LEFT($A707,LEN($A707)-1)),$A$4:$A$1000))) * INDEX($B$4:$B$1000,MATCH(VALUE(LEFT($A707,LEN($A707)-1)),$A$4:$A$1000)),"")</f>
        <v/>
      </c>
      <c r="C707" s="2" t="str" cm="1">
        <f t="array" ref="C707">IFERROR(IF(INDEX($D$4:$H$1000,MATCH(VALUE(LEFT($A707,LEN($A707)-1)),$A$4:$A$1000,0),VALUE(RIGHT($A707,1)))= 0,"",INDEX($D$4:$H$1000,MATCH(VALUE(LEFT($A707,LEN($A707)-1)),$A$4:$A$1000,0),VALUE(RIGHT($A707,1)))),"")</f>
        <v/>
      </c>
      <c r="D707" s="23" t="str">
        <f>IFERROR(IF(INDEX(使用レシピ!F:F,MATCH(テンプレート!$C707,使用レシピ!$E:$E,0))&lt;&gt;0,INDEX(使用レシピ!F:F,MATCH(テンプレート!$C707,使用レシピ!$E:$E,0)),""),"")</f>
        <v/>
      </c>
      <c r="E707" t="str">
        <f>IFERROR(IF(INDEX(使用レシピ!G:G,MATCH(テンプレート!$C707,使用レシピ!$E:$E,0))&lt;&gt;0,INDEX(使用レシピ!G:G,MATCH(テンプレート!$C707,使用レシピ!$E:$E,0)),""),"")</f>
        <v/>
      </c>
      <c r="F707" t="str">
        <f>IFERROR(IF(INDEX(使用レシピ!H:H,MATCH(テンプレート!$C707,使用レシピ!$E:$E,0))&lt;&gt;0,INDEX(使用レシピ!H:H,MATCH(テンプレート!$C707,使用レシピ!$E:$E,0)),""),"")</f>
        <v/>
      </c>
      <c r="G707" t="str">
        <f>IFERROR(IF(INDEX(使用レシピ!I:I,MATCH(テンプレート!$C707,使用レシピ!$E:$E,0))&lt;&gt;0,INDEX(使用レシピ!I:I,MATCH(テンプレート!$C707,使用レシピ!$E:$E,0)),""),"")</f>
        <v/>
      </c>
      <c r="H707" s="24" t="str">
        <f>IFERROR(IF(INDEX(使用レシピ!J:J,MATCH(テンプレート!$C707,使用レシピ!$E:$E,0))&lt;&gt;0,INDEX(使用レシピ!J:J,MATCH(テンプレート!$C707,使用レシピ!$E:$E,0)),""),"")</f>
        <v/>
      </c>
      <c r="I707" s="36" t="str">
        <f>IFERROR(IF(INDEX(使用レシピ!P:P,MATCH(テンプレート!$C707,使用レシピ!$E:$E,0))&lt;&gt;0,INDEX(使用レシピ!P:P,MATCH(テンプレート!$C707,使用レシピ!$E:$E,0)),""),"")</f>
        <v/>
      </c>
      <c r="J707" t="str">
        <f>IFERROR(IF(INDEX(使用レシピ!K:K,MATCH(テンプレート!$C707,使用レシピ!$E:$E,0))&lt;&gt;0,INDEX(使用レシピ!K:K,MATCH(テンプレート!$C707,使用レシピ!$E:$E,0)),""),"")</f>
        <v/>
      </c>
      <c r="K707" t="str">
        <f>IFERROR(IF(INDEX(使用レシピ!L:L,MATCH(テンプレート!$C707,使用レシピ!$E:$E,0))&lt;&gt;0,INDEX(使用レシピ!L:L,MATCH(テンプレート!$C707,使用レシピ!$E:$E,0)),""),"")</f>
        <v/>
      </c>
      <c r="L707" t="str">
        <f>IFERROR(IF(INDEX(使用レシピ!M:M,MATCH(テンプレート!$C707,使用レシピ!$E:$E,0))&lt;&gt;0,INDEX(使用レシピ!M:M,MATCH(テンプレート!$C707,使用レシピ!$E:$E,0)),""),"")</f>
        <v/>
      </c>
      <c r="M707" t="str">
        <f>IFERROR(IF(INDEX(使用レシピ!N:N,MATCH(テンプレート!$C707,使用レシピ!$E:$E,0))&lt;&gt;0,INDEX(使用レシピ!N:N,MATCH(テンプレート!$C707,使用レシピ!$E:$E,0)),""),"")</f>
        <v/>
      </c>
      <c r="N707" s="24" t="str">
        <f>IFERROR(IF(INDEX(使用レシピ!O:O,MATCH(テンプレート!$C707,使用レシピ!$E:$E,0))&lt;&gt;0,INDEX(使用レシピ!O:O,MATCH(テンプレート!$C707,使用レシピ!$E:$E,0)),""),"")</f>
        <v/>
      </c>
      <c r="O707" s="36" t="str">
        <f>IFERROR(IF(INDEX(使用レシピ!P:P,MATCH(テンプレート!$C707,使用レシピ!$E:$E,0))&lt;&gt;0,INDEX(使用レシピ!P:P,MATCH(テンプレート!$C707,使用レシピ!$E:$E,0)),""),"")</f>
        <v/>
      </c>
      <c r="P707" t="str">
        <f t="shared" si="56"/>
        <v/>
      </c>
      <c r="Q707" t="str">
        <f t="shared" si="57"/>
        <v/>
      </c>
      <c r="R707" t="str">
        <f t="shared" si="58"/>
        <v/>
      </c>
      <c r="S707" t="str">
        <f t="shared" si="59"/>
        <v/>
      </c>
      <c r="T707" s="24" t="str">
        <f t="shared" si="60"/>
        <v/>
      </c>
    </row>
    <row r="708" spans="2:20" x14ac:dyDescent="0.4">
      <c r="B708" s="49" t="str" cm="1">
        <f t="array" ref="B708">IFERROR((INDEX($P$4:$T$1000,MATCH(VALUE(LEFT($A708,LEN($A708)-1)),$A$4:$A$1000,0),VALUE(RIGHT($A708,1)))/ INDEX($O$4:$O$1000,MATCH(VALUE(LEFT($A708,LEN($A708)-1)),$A$4:$A$1000))) * INDEX($B$4:$B$1000,MATCH(VALUE(LEFT($A708,LEN($A708)-1)),$A$4:$A$1000)),"")</f>
        <v/>
      </c>
      <c r="C708" s="2" t="str" cm="1">
        <f t="array" ref="C708">IFERROR(IF(INDEX($D$4:$H$1000,MATCH(VALUE(LEFT($A708,LEN($A708)-1)),$A$4:$A$1000,0),VALUE(RIGHT($A708,1)))= 0,"",INDEX($D$4:$H$1000,MATCH(VALUE(LEFT($A708,LEN($A708)-1)),$A$4:$A$1000,0),VALUE(RIGHT($A708,1)))),"")</f>
        <v/>
      </c>
      <c r="D708" s="23" t="str">
        <f>IFERROR(IF(INDEX(使用レシピ!F:F,MATCH(テンプレート!$C708,使用レシピ!$E:$E,0))&lt;&gt;0,INDEX(使用レシピ!F:F,MATCH(テンプレート!$C708,使用レシピ!$E:$E,0)),""),"")</f>
        <v/>
      </c>
      <c r="E708" t="str">
        <f>IFERROR(IF(INDEX(使用レシピ!G:G,MATCH(テンプレート!$C708,使用レシピ!$E:$E,0))&lt;&gt;0,INDEX(使用レシピ!G:G,MATCH(テンプレート!$C708,使用レシピ!$E:$E,0)),""),"")</f>
        <v/>
      </c>
      <c r="F708" t="str">
        <f>IFERROR(IF(INDEX(使用レシピ!H:H,MATCH(テンプレート!$C708,使用レシピ!$E:$E,0))&lt;&gt;0,INDEX(使用レシピ!H:H,MATCH(テンプレート!$C708,使用レシピ!$E:$E,0)),""),"")</f>
        <v/>
      </c>
      <c r="G708" t="str">
        <f>IFERROR(IF(INDEX(使用レシピ!I:I,MATCH(テンプレート!$C708,使用レシピ!$E:$E,0))&lt;&gt;0,INDEX(使用レシピ!I:I,MATCH(テンプレート!$C708,使用レシピ!$E:$E,0)),""),"")</f>
        <v/>
      </c>
      <c r="H708" s="24" t="str">
        <f>IFERROR(IF(INDEX(使用レシピ!J:J,MATCH(テンプレート!$C708,使用レシピ!$E:$E,0))&lt;&gt;0,INDEX(使用レシピ!J:J,MATCH(テンプレート!$C708,使用レシピ!$E:$E,0)),""),"")</f>
        <v/>
      </c>
      <c r="I708" s="36" t="str">
        <f>IFERROR(IF(INDEX(使用レシピ!P:P,MATCH(テンプレート!$C708,使用レシピ!$E:$E,0))&lt;&gt;0,INDEX(使用レシピ!P:P,MATCH(テンプレート!$C708,使用レシピ!$E:$E,0)),""),"")</f>
        <v/>
      </c>
      <c r="J708" t="str">
        <f>IFERROR(IF(INDEX(使用レシピ!K:K,MATCH(テンプレート!$C708,使用レシピ!$E:$E,0))&lt;&gt;0,INDEX(使用レシピ!K:K,MATCH(テンプレート!$C708,使用レシピ!$E:$E,0)),""),"")</f>
        <v/>
      </c>
      <c r="K708" t="str">
        <f>IFERROR(IF(INDEX(使用レシピ!L:L,MATCH(テンプレート!$C708,使用レシピ!$E:$E,0))&lt;&gt;0,INDEX(使用レシピ!L:L,MATCH(テンプレート!$C708,使用レシピ!$E:$E,0)),""),"")</f>
        <v/>
      </c>
      <c r="L708" t="str">
        <f>IFERROR(IF(INDEX(使用レシピ!M:M,MATCH(テンプレート!$C708,使用レシピ!$E:$E,0))&lt;&gt;0,INDEX(使用レシピ!M:M,MATCH(テンプレート!$C708,使用レシピ!$E:$E,0)),""),"")</f>
        <v/>
      </c>
      <c r="M708" t="str">
        <f>IFERROR(IF(INDEX(使用レシピ!N:N,MATCH(テンプレート!$C708,使用レシピ!$E:$E,0))&lt;&gt;0,INDEX(使用レシピ!N:N,MATCH(テンプレート!$C708,使用レシピ!$E:$E,0)),""),"")</f>
        <v/>
      </c>
      <c r="N708" s="24" t="str">
        <f>IFERROR(IF(INDEX(使用レシピ!O:O,MATCH(テンプレート!$C708,使用レシピ!$E:$E,0))&lt;&gt;0,INDEX(使用レシピ!O:O,MATCH(テンプレート!$C708,使用レシピ!$E:$E,0)),""),"")</f>
        <v/>
      </c>
      <c r="O708" s="36" t="str">
        <f>IFERROR(IF(INDEX(使用レシピ!P:P,MATCH(テンプレート!$C708,使用レシピ!$E:$E,0))&lt;&gt;0,INDEX(使用レシピ!P:P,MATCH(テンプレート!$C708,使用レシピ!$E:$E,0)),""),"")</f>
        <v/>
      </c>
      <c r="P708" t="str">
        <f t="shared" si="56"/>
        <v/>
      </c>
      <c r="Q708" t="str">
        <f t="shared" si="57"/>
        <v/>
      </c>
      <c r="R708" t="str">
        <f t="shared" si="58"/>
        <v/>
      </c>
      <c r="S708" t="str">
        <f t="shared" si="59"/>
        <v/>
      </c>
      <c r="T708" s="24" t="str">
        <f t="shared" si="60"/>
        <v/>
      </c>
    </row>
    <row r="709" spans="2:20" x14ac:dyDescent="0.4">
      <c r="B709" s="49" t="str" cm="1">
        <f t="array" ref="B709">IFERROR((INDEX($P$4:$T$1000,MATCH(VALUE(LEFT($A709,LEN($A709)-1)),$A$4:$A$1000,0),VALUE(RIGHT($A709,1)))/ INDEX($O$4:$O$1000,MATCH(VALUE(LEFT($A709,LEN($A709)-1)),$A$4:$A$1000))) * INDEX($B$4:$B$1000,MATCH(VALUE(LEFT($A709,LEN($A709)-1)),$A$4:$A$1000)),"")</f>
        <v/>
      </c>
      <c r="C709" s="2" t="str" cm="1">
        <f t="array" ref="C709">IFERROR(IF(INDEX($D$4:$H$1000,MATCH(VALUE(LEFT($A709,LEN($A709)-1)),$A$4:$A$1000,0),VALUE(RIGHT($A709,1)))= 0,"",INDEX($D$4:$H$1000,MATCH(VALUE(LEFT($A709,LEN($A709)-1)),$A$4:$A$1000,0),VALUE(RIGHT($A709,1)))),"")</f>
        <v/>
      </c>
      <c r="D709" s="23" t="str">
        <f>IFERROR(IF(INDEX(使用レシピ!F:F,MATCH(テンプレート!$C709,使用レシピ!$E:$E,0))&lt;&gt;0,INDEX(使用レシピ!F:F,MATCH(テンプレート!$C709,使用レシピ!$E:$E,0)),""),"")</f>
        <v/>
      </c>
      <c r="E709" t="str">
        <f>IFERROR(IF(INDEX(使用レシピ!G:G,MATCH(テンプレート!$C709,使用レシピ!$E:$E,0))&lt;&gt;0,INDEX(使用レシピ!G:G,MATCH(テンプレート!$C709,使用レシピ!$E:$E,0)),""),"")</f>
        <v/>
      </c>
      <c r="F709" t="str">
        <f>IFERROR(IF(INDEX(使用レシピ!H:H,MATCH(テンプレート!$C709,使用レシピ!$E:$E,0))&lt;&gt;0,INDEX(使用レシピ!H:H,MATCH(テンプレート!$C709,使用レシピ!$E:$E,0)),""),"")</f>
        <v/>
      </c>
      <c r="G709" t="str">
        <f>IFERROR(IF(INDEX(使用レシピ!I:I,MATCH(テンプレート!$C709,使用レシピ!$E:$E,0))&lt;&gt;0,INDEX(使用レシピ!I:I,MATCH(テンプレート!$C709,使用レシピ!$E:$E,0)),""),"")</f>
        <v/>
      </c>
      <c r="H709" s="24" t="str">
        <f>IFERROR(IF(INDEX(使用レシピ!J:J,MATCH(テンプレート!$C709,使用レシピ!$E:$E,0))&lt;&gt;0,INDEX(使用レシピ!J:J,MATCH(テンプレート!$C709,使用レシピ!$E:$E,0)),""),"")</f>
        <v/>
      </c>
      <c r="I709" s="36" t="str">
        <f>IFERROR(IF(INDEX(使用レシピ!P:P,MATCH(テンプレート!$C709,使用レシピ!$E:$E,0))&lt;&gt;0,INDEX(使用レシピ!P:P,MATCH(テンプレート!$C709,使用レシピ!$E:$E,0)),""),"")</f>
        <v/>
      </c>
      <c r="J709" t="str">
        <f>IFERROR(IF(INDEX(使用レシピ!K:K,MATCH(テンプレート!$C709,使用レシピ!$E:$E,0))&lt;&gt;0,INDEX(使用レシピ!K:K,MATCH(テンプレート!$C709,使用レシピ!$E:$E,0)),""),"")</f>
        <v/>
      </c>
      <c r="K709" t="str">
        <f>IFERROR(IF(INDEX(使用レシピ!L:L,MATCH(テンプレート!$C709,使用レシピ!$E:$E,0))&lt;&gt;0,INDEX(使用レシピ!L:L,MATCH(テンプレート!$C709,使用レシピ!$E:$E,0)),""),"")</f>
        <v/>
      </c>
      <c r="L709" t="str">
        <f>IFERROR(IF(INDEX(使用レシピ!M:M,MATCH(テンプレート!$C709,使用レシピ!$E:$E,0))&lt;&gt;0,INDEX(使用レシピ!M:M,MATCH(テンプレート!$C709,使用レシピ!$E:$E,0)),""),"")</f>
        <v/>
      </c>
      <c r="M709" t="str">
        <f>IFERROR(IF(INDEX(使用レシピ!N:N,MATCH(テンプレート!$C709,使用レシピ!$E:$E,0))&lt;&gt;0,INDEX(使用レシピ!N:N,MATCH(テンプレート!$C709,使用レシピ!$E:$E,0)),""),"")</f>
        <v/>
      </c>
      <c r="N709" s="24" t="str">
        <f>IFERROR(IF(INDEX(使用レシピ!O:O,MATCH(テンプレート!$C709,使用レシピ!$E:$E,0))&lt;&gt;0,INDEX(使用レシピ!O:O,MATCH(テンプレート!$C709,使用レシピ!$E:$E,0)),""),"")</f>
        <v/>
      </c>
      <c r="O709" s="36" t="str">
        <f>IFERROR(IF(INDEX(使用レシピ!P:P,MATCH(テンプレート!$C709,使用レシピ!$E:$E,0))&lt;&gt;0,INDEX(使用レシピ!P:P,MATCH(テンプレート!$C709,使用レシピ!$E:$E,0)),""),"")</f>
        <v/>
      </c>
      <c r="P709" t="str">
        <f t="shared" si="56"/>
        <v/>
      </c>
      <c r="Q709" t="str">
        <f t="shared" si="57"/>
        <v/>
      </c>
      <c r="R709" t="str">
        <f t="shared" si="58"/>
        <v/>
      </c>
      <c r="S709" t="str">
        <f t="shared" si="59"/>
        <v/>
      </c>
      <c r="T709" s="24" t="str">
        <f t="shared" si="60"/>
        <v/>
      </c>
    </row>
    <row r="710" spans="2:20" x14ac:dyDescent="0.4">
      <c r="B710" s="49" t="str" cm="1">
        <f t="array" ref="B710">IFERROR((INDEX($P$4:$T$1000,MATCH(VALUE(LEFT($A710,LEN($A710)-1)),$A$4:$A$1000,0),VALUE(RIGHT($A710,1)))/ INDEX($O$4:$O$1000,MATCH(VALUE(LEFT($A710,LEN($A710)-1)),$A$4:$A$1000))) * INDEX($B$4:$B$1000,MATCH(VALUE(LEFT($A710,LEN($A710)-1)),$A$4:$A$1000)),"")</f>
        <v/>
      </c>
      <c r="C710" s="2" t="str" cm="1">
        <f t="array" ref="C710">IFERROR(IF(INDEX($D$4:$H$1000,MATCH(VALUE(LEFT($A710,LEN($A710)-1)),$A$4:$A$1000,0),VALUE(RIGHT($A710,1)))= 0,"",INDEX($D$4:$H$1000,MATCH(VALUE(LEFT($A710,LEN($A710)-1)),$A$4:$A$1000,0),VALUE(RIGHT($A710,1)))),"")</f>
        <v/>
      </c>
      <c r="D710" s="23" t="str">
        <f>IFERROR(IF(INDEX(使用レシピ!F:F,MATCH(テンプレート!$C710,使用レシピ!$E:$E,0))&lt;&gt;0,INDEX(使用レシピ!F:F,MATCH(テンプレート!$C710,使用レシピ!$E:$E,0)),""),"")</f>
        <v/>
      </c>
      <c r="E710" t="str">
        <f>IFERROR(IF(INDEX(使用レシピ!G:G,MATCH(テンプレート!$C710,使用レシピ!$E:$E,0))&lt;&gt;0,INDEX(使用レシピ!G:G,MATCH(テンプレート!$C710,使用レシピ!$E:$E,0)),""),"")</f>
        <v/>
      </c>
      <c r="F710" t="str">
        <f>IFERROR(IF(INDEX(使用レシピ!H:H,MATCH(テンプレート!$C710,使用レシピ!$E:$E,0))&lt;&gt;0,INDEX(使用レシピ!H:H,MATCH(テンプレート!$C710,使用レシピ!$E:$E,0)),""),"")</f>
        <v/>
      </c>
      <c r="G710" t="str">
        <f>IFERROR(IF(INDEX(使用レシピ!I:I,MATCH(テンプレート!$C710,使用レシピ!$E:$E,0))&lt;&gt;0,INDEX(使用レシピ!I:I,MATCH(テンプレート!$C710,使用レシピ!$E:$E,0)),""),"")</f>
        <v/>
      </c>
      <c r="H710" s="24" t="str">
        <f>IFERROR(IF(INDEX(使用レシピ!J:J,MATCH(テンプレート!$C710,使用レシピ!$E:$E,0))&lt;&gt;0,INDEX(使用レシピ!J:J,MATCH(テンプレート!$C710,使用レシピ!$E:$E,0)),""),"")</f>
        <v/>
      </c>
      <c r="I710" s="36" t="str">
        <f>IFERROR(IF(INDEX(使用レシピ!P:P,MATCH(テンプレート!$C710,使用レシピ!$E:$E,0))&lt;&gt;0,INDEX(使用レシピ!P:P,MATCH(テンプレート!$C710,使用レシピ!$E:$E,0)),""),"")</f>
        <v/>
      </c>
      <c r="J710" t="str">
        <f>IFERROR(IF(INDEX(使用レシピ!K:K,MATCH(テンプレート!$C710,使用レシピ!$E:$E,0))&lt;&gt;0,INDEX(使用レシピ!K:K,MATCH(テンプレート!$C710,使用レシピ!$E:$E,0)),""),"")</f>
        <v/>
      </c>
      <c r="K710" t="str">
        <f>IFERROR(IF(INDEX(使用レシピ!L:L,MATCH(テンプレート!$C710,使用レシピ!$E:$E,0))&lt;&gt;0,INDEX(使用レシピ!L:L,MATCH(テンプレート!$C710,使用レシピ!$E:$E,0)),""),"")</f>
        <v/>
      </c>
      <c r="L710" t="str">
        <f>IFERROR(IF(INDEX(使用レシピ!M:M,MATCH(テンプレート!$C710,使用レシピ!$E:$E,0))&lt;&gt;0,INDEX(使用レシピ!M:M,MATCH(テンプレート!$C710,使用レシピ!$E:$E,0)),""),"")</f>
        <v/>
      </c>
      <c r="M710" t="str">
        <f>IFERROR(IF(INDEX(使用レシピ!N:N,MATCH(テンプレート!$C710,使用レシピ!$E:$E,0))&lt;&gt;0,INDEX(使用レシピ!N:N,MATCH(テンプレート!$C710,使用レシピ!$E:$E,0)),""),"")</f>
        <v/>
      </c>
      <c r="N710" s="24" t="str">
        <f>IFERROR(IF(INDEX(使用レシピ!O:O,MATCH(テンプレート!$C710,使用レシピ!$E:$E,0))&lt;&gt;0,INDEX(使用レシピ!O:O,MATCH(テンプレート!$C710,使用レシピ!$E:$E,0)),""),"")</f>
        <v/>
      </c>
      <c r="O710" s="36" t="str">
        <f>IFERROR(IF(INDEX(使用レシピ!P:P,MATCH(テンプレート!$C710,使用レシピ!$E:$E,0))&lt;&gt;0,INDEX(使用レシピ!P:P,MATCH(テンプレート!$C710,使用レシピ!$E:$E,0)),""),"")</f>
        <v/>
      </c>
      <c r="P710" t="str">
        <f t="shared" si="56"/>
        <v/>
      </c>
      <c r="Q710" t="str">
        <f t="shared" si="57"/>
        <v/>
      </c>
      <c r="R710" t="str">
        <f t="shared" si="58"/>
        <v/>
      </c>
      <c r="S710" t="str">
        <f t="shared" si="59"/>
        <v/>
      </c>
      <c r="T710" s="24" t="str">
        <f t="shared" si="60"/>
        <v/>
      </c>
    </row>
    <row r="711" spans="2:20" x14ac:dyDescent="0.4">
      <c r="B711" s="49" t="str" cm="1">
        <f t="array" ref="B711">IFERROR((INDEX($P$4:$T$1000,MATCH(VALUE(LEFT($A711,LEN($A711)-1)),$A$4:$A$1000,0),VALUE(RIGHT($A711,1)))/ INDEX($O$4:$O$1000,MATCH(VALUE(LEFT($A711,LEN($A711)-1)),$A$4:$A$1000))) * INDEX($B$4:$B$1000,MATCH(VALUE(LEFT($A711,LEN($A711)-1)),$A$4:$A$1000)),"")</f>
        <v/>
      </c>
      <c r="C711" s="2" t="str" cm="1">
        <f t="array" ref="C711">IFERROR(IF(INDEX($D$4:$H$1000,MATCH(VALUE(LEFT($A711,LEN($A711)-1)),$A$4:$A$1000,0),VALUE(RIGHT($A711,1)))= 0,"",INDEX($D$4:$H$1000,MATCH(VALUE(LEFT($A711,LEN($A711)-1)),$A$4:$A$1000,0),VALUE(RIGHT($A711,1)))),"")</f>
        <v/>
      </c>
      <c r="D711" s="23" t="str">
        <f>IFERROR(IF(INDEX(使用レシピ!F:F,MATCH(テンプレート!$C711,使用レシピ!$E:$E,0))&lt;&gt;0,INDEX(使用レシピ!F:F,MATCH(テンプレート!$C711,使用レシピ!$E:$E,0)),""),"")</f>
        <v/>
      </c>
      <c r="E711" t="str">
        <f>IFERROR(IF(INDEX(使用レシピ!G:G,MATCH(テンプレート!$C711,使用レシピ!$E:$E,0))&lt;&gt;0,INDEX(使用レシピ!G:G,MATCH(テンプレート!$C711,使用レシピ!$E:$E,0)),""),"")</f>
        <v/>
      </c>
      <c r="F711" t="str">
        <f>IFERROR(IF(INDEX(使用レシピ!H:H,MATCH(テンプレート!$C711,使用レシピ!$E:$E,0))&lt;&gt;0,INDEX(使用レシピ!H:H,MATCH(テンプレート!$C711,使用レシピ!$E:$E,0)),""),"")</f>
        <v/>
      </c>
      <c r="G711" t="str">
        <f>IFERROR(IF(INDEX(使用レシピ!I:I,MATCH(テンプレート!$C711,使用レシピ!$E:$E,0))&lt;&gt;0,INDEX(使用レシピ!I:I,MATCH(テンプレート!$C711,使用レシピ!$E:$E,0)),""),"")</f>
        <v/>
      </c>
      <c r="H711" s="24" t="str">
        <f>IFERROR(IF(INDEX(使用レシピ!J:J,MATCH(テンプレート!$C711,使用レシピ!$E:$E,0))&lt;&gt;0,INDEX(使用レシピ!J:J,MATCH(テンプレート!$C711,使用レシピ!$E:$E,0)),""),"")</f>
        <v/>
      </c>
      <c r="I711" s="36" t="str">
        <f>IFERROR(IF(INDEX(使用レシピ!P:P,MATCH(テンプレート!$C711,使用レシピ!$E:$E,0))&lt;&gt;0,INDEX(使用レシピ!P:P,MATCH(テンプレート!$C711,使用レシピ!$E:$E,0)),""),"")</f>
        <v/>
      </c>
      <c r="J711" t="str">
        <f>IFERROR(IF(INDEX(使用レシピ!K:K,MATCH(テンプレート!$C711,使用レシピ!$E:$E,0))&lt;&gt;0,INDEX(使用レシピ!K:K,MATCH(テンプレート!$C711,使用レシピ!$E:$E,0)),""),"")</f>
        <v/>
      </c>
      <c r="K711" t="str">
        <f>IFERROR(IF(INDEX(使用レシピ!L:L,MATCH(テンプレート!$C711,使用レシピ!$E:$E,0))&lt;&gt;0,INDEX(使用レシピ!L:L,MATCH(テンプレート!$C711,使用レシピ!$E:$E,0)),""),"")</f>
        <v/>
      </c>
      <c r="L711" t="str">
        <f>IFERROR(IF(INDEX(使用レシピ!M:M,MATCH(テンプレート!$C711,使用レシピ!$E:$E,0))&lt;&gt;0,INDEX(使用レシピ!M:M,MATCH(テンプレート!$C711,使用レシピ!$E:$E,0)),""),"")</f>
        <v/>
      </c>
      <c r="M711" t="str">
        <f>IFERROR(IF(INDEX(使用レシピ!N:N,MATCH(テンプレート!$C711,使用レシピ!$E:$E,0))&lt;&gt;0,INDEX(使用レシピ!N:N,MATCH(テンプレート!$C711,使用レシピ!$E:$E,0)),""),"")</f>
        <v/>
      </c>
      <c r="N711" s="24" t="str">
        <f>IFERROR(IF(INDEX(使用レシピ!O:O,MATCH(テンプレート!$C711,使用レシピ!$E:$E,0))&lt;&gt;0,INDEX(使用レシピ!O:O,MATCH(テンプレート!$C711,使用レシピ!$E:$E,0)),""),"")</f>
        <v/>
      </c>
      <c r="O711" s="36" t="str">
        <f>IFERROR(IF(INDEX(使用レシピ!P:P,MATCH(テンプレート!$C711,使用レシピ!$E:$E,0))&lt;&gt;0,INDEX(使用レシピ!P:P,MATCH(テンプレート!$C711,使用レシピ!$E:$E,0)),""),"")</f>
        <v/>
      </c>
      <c r="P711" t="str">
        <f t="shared" si="56"/>
        <v/>
      </c>
      <c r="Q711" t="str">
        <f t="shared" si="57"/>
        <v/>
      </c>
      <c r="R711" t="str">
        <f t="shared" si="58"/>
        <v/>
      </c>
      <c r="S711" t="str">
        <f t="shared" si="59"/>
        <v/>
      </c>
      <c r="T711" s="24" t="str">
        <f t="shared" si="60"/>
        <v/>
      </c>
    </row>
    <row r="712" spans="2:20" x14ac:dyDescent="0.4">
      <c r="B712" s="49" t="str" cm="1">
        <f t="array" ref="B712">IFERROR((INDEX($P$4:$T$1000,MATCH(VALUE(LEFT($A712,LEN($A712)-1)),$A$4:$A$1000,0),VALUE(RIGHT($A712,1)))/ INDEX($O$4:$O$1000,MATCH(VALUE(LEFT($A712,LEN($A712)-1)),$A$4:$A$1000))) * INDEX($B$4:$B$1000,MATCH(VALUE(LEFT($A712,LEN($A712)-1)),$A$4:$A$1000)),"")</f>
        <v/>
      </c>
      <c r="C712" s="2" t="str" cm="1">
        <f t="array" ref="C712">IFERROR(IF(INDEX($D$4:$H$1000,MATCH(VALUE(LEFT($A712,LEN($A712)-1)),$A$4:$A$1000,0),VALUE(RIGHT($A712,1)))= 0,"",INDEX($D$4:$H$1000,MATCH(VALUE(LEFT($A712,LEN($A712)-1)),$A$4:$A$1000,0),VALUE(RIGHT($A712,1)))),"")</f>
        <v/>
      </c>
      <c r="D712" s="23" t="str">
        <f>IFERROR(IF(INDEX(使用レシピ!F:F,MATCH(テンプレート!$C712,使用レシピ!$E:$E,0))&lt;&gt;0,INDEX(使用レシピ!F:F,MATCH(テンプレート!$C712,使用レシピ!$E:$E,0)),""),"")</f>
        <v/>
      </c>
      <c r="E712" t="str">
        <f>IFERROR(IF(INDEX(使用レシピ!G:G,MATCH(テンプレート!$C712,使用レシピ!$E:$E,0))&lt;&gt;0,INDEX(使用レシピ!G:G,MATCH(テンプレート!$C712,使用レシピ!$E:$E,0)),""),"")</f>
        <v/>
      </c>
      <c r="F712" t="str">
        <f>IFERROR(IF(INDEX(使用レシピ!H:H,MATCH(テンプレート!$C712,使用レシピ!$E:$E,0))&lt;&gt;0,INDEX(使用レシピ!H:H,MATCH(テンプレート!$C712,使用レシピ!$E:$E,0)),""),"")</f>
        <v/>
      </c>
      <c r="G712" t="str">
        <f>IFERROR(IF(INDEX(使用レシピ!I:I,MATCH(テンプレート!$C712,使用レシピ!$E:$E,0))&lt;&gt;0,INDEX(使用レシピ!I:I,MATCH(テンプレート!$C712,使用レシピ!$E:$E,0)),""),"")</f>
        <v/>
      </c>
      <c r="H712" s="24" t="str">
        <f>IFERROR(IF(INDEX(使用レシピ!J:J,MATCH(テンプレート!$C712,使用レシピ!$E:$E,0))&lt;&gt;0,INDEX(使用レシピ!J:J,MATCH(テンプレート!$C712,使用レシピ!$E:$E,0)),""),"")</f>
        <v/>
      </c>
      <c r="I712" s="36" t="str">
        <f>IFERROR(IF(INDEX(使用レシピ!P:P,MATCH(テンプレート!$C712,使用レシピ!$E:$E,0))&lt;&gt;0,INDEX(使用レシピ!P:P,MATCH(テンプレート!$C712,使用レシピ!$E:$E,0)),""),"")</f>
        <v/>
      </c>
      <c r="J712" t="str">
        <f>IFERROR(IF(INDEX(使用レシピ!K:K,MATCH(テンプレート!$C712,使用レシピ!$E:$E,0))&lt;&gt;0,INDEX(使用レシピ!K:K,MATCH(テンプレート!$C712,使用レシピ!$E:$E,0)),""),"")</f>
        <v/>
      </c>
      <c r="K712" t="str">
        <f>IFERROR(IF(INDEX(使用レシピ!L:L,MATCH(テンプレート!$C712,使用レシピ!$E:$E,0))&lt;&gt;0,INDEX(使用レシピ!L:L,MATCH(テンプレート!$C712,使用レシピ!$E:$E,0)),""),"")</f>
        <v/>
      </c>
      <c r="L712" t="str">
        <f>IFERROR(IF(INDEX(使用レシピ!M:M,MATCH(テンプレート!$C712,使用レシピ!$E:$E,0))&lt;&gt;0,INDEX(使用レシピ!M:M,MATCH(テンプレート!$C712,使用レシピ!$E:$E,0)),""),"")</f>
        <v/>
      </c>
      <c r="M712" t="str">
        <f>IFERROR(IF(INDEX(使用レシピ!N:N,MATCH(テンプレート!$C712,使用レシピ!$E:$E,0))&lt;&gt;0,INDEX(使用レシピ!N:N,MATCH(テンプレート!$C712,使用レシピ!$E:$E,0)),""),"")</f>
        <v/>
      </c>
      <c r="N712" s="24" t="str">
        <f>IFERROR(IF(INDEX(使用レシピ!O:O,MATCH(テンプレート!$C712,使用レシピ!$E:$E,0))&lt;&gt;0,INDEX(使用レシピ!O:O,MATCH(テンプレート!$C712,使用レシピ!$E:$E,0)),""),"")</f>
        <v/>
      </c>
      <c r="O712" s="36" t="str">
        <f>IFERROR(IF(INDEX(使用レシピ!P:P,MATCH(テンプレート!$C712,使用レシピ!$E:$E,0))&lt;&gt;0,INDEX(使用レシピ!P:P,MATCH(テンプレート!$C712,使用レシピ!$E:$E,0)),""),"")</f>
        <v/>
      </c>
      <c r="P712" t="str">
        <f t="shared" si="56"/>
        <v/>
      </c>
      <c r="Q712" t="str">
        <f t="shared" si="57"/>
        <v/>
      </c>
      <c r="R712" t="str">
        <f t="shared" si="58"/>
        <v/>
      </c>
      <c r="S712" t="str">
        <f t="shared" si="59"/>
        <v/>
      </c>
      <c r="T712" s="24" t="str">
        <f t="shared" si="60"/>
        <v/>
      </c>
    </row>
    <row r="713" spans="2:20" x14ac:dyDescent="0.4">
      <c r="B713" s="49" t="str" cm="1">
        <f t="array" ref="B713">IFERROR((INDEX($P$4:$T$1000,MATCH(VALUE(LEFT($A713,LEN($A713)-1)),$A$4:$A$1000,0),VALUE(RIGHT($A713,1)))/ INDEX($O$4:$O$1000,MATCH(VALUE(LEFT($A713,LEN($A713)-1)),$A$4:$A$1000))) * INDEX($B$4:$B$1000,MATCH(VALUE(LEFT($A713,LEN($A713)-1)),$A$4:$A$1000)),"")</f>
        <v/>
      </c>
      <c r="C713" s="2" t="str" cm="1">
        <f t="array" ref="C713">IFERROR(IF(INDEX($D$4:$H$1000,MATCH(VALUE(LEFT($A713,LEN($A713)-1)),$A$4:$A$1000,0),VALUE(RIGHT($A713,1)))= 0,"",INDEX($D$4:$H$1000,MATCH(VALUE(LEFT($A713,LEN($A713)-1)),$A$4:$A$1000,0),VALUE(RIGHT($A713,1)))),"")</f>
        <v/>
      </c>
      <c r="D713" s="23" t="str">
        <f>IFERROR(IF(INDEX(使用レシピ!F:F,MATCH(テンプレート!$C713,使用レシピ!$E:$E,0))&lt;&gt;0,INDEX(使用レシピ!F:F,MATCH(テンプレート!$C713,使用レシピ!$E:$E,0)),""),"")</f>
        <v/>
      </c>
      <c r="E713" t="str">
        <f>IFERROR(IF(INDEX(使用レシピ!G:G,MATCH(テンプレート!$C713,使用レシピ!$E:$E,0))&lt;&gt;0,INDEX(使用レシピ!G:G,MATCH(テンプレート!$C713,使用レシピ!$E:$E,0)),""),"")</f>
        <v/>
      </c>
      <c r="F713" t="str">
        <f>IFERROR(IF(INDEX(使用レシピ!H:H,MATCH(テンプレート!$C713,使用レシピ!$E:$E,0))&lt;&gt;0,INDEX(使用レシピ!H:H,MATCH(テンプレート!$C713,使用レシピ!$E:$E,0)),""),"")</f>
        <v/>
      </c>
      <c r="G713" t="str">
        <f>IFERROR(IF(INDEX(使用レシピ!I:I,MATCH(テンプレート!$C713,使用レシピ!$E:$E,0))&lt;&gt;0,INDEX(使用レシピ!I:I,MATCH(テンプレート!$C713,使用レシピ!$E:$E,0)),""),"")</f>
        <v/>
      </c>
      <c r="H713" s="24" t="str">
        <f>IFERROR(IF(INDEX(使用レシピ!J:J,MATCH(テンプレート!$C713,使用レシピ!$E:$E,0))&lt;&gt;0,INDEX(使用レシピ!J:J,MATCH(テンプレート!$C713,使用レシピ!$E:$E,0)),""),"")</f>
        <v/>
      </c>
      <c r="I713" s="36" t="str">
        <f>IFERROR(IF(INDEX(使用レシピ!P:P,MATCH(テンプレート!$C713,使用レシピ!$E:$E,0))&lt;&gt;0,INDEX(使用レシピ!P:P,MATCH(テンプレート!$C713,使用レシピ!$E:$E,0)),""),"")</f>
        <v/>
      </c>
      <c r="J713" t="str">
        <f>IFERROR(IF(INDEX(使用レシピ!K:K,MATCH(テンプレート!$C713,使用レシピ!$E:$E,0))&lt;&gt;0,INDEX(使用レシピ!K:K,MATCH(テンプレート!$C713,使用レシピ!$E:$E,0)),""),"")</f>
        <v/>
      </c>
      <c r="K713" t="str">
        <f>IFERROR(IF(INDEX(使用レシピ!L:L,MATCH(テンプレート!$C713,使用レシピ!$E:$E,0))&lt;&gt;0,INDEX(使用レシピ!L:L,MATCH(テンプレート!$C713,使用レシピ!$E:$E,0)),""),"")</f>
        <v/>
      </c>
      <c r="L713" t="str">
        <f>IFERROR(IF(INDEX(使用レシピ!M:M,MATCH(テンプレート!$C713,使用レシピ!$E:$E,0))&lt;&gt;0,INDEX(使用レシピ!M:M,MATCH(テンプレート!$C713,使用レシピ!$E:$E,0)),""),"")</f>
        <v/>
      </c>
      <c r="M713" t="str">
        <f>IFERROR(IF(INDEX(使用レシピ!N:N,MATCH(テンプレート!$C713,使用レシピ!$E:$E,0))&lt;&gt;0,INDEX(使用レシピ!N:N,MATCH(テンプレート!$C713,使用レシピ!$E:$E,0)),""),"")</f>
        <v/>
      </c>
      <c r="N713" s="24" t="str">
        <f>IFERROR(IF(INDEX(使用レシピ!O:O,MATCH(テンプレート!$C713,使用レシピ!$E:$E,0))&lt;&gt;0,INDEX(使用レシピ!O:O,MATCH(テンプレート!$C713,使用レシピ!$E:$E,0)),""),"")</f>
        <v/>
      </c>
      <c r="O713" s="36" t="str">
        <f>IFERROR(IF(INDEX(使用レシピ!P:P,MATCH(テンプレート!$C713,使用レシピ!$E:$E,0))&lt;&gt;0,INDEX(使用レシピ!P:P,MATCH(テンプレート!$C713,使用レシピ!$E:$E,0)),""),"")</f>
        <v/>
      </c>
      <c r="P713" t="str">
        <f t="shared" si="56"/>
        <v/>
      </c>
      <c r="Q713" t="str">
        <f t="shared" si="57"/>
        <v/>
      </c>
      <c r="R713" t="str">
        <f t="shared" si="58"/>
        <v/>
      </c>
      <c r="S713" t="str">
        <f t="shared" si="59"/>
        <v/>
      </c>
      <c r="T713" s="24" t="str">
        <f t="shared" si="60"/>
        <v/>
      </c>
    </row>
    <row r="714" spans="2:20" x14ac:dyDescent="0.4">
      <c r="B714" s="49" t="str" cm="1">
        <f t="array" ref="B714">IFERROR((INDEX($P$4:$T$1000,MATCH(VALUE(LEFT($A714,LEN($A714)-1)),$A$4:$A$1000,0),VALUE(RIGHT($A714,1)))/ INDEX($O$4:$O$1000,MATCH(VALUE(LEFT($A714,LEN($A714)-1)),$A$4:$A$1000))) * INDEX($B$4:$B$1000,MATCH(VALUE(LEFT($A714,LEN($A714)-1)),$A$4:$A$1000)),"")</f>
        <v/>
      </c>
      <c r="C714" s="2" t="str" cm="1">
        <f t="array" ref="C714">IFERROR(IF(INDEX($D$4:$H$1000,MATCH(VALUE(LEFT($A714,LEN($A714)-1)),$A$4:$A$1000,0),VALUE(RIGHT($A714,1)))= 0,"",INDEX($D$4:$H$1000,MATCH(VALUE(LEFT($A714,LEN($A714)-1)),$A$4:$A$1000,0),VALUE(RIGHT($A714,1)))),"")</f>
        <v/>
      </c>
      <c r="D714" s="23" t="str">
        <f>IFERROR(IF(INDEX(使用レシピ!F:F,MATCH(テンプレート!$C714,使用レシピ!$E:$E,0))&lt;&gt;0,INDEX(使用レシピ!F:F,MATCH(テンプレート!$C714,使用レシピ!$E:$E,0)),""),"")</f>
        <v/>
      </c>
      <c r="E714" t="str">
        <f>IFERROR(IF(INDEX(使用レシピ!G:G,MATCH(テンプレート!$C714,使用レシピ!$E:$E,0))&lt;&gt;0,INDEX(使用レシピ!G:G,MATCH(テンプレート!$C714,使用レシピ!$E:$E,0)),""),"")</f>
        <v/>
      </c>
      <c r="F714" t="str">
        <f>IFERROR(IF(INDEX(使用レシピ!H:H,MATCH(テンプレート!$C714,使用レシピ!$E:$E,0))&lt;&gt;0,INDEX(使用レシピ!H:H,MATCH(テンプレート!$C714,使用レシピ!$E:$E,0)),""),"")</f>
        <v/>
      </c>
      <c r="G714" t="str">
        <f>IFERROR(IF(INDEX(使用レシピ!I:I,MATCH(テンプレート!$C714,使用レシピ!$E:$E,0))&lt;&gt;0,INDEX(使用レシピ!I:I,MATCH(テンプレート!$C714,使用レシピ!$E:$E,0)),""),"")</f>
        <v/>
      </c>
      <c r="H714" s="24" t="str">
        <f>IFERROR(IF(INDEX(使用レシピ!J:J,MATCH(テンプレート!$C714,使用レシピ!$E:$E,0))&lt;&gt;0,INDEX(使用レシピ!J:J,MATCH(テンプレート!$C714,使用レシピ!$E:$E,0)),""),"")</f>
        <v/>
      </c>
      <c r="I714" s="36" t="str">
        <f>IFERROR(IF(INDEX(使用レシピ!P:P,MATCH(テンプレート!$C714,使用レシピ!$E:$E,0))&lt;&gt;0,INDEX(使用レシピ!P:P,MATCH(テンプレート!$C714,使用レシピ!$E:$E,0)),""),"")</f>
        <v/>
      </c>
      <c r="J714" t="str">
        <f>IFERROR(IF(INDEX(使用レシピ!K:K,MATCH(テンプレート!$C714,使用レシピ!$E:$E,0))&lt;&gt;0,INDEX(使用レシピ!K:K,MATCH(テンプレート!$C714,使用レシピ!$E:$E,0)),""),"")</f>
        <v/>
      </c>
      <c r="K714" t="str">
        <f>IFERROR(IF(INDEX(使用レシピ!L:L,MATCH(テンプレート!$C714,使用レシピ!$E:$E,0))&lt;&gt;0,INDEX(使用レシピ!L:L,MATCH(テンプレート!$C714,使用レシピ!$E:$E,0)),""),"")</f>
        <v/>
      </c>
      <c r="L714" t="str">
        <f>IFERROR(IF(INDEX(使用レシピ!M:M,MATCH(テンプレート!$C714,使用レシピ!$E:$E,0))&lt;&gt;0,INDEX(使用レシピ!M:M,MATCH(テンプレート!$C714,使用レシピ!$E:$E,0)),""),"")</f>
        <v/>
      </c>
      <c r="M714" t="str">
        <f>IFERROR(IF(INDEX(使用レシピ!N:N,MATCH(テンプレート!$C714,使用レシピ!$E:$E,0))&lt;&gt;0,INDEX(使用レシピ!N:N,MATCH(テンプレート!$C714,使用レシピ!$E:$E,0)),""),"")</f>
        <v/>
      </c>
      <c r="N714" s="24" t="str">
        <f>IFERROR(IF(INDEX(使用レシピ!O:O,MATCH(テンプレート!$C714,使用レシピ!$E:$E,0))&lt;&gt;0,INDEX(使用レシピ!O:O,MATCH(テンプレート!$C714,使用レシピ!$E:$E,0)),""),"")</f>
        <v/>
      </c>
      <c r="O714" s="36" t="str">
        <f>IFERROR(IF(INDEX(使用レシピ!P:P,MATCH(テンプレート!$C714,使用レシピ!$E:$E,0))&lt;&gt;0,INDEX(使用レシピ!P:P,MATCH(テンプレート!$C714,使用レシピ!$E:$E,0)),""),"")</f>
        <v/>
      </c>
      <c r="P714" t="str">
        <f t="shared" si="56"/>
        <v/>
      </c>
      <c r="Q714" t="str">
        <f t="shared" si="57"/>
        <v/>
      </c>
      <c r="R714" t="str">
        <f t="shared" si="58"/>
        <v/>
      </c>
      <c r="S714" t="str">
        <f t="shared" si="59"/>
        <v/>
      </c>
      <c r="T714" s="24" t="str">
        <f t="shared" si="60"/>
        <v/>
      </c>
    </row>
    <row r="715" spans="2:20" x14ac:dyDescent="0.4">
      <c r="B715" s="49" t="str" cm="1">
        <f t="array" ref="B715">IFERROR((INDEX($P$4:$T$1000,MATCH(VALUE(LEFT($A715,LEN($A715)-1)),$A$4:$A$1000,0),VALUE(RIGHT($A715,1)))/ INDEX($O$4:$O$1000,MATCH(VALUE(LEFT($A715,LEN($A715)-1)),$A$4:$A$1000))) * INDEX($B$4:$B$1000,MATCH(VALUE(LEFT($A715,LEN($A715)-1)),$A$4:$A$1000)),"")</f>
        <v/>
      </c>
      <c r="C715" s="2" t="str" cm="1">
        <f t="array" ref="C715">IFERROR(IF(INDEX($D$4:$H$1000,MATCH(VALUE(LEFT($A715,LEN($A715)-1)),$A$4:$A$1000,0),VALUE(RIGHT($A715,1)))= 0,"",INDEX($D$4:$H$1000,MATCH(VALUE(LEFT($A715,LEN($A715)-1)),$A$4:$A$1000,0),VALUE(RIGHT($A715,1)))),"")</f>
        <v/>
      </c>
      <c r="D715" s="23" t="str">
        <f>IFERROR(IF(INDEX(使用レシピ!F:F,MATCH(テンプレート!$C715,使用レシピ!$E:$E,0))&lt;&gt;0,INDEX(使用レシピ!F:F,MATCH(テンプレート!$C715,使用レシピ!$E:$E,0)),""),"")</f>
        <v/>
      </c>
      <c r="E715" t="str">
        <f>IFERROR(IF(INDEX(使用レシピ!G:G,MATCH(テンプレート!$C715,使用レシピ!$E:$E,0))&lt;&gt;0,INDEX(使用レシピ!G:G,MATCH(テンプレート!$C715,使用レシピ!$E:$E,0)),""),"")</f>
        <v/>
      </c>
      <c r="F715" t="str">
        <f>IFERROR(IF(INDEX(使用レシピ!H:H,MATCH(テンプレート!$C715,使用レシピ!$E:$E,0))&lt;&gt;0,INDEX(使用レシピ!H:H,MATCH(テンプレート!$C715,使用レシピ!$E:$E,0)),""),"")</f>
        <v/>
      </c>
      <c r="G715" t="str">
        <f>IFERROR(IF(INDEX(使用レシピ!I:I,MATCH(テンプレート!$C715,使用レシピ!$E:$E,0))&lt;&gt;0,INDEX(使用レシピ!I:I,MATCH(テンプレート!$C715,使用レシピ!$E:$E,0)),""),"")</f>
        <v/>
      </c>
      <c r="H715" s="24" t="str">
        <f>IFERROR(IF(INDEX(使用レシピ!J:J,MATCH(テンプレート!$C715,使用レシピ!$E:$E,0))&lt;&gt;0,INDEX(使用レシピ!J:J,MATCH(テンプレート!$C715,使用レシピ!$E:$E,0)),""),"")</f>
        <v/>
      </c>
      <c r="I715" s="36" t="str">
        <f>IFERROR(IF(INDEX(使用レシピ!P:P,MATCH(テンプレート!$C715,使用レシピ!$E:$E,0))&lt;&gt;0,INDEX(使用レシピ!P:P,MATCH(テンプレート!$C715,使用レシピ!$E:$E,0)),""),"")</f>
        <v/>
      </c>
      <c r="J715" t="str">
        <f>IFERROR(IF(INDEX(使用レシピ!K:K,MATCH(テンプレート!$C715,使用レシピ!$E:$E,0))&lt;&gt;0,INDEX(使用レシピ!K:K,MATCH(テンプレート!$C715,使用レシピ!$E:$E,0)),""),"")</f>
        <v/>
      </c>
      <c r="K715" t="str">
        <f>IFERROR(IF(INDEX(使用レシピ!L:L,MATCH(テンプレート!$C715,使用レシピ!$E:$E,0))&lt;&gt;0,INDEX(使用レシピ!L:L,MATCH(テンプレート!$C715,使用レシピ!$E:$E,0)),""),"")</f>
        <v/>
      </c>
      <c r="L715" t="str">
        <f>IFERROR(IF(INDEX(使用レシピ!M:M,MATCH(テンプレート!$C715,使用レシピ!$E:$E,0))&lt;&gt;0,INDEX(使用レシピ!M:M,MATCH(テンプレート!$C715,使用レシピ!$E:$E,0)),""),"")</f>
        <v/>
      </c>
      <c r="M715" t="str">
        <f>IFERROR(IF(INDEX(使用レシピ!N:N,MATCH(テンプレート!$C715,使用レシピ!$E:$E,0))&lt;&gt;0,INDEX(使用レシピ!N:N,MATCH(テンプレート!$C715,使用レシピ!$E:$E,0)),""),"")</f>
        <v/>
      </c>
      <c r="N715" s="24" t="str">
        <f>IFERROR(IF(INDEX(使用レシピ!O:O,MATCH(テンプレート!$C715,使用レシピ!$E:$E,0))&lt;&gt;0,INDEX(使用レシピ!O:O,MATCH(テンプレート!$C715,使用レシピ!$E:$E,0)),""),"")</f>
        <v/>
      </c>
      <c r="O715" s="36" t="str">
        <f>IFERROR(IF(INDEX(使用レシピ!P:P,MATCH(テンプレート!$C715,使用レシピ!$E:$E,0))&lt;&gt;0,INDEX(使用レシピ!P:P,MATCH(テンプレート!$C715,使用レシピ!$E:$E,0)),""),"")</f>
        <v/>
      </c>
      <c r="P715" t="str">
        <f t="shared" si="56"/>
        <v/>
      </c>
      <c r="Q715" t="str">
        <f t="shared" si="57"/>
        <v/>
      </c>
      <c r="R715" t="str">
        <f t="shared" si="58"/>
        <v/>
      </c>
      <c r="S715" t="str">
        <f t="shared" si="59"/>
        <v/>
      </c>
      <c r="T715" s="24" t="str">
        <f t="shared" si="60"/>
        <v/>
      </c>
    </row>
    <row r="716" spans="2:20" x14ac:dyDescent="0.4">
      <c r="B716" s="49" t="str" cm="1">
        <f t="array" ref="B716">IFERROR((INDEX($P$4:$T$1000,MATCH(VALUE(LEFT($A716,LEN($A716)-1)),$A$4:$A$1000,0),VALUE(RIGHT($A716,1)))/ INDEX($O$4:$O$1000,MATCH(VALUE(LEFT($A716,LEN($A716)-1)),$A$4:$A$1000))) * INDEX($B$4:$B$1000,MATCH(VALUE(LEFT($A716,LEN($A716)-1)),$A$4:$A$1000)),"")</f>
        <v/>
      </c>
      <c r="C716" s="2" t="str" cm="1">
        <f t="array" ref="C716">IFERROR(IF(INDEX($D$4:$H$1000,MATCH(VALUE(LEFT($A716,LEN($A716)-1)),$A$4:$A$1000,0),VALUE(RIGHT($A716,1)))= 0,"",INDEX($D$4:$H$1000,MATCH(VALUE(LEFT($A716,LEN($A716)-1)),$A$4:$A$1000,0),VALUE(RIGHT($A716,1)))),"")</f>
        <v/>
      </c>
      <c r="D716" s="23" t="str">
        <f>IFERROR(IF(INDEX(使用レシピ!F:F,MATCH(テンプレート!$C716,使用レシピ!$E:$E,0))&lt;&gt;0,INDEX(使用レシピ!F:F,MATCH(テンプレート!$C716,使用レシピ!$E:$E,0)),""),"")</f>
        <v/>
      </c>
      <c r="E716" t="str">
        <f>IFERROR(IF(INDEX(使用レシピ!G:G,MATCH(テンプレート!$C716,使用レシピ!$E:$E,0))&lt;&gt;0,INDEX(使用レシピ!G:G,MATCH(テンプレート!$C716,使用レシピ!$E:$E,0)),""),"")</f>
        <v/>
      </c>
      <c r="F716" t="str">
        <f>IFERROR(IF(INDEX(使用レシピ!H:H,MATCH(テンプレート!$C716,使用レシピ!$E:$E,0))&lt;&gt;0,INDEX(使用レシピ!H:H,MATCH(テンプレート!$C716,使用レシピ!$E:$E,0)),""),"")</f>
        <v/>
      </c>
      <c r="G716" t="str">
        <f>IFERROR(IF(INDEX(使用レシピ!I:I,MATCH(テンプレート!$C716,使用レシピ!$E:$E,0))&lt;&gt;0,INDEX(使用レシピ!I:I,MATCH(テンプレート!$C716,使用レシピ!$E:$E,0)),""),"")</f>
        <v/>
      </c>
      <c r="H716" s="24" t="str">
        <f>IFERROR(IF(INDEX(使用レシピ!J:J,MATCH(テンプレート!$C716,使用レシピ!$E:$E,0))&lt;&gt;0,INDEX(使用レシピ!J:J,MATCH(テンプレート!$C716,使用レシピ!$E:$E,0)),""),"")</f>
        <v/>
      </c>
      <c r="I716" s="36" t="str">
        <f>IFERROR(IF(INDEX(使用レシピ!P:P,MATCH(テンプレート!$C716,使用レシピ!$E:$E,0))&lt;&gt;0,INDEX(使用レシピ!P:P,MATCH(テンプレート!$C716,使用レシピ!$E:$E,0)),""),"")</f>
        <v/>
      </c>
      <c r="J716" t="str">
        <f>IFERROR(IF(INDEX(使用レシピ!K:K,MATCH(テンプレート!$C716,使用レシピ!$E:$E,0))&lt;&gt;0,INDEX(使用レシピ!K:K,MATCH(テンプレート!$C716,使用レシピ!$E:$E,0)),""),"")</f>
        <v/>
      </c>
      <c r="K716" t="str">
        <f>IFERROR(IF(INDEX(使用レシピ!L:L,MATCH(テンプレート!$C716,使用レシピ!$E:$E,0))&lt;&gt;0,INDEX(使用レシピ!L:L,MATCH(テンプレート!$C716,使用レシピ!$E:$E,0)),""),"")</f>
        <v/>
      </c>
      <c r="L716" t="str">
        <f>IFERROR(IF(INDEX(使用レシピ!M:M,MATCH(テンプレート!$C716,使用レシピ!$E:$E,0))&lt;&gt;0,INDEX(使用レシピ!M:M,MATCH(テンプレート!$C716,使用レシピ!$E:$E,0)),""),"")</f>
        <v/>
      </c>
      <c r="M716" t="str">
        <f>IFERROR(IF(INDEX(使用レシピ!N:N,MATCH(テンプレート!$C716,使用レシピ!$E:$E,0))&lt;&gt;0,INDEX(使用レシピ!N:N,MATCH(テンプレート!$C716,使用レシピ!$E:$E,0)),""),"")</f>
        <v/>
      </c>
      <c r="N716" s="24" t="str">
        <f>IFERROR(IF(INDEX(使用レシピ!O:O,MATCH(テンプレート!$C716,使用レシピ!$E:$E,0))&lt;&gt;0,INDEX(使用レシピ!O:O,MATCH(テンプレート!$C716,使用レシピ!$E:$E,0)),""),"")</f>
        <v/>
      </c>
      <c r="O716" s="36" t="str">
        <f>IFERROR(IF(INDEX(使用レシピ!P:P,MATCH(テンプレート!$C716,使用レシピ!$E:$E,0))&lt;&gt;0,INDEX(使用レシピ!P:P,MATCH(テンプレート!$C716,使用レシピ!$E:$E,0)),""),"")</f>
        <v/>
      </c>
      <c r="P716" t="str">
        <f t="shared" si="56"/>
        <v/>
      </c>
      <c r="Q716" t="str">
        <f t="shared" si="57"/>
        <v/>
      </c>
      <c r="R716" t="str">
        <f t="shared" si="58"/>
        <v/>
      </c>
      <c r="S716" t="str">
        <f t="shared" si="59"/>
        <v/>
      </c>
      <c r="T716" s="24" t="str">
        <f t="shared" si="60"/>
        <v/>
      </c>
    </row>
    <row r="717" spans="2:20" x14ac:dyDescent="0.4">
      <c r="B717" s="49" t="str" cm="1">
        <f t="array" ref="B717">IFERROR((INDEX($P$4:$T$1000,MATCH(VALUE(LEFT($A717,LEN($A717)-1)),$A$4:$A$1000,0),VALUE(RIGHT($A717,1)))/ INDEX($O$4:$O$1000,MATCH(VALUE(LEFT($A717,LEN($A717)-1)),$A$4:$A$1000))) * INDEX($B$4:$B$1000,MATCH(VALUE(LEFT($A717,LEN($A717)-1)),$A$4:$A$1000)),"")</f>
        <v/>
      </c>
      <c r="C717" s="2" t="str" cm="1">
        <f t="array" ref="C717">IFERROR(IF(INDEX($D$4:$H$1000,MATCH(VALUE(LEFT($A717,LEN($A717)-1)),$A$4:$A$1000,0),VALUE(RIGHT($A717,1)))= 0,"",INDEX($D$4:$H$1000,MATCH(VALUE(LEFT($A717,LEN($A717)-1)),$A$4:$A$1000,0),VALUE(RIGHT($A717,1)))),"")</f>
        <v/>
      </c>
      <c r="D717" s="23" t="str">
        <f>IFERROR(IF(INDEX(使用レシピ!F:F,MATCH(テンプレート!$C717,使用レシピ!$E:$E,0))&lt;&gt;0,INDEX(使用レシピ!F:F,MATCH(テンプレート!$C717,使用レシピ!$E:$E,0)),""),"")</f>
        <v/>
      </c>
      <c r="E717" t="str">
        <f>IFERROR(IF(INDEX(使用レシピ!G:G,MATCH(テンプレート!$C717,使用レシピ!$E:$E,0))&lt;&gt;0,INDEX(使用レシピ!G:G,MATCH(テンプレート!$C717,使用レシピ!$E:$E,0)),""),"")</f>
        <v/>
      </c>
      <c r="F717" t="str">
        <f>IFERROR(IF(INDEX(使用レシピ!H:H,MATCH(テンプレート!$C717,使用レシピ!$E:$E,0))&lt;&gt;0,INDEX(使用レシピ!H:H,MATCH(テンプレート!$C717,使用レシピ!$E:$E,0)),""),"")</f>
        <v/>
      </c>
      <c r="G717" t="str">
        <f>IFERROR(IF(INDEX(使用レシピ!I:I,MATCH(テンプレート!$C717,使用レシピ!$E:$E,0))&lt;&gt;0,INDEX(使用レシピ!I:I,MATCH(テンプレート!$C717,使用レシピ!$E:$E,0)),""),"")</f>
        <v/>
      </c>
      <c r="H717" s="24" t="str">
        <f>IFERROR(IF(INDEX(使用レシピ!J:J,MATCH(テンプレート!$C717,使用レシピ!$E:$E,0))&lt;&gt;0,INDEX(使用レシピ!J:J,MATCH(テンプレート!$C717,使用レシピ!$E:$E,0)),""),"")</f>
        <v/>
      </c>
      <c r="I717" s="36" t="str">
        <f>IFERROR(IF(INDEX(使用レシピ!P:P,MATCH(テンプレート!$C717,使用レシピ!$E:$E,0))&lt;&gt;0,INDEX(使用レシピ!P:P,MATCH(テンプレート!$C717,使用レシピ!$E:$E,0)),""),"")</f>
        <v/>
      </c>
      <c r="J717" t="str">
        <f>IFERROR(IF(INDEX(使用レシピ!K:K,MATCH(テンプレート!$C717,使用レシピ!$E:$E,0))&lt;&gt;0,INDEX(使用レシピ!K:K,MATCH(テンプレート!$C717,使用レシピ!$E:$E,0)),""),"")</f>
        <v/>
      </c>
      <c r="K717" t="str">
        <f>IFERROR(IF(INDEX(使用レシピ!L:L,MATCH(テンプレート!$C717,使用レシピ!$E:$E,0))&lt;&gt;0,INDEX(使用レシピ!L:L,MATCH(テンプレート!$C717,使用レシピ!$E:$E,0)),""),"")</f>
        <v/>
      </c>
      <c r="L717" t="str">
        <f>IFERROR(IF(INDEX(使用レシピ!M:M,MATCH(テンプレート!$C717,使用レシピ!$E:$E,0))&lt;&gt;0,INDEX(使用レシピ!M:M,MATCH(テンプレート!$C717,使用レシピ!$E:$E,0)),""),"")</f>
        <v/>
      </c>
      <c r="M717" t="str">
        <f>IFERROR(IF(INDEX(使用レシピ!N:N,MATCH(テンプレート!$C717,使用レシピ!$E:$E,0))&lt;&gt;0,INDEX(使用レシピ!N:N,MATCH(テンプレート!$C717,使用レシピ!$E:$E,0)),""),"")</f>
        <v/>
      </c>
      <c r="N717" s="24" t="str">
        <f>IFERROR(IF(INDEX(使用レシピ!O:O,MATCH(テンプレート!$C717,使用レシピ!$E:$E,0))&lt;&gt;0,INDEX(使用レシピ!O:O,MATCH(テンプレート!$C717,使用レシピ!$E:$E,0)),""),"")</f>
        <v/>
      </c>
      <c r="O717" s="36" t="str">
        <f>IFERROR(IF(INDEX(使用レシピ!P:P,MATCH(テンプレート!$C717,使用レシピ!$E:$E,0))&lt;&gt;0,INDEX(使用レシピ!P:P,MATCH(テンプレート!$C717,使用レシピ!$E:$E,0)),""),"")</f>
        <v/>
      </c>
      <c r="P717" t="str">
        <f t="shared" si="56"/>
        <v/>
      </c>
      <c r="Q717" t="str">
        <f t="shared" si="57"/>
        <v/>
      </c>
      <c r="R717" t="str">
        <f t="shared" si="58"/>
        <v/>
      </c>
      <c r="S717" t="str">
        <f t="shared" si="59"/>
        <v/>
      </c>
      <c r="T717" s="24" t="str">
        <f t="shared" si="60"/>
        <v/>
      </c>
    </row>
    <row r="718" spans="2:20" x14ac:dyDescent="0.4">
      <c r="B718" s="49" t="str" cm="1">
        <f t="array" ref="B718">IFERROR((INDEX($P$4:$T$1000,MATCH(VALUE(LEFT($A718,LEN($A718)-1)),$A$4:$A$1000,0),VALUE(RIGHT($A718,1)))/ INDEX($O$4:$O$1000,MATCH(VALUE(LEFT($A718,LEN($A718)-1)),$A$4:$A$1000))) * INDEX($B$4:$B$1000,MATCH(VALUE(LEFT($A718,LEN($A718)-1)),$A$4:$A$1000)),"")</f>
        <v/>
      </c>
      <c r="C718" s="2" t="str" cm="1">
        <f t="array" ref="C718">IFERROR(IF(INDEX($D$4:$H$1000,MATCH(VALUE(LEFT($A718,LEN($A718)-1)),$A$4:$A$1000,0),VALUE(RIGHT($A718,1)))= 0,"",INDEX($D$4:$H$1000,MATCH(VALUE(LEFT($A718,LEN($A718)-1)),$A$4:$A$1000,0),VALUE(RIGHT($A718,1)))),"")</f>
        <v/>
      </c>
      <c r="D718" s="23" t="str">
        <f>IFERROR(IF(INDEX(使用レシピ!F:F,MATCH(テンプレート!$C718,使用レシピ!$E:$E,0))&lt;&gt;0,INDEX(使用レシピ!F:F,MATCH(テンプレート!$C718,使用レシピ!$E:$E,0)),""),"")</f>
        <v/>
      </c>
      <c r="E718" t="str">
        <f>IFERROR(IF(INDEX(使用レシピ!G:G,MATCH(テンプレート!$C718,使用レシピ!$E:$E,0))&lt;&gt;0,INDEX(使用レシピ!G:G,MATCH(テンプレート!$C718,使用レシピ!$E:$E,0)),""),"")</f>
        <v/>
      </c>
      <c r="F718" t="str">
        <f>IFERROR(IF(INDEX(使用レシピ!H:H,MATCH(テンプレート!$C718,使用レシピ!$E:$E,0))&lt;&gt;0,INDEX(使用レシピ!H:H,MATCH(テンプレート!$C718,使用レシピ!$E:$E,0)),""),"")</f>
        <v/>
      </c>
      <c r="G718" t="str">
        <f>IFERROR(IF(INDEX(使用レシピ!I:I,MATCH(テンプレート!$C718,使用レシピ!$E:$E,0))&lt;&gt;0,INDEX(使用レシピ!I:I,MATCH(テンプレート!$C718,使用レシピ!$E:$E,0)),""),"")</f>
        <v/>
      </c>
      <c r="H718" s="24" t="str">
        <f>IFERROR(IF(INDEX(使用レシピ!J:J,MATCH(テンプレート!$C718,使用レシピ!$E:$E,0))&lt;&gt;0,INDEX(使用レシピ!J:J,MATCH(テンプレート!$C718,使用レシピ!$E:$E,0)),""),"")</f>
        <v/>
      </c>
      <c r="I718" s="36" t="str">
        <f>IFERROR(IF(INDEX(使用レシピ!P:P,MATCH(テンプレート!$C718,使用レシピ!$E:$E,0))&lt;&gt;0,INDEX(使用レシピ!P:P,MATCH(テンプレート!$C718,使用レシピ!$E:$E,0)),""),"")</f>
        <v/>
      </c>
      <c r="J718" t="str">
        <f>IFERROR(IF(INDEX(使用レシピ!K:K,MATCH(テンプレート!$C718,使用レシピ!$E:$E,0))&lt;&gt;0,INDEX(使用レシピ!K:K,MATCH(テンプレート!$C718,使用レシピ!$E:$E,0)),""),"")</f>
        <v/>
      </c>
      <c r="K718" t="str">
        <f>IFERROR(IF(INDEX(使用レシピ!L:L,MATCH(テンプレート!$C718,使用レシピ!$E:$E,0))&lt;&gt;0,INDEX(使用レシピ!L:L,MATCH(テンプレート!$C718,使用レシピ!$E:$E,0)),""),"")</f>
        <v/>
      </c>
      <c r="L718" t="str">
        <f>IFERROR(IF(INDEX(使用レシピ!M:M,MATCH(テンプレート!$C718,使用レシピ!$E:$E,0))&lt;&gt;0,INDEX(使用レシピ!M:M,MATCH(テンプレート!$C718,使用レシピ!$E:$E,0)),""),"")</f>
        <v/>
      </c>
      <c r="M718" t="str">
        <f>IFERROR(IF(INDEX(使用レシピ!N:N,MATCH(テンプレート!$C718,使用レシピ!$E:$E,0))&lt;&gt;0,INDEX(使用レシピ!N:N,MATCH(テンプレート!$C718,使用レシピ!$E:$E,0)),""),"")</f>
        <v/>
      </c>
      <c r="N718" s="24" t="str">
        <f>IFERROR(IF(INDEX(使用レシピ!O:O,MATCH(テンプレート!$C718,使用レシピ!$E:$E,0))&lt;&gt;0,INDEX(使用レシピ!O:O,MATCH(テンプレート!$C718,使用レシピ!$E:$E,0)),""),"")</f>
        <v/>
      </c>
      <c r="O718" s="36" t="str">
        <f>IFERROR(IF(INDEX(使用レシピ!P:P,MATCH(テンプレート!$C718,使用レシピ!$E:$E,0))&lt;&gt;0,INDEX(使用レシピ!P:P,MATCH(テンプレート!$C718,使用レシピ!$E:$E,0)),""),"")</f>
        <v/>
      </c>
      <c r="P718" t="str">
        <f t="shared" si="56"/>
        <v/>
      </c>
      <c r="Q718" t="str">
        <f t="shared" si="57"/>
        <v/>
      </c>
      <c r="R718" t="str">
        <f t="shared" si="58"/>
        <v/>
      </c>
      <c r="S718" t="str">
        <f t="shared" si="59"/>
        <v/>
      </c>
      <c r="T718" s="24" t="str">
        <f t="shared" si="60"/>
        <v/>
      </c>
    </row>
    <row r="719" spans="2:20" x14ac:dyDescent="0.4">
      <c r="B719" s="49" t="str" cm="1">
        <f t="array" ref="B719">IFERROR((INDEX($P$4:$T$1000,MATCH(VALUE(LEFT($A719,LEN($A719)-1)),$A$4:$A$1000,0),VALUE(RIGHT($A719,1)))/ INDEX($O$4:$O$1000,MATCH(VALUE(LEFT($A719,LEN($A719)-1)),$A$4:$A$1000))) * INDEX($B$4:$B$1000,MATCH(VALUE(LEFT($A719,LEN($A719)-1)),$A$4:$A$1000)),"")</f>
        <v/>
      </c>
      <c r="C719" s="2" t="str" cm="1">
        <f t="array" ref="C719">IFERROR(IF(INDEX($D$4:$H$1000,MATCH(VALUE(LEFT($A719,LEN($A719)-1)),$A$4:$A$1000,0),VALUE(RIGHT($A719,1)))= 0,"",INDEX($D$4:$H$1000,MATCH(VALUE(LEFT($A719,LEN($A719)-1)),$A$4:$A$1000,0),VALUE(RIGHT($A719,1)))),"")</f>
        <v/>
      </c>
      <c r="D719" s="23" t="str">
        <f>IFERROR(IF(INDEX(使用レシピ!F:F,MATCH(テンプレート!$C719,使用レシピ!$E:$E,0))&lt;&gt;0,INDEX(使用レシピ!F:F,MATCH(テンプレート!$C719,使用レシピ!$E:$E,0)),""),"")</f>
        <v/>
      </c>
      <c r="E719" t="str">
        <f>IFERROR(IF(INDEX(使用レシピ!G:G,MATCH(テンプレート!$C719,使用レシピ!$E:$E,0))&lt;&gt;0,INDEX(使用レシピ!G:G,MATCH(テンプレート!$C719,使用レシピ!$E:$E,0)),""),"")</f>
        <v/>
      </c>
      <c r="F719" t="str">
        <f>IFERROR(IF(INDEX(使用レシピ!H:H,MATCH(テンプレート!$C719,使用レシピ!$E:$E,0))&lt;&gt;0,INDEX(使用レシピ!H:H,MATCH(テンプレート!$C719,使用レシピ!$E:$E,0)),""),"")</f>
        <v/>
      </c>
      <c r="G719" t="str">
        <f>IFERROR(IF(INDEX(使用レシピ!I:I,MATCH(テンプレート!$C719,使用レシピ!$E:$E,0))&lt;&gt;0,INDEX(使用レシピ!I:I,MATCH(テンプレート!$C719,使用レシピ!$E:$E,0)),""),"")</f>
        <v/>
      </c>
      <c r="H719" s="24" t="str">
        <f>IFERROR(IF(INDEX(使用レシピ!J:J,MATCH(テンプレート!$C719,使用レシピ!$E:$E,0))&lt;&gt;0,INDEX(使用レシピ!J:J,MATCH(テンプレート!$C719,使用レシピ!$E:$E,0)),""),"")</f>
        <v/>
      </c>
      <c r="I719" s="36" t="str">
        <f>IFERROR(IF(INDEX(使用レシピ!P:P,MATCH(テンプレート!$C719,使用レシピ!$E:$E,0))&lt;&gt;0,INDEX(使用レシピ!P:P,MATCH(テンプレート!$C719,使用レシピ!$E:$E,0)),""),"")</f>
        <v/>
      </c>
      <c r="J719" t="str">
        <f>IFERROR(IF(INDEX(使用レシピ!K:K,MATCH(テンプレート!$C719,使用レシピ!$E:$E,0))&lt;&gt;0,INDEX(使用レシピ!K:K,MATCH(テンプレート!$C719,使用レシピ!$E:$E,0)),""),"")</f>
        <v/>
      </c>
      <c r="K719" t="str">
        <f>IFERROR(IF(INDEX(使用レシピ!L:L,MATCH(テンプレート!$C719,使用レシピ!$E:$E,0))&lt;&gt;0,INDEX(使用レシピ!L:L,MATCH(テンプレート!$C719,使用レシピ!$E:$E,0)),""),"")</f>
        <v/>
      </c>
      <c r="L719" t="str">
        <f>IFERROR(IF(INDEX(使用レシピ!M:M,MATCH(テンプレート!$C719,使用レシピ!$E:$E,0))&lt;&gt;0,INDEX(使用レシピ!M:M,MATCH(テンプレート!$C719,使用レシピ!$E:$E,0)),""),"")</f>
        <v/>
      </c>
      <c r="M719" t="str">
        <f>IFERROR(IF(INDEX(使用レシピ!N:N,MATCH(テンプレート!$C719,使用レシピ!$E:$E,0))&lt;&gt;0,INDEX(使用レシピ!N:N,MATCH(テンプレート!$C719,使用レシピ!$E:$E,0)),""),"")</f>
        <v/>
      </c>
      <c r="N719" s="24" t="str">
        <f>IFERROR(IF(INDEX(使用レシピ!O:O,MATCH(テンプレート!$C719,使用レシピ!$E:$E,0))&lt;&gt;0,INDEX(使用レシピ!O:O,MATCH(テンプレート!$C719,使用レシピ!$E:$E,0)),""),"")</f>
        <v/>
      </c>
      <c r="O719" s="36" t="str">
        <f>IFERROR(IF(INDEX(使用レシピ!P:P,MATCH(テンプレート!$C719,使用レシピ!$E:$E,0))&lt;&gt;0,INDEX(使用レシピ!P:P,MATCH(テンプレート!$C719,使用レシピ!$E:$E,0)),""),"")</f>
        <v/>
      </c>
      <c r="P719" t="str">
        <f t="shared" si="56"/>
        <v/>
      </c>
      <c r="Q719" t="str">
        <f t="shared" si="57"/>
        <v/>
      </c>
      <c r="R719" t="str">
        <f t="shared" si="58"/>
        <v/>
      </c>
      <c r="S719" t="str">
        <f t="shared" si="59"/>
        <v/>
      </c>
      <c r="T719" s="24" t="str">
        <f t="shared" si="60"/>
        <v/>
      </c>
    </row>
    <row r="720" spans="2:20" x14ac:dyDescent="0.4">
      <c r="B720" s="49" t="str" cm="1">
        <f t="array" ref="B720">IFERROR((INDEX($P$4:$T$1000,MATCH(VALUE(LEFT($A720,LEN($A720)-1)),$A$4:$A$1000,0),VALUE(RIGHT($A720,1)))/ INDEX($O$4:$O$1000,MATCH(VALUE(LEFT($A720,LEN($A720)-1)),$A$4:$A$1000))) * INDEX($B$4:$B$1000,MATCH(VALUE(LEFT($A720,LEN($A720)-1)),$A$4:$A$1000)),"")</f>
        <v/>
      </c>
      <c r="C720" s="2" t="str" cm="1">
        <f t="array" ref="C720">IFERROR(IF(INDEX($D$4:$H$1000,MATCH(VALUE(LEFT($A720,LEN($A720)-1)),$A$4:$A$1000,0),VALUE(RIGHT($A720,1)))= 0,"",INDEX($D$4:$H$1000,MATCH(VALUE(LEFT($A720,LEN($A720)-1)),$A$4:$A$1000,0),VALUE(RIGHT($A720,1)))),"")</f>
        <v/>
      </c>
      <c r="D720" s="23" t="str">
        <f>IFERROR(IF(INDEX(使用レシピ!F:F,MATCH(テンプレート!$C720,使用レシピ!$E:$E,0))&lt;&gt;0,INDEX(使用レシピ!F:F,MATCH(テンプレート!$C720,使用レシピ!$E:$E,0)),""),"")</f>
        <v/>
      </c>
      <c r="E720" t="str">
        <f>IFERROR(IF(INDEX(使用レシピ!G:G,MATCH(テンプレート!$C720,使用レシピ!$E:$E,0))&lt;&gt;0,INDEX(使用レシピ!G:G,MATCH(テンプレート!$C720,使用レシピ!$E:$E,0)),""),"")</f>
        <v/>
      </c>
      <c r="F720" t="str">
        <f>IFERROR(IF(INDEX(使用レシピ!H:H,MATCH(テンプレート!$C720,使用レシピ!$E:$E,0))&lt;&gt;0,INDEX(使用レシピ!H:H,MATCH(テンプレート!$C720,使用レシピ!$E:$E,0)),""),"")</f>
        <v/>
      </c>
      <c r="G720" t="str">
        <f>IFERROR(IF(INDEX(使用レシピ!I:I,MATCH(テンプレート!$C720,使用レシピ!$E:$E,0))&lt;&gt;0,INDEX(使用レシピ!I:I,MATCH(テンプレート!$C720,使用レシピ!$E:$E,0)),""),"")</f>
        <v/>
      </c>
      <c r="H720" s="24" t="str">
        <f>IFERROR(IF(INDEX(使用レシピ!J:J,MATCH(テンプレート!$C720,使用レシピ!$E:$E,0))&lt;&gt;0,INDEX(使用レシピ!J:J,MATCH(テンプレート!$C720,使用レシピ!$E:$E,0)),""),"")</f>
        <v/>
      </c>
      <c r="I720" s="36" t="str">
        <f>IFERROR(IF(INDEX(使用レシピ!P:P,MATCH(テンプレート!$C720,使用レシピ!$E:$E,0))&lt;&gt;0,INDEX(使用レシピ!P:P,MATCH(テンプレート!$C720,使用レシピ!$E:$E,0)),""),"")</f>
        <v/>
      </c>
      <c r="J720" t="str">
        <f>IFERROR(IF(INDEX(使用レシピ!K:K,MATCH(テンプレート!$C720,使用レシピ!$E:$E,0))&lt;&gt;0,INDEX(使用レシピ!K:K,MATCH(テンプレート!$C720,使用レシピ!$E:$E,0)),""),"")</f>
        <v/>
      </c>
      <c r="K720" t="str">
        <f>IFERROR(IF(INDEX(使用レシピ!L:L,MATCH(テンプレート!$C720,使用レシピ!$E:$E,0))&lt;&gt;0,INDEX(使用レシピ!L:L,MATCH(テンプレート!$C720,使用レシピ!$E:$E,0)),""),"")</f>
        <v/>
      </c>
      <c r="L720" t="str">
        <f>IFERROR(IF(INDEX(使用レシピ!M:M,MATCH(テンプレート!$C720,使用レシピ!$E:$E,0))&lt;&gt;0,INDEX(使用レシピ!M:M,MATCH(テンプレート!$C720,使用レシピ!$E:$E,0)),""),"")</f>
        <v/>
      </c>
      <c r="M720" t="str">
        <f>IFERROR(IF(INDEX(使用レシピ!N:N,MATCH(テンプレート!$C720,使用レシピ!$E:$E,0))&lt;&gt;0,INDEX(使用レシピ!N:N,MATCH(テンプレート!$C720,使用レシピ!$E:$E,0)),""),"")</f>
        <v/>
      </c>
      <c r="N720" s="24" t="str">
        <f>IFERROR(IF(INDEX(使用レシピ!O:O,MATCH(テンプレート!$C720,使用レシピ!$E:$E,0))&lt;&gt;0,INDEX(使用レシピ!O:O,MATCH(テンプレート!$C720,使用レシピ!$E:$E,0)),""),"")</f>
        <v/>
      </c>
      <c r="O720" s="36" t="str">
        <f>IFERROR(IF(INDEX(使用レシピ!P:P,MATCH(テンプレート!$C720,使用レシピ!$E:$E,0))&lt;&gt;0,INDEX(使用レシピ!P:P,MATCH(テンプレート!$C720,使用レシピ!$E:$E,0)),""),"")</f>
        <v/>
      </c>
      <c r="P720" t="str">
        <f t="shared" si="56"/>
        <v/>
      </c>
      <c r="Q720" t="str">
        <f t="shared" si="57"/>
        <v/>
      </c>
      <c r="R720" t="str">
        <f t="shared" si="58"/>
        <v/>
      </c>
      <c r="S720" t="str">
        <f t="shared" si="59"/>
        <v/>
      </c>
      <c r="T720" s="24" t="str">
        <f t="shared" si="60"/>
        <v/>
      </c>
    </row>
    <row r="721" spans="2:20" x14ac:dyDescent="0.4">
      <c r="B721" s="49" t="str" cm="1">
        <f t="array" ref="B721">IFERROR((INDEX($P$4:$T$1000,MATCH(VALUE(LEFT($A721,LEN($A721)-1)),$A$4:$A$1000,0),VALUE(RIGHT($A721,1)))/ INDEX($O$4:$O$1000,MATCH(VALUE(LEFT($A721,LEN($A721)-1)),$A$4:$A$1000))) * INDEX($B$4:$B$1000,MATCH(VALUE(LEFT($A721,LEN($A721)-1)),$A$4:$A$1000)),"")</f>
        <v/>
      </c>
      <c r="C721" s="2" t="str" cm="1">
        <f t="array" ref="C721">IFERROR(IF(INDEX($D$4:$H$1000,MATCH(VALUE(LEFT($A721,LEN($A721)-1)),$A$4:$A$1000,0),VALUE(RIGHT($A721,1)))= 0,"",INDEX($D$4:$H$1000,MATCH(VALUE(LEFT($A721,LEN($A721)-1)),$A$4:$A$1000,0),VALUE(RIGHT($A721,1)))),"")</f>
        <v/>
      </c>
      <c r="D721" s="23" t="str">
        <f>IFERROR(IF(INDEX(使用レシピ!F:F,MATCH(テンプレート!$C721,使用レシピ!$E:$E,0))&lt;&gt;0,INDEX(使用レシピ!F:F,MATCH(テンプレート!$C721,使用レシピ!$E:$E,0)),""),"")</f>
        <v/>
      </c>
      <c r="E721" t="str">
        <f>IFERROR(IF(INDEX(使用レシピ!G:G,MATCH(テンプレート!$C721,使用レシピ!$E:$E,0))&lt;&gt;0,INDEX(使用レシピ!G:G,MATCH(テンプレート!$C721,使用レシピ!$E:$E,0)),""),"")</f>
        <v/>
      </c>
      <c r="F721" t="str">
        <f>IFERROR(IF(INDEX(使用レシピ!H:H,MATCH(テンプレート!$C721,使用レシピ!$E:$E,0))&lt;&gt;0,INDEX(使用レシピ!H:H,MATCH(テンプレート!$C721,使用レシピ!$E:$E,0)),""),"")</f>
        <v/>
      </c>
      <c r="G721" t="str">
        <f>IFERROR(IF(INDEX(使用レシピ!I:I,MATCH(テンプレート!$C721,使用レシピ!$E:$E,0))&lt;&gt;0,INDEX(使用レシピ!I:I,MATCH(テンプレート!$C721,使用レシピ!$E:$E,0)),""),"")</f>
        <v/>
      </c>
      <c r="H721" s="24" t="str">
        <f>IFERROR(IF(INDEX(使用レシピ!J:J,MATCH(テンプレート!$C721,使用レシピ!$E:$E,0))&lt;&gt;0,INDEX(使用レシピ!J:J,MATCH(テンプレート!$C721,使用レシピ!$E:$E,0)),""),"")</f>
        <v/>
      </c>
      <c r="I721" s="36" t="str">
        <f>IFERROR(IF(INDEX(使用レシピ!P:P,MATCH(テンプレート!$C721,使用レシピ!$E:$E,0))&lt;&gt;0,INDEX(使用レシピ!P:P,MATCH(テンプレート!$C721,使用レシピ!$E:$E,0)),""),"")</f>
        <v/>
      </c>
      <c r="J721" t="str">
        <f>IFERROR(IF(INDEX(使用レシピ!K:K,MATCH(テンプレート!$C721,使用レシピ!$E:$E,0))&lt;&gt;0,INDEX(使用レシピ!K:K,MATCH(テンプレート!$C721,使用レシピ!$E:$E,0)),""),"")</f>
        <v/>
      </c>
      <c r="K721" t="str">
        <f>IFERROR(IF(INDEX(使用レシピ!L:L,MATCH(テンプレート!$C721,使用レシピ!$E:$E,0))&lt;&gt;0,INDEX(使用レシピ!L:L,MATCH(テンプレート!$C721,使用レシピ!$E:$E,0)),""),"")</f>
        <v/>
      </c>
      <c r="L721" t="str">
        <f>IFERROR(IF(INDEX(使用レシピ!M:M,MATCH(テンプレート!$C721,使用レシピ!$E:$E,0))&lt;&gt;0,INDEX(使用レシピ!M:M,MATCH(テンプレート!$C721,使用レシピ!$E:$E,0)),""),"")</f>
        <v/>
      </c>
      <c r="M721" t="str">
        <f>IFERROR(IF(INDEX(使用レシピ!N:N,MATCH(テンプレート!$C721,使用レシピ!$E:$E,0))&lt;&gt;0,INDEX(使用レシピ!N:N,MATCH(テンプレート!$C721,使用レシピ!$E:$E,0)),""),"")</f>
        <v/>
      </c>
      <c r="N721" s="24" t="str">
        <f>IFERROR(IF(INDEX(使用レシピ!O:O,MATCH(テンプレート!$C721,使用レシピ!$E:$E,0))&lt;&gt;0,INDEX(使用レシピ!O:O,MATCH(テンプレート!$C721,使用レシピ!$E:$E,0)),""),"")</f>
        <v/>
      </c>
      <c r="O721" s="36" t="str">
        <f>IFERROR(IF(INDEX(使用レシピ!P:P,MATCH(テンプレート!$C721,使用レシピ!$E:$E,0))&lt;&gt;0,INDEX(使用レシピ!P:P,MATCH(テンプレート!$C721,使用レシピ!$E:$E,0)),""),"")</f>
        <v/>
      </c>
      <c r="P721" t="str">
        <f t="shared" si="56"/>
        <v/>
      </c>
      <c r="Q721" t="str">
        <f t="shared" si="57"/>
        <v/>
      </c>
      <c r="R721" t="str">
        <f t="shared" si="58"/>
        <v/>
      </c>
      <c r="S721" t="str">
        <f t="shared" si="59"/>
        <v/>
      </c>
      <c r="T721" s="24" t="str">
        <f t="shared" si="60"/>
        <v/>
      </c>
    </row>
    <row r="722" spans="2:20" x14ac:dyDescent="0.4">
      <c r="B722" s="49" t="str" cm="1">
        <f t="array" ref="B722">IFERROR((INDEX($P$4:$T$1000,MATCH(VALUE(LEFT($A722,LEN($A722)-1)),$A$4:$A$1000,0),VALUE(RIGHT($A722,1)))/ INDEX($O$4:$O$1000,MATCH(VALUE(LEFT($A722,LEN($A722)-1)),$A$4:$A$1000))) * INDEX($B$4:$B$1000,MATCH(VALUE(LEFT($A722,LEN($A722)-1)),$A$4:$A$1000)),"")</f>
        <v/>
      </c>
      <c r="C722" s="2" t="str" cm="1">
        <f t="array" ref="C722">IFERROR(IF(INDEX($D$4:$H$1000,MATCH(VALUE(LEFT($A722,LEN($A722)-1)),$A$4:$A$1000,0),VALUE(RIGHT($A722,1)))= 0,"",INDEX($D$4:$H$1000,MATCH(VALUE(LEFT($A722,LEN($A722)-1)),$A$4:$A$1000,0),VALUE(RIGHT($A722,1)))),"")</f>
        <v/>
      </c>
      <c r="D722" s="23" t="str">
        <f>IFERROR(IF(INDEX(使用レシピ!F:F,MATCH(テンプレート!$C722,使用レシピ!$E:$E,0))&lt;&gt;0,INDEX(使用レシピ!F:F,MATCH(テンプレート!$C722,使用レシピ!$E:$E,0)),""),"")</f>
        <v/>
      </c>
      <c r="E722" t="str">
        <f>IFERROR(IF(INDEX(使用レシピ!G:G,MATCH(テンプレート!$C722,使用レシピ!$E:$E,0))&lt;&gt;0,INDEX(使用レシピ!G:G,MATCH(テンプレート!$C722,使用レシピ!$E:$E,0)),""),"")</f>
        <v/>
      </c>
      <c r="F722" t="str">
        <f>IFERROR(IF(INDEX(使用レシピ!H:H,MATCH(テンプレート!$C722,使用レシピ!$E:$E,0))&lt;&gt;0,INDEX(使用レシピ!H:H,MATCH(テンプレート!$C722,使用レシピ!$E:$E,0)),""),"")</f>
        <v/>
      </c>
      <c r="G722" t="str">
        <f>IFERROR(IF(INDEX(使用レシピ!I:I,MATCH(テンプレート!$C722,使用レシピ!$E:$E,0))&lt;&gt;0,INDEX(使用レシピ!I:I,MATCH(テンプレート!$C722,使用レシピ!$E:$E,0)),""),"")</f>
        <v/>
      </c>
      <c r="H722" s="24" t="str">
        <f>IFERROR(IF(INDEX(使用レシピ!J:J,MATCH(テンプレート!$C722,使用レシピ!$E:$E,0))&lt;&gt;0,INDEX(使用レシピ!J:J,MATCH(テンプレート!$C722,使用レシピ!$E:$E,0)),""),"")</f>
        <v/>
      </c>
      <c r="I722" s="36" t="str">
        <f>IFERROR(IF(INDEX(使用レシピ!P:P,MATCH(テンプレート!$C722,使用レシピ!$E:$E,0))&lt;&gt;0,INDEX(使用レシピ!P:P,MATCH(テンプレート!$C722,使用レシピ!$E:$E,0)),""),"")</f>
        <v/>
      </c>
      <c r="J722" t="str">
        <f>IFERROR(IF(INDEX(使用レシピ!K:K,MATCH(テンプレート!$C722,使用レシピ!$E:$E,0))&lt;&gt;0,INDEX(使用レシピ!K:K,MATCH(テンプレート!$C722,使用レシピ!$E:$E,0)),""),"")</f>
        <v/>
      </c>
      <c r="K722" t="str">
        <f>IFERROR(IF(INDEX(使用レシピ!L:L,MATCH(テンプレート!$C722,使用レシピ!$E:$E,0))&lt;&gt;0,INDEX(使用レシピ!L:L,MATCH(テンプレート!$C722,使用レシピ!$E:$E,0)),""),"")</f>
        <v/>
      </c>
      <c r="L722" t="str">
        <f>IFERROR(IF(INDEX(使用レシピ!M:M,MATCH(テンプレート!$C722,使用レシピ!$E:$E,0))&lt;&gt;0,INDEX(使用レシピ!M:M,MATCH(テンプレート!$C722,使用レシピ!$E:$E,0)),""),"")</f>
        <v/>
      </c>
      <c r="M722" t="str">
        <f>IFERROR(IF(INDEX(使用レシピ!N:N,MATCH(テンプレート!$C722,使用レシピ!$E:$E,0))&lt;&gt;0,INDEX(使用レシピ!N:N,MATCH(テンプレート!$C722,使用レシピ!$E:$E,0)),""),"")</f>
        <v/>
      </c>
      <c r="N722" s="24" t="str">
        <f>IFERROR(IF(INDEX(使用レシピ!O:O,MATCH(テンプレート!$C722,使用レシピ!$E:$E,0))&lt;&gt;0,INDEX(使用レシピ!O:O,MATCH(テンプレート!$C722,使用レシピ!$E:$E,0)),""),"")</f>
        <v/>
      </c>
      <c r="O722" s="36" t="str">
        <f>IFERROR(IF(INDEX(使用レシピ!P:P,MATCH(テンプレート!$C722,使用レシピ!$E:$E,0))&lt;&gt;0,INDEX(使用レシピ!P:P,MATCH(テンプレート!$C722,使用レシピ!$E:$E,0)),""),"")</f>
        <v/>
      </c>
      <c r="P722" t="str">
        <f t="shared" si="56"/>
        <v/>
      </c>
      <c r="Q722" t="str">
        <f t="shared" si="57"/>
        <v/>
      </c>
      <c r="R722" t="str">
        <f t="shared" si="58"/>
        <v/>
      </c>
      <c r="S722" t="str">
        <f t="shared" si="59"/>
        <v/>
      </c>
      <c r="T722" s="24" t="str">
        <f t="shared" si="60"/>
        <v/>
      </c>
    </row>
    <row r="723" spans="2:20" x14ac:dyDescent="0.4">
      <c r="B723" s="49" t="str" cm="1">
        <f t="array" ref="B723">IFERROR((INDEX($P$4:$T$1000,MATCH(VALUE(LEFT($A723,LEN($A723)-1)),$A$4:$A$1000,0),VALUE(RIGHT($A723,1)))/ INDEX($O$4:$O$1000,MATCH(VALUE(LEFT($A723,LEN($A723)-1)),$A$4:$A$1000))) * INDEX($B$4:$B$1000,MATCH(VALUE(LEFT($A723,LEN($A723)-1)),$A$4:$A$1000)),"")</f>
        <v/>
      </c>
      <c r="C723" s="2" t="str" cm="1">
        <f t="array" ref="C723">IFERROR(IF(INDEX($D$4:$H$1000,MATCH(VALUE(LEFT($A723,LEN($A723)-1)),$A$4:$A$1000,0),VALUE(RIGHT($A723,1)))= 0,"",INDEX($D$4:$H$1000,MATCH(VALUE(LEFT($A723,LEN($A723)-1)),$A$4:$A$1000,0),VALUE(RIGHT($A723,1)))),"")</f>
        <v/>
      </c>
      <c r="D723" s="23" t="str">
        <f>IFERROR(IF(INDEX(使用レシピ!F:F,MATCH(テンプレート!$C723,使用レシピ!$E:$E,0))&lt;&gt;0,INDEX(使用レシピ!F:F,MATCH(テンプレート!$C723,使用レシピ!$E:$E,0)),""),"")</f>
        <v/>
      </c>
      <c r="E723" t="str">
        <f>IFERROR(IF(INDEX(使用レシピ!G:G,MATCH(テンプレート!$C723,使用レシピ!$E:$E,0))&lt;&gt;0,INDEX(使用レシピ!G:G,MATCH(テンプレート!$C723,使用レシピ!$E:$E,0)),""),"")</f>
        <v/>
      </c>
      <c r="F723" t="str">
        <f>IFERROR(IF(INDEX(使用レシピ!H:H,MATCH(テンプレート!$C723,使用レシピ!$E:$E,0))&lt;&gt;0,INDEX(使用レシピ!H:H,MATCH(テンプレート!$C723,使用レシピ!$E:$E,0)),""),"")</f>
        <v/>
      </c>
      <c r="G723" t="str">
        <f>IFERROR(IF(INDEX(使用レシピ!I:I,MATCH(テンプレート!$C723,使用レシピ!$E:$E,0))&lt;&gt;0,INDEX(使用レシピ!I:I,MATCH(テンプレート!$C723,使用レシピ!$E:$E,0)),""),"")</f>
        <v/>
      </c>
      <c r="H723" s="24" t="str">
        <f>IFERROR(IF(INDEX(使用レシピ!J:J,MATCH(テンプレート!$C723,使用レシピ!$E:$E,0))&lt;&gt;0,INDEX(使用レシピ!J:J,MATCH(テンプレート!$C723,使用レシピ!$E:$E,0)),""),"")</f>
        <v/>
      </c>
      <c r="I723" s="36" t="str">
        <f>IFERROR(IF(INDEX(使用レシピ!P:P,MATCH(テンプレート!$C723,使用レシピ!$E:$E,0))&lt;&gt;0,INDEX(使用レシピ!P:P,MATCH(テンプレート!$C723,使用レシピ!$E:$E,0)),""),"")</f>
        <v/>
      </c>
      <c r="J723" t="str">
        <f>IFERROR(IF(INDEX(使用レシピ!K:K,MATCH(テンプレート!$C723,使用レシピ!$E:$E,0))&lt;&gt;0,INDEX(使用レシピ!K:K,MATCH(テンプレート!$C723,使用レシピ!$E:$E,0)),""),"")</f>
        <v/>
      </c>
      <c r="K723" t="str">
        <f>IFERROR(IF(INDEX(使用レシピ!L:L,MATCH(テンプレート!$C723,使用レシピ!$E:$E,0))&lt;&gt;0,INDEX(使用レシピ!L:L,MATCH(テンプレート!$C723,使用レシピ!$E:$E,0)),""),"")</f>
        <v/>
      </c>
      <c r="L723" t="str">
        <f>IFERROR(IF(INDEX(使用レシピ!M:M,MATCH(テンプレート!$C723,使用レシピ!$E:$E,0))&lt;&gt;0,INDEX(使用レシピ!M:M,MATCH(テンプレート!$C723,使用レシピ!$E:$E,0)),""),"")</f>
        <v/>
      </c>
      <c r="M723" t="str">
        <f>IFERROR(IF(INDEX(使用レシピ!N:N,MATCH(テンプレート!$C723,使用レシピ!$E:$E,0))&lt;&gt;0,INDEX(使用レシピ!N:N,MATCH(テンプレート!$C723,使用レシピ!$E:$E,0)),""),"")</f>
        <v/>
      </c>
      <c r="N723" s="24" t="str">
        <f>IFERROR(IF(INDEX(使用レシピ!O:O,MATCH(テンプレート!$C723,使用レシピ!$E:$E,0))&lt;&gt;0,INDEX(使用レシピ!O:O,MATCH(テンプレート!$C723,使用レシピ!$E:$E,0)),""),"")</f>
        <v/>
      </c>
      <c r="O723" s="36" t="str">
        <f>IFERROR(IF(INDEX(使用レシピ!P:P,MATCH(テンプレート!$C723,使用レシピ!$E:$E,0))&lt;&gt;0,INDEX(使用レシピ!P:P,MATCH(テンプレート!$C723,使用レシピ!$E:$E,0)),""),"")</f>
        <v/>
      </c>
      <c r="P723" t="str">
        <f t="shared" si="56"/>
        <v/>
      </c>
      <c r="Q723" t="str">
        <f t="shared" si="57"/>
        <v/>
      </c>
      <c r="R723" t="str">
        <f t="shared" si="58"/>
        <v/>
      </c>
      <c r="S723" t="str">
        <f t="shared" si="59"/>
        <v/>
      </c>
      <c r="T723" s="24" t="str">
        <f t="shared" si="60"/>
        <v/>
      </c>
    </row>
    <row r="724" spans="2:20" x14ac:dyDescent="0.4">
      <c r="B724" s="49" t="str" cm="1">
        <f t="array" ref="B724">IFERROR((INDEX($P$4:$T$1000,MATCH(VALUE(LEFT($A724,LEN($A724)-1)),$A$4:$A$1000,0),VALUE(RIGHT($A724,1)))/ INDEX($O$4:$O$1000,MATCH(VALUE(LEFT($A724,LEN($A724)-1)),$A$4:$A$1000))) * INDEX($B$4:$B$1000,MATCH(VALUE(LEFT($A724,LEN($A724)-1)),$A$4:$A$1000)),"")</f>
        <v/>
      </c>
      <c r="C724" s="2" t="str" cm="1">
        <f t="array" ref="C724">IFERROR(IF(INDEX($D$4:$H$1000,MATCH(VALUE(LEFT($A724,LEN($A724)-1)),$A$4:$A$1000,0),VALUE(RIGHT($A724,1)))= 0,"",INDEX($D$4:$H$1000,MATCH(VALUE(LEFT($A724,LEN($A724)-1)),$A$4:$A$1000,0),VALUE(RIGHT($A724,1)))),"")</f>
        <v/>
      </c>
      <c r="D724" s="23" t="str">
        <f>IFERROR(IF(INDEX(使用レシピ!F:F,MATCH(テンプレート!$C724,使用レシピ!$E:$E,0))&lt;&gt;0,INDEX(使用レシピ!F:F,MATCH(テンプレート!$C724,使用レシピ!$E:$E,0)),""),"")</f>
        <v/>
      </c>
      <c r="E724" t="str">
        <f>IFERROR(IF(INDEX(使用レシピ!G:G,MATCH(テンプレート!$C724,使用レシピ!$E:$E,0))&lt;&gt;0,INDEX(使用レシピ!G:G,MATCH(テンプレート!$C724,使用レシピ!$E:$E,0)),""),"")</f>
        <v/>
      </c>
      <c r="F724" t="str">
        <f>IFERROR(IF(INDEX(使用レシピ!H:H,MATCH(テンプレート!$C724,使用レシピ!$E:$E,0))&lt;&gt;0,INDEX(使用レシピ!H:H,MATCH(テンプレート!$C724,使用レシピ!$E:$E,0)),""),"")</f>
        <v/>
      </c>
      <c r="G724" t="str">
        <f>IFERROR(IF(INDEX(使用レシピ!I:I,MATCH(テンプレート!$C724,使用レシピ!$E:$E,0))&lt;&gt;0,INDEX(使用レシピ!I:I,MATCH(テンプレート!$C724,使用レシピ!$E:$E,0)),""),"")</f>
        <v/>
      </c>
      <c r="H724" s="24" t="str">
        <f>IFERROR(IF(INDEX(使用レシピ!J:J,MATCH(テンプレート!$C724,使用レシピ!$E:$E,0))&lt;&gt;0,INDEX(使用レシピ!J:J,MATCH(テンプレート!$C724,使用レシピ!$E:$E,0)),""),"")</f>
        <v/>
      </c>
      <c r="I724" s="36" t="str">
        <f>IFERROR(IF(INDEX(使用レシピ!P:P,MATCH(テンプレート!$C724,使用レシピ!$E:$E,0))&lt;&gt;0,INDEX(使用レシピ!P:P,MATCH(テンプレート!$C724,使用レシピ!$E:$E,0)),""),"")</f>
        <v/>
      </c>
      <c r="J724" t="str">
        <f>IFERROR(IF(INDEX(使用レシピ!K:K,MATCH(テンプレート!$C724,使用レシピ!$E:$E,0))&lt;&gt;0,INDEX(使用レシピ!K:K,MATCH(テンプレート!$C724,使用レシピ!$E:$E,0)),""),"")</f>
        <v/>
      </c>
      <c r="K724" t="str">
        <f>IFERROR(IF(INDEX(使用レシピ!L:L,MATCH(テンプレート!$C724,使用レシピ!$E:$E,0))&lt;&gt;0,INDEX(使用レシピ!L:L,MATCH(テンプレート!$C724,使用レシピ!$E:$E,0)),""),"")</f>
        <v/>
      </c>
      <c r="L724" t="str">
        <f>IFERROR(IF(INDEX(使用レシピ!M:M,MATCH(テンプレート!$C724,使用レシピ!$E:$E,0))&lt;&gt;0,INDEX(使用レシピ!M:M,MATCH(テンプレート!$C724,使用レシピ!$E:$E,0)),""),"")</f>
        <v/>
      </c>
      <c r="M724" t="str">
        <f>IFERROR(IF(INDEX(使用レシピ!N:N,MATCH(テンプレート!$C724,使用レシピ!$E:$E,0))&lt;&gt;0,INDEX(使用レシピ!N:N,MATCH(テンプレート!$C724,使用レシピ!$E:$E,0)),""),"")</f>
        <v/>
      </c>
      <c r="N724" s="24" t="str">
        <f>IFERROR(IF(INDEX(使用レシピ!O:O,MATCH(テンプレート!$C724,使用レシピ!$E:$E,0))&lt;&gt;0,INDEX(使用レシピ!O:O,MATCH(テンプレート!$C724,使用レシピ!$E:$E,0)),""),"")</f>
        <v/>
      </c>
      <c r="O724" s="36" t="str">
        <f>IFERROR(IF(INDEX(使用レシピ!P:P,MATCH(テンプレート!$C724,使用レシピ!$E:$E,0))&lt;&gt;0,INDEX(使用レシピ!P:P,MATCH(テンプレート!$C724,使用レシピ!$E:$E,0)),""),"")</f>
        <v/>
      </c>
      <c r="P724" t="str">
        <f t="shared" si="56"/>
        <v/>
      </c>
      <c r="Q724" t="str">
        <f t="shared" si="57"/>
        <v/>
      </c>
      <c r="R724" t="str">
        <f t="shared" si="58"/>
        <v/>
      </c>
      <c r="S724" t="str">
        <f t="shared" si="59"/>
        <v/>
      </c>
      <c r="T724" s="24" t="str">
        <f t="shared" si="60"/>
        <v/>
      </c>
    </row>
    <row r="725" spans="2:20" x14ac:dyDescent="0.4">
      <c r="B725" s="49" t="str" cm="1">
        <f t="array" ref="B725">IFERROR((INDEX($P$4:$T$1000,MATCH(VALUE(LEFT($A725,LEN($A725)-1)),$A$4:$A$1000,0),VALUE(RIGHT($A725,1)))/ INDEX($O$4:$O$1000,MATCH(VALUE(LEFT($A725,LEN($A725)-1)),$A$4:$A$1000))) * INDEX($B$4:$B$1000,MATCH(VALUE(LEFT($A725,LEN($A725)-1)),$A$4:$A$1000)),"")</f>
        <v/>
      </c>
      <c r="C725" s="2" t="str" cm="1">
        <f t="array" ref="C725">IFERROR(IF(INDEX($D$4:$H$1000,MATCH(VALUE(LEFT($A725,LEN($A725)-1)),$A$4:$A$1000,0),VALUE(RIGHT($A725,1)))= 0,"",INDEX($D$4:$H$1000,MATCH(VALUE(LEFT($A725,LEN($A725)-1)),$A$4:$A$1000,0),VALUE(RIGHT($A725,1)))),"")</f>
        <v/>
      </c>
      <c r="D725" s="23" t="str">
        <f>IFERROR(IF(INDEX(使用レシピ!F:F,MATCH(テンプレート!$C725,使用レシピ!$E:$E,0))&lt;&gt;0,INDEX(使用レシピ!F:F,MATCH(テンプレート!$C725,使用レシピ!$E:$E,0)),""),"")</f>
        <v/>
      </c>
      <c r="E725" t="str">
        <f>IFERROR(IF(INDEX(使用レシピ!G:G,MATCH(テンプレート!$C725,使用レシピ!$E:$E,0))&lt;&gt;0,INDEX(使用レシピ!G:G,MATCH(テンプレート!$C725,使用レシピ!$E:$E,0)),""),"")</f>
        <v/>
      </c>
      <c r="F725" t="str">
        <f>IFERROR(IF(INDEX(使用レシピ!H:H,MATCH(テンプレート!$C725,使用レシピ!$E:$E,0))&lt;&gt;0,INDEX(使用レシピ!H:H,MATCH(テンプレート!$C725,使用レシピ!$E:$E,0)),""),"")</f>
        <v/>
      </c>
      <c r="G725" t="str">
        <f>IFERROR(IF(INDEX(使用レシピ!I:I,MATCH(テンプレート!$C725,使用レシピ!$E:$E,0))&lt;&gt;0,INDEX(使用レシピ!I:I,MATCH(テンプレート!$C725,使用レシピ!$E:$E,0)),""),"")</f>
        <v/>
      </c>
      <c r="H725" s="24" t="str">
        <f>IFERROR(IF(INDEX(使用レシピ!J:J,MATCH(テンプレート!$C725,使用レシピ!$E:$E,0))&lt;&gt;0,INDEX(使用レシピ!J:J,MATCH(テンプレート!$C725,使用レシピ!$E:$E,0)),""),"")</f>
        <v/>
      </c>
      <c r="I725" s="36" t="str">
        <f>IFERROR(IF(INDEX(使用レシピ!P:P,MATCH(テンプレート!$C725,使用レシピ!$E:$E,0))&lt;&gt;0,INDEX(使用レシピ!P:P,MATCH(テンプレート!$C725,使用レシピ!$E:$E,0)),""),"")</f>
        <v/>
      </c>
      <c r="J725" t="str">
        <f>IFERROR(IF(INDEX(使用レシピ!K:K,MATCH(テンプレート!$C725,使用レシピ!$E:$E,0))&lt;&gt;0,INDEX(使用レシピ!K:K,MATCH(テンプレート!$C725,使用レシピ!$E:$E,0)),""),"")</f>
        <v/>
      </c>
      <c r="K725" t="str">
        <f>IFERROR(IF(INDEX(使用レシピ!L:L,MATCH(テンプレート!$C725,使用レシピ!$E:$E,0))&lt;&gt;0,INDEX(使用レシピ!L:L,MATCH(テンプレート!$C725,使用レシピ!$E:$E,0)),""),"")</f>
        <v/>
      </c>
      <c r="L725" t="str">
        <f>IFERROR(IF(INDEX(使用レシピ!M:M,MATCH(テンプレート!$C725,使用レシピ!$E:$E,0))&lt;&gt;0,INDEX(使用レシピ!M:M,MATCH(テンプレート!$C725,使用レシピ!$E:$E,0)),""),"")</f>
        <v/>
      </c>
      <c r="M725" t="str">
        <f>IFERROR(IF(INDEX(使用レシピ!N:N,MATCH(テンプレート!$C725,使用レシピ!$E:$E,0))&lt;&gt;0,INDEX(使用レシピ!N:N,MATCH(テンプレート!$C725,使用レシピ!$E:$E,0)),""),"")</f>
        <v/>
      </c>
      <c r="N725" s="24" t="str">
        <f>IFERROR(IF(INDEX(使用レシピ!O:O,MATCH(テンプレート!$C725,使用レシピ!$E:$E,0))&lt;&gt;0,INDEX(使用レシピ!O:O,MATCH(テンプレート!$C725,使用レシピ!$E:$E,0)),""),"")</f>
        <v/>
      </c>
      <c r="O725" s="36" t="str">
        <f>IFERROR(IF(INDEX(使用レシピ!P:P,MATCH(テンプレート!$C725,使用レシピ!$E:$E,0))&lt;&gt;0,INDEX(使用レシピ!P:P,MATCH(テンプレート!$C725,使用レシピ!$E:$E,0)),""),"")</f>
        <v/>
      </c>
      <c r="P725" t="str">
        <f t="shared" si="56"/>
        <v/>
      </c>
      <c r="Q725" t="str">
        <f t="shared" si="57"/>
        <v/>
      </c>
      <c r="R725" t="str">
        <f t="shared" si="58"/>
        <v/>
      </c>
      <c r="S725" t="str">
        <f t="shared" si="59"/>
        <v/>
      </c>
      <c r="T725" s="24" t="str">
        <f t="shared" si="60"/>
        <v/>
      </c>
    </row>
    <row r="726" spans="2:20" x14ac:dyDescent="0.4">
      <c r="B726" s="49" t="str" cm="1">
        <f t="array" ref="B726">IFERROR((INDEX($P$4:$T$1000,MATCH(VALUE(LEFT($A726,LEN($A726)-1)),$A$4:$A$1000,0),VALUE(RIGHT($A726,1)))/ INDEX($O$4:$O$1000,MATCH(VALUE(LEFT($A726,LEN($A726)-1)),$A$4:$A$1000))) * INDEX($B$4:$B$1000,MATCH(VALUE(LEFT($A726,LEN($A726)-1)),$A$4:$A$1000)),"")</f>
        <v/>
      </c>
      <c r="C726" s="2" t="str" cm="1">
        <f t="array" ref="C726">IFERROR(IF(INDEX($D$4:$H$1000,MATCH(VALUE(LEFT($A726,LEN($A726)-1)),$A$4:$A$1000,0),VALUE(RIGHT($A726,1)))= 0,"",INDEX($D$4:$H$1000,MATCH(VALUE(LEFT($A726,LEN($A726)-1)),$A$4:$A$1000,0),VALUE(RIGHT($A726,1)))),"")</f>
        <v/>
      </c>
      <c r="D726" s="23" t="str">
        <f>IFERROR(IF(INDEX(使用レシピ!F:F,MATCH(テンプレート!$C726,使用レシピ!$E:$E,0))&lt;&gt;0,INDEX(使用レシピ!F:F,MATCH(テンプレート!$C726,使用レシピ!$E:$E,0)),""),"")</f>
        <v/>
      </c>
      <c r="E726" t="str">
        <f>IFERROR(IF(INDEX(使用レシピ!G:G,MATCH(テンプレート!$C726,使用レシピ!$E:$E,0))&lt;&gt;0,INDEX(使用レシピ!G:G,MATCH(テンプレート!$C726,使用レシピ!$E:$E,0)),""),"")</f>
        <v/>
      </c>
      <c r="F726" t="str">
        <f>IFERROR(IF(INDEX(使用レシピ!H:H,MATCH(テンプレート!$C726,使用レシピ!$E:$E,0))&lt;&gt;0,INDEX(使用レシピ!H:H,MATCH(テンプレート!$C726,使用レシピ!$E:$E,0)),""),"")</f>
        <v/>
      </c>
      <c r="G726" t="str">
        <f>IFERROR(IF(INDEX(使用レシピ!I:I,MATCH(テンプレート!$C726,使用レシピ!$E:$E,0))&lt;&gt;0,INDEX(使用レシピ!I:I,MATCH(テンプレート!$C726,使用レシピ!$E:$E,0)),""),"")</f>
        <v/>
      </c>
      <c r="H726" s="24" t="str">
        <f>IFERROR(IF(INDEX(使用レシピ!J:J,MATCH(テンプレート!$C726,使用レシピ!$E:$E,0))&lt;&gt;0,INDEX(使用レシピ!J:J,MATCH(テンプレート!$C726,使用レシピ!$E:$E,0)),""),"")</f>
        <v/>
      </c>
      <c r="I726" s="36" t="str">
        <f>IFERROR(IF(INDEX(使用レシピ!P:P,MATCH(テンプレート!$C726,使用レシピ!$E:$E,0))&lt;&gt;0,INDEX(使用レシピ!P:P,MATCH(テンプレート!$C726,使用レシピ!$E:$E,0)),""),"")</f>
        <v/>
      </c>
      <c r="J726" t="str">
        <f>IFERROR(IF(INDEX(使用レシピ!K:K,MATCH(テンプレート!$C726,使用レシピ!$E:$E,0))&lt;&gt;0,INDEX(使用レシピ!K:K,MATCH(テンプレート!$C726,使用レシピ!$E:$E,0)),""),"")</f>
        <v/>
      </c>
      <c r="K726" t="str">
        <f>IFERROR(IF(INDEX(使用レシピ!L:L,MATCH(テンプレート!$C726,使用レシピ!$E:$E,0))&lt;&gt;0,INDEX(使用レシピ!L:L,MATCH(テンプレート!$C726,使用レシピ!$E:$E,0)),""),"")</f>
        <v/>
      </c>
      <c r="L726" t="str">
        <f>IFERROR(IF(INDEX(使用レシピ!M:M,MATCH(テンプレート!$C726,使用レシピ!$E:$E,0))&lt;&gt;0,INDEX(使用レシピ!M:M,MATCH(テンプレート!$C726,使用レシピ!$E:$E,0)),""),"")</f>
        <v/>
      </c>
      <c r="M726" t="str">
        <f>IFERROR(IF(INDEX(使用レシピ!N:N,MATCH(テンプレート!$C726,使用レシピ!$E:$E,0))&lt;&gt;0,INDEX(使用レシピ!N:N,MATCH(テンプレート!$C726,使用レシピ!$E:$E,0)),""),"")</f>
        <v/>
      </c>
      <c r="N726" s="24" t="str">
        <f>IFERROR(IF(INDEX(使用レシピ!O:O,MATCH(テンプレート!$C726,使用レシピ!$E:$E,0))&lt;&gt;0,INDEX(使用レシピ!O:O,MATCH(テンプレート!$C726,使用レシピ!$E:$E,0)),""),"")</f>
        <v/>
      </c>
      <c r="O726" s="36" t="str">
        <f>IFERROR(IF(INDEX(使用レシピ!P:P,MATCH(テンプレート!$C726,使用レシピ!$E:$E,0))&lt;&gt;0,INDEX(使用レシピ!P:P,MATCH(テンプレート!$C726,使用レシピ!$E:$E,0)),""),"")</f>
        <v/>
      </c>
      <c r="P726" t="str">
        <f t="shared" si="56"/>
        <v/>
      </c>
      <c r="Q726" t="str">
        <f t="shared" si="57"/>
        <v/>
      </c>
      <c r="R726" t="str">
        <f t="shared" si="58"/>
        <v/>
      </c>
      <c r="S726" t="str">
        <f t="shared" si="59"/>
        <v/>
      </c>
      <c r="T726" s="24" t="str">
        <f t="shared" si="60"/>
        <v/>
      </c>
    </row>
    <row r="727" spans="2:20" x14ac:dyDescent="0.4">
      <c r="B727" s="49" t="str" cm="1">
        <f t="array" ref="B727">IFERROR((INDEX($P$4:$T$1000,MATCH(VALUE(LEFT($A727,LEN($A727)-1)),$A$4:$A$1000,0),VALUE(RIGHT($A727,1)))/ INDEX($O$4:$O$1000,MATCH(VALUE(LEFT($A727,LEN($A727)-1)),$A$4:$A$1000))) * INDEX($B$4:$B$1000,MATCH(VALUE(LEFT($A727,LEN($A727)-1)),$A$4:$A$1000)),"")</f>
        <v/>
      </c>
      <c r="C727" s="2" t="str" cm="1">
        <f t="array" ref="C727">IFERROR(IF(INDEX($D$4:$H$1000,MATCH(VALUE(LEFT($A727,LEN($A727)-1)),$A$4:$A$1000,0),VALUE(RIGHT($A727,1)))= 0,"",INDEX($D$4:$H$1000,MATCH(VALUE(LEFT($A727,LEN($A727)-1)),$A$4:$A$1000,0),VALUE(RIGHT($A727,1)))),"")</f>
        <v/>
      </c>
      <c r="D727" s="23" t="str">
        <f>IFERROR(IF(INDEX(使用レシピ!F:F,MATCH(テンプレート!$C727,使用レシピ!$E:$E,0))&lt;&gt;0,INDEX(使用レシピ!F:F,MATCH(テンプレート!$C727,使用レシピ!$E:$E,0)),""),"")</f>
        <v/>
      </c>
      <c r="E727" t="str">
        <f>IFERROR(IF(INDEX(使用レシピ!G:G,MATCH(テンプレート!$C727,使用レシピ!$E:$E,0))&lt;&gt;0,INDEX(使用レシピ!G:G,MATCH(テンプレート!$C727,使用レシピ!$E:$E,0)),""),"")</f>
        <v/>
      </c>
      <c r="F727" t="str">
        <f>IFERROR(IF(INDEX(使用レシピ!H:H,MATCH(テンプレート!$C727,使用レシピ!$E:$E,0))&lt;&gt;0,INDEX(使用レシピ!H:H,MATCH(テンプレート!$C727,使用レシピ!$E:$E,0)),""),"")</f>
        <v/>
      </c>
      <c r="G727" t="str">
        <f>IFERROR(IF(INDEX(使用レシピ!I:I,MATCH(テンプレート!$C727,使用レシピ!$E:$E,0))&lt;&gt;0,INDEX(使用レシピ!I:I,MATCH(テンプレート!$C727,使用レシピ!$E:$E,0)),""),"")</f>
        <v/>
      </c>
      <c r="H727" s="24" t="str">
        <f>IFERROR(IF(INDEX(使用レシピ!J:J,MATCH(テンプレート!$C727,使用レシピ!$E:$E,0))&lt;&gt;0,INDEX(使用レシピ!J:J,MATCH(テンプレート!$C727,使用レシピ!$E:$E,0)),""),"")</f>
        <v/>
      </c>
      <c r="I727" s="36" t="str">
        <f>IFERROR(IF(INDEX(使用レシピ!P:P,MATCH(テンプレート!$C727,使用レシピ!$E:$E,0))&lt;&gt;0,INDEX(使用レシピ!P:P,MATCH(テンプレート!$C727,使用レシピ!$E:$E,0)),""),"")</f>
        <v/>
      </c>
      <c r="J727" t="str">
        <f>IFERROR(IF(INDEX(使用レシピ!K:K,MATCH(テンプレート!$C727,使用レシピ!$E:$E,0))&lt;&gt;0,INDEX(使用レシピ!K:K,MATCH(テンプレート!$C727,使用レシピ!$E:$E,0)),""),"")</f>
        <v/>
      </c>
      <c r="K727" t="str">
        <f>IFERROR(IF(INDEX(使用レシピ!L:L,MATCH(テンプレート!$C727,使用レシピ!$E:$E,0))&lt;&gt;0,INDEX(使用レシピ!L:L,MATCH(テンプレート!$C727,使用レシピ!$E:$E,0)),""),"")</f>
        <v/>
      </c>
      <c r="L727" t="str">
        <f>IFERROR(IF(INDEX(使用レシピ!M:M,MATCH(テンプレート!$C727,使用レシピ!$E:$E,0))&lt;&gt;0,INDEX(使用レシピ!M:M,MATCH(テンプレート!$C727,使用レシピ!$E:$E,0)),""),"")</f>
        <v/>
      </c>
      <c r="M727" t="str">
        <f>IFERROR(IF(INDEX(使用レシピ!N:N,MATCH(テンプレート!$C727,使用レシピ!$E:$E,0))&lt;&gt;0,INDEX(使用レシピ!N:N,MATCH(テンプレート!$C727,使用レシピ!$E:$E,0)),""),"")</f>
        <v/>
      </c>
      <c r="N727" s="24" t="str">
        <f>IFERROR(IF(INDEX(使用レシピ!O:O,MATCH(テンプレート!$C727,使用レシピ!$E:$E,0))&lt;&gt;0,INDEX(使用レシピ!O:O,MATCH(テンプレート!$C727,使用レシピ!$E:$E,0)),""),"")</f>
        <v/>
      </c>
      <c r="O727" s="36" t="str">
        <f>IFERROR(IF(INDEX(使用レシピ!P:P,MATCH(テンプレート!$C727,使用レシピ!$E:$E,0))&lt;&gt;0,INDEX(使用レシピ!P:P,MATCH(テンプレート!$C727,使用レシピ!$E:$E,0)),""),"")</f>
        <v/>
      </c>
      <c r="P727" t="str">
        <f t="shared" si="56"/>
        <v/>
      </c>
      <c r="Q727" t="str">
        <f t="shared" si="57"/>
        <v/>
      </c>
      <c r="R727" t="str">
        <f t="shared" si="58"/>
        <v/>
      </c>
      <c r="S727" t="str">
        <f t="shared" si="59"/>
        <v/>
      </c>
      <c r="T727" s="24" t="str">
        <f t="shared" si="60"/>
        <v/>
      </c>
    </row>
    <row r="728" spans="2:20" x14ac:dyDescent="0.4">
      <c r="B728" s="49" t="str" cm="1">
        <f t="array" ref="B728">IFERROR((INDEX($P$4:$T$1000,MATCH(VALUE(LEFT($A728,LEN($A728)-1)),$A$4:$A$1000,0),VALUE(RIGHT($A728,1)))/ INDEX($O$4:$O$1000,MATCH(VALUE(LEFT($A728,LEN($A728)-1)),$A$4:$A$1000))) * INDEX($B$4:$B$1000,MATCH(VALUE(LEFT($A728,LEN($A728)-1)),$A$4:$A$1000)),"")</f>
        <v/>
      </c>
      <c r="C728" s="2" t="str" cm="1">
        <f t="array" ref="C728">IFERROR(IF(INDEX($D$4:$H$1000,MATCH(VALUE(LEFT($A728,LEN($A728)-1)),$A$4:$A$1000,0),VALUE(RIGHT($A728,1)))= 0,"",INDEX($D$4:$H$1000,MATCH(VALUE(LEFT($A728,LEN($A728)-1)),$A$4:$A$1000,0),VALUE(RIGHT($A728,1)))),"")</f>
        <v/>
      </c>
      <c r="D728" s="23" t="str">
        <f>IFERROR(IF(INDEX(使用レシピ!F:F,MATCH(テンプレート!$C728,使用レシピ!$E:$E,0))&lt;&gt;0,INDEX(使用レシピ!F:F,MATCH(テンプレート!$C728,使用レシピ!$E:$E,0)),""),"")</f>
        <v/>
      </c>
      <c r="E728" t="str">
        <f>IFERROR(IF(INDEX(使用レシピ!G:G,MATCH(テンプレート!$C728,使用レシピ!$E:$E,0))&lt;&gt;0,INDEX(使用レシピ!G:G,MATCH(テンプレート!$C728,使用レシピ!$E:$E,0)),""),"")</f>
        <v/>
      </c>
      <c r="F728" t="str">
        <f>IFERROR(IF(INDEX(使用レシピ!H:H,MATCH(テンプレート!$C728,使用レシピ!$E:$E,0))&lt;&gt;0,INDEX(使用レシピ!H:H,MATCH(テンプレート!$C728,使用レシピ!$E:$E,0)),""),"")</f>
        <v/>
      </c>
      <c r="G728" t="str">
        <f>IFERROR(IF(INDEX(使用レシピ!I:I,MATCH(テンプレート!$C728,使用レシピ!$E:$E,0))&lt;&gt;0,INDEX(使用レシピ!I:I,MATCH(テンプレート!$C728,使用レシピ!$E:$E,0)),""),"")</f>
        <v/>
      </c>
      <c r="H728" s="24" t="str">
        <f>IFERROR(IF(INDEX(使用レシピ!J:J,MATCH(テンプレート!$C728,使用レシピ!$E:$E,0))&lt;&gt;0,INDEX(使用レシピ!J:J,MATCH(テンプレート!$C728,使用レシピ!$E:$E,0)),""),"")</f>
        <v/>
      </c>
      <c r="I728" s="36" t="str">
        <f>IFERROR(IF(INDEX(使用レシピ!P:P,MATCH(テンプレート!$C728,使用レシピ!$E:$E,0))&lt;&gt;0,INDEX(使用レシピ!P:P,MATCH(テンプレート!$C728,使用レシピ!$E:$E,0)),""),"")</f>
        <v/>
      </c>
      <c r="J728" t="str">
        <f>IFERROR(IF(INDEX(使用レシピ!K:K,MATCH(テンプレート!$C728,使用レシピ!$E:$E,0))&lt;&gt;0,INDEX(使用レシピ!K:K,MATCH(テンプレート!$C728,使用レシピ!$E:$E,0)),""),"")</f>
        <v/>
      </c>
      <c r="K728" t="str">
        <f>IFERROR(IF(INDEX(使用レシピ!L:L,MATCH(テンプレート!$C728,使用レシピ!$E:$E,0))&lt;&gt;0,INDEX(使用レシピ!L:L,MATCH(テンプレート!$C728,使用レシピ!$E:$E,0)),""),"")</f>
        <v/>
      </c>
      <c r="L728" t="str">
        <f>IFERROR(IF(INDEX(使用レシピ!M:M,MATCH(テンプレート!$C728,使用レシピ!$E:$E,0))&lt;&gt;0,INDEX(使用レシピ!M:M,MATCH(テンプレート!$C728,使用レシピ!$E:$E,0)),""),"")</f>
        <v/>
      </c>
      <c r="M728" t="str">
        <f>IFERROR(IF(INDEX(使用レシピ!N:N,MATCH(テンプレート!$C728,使用レシピ!$E:$E,0))&lt;&gt;0,INDEX(使用レシピ!N:N,MATCH(テンプレート!$C728,使用レシピ!$E:$E,0)),""),"")</f>
        <v/>
      </c>
      <c r="N728" s="24" t="str">
        <f>IFERROR(IF(INDEX(使用レシピ!O:O,MATCH(テンプレート!$C728,使用レシピ!$E:$E,0))&lt;&gt;0,INDEX(使用レシピ!O:O,MATCH(テンプレート!$C728,使用レシピ!$E:$E,0)),""),"")</f>
        <v/>
      </c>
      <c r="O728" s="36" t="str">
        <f>IFERROR(IF(INDEX(使用レシピ!P:P,MATCH(テンプレート!$C728,使用レシピ!$E:$E,0))&lt;&gt;0,INDEX(使用レシピ!P:P,MATCH(テンプレート!$C728,使用レシピ!$E:$E,0)),""),"")</f>
        <v/>
      </c>
      <c r="P728" t="str">
        <f t="shared" si="56"/>
        <v/>
      </c>
      <c r="Q728" t="str">
        <f t="shared" si="57"/>
        <v/>
      </c>
      <c r="R728" t="str">
        <f t="shared" si="58"/>
        <v/>
      </c>
      <c r="S728" t="str">
        <f t="shared" si="59"/>
        <v/>
      </c>
      <c r="T728" s="24" t="str">
        <f t="shared" si="60"/>
        <v/>
      </c>
    </row>
    <row r="729" spans="2:20" x14ac:dyDescent="0.4">
      <c r="B729" s="49" t="str" cm="1">
        <f t="array" ref="B729">IFERROR((INDEX($P$4:$T$1000,MATCH(VALUE(LEFT($A729,LEN($A729)-1)),$A$4:$A$1000,0),VALUE(RIGHT($A729,1)))/ INDEX($O$4:$O$1000,MATCH(VALUE(LEFT($A729,LEN($A729)-1)),$A$4:$A$1000))) * INDEX($B$4:$B$1000,MATCH(VALUE(LEFT($A729,LEN($A729)-1)),$A$4:$A$1000)),"")</f>
        <v/>
      </c>
      <c r="C729" s="2" t="str" cm="1">
        <f t="array" ref="C729">IFERROR(IF(INDEX($D$4:$H$1000,MATCH(VALUE(LEFT($A729,LEN($A729)-1)),$A$4:$A$1000,0),VALUE(RIGHT($A729,1)))= 0,"",INDEX($D$4:$H$1000,MATCH(VALUE(LEFT($A729,LEN($A729)-1)),$A$4:$A$1000,0),VALUE(RIGHT($A729,1)))),"")</f>
        <v/>
      </c>
      <c r="D729" s="23" t="str">
        <f>IFERROR(IF(INDEX(使用レシピ!F:F,MATCH(テンプレート!$C729,使用レシピ!$E:$E,0))&lt;&gt;0,INDEX(使用レシピ!F:F,MATCH(テンプレート!$C729,使用レシピ!$E:$E,0)),""),"")</f>
        <v/>
      </c>
      <c r="E729" t="str">
        <f>IFERROR(IF(INDEX(使用レシピ!G:G,MATCH(テンプレート!$C729,使用レシピ!$E:$E,0))&lt;&gt;0,INDEX(使用レシピ!G:G,MATCH(テンプレート!$C729,使用レシピ!$E:$E,0)),""),"")</f>
        <v/>
      </c>
      <c r="F729" t="str">
        <f>IFERROR(IF(INDEX(使用レシピ!H:H,MATCH(テンプレート!$C729,使用レシピ!$E:$E,0))&lt;&gt;0,INDEX(使用レシピ!H:H,MATCH(テンプレート!$C729,使用レシピ!$E:$E,0)),""),"")</f>
        <v/>
      </c>
      <c r="G729" t="str">
        <f>IFERROR(IF(INDEX(使用レシピ!I:I,MATCH(テンプレート!$C729,使用レシピ!$E:$E,0))&lt;&gt;0,INDEX(使用レシピ!I:I,MATCH(テンプレート!$C729,使用レシピ!$E:$E,0)),""),"")</f>
        <v/>
      </c>
      <c r="H729" s="24" t="str">
        <f>IFERROR(IF(INDEX(使用レシピ!J:J,MATCH(テンプレート!$C729,使用レシピ!$E:$E,0))&lt;&gt;0,INDEX(使用レシピ!J:J,MATCH(テンプレート!$C729,使用レシピ!$E:$E,0)),""),"")</f>
        <v/>
      </c>
      <c r="I729" s="36" t="str">
        <f>IFERROR(IF(INDEX(使用レシピ!P:P,MATCH(テンプレート!$C729,使用レシピ!$E:$E,0))&lt;&gt;0,INDEX(使用レシピ!P:P,MATCH(テンプレート!$C729,使用レシピ!$E:$E,0)),""),"")</f>
        <v/>
      </c>
      <c r="J729" t="str">
        <f>IFERROR(IF(INDEX(使用レシピ!K:K,MATCH(テンプレート!$C729,使用レシピ!$E:$E,0))&lt;&gt;0,INDEX(使用レシピ!K:K,MATCH(テンプレート!$C729,使用レシピ!$E:$E,0)),""),"")</f>
        <v/>
      </c>
      <c r="K729" t="str">
        <f>IFERROR(IF(INDEX(使用レシピ!L:L,MATCH(テンプレート!$C729,使用レシピ!$E:$E,0))&lt;&gt;0,INDEX(使用レシピ!L:L,MATCH(テンプレート!$C729,使用レシピ!$E:$E,0)),""),"")</f>
        <v/>
      </c>
      <c r="L729" t="str">
        <f>IFERROR(IF(INDEX(使用レシピ!M:M,MATCH(テンプレート!$C729,使用レシピ!$E:$E,0))&lt;&gt;0,INDEX(使用レシピ!M:M,MATCH(テンプレート!$C729,使用レシピ!$E:$E,0)),""),"")</f>
        <v/>
      </c>
      <c r="M729" t="str">
        <f>IFERROR(IF(INDEX(使用レシピ!N:N,MATCH(テンプレート!$C729,使用レシピ!$E:$E,0))&lt;&gt;0,INDEX(使用レシピ!N:N,MATCH(テンプレート!$C729,使用レシピ!$E:$E,0)),""),"")</f>
        <v/>
      </c>
      <c r="N729" s="24" t="str">
        <f>IFERROR(IF(INDEX(使用レシピ!O:O,MATCH(テンプレート!$C729,使用レシピ!$E:$E,0))&lt;&gt;0,INDEX(使用レシピ!O:O,MATCH(テンプレート!$C729,使用レシピ!$E:$E,0)),""),"")</f>
        <v/>
      </c>
      <c r="O729" s="36" t="str">
        <f>IFERROR(IF(INDEX(使用レシピ!P:P,MATCH(テンプレート!$C729,使用レシピ!$E:$E,0))&lt;&gt;0,INDEX(使用レシピ!P:P,MATCH(テンプレート!$C729,使用レシピ!$E:$E,0)),""),"")</f>
        <v/>
      </c>
      <c r="P729" t="str">
        <f t="shared" si="56"/>
        <v/>
      </c>
      <c r="Q729" t="str">
        <f t="shared" si="57"/>
        <v/>
      </c>
      <c r="R729" t="str">
        <f t="shared" si="58"/>
        <v/>
      </c>
      <c r="S729" t="str">
        <f t="shared" si="59"/>
        <v/>
      </c>
      <c r="T729" s="24" t="str">
        <f t="shared" si="60"/>
        <v/>
      </c>
    </row>
    <row r="730" spans="2:20" x14ac:dyDescent="0.4">
      <c r="B730" s="49" t="str" cm="1">
        <f t="array" ref="B730">IFERROR((INDEX($P$4:$T$1000,MATCH(VALUE(LEFT($A730,LEN($A730)-1)),$A$4:$A$1000,0),VALUE(RIGHT($A730,1)))/ INDEX($O$4:$O$1000,MATCH(VALUE(LEFT($A730,LEN($A730)-1)),$A$4:$A$1000))) * INDEX($B$4:$B$1000,MATCH(VALUE(LEFT($A730,LEN($A730)-1)),$A$4:$A$1000)),"")</f>
        <v/>
      </c>
      <c r="C730" s="2" t="str" cm="1">
        <f t="array" ref="C730">IFERROR(IF(INDEX($D$4:$H$1000,MATCH(VALUE(LEFT($A730,LEN($A730)-1)),$A$4:$A$1000,0),VALUE(RIGHT($A730,1)))= 0,"",INDEX($D$4:$H$1000,MATCH(VALUE(LEFT($A730,LEN($A730)-1)),$A$4:$A$1000,0),VALUE(RIGHT($A730,1)))),"")</f>
        <v/>
      </c>
      <c r="D730" s="23" t="str">
        <f>IFERROR(IF(INDEX(使用レシピ!F:F,MATCH(テンプレート!$C730,使用レシピ!$E:$E,0))&lt;&gt;0,INDEX(使用レシピ!F:F,MATCH(テンプレート!$C730,使用レシピ!$E:$E,0)),""),"")</f>
        <v/>
      </c>
      <c r="E730" t="str">
        <f>IFERROR(IF(INDEX(使用レシピ!G:G,MATCH(テンプレート!$C730,使用レシピ!$E:$E,0))&lt;&gt;0,INDEX(使用レシピ!G:G,MATCH(テンプレート!$C730,使用レシピ!$E:$E,0)),""),"")</f>
        <v/>
      </c>
      <c r="F730" t="str">
        <f>IFERROR(IF(INDEX(使用レシピ!H:H,MATCH(テンプレート!$C730,使用レシピ!$E:$E,0))&lt;&gt;0,INDEX(使用レシピ!H:H,MATCH(テンプレート!$C730,使用レシピ!$E:$E,0)),""),"")</f>
        <v/>
      </c>
      <c r="G730" t="str">
        <f>IFERROR(IF(INDEX(使用レシピ!I:I,MATCH(テンプレート!$C730,使用レシピ!$E:$E,0))&lt;&gt;0,INDEX(使用レシピ!I:I,MATCH(テンプレート!$C730,使用レシピ!$E:$E,0)),""),"")</f>
        <v/>
      </c>
      <c r="H730" s="24" t="str">
        <f>IFERROR(IF(INDEX(使用レシピ!J:J,MATCH(テンプレート!$C730,使用レシピ!$E:$E,0))&lt;&gt;0,INDEX(使用レシピ!J:J,MATCH(テンプレート!$C730,使用レシピ!$E:$E,0)),""),"")</f>
        <v/>
      </c>
      <c r="I730" s="36" t="str">
        <f>IFERROR(IF(INDEX(使用レシピ!P:P,MATCH(テンプレート!$C730,使用レシピ!$E:$E,0))&lt;&gt;0,INDEX(使用レシピ!P:P,MATCH(テンプレート!$C730,使用レシピ!$E:$E,0)),""),"")</f>
        <v/>
      </c>
      <c r="J730" t="str">
        <f>IFERROR(IF(INDEX(使用レシピ!K:K,MATCH(テンプレート!$C730,使用レシピ!$E:$E,0))&lt;&gt;0,INDEX(使用レシピ!K:K,MATCH(テンプレート!$C730,使用レシピ!$E:$E,0)),""),"")</f>
        <v/>
      </c>
      <c r="K730" t="str">
        <f>IFERROR(IF(INDEX(使用レシピ!L:L,MATCH(テンプレート!$C730,使用レシピ!$E:$E,0))&lt;&gt;0,INDEX(使用レシピ!L:L,MATCH(テンプレート!$C730,使用レシピ!$E:$E,0)),""),"")</f>
        <v/>
      </c>
      <c r="L730" t="str">
        <f>IFERROR(IF(INDEX(使用レシピ!M:M,MATCH(テンプレート!$C730,使用レシピ!$E:$E,0))&lt;&gt;0,INDEX(使用レシピ!M:M,MATCH(テンプレート!$C730,使用レシピ!$E:$E,0)),""),"")</f>
        <v/>
      </c>
      <c r="M730" t="str">
        <f>IFERROR(IF(INDEX(使用レシピ!N:N,MATCH(テンプレート!$C730,使用レシピ!$E:$E,0))&lt;&gt;0,INDEX(使用レシピ!N:N,MATCH(テンプレート!$C730,使用レシピ!$E:$E,0)),""),"")</f>
        <v/>
      </c>
      <c r="N730" s="24" t="str">
        <f>IFERROR(IF(INDEX(使用レシピ!O:O,MATCH(テンプレート!$C730,使用レシピ!$E:$E,0))&lt;&gt;0,INDEX(使用レシピ!O:O,MATCH(テンプレート!$C730,使用レシピ!$E:$E,0)),""),"")</f>
        <v/>
      </c>
      <c r="O730" s="36" t="str">
        <f>IFERROR(IF(INDEX(使用レシピ!P:P,MATCH(テンプレート!$C730,使用レシピ!$E:$E,0))&lt;&gt;0,INDEX(使用レシピ!P:P,MATCH(テンプレート!$C730,使用レシピ!$E:$E,0)),""),"")</f>
        <v/>
      </c>
      <c r="P730" t="str">
        <f t="shared" si="56"/>
        <v/>
      </c>
      <c r="Q730" t="str">
        <f t="shared" si="57"/>
        <v/>
      </c>
      <c r="R730" t="str">
        <f t="shared" si="58"/>
        <v/>
      </c>
      <c r="S730" t="str">
        <f t="shared" si="59"/>
        <v/>
      </c>
      <c r="T730" s="24" t="str">
        <f t="shared" si="60"/>
        <v/>
      </c>
    </row>
    <row r="731" spans="2:20" x14ac:dyDescent="0.4">
      <c r="B731" s="49" t="str" cm="1">
        <f t="array" ref="B731">IFERROR((INDEX($P$4:$T$1000,MATCH(VALUE(LEFT($A731,LEN($A731)-1)),$A$4:$A$1000,0),VALUE(RIGHT($A731,1)))/ INDEX($O$4:$O$1000,MATCH(VALUE(LEFT($A731,LEN($A731)-1)),$A$4:$A$1000))) * INDEX($B$4:$B$1000,MATCH(VALUE(LEFT($A731,LEN($A731)-1)),$A$4:$A$1000)),"")</f>
        <v/>
      </c>
      <c r="C731" s="2" t="str" cm="1">
        <f t="array" ref="C731">IFERROR(IF(INDEX($D$4:$H$1000,MATCH(VALUE(LEFT($A731,LEN($A731)-1)),$A$4:$A$1000,0),VALUE(RIGHT($A731,1)))= 0,"",INDEX($D$4:$H$1000,MATCH(VALUE(LEFT($A731,LEN($A731)-1)),$A$4:$A$1000,0),VALUE(RIGHT($A731,1)))),"")</f>
        <v/>
      </c>
      <c r="D731" s="23" t="str">
        <f>IFERROR(IF(INDEX(使用レシピ!F:F,MATCH(テンプレート!$C731,使用レシピ!$E:$E,0))&lt;&gt;0,INDEX(使用レシピ!F:F,MATCH(テンプレート!$C731,使用レシピ!$E:$E,0)),""),"")</f>
        <v/>
      </c>
      <c r="E731" t="str">
        <f>IFERROR(IF(INDEX(使用レシピ!G:G,MATCH(テンプレート!$C731,使用レシピ!$E:$E,0))&lt;&gt;0,INDEX(使用レシピ!G:G,MATCH(テンプレート!$C731,使用レシピ!$E:$E,0)),""),"")</f>
        <v/>
      </c>
      <c r="F731" t="str">
        <f>IFERROR(IF(INDEX(使用レシピ!H:H,MATCH(テンプレート!$C731,使用レシピ!$E:$E,0))&lt;&gt;0,INDEX(使用レシピ!H:H,MATCH(テンプレート!$C731,使用レシピ!$E:$E,0)),""),"")</f>
        <v/>
      </c>
      <c r="G731" t="str">
        <f>IFERROR(IF(INDEX(使用レシピ!I:I,MATCH(テンプレート!$C731,使用レシピ!$E:$E,0))&lt;&gt;0,INDEX(使用レシピ!I:I,MATCH(テンプレート!$C731,使用レシピ!$E:$E,0)),""),"")</f>
        <v/>
      </c>
      <c r="H731" s="24" t="str">
        <f>IFERROR(IF(INDEX(使用レシピ!J:J,MATCH(テンプレート!$C731,使用レシピ!$E:$E,0))&lt;&gt;0,INDEX(使用レシピ!J:J,MATCH(テンプレート!$C731,使用レシピ!$E:$E,0)),""),"")</f>
        <v/>
      </c>
      <c r="I731" s="36" t="str">
        <f>IFERROR(IF(INDEX(使用レシピ!P:P,MATCH(テンプレート!$C731,使用レシピ!$E:$E,0))&lt;&gt;0,INDEX(使用レシピ!P:P,MATCH(テンプレート!$C731,使用レシピ!$E:$E,0)),""),"")</f>
        <v/>
      </c>
      <c r="J731" t="str">
        <f>IFERROR(IF(INDEX(使用レシピ!K:K,MATCH(テンプレート!$C731,使用レシピ!$E:$E,0))&lt;&gt;0,INDEX(使用レシピ!K:K,MATCH(テンプレート!$C731,使用レシピ!$E:$E,0)),""),"")</f>
        <v/>
      </c>
      <c r="K731" t="str">
        <f>IFERROR(IF(INDEX(使用レシピ!L:L,MATCH(テンプレート!$C731,使用レシピ!$E:$E,0))&lt;&gt;0,INDEX(使用レシピ!L:L,MATCH(テンプレート!$C731,使用レシピ!$E:$E,0)),""),"")</f>
        <v/>
      </c>
      <c r="L731" t="str">
        <f>IFERROR(IF(INDEX(使用レシピ!M:M,MATCH(テンプレート!$C731,使用レシピ!$E:$E,0))&lt;&gt;0,INDEX(使用レシピ!M:M,MATCH(テンプレート!$C731,使用レシピ!$E:$E,0)),""),"")</f>
        <v/>
      </c>
      <c r="M731" t="str">
        <f>IFERROR(IF(INDEX(使用レシピ!N:N,MATCH(テンプレート!$C731,使用レシピ!$E:$E,0))&lt;&gt;0,INDEX(使用レシピ!N:N,MATCH(テンプレート!$C731,使用レシピ!$E:$E,0)),""),"")</f>
        <v/>
      </c>
      <c r="N731" s="24" t="str">
        <f>IFERROR(IF(INDEX(使用レシピ!O:O,MATCH(テンプレート!$C731,使用レシピ!$E:$E,0))&lt;&gt;0,INDEX(使用レシピ!O:O,MATCH(テンプレート!$C731,使用レシピ!$E:$E,0)),""),"")</f>
        <v/>
      </c>
      <c r="O731" s="36" t="str">
        <f>IFERROR(IF(INDEX(使用レシピ!P:P,MATCH(テンプレート!$C731,使用レシピ!$E:$E,0))&lt;&gt;0,INDEX(使用レシピ!P:P,MATCH(テンプレート!$C731,使用レシピ!$E:$E,0)),""),"")</f>
        <v/>
      </c>
      <c r="P731" t="str">
        <f t="shared" si="56"/>
        <v/>
      </c>
      <c r="Q731" t="str">
        <f t="shared" si="57"/>
        <v/>
      </c>
      <c r="R731" t="str">
        <f t="shared" si="58"/>
        <v/>
      </c>
      <c r="S731" t="str">
        <f t="shared" si="59"/>
        <v/>
      </c>
      <c r="T731" s="24" t="str">
        <f t="shared" si="60"/>
        <v/>
      </c>
    </row>
    <row r="732" spans="2:20" x14ac:dyDescent="0.4">
      <c r="B732" s="49" t="str" cm="1">
        <f t="array" ref="B732">IFERROR((INDEX($P$4:$T$1000,MATCH(VALUE(LEFT($A732,LEN($A732)-1)),$A$4:$A$1000,0),VALUE(RIGHT($A732,1)))/ INDEX($O$4:$O$1000,MATCH(VALUE(LEFT($A732,LEN($A732)-1)),$A$4:$A$1000))) * INDEX($B$4:$B$1000,MATCH(VALUE(LEFT($A732,LEN($A732)-1)),$A$4:$A$1000)),"")</f>
        <v/>
      </c>
      <c r="C732" s="2" t="str" cm="1">
        <f t="array" ref="C732">IFERROR(IF(INDEX($D$4:$H$1000,MATCH(VALUE(LEFT($A732,LEN($A732)-1)),$A$4:$A$1000,0),VALUE(RIGHT($A732,1)))= 0,"",INDEX($D$4:$H$1000,MATCH(VALUE(LEFT($A732,LEN($A732)-1)),$A$4:$A$1000,0),VALUE(RIGHT($A732,1)))),"")</f>
        <v/>
      </c>
      <c r="D732" s="23" t="str">
        <f>IFERROR(IF(INDEX(使用レシピ!F:F,MATCH(テンプレート!$C732,使用レシピ!$E:$E,0))&lt;&gt;0,INDEX(使用レシピ!F:F,MATCH(テンプレート!$C732,使用レシピ!$E:$E,0)),""),"")</f>
        <v/>
      </c>
      <c r="E732" t="str">
        <f>IFERROR(IF(INDEX(使用レシピ!G:G,MATCH(テンプレート!$C732,使用レシピ!$E:$E,0))&lt;&gt;0,INDEX(使用レシピ!G:G,MATCH(テンプレート!$C732,使用レシピ!$E:$E,0)),""),"")</f>
        <v/>
      </c>
      <c r="F732" t="str">
        <f>IFERROR(IF(INDEX(使用レシピ!H:H,MATCH(テンプレート!$C732,使用レシピ!$E:$E,0))&lt;&gt;0,INDEX(使用レシピ!H:H,MATCH(テンプレート!$C732,使用レシピ!$E:$E,0)),""),"")</f>
        <v/>
      </c>
      <c r="G732" t="str">
        <f>IFERROR(IF(INDEX(使用レシピ!I:I,MATCH(テンプレート!$C732,使用レシピ!$E:$E,0))&lt;&gt;0,INDEX(使用レシピ!I:I,MATCH(テンプレート!$C732,使用レシピ!$E:$E,0)),""),"")</f>
        <v/>
      </c>
      <c r="H732" s="24" t="str">
        <f>IFERROR(IF(INDEX(使用レシピ!J:J,MATCH(テンプレート!$C732,使用レシピ!$E:$E,0))&lt;&gt;0,INDEX(使用レシピ!J:J,MATCH(テンプレート!$C732,使用レシピ!$E:$E,0)),""),"")</f>
        <v/>
      </c>
      <c r="I732" s="36" t="str">
        <f>IFERROR(IF(INDEX(使用レシピ!P:P,MATCH(テンプレート!$C732,使用レシピ!$E:$E,0))&lt;&gt;0,INDEX(使用レシピ!P:P,MATCH(テンプレート!$C732,使用レシピ!$E:$E,0)),""),"")</f>
        <v/>
      </c>
      <c r="J732" t="str">
        <f>IFERROR(IF(INDEX(使用レシピ!K:K,MATCH(テンプレート!$C732,使用レシピ!$E:$E,0))&lt;&gt;0,INDEX(使用レシピ!K:K,MATCH(テンプレート!$C732,使用レシピ!$E:$E,0)),""),"")</f>
        <v/>
      </c>
      <c r="K732" t="str">
        <f>IFERROR(IF(INDEX(使用レシピ!L:L,MATCH(テンプレート!$C732,使用レシピ!$E:$E,0))&lt;&gt;0,INDEX(使用レシピ!L:L,MATCH(テンプレート!$C732,使用レシピ!$E:$E,0)),""),"")</f>
        <v/>
      </c>
      <c r="L732" t="str">
        <f>IFERROR(IF(INDEX(使用レシピ!M:M,MATCH(テンプレート!$C732,使用レシピ!$E:$E,0))&lt;&gt;0,INDEX(使用レシピ!M:M,MATCH(テンプレート!$C732,使用レシピ!$E:$E,0)),""),"")</f>
        <v/>
      </c>
      <c r="M732" t="str">
        <f>IFERROR(IF(INDEX(使用レシピ!N:N,MATCH(テンプレート!$C732,使用レシピ!$E:$E,0))&lt;&gt;0,INDEX(使用レシピ!N:N,MATCH(テンプレート!$C732,使用レシピ!$E:$E,0)),""),"")</f>
        <v/>
      </c>
      <c r="N732" s="24" t="str">
        <f>IFERROR(IF(INDEX(使用レシピ!O:O,MATCH(テンプレート!$C732,使用レシピ!$E:$E,0))&lt;&gt;0,INDEX(使用レシピ!O:O,MATCH(テンプレート!$C732,使用レシピ!$E:$E,0)),""),"")</f>
        <v/>
      </c>
      <c r="O732" s="36" t="str">
        <f>IFERROR(IF(INDEX(使用レシピ!P:P,MATCH(テンプレート!$C732,使用レシピ!$E:$E,0))&lt;&gt;0,INDEX(使用レシピ!P:P,MATCH(テンプレート!$C732,使用レシピ!$E:$E,0)),""),"")</f>
        <v/>
      </c>
      <c r="P732" t="str">
        <f t="shared" si="56"/>
        <v/>
      </c>
      <c r="Q732" t="str">
        <f t="shared" si="57"/>
        <v/>
      </c>
      <c r="R732" t="str">
        <f t="shared" si="58"/>
        <v/>
      </c>
      <c r="S732" t="str">
        <f t="shared" si="59"/>
        <v/>
      </c>
      <c r="T732" s="24" t="str">
        <f t="shared" si="60"/>
        <v/>
      </c>
    </row>
    <row r="733" spans="2:20" x14ac:dyDescent="0.4">
      <c r="B733" s="49" t="str" cm="1">
        <f t="array" ref="B733">IFERROR((INDEX($P$4:$T$1000,MATCH(VALUE(LEFT($A733,LEN($A733)-1)),$A$4:$A$1000,0),VALUE(RIGHT($A733,1)))/ INDEX($O$4:$O$1000,MATCH(VALUE(LEFT($A733,LEN($A733)-1)),$A$4:$A$1000))) * INDEX($B$4:$B$1000,MATCH(VALUE(LEFT($A733,LEN($A733)-1)),$A$4:$A$1000)),"")</f>
        <v/>
      </c>
      <c r="C733" s="2" t="str" cm="1">
        <f t="array" ref="C733">IFERROR(IF(INDEX($D$4:$H$1000,MATCH(VALUE(LEFT($A733,LEN($A733)-1)),$A$4:$A$1000,0),VALUE(RIGHT($A733,1)))= 0,"",INDEX($D$4:$H$1000,MATCH(VALUE(LEFT($A733,LEN($A733)-1)),$A$4:$A$1000,0),VALUE(RIGHT($A733,1)))),"")</f>
        <v/>
      </c>
      <c r="D733" s="23" t="str">
        <f>IFERROR(IF(INDEX(使用レシピ!F:F,MATCH(テンプレート!$C733,使用レシピ!$E:$E,0))&lt;&gt;0,INDEX(使用レシピ!F:F,MATCH(テンプレート!$C733,使用レシピ!$E:$E,0)),""),"")</f>
        <v/>
      </c>
      <c r="E733" t="str">
        <f>IFERROR(IF(INDEX(使用レシピ!G:G,MATCH(テンプレート!$C733,使用レシピ!$E:$E,0))&lt;&gt;0,INDEX(使用レシピ!G:G,MATCH(テンプレート!$C733,使用レシピ!$E:$E,0)),""),"")</f>
        <v/>
      </c>
      <c r="F733" t="str">
        <f>IFERROR(IF(INDEX(使用レシピ!H:H,MATCH(テンプレート!$C733,使用レシピ!$E:$E,0))&lt;&gt;0,INDEX(使用レシピ!H:H,MATCH(テンプレート!$C733,使用レシピ!$E:$E,0)),""),"")</f>
        <v/>
      </c>
      <c r="G733" t="str">
        <f>IFERROR(IF(INDEX(使用レシピ!I:I,MATCH(テンプレート!$C733,使用レシピ!$E:$E,0))&lt;&gt;0,INDEX(使用レシピ!I:I,MATCH(テンプレート!$C733,使用レシピ!$E:$E,0)),""),"")</f>
        <v/>
      </c>
      <c r="H733" s="24" t="str">
        <f>IFERROR(IF(INDEX(使用レシピ!J:J,MATCH(テンプレート!$C733,使用レシピ!$E:$E,0))&lt;&gt;0,INDEX(使用レシピ!J:J,MATCH(テンプレート!$C733,使用レシピ!$E:$E,0)),""),"")</f>
        <v/>
      </c>
      <c r="I733" s="36" t="str">
        <f>IFERROR(IF(INDEX(使用レシピ!P:P,MATCH(テンプレート!$C733,使用レシピ!$E:$E,0))&lt;&gt;0,INDEX(使用レシピ!P:P,MATCH(テンプレート!$C733,使用レシピ!$E:$E,0)),""),"")</f>
        <v/>
      </c>
      <c r="J733" t="str">
        <f>IFERROR(IF(INDEX(使用レシピ!K:K,MATCH(テンプレート!$C733,使用レシピ!$E:$E,0))&lt;&gt;0,INDEX(使用レシピ!K:K,MATCH(テンプレート!$C733,使用レシピ!$E:$E,0)),""),"")</f>
        <v/>
      </c>
      <c r="K733" t="str">
        <f>IFERROR(IF(INDEX(使用レシピ!L:L,MATCH(テンプレート!$C733,使用レシピ!$E:$E,0))&lt;&gt;0,INDEX(使用レシピ!L:L,MATCH(テンプレート!$C733,使用レシピ!$E:$E,0)),""),"")</f>
        <v/>
      </c>
      <c r="L733" t="str">
        <f>IFERROR(IF(INDEX(使用レシピ!M:M,MATCH(テンプレート!$C733,使用レシピ!$E:$E,0))&lt;&gt;0,INDEX(使用レシピ!M:M,MATCH(テンプレート!$C733,使用レシピ!$E:$E,0)),""),"")</f>
        <v/>
      </c>
      <c r="M733" t="str">
        <f>IFERROR(IF(INDEX(使用レシピ!N:N,MATCH(テンプレート!$C733,使用レシピ!$E:$E,0))&lt;&gt;0,INDEX(使用レシピ!N:N,MATCH(テンプレート!$C733,使用レシピ!$E:$E,0)),""),"")</f>
        <v/>
      </c>
      <c r="N733" s="24" t="str">
        <f>IFERROR(IF(INDEX(使用レシピ!O:O,MATCH(テンプレート!$C733,使用レシピ!$E:$E,0))&lt;&gt;0,INDEX(使用レシピ!O:O,MATCH(テンプレート!$C733,使用レシピ!$E:$E,0)),""),"")</f>
        <v/>
      </c>
      <c r="O733" s="36" t="str">
        <f>IFERROR(IF(INDEX(使用レシピ!P:P,MATCH(テンプレート!$C733,使用レシピ!$E:$E,0))&lt;&gt;0,INDEX(使用レシピ!P:P,MATCH(テンプレート!$C733,使用レシピ!$E:$E,0)),""),"")</f>
        <v/>
      </c>
      <c r="P733" t="str">
        <f t="shared" si="56"/>
        <v/>
      </c>
      <c r="Q733" t="str">
        <f t="shared" si="57"/>
        <v/>
      </c>
      <c r="R733" t="str">
        <f t="shared" si="58"/>
        <v/>
      </c>
      <c r="S733" t="str">
        <f t="shared" si="59"/>
        <v/>
      </c>
      <c r="T733" s="24" t="str">
        <f t="shared" si="60"/>
        <v/>
      </c>
    </row>
    <row r="734" spans="2:20" x14ac:dyDescent="0.4">
      <c r="B734" s="49" t="str" cm="1">
        <f t="array" ref="B734">IFERROR((INDEX($P$4:$T$1000,MATCH(VALUE(LEFT($A734,LEN($A734)-1)),$A$4:$A$1000,0),VALUE(RIGHT($A734,1)))/ INDEX($O$4:$O$1000,MATCH(VALUE(LEFT($A734,LEN($A734)-1)),$A$4:$A$1000))) * INDEX($B$4:$B$1000,MATCH(VALUE(LEFT($A734,LEN($A734)-1)),$A$4:$A$1000)),"")</f>
        <v/>
      </c>
      <c r="C734" s="2" t="str" cm="1">
        <f t="array" ref="C734">IFERROR(IF(INDEX($D$4:$H$1000,MATCH(VALUE(LEFT($A734,LEN($A734)-1)),$A$4:$A$1000,0),VALUE(RIGHT($A734,1)))= 0,"",INDEX($D$4:$H$1000,MATCH(VALUE(LEFT($A734,LEN($A734)-1)),$A$4:$A$1000,0),VALUE(RIGHT($A734,1)))),"")</f>
        <v/>
      </c>
      <c r="D734" s="23" t="str">
        <f>IFERROR(IF(INDEX(使用レシピ!F:F,MATCH(テンプレート!$C734,使用レシピ!$E:$E,0))&lt;&gt;0,INDEX(使用レシピ!F:F,MATCH(テンプレート!$C734,使用レシピ!$E:$E,0)),""),"")</f>
        <v/>
      </c>
      <c r="E734" t="str">
        <f>IFERROR(IF(INDEX(使用レシピ!G:G,MATCH(テンプレート!$C734,使用レシピ!$E:$E,0))&lt;&gt;0,INDEX(使用レシピ!G:G,MATCH(テンプレート!$C734,使用レシピ!$E:$E,0)),""),"")</f>
        <v/>
      </c>
      <c r="F734" t="str">
        <f>IFERROR(IF(INDEX(使用レシピ!H:H,MATCH(テンプレート!$C734,使用レシピ!$E:$E,0))&lt;&gt;0,INDEX(使用レシピ!H:H,MATCH(テンプレート!$C734,使用レシピ!$E:$E,0)),""),"")</f>
        <v/>
      </c>
      <c r="G734" t="str">
        <f>IFERROR(IF(INDEX(使用レシピ!I:I,MATCH(テンプレート!$C734,使用レシピ!$E:$E,0))&lt;&gt;0,INDEX(使用レシピ!I:I,MATCH(テンプレート!$C734,使用レシピ!$E:$E,0)),""),"")</f>
        <v/>
      </c>
      <c r="H734" s="24" t="str">
        <f>IFERROR(IF(INDEX(使用レシピ!J:J,MATCH(テンプレート!$C734,使用レシピ!$E:$E,0))&lt;&gt;0,INDEX(使用レシピ!J:J,MATCH(テンプレート!$C734,使用レシピ!$E:$E,0)),""),"")</f>
        <v/>
      </c>
      <c r="I734" s="36" t="str">
        <f>IFERROR(IF(INDEX(使用レシピ!P:P,MATCH(テンプレート!$C734,使用レシピ!$E:$E,0))&lt;&gt;0,INDEX(使用レシピ!P:P,MATCH(テンプレート!$C734,使用レシピ!$E:$E,0)),""),"")</f>
        <v/>
      </c>
      <c r="J734" t="str">
        <f>IFERROR(IF(INDEX(使用レシピ!K:K,MATCH(テンプレート!$C734,使用レシピ!$E:$E,0))&lt;&gt;0,INDEX(使用レシピ!K:K,MATCH(テンプレート!$C734,使用レシピ!$E:$E,0)),""),"")</f>
        <v/>
      </c>
      <c r="K734" t="str">
        <f>IFERROR(IF(INDEX(使用レシピ!L:L,MATCH(テンプレート!$C734,使用レシピ!$E:$E,0))&lt;&gt;0,INDEX(使用レシピ!L:L,MATCH(テンプレート!$C734,使用レシピ!$E:$E,0)),""),"")</f>
        <v/>
      </c>
      <c r="L734" t="str">
        <f>IFERROR(IF(INDEX(使用レシピ!M:M,MATCH(テンプレート!$C734,使用レシピ!$E:$E,0))&lt;&gt;0,INDEX(使用レシピ!M:M,MATCH(テンプレート!$C734,使用レシピ!$E:$E,0)),""),"")</f>
        <v/>
      </c>
      <c r="M734" t="str">
        <f>IFERROR(IF(INDEX(使用レシピ!N:N,MATCH(テンプレート!$C734,使用レシピ!$E:$E,0))&lt;&gt;0,INDEX(使用レシピ!N:N,MATCH(テンプレート!$C734,使用レシピ!$E:$E,0)),""),"")</f>
        <v/>
      </c>
      <c r="N734" s="24" t="str">
        <f>IFERROR(IF(INDEX(使用レシピ!O:O,MATCH(テンプレート!$C734,使用レシピ!$E:$E,0))&lt;&gt;0,INDEX(使用レシピ!O:O,MATCH(テンプレート!$C734,使用レシピ!$E:$E,0)),""),"")</f>
        <v/>
      </c>
      <c r="O734" s="36" t="str">
        <f>IFERROR(IF(INDEX(使用レシピ!P:P,MATCH(テンプレート!$C734,使用レシピ!$E:$E,0))&lt;&gt;0,INDEX(使用レシピ!P:P,MATCH(テンプレート!$C734,使用レシピ!$E:$E,0)),""),"")</f>
        <v/>
      </c>
      <c r="P734" t="str">
        <f t="shared" si="56"/>
        <v/>
      </c>
      <c r="Q734" t="str">
        <f t="shared" si="57"/>
        <v/>
      </c>
      <c r="R734" t="str">
        <f t="shared" si="58"/>
        <v/>
      </c>
      <c r="S734" t="str">
        <f t="shared" si="59"/>
        <v/>
      </c>
      <c r="T734" s="24" t="str">
        <f t="shared" si="60"/>
        <v/>
      </c>
    </row>
    <row r="735" spans="2:20" x14ac:dyDescent="0.4">
      <c r="B735" s="49" t="str" cm="1">
        <f t="array" ref="B735">IFERROR((INDEX($P$4:$T$1000,MATCH(VALUE(LEFT($A735,LEN($A735)-1)),$A$4:$A$1000,0),VALUE(RIGHT($A735,1)))/ INDEX($O$4:$O$1000,MATCH(VALUE(LEFT($A735,LEN($A735)-1)),$A$4:$A$1000))) * INDEX($B$4:$B$1000,MATCH(VALUE(LEFT($A735,LEN($A735)-1)),$A$4:$A$1000)),"")</f>
        <v/>
      </c>
      <c r="C735" s="2" t="str" cm="1">
        <f t="array" ref="C735">IFERROR(IF(INDEX($D$4:$H$1000,MATCH(VALUE(LEFT($A735,LEN($A735)-1)),$A$4:$A$1000,0),VALUE(RIGHT($A735,1)))= 0,"",INDEX($D$4:$H$1000,MATCH(VALUE(LEFT($A735,LEN($A735)-1)),$A$4:$A$1000,0),VALUE(RIGHT($A735,1)))),"")</f>
        <v/>
      </c>
      <c r="D735" s="23" t="str">
        <f>IFERROR(IF(INDEX(使用レシピ!F:F,MATCH(テンプレート!$C735,使用レシピ!$E:$E,0))&lt;&gt;0,INDEX(使用レシピ!F:F,MATCH(テンプレート!$C735,使用レシピ!$E:$E,0)),""),"")</f>
        <v/>
      </c>
      <c r="E735" t="str">
        <f>IFERROR(IF(INDEX(使用レシピ!G:G,MATCH(テンプレート!$C735,使用レシピ!$E:$E,0))&lt;&gt;0,INDEX(使用レシピ!G:G,MATCH(テンプレート!$C735,使用レシピ!$E:$E,0)),""),"")</f>
        <v/>
      </c>
      <c r="F735" t="str">
        <f>IFERROR(IF(INDEX(使用レシピ!H:H,MATCH(テンプレート!$C735,使用レシピ!$E:$E,0))&lt;&gt;0,INDEX(使用レシピ!H:H,MATCH(テンプレート!$C735,使用レシピ!$E:$E,0)),""),"")</f>
        <v/>
      </c>
      <c r="G735" t="str">
        <f>IFERROR(IF(INDEX(使用レシピ!I:I,MATCH(テンプレート!$C735,使用レシピ!$E:$E,0))&lt;&gt;0,INDEX(使用レシピ!I:I,MATCH(テンプレート!$C735,使用レシピ!$E:$E,0)),""),"")</f>
        <v/>
      </c>
      <c r="H735" s="24" t="str">
        <f>IFERROR(IF(INDEX(使用レシピ!J:J,MATCH(テンプレート!$C735,使用レシピ!$E:$E,0))&lt;&gt;0,INDEX(使用レシピ!J:J,MATCH(テンプレート!$C735,使用レシピ!$E:$E,0)),""),"")</f>
        <v/>
      </c>
      <c r="I735" s="36" t="str">
        <f>IFERROR(IF(INDEX(使用レシピ!P:P,MATCH(テンプレート!$C735,使用レシピ!$E:$E,0))&lt;&gt;0,INDEX(使用レシピ!P:P,MATCH(テンプレート!$C735,使用レシピ!$E:$E,0)),""),"")</f>
        <v/>
      </c>
      <c r="J735" t="str">
        <f>IFERROR(IF(INDEX(使用レシピ!K:K,MATCH(テンプレート!$C735,使用レシピ!$E:$E,0))&lt;&gt;0,INDEX(使用レシピ!K:K,MATCH(テンプレート!$C735,使用レシピ!$E:$E,0)),""),"")</f>
        <v/>
      </c>
      <c r="K735" t="str">
        <f>IFERROR(IF(INDEX(使用レシピ!L:L,MATCH(テンプレート!$C735,使用レシピ!$E:$E,0))&lt;&gt;0,INDEX(使用レシピ!L:L,MATCH(テンプレート!$C735,使用レシピ!$E:$E,0)),""),"")</f>
        <v/>
      </c>
      <c r="L735" t="str">
        <f>IFERROR(IF(INDEX(使用レシピ!M:M,MATCH(テンプレート!$C735,使用レシピ!$E:$E,0))&lt;&gt;0,INDEX(使用レシピ!M:M,MATCH(テンプレート!$C735,使用レシピ!$E:$E,0)),""),"")</f>
        <v/>
      </c>
      <c r="M735" t="str">
        <f>IFERROR(IF(INDEX(使用レシピ!N:N,MATCH(テンプレート!$C735,使用レシピ!$E:$E,0))&lt;&gt;0,INDEX(使用レシピ!N:N,MATCH(テンプレート!$C735,使用レシピ!$E:$E,0)),""),"")</f>
        <v/>
      </c>
      <c r="N735" s="24" t="str">
        <f>IFERROR(IF(INDEX(使用レシピ!O:O,MATCH(テンプレート!$C735,使用レシピ!$E:$E,0))&lt;&gt;0,INDEX(使用レシピ!O:O,MATCH(テンプレート!$C735,使用レシピ!$E:$E,0)),""),"")</f>
        <v/>
      </c>
      <c r="O735" s="36" t="str">
        <f>IFERROR(IF(INDEX(使用レシピ!P:P,MATCH(テンプレート!$C735,使用レシピ!$E:$E,0))&lt;&gt;0,INDEX(使用レシピ!P:P,MATCH(テンプレート!$C735,使用レシピ!$E:$E,0)),""),"")</f>
        <v/>
      </c>
      <c r="P735" t="str">
        <f t="shared" si="56"/>
        <v/>
      </c>
      <c r="Q735" t="str">
        <f t="shared" si="57"/>
        <v/>
      </c>
      <c r="R735" t="str">
        <f t="shared" si="58"/>
        <v/>
      </c>
      <c r="S735" t="str">
        <f t="shared" si="59"/>
        <v/>
      </c>
      <c r="T735" s="24" t="str">
        <f t="shared" si="60"/>
        <v/>
      </c>
    </row>
    <row r="736" spans="2:20" x14ac:dyDescent="0.4">
      <c r="B736" s="49" t="str" cm="1">
        <f t="array" ref="B736">IFERROR((INDEX($P$4:$T$1000,MATCH(VALUE(LEFT($A736,LEN($A736)-1)),$A$4:$A$1000,0),VALUE(RIGHT($A736,1)))/ INDEX($O$4:$O$1000,MATCH(VALUE(LEFT($A736,LEN($A736)-1)),$A$4:$A$1000))) * INDEX($B$4:$B$1000,MATCH(VALUE(LEFT($A736,LEN($A736)-1)),$A$4:$A$1000)),"")</f>
        <v/>
      </c>
      <c r="C736" s="2" t="str" cm="1">
        <f t="array" ref="C736">IFERROR(IF(INDEX($D$4:$H$1000,MATCH(VALUE(LEFT($A736,LEN($A736)-1)),$A$4:$A$1000,0),VALUE(RIGHT($A736,1)))= 0,"",INDEX($D$4:$H$1000,MATCH(VALUE(LEFT($A736,LEN($A736)-1)),$A$4:$A$1000,0),VALUE(RIGHT($A736,1)))),"")</f>
        <v/>
      </c>
      <c r="D736" s="23" t="str">
        <f>IFERROR(IF(INDEX(使用レシピ!F:F,MATCH(テンプレート!$C736,使用レシピ!$E:$E,0))&lt;&gt;0,INDEX(使用レシピ!F:F,MATCH(テンプレート!$C736,使用レシピ!$E:$E,0)),""),"")</f>
        <v/>
      </c>
      <c r="E736" t="str">
        <f>IFERROR(IF(INDEX(使用レシピ!G:G,MATCH(テンプレート!$C736,使用レシピ!$E:$E,0))&lt;&gt;0,INDEX(使用レシピ!G:G,MATCH(テンプレート!$C736,使用レシピ!$E:$E,0)),""),"")</f>
        <v/>
      </c>
      <c r="F736" t="str">
        <f>IFERROR(IF(INDEX(使用レシピ!H:H,MATCH(テンプレート!$C736,使用レシピ!$E:$E,0))&lt;&gt;0,INDEX(使用レシピ!H:H,MATCH(テンプレート!$C736,使用レシピ!$E:$E,0)),""),"")</f>
        <v/>
      </c>
      <c r="G736" t="str">
        <f>IFERROR(IF(INDEX(使用レシピ!I:I,MATCH(テンプレート!$C736,使用レシピ!$E:$E,0))&lt;&gt;0,INDEX(使用レシピ!I:I,MATCH(テンプレート!$C736,使用レシピ!$E:$E,0)),""),"")</f>
        <v/>
      </c>
      <c r="H736" s="24" t="str">
        <f>IFERROR(IF(INDEX(使用レシピ!J:J,MATCH(テンプレート!$C736,使用レシピ!$E:$E,0))&lt;&gt;0,INDEX(使用レシピ!J:J,MATCH(テンプレート!$C736,使用レシピ!$E:$E,0)),""),"")</f>
        <v/>
      </c>
      <c r="I736" s="36" t="str">
        <f>IFERROR(IF(INDEX(使用レシピ!P:P,MATCH(テンプレート!$C736,使用レシピ!$E:$E,0))&lt;&gt;0,INDEX(使用レシピ!P:P,MATCH(テンプレート!$C736,使用レシピ!$E:$E,0)),""),"")</f>
        <v/>
      </c>
      <c r="J736" t="str">
        <f>IFERROR(IF(INDEX(使用レシピ!K:K,MATCH(テンプレート!$C736,使用レシピ!$E:$E,0))&lt;&gt;0,INDEX(使用レシピ!K:K,MATCH(テンプレート!$C736,使用レシピ!$E:$E,0)),""),"")</f>
        <v/>
      </c>
      <c r="K736" t="str">
        <f>IFERROR(IF(INDEX(使用レシピ!L:L,MATCH(テンプレート!$C736,使用レシピ!$E:$E,0))&lt;&gt;0,INDEX(使用レシピ!L:L,MATCH(テンプレート!$C736,使用レシピ!$E:$E,0)),""),"")</f>
        <v/>
      </c>
      <c r="L736" t="str">
        <f>IFERROR(IF(INDEX(使用レシピ!M:M,MATCH(テンプレート!$C736,使用レシピ!$E:$E,0))&lt;&gt;0,INDEX(使用レシピ!M:M,MATCH(テンプレート!$C736,使用レシピ!$E:$E,0)),""),"")</f>
        <v/>
      </c>
      <c r="M736" t="str">
        <f>IFERROR(IF(INDEX(使用レシピ!N:N,MATCH(テンプレート!$C736,使用レシピ!$E:$E,0))&lt;&gt;0,INDEX(使用レシピ!N:N,MATCH(テンプレート!$C736,使用レシピ!$E:$E,0)),""),"")</f>
        <v/>
      </c>
      <c r="N736" s="24" t="str">
        <f>IFERROR(IF(INDEX(使用レシピ!O:O,MATCH(テンプレート!$C736,使用レシピ!$E:$E,0))&lt;&gt;0,INDEX(使用レシピ!O:O,MATCH(テンプレート!$C736,使用レシピ!$E:$E,0)),""),"")</f>
        <v/>
      </c>
      <c r="O736" s="36" t="str">
        <f>IFERROR(IF(INDEX(使用レシピ!P:P,MATCH(テンプレート!$C736,使用レシピ!$E:$E,0))&lt;&gt;0,INDEX(使用レシピ!P:P,MATCH(テンプレート!$C736,使用レシピ!$E:$E,0)),""),"")</f>
        <v/>
      </c>
      <c r="P736" t="str">
        <f t="shared" si="56"/>
        <v/>
      </c>
      <c r="Q736" t="str">
        <f t="shared" si="57"/>
        <v/>
      </c>
      <c r="R736" t="str">
        <f t="shared" si="58"/>
        <v/>
      </c>
      <c r="S736" t="str">
        <f t="shared" si="59"/>
        <v/>
      </c>
      <c r="T736" s="24" t="str">
        <f t="shared" si="60"/>
        <v/>
      </c>
    </row>
    <row r="737" spans="2:20" x14ac:dyDescent="0.4">
      <c r="B737" s="49" t="str" cm="1">
        <f t="array" ref="B737">IFERROR((INDEX($P$4:$T$1000,MATCH(VALUE(LEFT($A737,LEN($A737)-1)),$A$4:$A$1000,0),VALUE(RIGHT($A737,1)))/ INDEX($O$4:$O$1000,MATCH(VALUE(LEFT($A737,LEN($A737)-1)),$A$4:$A$1000))) * INDEX($B$4:$B$1000,MATCH(VALUE(LEFT($A737,LEN($A737)-1)),$A$4:$A$1000)),"")</f>
        <v/>
      </c>
      <c r="C737" s="2" t="str" cm="1">
        <f t="array" ref="C737">IFERROR(IF(INDEX($D$4:$H$1000,MATCH(VALUE(LEFT($A737,LEN($A737)-1)),$A$4:$A$1000,0),VALUE(RIGHT($A737,1)))= 0,"",INDEX($D$4:$H$1000,MATCH(VALUE(LEFT($A737,LEN($A737)-1)),$A$4:$A$1000,0),VALUE(RIGHT($A737,1)))),"")</f>
        <v/>
      </c>
      <c r="D737" s="23" t="str">
        <f>IFERROR(IF(INDEX(使用レシピ!F:F,MATCH(テンプレート!$C737,使用レシピ!$E:$E,0))&lt;&gt;0,INDEX(使用レシピ!F:F,MATCH(テンプレート!$C737,使用レシピ!$E:$E,0)),""),"")</f>
        <v/>
      </c>
      <c r="E737" t="str">
        <f>IFERROR(IF(INDEX(使用レシピ!G:G,MATCH(テンプレート!$C737,使用レシピ!$E:$E,0))&lt;&gt;0,INDEX(使用レシピ!G:G,MATCH(テンプレート!$C737,使用レシピ!$E:$E,0)),""),"")</f>
        <v/>
      </c>
      <c r="F737" t="str">
        <f>IFERROR(IF(INDEX(使用レシピ!H:H,MATCH(テンプレート!$C737,使用レシピ!$E:$E,0))&lt;&gt;0,INDEX(使用レシピ!H:H,MATCH(テンプレート!$C737,使用レシピ!$E:$E,0)),""),"")</f>
        <v/>
      </c>
      <c r="G737" t="str">
        <f>IFERROR(IF(INDEX(使用レシピ!I:I,MATCH(テンプレート!$C737,使用レシピ!$E:$E,0))&lt;&gt;0,INDEX(使用レシピ!I:I,MATCH(テンプレート!$C737,使用レシピ!$E:$E,0)),""),"")</f>
        <v/>
      </c>
      <c r="H737" s="24" t="str">
        <f>IFERROR(IF(INDEX(使用レシピ!J:J,MATCH(テンプレート!$C737,使用レシピ!$E:$E,0))&lt;&gt;0,INDEX(使用レシピ!J:J,MATCH(テンプレート!$C737,使用レシピ!$E:$E,0)),""),"")</f>
        <v/>
      </c>
      <c r="I737" s="36" t="str">
        <f>IFERROR(IF(INDEX(使用レシピ!P:P,MATCH(テンプレート!$C737,使用レシピ!$E:$E,0))&lt;&gt;0,INDEX(使用レシピ!P:P,MATCH(テンプレート!$C737,使用レシピ!$E:$E,0)),""),"")</f>
        <v/>
      </c>
      <c r="J737" t="str">
        <f>IFERROR(IF(INDEX(使用レシピ!K:K,MATCH(テンプレート!$C737,使用レシピ!$E:$E,0))&lt;&gt;0,INDEX(使用レシピ!K:K,MATCH(テンプレート!$C737,使用レシピ!$E:$E,0)),""),"")</f>
        <v/>
      </c>
      <c r="K737" t="str">
        <f>IFERROR(IF(INDEX(使用レシピ!L:L,MATCH(テンプレート!$C737,使用レシピ!$E:$E,0))&lt;&gt;0,INDEX(使用レシピ!L:L,MATCH(テンプレート!$C737,使用レシピ!$E:$E,0)),""),"")</f>
        <v/>
      </c>
      <c r="L737" t="str">
        <f>IFERROR(IF(INDEX(使用レシピ!M:M,MATCH(テンプレート!$C737,使用レシピ!$E:$E,0))&lt;&gt;0,INDEX(使用レシピ!M:M,MATCH(テンプレート!$C737,使用レシピ!$E:$E,0)),""),"")</f>
        <v/>
      </c>
      <c r="M737" t="str">
        <f>IFERROR(IF(INDEX(使用レシピ!N:N,MATCH(テンプレート!$C737,使用レシピ!$E:$E,0))&lt;&gt;0,INDEX(使用レシピ!N:N,MATCH(テンプレート!$C737,使用レシピ!$E:$E,0)),""),"")</f>
        <v/>
      </c>
      <c r="N737" s="24" t="str">
        <f>IFERROR(IF(INDEX(使用レシピ!O:O,MATCH(テンプレート!$C737,使用レシピ!$E:$E,0))&lt;&gt;0,INDEX(使用レシピ!O:O,MATCH(テンプレート!$C737,使用レシピ!$E:$E,0)),""),"")</f>
        <v/>
      </c>
      <c r="O737" s="36" t="str">
        <f>IFERROR(IF(INDEX(使用レシピ!P:P,MATCH(テンプレート!$C737,使用レシピ!$E:$E,0))&lt;&gt;0,INDEX(使用レシピ!P:P,MATCH(テンプレート!$C737,使用レシピ!$E:$E,0)),""),"")</f>
        <v/>
      </c>
      <c r="P737" t="str">
        <f t="shared" si="56"/>
        <v/>
      </c>
      <c r="Q737" t="str">
        <f t="shared" si="57"/>
        <v/>
      </c>
      <c r="R737" t="str">
        <f t="shared" si="58"/>
        <v/>
      </c>
      <c r="S737" t="str">
        <f t="shared" si="59"/>
        <v/>
      </c>
      <c r="T737" s="24" t="str">
        <f t="shared" si="60"/>
        <v/>
      </c>
    </row>
    <row r="738" spans="2:20" x14ac:dyDescent="0.4">
      <c r="B738" s="49" t="str" cm="1">
        <f t="array" ref="B738">IFERROR((INDEX($P$4:$T$1000,MATCH(VALUE(LEFT($A738,LEN($A738)-1)),$A$4:$A$1000,0),VALUE(RIGHT($A738,1)))/ INDEX($O$4:$O$1000,MATCH(VALUE(LEFT($A738,LEN($A738)-1)),$A$4:$A$1000))) * INDEX($B$4:$B$1000,MATCH(VALUE(LEFT($A738,LEN($A738)-1)),$A$4:$A$1000)),"")</f>
        <v/>
      </c>
      <c r="C738" s="2" t="str" cm="1">
        <f t="array" ref="C738">IFERROR(IF(INDEX($D$4:$H$1000,MATCH(VALUE(LEFT($A738,LEN($A738)-1)),$A$4:$A$1000,0),VALUE(RIGHT($A738,1)))= 0,"",INDEX($D$4:$H$1000,MATCH(VALUE(LEFT($A738,LEN($A738)-1)),$A$4:$A$1000,0),VALUE(RIGHT($A738,1)))),"")</f>
        <v/>
      </c>
      <c r="D738" s="23" t="str">
        <f>IFERROR(IF(INDEX(使用レシピ!F:F,MATCH(テンプレート!$C738,使用レシピ!$E:$E,0))&lt;&gt;0,INDEX(使用レシピ!F:F,MATCH(テンプレート!$C738,使用レシピ!$E:$E,0)),""),"")</f>
        <v/>
      </c>
      <c r="E738" t="str">
        <f>IFERROR(IF(INDEX(使用レシピ!G:G,MATCH(テンプレート!$C738,使用レシピ!$E:$E,0))&lt;&gt;0,INDEX(使用レシピ!G:G,MATCH(テンプレート!$C738,使用レシピ!$E:$E,0)),""),"")</f>
        <v/>
      </c>
      <c r="F738" t="str">
        <f>IFERROR(IF(INDEX(使用レシピ!H:H,MATCH(テンプレート!$C738,使用レシピ!$E:$E,0))&lt;&gt;0,INDEX(使用レシピ!H:H,MATCH(テンプレート!$C738,使用レシピ!$E:$E,0)),""),"")</f>
        <v/>
      </c>
      <c r="G738" t="str">
        <f>IFERROR(IF(INDEX(使用レシピ!I:I,MATCH(テンプレート!$C738,使用レシピ!$E:$E,0))&lt;&gt;0,INDEX(使用レシピ!I:I,MATCH(テンプレート!$C738,使用レシピ!$E:$E,0)),""),"")</f>
        <v/>
      </c>
      <c r="H738" s="24" t="str">
        <f>IFERROR(IF(INDEX(使用レシピ!J:J,MATCH(テンプレート!$C738,使用レシピ!$E:$E,0))&lt;&gt;0,INDEX(使用レシピ!J:J,MATCH(テンプレート!$C738,使用レシピ!$E:$E,0)),""),"")</f>
        <v/>
      </c>
      <c r="I738" s="36" t="str">
        <f>IFERROR(IF(INDEX(使用レシピ!P:P,MATCH(テンプレート!$C738,使用レシピ!$E:$E,0))&lt;&gt;0,INDEX(使用レシピ!P:P,MATCH(テンプレート!$C738,使用レシピ!$E:$E,0)),""),"")</f>
        <v/>
      </c>
      <c r="J738" t="str">
        <f>IFERROR(IF(INDEX(使用レシピ!K:K,MATCH(テンプレート!$C738,使用レシピ!$E:$E,0))&lt;&gt;0,INDEX(使用レシピ!K:K,MATCH(テンプレート!$C738,使用レシピ!$E:$E,0)),""),"")</f>
        <v/>
      </c>
      <c r="K738" t="str">
        <f>IFERROR(IF(INDEX(使用レシピ!L:L,MATCH(テンプレート!$C738,使用レシピ!$E:$E,0))&lt;&gt;0,INDEX(使用レシピ!L:L,MATCH(テンプレート!$C738,使用レシピ!$E:$E,0)),""),"")</f>
        <v/>
      </c>
      <c r="L738" t="str">
        <f>IFERROR(IF(INDEX(使用レシピ!M:M,MATCH(テンプレート!$C738,使用レシピ!$E:$E,0))&lt;&gt;0,INDEX(使用レシピ!M:M,MATCH(テンプレート!$C738,使用レシピ!$E:$E,0)),""),"")</f>
        <v/>
      </c>
      <c r="M738" t="str">
        <f>IFERROR(IF(INDEX(使用レシピ!N:N,MATCH(テンプレート!$C738,使用レシピ!$E:$E,0))&lt;&gt;0,INDEX(使用レシピ!N:N,MATCH(テンプレート!$C738,使用レシピ!$E:$E,0)),""),"")</f>
        <v/>
      </c>
      <c r="N738" s="24" t="str">
        <f>IFERROR(IF(INDEX(使用レシピ!O:O,MATCH(テンプレート!$C738,使用レシピ!$E:$E,0))&lt;&gt;0,INDEX(使用レシピ!O:O,MATCH(テンプレート!$C738,使用レシピ!$E:$E,0)),""),"")</f>
        <v/>
      </c>
      <c r="O738" s="36" t="str">
        <f>IFERROR(IF(INDEX(使用レシピ!P:P,MATCH(テンプレート!$C738,使用レシピ!$E:$E,0))&lt;&gt;0,INDEX(使用レシピ!P:P,MATCH(テンプレート!$C738,使用レシピ!$E:$E,0)),""),"")</f>
        <v/>
      </c>
      <c r="P738" t="str">
        <f t="shared" si="56"/>
        <v/>
      </c>
      <c r="Q738" t="str">
        <f t="shared" si="57"/>
        <v/>
      </c>
      <c r="R738" t="str">
        <f t="shared" si="58"/>
        <v/>
      </c>
      <c r="S738" t="str">
        <f t="shared" si="59"/>
        <v/>
      </c>
      <c r="T738" s="24" t="str">
        <f t="shared" si="60"/>
        <v/>
      </c>
    </row>
    <row r="739" spans="2:20" x14ac:dyDescent="0.4">
      <c r="B739" s="49" t="str" cm="1">
        <f t="array" ref="B739">IFERROR((INDEX($P$4:$T$1000,MATCH(VALUE(LEFT($A739,LEN($A739)-1)),$A$4:$A$1000,0),VALUE(RIGHT($A739,1)))/ INDEX($O$4:$O$1000,MATCH(VALUE(LEFT($A739,LEN($A739)-1)),$A$4:$A$1000))) * INDEX($B$4:$B$1000,MATCH(VALUE(LEFT($A739,LEN($A739)-1)),$A$4:$A$1000)),"")</f>
        <v/>
      </c>
      <c r="C739" s="2" t="str" cm="1">
        <f t="array" ref="C739">IFERROR(IF(INDEX($D$4:$H$1000,MATCH(VALUE(LEFT($A739,LEN($A739)-1)),$A$4:$A$1000,0),VALUE(RIGHT($A739,1)))= 0,"",INDEX($D$4:$H$1000,MATCH(VALUE(LEFT($A739,LEN($A739)-1)),$A$4:$A$1000,0),VALUE(RIGHT($A739,1)))),"")</f>
        <v/>
      </c>
      <c r="D739" s="23" t="str">
        <f>IFERROR(IF(INDEX(使用レシピ!F:F,MATCH(テンプレート!$C739,使用レシピ!$E:$E,0))&lt;&gt;0,INDEX(使用レシピ!F:F,MATCH(テンプレート!$C739,使用レシピ!$E:$E,0)),""),"")</f>
        <v/>
      </c>
      <c r="E739" t="str">
        <f>IFERROR(IF(INDEX(使用レシピ!G:G,MATCH(テンプレート!$C739,使用レシピ!$E:$E,0))&lt;&gt;0,INDEX(使用レシピ!G:G,MATCH(テンプレート!$C739,使用レシピ!$E:$E,0)),""),"")</f>
        <v/>
      </c>
      <c r="F739" t="str">
        <f>IFERROR(IF(INDEX(使用レシピ!H:H,MATCH(テンプレート!$C739,使用レシピ!$E:$E,0))&lt;&gt;0,INDEX(使用レシピ!H:H,MATCH(テンプレート!$C739,使用レシピ!$E:$E,0)),""),"")</f>
        <v/>
      </c>
      <c r="G739" t="str">
        <f>IFERROR(IF(INDEX(使用レシピ!I:I,MATCH(テンプレート!$C739,使用レシピ!$E:$E,0))&lt;&gt;0,INDEX(使用レシピ!I:I,MATCH(テンプレート!$C739,使用レシピ!$E:$E,0)),""),"")</f>
        <v/>
      </c>
      <c r="H739" s="24" t="str">
        <f>IFERROR(IF(INDEX(使用レシピ!J:J,MATCH(テンプレート!$C739,使用レシピ!$E:$E,0))&lt;&gt;0,INDEX(使用レシピ!J:J,MATCH(テンプレート!$C739,使用レシピ!$E:$E,0)),""),"")</f>
        <v/>
      </c>
      <c r="I739" s="36" t="str">
        <f>IFERROR(IF(INDEX(使用レシピ!P:P,MATCH(テンプレート!$C739,使用レシピ!$E:$E,0))&lt;&gt;0,INDEX(使用レシピ!P:P,MATCH(テンプレート!$C739,使用レシピ!$E:$E,0)),""),"")</f>
        <v/>
      </c>
      <c r="J739" t="str">
        <f>IFERROR(IF(INDEX(使用レシピ!K:K,MATCH(テンプレート!$C739,使用レシピ!$E:$E,0))&lt;&gt;0,INDEX(使用レシピ!K:K,MATCH(テンプレート!$C739,使用レシピ!$E:$E,0)),""),"")</f>
        <v/>
      </c>
      <c r="K739" t="str">
        <f>IFERROR(IF(INDEX(使用レシピ!L:L,MATCH(テンプレート!$C739,使用レシピ!$E:$E,0))&lt;&gt;0,INDEX(使用レシピ!L:L,MATCH(テンプレート!$C739,使用レシピ!$E:$E,0)),""),"")</f>
        <v/>
      </c>
      <c r="L739" t="str">
        <f>IFERROR(IF(INDEX(使用レシピ!M:M,MATCH(テンプレート!$C739,使用レシピ!$E:$E,0))&lt;&gt;0,INDEX(使用レシピ!M:M,MATCH(テンプレート!$C739,使用レシピ!$E:$E,0)),""),"")</f>
        <v/>
      </c>
      <c r="M739" t="str">
        <f>IFERROR(IF(INDEX(使用レシピ!N:N,MATCH(テンプレート!$C739,使用レシピ!$E:$E,0))&lt;&gt;0,INDEX(使用レシピ!N:N,MATCH(テンプレート!$C739,使用レシピ!$E:$E,0)),""),"")</f>
        <v/>
      </c>
      <c r="N739" s="24" t="str">
        <f>IFERROR(IF(INDEX(使用レシピ!O:O,MATCH(テンプレート!$C739,使用レシピ!$E:$E,0))&lt;&gt;0,INDEX(使用レシピ!O:O,MATCH(テンプレート!$C739,使用レシピ!$E:$E,0)),""),"")</f>
        <v/>
      </c>
      <c r="O739" s="36" t="str">
        <f>IFERROR(IF(INDEX(使用レシピ!P:P,MATCH(テンプレート!$C739,使用レシピ!$E:$E,0))&lt;&gt;0,INDEX(使用レシピ!P:P,MATCH(テンプレート!$C739,使用レシピ!$E:$E,0)),""),"")</f>
        <v/>
      </c>
      <c r="P739" t="str">
        <f t="shared" si="56"/>
        <v/>
      </c>
      <c r="Q739" t="str">
        <f t="shared" si="57"/>
        <v/>
      </c>
      <c r="R739" t="str">
        <f t="shared" si="58"/>
        <v/>
      </c>
      <c r="S739" t="str">
        <f t="shared" si="59"/>
        <v/>
      </c>
      <c r="T739" s="24" t="str">
        <f t="shared" si="60"/>
        <v/>
      </c>
    </row>
    <row r="740" spans="2:20" x14ac:dyDescent="0.4">
      <c r="B740" s="49" t="str" cm="1">
        <f t="array" ref="B740">IFERROR((INDEX($P$4:$T$1000,MATCH(VALUE(LEFT($A740,LEN($A740)-1)),$A$4:$A$1000,0),VALUE(RIGHT($A740,1)))/ INDEX($O$4:$O$1000,MATCH(VALUE(LEFT($A740,LEN($A740)-1)),$A$4:$A$1000))) * INDEX($B$4:$B$1000,MATCH(VALUE(LEFT($A740,LEN($A740)-1)),$A$4:$A$1000)),"")</f>
        <v/>
      </c>
      <c r="C740" s="2" t="str" cm="1">
        <f t="array" ref="C740">IFERROR(IF(INDEX($D$4:$H$1000,MATCH(VALUE(LEFT($A740,LEN($A740)-1)),$A$4:$A$1000,0),VALUE(RIGHT($A740,1)))= 0,"",INDEX($D$4:$H$1000,MATCH(VALUE(LEFT($A740,LEN($A740)-1)),$A$4:$A$1000,0),VALUE(RIGHT($A740,1)))),"")</f>
        <v/>
      </c>
      <c r="D740" s="23" t="str">
        <f>IFERROR(IF(INDEX(使用レシピ!F:F,MATCH(テンプレート!$C740,使用レシピ!$E:$E,0))&lt;&gt;0,INDEX(使用レシピ!F:F,MATCH(テンプレート!$C740,使用レシピ!$E:$E,0)),""),"")</f>
        <v/>
      </c>
      <c r="E740" t="str">
        <f>IFERROR(IF(INDEX(使用レシピ!G:G,MATCH(テンプレート!$C740,使用レシピ!$E:$E,0))&lt;&gt;0,INDEX(使用レシピ!G:G,MATCH(テンプレート!$C740,使用レシピ!$E:$E,0)),""),"")</f>
        <v/>
      </c>
      <c r="F740" t="str">
        <f>IFERROR(IF(INDEX(使用レシピ!H:H,MATCH(テンプレート!$C740,使用レシピ!$E:$E,0))&lt;&gt;0,INDEX(使用レシピ!H:H,MATCH(テンプレート!$C740,使用レシピ!$E:$E,0)),""),"")</f>
        <v/>
      </c>
      <c r="G740" t="str">
        <f>IFERROR(IF(INDEX(使用レシピ!I:I,MATCH(テンプレート!$C740,使用レシピ!$E:$E,0))&lt;&gt;0,INDEX(使用レシピ!I:I,MATCH(テンプレート!$C740,使用レシピ!$E:$E,0)),""),"")</f>
        <v/>
      </c>
      <c r="H740" s="24" t="str">
        <f>IFERROR(IF(INDEX(使用レシピ!J:J,MATCH(テンプレート!$C740,使用レシピ!$E:$E,0))&lt;&gt;0,INDEX(使用レシピ!J:J,MATCH(テンプレート!$C740,使用レシピ!$E:$E,0)),""),"")</f>
        <v/>
      </c>
      <c r="I740" s="36" t="str">
        <f>IFERROR(IF(INDEX(使用レシピ!P:P,MATCH(テンプレート!$C740,使用レシピ!$E:$E,0))&lt;&gt;0,INDEX(使用レシピ!P:P,MATCH(テンプレート!$C740,使用レシピ!$E:$E,0)),""),"")</f>
        <v/>
      </c>
      <c r="J740" t="str">
        <f>IFERROR(IF(INDEX(使用レシピ!K:K,MATCH(テンプレート!$C740,使用レシピ!$E:$E,0))&lt;&gt;0,INDEX(使用レシピ!K:K,MATCH(テンプレート!$C740,使用レシピ!$E:$E,0)),""),"")</f>
        <v/>
      </c>
      <c r="K740" t="str">
        <f>IFERROR(IF(INDEX(使用レシピ!L:L,MATCH(テンプレート!$C740,使用レシピ!$E:$E,0))&lt;&gt;0,INDEX(使用レシピ!L:L,MATCH(テンプレート!$C740,使用レシピ!$E:$E,0)),""),"")</f>
        <v/>
      </c>
      <c r="L740" t="str">
        <f>IFERROR(IF(INDEX(使用レシピ!M:M,MATCH(テンプレート!$C740,使用レシピ!$E:$E,0))&lt;&gt;0,INDEX(使用レシピ!M:M,MATCH(テンプレート!$C740,使用レシピ!$E:$E,0)),""),"")</f>
        <v/>
      </c>
      <c r="M740" t="str">
        <f>IFERROR(IF(INDEX(使用レシピ!N:N,MATCH(テンプレート!$C740,使用レシピ!$E:$E,0))&lt;&gt;0,INDEX(使用レシピ!N:N,MATCH(テンプレート!$C740,使用レシピ!$E:$E,0)),""),"")</f>
        <v/>
      </c>
      <c r="N740" s="24" t="str">
        <f>IFERROR(IF(INDEX(使用レシピ!O:O,MATCH(テンプレート!$C740,使用レシピ!$E:$E,0))&lt;&gt;0,INDEX(使用レシピ!O:O,MATCH(テンプレート!$C740,使用レシピ!$E:$E,0)),""),"")</f>
        <v/>
      </c>
      <c r="O740" s="36" t="str">
        <f>IFERROR(IF(INDEX(使用レシピ!P:P,MATCH(テンプレート!$C740,使用レシピ!$E:$E,0))&lt;&gt;0,INDEX(使用レシピ!P:P,MATCH(テンプレート!$C740,使用レシピ!$E:$E,0)),""),"")</f>
        <v/>
      </c>
      <c r="P740" t="str">
        <f t="shared" si="56"/>
        <v/>
      </c>
      <c r="Q740" t="str">
        <f t="shared" si="57"/>
        <v/>
      </c>
      <c r="R740" t="str">
        <f t="shared" si="58"/>
        <v/>
      </c>
      <c r="S740" t="str">
        <f t="shared" si="59"/>
        <v/>
      </c>
      <c r="T740" s="24" t="str">
        <f t="shared" si="60"/>
        <v/>
      </c>
    </row>
    <row r="741" spans="2:20" x14ac:dyDescent="0.4">
      <c r="B741" s="49" t="str" cm="1">
        <f t="array" ref="B741">IFERROR((INDEX($P$4:$T$1000,MATCH(VALUE(LEFT($A741,LEN($A741)-1)),$A$4:$A$1000,0),VALUE(RIGHT($A741,1)))/ INDEX($O$4:$O$1000,MATCH(VALUE(LEFT($A741,LEN($A741)-1)),$A$4:$A$1000))) * INDEX($B$4:$B$1000,MATCH(VALUE(LEFT($A741,LEN($A741)-1)),$A$4:$A$1000)),"")</f>
        <v/>
      </c>
      <c r="C741" s="2" t="str" cm="1">
        <f t="array" ref="C741">IFERROR(IF(INDEX($D$4:$H$1000,MATCH(VALUE(LEFT($A741,LEN($A741)-1)),$A$4:$A$1000,0),VALUE(RIGHT($A741,1)))= 0,"",INDEX($D$4:$H$1000,MATCH(VALUE(LEFT($A741,LEN($A741)-1)),$A$4:$A$1000,0),VALUE(RIGHT($A741,1)))),"")</f>
        <v/>
      </c>
      <c r="D741" s="23" t="str">
        <f>IFERROR(IF(INDEX(使用レシピ!F:F,MATCH(テンプレート!$C741,使用レシピ!$E:$E,0))&lt;&gt;0,INDEX(使用レシピ!F:F,MATCH(テンプレート!$C741,使用レシピ!$E:$E,0)),""),"")</f>
        <v/>
      </c>
      <c r="E741" t="str">
        <f>IFERROR(IF(INDEX(使用レシピ!G:G,MATCH(テンプレート!$C741,使用レシピ!$E:$E,0))&lt;&gt;0,INDEX(使用レシピ!G:G,MATCH(テンプレート!$C741,使用レシピ!$E:$E,0)),""),"")</f>
        <v/>
      </c>
      <c r="F741" t="str">
        <f>IFERROR(IF(INDEX(使用レシピ!H:H,MATCH(テンプレート!$C741,使用レシピ!$E:$E,0))&lt;&gt;0,INDEX(使用レシピ!H:H,MATCH(テンプレート!$C741,使用レシピ!$E:$E,0)),""),"")</f>
        <v/>
      </c>
      <c r="G741" t="str">
        <f>IFERROR(IF(INDEX(使用レシピ!I:I,MATCH(テンプレート!$C741,使用レシピ!$E:$E,0))&lt;&gt;0,INDEX(使用レシピ!I:I,MATCH(テンプレート!$C741,使用レシピ!$E:$E,0)),""),"")</f>
        <v/>
      </c>
      <c r="H741" s="24" t="str">
        <f>IFERROR(IF(INDEX(使用レシピ!J:J,MATCH(テンプレート!$C741,使用レシピ!$E:$E,0))&lt;&gt;0,INDEX(使用レシピ!J:J,MATCH(テンプレート!$C741,使用レシピ!$E:$E,0)),""),"")</f>
        <v/>
      </c>
      <c r="I741" s="36" t="str">
        <f>IFERROR(IF(INDEX(使用レシピ!P:P,MATCH(テンプレート!$C741,使用レシピ!$E:$E,0))&lt;&gt;0,INDEX(使用レシピ!P:P,MATCH(テンプレート!$C741,使用レシピ!$E:$E,0)),""),"")</f>
        <v/>
      </c>
      <c r="J741" t="str">
        <f>IFERROR(IF(INDEX(使用レシピ!K:K,MATCH(テンプレート!$C741,使用レシピ!$E:$E,0))&lt;&gt;0,INDEX(使用レシピ!K:K,MATCH(テンプレート!$C741,使用レシピ!$E:$E,0)),""),"")</f>
        <v/>
      </c>
      <c r="K741" t="str">
        <f>IFERROR(IF(INDEX(使用レシピ!L:L,MATCH(テンプレート!$C741,使用レシピ!$E:$E,0))&lt;&gt;0,INDEX(使用レシピ!L:L,MATCH(テンプレート!$C741,使用レシピ!$E:$E,0)),""),"")</f>
        <v/>
      </c>
      <c r="L741" t="str">
        <f>IFERROR(IF(INDEX(使用レシピ!M:M,MATCH(テンプレート!$C741,使用レシピ!$E:$E,0))&lt;&gt;0,INDEX(使用レシピ!M:M,MATCH(テンプレート!$C741,使用レシピ!$E:$E,0)),""),"")</f>
        <v/>
      </c>
      <c r="M741" t="str">
        <f>IFERROR(IF(INDEX(使用レシピ!N:N,MATCH(テンプレート!$C741,使用レシピ!$E:$E,0))&lt;&gt;0,INDEX(使用レシピ!N:N,MATCH(テンプレート!$C741,使用レシピ!$E:$E,0)),""),"")</f>
        <v/>
      </c>
      <c r="N741" s="24" t="str">
        <f>IFERROR(IF(INDEX(使用レシピ!O:O,MATCH(テンプレート!$C741,使用レシピ!$E:$E,0))&lt;&gt;0,INDEX(使用レシピ!O:O,MATCH(テンプレート!$C741,使用レシピ!$E:$E,0)),""),"")</f>
        <v/>
      </c>
      <c r="O741" s="36" t="str">
        <f>IFERROR(IF(INDEX(使用レシピ!P:P,MATCH(テンプレート!$C741,使用レシピ!$E:$E,0))&lt;&gt;0,INDEX(使用レシピ!P:P,MATCH(テンプレート!$C741,使用レシピ!$E:$E,0)),""),"")</f>
        <v/>
      </c>
      <c r="P741" t="str">
        <f t="shared" si="56"/>
        <v/>
      </c>
      <c r="Q741" t="str">
        <f t="shared" si="57"/>
        <v/>
      </c>
      <c r="R741" t="str">
        <f t="shared" si="58"/>
        <v/>
      </c>
      <c r="S741" t="str">
        <f t="shared" si="59"/>
        <v/>
      </c>
      <c r="T741" s="24" t="str">
        <f t="shared" si="60"/>
        <v/>
      </c>
    </row>
    <row r="742" spans="2:20" x14ac:dyDescent="0.4">
      <c r="B742" s="49" t="str" cm="1">
        <f t="array" ref="B742">IFERROR((INDEX($P$4:$T$1000,MATCH(VALUE(LEFT($A742,LEN($A742)-1)),$A$4:$A$1000,0),VALUE(RIGHT($A742,1)))/ INDEX($O$4:$O$1000,MATCH(VALUE(LEFT($A742,LEN($A742)-1)),$A$4:$A$1000))) * INDEX($B$4:$B$1000,MATCH(VALUE(LEFT($A742,LEN($A742)-1)),$A$4:$A$1000)),"")</f>
        <v/>
      </c>
      <c r="C742" s="2" t="str" cm="1">
        <f t="array" ref="C742">IFERROR(IF(INDEX($D$4:$H$1000,MATCH(VALUE(LEFT($A742,LEN($A742)-1)),$A$4:$A$1000,0),VALUE(RIGHT($A742,1)))= 0,"",INDEX($D$4:$H$1000,MATCH(VALUE(LEFT($A742,LEN($A742)-1)),$A$4:$A$1000,0),VALUE(RIGHT($A742,1)))),"")</f>
        <v/>
      </c>
      <c r="D742" s="23" t="str">
        <f>IFERROR(IF(INDEX(使用レシピ!F:F,MATCH(テンプレート!$C742,使用レシピ!$E:$E,0))&lt;&gt;0,INDEX(使用レシピ!F:F,MATCH(テンプレート!$C742,使用レシピ!$E:$E,0)),""),"")</f>
        <v/>
      </c>
      <c r="E742" t="str">
        <f>IFERROR(IF(INDEX(使用レシピ!G:G,MATCH(テンプレート!$C742,使用レシピ!$E:$E,0))&lt;&gt;0,INDEX(使用レシピ!G:G,MATCH(テンプレート!$C742,使用レシピ!$E:$E,0)),""),"")</f>
        <v/>
      </c>
      <c r="F742" t="str">
        <f>IFERROR(IF(INDEX(使用レシピ!H:H,MATCH(テンプレート!$C742,使用レシピ!$E:$E,0))&lt;&gt;0,INDEX(使用レシピ!H:H,MATCH(テンプレート!$C742,使用レシピ!$E:$E,0)),""),"")</f>
        <v/>
      </c>
      <c r="G742" t="str">
        <f>IFERROR(IF(INDEX(使用レシピ!I:I,MATCH(テンプレート!$C742,使用レシピ!$E:$E,0))&lt;&gt;0,INDEX(使用レシピ!I:I,MATCH(テンプレート!$C742,使用レシピ!$E:$E,0)),""),"")</f>
        <v/>
      </c>
      <c r="H742" s="24" t="str">
        <f>IFERROR(IF(INDEX(使用レシピ!J:J,MATCH(テンプレート!$C742,使用レシピ!$E:$E,0))&lt;&gt;0,INDEX(使用レシピ!J:J,MATCH(テンプレート!$C742,使用レシピ!$E:$E,0)),""),"")</f>
        <v/>
      </c>
      <c r="I742" s="36" t="str">
        <f>IFERROR(IF(INDEX(使用レシピ!P:P,MATCH(テンプレート!$C742,使用レシピ!$E:$E,0))&lt;&gt;0,INDEX(使用レシピ!P:P,MATCH(テンプレート!$C742,使用レシピ!$E:$E,0)),""),"")</f>
        <v/>
      </c>
      <c r="J742" t="str">
        <f>IFERROR(IF(INDEX(使用レシピ!K:K,MATCH(テンプレート!$C742,使用レシピ!$E:$E,0))&lt;&gt;0,INDEX(使用レシピ!K:K,MATCH(テンプレート!$C742,使用レシピ!$E:$E,0)),""),"")</f>
        <v/>
      </c>
      <c r="K742" t="str">
        <f>IFERROR(IF(INDEX(使用レシピ!L:L,MATCH(テンプレート!$C742,使用レシピ!$E:$E,0))&lt;&gt;0,INDEX(使用レシピ!L:L,MATCH(テンプレート!$C742,使用レシピ!$E:$E,0)),""),"")</f>
        <v/>
      </c>
      <c r="L742" t="str">
        <f>IFERROR(IF(INDEX(使用レシピ!M:M,MATCH(テンプレート!$C742,使用レシピ!$E:$E,0))&lt;&gt;0,INDEX(使用レシピ!M:M,MATCH(テンプレート!$C742,使用レシピ!$E:$E,0)),""),"")</f>
        <v/>
      </c>
      <c r="M742" t="str">
        <f>IFERROR(IF(INDEX(使用レシピ!N:N,MATCH(テンプレート!$C742,使用レシピ!$E:$E,0))&lt;&gt;0,INDEX(使用レシピ!N:N,MATCH(テンプレート!$C742,使用レシピ!$E:$E,0)),""),"")</f>
        <v/>
      </c>
      <c r="N742" s="24" t="str">
        <f>IFERROR(IF(INDEX(使用レシピ!O:O,MATCH(テンプレート!$C742,使用レシピ!$E:$E,0))&lt;&gt;0,INDEX(使用レシピ!O:O,MATCH(テンプレート!$C742,使用レシピ!$E:$E,0)),""),"")</f>
        <v/>
      </c>
      <c r="O742" s="36" t="str">
        <f>IFERROR(IF(INDEX(使用レシピ!P:P,MATCH(テンプレート!$C742,使用レシピ!$E:$E,0))&lt;&gt;0,INDEX(使用レシピ!P:P,MATCH(テンプレート!$C742,使用レシピ!$E:$E,0)),""),"")</f>
        <v/>
      </c>
      <c r="P742" t="str">
        <f t="shared" si="56"/>
        <v/>
      </c>
      <c r="Q742" t="str">
        <f t="shared" si="57"/>
        <v/>
      </c>
      <c r="R742" t="str">
        <f t="shared" si="58"/>
        <v/>
      </c>
      <c r="S742" t="str">
        <f t="shared" si="59"/>
        <v/>
      </c>
      <c r="T742" s="24" t="str">
        <f t="shared" si="60"/>
        <v/>
      </c>
    </row>
    <row r="743" spans="2:20" x14ac:dyDescent="0.4">
      <c r="B743" s="49" t="str" cm="1">
        <f t="array" ref="B743">IFERROR((INDEX($P$4:$T$1000,MATCH(VALUE(LEFT($A743,LEN($A743)-1)),$A$4:$A$1000,0),VALUE(RIGHT($A743,1)))/ INDEX($O$4:$O$1000,MATCH(VALUE(LEFT($A743,LEN($A743)-1)),$A$4:$A$1000))) * INDEX($B$4:$B$1000,MATCH(VALUE(LEFT($A743,LEN($A743)-1)),$A$4:$A$1000)),"")</f>
        <v/>
      </c>
      <c r="C743" s="2" t="str" cm="1">
        <f t="array" ref="C743">IFERROR(IF(INDEX($D$4:$H$1000,MATCH(VALUE(LEFT($A743,LEN($A743)-1)),$A$4:$A$1000,0),VALUE(RIGHT($A743,1)))= 0,"",INDEX($D$4:$H$1000,MATCH(VALUE(LEFT($A743,LEN($A743)-1)),$A$4:$A$1000,0),VALUE(RIGHT($A743,1)))),"")</f>
        <v/>
      </c>
      <c r="D743" s="23" t="str">
        <f>IFERROR(IF(INDEX(使用レシピ!F:F,MATCH(テンプレート!$C743,使用レシピ!$E:$E,0))&lt;&gt;0,INDEX(使用レシピ!F:F,MATCH(テンプレート!$C743,使用レシピ!$E:$E,0)),""),"")</f>
        <v/>
      </c>
      <c r="E743" t="str">
        <f>IFERROR(IF(INDEX(使用レシピ!G:G,MATCH(テンプレート!$C743,使用レシピ!$E:$E,0))&lt;&gt;0,INDEX(使用レシピ!G:G,MATCH(テンプレート!$C743,使用レシピ!$E:$E,0)),""),"")</f>
        <v/>
      </c>
      <c r="F743" t="str">
        <f>IFERROR(IF(INDEX(使用レシピ!H:H,MATCH(テンプレート!$C743,使用レシピ!$E:$E,0))&lt;&gt;0,INDEX(使用レシピ!H:H,MATCH(テンプレート!$C743,使用レシピ!$E:$E,0)),""),"")</f>
        <v/>
      </c>
      <c r="G743" t="str">
        <f>IFERROR(IF(INDEX(使用レシピ!I:I,MATCH(テンプレート!$C743,使用レシピ!$E:$E,0))&lt;&gt;0,INDEX(使用レシピ!I:I,MATCH(テンプレート!$C743,使用レシピ!$E:$E,0)),""),"")</f>
        <v/>
      </c>
      <c r="H743" s="24" t="str">
        <f>IFERROR(IF(INDEX(使用レシピ!J:J,MATCH(テンプレート!$C743,使用レシピ!$E:$E,0))&lt;&gt;0,INDEX(使用レシピ!J:J,MATCH(テンプレート!$C743,使用レシピ!$E:$E,0)),""),"")</f>
        <v/>
      </c>
      <c r="I743" s="36" t="str">
        <f>IFERROR(IF(INDEX(使用レシピ!P:P,MATCH(テンプレート!$C743,使用レシピ!$E:$E,0))&lt;&gt;0,INDEX(使用レシピ!P:P,MATCH(テンプレート!$C743,使用レシピ!$E:$E,0)),""),"")</f>
        <v/>
      </c>
      <c r="J743" t="str">
        <f>IFERROR(IF(INDEX(使用レシピ!K:K,MATCH(テンプレート!$C743,使用レシピ!$E:$E,0))&lt;&gt;0,INDEX(使用レシピ!K:K,MATCH(テンプレート!$C743,使用レシピ!$E:$E,0)),""),"")</f>
        <v/>
      </c>
      <c r="K743" t="str">
        <f>IFERROR(IF(INDEX(使用レシピ!L:L,MATCH(テンプレート!$C743,使用レシピ!$E:$E,0))&lt;&gt;0,INDEX(使用レシピ!L:L,MATCH(テンプレート!$C743,使用レシピ!$E:$E,0)),""),"")</f>
        <v/>
      </c>
      <c r="L743" t="str">
        <f>IFERROR(IF(INDEX(使用レシピ!M:M,MATCH(テンプレート!$C743,使用レシピ!$E:$E,0))&lt;&gt;0,INDEX(使用レシピ!M:M,MATCH(テンプレート!$C743,使用レシピ!$E:$E,0)),""),"")</f>
        <v/>
      </c>
      <c r="M743" t="str">
        <f>IFERROR(IF(INDEX(使用レシピ!N:N,MATCH(テンプレート!$C743,使用レシピ!$E:$E,0))&lt;&gt;0,INDEX(使用レシピ!N:N,MATCH(テンプレート!$C743,使用レシピ!$E:$E,0)),""),"")</f>
        <v/>
      </c>
      <c r="N743" s="24" t="str">
        <f>IFERROR(IF(INDEX(使用レシピ!O:O,MATCH(テンプレート!$C743,使用レシピ!$E:$E,0))&lt;&gt;0,INDEX(使用レシピ!O:O,MATCH(テンプレート!$C743,使用レシピ!$E:$E,0)),""),"")</f>
        <v/>
      </c>
      <c r="O743" s="36" t="str">
        <f>IFERROR(IF(INDEX(使用レシピ!P:P,MATCH(テンプレート!$C743,使用レシピ!$E:$E,0))&lt;&gt;0,INDEX(使用レシピ!P:P,MATCH(テンプレート!$C743,使用レシピ!$E:$E,0)),""),"")</f>
        <v/>
      </c>
      <c r="P743" t="str">
        <f t="shared" si="56"/>
        <v/>
      </c>
      <c r="Q743" t="str">
        <f t="shared" si="57"/>
        <v/>
      </c>
      <c r="R743" t="str">
        <f t="shared" si="58"/>
        <v/>
      </c>
      <c r="S743" t="str">
        <f t="shared" si="59"/>
        <v/>
      </c>
      <c r="T743" s="24" t="str">
        <f t="shared" si="60"/>
        <v/>
      </c>
    </row>
    <row r="744" spans="2:20" x14ac:dyDescent="0.4">
      <c r="B744" s="49" t="str" cm="1">
        <f t="array" ref="B744">IFERROR((INDEX($P$4:$T$1000,MATCH(VALUE(LEFT($A744,LEN($A744)-1)),$A$4:$A$1000,0),VALUE(RIGHT($A744,1)))/ INDEX($O$4:$O$1000,MATCH(VALUE(LEFT($A744,LEN($A744)-1)),$A$4:$A$1000))) * INDEX($B$4:$B$1000,MATCH(VALUE(LEFT($A744,LEN($A744)-1)),$A$4:$A$1000)),"")</f>
        <v/>
      </c>
      <c r="C744" s="2" t="str" cm="1">
        <f t="array" ref="C744">IFERROR(IF(INDEX($D$4:$H$1000,MATCH(VALUE(LEFT($A744,LEN($A744)-1)),$A$4:$A$1000,0),VALUE(RIGHT($A744,1)))= 0,"",INDEX($D$4:$H$1000,MATCH(VALUE(LEFT($A744,LEN($A744)-1)),$A$4:$A$1000,0),VALUE(RIGHT($A744,1)))),"")</f>
        <v/>
      </c>
      <c r="D744" s="23" t="str">
        <f>IFERROR(IF(INDEX(使用レシピ!F:F,MATCH(テンプレート!$C744,使用レシピ!$E:$E,0))&lt;&gt;0,INDEX(使用レシピ!F:F,MATCH(テンプレート!$C744,使用レシピ!$E:$E,0)),""),"")</f>
        <v/>
      </c>
      <c r="E744" t="str">
        <f>IFERROR(IF(INDEX(使用レシピ!G:G,MATCH(テンプレート!$C744,使用レシピ!$E:$E,0))&lt;&gt;0,INDEX(使用レシピ!G:G,MATCH(テンプレート!$C744,使用レシピ!$E:$E,0)),""),"")</f>
        <v/>
      </c>
      <c r="F744" t="str">
        <f>IFERROR(IF(INDEX(使用レシピ!H:H,MATCH(テンプレート!$C744,使用レシピ!$E:$E,0))&lt;&gt;0,INDEX(使用レシピ!H:H,MATCH(テンプレート!$C744,使用レシピ!$E:$E,0)),""),"")</f>
        <v/>
      </c>
      <c r="G744" t="str">
        <f>IFERROR(IF(INDEX(使用レシピ!I:I,MATCH(テンプレート!$C744,使用レシピ!$E:$E,0))&lt;&gt;0,INDEX(使用レシピ!I:I,MATCH(テンプレート!$C744,使用レシピ!$E:$E,0)),""),"")</f>
        <v/>
      </c>
      <c r="H744" s="24" t="str">
        <f>IFERROR(IF(INDEX(使用レシピ!J:J,MATCH(テンプレート!$C744,使用レシピ!$E:$E,0))&lt;&gt;0,INDEX(使用レシピ!J:J,MATCH(テンプレート!$C744,使用レシピ!$E:$E,0)),""),"")</f>
        <v/>
      </c>
      <c r="I744" s="36" t="str">
        <f>IFERROR(IF(INDEX(使用レシピ!P:P,MATCH(テンプレート!$C744,使用レシピ!$E:$E,0))&lt;&gt;0,INDEX(使用レシピ!P:P,MATCH(テンプレート!$C744,使用レシピ!$E:$E,0)),""),"")</f>
        <v/>
      </c>
      <c r="J744" t="str">
        <f>IFERROR(IF(INDEX(使用レシピ!K:K,MATCH(テンプレート!$C744,使用レシピ!$E:$E,0))&lt;&gt;0,INDEX(使用レシピ!K:K,MATCH(テンプレート!$C744,使用レシピ!$E:$E,0)),""),"")</f>
        <v/>
      </c>
      <c r="K744" t="str">
        <f>IFERROR(IF(INDEX(使用レシピ!L:L,MATCH(テンプレート!$C744,使用レシピ!$E:$E,0))&lt;&gt;0,INDEX(使用レシピ!L:L,MATCH(テンプレート!$C744,使用レシピ!$E:$E,0)),""),"")</f>
        <v/>
      </c>
      <c r="L744" t="str">
        <f>IFERROR(IF(INDEX(使用レシピ!M:M,MATCH(テンプレート!$C744,使用レシピ!$E:$E,0))&lt;&gt;0,INDEX(使用レシピ!M:M,MATCH(テンプレート!$C744,使用レシピ!$E:$E,0)),""),"")</f>
        <v/>
      </c>
      <c r="M744" t="str">
        <f>IFERROR(IF(INDEX(使用レシピ!N:N,MATCH(テンプレート!$C744,使用レシピ!$E:$E,0))&lt;&gt;0,INDEX(使用レシピ!N:N,MATCH(テンプレート!$C744,使用レシピ!$E:$E,0)),""),"")</f>
        <v/>
      </c>
      <c r="N744" s="24" t="str">
        <f>IFERROR(IF(INDEX(使用レシピ!O:O,MATCH(テンプレート!$C744,使用レシピ!$E:$E,0))&lt;&gt;0,INDEX(使用レシピ!O:O,MATCH(テンプレート!$C744,使用レシピ!$E:$E,0)),""),"")</f>
        <v/>
      </c>
      <c r="O744" s="36" t="str">
        <f>IFERROR(IF(INDEX(使用レシピ!P:P,MATCH(テンプレート!$C744,使用レシピ!$E:$E,0))&lt;&gt;0,INDEX(使用レシピ!P:P,MATCH(テンプレート!$C744,使用レシピ!$E:$E,0)),""),"")</f>
        <v/>
      </c>
      <c r="P744" t="str">
        <f t="shared" si="56"/>
        <v/>
      </c>
      <c r="Q744" t="str">
        <f t="shared" si="57"/>
        <v/>
      </c>
      <c r="R744" t="str">
        <f t="shared" si="58"/>
        <v/>
      </c>
      <c r="S744" t="str">
        <f t="shared" si="59"/>
        <v/>
      </c>
      <c r="T744" s="24" t="str">
        <f t="shared" si="60"/>
        <v/>
      </c>
    </row>
    <row r="745" spans="2:20" x14ac:dyDescent="0.4">
      <c r="B745" s="49" t="str" cm="1">
        <f t="array" ref="B745">IFERROR((INDEX($P$4:$T$1000,MATCH(VALUE(LEFT($A745,LEN($A745)-1)),$A$4:$A$1000,0),VALUE(RIGHT($A745,1)))/ INDEX($O$4:$O$1000,MATCH(VALUE(LEFT($A745,LEN($A745)-1)),$A$4:$A$1000))) * INDEX($B$4:$B$1000,MATCH(VALUE(LEFT($A745,LEN($A745)-1)),$A$4:$A$1000)),"")</f>
        <v/>
      </c>
      <c r="C745" s="2" t="str" cm="1">
        <f t="array" ref="C745">IFERROR(IF(INDEX($D$4:$H$1000,MATCH(VALUE(LEFT($A745,LEN($A745)-1)),$A$4:$A$1000,0),VALUE(RIGHT($A745,1)))= 0,"",INDEX($D$4:$H$1000,MATCH(VALUE(LEFT($A745,LEN($A745)-1)),$A$4:$A$1000,0),VALUE(RIGHT($A745,1)))),"")</f>
        <v/>
      </c>
      <c r="D745" s="23" t="str">
        <f>IFERROR(IF(INDEX(使用レシピ!F:F,MATCH(テンプレート!$C745,使用レシピ!$E:$E,0))&lt;&gt;0,INDEX(使用レシピ!F:F,MATCH(テンプレート!$C745,使用レシピ!$E:$E,0)),""),"")</f>
        <v/>
      </c>
      <c r="E745" t="str">
        <f>IFERROR(IF(INDEX(使用レシピ!G:G,MATCH(テンプレート!$C745,使用レシピ!$E:$E,0))&lt;&gt;0,INDEX(使用レシピ!G:G,MATCH(テンプレート!$C745,使用レシピ!$E:$E,0)),""),"")</f>
        <v/>
      </c>
      <c r="F745" t="str">
        <f>IFERROR(IF(INDEX(使用レシピ!H:H,MATCH(テンプレート!$C745,使用レシピ!$E:$E,0))&lt;&gt;0,INDEX(使用レシピ!H:H,MATCH(テンプレート!$C745,使用レシピ!$E:$E,0)),""),"")</f>
        <v/>
      </c>
      <c r="G745" t="str">
        <f>IFERROR(IF(INDEX(使用レシピ!I:I,MATCH(テンプレート!$C745,使用レシピ!$E:$E,0))&lt;&gt;0,INDEX(使用レシピ!I:I,MATCH(テンプレート!$C745,使用レシピ!$E:$E,0)),""),"")</f>
        <v/>
      </c>
      <c r="H745" s="24" t="str">
        <f>IFERROR(IF(INDEX(使用レシピ!J:J,MATCH(テンプレート!$C745,使用レシピ!$E:$E,0))&lt;&gt;0,INDEX(使用レシピ!J:J,MATCH(テンプレート!$C745,使用レシピ!$E:$E,0)),""),"")</f>
        <v/>
      </c>
      <c r="I745" s="36" t="str">
        <f>IFERROR(IF(INDEX(使用レシピ!P:P,MATCH(テンプレート!$C745,使用レシピ!$E:$E,0))&lt;&gt;0,INDEX(使用レシピ!P:P,MATCH(テンプレート!$C745,使用レシピ!$E:$E,0)),""),"")</f>
        <v/>
      </c>
      <c r="J745" t="str">
        <f>IFERROR(IF(INDEX(使用レシピ!K:K,MATCH(テンプレート!$C745,使用レシピ!$E:$E,0))&lt;&gt;0,INDEX(使用レシピ!K:K,MATCH(テンプレート!$C745,使用レシピ!$E:$E,0)),""),"")</f>
        <v/>
      </c>
      <c r="K745" t="str">
        <f>IFERROR(IF(INDEX(使用レシピ!L:L,MATCH(テンプレート!$C745,使用レシピ!$E:$E,0))&lt;&gt;0,INDEX(使用レシピ!L:L,MATCH(テンプレート!$C745,使用レシピ!$E:$E,0)),""),"")</f>
        <v/>
      </c>
      <c r="L745" t="str">
        <f>IFERROR(IF(INDEX(使用レシピ!M:M,MATCH(テンプレート!$C745,使用レシピ!$E:$E,0))&lt;&gt;0,INDEX(使用レシピ!M:M,MATCH(テンプレート!$C745,使用レシピ!$E:$E,0)),""),"")</f>
        <v/>
      </c>
      <c r="M745" t="str">
        <f>IFERROR(IF(INDEX(使用レシピ!N:N,MATCH(テンプレート!$C745,使用レシピ!$E:$E,0))&lt;&gt;0,INDEX(使用レシピ!N:N,MATCH(テンプレート!$C745,使用レシピ!$E:$E,0)),""),"")</f>
        <v/>
      </c>
      <c r="N745" s="24" t="str">
        <f>IFERROR(IF(INDEX(使用レシピ!O:O,MATCH(テンプレート!$C745,使用レシピ!$E:$E,0))&lt;&gt;0,INDEX(使用レシピ!O:O,MATCH(テンプレート!$C745,使用レシピ!$E:$E,0)),""),"")</f>
        <v/>
      </c>
      <c r="O745" s="36" t="str">
        <f>IFERROR(IF(INDEX(使用レシピ!P:P,MATCH(テンプレート!$C745,使用レシピ!$E:$E,0))&lt;&gt;0,INDEX(使用レシピ!P:P,MATCH(テンプレート!$C745,使用レシピ!$E:$E,0)),""),"")</f>
        <v/>
      </c>
      <c r="P745" t="str">
        <f t="shared" si="56"/>
        <v/>
      </c>
      <c r="Q745" t="str">
        <f t="shared" si="57"/>
        <v/>
      </c>
      <c r="R745" t="str">
        <f t="shared" si="58"/>
        <v/>
      </c>
      <c r="S745" t="str">
        <f t="shared" si="59"/>
        <v/>
      </c>
      <c r="T745" s="24" t="str">
        <f t="shared" si="60"/>
        <v/>
      </c>
    </row>
    <row r="746" spans="2:20" x14ac:dyDescent="0.4">
      <c r="B746" s="49" t="str" cm="1">
        <f t="array" ref="B746">IFERROR((INDEX($P$4:$T$1000,MATCH(VALUE(LEFT($A746,LEN($A746)-1)),$A$4:$A$1000,0),VALUE(RIGHT($A746,1)))/ INDEX($O$4:$O$1000,MATCH(VALUE(LEFT($A746,LEN($A746)-1)),$A$4:$A$1000))) * INDEX($B$4:$B$1000,MATCH(VALUE(LEFT($A746,LEN($A746)-1)),$A$4:$A$1000)),"")</f>
        <v/>
      </c>
      <c r="C746" s="2" t="str" cm="1">
        <f t="array" ref="C746">IFERROR(IF(INDEX($D$4:$H$1000,MATCH(VALUE(LEFT($A746,LEN($A746)-1)),$A$4:$A$1000,0),VALUE(RIGHT($A746,1)))= 0,"",INDEX($D$4:$H$1000,MATCH(VALUE(LEFT($A746,LEN($A746)-1)),$A$4:$A$1000,0),VALUE(RIGHT($A746,1)))),"")</f>
        <v/>
      </c>
      <c r="D746" s="23" t="str">
        <f>IFERROR(IF(INDEX(使用レシピ!F:F,MATCH(テンプレート!$C746,使用レシピ!$E:$E,0))&lt;&gt;0,INDEX(使用レシピ!F:F,MATCH(テンプレート!$C746,使用レシピ!$E:$E,0)),""),"")</f>
        <v/>
      </c>
      <c r="E746" t="str">
        <f>IFERROR(IF(INDEX(使用レシピ!G:G,MATCH(テンプレート!$C746,使用レシピ!$E:$E,0))&lt;&gt;0,INDEX(使用レシピ!G:G,MATCH(テンプレート!$C746,使用レシピ!$E:$E,0)),""),"")</f>
        <v/>
      </c>
      <c r="F746" t="str">
        <f>IFERROR(IF(INDEX(使用レシピ!H:H,MATCH(テンプレート!$C746,使用レシピ!$E:$E,0))&lt;&gt;0,INDEX(使用レシピ!H:H,MATCH(テンプレート!$C746,使用レシピ!$E:$E,0)),""),"")</f>
        <v/>
      </c>
      <c r="G746" t="str">
        <f>IFERROR(IF(INDEX(使用レシピ!I:I,MATCH(テンプレート!$C746,使用レシピ!$E:$E,0))&lt;&gt;0,INDEX(使用レシピ!I:I,MATCH(テンプレート!$C746,使用レシピ!$E:$E,0)),""),"")</f>
        <v/>
      </c>
      <c r="H746" s="24" t="str">
        <f>IFERROR(IF(INDEX(使用レシピ!J:J,MATCH(テンプレート!$C746,使用レシピ!$E:$E,0))&lt;&gt;0,INDEX(使用レシピ!J:J,MATCH(テンプレート!$C746,使用レシピ!$E:$E,0)),""),"")</f>
        <v/>
      </c>
      <c r="I746" s="36" t="str">
        <f>IFERROR(IF(INDEX(使用レシピ!P:P,MATCH(テンプレート!$C746,使用レシピ!$E:$E,0))&lt;&gt;0,INDEX(使用レシピ!P:P,MATCH(テンプレート!$C746,使用レシピ!$E:$E,0)),""),"")</f>
        <v/>
      </c>
      <c r="J746" t="str">
        <f>IFERROR(IF(INDEX(使用レシピ!K:K,MATCH(テンプレート!$C746,使用レシピ!$E:$E,0))&lt;&gt;0,INDEX(使用レシピ!K:K,MATCH(テンプレート!$C746,使用レシピ!$E:$E,0)),""),"")</f>
        <v/>
      </c>
      <c r="K746" t="str">
        <f>IFERROR(IF(INDEX(使用レシピ!L:L,MATCH(テンプレート!$C746,使用レシピ!$E:$E,0))&lt;&gt;0,INDEX(使用レシピ!L:L,MATCH(テンプレート!$C746,使用レシピ!$E:$E,0)),""),"")</f>
        <v/>
      </c>
      <c r="L746" t="str">
        <f>IFERROR(IF(INDEX(使用レシピ!M:M,MATCH(テンプレート!$C746,使用レシピ!$E:$E,0))&lt;&gt;0,INDEX(使用レシピ!M:M,MATCH(テンプレート!$C746,使用レシピ!$E:$E,0)),""),"")</f>
        <v/>
      </c>
      <c r="M746" t="str">
        <f>IFERROR(IF(INDEX(使用レシピ!N:N,MATCH(テンプレート!$C746,使用レシピ!$E:$E,0))&lt;&gt;0,INDEX(使用レシピ!N:N,MATCH(テンプレート!$C746,使用レシピ!$E:$E,0)),""),"")</f>
        <v/>
      </c>
      <c r="N746" s="24" t="str">
        <f>IFERROR(IF(INDEX(使用レシピ!O:O,MATCH(テンプレート!$C746,使用レシピ!$E:$E,0))&lt;&gt;0,INDEX(使用レシピ!O:O,MATCH(テンプレート!$C746,使用レシピ!$E:$E,0)),""),"")</f>
        <v/>
      </c>
      <c r="O746" s="36" t="str">
        <f>IFERROR(IF(INDEX(使用レシピ!P:P,MATCH(テンプレート!$C746,使用レシピ!$E:$E,0))&lt;&gt;0,INDEX(使用レシピ!P:P,MATCH(テンプレート!$C746,使用レシピ!$E:$E,0)),""),"")</f>
        <v/>
      </c>
      <c r="P746" t="str">
        <f t="shared" si="56"/>
        <v/>
      </c>
      <c r="Q746" t="str">
        <f t="shared" si="57"/>
        <v/>
      </c>
      <c r="R746" t="str">
        <f t="shared" si="58"/>
        <v/>
      </c>
      <c r="S746" t="str">
        <f t="shared" si="59"/>
        <v/>
      </c>
      <c r="T746" s="24" t="str">
        <f t="shared" si="60"/>
        <v/>
      </c>
    </row>
    <row r="747" spans="2:20" x14ac:dyDescent="0.4">
      <c r="B747" s="49" t="str" cm="1">
        <f t="array" ref="B747">IFERROR((INDEX($P$4:$T$1000,MATCH(VALUE(LEFT($A747,LEN($A747)-1)),$A$4:$A$1000,0),VALUE(RIGHT($A747,1)))/ INDEX($O$4:$O$1000,MATCH(VALUE(LEFT($A747,LEN($A747)-1)),$A$4:$A$1000))) * INDEX($B$4:$B$1000,MATCH(VALUE(LEFT($A747,LEN($A747)-1)),$A$4:$A$1000)),"")</f>
        <v/>
      </c>
      <c r="C747" s="2" t="str" cm="1">
        <f t="array" ref="C747">IFERROR(IF(INDEX($D$4:$H$1000,MATCH(VALUE(LEFT($A747,LEN($A747)-1)),$A$4:$A$1000,0),VALUE(RIGHT($A747,1)))= 0,"",INDEX($D$4:$H$1000,MATCH(VALUE(LEFT($A747,LEN($A747)-1)),$A$4:$A$1000,0),VALUE(RIGHT($A747,1)))),"")</f>
        <v/>
      </c>
      <c r="D747" s="23" t="str">
        <f>IFERROR(IF(INDEX(使用レシピ!F:F,MATCH(テンプレート!$C747,使用レシピ!$E:$E,0))&lt;&gt;0,INDEX(使用レシピ!F:F,MATCH(テンプレート!$C747,使用レシピ!$E:$E,0)),""),"")</f>
        <v/>
      </c>
      <c r="E747" t="str">
        <f>IFERROR(IF(INDEX(使用レシピ!G:G,MATCH(テンプレート!$C747,使用レシピ!$E:$E,0))&lt;&gt;0,INDEX(使用レシピ!G:G,MATCH(テンプレート!$C747,使用レシピ!$E:$E,0)),""),"")</f>
        <v/>
      </c>
      <c r="F747" t="str">
        <f>IFERROR(IF(INDEX(使用レシピ!H:H,MATCH(テンプレート!$C747,使用レシピ!$E:$E,0))&lt;&gt;0,INDEX(使用レシピ!H:H,MATCH(テンプレート!$C747,使用レシピ!$E:$E,0)),""),"")</f>
        <v/>
      </c>
      <c r="G747" t="str">
        <f>IFERROR(IF(INDEX(使用レシピ!I:I,MATCH(テンプレート!$C747,使用レシピ!$E:$E,0))&lt;&gt;0,INDEX(使用レシピ!I:I,MATCH(テンプレート!$C747,使用レシピ!$E:$E,0)),""),"")</f>
        <v/>
      </c>
      <c r="H747" s="24" t="str">
        <f>IFERROR(IF(INDEX(使用レシピ!J:J,MATCH(テンプレート!$C747,使用レシピ!$E:$E,0))&lt;&gt;0,INDEX(使用レシピ!J:J,MATCH(テンプレート!$C747,使用レシピ!$E:$E,0)),""),"")</f>
        <v/>
      </c>
      <c r="I747" s="36" t="str">
        <f>IFERROR(IF(INDEX(使用レシピ!P:P,MATCH(テンプレート!$C747,使用レシピ!$E:$E,0))&lt;&gt;0,INDEX(使用レシピ!P:P,MATCH(テンプレート!$C747,使用レシピ!$E:$E,0)),""),"")</f>
        <v/>
      </c>
      <c r="J747" t="str">
        <f>IFERROR(IF(INDEX(使用レシピ!K:K,MATCH(テンプレート!$C747,使用レシピ!$E:$E,0))&lt;&gt;0,INDEX(使用レシピ!K:K,MATCH(テンプレート!$C747,使用レシピ!$E:$E,0)),""),"")</f>
        <v/>
      </c>
      <c r="K747" t="str">
        <f>IFERROR(IF(INDEX(使用レシピ!L:L,MATCH(テンプレート!$C747,使用レシピ!$E:$E,0))&lt;&gt;0,INDEX(使用レシピ!L:L,MATCH(テンプレート!$C747,使用レシピ!$E:$E,0)),""),"")</f>
        <v/>
      </c>
      <c r="L747" t="str">
        <f>IFERROR(IF(INDEX(使用レシピ!M:M,MATCH(テンプレート!$C747,使用レシピ!$E:$E,0))&lt;&gt;0,INDEX(使用レシピ!M:M,MATCH(テンプレート!$C747,使用レシピ!$E:$E,0)),""),"")</f>
        <v/>
      </c>
      <c r="M747" t="str">
        <f>IFERROR(IF(INDEX(使用レシピ!N:N,MATCH(テンプレート!$C747,使用レシピ!$E:$E,0))&lt;&gt;0,INDEX(使用レシピ!N:N,MATCH(テンプレート!$C747,使用レシピ!$E:$E,0)),""),"")</f>
        <v/>
      </c>
      <c r="N747" s="24" t="str">
        <f>IFERROR(IF(INDEX(使用レシピ!O:O,MATCH(テンプレート!$C747,使用レシピ!$E:$E,0))&lt;&gt;0,INDEX(使用レシピ!O:O,MATCH(テンプレート!$C747,使用レシピ!$E:$E,0)),""),"")</f>
        <v/>
      </c>
      <c r="O747" s="36" t="str">
        <f>IFERROR(IF(INDEX(使用レシピ!P:P,MATCH(テンプレート!$C747,使用レシピ!$E:$E,0))&lt;&gt;0,INDEX(使用レシピ!P:P,MATCH(テンプレート!$C747,使用レシピ!$E:$E,0)),""),"")</f>
        <v/>
      </c>
      <c r="P747" t="str">
        <f t="shared" si="56"/>
        <v/>
      </c>
      <c r="Q747" t="str">
        <f t="shared" si="57"/>
        <v/>
      </c>
      <c r="R747" t="str">
        <f t="shared" si="58"/>
        <v/>
      </c>
      <c r="S747" t="str">
        <f t="shared" si="59"/>
        <v/>
      </c>
      <c r="T747" s="24" t="str">
        <f t="shared" si="60"/>
        <v/>
      </c>
    </row>
    <row r="748" spans="2:20" x14ac:dyDescent="0.4">
      <c r="B748" s="49" t="str" cm="1">
        <f t="array" ref="B748">IFERROR((INDEX($P$4:$T$1000,MATCH(VALUE(LEFT($A748,LEN($A748)-1)),$A$4:$A$1000,0),VALUE(RIGHT($A748,1)))/ INDEX($O$4:$O$1000,MATCH(VALUE(LEFT($A748,LEN($A748)-1)),$A$4:$A$1000))) * INDEX($B$4:$B$1000,MATCH(VALUE(LEFT($A748,LEN($A748)-1)),$A$4:$A$1000)),"")</f>
        <v/>
      </c>
      <c r="C748" s="2" t="str" cm="1">
        <f t="array" ref="C748">IFERROR(IF(INDEX($D$4:$H$1000,MATCH(VALUE(LEFT($A748,LEN($A748)-1)),$A$4:$A$1000,0),VALUE(RIGHT($A748,1)))= 0,"",INDEX($D$4:$H$1000,MATCH(VALUE(LEFT($A748,LEN($A748)-1)),$A$4:$A$1000,0),VALUE(RIGHT($A748,1)))),"")</f>
        <v/>
      </c>
      <c r="D748" s="23" t="str">
        <f>IFERROR(IF(INDEX(使用レシピ!F:F,MATCH(テンプレート!$C748,使用レシピ!$E:$E,0))&lt;&gt;0,INDEX(使用レシピ!F:F,MATCH(テンプレート!$C748,使用レシピ!$E:$E,0)),""),"")</f>
        <v/>
      </c>
      <c r="E748" t="str">
        <f>IFERROR(IF(INDEX(使用レシピ!G:G,MATCH(テンプレート!$C748,使用レシピ!$E:$E,0))&lt;&gt;0,INDEX(使用レシピ!G:G,MATCH(テンプレート!$C748,使用レシピ!$E:$E,0)),""),"")</f>
        <v/>
      </c>
      <c r="F748" t="str">
        <f>IFERROR(IF(INDEX(使用レシピ!H:H,MATCH(テンプレート!$C748,使用レシピ!$E:$E,0))&lt;&gt;0,INDEX(使用レシピ!H:H,MATCH(テンプレート!$C748,使用レシピ!$E:$E,0)),""),"")</f>
        <v/>
      </c>
      <c r="G748" t="str">
        <f>IFERROR(IF(INDEX(使用レシピ!I:I,MATCH(テンプレート!$C748,使用レシピ!$E:$E,0))&lt;&gt;0,INDEX(使用レシピ!I:I,MATCH(テンプレート!$C748,使用レシピ!$E:$E,0)),""),"")</f>
        <v/>
      </c>
      <c r="H748" s="24" t="str">
        <f>IFERROR(IF(INDEX(使用レシピ!J:J,MATCH(テンプレート!$C748,使用レシピ!$E:$E,0))&lt;&gt;0,INDEX(使用レシピ!J:J,MATCH(テンプレート!$C748,使用レシピ!$E:$E,0)),""),"")</f>
        <v/>
      </c>
      <c r="I748" s="36" t="str">
        <f>IFERROR(IF(INDEX(使用レシピ!P:P,MATCH(テンプレート!$C748,使用レシピ!$E:$E,0))&lt;&gt;0,INDEX(使用レシピ!P:P,MATCH(テンプレート!$C748,使用レシピ!$E:$E,0)),""),"")</f>
        <v/>
      </c>
      <c r="J748" t="str">
        <f>IFERROR(IF(INDEX(使用レシピ!K:K,MATCH(テンプレート!$C748,使用レシピ!$E:$E,0))&lt;&gt;0,INDEX(使用レシピ!K:K,MATCH(テンプレート!$C748,使用レシピ!$E:$E,0)),""),"")</f>
        <v/>
      </c>
      <c r="K748" t="str">
        <f>IFERROR(IF(INDEX(使用レシピ!L:L,MATCH(テンプレート!$C748,使用レシピ!$E:$E,0))&lt;&gt;0,INDEX(使用レシピ!L:L,MATCH(テンプレート!$C748,使用レシピ!$E:$E,0)),""),"")</f>
        <v/>
      </c>
      <c r="L748" t="str">
        <f>IFERROR(IF(INDEX(使用レシピ!M:M,MATCH(テンプレート!$C748,使用レシピ!$E:$E,0))&lt;&gt;0,INDEX(使用レシピ!M:M,MATCH(テンプレート!$C748,使用レシピ!$E:$E,0)),""),"")</f>
        <v/>
      </c>
      <c r="M748" t="str">
        <f>IFERROR(IF(INDEX(使用レシピ!N:N,MATCH(テンプレート!$C748,使用レシピ!$E:$E,0))&lt;&gt;0,INDEX(使用レシピ!N:N,MATCH(テンプレート!$C748,使用レシピ!$E:$E,0)),""),"")</f>
        <v/>
      </c>
      <c r="N748" s="24" t="str">
        <f>IFERROR(IF(INDEX(使用レシピ!O:O,MATCH(テンプレート!$C748,使用レシピ!$E:$E,0))&lt;&gt;0,INDEX(使用レシピ!O:O,MATCH(テンプレート!$C748,使用レシピ!$E:$E,0)),""),"")</f>
        <v/>
      </c>
      <c r="O748" s="36" t="str">
        <f>IFERROR(IF(INDEX(使用レシピ!P:P,MATCH(テンプレート!$C748,使用レシピ!$E:$E,0))&lt;&gt;0,INDEX(使用レシピ!P:P,MATCH(テンプレート!$C748,使用レシピ!$E:$E,0)),""),"")</f>
        <v/>
      </c>
      <c r="P748" t="str">
        <f t="shared" si="56"/>
        <v/>
      </c>
      <c r="Q748" t="str">
        <f t="shared" si="57"/>
        <v/>
      </c>
      <c r="R748" t="str">
        <f t="shared" si="58"/>
        <v/>
      </c>
      <c r="S748" t="str">
        <f t="shared" si="59"/>
        <v/>
      </c>
      <c r="T748" s="24" t="str">
        <f t="shared" si="60"/>
        <v/>
      </c>
    </row>
    <row r="749" spans="2:20" x14ac:dyDescent="0.4">
      <c r="B749" s="49" t="str" cm="1">
        <f t="array" ref="B749">IFERROR((INDEX($P$4:$T$1000,MATCH(VALUE(LEFT($A749,LEN($A749)-1)),$A$4:$A$1000,0),VALUE(RIGHT($A749,1)))/ INDEX($O$4:$O$1000,MATCH(VALUE(LEFT($A749,LEN($A749)-1)),$A$4:$A$1000))) * INDEX($B$4:$B$1000,MATCH(VALUE(LEFT($A749,LEN($A749)-1)),$A$4:$A$1000)),"")</f>
        <v/>
      </c>
      <c r="C749" s="2" t="str" cm="1">
        <f t="array" ref="C749">IFERROR(IF(INDEX($D$4:$H$1000,MATCH(VALUE(LEFT($A749,LEN($A749)-1)),$A$4:$A$1000,0),VALUE(RIGHT($A749,1)))= 0,"",INDEX($D$4:$H$1000,MATCH(VALUE(LEFT($A749,LEN($A749)-1)),$A$4:$A$1000,0),VALUE(RIGHT($A749,1)))),"")</f>
        <v/>
      </c>
      <c r="D749" s="23" t="str">
        <f>IFERROR(IF(INDEX(使用レシピ!F:F,MATCH(テンプレート!$C749,使用レシピ!$E:$E,0))&lt;&gt;0,INDEX(使用レシピ!F:F,MATCH(テンプレート!$C749,使用レシピ!$E:$E,0)),""),"")</f>
        <v/>
      </c>
      <c r="E749" t="str">
        <f>IFERROR(IF(INDEX(使用レシピ!G:G,MATCH(テンプレート!$C749,使用レシピ!$E:$E,0))&lt;&gt;0,INDEX(使用レシピ!G:G,MATCH(テンプレート!$C749,使用レシピ!$E:$E,0)),""),"")</f>
        <v/>
      </c>
      <c r="F749" t="str">
        <f>IFERROR(IF(INDEX(使用レシピ!H:H,MATCH(テンプレート!$C749,使用レシピ!$E:$E,0))&lt;&gt;0,INDEX(使用レシピ!H:H,MATCH(テンプレート!$C749,使用レシピ!$E:$E,0)),""),"")</f>
        <v/>
      </c>
      <c r="G749" t="str">
        <f>IFERROR(IF(INDEX(使用レシピ!I:I,MATCH(テンプレート!$C749,使用レシピ!$E:$E,0))&lt;&gt;0,INDEX(使用レシピ!I:I,MATCH(テンプレート!$C749,使用レシピ!$E:$E,0)),""),"")</f>
        <v/>
      </c>
      <c r="H749" s="24" t="str">
        <f>IFERROR(IF(INDEX(使用レシピ!J:J,MATCH(テンプレート!$C749,使用レシピ!$E:$E,0))&lt;&gt;0,INDEX(使用レシピ!J:J,MATCH(テンプレート!$C749,使用レシピ!$E:$E,0)),""),"")</f>
        <v/>
      </c>
      <c r="I749" s="36" t="str">
        <f>IFERROR(IF(INDEX(使用レシピ!P:P,MATCH(テンプレート!$C749,使用レシピ!$E:$E,0))&lt;&gt;0,INDEX(使用レシピ!P:P,MATCH(テンプレート!$C749,使用レシピ!$E:$E,0)),""),"")</f>
        <v/>
      </c>
      <c r="J749" t="str">
        <f>IFERROR(IF(INDEX(使用レシピ!K:K,MATCH(テンプレート!$C749,使用レシピ!$E:$E,0))&lt;&gt;0,INDEX(使用レシピ!K:K,MATCH(テンプレート!$C749,使用レシピ!$E:$E,0)),""),"")</f>
        <v/>
      </c>
      <c r="K749" t="str">
        <f>IFERROR(IF(INDEX(使用レシピ!L:L,MATCH(テンプレート!$C749,使用レシピ!$E:$E,0))&lt;&gt;0,INDEX(使用レシピ!L:L,MATCH(テンプレート!$C749,使用レシピ!$E:$E,0)),""),"")</f>
        <v/>
      </c>
      <c r="L749" t="str">
        <f>IFERROR(IF(INDEX(使用レシピ!M:M,MATCH(テンプレート!$C749,使用レシピ!$E:$E,0))&lt;&gt;0,INDEX(使用レシピ!M:M,MATCH(テンプレート!$C749,使用レシピ!$E:$E,0)),""),"")</f>
        <v/>
      </c>
      <c r="M749" t="str">
        <f>IFERROR(IF(INDEX(使用レシピ!N:N,MATCH(テンプレート!$C749,使用レシピ!$E:$E,0))&lt;&gt;0,INDEX(使用レシピ!N:N,MATCH(テンプレート!$C749,使用レシピ!$E:$E,0)),""),"")</f>
        <v/>
      </c>
      <c r="N749" s="24" t="str">
        <f>IFERROR(IF(INDEX(使用レシピ!O:O,MATCH(テンプレート!$C749,使用レシピ!$E:$E,0))&lt;&gt;0,INDEX(使用レシピ!O:O,MATCH(テンプレート!$C749,使用レシピ!$E:$E,0)),""),"")</f>
        <v/>
      </c>
      <c r="O749" s="36" t="str">
        <f>IFERROR(IF(INDEX(使用レシピ!P:P,MATCH(テンプレート!$C749,使用レシピ!$E:$E,0))&lt;&gt;0,INDEX(使用レシピ!P:P,MATCH(テンプレート!$C749,使用レシピ!$E:$E,0)),""),"")</f>
        <v/>
      </c>
      <c r="P749" t="str">
        <f t="shared" ref="P749:P812" si="61">IFERROR(IF($O749/$I749*J749 &gt; 0,$O749/$I749*J749,""),"")</f>
        <v/>
      </c>
      <c r="Q749" t="str">
        <f t="shared" ref="Q749:Q812" si="62">IFERROR(IF($O749/$I749*K749 &gt; 0,$O749/$I749*K749,""),"")</f>
        <v/>
      </c>
      <c r="R749" t="str">
        <f t="shared" ref="R749:R812" si="63">IFERROR(IF($O749/$I749*L749 &gt; 0,$O749/$I749*L749,""),"")</f>
        <v/>
      </c>
      <c r="S749" t="str">
        <f t="shared" ref="S749:S812" si="64">IFERROR(IF($O749/$I749*M749 &gt; 0,$O749/$I749*M749,""),"")</f>
        <v/>
      </c>
      <c r="T749" s="24" t="str">
        <f t="shared" ref="T749:T812" si="65">IFERROR(IF($O749/$I749*N749 &gt; 0,$O749/$I749*N749,""),"")</f>
        <v/>
      </c>
    </row>
    <row r="750" spans="2:20" x14ac:dyDescent="0.4">
      <c r="B750" s="49" t="str" cm="1">
        <f t="array" ref="B750">IFERROR((INDEX($P$4:$T$1000,MATCH(VALUE(LEFT($A750,LEN($A750)-1)),$A$4:$A$1000,0),VALUE(RIGHT($A750,1)))/ INDEX($O$4:$O$1000,MATCH(VALUE(LEFT($A750,LEN($A750)-1)),$A$4:$A$1000))) * INDEX($B$4:$B$1000,MATCH(VALUE(LEFT($A750,LEN($A750)-1)),$A$4:$A$1000)),"")</f>
        <v/>
      </c>
      <c r="C750" s="2" t="str" cm="1">
        <f t="array" ref="C750">IFERROR(IF(INDEX($D$4:$H$1000,MATCH(VALUE(LEFT($A750,LEN($A750)-1)),$A$4:$A$1000,0),VALUE(RIGHT($A750,1)))= 0,"",INDEX($D$4:$H$1000,MATCH(VALUE(LEFT($A750,LEN($A750)-1)),$A$4:$A$1000,0),VALUE(RIGHT($A750,1)))),"")</f>
        <v/>
      </c>
      <c r="D750" s="23" t="str">
        <f>IFERROR(IF(INDEX(使用レシピ!F:F,MATCH(テンプレート!$C750,使用レシピ!$E:$E,0))&lt;&gt;0,INDEX(使用レシピ!F:F,MATCH(テンプレート!$C750,使用レシピ!$E:$E,0)),""),"")</f>
        <v/>
      </c>
      <c r="E750" t="str">
        <f>IFERROR(IF(INDEX(使用レシピ!G:G,MATCH(テンプレート!$C750,使用レシピ!$E:$E,0))&lt;&gt;0,INDEX(使用レシピ!G:G,MATCH(テンプレート!$C750,使用レシピ!$E:$E,0)),""),"")</f>
        <v/>
      </c>
      <c r="F750" t="str">
        <f>IFERROR(IF(INDEX(使用レシピ!H:H,MATCH(テンプレート!$C750,使用レシピ!$E:$E,0))&lt;&gt;0,INDEX(使用レシピ!H:H,MATCH(テンプレート!$C750,使用レシピ!$E:$E,0)),""),"")</f>
        <v/>
      </c>
      <c r="G750" t="str">
        <f>IFERROR(IF(INDEX(使用レシピ!I:I,MATCH(テンプレート!$C750,使用レシピ!$E:$E,0))&lt;&gt;0,INDEX(使用レシピ!I:I,MATCH(テンプレート!$C750,使用レシピ!$E:$E,0)),""),"")</f>
        <v/>
      </c>
      <c r="H750" s="24" t="str">
        <f>IFERROR(IF(INDEX(使用レシピ!J:J,MATCH(テンプレート!$C750,使用レシピ!$E:$E,0))&lt;&gt;0,INDEX(使用レシピ!J:J,MATCH(テンプレート!$C750,使用レシピ!$E:$E,0)),""),"")</f>
        <v/>
      </c>
      <c r="I750" s="36" t="str">
        <f>IFERROR(IF(INDEX(使用レシピ!P:P,MATCH(テンプレート!$C750,使用レシピ!$E:$E,0))&lt;&gt;0,INDEX(使用レシピ!P:P,MATCH(テンプレート!$C750,使用レシピ!$E:$E,0)),""),"")</f>
        <v/>
      </c>
      <c r="J750" t="str">
        <f>IFERROR(IF(INDEX(使用レシピ!K:K,MATCH(テンプレート!$C750,使用レシピ!$E:$E,0))&lt;&gt;0,INDEX(使用レシピ!K:K,MATCH(テンプレート!$C750,使用レシピ!$E:$E,0)),""),"")</f>
        <v/>
      </c>
      <c r="K750" t="str">
        <f>IFERROR(IF(INDEX(使用レシピ!L:L,MATCH(テンプレート!$C750,使用レシピ!$E:$E,0))&lt;&gt;0,INDEX(使用レシピ!L:L,MATCH(テンプレート!$C750,使用レシピ!$E:$E,0)),""),"")</f>
        <v/>
      </c>
      <c r="L750" t="str">
        <f>IFERROR(IF(INDEX(使用レシピ!M:M,MATCH(テンプレート!$C750,使用レシピ!$E:$E,0))&lt;&gt;0,INDEX(使用レシピ!M:M,MATCH(テンプレート!$C750,使用レシピ!$E:$E,0)),""),"")</f>
        <v/>
      </c>
      <c r="M750" t="str">
        <f>IFERROR(IF(INDEX(使用レシピ!N:N,MATCH(テンプレート!$C750,使用レシピ!$E:$E,0))&lt;&gt;0,INDEX(使用レシピ!N:N,MATCH(テンプレート!$C750,使用レシピ!$E:$E,0)),""),"")</f>
        <v/>
      </c>
      <c r="N750" s="24" t="str">
        <f>IFERROR(IF(INDEX(使用レシピ!O:O,MATCH(テンプレート!$C750,使用レシピ!$E:$E,0))&lt;&gt;0,INDEX(使用レシピ!O:O,MATCH(テンプレート!$C750,使用レシピ!$E:$E,0)),""),"")</f>
        <v/>
      </c>
      <c r="O750" s="36" t="str">
        <f>IFERROR(IF(INDEX(使用レシピ!P:P,MATCH(テンプレート!$C750,使用レシピ!$E:$E,0))&lt;&gt;0,INDEX(使用レシピ!P:P,MATCH(テンプレート!$C750,使用レシピ!$E:$E,0)),""),"")</f>
        <v/>
      </c>
      <c r="P750" t="str">
        <f t="shared" si="61"/>
        <v/>
      </c>
      <c r="Q750" t="str">
        <f t="shared" si="62"/>
        <v/>
      </c>
      <c r="R750" t="str">
        <f t="shared" si="63"/>
        <v/>
      </c>
      <c r="S750" t="str">
        <f t="shared" si="64"/>
        <v/>
      </c>
      <c r="T750" s="24" t="str">
        <f t="shared" si="65"/>
        <v/>
      </c>
    </row>
    <row r="751" spans="2:20" x14ac:dyDescent="0.4">
      <c r="B751" s="49" t="str" cm="1">
        <f t="array" ref="B751">IFERROR((INDEX($P$4:$T$1000,MATCH(VALUE(LEFT($A751,LEN($A751)-1)),$A$4:$A$1000,0),VALUE(RIGHT($A751,1)))/ INDEX($O$4:$O$1000,MATCH(VALUE(LEFT($A751,LEN($A751)-1)),$A$4:$A$1000))) * INDEX($B$4:$B$1000,MATCH(VALUE(LEFT($A751,LEN($A751)-1)),$A$4:$A$1000)),"")</f>
        <v/>
      </c>
      <c r="C751" s="2" t="str" cm="1">
        <f t="array" ref="C751">IFERROR(IF(INDEX($D$4:$H$1000,MATCH(VALUE(LEFT($A751,LEN($A751)-1)),$A$4:$A$1000,0),VALUE(RIGHT($A751,1)))= 0,"",INDEX($D$4:$H$1000,MATCH(VALUE(LEFT($A751,LEN($A751)-1)),$A$4:$A$1000,0),VALUE(RIGHT($A751,1)))),"")</f>
        <v/>
      </c>
      <c r="D751" s="23" t="str">
        <f>IFERROR(IF(INDEX(使用レシピ!F:F,MATCH(テンプレート!$C751,使用レシピ!$E:$E,0))&lt;&gt;0,INDEX(使用レシピ!F:F,MATCH(テンプレート!$C751,使用レシピ!$E:$E,0)),""),"")</f>
        <v/>
      </c>
      <c r="E751" t="str">
        <f>IFERROR(IF(INDEX(使用レシピ!G:G,MATCH(テンプレート!$C751,使用レシピ!$E:$E,0))&lt;&gt;0,INDEX(使用レシピ!G:G,MATCH(テンプレート!$C751,使用レシピ!$E:$E,0)),""),"")</f>
        <v/>
      </c>
      <c r="F751" t="str">
        <f>IFERROR(IF(INDEX(使用レシピ!H:H,MATCH(テンプレート!$C751,使用レシピ!$E:$E,0))&lt;&gt;0,INDEX(使用レシピ!H:H,MATCH(テンプレート!$C751,使用レシピ!$E:$E,0)),""),"")</f>
        <v/>
      </c>
      <c r="G751" t="str">
        <f>IFERROR(IF(INDEX(使用レシピ!I:I,MATCH(テンプレート!$C751,使用レシピ!$E:$E,0))&lt;&gt;0,INDEX(使用レシピ!I:I,MATCH(テンプレート!$C751,使用レシピ!$E:$E,0)),""),"")</f>
        <v/>
      </c>
      <c r="H751" s="24" t="str">
        <f>IFERROR(IF(INDEX(使用レシピ!J:J,MATCH(テンプレート!$C751,使用レシピ!$E:$E,0))&lt;&gt;0,INDEX(使用レシピ!J:J,MATCH(テンプレート!$C751,使用レシピ!$E:$E,0)),""),"")</f>
        <v/>
      </c>
      <c r="I751" s="36" t="str">
        <f>IFERROR(IF(INDEX(使用レシピ!P:P,MATCH(テンプレート!$C751,使用レシピ!$E:$E,0))&lt;&gt;0,INDEX(使用レシピ!P:P,MATCH(テンプレート!$C751,使用レシピ!$E:$E,0)),""),"")</f>
        <v/>
      </c>
      <c r="J751" t="str">
        <f>IFERROR(IF(INDEX(使用レシピ!K:K,MATCH(テンプレート!$C751,使用レシピ!$E:$E,0))&lt;&gt;0,INDEX(使用レシピ!K:K,MATCH(テンプレート!$C751,使用レシピ!$E:$E,0)),""),"")</f>
        <v/>
      </c>
      <c r="K751" t="str">
        <f>IFERROR(IF(INDEX(使用レシピ!L:L,MATCH(テンプレート!$C751,使用レシピ!$E:$E,0))&lt;&gt;0,INDEX(使用レシピ!L:L,MATCH(テンプレート!$C751,使用レシピ!$E:$E,0)),""),"")</f>
        <v/>
      </c>
      <c r="L751" t="str">
        <f>IFERROR(IF(INDEX(使用レシピ!M:M,MATCH(テンプレート!$C751,使用レシピ!$E:$E,0))&lt;&gt;0,INDEX(使用レシピ!M:M,MATCH(テンプレート!$C751,使用レシピ!$E:$E,0)),""),"")</f>
        <v/>
      </c>
      <c r="M751" t="str">
        <f>IFERROR(IF(INDEX(使用レシピ!N:N,MATCH(テンプレート!$C751,使用レシピ!$E:$E,0))&lt;&gt;0,INDEX(使用レシピ!N:N,MATCH(テンプレート!$C751,使用レシピ!$E:$E,0)),""),"")</f>
        <v/>
      </c>
      <c r="N751" s="24" t="str">
        <f>IFERROR(IF(INDEX(使用レシピ!O:O,MATCH(テンプレート!$C751,使用レシピ!$E:$E,0))&lt;&gt;0,INDEX(使用レシピ!O:O,MATCH(テンプレート!$C751,使用レシピ!$E:$E,0)),""),"")</f>
        <v/>
      </c>
      <c r="O751" s="36" t="str">
        <f>IFERROR(IF(INDEX(使用レシピ!P:P,MATCH(テンプレート!$C751,使用レシピ!$E:$E,0))&lt;&gt;0,INDEX(使用レシピ!P:P,MATCH(テンプレート!$C751,使用レシピ!$E:$E,0)),""),"")</f>
        <v/>
      </c>
      <c r="P751" t="str">
        <f t="shared" si="61"/>
        <v/>
      </c>
      <c r="Q751" t="str">
        <f t="shared" si="62"/>
        <v/>
      </c>
      <c r="R751" t="str">
        <f t="shared" si="63"/>
        <v/>
      </c>
      <c r="S751" t="str">
        <f t="shared" si="64"/>
        <v/>
      </c>
      <c r="T751" s="24" t="str">
        <f t="shared" si="65"/>
        <v/>
      </c>
    </row>
    <row r="752" spans="2:20" x14ac:dyDescent="0.4">
      <c r="B752" s="49" t="str" cm="1">
        <f t="array" ref="B752">IFERROR((INDEX($P$4:$T$1000,MATCH(VALUE(LEFT($A752,LEN($A752)-1)),$A$4:$A$1000,0),VALUE(RIGHT($A752,1)))/ INDEX($O$4:$O$1000,MATCH(VALUE(LEFT($A752,LEN($A752)-1)),$A$4:$A$1000))) * INDEX($B$4:$B$1000,MATCH(VALUE(LEFT($A752,LEN($A752)-1)),$A$4:$A$1000)),"")</f>
        <v/>
      </c>
      <c r="C752" s="2" t="str" cm="1">
        <f t="array" ref="C752">IFERROR(IF(INDEX($D$4:$H$1000,MATCH(VALUE(LEFT($A752,LEN($A752)-1)),$A$4:$A$1000,0),VALUE(RIGHT($A752,1)))= 0,"",INDEX($D$4:$H$1000,MATCH(VALUE(LEFT($A752,LEN($A752)-1)),$A$4:$A$1000,0),VALUE(RIGHT($A752,1)))),"")</f>
        <v/>
      </c>
      <c r="D752" s="23" t="str">
        <f>IFERROR(IF(INDEX(使用レシピ!F:F,MATCH(テンプレート!$C752,使用レシピ!$E:$E,0))&lt;&gt;0,INDEX(使用レシピ!F:F,MATCH(テンプレート!$C752,使用レシピ!$E:$E,0)),""),"")</f>
        <v/>
      </c>
      <c r="E752" t="str">
        <f>IFERROR(IF(INDEX(使用レシピ!G:G,MATCH(テンプレート!$C752,使用レシピ!$E:$E,0))&lt;&gt;0,INDEX(使用レシピ!G:G,MATCH(テンプレート!$C752,使用レシピ!$E:$E,0)),""),"")</f>
        <v/>
      </c>
      <c r="F752" t="str">
        <f>IFERROR(IF(INDEX(使用レシピ!H:H,MATCH(テンプレート!$C752,使用レシピ!$E:$E,0))&lt;&gt;0,INDEX(使用レシピ!H:H,MATCH(テンプレート!$C752,使用レシピ!$E:$E,0)),""),"")</f>
        <v/>
      </c>
      <c r="G752" t="str">
        <f>IFERROR(IF(INDEX(使用レシピ!I:I,MATCH(テンプレート!$C752,使用レシピ!$E:$E,0))&lt;&gt;0,INDEX(使用レシピ!I:I,MATCH(テンプレート!$C752,使用レシピ!$E:$E,0)),""),"")</f>
        <v/>
      </c>
      <c r="H752" s="24" t="str">
        <f>IFERROR(IF(INDEX(使用レシピ!J:J,MATCH(テンプレート!$C752,使用レシピ!$E:$E,0))&lt;&gt;0,INDEX(使用レシピ!J:J,MATCH(テンプレート!$C752,使用レシピ!$E:$E,0)),""),"")</f>
        <v/>
      </c>
      <c r="I752" s="36" t="str">
        <f>IFERROR(IF(INDEX(使用レシピ!P:P,MATCH(テンプレート!$C752,使用レシピ!$E:$E,0))&lt;&gt;0,INDEX(使用レシピ!P:P,MATCH(テンプレート!$C752,使用レシピ!$E:$E,0)),""),"")</f>
        <v/>
      </c>
      <c r="J752" t="str">
        <f>IFERROR(IF(INDEX(使用レシピ!K:K,MATCH(テンプレート!$C752,使用レシピ!$E:$E,0))&lt;&gt;0,INDEX(使用レシピ!K:K,MATCH(テンプレート!$C752,使用レシピ!$E:$E,0)),""),"")</f>
        <v/>
      </c>
      <c r="K752" t="str">
        <f>IFERROR(IF(INDEX(使用レシピ!L:L,MATCH(テンプレート!$C752,使用レシピ!$E:$E,0))&lt;&gt;0,INDEX(使用レシピ!L:L,MATCH(テンプレート!$C752,使用レシピ!$E:$E,0)),""),"")</f>
        <v/>
      </c>
      <c r="L752" t="str">
        <f>IFERROR(IF(INDEX(使用レシピ!M:M,MATCH(テンプレート!$C752,使用レシピ!$E:$E,0))&lt;&gt;0,INDEX(使用レシピ!M:M,MATCH(テンプレート!$C752,使用レシピ!$E:$E,0)),""),"")</f>
        <v/>
      </c>
      <c r="M752" t="str">
        <f>IFERROR(IF(INDEX(使用レシピ!N:N,MATCH(テンプレート!$C752,使用レシピ!$E:$E,0))&lt;&gt;0,INDEX(使用レシピ!N:N,MATCH(テンプレート!$C752,使用レシピ!$E:$E,0)),""),"")</f>
        <v/>
      </c>
      <c r="N752" s="24" t="str">
        <f>IFERROR(IF(INDEX(使用レシピ!O:O,MATCH(テンプレート!$C752,使用レシピ!$E:$E,0))&lt;&gt;0,INDEX(使用レシピ!O:O,MATCH(テンプレート!$C752,使用レシピ!$E:$E,0)),""),"")</f>
        <v/>
      </c>
      <c r="O752" s="36" t="str">
        <f>IFERROR(IF(INDEX(使用レシピ!P:P,MATCH(テンプレート!$C752,使用レシピ!$E:$E,0))&lt;&gt;0,INDEX(使用レシピ!P:P,MATCH(テンプレート!$C752,使用レシピ!$E:$E,0)),""),"")</f>
        <v/>
      </c>
      <c r="P752" t="str">
        <f t="shared" si="61"/>
        <v/>
      </c>
      <c r="Q752" t="str">
        <f t="shared" si="62"/>
        <v/>
      </c>
      <c r="R752" t="str">
        <f t="shared" si="63"/>
        <v/>
      </c>
      <c r="S752" t="str">
        <f t="shared" si="64"/>
        <v/>
      </c>
      <c r="T752" s="24" t="str">
        <f t="shared" si="65"/>
        <v/>
      </c>
    </row>
    <row r="753" spans="2:20" x14ac:dyDescent="0.4">
      <c r="B753" s="49" t="str" cm="1">
        <f t="array" ref="B753">IFERROR((INDEX($P$4:$T$1000,MATCH(VALUE(LEFT($A753,LEN($A753)-1)),$A$4:$A$1000,0),VALUE(RIGHT($A753,1)))/ INDEX($O$4:$O$1000,MATCH(VALUE(LEFT($A753,LEN($A753)-1)),$A$4:$A$1000))) * INDEX($B$4:$B$1000,MATCH(VALUE(LEFT($A753,LEN($A753)-1)),$A$4:$A$1000)),"")</f>
        <v/>
      </c>
      <c r="C753" s="2" t="str" cm="1">
        <f t="array" ref="C753">IFERROR(IF(INDEX($D$4:$H$1000,MATCH(VALUE(LEFT($A753,LEN($A753)-1)),$A$4:$A$1000,0),VALUE(RIGHT($A753,1)))= 0,"",INDEX($D$4:$H$1000,MATCH(VALUE(LEFT($A753,LEN($A753)-1)),$A$4:$A$1000,0),VALUE(RIGHT($A753,1)))),"")</f>
        <v/>
      </c>
      <c r="D753" s="23" t="str">
        <f>IFERROR(IF(INDEX(使用レシピ!F:F,MATCH(テンプレート!$C753,使用レシピ!$E:$E,0))&lt;&gt;0,INDEX(使用レシピ!F:F,MATCH(テンプレート!$C753,使用レシピ!$E:$E,0)),""),"")</f>
        <v/>
      </c>
      <c r="E753" t="str">
        <f>IFERROR(IF(INDEX(使用レシピ!G:G,MATCH(テンプレート!$C753,使用レシピ!$E:$E,0))&lt;&gt;0,INDEX(使用レシピ!G:G,MATCH(テンプレート!$C753,使用レシピ!$E:$E,0)),""),"")</f>
        <v/>
      </c>
      <c r="F753" t="str">
        <f>IFERROR(IF(INDEX(使用レシピ!H:H,MATCH(テンプレート!$C753,使用レシピ!$E:$E,0))&lt;&gt;0,INDEX(使用レシピ!H:H,MATCH(テンプレート!$C753,使用レシピ!$E:$E,0)),""),"")</f>
        <v/>
      </c>
      <c r="G753" t="str">
        <f>IFERROR(IF(INDEX(使用レシピ!I:I,MATCH(テンプレート!$C753,使用レシピ!$E:$E,0))&lt;&gt;0,INDEX(使用レシピ!I:I,MATCH(テンプレート!$C753,使用レシピ!$E:$E,0)),""),"")</f>
        <v/>
      </c>
      <c r="H753" s="24" t="str">
        <f>IFERROR(IF(INDEX(使用レシピ!J:J,MATCH(テンプレート!$C753,使用レシピ!$E:$E,0))&lt;&gt;0,INDEX(使用レシピ!J:J,MATCH(テンプレート!$C753,使用レシピ!$E:$E,0)),""),"")</f>
        <v/>
      </c>
      <c r="I753" s="36" t="str">
        <f>IFERROR(IF(INDEX(使用レシピ!P:P,MATCH(テンプレート!$C753,使用レシピ!$E:$E,0))&lt;&gt;0,INDEX(使用レシピ!P:P,MATCH(テンプレート!$C753,使用レシピ!$E:$E,0)),""),"")</f>
        <v/>
      </c>
      <c r="J753" t="str">
        <f>IFERROR(IF(INDEX(使用レシピ!K:K,MATCH(テンプレート!$C753,使用レシピ!$E:$E,0))&lt;&gt;0,INDEX(使用レシピ!K:K,MATCH(テンプレート!$C753,使用レシピ!$E:$E,0)),""),"")</f>
        <v/>
      </c>
      <c r="K753" t="str">
        <f>IFERROR(IF(INDEX(使用レシピ!L:L,MATCH(テンプレート!$C753,使用レシピ!$E:$E,0))&lt;&gt;0,INDEX(使用レシピ!L:L,MATCH(テンプレート!$C753,使用レシピ!$E:$E,0)),""),"")</f>
        <v/>
      </c>
      <c r="L753" t="str">
        <f>IFERROR(IF(INDEX(使用レシピ!M:M,MATCH(テンプレート!$C753,使用レシピ!$E:$E,0))&lt;&gt;0,INDEX(使用レシピ!M:M,MATCH(テンプレート!$C753,使用レシピ!$E:$E,0)),""),"")</f>
        <v/>
      </c>
      <c r="M753" t="str">
        <f>IFERROR(IF(INDEX(使用レシピ!N:N,MATCH(テンプレート!$C753,使用レシピ!$E:$E,0))&lt;&gt;0,INDEX(使用レシピ!N:N,MATCH(テンプレート!$C753,使用レシピ!$E:$E,0)),""),"")</f>
        <v/>
      </c>
      <c r="N753" s="24" t="str">
        <f>IFERROR(IF(INDEX(使用レシピ!O:O,MATCH(テンプレート!$C753,使用レシピ!$E:$E,0))&lt;&gt;0,INDEX(使用レシピ!O:O,MATCH(テンプレート!$C753,使用レシピ!$E:$E,0)),""),"")</f>
        <v/>
      </c>
      <c r="O753" s="36" t="str">
        <f>IFERROR(IF(INDEX(使用レシピ!P:P,MATCH(テンプレート!$C753,使用レシピ!$E:$E,0))&lt;&gt;0,INDEX(使用レシピ!P:P,MATCH(テンプレート!$C753,使用レシピ!$E:$E,0)),""),"")</f>
        <v/>
      </c>
      <c r="P753" t="str">
        <f t="shared" si="61"/>
        <v/>
      </c>
      <c r="Q753" t="str">
        <f t="shared" si="62"/>
        <v/>
      </c>
      <c r="R753" t="str">
        <f t="shared" si="63"/>
        <v/>
      </c>
      <c r="S753" t="str">
        <f t="shared" si="64"/>
        <v/>
      </c>
      <c r="T753" s="24" t="str">
        <f t="shared" si="65"/>
        <v/>
      </c>
    </row>
    <row r="754" spans="2:20" x14ac:dyDescent="0.4">
      <c r="B754" s="49" t="str" cm="1">
        <f t="array" ref="B754">IFERROR((INDEX($P$4:$T$1000,MATCH(VALUE(LEFT($A754,LEN($A754)-1)),$A$4:$A$1000,0),VALUE(RIGHT($A754,1)))/ INDEX($O$4:$O$1000,MATCH(VALUE(LEFT($A754,LEN($A754)-1)),$A$4:$A$1000))) * INDEX($B$4:$B$1000,MATCH(VALUE(LEFT($A754,LEN($A754)-1)),$A$4:$A$1000)),"")</f>
        <v/>
      </c>
      <c r="C754" s="2" t="str" cm="1">
        <f t="array" ref="C754">IFERROR(IF(INDEX($D$4:$H$1000,MATCH(VALUE(LEFT($A754,LEN($A754)-1)),$A$4:$A$1000,0),VALUE(RIGHT($A754,1)))= 0,"",INDEX($D$4:$H$1000,MATCH(VALUE(LEFT($A754,LEN($A754)-1)),$A$4:$A$1000,0),VALUE(RIGHT($A754,1)))),"")</f>
        <v/>
      </c>
      <c r="D754" s="23" t="str">
        <f>IFERROR(IF(INDEX(使用レシピ!F:F,MATCH(テンプレート!$C754,使用レシピ!$E:$E,0))&lt;&gt;0,INDEX(使用レシピ!F:F,MATCH(テンプレート!$C754,使用レシピ!$E:$E,0)),""),"")</f>
        <v/>
      </c>
      <c r="E754" t="str">
        <f>IFERROR(IF(INDEX(使用レシピ!G:G,MATCH(テンプレート!$C754,使用レシピ!$E:$E,0))&lt;&gt;0,INDEX(使用レシピ!G:G,MATCH(テンプレート!$C754,使用レシピ!$E:$E,0)),""),"")</f>
        <v/>
      </c>
      <c r="F754" t="str">
        <f>IFERROR(IF(INDEX(使用レシピ!H:H,MATCH(テンプレート!$C754,使用レシピ!$E:$E,0))&lt;&gt;0,INDEX(使用レシピ!H:H,MATCH(テンプレート!$C754,使用レシピ!$E:$E,0)),""),"")</f>
        <v/>
      </c>
      <c r="G754" t="str">
        <f>IFERROR(IF(INDEX(使用レシピ!I:I,MATCH(テンプレート!$C754,使用レシピ!$E:$E,0))&lt;&gt;0,INDEX(使用レシピ!I:I,MATCH(テンプレート!$C754,使用レシピ!$E:$E,0)),""),"")</f>
        <v/>
      </c>
      <c r="H754" s="24" t="str">
        <f>IFERROR(IF(INDEX(使用レシピ!J:J,MATCH(テンプレート!$C754,使用レシピ!$E:$E,0))&lt;&gt;0,INDEX(使用レシピ!J:J,MATCH(テンプレート!$C754,使用レシピ!$E:$E,0)),""),"")</f>
        <v/>
      </c>
      <c r="I754" s="36" t="str">
        <f>IFERROR(IF(INDEX(使用レシピ!P:P,MATCH(テンプレート!$C754,使用レシピ!$E:$E,0))&lt;&gt;0,INDEX(使用レシピ!P:P,MATCH(テンプレート!$C754,使用レシピ!$E:$E,0)),""),"")</f>
        <v/>
      </c>
      <c r="J754" t="str">
        <f>IFERROR(IF(INDEX(使用レシピ!K:K,MATCH(テンプレート!$C754,使用レシピ!$E:$E,0))&lt;&gt;0,INDEX(使用レシピ!K:K,MATCH(テンプレート!$C754,使用レシピ!$E:$E,0)),""),"")</f>
        <v/>
      </c>
      <c r="K754" t="str">
        <f>IFERROR(IF(INDEX(使用レシピ!L:L,MATCH(テンプレート!$C754,使用レシピ!$E:$E,0))&lt;&gt;0,INDEX(使用レシピ!L:L,MATCH(テンプレート!$C754,使用レシピ!$E:$E,0)),""),"")</f>
        <v/>
      </c>
      <c r="L754" t="str">
        <f>IFERROR(IF(INDEX(使用レシピ!M:M,MATCH(テンプレート!$C754,使用レシピ!$E:$E,0))&lt;&gt;0,INDEX(使用レシピ!M:M,MATCH(テンプレート!$C754,使用レシピ!$E:$E,0)),""),"")</f>
        <v/>
      </c>
      <c r="M754" t="str">
        <f>IFERROR(IF(INDEX(使用レシピ!N:N,MATCH(テンプレート!$C754,使用レシピ!$E:$E,0))&lt;&gt;0,INDEX(使用レシピ!N:N,MATCH(テンプレート!$C754,使用レシピ!$E:$E,0)),""),"")</f>
        <v/>
      </c>
      <c r="N754" s="24" t="str">
        <f>IFERROR(IF(INDEX(使用レシピ!O:O,MATCH(テンプレート!$C754,使用レシピ!$E:$E,0))&lt;&gt;0,INDEX(使用レシピ!O:O,MATCH(テンプレート!$C754,使用レシピ!$E:$E,0)),""),"")</f>
        <v/>
      </c>
      <c r="O754" s="36" t="str">
        <f>IFERROR(IF(INDEX(使用レシピ!P:P,MATCH(テンプレート!$C754,使用レシピ!$E:$E,0))&lt;&gt;0,INDEX(使用レシピ!P:P,MATCH(テンプレート!$C754,使用レシピ!$E:$E,0)),""),"")</f>
        <v/>
      </c>
      <c r="P754" t="str">
        <f t="shared" si="61"/>
        <v/>
      </c>
      <c r="Q754" t="str">
        <f t="shared" si="62"/>
        <v/>
      </c>
      <c r="R754" t="str">
        <f t="shared" si="63"/>
        <v/>
      </c>
      <c r="S754" t="str">
        <f t="shared" si="64"/>
        <v/>
      </c>
      <c r="T754" s="24" t="str">
        <f t="shared" si="65"/>
        <v/>
      </c>
    </row>
    <row r="755" spans="2:20" x14ac:dyDescent="0.4">
      <c r="B755" s="49" t="str" cm="1">
        <f t="array" ref="B755">IFERROR((INDEX($P$4:$T$1000,MATCH(VALUE(LEFT($A755,LEN($A755)-1)),$A$4:$A$1000,0),VALUE(RIGHT($A755,1)))/ INDEX($O$4:$O$1000,MATCH(VALUE(LEFT($A755,LEN($A755)-1)),$A$4:$A$1000))) * INDEX($B$4:$B$1000,MATCH(VALUE(LEFT($A755,LEN($A755)-1)),$A$4:$A$1000)),"")</f>
        <v/>
      </c>
      <c r="C755" s="2" t="str" cm="1">
        <f t="array" ref="C755">IFERROR(IF(INDEX($D$4:$H$1000,MATCH(VALUE(LEFT($A755,LEN($A755)-1)),$A$4:$A$1000,0),VALUE(RIGHT($A755,1)))= 0,"",INDEX($D$4:$H$1000,MATCH(VALUE(LEFT($A755,LEN($A755)-1)),$A$4:$A$1000,0),VALUE(RIGHT($A755,1)))),"")</f>
        <v/>
      </c>
      <c r="D755" s="23" t="str">
        <f>IFERROR(IF(INDEX(使用レシピ!F:F,MATCH(テンプレート!$C755,使用レシピ!$E:$E,0))&lt;&gt;0,INDEX(使用レシピ!F:F,MATCH(テンプレート!$C755,使用レシピ!$E:$E,0)),""),"")</f>
        <v/>
      </c>
      <c r="E755" t="str">
        <f>IFERROR(IF(INDEX(使用レシピ!G:G,MATCH(テンプレート!$C755,使用レシピ!$E:$E,0))&lt;&gt;0,INDEX(使用レシピ!G:G,MATCH(テンプレート!$C755,使用レシピ!$E:$E,0)),""),"")</f>
        <v/>
      </c>
      <c r="F755" t="str">
        <f>IFERROR(IF(INDEX(使用レシピ!H:H,MATCH(テンプレート!$C755,使用レシピ!$E:$E,0))&lt;&gt;0,INDEX(使用レシピ!H:H,MATCH(テンプレート!$C755,使用レシピ!$E:$E,0)),""),"")</f>
        <v/>
      </c>
      <c r="G755" t="str">
        <f>IFERROR(IF(INDEX(使用レシピ!I:I,MATCH(テンプレート!$C755,使用レシピ!$E:$E,0))&lt;&gt;0,INDEX(使用レシピ!I:I,MATCH(テンプレート!$C755,使用レシピ!$E:$E,0)),""),"")</f>
        <v/>
      </c>
      <c r="H755" s="24" t="str">
        <f>IFERROR(IF(INDEX(使用レシピ!J:J,MATCH(テンプレート!$C755,使用レシピ!$E:$E,0))&lt;&gt;0,INDEX(使用レシピ!J:J,MATCH(テンプレート!$C755,使用レシピ!$E:$E,0)),""),"")</f>
        <v/>
      </c>
      <c r="I755" s="36" t="str">
        <f>IFERROR(IF(INDEX(使用レシピ!P:P,MATCH(テンプレート!$C755,使用レシピ!$E:$E,0))&lt;&gt;0,INDEX(使用レシピ!P:P,MATCH(テンプレート!$C755,使用レシピ!$E:$E,0)),""),"")</f>
        <v/>
      </c>
      <c r="J755" t="str">
        <f>IFERROR(IF(INDEX(使用レシピ!K:K,MATCH(テンプレート!$C755,使用レシピ!$E:$E,0))&lt;&gt;0,INDEX(使用レシピ!K:K,MATCH(テンプレート!$C755,使用レシピ!$E:$E,0)),""),"")</f>
        <v/>
      </c>
      <c r="K755" t="str">
        <f>IFERROR(IF(INDEX(使用レシピ!L:L,MATCH(テンプレート!$C755,使用レシピ!$E:$E,0))&lt;&gt;0,INDEX(使用レシピ!L:L,MATCH(テンプレート!$C755,使用レシピ!$E:$E,0)),""),"")</f>
        <v/>
      </c>
      <c r="L755" t="str">
        <f>IFERROR(IF(INDEX(使用レシピ!M:M,MATCH(テンプレート!$C755,使用レシピ!$E:$E,0))&lt;&gt;0,INDEX(使用レシピ!M:M,MATCH(テンプレート!$C755,使用レシピ!$E:$E,0)),""),"")</f>
        <v/>
      </c>
      <c r="M755" t="str">
        <f>IFERROR(IF(INDEX(使用レシピ!N:N,MATCH(テンプレート!$C755,使用レシピ!$E:$E,0))&lt;&gt;0,INDEX(使用レシピ!N:N,MATCH(テンプレート!$C755,使用レシピ!$E:$E,0)),""),"")</f>
        <v/>
      </c>
      <c r="N755" s="24" t="str">
        <f>IFERROR(IF(INDEX(使用レシピ!O:O,MATCH(テンプレート!$C755,使用レシピ!$E:$E,0))&lt;&gt;0,INDEX(使用レシピ!O:O,MATCH(テンプレート!$C755,使用レシピ!$E:$E,0)),""),"")</f>
        <v/>
      </c>
      <c r="O755" s="36" t="str">
        <f>IFERROR(IF(INDEX(使用レシピ!P:P,MATCH(テンプレート!$C755,使用レシピ!$E:$E,0))&lt;&gt;0,INDEX(使用レシピ!P:P,MATCH(テンプレート!$C755,使用レシピ!$E:$E,0)),""),"")</f>
        <v/>
      </c>
      <c r="P755" t="str">
        <f t="shared" si="61"/>
        <v/>
      </c>
      <c r="Q755" t="str">
        <f t="shared" si="62"/>
        <v/>
      </c>
      <c r="R755" t="str">
        <f t="shared" si="63"/>
        <v/>
      </c>
      <c r="S755" t="str">
        <f t="shared" si="64"/>
        <v/>
      </c>
      <c r="T755" s="24" t="str">
        <f t="shared" si="65"/>
        <v/>
      </c>
    </row>
    <row r="756" spans="2:20" x14ac:dyDescent="0.4">
      <c r="B756" s="49" t="str" cm="1">
        <f t="array" ref="B756">IFERROR((INDEX($P$4:$T$1000,MATCH(VALUE(LEFT($A756,LEN($A756)-1)),$A$4:$A$1000,0),VALUE(RIGHT($A756,1)))/ INDEX($O$4:$O$1000,MATCH(VALUE(LEFT($A756,LEN($A756)-1)),$A$4:$A$1000))) * INDEX($B$4:$B$1000,MATCH(VALUE(LEFT($A756,LEN($A756)-1)),$A$4:$A$1000)),"")</f>
        <v/>
      </c>
      <c r="C756" s="2" t="str" cm="1">
        <f t="array" ref="C756">IFERROR(IF(INDEX($D$4:$H$1000,MATCH(VALUE(LEFT($A756,LEN($A756)-1)),$A$4:$A$1000,0),VALUE(RIGHT($A756,1)))= 0,"",INDEX($D$4:$H$1000,MATCH(VALUE(LEFT($A756,LEN($A756)-1)),$A$4:$A$1000,0),VALUE(RIGHT($A756,1)))),"")</f>
        <v/>
      </c>
      <c r="D756" s="23" t="str">
        <f>IFERROR(IF(INDEX(使用レシピ!F:F,MATCH(テンプレート!$C756,使用レシピ!$E:$E,0))&lt;&gt;0,INDEX(使用レシピ!F:F,MATCH(テンプレート!$C756,使用レシピ!$E:$E,0)),""),"")</f>
        <v/>
      </c>
      <c r="E756" t="str">
        <f>IFERROR(IF(INDEX(使用レシピ!G:G,MATCH(テンプレート!$C756,使用レシピ!$E:$E,0))&lt;&gt;0,INDEX(使用レシピ!G:G,MATCH(テンプレート!$C756,使用レシピ!$E:$E,0)),""),"")</f>
        <v/>
      </c>
      <c r="F756" t="str">
        <f>IFERROR(IF(INDEX(使用レシピ!H:H,MATCH(テンプレート!$C756,使用レシピ!$E:$E,0))&lt;&gt;0,INDEX(使用レシピ!H:H,MATCH(テンプレート!$C756,使用レシピ!$E:$E,0)),""),"")</f>
        <v/>
      </c>
      <c r="G756" t="str">
        <f>IFERROR(IF(INDEX(使用レシピ!I:I,MATCH(テンプレート!$C756,使用レシピ!$E:$E,0))&lt;&gt;0,INDEX(使用レシピ!I:I,MATCH(テンプレート!$C756,使用レシピ!$E:$E,0)),""),"")</f>
        <v/>
      </c>
      <c r="H756" s="24" t="str">
        <f>IFERROR(IF(INDEX(使用レシピ!J:J,MATCH(テンプレート!$C756,使用レシピ!$E:$E,0))&lt;&gt;0,INDEX(使用レシピ!J:J,MATCH(テンプレート!$C756,使用レシピ!$E:$E,0)),""),"")</f>
        <v/>
      </c>
      <c r="I756" s="36" t="str">
        <f>IFERROR(IF(INDEX(使用レシピ!P:P,MATCH(テンプレート!$C756,使用レシピ!$E:$E,0))&lt;&gt;0,INDEX(使用レシピ!P:P,MATCH(テンプレート!$C756,使用レシピ!$E:$E,0)),""),"")</f>
        <v/>
      </c>
      <c r="J756" t="str">
        <f>IFERROR(IF(INDEX(使用レシピ!K:K,MATCH(テンプレート!$C756,使用レシピ!$E:$E,0))&lt;&gt;0,INDEX(使用レシピ!K:K,MATCH(テンプレート!$C756,使用レシピ!$E:$E,0)),""),"")</f>
        <v/>
      </c>
      <c r="K756" t="str">
        <f>IFERROR(IF(INDEX(使用レシピ!L:L,MATCH(テンプレート!$C756,使用レシピ!$E:$E,0))&lt;&gt;0,INDEX(使用レシピ!L:L,MATCH(テンプレート!$C756,使用レシピ!$E:$E,0)),""),"")</f>
        <v/>
      </c>
      <c r="L756" t="str">
        <f>IFERROR(IF(INDEX(使用レシピ!M:M,MATCH(テンプレート!$C756,使用レシピ!$E:$E,0))&lt;&gt;0,INDEX(使用レシピ!M:M,MATCH(テンプレート!$C756,使用レシピ!$E:$E,0)),""),"")</f>
        <v/>
      </c>
      <c r="M756" t="str">
        <f>IFERROR(IF(INDEX(使用レシピ!N:N,MATCH(テンプレート!$C756,使用レシピ!$E:$E,0))&lt;&gt;0,INDEX(使用レシピ!N:N,MATCH(テンプレート!$C756,使用レシピ!$E:$E,0)),""),"")</f>
        <v/>
      </c>
      <c r="N756" s="24" t="str">
        <f>IFERROR(IF(INDEX(使用レシピ!O:O,MATCH(テンプレート!$C756,使用レシピ!$E:$E,0))&lt;&gt;0,INDEX(使用レシピ!O:O,MATCH(テンプレート!$C756,使用レシピ!$E:$E,0)),""),"")</f>
        <v/>
      </c>
      <c r="O756" s="36" t="str">
        <f>IFERROR(IF(INDEX(使用レシピ!P:P,MATCH(テンプレート!$C756,使用レシピ!$E:$E,0))&lt;&gt;0,INDEX(使用レシピ!P:P,MATCH(テンプレート!$C756,使用レシピ!$E:$E,0)),""),"")</f>
        <v/>
      </c>
      <c r="P756" t="str">
        <f t="shared" si="61"/>
        <v/>
      </c>
      <c r="Q756" t="str">
        <f t="shared" si="62"/>
        <v/>
      </c>
      <c r="R756" t="str">
        <f t="shared" si="63"/>
        <v/>
      </c>
      <c r="S756" t="str">
        <f t="shared" si="64"/>
        <v/>
      </c>
      <c r="T756" s="24" t="str">
        <f t="shared" si="65"/>
        <v/>
      </c>
    </row>
    <row r="757" spans="2:20" x14ac:dyDescent="0.4">
      <c r="B757" s="49" t="str" cm="1">
        <f t="array" ref="B757">IFERROR((INDEX($P$4:$T$1000,MATCH(VALUE(LEFT($A757,LEN($A757)-1)),$A$4:$A$1000,0),VALUE(RIGHT($A757,1)))/ INDEX($O$4:$O$1000,MATCH(VALUE(LEFT($A757,LEN($A757)-1)),$A$4:$A$1000))) * INDEX($B$4:$B$1000,MATCH(VALUE(LEFT($A757,LEN($A757)-1)),$A$4:$A$1000)),"")</f>
        <v/>
      </c>
      <c r="C757" s="2" t="str" cm="1">
        <f t="array" ref="C757">IFERROR(IF(INDEX($D$4:$H$1000,MATCH(VALUE(LEFT($A757,LEN($A757)-1)),$A$4:$A$1000,0),VALUE(RIGHT($A757,1)))= 0,"",INDEX($D$4:$H$1000,MATCH(VALUE(LEFT($A757,LEN($A757)-1)),$A$4:$A$1000,0),VALUE(RIGHT($A757,1)))),"")</f>
        <v/>
      </c>
      <c r="D757" s="23" t="str">
        <f>IFERROR(IF(INDEX(使用レシピ!F:F,MATCH(テンプレート!$C757,使用レシピ!$E:$E,0))&lt;&gt;0,INDEX(使用レシピ!F:F,MATCH(テンプレート!$C757,使用レシピ!$E:$E,0)),""),"")</f>
        <v/>
      </c>
      <c r="E757" t="str">
        <f>IFERROR(IF(INDEX(使用レシピ!G:G,MATCH(テンプレート!$C757,使用レシピ!$E:$E,0))&lt;&gt;0,INDEX(使用レシピ!G:G,MATCH(テンプレート!$C757,使用レシピ!$E:$E,0)),""),"")</f>
        <v/>
      </c>
      <c r="F757" t="str">
        <f>IFERROR(IF(INDEX(使用レシピ!H:H,MATCH(テンプレート!$C757,使用レシピ!$E:$E,0))&lt;&gt;0,INDEX(使用レシピ!H:H,MATCH(テンプレート!$C757,使用レシピ!$E:$E,0)),""),"")</f>
        <v/>
      </c>
      <c r="G757" t="str">
        <f>IFERROR(IF(INDEX(使用レシピ!I:I,MATCH(テンプレート!$C757,使用レシピ!$E:$E,0))&lt;&gt;0,INDEX(使用レシピ!I:I,MATCH(テンプレート!$C757,使用レシピ!$E:$E,0)),""),"")</f>
        <v/>
      </c>
      <c r="H757" s="24" t="str">
        <f>IFERROR(IF(INDEX(使用レシピ!J:J,MATCH(テンプレート!$C757,使用レシピ!$E:$E,0))&lt;&gt;0,INDEX(使用レシピ!J:J,MATCH(テンプレート!$C757,使用レシピ!$E:$E,0)),""),"")</f>
        <v/>
      </c>
      <c r="I757" s="36" t="str">
        <f>IFERROR(IF(INDEX(使用レシピ!P:P,MATCH(テンプレート!$C757,使用レシピ!$E:$E,0))&lt;&gt;0,INDEX(使用レシピ!P:P,MATCH(テンプレート!$C757,使用レシピ!$E:$E,0)),""),"")</f>
        <v/>
      </c>
      <c r="J757" t="str">
        <f>IFERROR(IF(INDEX(使用レシピ!K:K,MATCH(テンプレート!$C757,使用レシピ!$E:$E,0))&lt;&gt;0,INDEX(使用レシピ!K:K,MATCH(テンプレート!$C757,使用レシピ!$E:$E,0)),""),"")</f>
        <v/>
      </c>
      <c r="K757" t="str">
        <f>IFERROR(IF(INDEX(使用レシピ!L:L,MATCH(テンプレート!$C757,使用レシピ!$E:$E,0))&lt;&gt;0,INDEX(使用レシピ!L:L,MATCH(テンプレート!$C757,使用レシピ!$E:$E,0)),""),"")</f>
        <v/>
      </c>
      <c r="L757" t="str">
        <f>IFERROR(IF(INDEX(使用レシピ!M:M,MATCH(テンプレート!$C757,使用レシピ!$E:$E,0))&lt;&gt;0,INDEX(使用レシピ!M:M,MATCH(テンプレート!$C757,使用レシピ!$E:$E,0)),""),"")</f>
        <v/>
      </c>
      <c r="M757" t="str">
        <f>IFERROR(IF(INDEX(使用レシピ!N:N,MATCH(テンプレート!$C757,使用レシピ!$E:$E,0))&lt;&gt;0,INDEX(使用レシピ!N:N,MATCH(テンプレート!$C757,使用レシピ!$E:$E,0)),""),"")</f>
        <v/>
      </c>
      <c r="N757" s="24" t="str">
        <f>IFERROR(IF(INDEX(使用レシピ!O:O,MATCH(テンプレート!$C757,使用レシピ!$E:$E,0))&lt;&gt;0,INDEX(使用レシピ!O:O,MATCH(テンプレート!$C757,使用レシピ!$E:$E,0)),""),"")</f>
        <v/>
      </c>
      <c r="O757" s="36" t="str">
        <f>IFERROR(IF(INDEX(使用レシピ!P:P,MATCH(テンプレート!$C757,使用レシピ!$E:$E,0))&lt;&gt;0,INDEX(使用レシピ!P:P,MATCH(テンプレート!$C757,使用レシピ!$E:$E,0)),""),"")</f>
        <v/>
      </c>
      <c r="P757" t="str">
        <f t="shared" si="61"/>
        <v/>
      </c>
      <c r="Q757" t="str">
        <f t="shared" si="62"/>
        <v/>
      </c>
      <c r="R757" t="str">
        <f t="shared" si="63"/>
        <v/>
      </c>
      <c r="S757" t="str">
        <f t="shared" si="64"/>
        <v/>
      </c>
      <c r="T757" s="24" t="str">
        <f t="shared" si="65"/>
        <v/>
      </c>
    </row>
    <row r="758" spans="2:20" x14ac:dyDescent="0.4">
      <c r="B758" s="49" t="str" cm="1">
        <f t="array" ref="B758">IFERROR((INDEX($P$4:$T$1000,MATCH(VALUE(LEFT($A758,LEN($A758)-1)),$A$4:$A$1000,0),VALUE(RIGHT($A758,1)))/ INDEX($O$4:$O$1000,MATCH(VALUE(LEFT($A758,LEN($A758)-1)),$A$4:$A$1000))) * INDEX($B$4:$B$1000,MATCH(VALUE(LEFT($A758,LEN($A758)-1)),$A$4:$A$1000)),"")</f>
        <v/>
      </c>
      <c r="C758" s="2" t="str" cm="1">
        <f t="array" ref="C758">IFERROR(IF(INDEX($D$4:$H$1000,MATCH(VALUE(LEFT($A758,LEN($A758)-1)),$A$4:$A$1000,0),VALUE(RIGHT($A758,1)))= 0,"",INDEX($D$4:$H$1000,MATCH(VALUE(LEFT($A758,LEN($A758)-1)),$A$4:$A$1000,0),VALUE(RIGHT($A758,1)))),"")</f>
        <v/>
      </c>
      <c r="D758" s="23" t="str">
        <f>IFERROR(IF(INDEX(使用レシピ!F:F,MATCH(テンプレート!$C758,使用レシピ!$E:$E,0))&lt;&gt;0,INDEX(使用レシピ!F:F,MATCH(テンプレート!$C758,使用レシピ!$E:$E,0)),""),"")</f>
        <v/>
      </c>
      <c r="E758" t="str">
        <f>IFERROR(IF(INDEX(使用レシピ!G:G,MATCH(テンプレート!$C758,使用レシピ!$E:$E,0))&lt;&gt;0,INDEX(使用レシピ!G:G,MATCH(テンプレート!$C758,使用レシピ!$E:$E,0)),""),"")</f>
        <v/>
      </c>
      <c r="F758" t="str">
        <f>IFERROR(IF(INDEX(使用レシピ!H:H,MATCH(テンプレート!$C758,使用レシピ!$E:$E,0))&lt;&gt;0,INDEX(使用レシピ!H:H,MATCH(テンプレート!$C758,使用レシピ!$E:$E,0)),""),"")</f>
        <v/>
      </c>
      <c r="G758" t="str">
        <f>IFERROR(IF(INDEX(使用レシピ!I:I,MATCH(テンプレート!$C758,使用レシピ!$E:$E,0))&lt;&gt;0,INDEX(使用レシピ!I:I,MATCH(テンプレート!$C758,使用レシピ!$E:$E,0)),""),"")</f>
        <v/>
      </c>
      <c r="H758" s="24" t="str">
        <f>IFERROR(IF(INDEX(使用レシピ!J:J,MATCH(テンプレート!$C758,使用レシピ!$E:$E,0))&lt;&gt;0,INDEX(使用レシピ!J:J,MATCH(テンプレート!$C758,使用レシピ!$E:$E,0)),""),"")</f>
        <v/>
      </c>
      <c r="I758" s="36" t="str">
        <f>IFERROR(IF(INDEX(使用レシピ!P:P,MATCH(テンプレート!$C758,使用レシピ!$E:$E,0))&lt;&gt;0,INDEX(使用レシピ!P:P,MATCH(テンプレート!$C758,使用レシピ!$E:$E,0)),""),"")</f>
        <v/>
      </c>
      <c r="J758" t="str">
        <f>IFERROR(IF(INDEX(使用レシピ!K:K,MATCH(テンプレート!$C758,使用レシピ!$E:$E,0))&lt;&gt;0,INDEX(使用レシピ!K:K,MATCH(テンプレート!$C758,使用レシピ!$E:$E,0)),""),"")</f>
        <v/>
      </c>
      <c r="K758" t="str">
        <f>IFERROR(IF(INDEX(使用レシピ!L:L,MATCH(テンプレート!$C758,使用レシピ!$E:$E,0))&lt;&gt;0,INDEX(使用レシピ!L:L,MATCH(テンプレート!$C758,使用レシピ!$E:$E,0)),""),"")</f>
        <v/>
      </c>
      <c r="L758" t="str">
        <f>IFERROR(IF(INDEX(使用レシピ!M:M,MATCH(テンプレート!$C758,使用レシピ!$E:$E,0))&lt;&gt;0,INDEX(使用レシピ!M:M,MATCH(テンプレート!$C758,使用レシピ!$E:$E,0)),""),"")</f>
        <v/>
      </c>
      <c r="M758" t="str">
        <f>IFERROR(IF(INDEX(使用レシピ!N:N,MATCH(テンプレート!$C758,使用レシピ!$E:$E,0))&lt;&gt;0,INDEX(使用レシピ!N:N,MATCH(テンプレート!$C758,使用レシピ!$E:$E,0)),""),"")</f>
        <v/>
      </c>
      <c r="N758" s="24" t="str">
        <f>IFERROR(IF(INDEX(使用レシピ!O:O,MATCH(テンプレート!$C758,使用レシピ!$E:$E,0))&lt;&gt;0,INDEX(使用レシピ!O:O,MATCH(テンプレート!$C758,使用レシピ!$E:$E,0)),""),"")</f>
        <v/>
      </c>
      <c r="O758" s="36" t="str">
        <f>IFERROR(IF(INDEX(使用レシピ!P:P,MATCH(テンプレート!$C758,使用レシピ!$E:$E,0))&lt;&gt;0,INDEX(使用レシピ!P:P,MATCH(テンプレート!$C758,使用レシピ!$E:$E,0)),""),"")</f>
        <v/>
      </c>
      <c r="P758" t="str">
        <f t="shared" si="61"/>
        <v/>
      </c>
      <c r="Q758" t="str">
        <f t="shared" si="62"/>
        <v/>
      </c>
      <c r="R758" t="str">
        <f t="shared" si="63"/>
        <v/>
      </c>
      <c r="S758" t="str">
        <f t="shared" si="64"/>
        <v/>
      </c>
      <c r="T758" s="24" t="str">
        <f t="shared" si="65"/>
        <v/>
      </c>
    </row>
    <row r="759" spans="2:20" x14ac:dyDescent="0.4">
      <c r="B759" s="49" t="str" cm="1">
        <f t="array" ref="B759">IFERROR((INDEX($P$4:$T$1000,MATCH(VALUE(LEFT($A759,LEN($A759)-1)),$A$4:$A$1000,0),VALUE(RIGHT($A759,1)))/ INDEX($O$4:$O$1000,MATCH(VALUE(LEFT($A759,LEN($A759)-1)),$A$4:$A$1000))) * INDEX($B$4:$B$1000,MATCH(VALUE(LEFT($A759,LEN($A759)-1)),$A$4:$A$1000)),"")</f>
        <v/>
      </c>
      <c r="C759" s="2" t="str" cm="1">
        <f t="array" ref="C759">IFERROR(IF(INDEX($D$4:$H$1000,MATCH(VALUE(LEFT($A759,LEN($A759)-1)),$A$4:$A$1000,0),VALUE(RIGHT($A759,1)))= 0,"",INDEX($D$4:$H$1000,MATCH(VALUE(LEFT($A759,LEN($A759)-1)),$A$4:$A$1000,0),VALUE(RIGHT($A759,1)))),"")</f>
        <v/>
      </c>
      <c r="D759" s="23" t="str">
        <f>IFERROR(IF(INDEX(使用レシピ!F:F,MATCH(テンプレート!$C759,使用レシピ!$E:$E,0))&lt;&gt;0,INDEX(使用レシピ!F:F,MATCH(テンプレート!$C759,使用レシピ!$E:$E,0)),""),"")</f>
        <v/>
      </c>
      <c r="E759" t="str">
        <f>IFERROR(IF(INDEX(使用レシピ!G:G,MATCH(テンプレート!$C759,使用レシピ!$E:$E,0))&lt;&gt;0,INDEX(使用レシピ!G:G,MATCH(テンプレート!$C759,使用レシピ!$E:$E,0)),""),"")</f>
        <v/>
      </c>
      <c r="F759" t="str">
        <f>IFERROR(IF(INDEX(使用レシピ!H:H,MATCH(テンプレート!$C759,使用レシピ!$E:$E,0))&lt;&gt;0,INDEX(使用レシピ!H:H,MATCH(テンプレート!$C759,使用レシピ!$E:$E,0)),""),"")</f>
        <v/>
      </c>
      <c r="G759" t="str">
        <f>IFERROR(IF(INDEX(使用レシピ!I:I,MATCH(テンプレート!$C759,使用レシピ!$E:$E,0))&lt;&gt;0,INDEX(使用レシピ!I:I,MATCH(テンプレート!$C759,使用レシピ!$E:$E,0)),""),"")</f>
        <v/>
      </c>
      <c r="H759" s="24" t="str">
        <f>IFERROR(IF(INDEX(使用レシピ!J:J,MATCH(テンプレート!$C759,使用レシピ!$E:$E,0))&lt;&gt;0,INDEX(使用レシピ!J:J,MATCH(テンプレート!$C759,使用レシピ!$E:$E,0)),""),"")</f>
        <v/>
      </c>
      <c r="I759" s="36" t="str">
        <f>IFERROR(IF(INDEX(使用レシピ!P:P,MATCH(テンプレート!$C759,使用レシピ!$E:$E,0))&lt;&gt;0,INDEX(使用レシピ!P:P,MATCH(テンプレート!$C759,使用レシピ!$E:$E,0)),""),"")</f>
        <v/>
      </c>
      <c r="J759" t="str">
        <f>IFERROR(IF(INDEX(使用レシピ!K:K,MATCH(テンプレート!$C759,使用レシピ!$E:$E,0))&lt;&gt;0,INDEX(使用レシピ!K:K,MATCH(テンプレート!$C759,使用レシピ!$E:$E,0)),""),"")</f>
        <v/>
      </c>
      <c r="K759" t="str">
        <f>IFERROR(IF(INDEX(使用レシピ!L:L,MATCH(テンプレート!$C759,使用レシピ!$E:$E,0))&lt;&gt;0,INDEX(使用レシピ!L:L,MATCH(テンプレート!$C759,使用レシピ!$E:$E,0)),""),"")</f>
        <v/>
      </c>
      <c r="L759" t="str">
        <f>IFERROR(IF(INDEX(使用レシピ!M:M,MATCH(テンプレート!$C759,使用レシピ!$E:$E,0))&lt;&gt;0,INDEX(使用レシピ!M:M,MATCH(テンプレート!$C759,使用レシピ!$E:$E,0)),""),"")</f>
        <v/>
      </c>
      <c r="M759" t="str">
        <f>IFERROR(IF(INDEX(使用レシピ!N:N,MATCH(テンプレート!$C759,使用レシピ!$E:$E,0))&lt;&gt;0,INDEX(使用レシピ!N:N,MATCH(テンプレート!$C759,使用レシピ!$E:$E,0)),""),"")</f>
        <v/>
      </c>
      <c r="N759" s="24" t="str">
        <f>IFERROR(IF(INDEX(使用レシピ!O:O,MATCH(テンプレート!$C759,使用レシピ!$E:$E,0))&lt;&gt;0,INDEX(使用レシピ!O:O,MATCH(テンプレート!$C759,使用レシピ!$E:$E,0)),""),"")</f>
        <v/>
      </c>
      <c r="O759" s="36" t="str">
        <f>IFERROR(IF(INDEX(使用レシピ!P:P,MATCH(テンプレート!$C759,使用レシピ!$E:$E,0))&lt;&gt;0,INDEX(使用レシピ!P:P,MATCH(テンプレート!$C759,使用レシピ!$E:$E,0)),""),"")</f>
        <v/>
      </c>
      <c r="P759" t="str">
        <f t="shared" si="61"/>
        <v/>
      </c>
      <c r="Q759" t="str">
        <f t="shared" si="62"/>
        <v/>
      </c>
      <c r="R759" t="str">
        <f t="shared" si="63"/>
        <v/>
      </c>
      <c r="S759" t="str">
        <f t="shared" si="64"/>
        <v/>
      </c>
      <c r="T759" s="24" t="str">
        <f t="shared" si="65"/>
        <v/>
      </c>
    </row>
    <row r="760" spans="2:20" x14ac:dyDescent="0.4">
      <c r="B760" s="49" t="str" cm="1">
        <f t="array" ref="B760">IFERROR((INDEX($P$4:$T$1000,MATCH(VALUE(LEFT($A760,LEN($A760)-1)),$A$4:$A$1000,0),VALUE(RIGHT($A760,1)))/ INDEX($O$4:$O$1000,MATCH(VALUE(LEFT($A760,LEN($A760)-1)),$A$4:$A$1000))) * INDEX($B$4:$B$1000,MATCH(VALUE(LEFT($A760,LEN($A760)-1)),$A$4:$A$1000)),"")</f>
        <v/>
      </c>
      <c r="C760" s="2" t="str" cm="1">
        <f t="array" ref="C760">IFERROR(IF(INDEX($D$4:$H$1000,MATCH(VALUE(LEFT($A760,LEN($A760)-1)),$A$4:$A$1000,0),VALUE(RIGHT($A760,1)))= 0,"",INDEX($D$4:$H$1000,MATCH(VALUE(LEFT($A760,LEN($A760)-1)),$A$4:$A$1000,0),VALUE(RIGHT($A760,1)))),"")</f>
        <v/>
      </c>
      <c r="D760" s="23" t="str">
        <f>IFERROR(IF(INDEX(使用レシピ!F:F,MATCH(テンプレート!$C760,使用レシピ!$E:$E,0))&lt;&gt;0,INDEX(使用レシピ!F:F,MATCH(テンプレート!$C760,使用レシピ!$E:$E,0)),""),"")</f>
        <v/>
      </c>
      <c r="E760" t="str">
        <f>IFERROR(IF(INDEX(使用レシピ!G:G,MATCH(テンプレート!$C760,使用レシピ!$E:$E,0))&lt;&gt;0,INDEX(使用レシピ!G:G,MATCH(テンプレート!$C760,使用レシピ!$E:$E,0)),""),"")</f>
        <v/>
      </c>
      <c r="F760" t="str">
        <f>IFERROR(IF(INDEX(使用レシピ!H:H,MATCH(テンプレート!$C760,使用レシピ!$E:$E,0))&lt;&gt;0,INDEX(使用レシピ!H:H,MATCH(テンプレート!$C760,使用レシピ!$E:$E,0)),""),"")</f>
        <v/>
      </c>
      <c r="G760" t="str">
        <f>IFERROR(IF(INDEX(使用レシピ!I:I,MATCH(テンプレート!$C760,使用レシピ!$E:$E,0))&lt;&gt;0,INDEX(使用レシピ!I:I,MATCH(テンプレート!$C760,使用レシピ!$E:$E,0)),""),"")</f>
        <v/>
      </c>
      <c r="H760" s="24" t="str">
        <f>IFERROR(IF(INDEX(使用レシピ!J:J,MATCH(テンプレート!$C760,使用レシピ!$E:$E,0))&lt;&gt;0,INDEX(使用レシピ!J:J,MATCH(テンプレート!$C760,使用レシピ!$E:$E,0)),""),"")</f>
        <v/>
      </c>
      <c r="I760" s="36" t="str">
        <f>IFERROR(IF(INDEX(使用レシピ!P:P,MATCH(テンプレート!$C760,使用レシピ!$E:$E,0))&lt;&gt;0,INDEX(使用レシピ!P:P,MATCH(テンプレート!$C760,使用レシピ!$E:$E,0)),""),"")</f>
        <v/>
      </c>
      <c r="J760" t="str">
        <f>IFERROR(IF(INDEX(使用レシピ!K:K,MATCH(テンプレート!$C760,使用レシピ!$E:$E,0))&lt;&gt;0,INDEX(使用レシピ!K:K,MATCH(テンプレート!$C760,使用レシピ!$E:$E,0)),""),"")</f>
        <v/>
      </c>
      <c r="K760" t="str">
        <f>IFERROR(IF(INDEX(使用レシピ!L:L,MATCH(テンプレート!$C760,使用レシピ!$E:$E,0))&lt;&gt;0,INDEX(使用レシピ!L:L,MATCH(テンプレート!$C760,使用レシピ!$E:$E,0)),""),"")</f>
        <v/>
      </c>
      <c r="L760" t="str">
        <f>IFERROR(IF(INDEX(使用レシピ!M:M,MATCH(テンプレート!$C760,使用レシピ!$E:$E,0))&lt;&gt;0,INDEX(使用レシピ!M:M,MATCH(テンプレート!$C760,使用レシピ!$E:$E,0)),""),"")</f>
        <v/>
      </c>
      <c r="M760" t="str">
        <f>IFERROR(IF(INDEX(使用レシピ!N:N,MATCH(テンプレート!$C760,使用レシピ!$E:$E,0))&lt;&gt;0,INDEX(使用レシピ!N:N,MATCH(テンプレート!$C760,使用レシピ!$E:$E,0)),""),"")</f>
        <v/>
      </c>
      <c r="N760" s="24" t="str">
        <f>IFERROR(IF(INDEX(使用レシピ!O:O,MATCH(テンプレート!$C760,使用レシピ!$E:$E,0))&lt;&gt;0,INDEX(使用レシピ!O:O,MATCH(テンプレート!$C760,使用レシピ!$E:$E,0)),""),"")</f>
        <v/>
      </c>
      <c r="O760" s="36" t="str">
        <f>IFERROR(IF(INDEX(使用レシピ!P:P,MATCH(テンプレート!$C760,使用レシピ!$E:$E,0))&lt;&gt;0,INDEX(使用レシピ!P:P,MATCH(テンプレート!$C760,使用レシピ!$E:$E,0)),""),"")</f>
        <v/>
      </c>
      <c r="P760" t="str">
        <f t="shared" si="61"/>
        <v/>
      </c>
      <c r="Q760" t="str">
        <f t="shared" si="62"/>
        <v/>
      </c>
      <c r="R760" t="str">
        <f t="shared" si="63"/>
        <v/>
      </c>
      <c r="S760" t="str">
        <f t="shared" si="64"/>
        <v/>
      </c>
      <c r="T760" s="24" t="str">
        <f t="shared" si="65"/>
        <v/>
      </c>
    </row>
    <row r="761" spans="2:20" x14ac:dyDescent="0.4">
      <c r="B761" s="49" t="str" cm="1">
        <f t="array" ref="B761">IFERROR((INDEX($P$4:$T$1000,MATCH(VALUE(LEFT($A761,LEN($A761)-1)),$A$4:$A$1000,0),VALUE(RIGHT($A761,1)))/ INDEX($O$4:$O$1000,MATCH(VALUE(LEFT($A761,LEN($A761)-1)),$A$4:$A$1000))) * INDEX($B$4:$B$1000,MATCH(VALUE(LEFT($A761,LEN($A761)-1)),$A$4:$A$1000)),"")</f>
        <v/>
      </c>
      <c r="C761" s="2" t="str" cm="1">
        <f t="array" ref="C761">IFERROR(IF(INDEX($D$4:$H$1000,MATCH(VALUE(LEFT($A761,LEN($A761)-1)),$A$4:$A$1000,0),VALUE(RIGHT($A761,1)))= 0,"",INDEX($D$4:$H$1000,MATCH(VALUE(LEFT($A761,LEN($A761)-1)),$A$4:$A$1000,0),VALUE(RIGHT($A761,1)))),"")</f>
        <v/>
      </c>
      <c r="D761" s="23" t="str">
        <f>IFERROR(IF(INDEX(使用レシピ!F:F,MATCH(テンプレート!$C761,使用レシピ!$E:$E,0))&lt;&gt;0,INDEX(使用レシピ!F:F,MATCH(テンプレート!$C761,使用レシピ!$E:$E,0)),""),"")</f>
        <v/>
      </c>
      <c r="E761" t="str">
        <f>IFERROR(IF(INDEX(使用レシピ!G:G,MATCH(テンプレート!$C761,使用レシピ!$E:$E,0))&lt;&gt;0,INDEX(使用レシピ!G:G,MATCH(テンプレート!$C761,使用レシピ!$E:$E,0)),""),"")</f>
        <v/>
      </c>
      <c r="F761" t="str">
        <f>IFERROR(IF(INDEX(使用レシピ!H:H,MATCH(テンプレート!$C761,使用レシピ!$E:$E,0))&lt;&gt;0,INDEX(使用レシピ!H:H,MATCH(テンプレート!$C761,使用レシピ!$E:$E,0)),""),"")</f>
        <v/>
      </c>
      <c r="G761" t="str">
        <f>IFERROR(IF(INDEX(使用レシピ!I:I,MATCH(テンプレート!$C761,使用レシピ!$E:$E,0))&lt;&gt;0,INDEX(使用レシピ!I:I,MATCH(テンプレート!$C761,使用レシピ!$E:$E,0)),""),"")</f>
        <v/>
      </c>
      <c r="H761" s="24" t="str">
        <f>IFERROR(IF(INDEX(使用レシピ!J:J,MATCH(テンプレート!$C761,使用レシピ!$E:$E,0))&lt;&gt;0,INDEX(使用レシピ!J:J,MATCH(テンプレート!$C761,使用レシピ!$E:$E,0)),""),"")</f>
        <v/>
      </c>
      <c r="I761" s="36" t="str">
        <f>IFERROR(IF(INDEX(使用レシピ!P:P,MATCH(テンプレート!$C761,使用レシピ!$E:$E,0))&lt;&gt;0,INDEX(使用レシピ!P:P,MATCH(テンプレート!$C761,使用レシピ!$E:$E,0)),""),"")</f>
        <v/>
      </c>
      <c r="J761" t="str">
        <f>IFERROR(IF(INDEX(使用レシピ!K:K,MATCH(テンプレート!$C761,使用レシピ!$E:$E,0))&lt;&gt;0,INDEX(使用レシピ!K:K,MATCH(テンプレート!$C761,使用レシピ!$E:$E,0)),""),"")</f>
        <v/>
      </c>
      <c r="K761" t="str">
        <f>IFERROR(IF(INDEX(使用レシピ!L:L,MATCH(テンプレート!$C761,使用レシピ!$E:$E,0))&lt;&gt;0,INDEX(使用レシピ!L:L,MATCH(テンプレート!$C761,使用レシピ!$E:$E,0)),""),"")</f>
        <v/>
      </c>
      <c r="L761" t="str">
        <f>IFERROR(IF(INDEX(使用レシピ!M:M,MATCH(テンプレート!$C761,使用レシピ!$E:$E,0))&lt;&gt;0,INDEX(使用レシピ!M:M,MATCH(テンプレート!$C761,使用レシピ!$E:$E,0)),""),"")</f>
        <v/>
      </c>
      <c r="M761" t="str">
        <f>IFERROR(IF(INDEX(使用レシピ!N:N,MATCH(テンプレート!$C761,使用レシピ!$E:$E,0))&lt;&gt;0,INDEX(使用レシピ!N:N,MATCH(テンプレート!$C761,使用レシピ!$E:$E,0)),""),"")</f>
        <v/>
      </c>
      <c r="N761" s="24" t="str">
        <f>IFERROR(IF(INDEX(使用レシピ!O:O,MATCH(テンプレート!$C761,使用レシピ!$E:$E,0))&lt;&gt;0,INDEX(使用レシピ!O:O,MATCH(テンプレート!$C761,使用レシピ!$E:$E,0)),""),"")</f>
        <v/>
      </c>
      <c r="O761" s="36" t="str">
        <f>IFERROR(IF(INDEX(使用レシピ!P:P,MATCH(テンプレート!$C761,使用レシピ!$E:$E,0))&lt;&gt;0,INDEX(使用レシピ!P:P,MATCH(テンプレート!$C761,使用レシピ!$E:$E,0)),""),"")</f>
        <v/>
      </c>
      <c r="P761" t="str">
        <f t="shared" si="61"/>
        <v/>
      </c>
      <c r="Q761" t="str">
        <f t="shared" si="62"/>
        <v/>
      </c>
      <c r="R761" t="str">
        <f t="shared" si="63"/>
        <v/>
      </c>
      <c r="S761" t="str">
        <f t="shared" si="64"/>
        <v/>
      </c>
      <c r="T761" s="24" t="str">
        <f t="shared" si="65"/>
        <v/>
      </c>
    </row>
    <row r="762" spans="2:20" x14ac:dyDescent="0.4">
      <c r="B762" s="49" t="str" cm="1">
        <f t="array" ref="B762">IFERROR((INDEX($P$4:$T$1000,MATCH(VALUE(LEFT($A762,LEN($A762)-1)),$A$4:$A$1000,0),VALUE(RIGHT($A762,1)))/ INDEX($O$4:$O$1000,MATCH(VALUE(LEFT($A762,LEN($A762)-1)),$A$4:$A$1000))) * INDEX($B$4:$B$1000,MATCH(VALUE(LEFT($A762,LEN($A762)-1)),$A$4:$A$1000)),"")</f>
        <v/>
      </c>
      <c r="C762" s="2" t="str" cm="1">
        <f t="array" ref="C762">IFERROR(IF(INDEX($D$4:$H$1000,MATCH(VALUE(LEFT($A762,LEN($A762)-1)),$A$4:$A$1000,0),VALUE(RIGHT($A762,1)))= 0,"",INDEX($D$4:$H$1000,MATCH(VALUE(LEFT($A762,LEN($A762)-1)),$A$4:$A$1000,0),VALUE(RIGHT($A762,1)))),"")</f>
        <v/>
      </c>
      <c r="D762" s="23" t="str">
        <f>IFERROR(IF(INDEX(使用レシピ!F:F,MATCH(テンプレート!$C762,使用レシピ!$E:$E,0))&lt;&gt;0,INDEX(使用レシピ!F:F,MATCH(テンプレート!$C762,使用レシピ!$E:$E,0)),""),"")</f>
        <v/>
      </c>
      <c r="E762" t="str">
        <f>IFERROR(IF(INDEX(使用レシピ!G:G,MATCH(テンプレート!$C762,使用レシピ!$E:$E,0))&lt;&gt;0,INDEX(使用レシピ!G:G,MATCH(テンプレート!$C762,使用レシピ!$E:$E,0)),""),"")</f>
        <v/>
      </c>
      <c r="F762" t="str">
        <f>IFERROR(IF(INDEX(使用レシピ!H:H,MATCH(テンプレート!$C762,使用レシピ!$E:$E,0))&lt;&gt;0,INDEX(使用レシピ!H:H,MATCH(テンプレート!$C762,使用レシピ!$E:$E,0)),""),"")</f>
        <v/>
      </c>
      <c r="G762" t="str">
        <f>IFERROR(IF(INDEX(使用レシピ!I:I,MATCH(テンプレート!$C762,使用レシピ!$E:$E,0))&lt;&gt;0,INDEX(使用レシピ!I:I,MATCH(テンプレート!$C762,使用レシピ!$E:$E,0)),""),"")</f>
        <v/>
      </c>
      <c r="H762" s="24" t="str">
        <f>IFERROR(IF(INDEX(使用レシピ!J:J,MATCH(テンプレート!$C762,使用レシピ!$E:$E,0))&lt;&gt;0,INDEX(使用レシピ!J:J,MATCH(テンプレート!$C762,使用レシピ!$E:$E,0)),""),"")</f>
        <v/>
      </c>
      <c r="I762" s="36" t="str">
        <f>IFERROR(IF(INDEX(使用レシピ!P:P,MATCH(テンプレート!$C762,使用レシピ!$E:$E,0))&lt;&gt;0,INDEX(使用レシピ!P:P,MATCH(テンプレート!$C762,使用レシピ!$E:$E,0)),""),"")</f>
        <v/>
      </c>
      <c r="J762" t="str">
        <f>IFERROR(IF(INDEX(使用レシピ!K:K,MATCH(テンプレート!$C762,使用レシピ!$E:$E,0))&lt;&gt;0,INDEX(使用レシピ!K:K,MATCH(テンプレート!$C762,使用レシピ!$E:$E,0)),""),"")</f>
        <v/>
      </c>
      <c r="K762" t="str">
        <f>IFERROR(IF(INDEX(使用レシピ!L:L,MATCH(テンプレート!$C762,使用レシピ!$E:$E,0))&lt;&gt;0,INDEX(使用レシピ!L:L,MATCH(テンプレート!$C762,使用レシピ!$E:$E,0)),""),"")</f>
        <v/>
      </c>
      <c r="L762" t="str">
        <f>IFERROR(IF(INDEX(使用レシピ!M:M,MATCH(テンプレート!$C762,使用レシピ!$E:$E,0))&lt;&gt;0,INDEX(使用レシピ!M:M,MATCH(テンプレート!$C762,使用レシピ!$E:$E,0)),""),"")</f>
        <v/>
      </c>
      <c r="M762" t="str">
        <f>IFERROR(IF(INDEX(使用レシピ!N:N,MATCH(テンプレート!$C762,使用レシピ!$E:$E,0))&lt;&gt;0,INDEX(使用レシピ!N:N,MATCH(テンプレート!$C762,使用レシピ!$E:$E,0)),""),"")</f>
        <v/>
      </c>
      <c r="N762" s="24" t="str">
        <f>IFERROR(IF(INDEX(使用レシピ!O:O,MATCH(テンプレート!$C762,使用レシピ!$E:$E,0))&lt;&gt;0,INDEX(使用レシピ!O:O,MATCH(テンプレート!$C762,使用レシピ!$E:$E,0)),""),"")</f>
        <v/>
      </c>
      <c r="O762" s="36" t="str">
        <f>IFERROR(IF(INDEX(使用レシピ!P:P,MATCH(テンプレート!$C762,使用レシピ!$E:$E,0))&lt;&gt;0,INDEX(使用レシピ!P:P,MATCH(テンプレート!$C762,使用レシピ!$E:$E,0)),""),"")</f>
        <v/>
      </c>
      <c r="P762" t="str">
        <f t="shared" si="61"/>
        <v/>
      </c>
      <c r="Q762" t="str">
        <f t="shared" si="62"/>
        <v/>
      </c>
      <c r="R762" t="str">
        <f t="shared" si="63"/>
        <v/>
      </c>
      <c r="S762" t="str">
        <f t="shared" si="64"/>
        <v/>
      </c>
      <c r="T762" s="24" t="str">
        <f t="shared" si="65"/>
        <v/>
      </c>
    </row>
    <row r="763" spans="2:20" x14ac:dyDescent="0.4">
      <c r="B763" s="49" t="str" cm="1">
        <f t="array" ref="B763">IFERROR((INDEX($P$4:$T$1000,MATCH(VALUE(LEFT($A763,LEN($A763)-1)),$A$4:$A$1000,0),VALUE(RIGHT($A763,1)))/ INDEX($O$4:$O$1000,MATCH(VALUE(LEFT($A763,LEN($A763)-1)),$A$4:$A$1000))) * INDEX($B$4:$B$1000,MATCH(VALUE(LEFT($A763,LEN($A763)-1)),$A$4:$A$1000)),"")</f>
        <v/>
      </c>
      <c r="C763" s="2" t="str" cm="1">
        <f t="array" ref="C763">IFERROR(IF(INDEX($D$4:$H$1000,MATCH(VALUE(LEFT($A763,LEN($A763)-1)),$A$4:$A$1000,0),VALUE(RIGHT($A763,1)))= 0,"",INDEX($D$4:$H$1000,MATCH(VALUE(LEFT($A763,LEN($A763)-1)),$A$4:$A$1000,0),VALUE(RIGHT($A763,1)))),"")</f>
        <v/>
      </c>
      <c r="D763" s="23" t="str">
        <f>IFERROR(IF(INDEX(使用レシピ!F:F,MATCH(テンプレート!$C763,使用レシピ!$E:$E,0))&lt;&gt;0,INDEX(使用レシピ!F:F,MATCH(テンプレート!$C763,使用レシピ!$E:$E,0)),""),"")</f>
        <v/>
      </c>
      <c r="E763" t="str">
        <f>IFERROR(IF(INDEX(使用レシピ!G:G,MATCH(テンプレート!$C763,使用レシピ!$E:$E,0))&lt;&gt;0,INDEX(使用レシピ!G:G,MATCH(テンプレート!$C763,使用レシピ!$E:$E,0)),""),"")</f>
        <v/>
      </c>
      <c r="F763" t="str">
        <f>IFERROR(IF(INDEX(使用レシピ!H:H,MATCH(テンプレート!$C763,使用レシピ!$E:$E,0))&lt;&gt;0,INDEX(使用レシピ!H:H,MATCH(テンプレート!$C763,使用レシピ!$E:$E,0)),""),"")</f>
        <v/>
      </c>
      <c r="G763" t="str">
        <f>IFERROR(IF(INDEX(使用レシピ!I:I,MATCH(テンプレート!$C763,使用レシピ!$E:$E,0))&lt;&gt;0,INDEX(使用レシピ!I:I,MATCH(テンプレート!$C763,使用レシピ!$E:$E,0)),""),"")</f>
        <v/>
      </c>
      <c r="H763" s="24" t="str">
        <f>IFERROR(IF(INDEX(使用レシピ!J:J,MATCH(テンプレート!$C763,使用レシピ!$E:$E,0))&lt;&gt;0,INDEX(使用レシピ!J:J,MATCH(テンプレート!$C763,使用レシピ!$E:$E,0)),""),"")</f>
        <v/>
      </c>
      <c r="I763" s="36" t="str">
        <f>IFERROR(IF(INDEX(使用レシピ!P:P,MATCH(テンプレート!$C763,使用レシピ!$E:$E,0))&lt;&gt;0,INDEX(使用レシピ!P:P,MATCH(テンプレート!$C763,使用レシピ!$E:$E,0)),""),"")</f>
        <v/>
      </c>
      <c r="J763" t="str">
        <f>IFERROR(IF(INDEX(使用レシピ!K:K,MATCH(テンプレート!$C763,使用レシピ!$E:$E,0))&lt;&gt;0,INDEX(使用レシピ!K:K,MATCH(テンプレート!$C763,使用レシピ!$E:$E,0)),""),"")</f>
        <v/>
      </c>
      <c r="K763" t="str">
        <f>IFERROR(IF(INDEX(使用レシピ!L:L,MATCH(テンプレート!$C763,使用レシピ!$E:$E,0))&lt;&gt;0,INDEX(使用レシピ!L:L,MATCH(テンプレート!$C763,使用レシピ!$E:$E,0)),""),"")</f>
        <v/>
      </c>
      <c r="L763" t="str">
        <f>IFERROR(IF(INDEX(使用レシピ!M:M,MATCH(テンプレート!$C763,使用レシピ!$E:$E,0))&lt;&gt;0,INDEX(使用レシピ!M:M,MATCH(テンプレート!$C763,使用レシピ!$E:$E,0)),""),"")</f>
        <v/>
      </c>
      <c r="M763" t="str">
        <f>IFERROR(IF(INDEX(使用レシピ!N:N,MATCH(テンプレート!$C763,使用レシピ!$E:$E,0))&lt;&gt;0,INDEX(使用レシピ!N:N,MATCH(テンプレート!$C763,使用レシピ!$E:$E,0)),""),"")</f>
        <v/>
      </c>
      <c r="N763" s="24" t="str">
        <f>IFERROR(IF(INDEX(使用レシピ!O:O,MATCH(テンプレート!$C763,使用レシピ!$E:$E,0))&lt;&gt;0,INDEX(使用レシピ!O:O,MATCH(テンプレート!$C763,使用レシピ!$E:$E,0)),""),"")</f>
        <v/>
      </c>
      <c r="O763" s="36" t="str">
        <f>IFERROR(IF(INDEX(使用レシピ!P:P,MATCH(テンプレート!$C763,使用レシピ!$E:$E,0))&lt;&gt;0,INDEX(使用レシピ!P:P,MATCH(テンプレート!$C763,使用レシピ!$E:$E,0)),""),"")</f>
        <v/>
      </c>
      <c r="P763" t="str">
        <f t="shared" si="61"/>
        <v/>
      </c>
      <c r="Q763" t="str">
        <f t="shared" si="62"/>
        <v/>
      </c>
      <c r="R763" t="str">
        <f t="shared" si="63"/>
        <v/>
      </c>
      <c r="S763" t="str">
        <f t="shared" si="64"/>
        <v/>
      </c>
      <c r="T763" s="24" t="str">
        <f t="shared" si="65"/>
        <v/>
      </c>
    </row>
    <row r="764" spans="2:20" x14ac:dyDescent="0.4">
      <c r="B764" s="49" t="str" cm="1">
        <f t="array" ref="B764">IFERROR((INDEX($P$4:$T$1000,MATCH(VALUE(LEFT($A764,LEN($A764)-1)),$A$4:$A$1000,0),VALUE(RIGHT($A764,1)))/ INDEX($O$4:$O$1000,MATCH(VALUE(LEFT($A764,LEN($A764)-1)),$A$4:$A$1000))) * INDEX($B$4:$B$1000,MATCH(VALUE(LEFT($A764,LEN($A764)-1)),$A$4:$A$1000)),"")</f>
        <v/>
      </c>
      <c r="C764" s="2" t="str" cm="1">
        <f t="array" ref="C764">IFERROR(IF(INDEX($D$4:$H$1000,MATCH(VALUE(LEFT($A764,LEN($A764)-1)),$A$4:$A$1000,0),VALUE(RIGHT($A764,1)))= 0,"",INDEX($D$4:$H$1000,MATCH(VALUE(LEFT($A764,LEN($A764)-1)),$A$4:$A$1000,0),VALUE(RIGHT($A764,1)))),"")</f>
        <v/>
      </c>
      <c r="D764" s="23" t="str">
        <f>IFERROR(IF(INDEX(使用レシピ!F:F,MATCH(テンプレート!$C764,使用レシピ!$E:$E,0))&lt;&gt;0,INDEX(使用レシピ!F:F,MATCH(テンプレート!$C764,使用レシピ!$E:$E,0)),""),"")</f>
        <v/>
      </c>
      <c r="E764" t="str">
        <f>IFERROR(IF(INDEX(使用レシピ!G:G,MATCH(テンプレート!$C764,使用レシピ!$E:$E,0))&lt;&gt;0,INDEX(使用レシピ!G:G,MATCH(テンプレート!$C764,使用レシピ!$E:$E,0)),""),"")</f>
        <v/>
      </c>
      <c r="F764" t="str">
        <f>IFERROR(IF(INDEX(使用レシピ!H:H,MATCH(テンプレート!$C764,使用レシピ!$E:$E,0))&lt;&gt;0,INDEX(使用レシピ!H:H,MATCH(テンプレート!$C764,使用レシピ!$E:$E,0)),""),"")</f>
        <v/>
      </c>
      <c r="G764" t="str">
        <f>IFERROR(IF(INDEX(使用レシピ!I:I,MATCH(テンプレート!$C764,使用レシピ!$E:$E,0))&lt;&gt;0,INDEX(使用レシピ!I:I,MATCH(テンプレート!$C764,使用レシピ!$E:$E,0)),""),"")</f>
        <v/>
      </c>
      <c r="H764" s="24" t="str">
        <f>IFERROR(IF(INDEX(使用レシピ!J:J,MATCH(テンプレート!$C764,使用レシピ!$E:$E,0))&lt;&gt;0,INDEX(使用レシピ!J:J,MATCH(テンプレート!$C764,使用レシピ!$E:$E,0)),""),"")</f>
        <v/>
      </c>
      <c r="I764" s="36" t="str">
        <f>IFERROR(IF(INDEX(使用レシピ!P:P,MATCH(テンプレート!$C764,使用レシピ!$E:$E,0))&lt;&gt;0,INDEX(使用レシピ!P:P,MATCH(テンプレート!$C764,使用レシピ!$E:$E,0)),""),"")</f>
        <v/>
      </c>
      <c r="J764" t="str">
        <f>IFERROR(IF(INDEX(使用レシピ!K:K,MATCH(テンプレート!$C764,使用レシピ!$E:$E,0))&lt;&gt;0,INDEX(使用レシピ!K:K,MATCH(テンプレート!$C764,使用レシピ!$E:$E,0)),""),"")</f>
        <v/>
      </c>
      <c r="K764" t="str">
        <f>IFERROR(IF(INDEX(使用レシピ!L:L,MATCH(テンプレート!$C764,使用レシピ!$E:$E,0))&lt;&gt;0,INDEX(使用レシピ!L:L,MATCH(テンプレート!$C764,使用レシピ!$E:$E,0)),""),"")</f>
        <v/>
      </c>
      <c r="L764" t="str">
        <f>IFERROR(IF(INDEX(使用レシピ!M:M,MATCH(テンプレート!$C764,使用レシピ!$E:$E,0))&lt;&gt;0,INDEX(使用レシピ!M:M,MATCH(テンプレート!$C764,使用レシピ!$E:$E,0)),""),"")</f>
        <v/>
      </c>
      <c r="M764" t="str">
        <f>IFERROR(IF(INDEX(使用レシピ!N:N,MATCH(テンプレート!$C764,使用レシピ!$E:$E,0))&lt;&gt;0,INDEX(使用レシピ!N:N,MATCH(テンプレート!$C764,使用レシピ!$E:$E,0)),""),"")</f>
        <v/>
      </c>
      <c r="N764" s="24" t="str">
        <f>IFERROR(IF(INDEX(使用レシピ!O:O,MATCH(テンプレート!$C764,使用レシピ!$E:$E,0))&lt;&gt;0,INDEX(使用レシピ!O:O,MATCH(テンプレート!$C764,使用レシピ!$E:$E,0)),""),"")</f>
        <v/>
      </c>
      <c r="O764" s="36" t="str">
        <f>IFERROR(IF(INDEX(使用レシピ!P:P,MATCH(テンプレート!$C764,使用レシピ!$E:$E,0))&lt;&gt;0,INDEX(使用レシピ!P:P,MATCH(テンプレート!$C764,使用レシピ!$E:$E,0)),""),"")</f>
        <v/>
      </c>
      <c r="P764" t="str">
        <f t="shared" si="61"/>
        <v/>
      </c>
      <c r="Q764" t="str">
        <f t="shared" si="62"/>
        <v/>
      </c>
      <c r="R764" t="str">
        <f t="shared" si="63"/>
        <v/>
      </c>
      <c r="S764" t="str">
        <f t="shared" si="64"/>
        <v/>
      </c>
      <c r="T764" s="24" t="str">
        <f t="shared" si="65"/>
        <v/>
      </c>
    </row>
    <row r="765" spans="2:20" x14ac:dyDescent="0.4">
      <c r="B765" s="49" t="str" cm="1">
        <f t="array" ref="B765">IFERROR((INDEX($P$4:$T$1000,MATCH(VALUE(LEFT($A765,LEN($A765)-1)),$A$4:$A$1000,0),VALUE(RIGHT($A765,1)))/ INDEX($O$4:$O$1000,MATCH(VALUE(LEFT($A765,LEN($A765)-1)),$A$4:$A$1000))) * INDEX($B$4:$B$1000,MATCH(VALUE(LEFT($A765,LEN($A765)-1)),$A$4:$A$1000)),"")</f>
        <v/>
      </c>
      <c r="C765" s="2" t="str" cm="1">
        <f t="array" ref="C765">IFERROR(IF(INDEX($D$4:$H$1000,MATCH(VALUE(LEFT($A765,LEN($A765)-1)),$A$4:$A$1000,0),VALUE(RIGHT($A765,1)))= 0,"",INDEX($D$4:$H$1000,MATCH(VALUE(LEFT($A765,LEN($A765)-1)),$A$4:$A$1000,0),VALUE(RIGHT($A765,1)))),"")</f>
        <v/>
      </c>
      <c r="D765" s="23" t="str">
        <f>IFERROR(IF(INDEX(使用レシピ!F:F,MATCH(テンプレート!$C765,使用レシピ!$E:$E,0))&lt;&gt;0,INDEX(使用レシピ!F:F,MATCH(テンプレート!$C765,使用レシピ!$E:$E,0)),""),"")</f>
        <v/>
      </c>
      <c r="E765" t="str">
        <f>IFERROR(IF(INDEX(使用レシピ!G:G,MATCH(テンプレート!$C765,使用レシピ!$E:$E,0))&lt;&gt;0,INDEX(使用レシピ!G:G,MATCH(テンプレート!$C765,使用レシピ!$E:$E,0)),""),"")</f>
        <v/>
      </c>
      <c r="F765" t="str">
        <f>IFERROR(IF(INDEX(使用レシピ!H:H,MATCH(テンプレート!$C765,使用レシピ!$E:$E,0))&lt;&gt;0,INDEX(使用レシピ!H:H,MATCH(テンプレート!$C765,使用レシピ!$E:$E,0)),""),"")</f>
        <v/>
      </c>
      <c r="G765" t="str">
        <f>IFERROR(IF(INDEX(使用レシピ!I:I,MATCH(テンプレート!$C765,使用レシピ!$E:$E,0))&lt;&gt;0,INDEX(使用レシピ!I:I,MATCH(テンプレート!$C765,使用レシピ!$E:$E,0)),""),"")</f>
        <v/>
      </c>
      <c r="H765" s="24" t="str">
        <f>IFERROR(IF(INDEX(使用レシピ!J:J,MATCH(テンプレート!$C765,使用レシピ!$E:$E,0))&lt;&gt;0,INDEX(使用レシピ!J:J,MATCH(テンプレート!$C765,使用レシピ!$E:$E,0)),""),"")</f>
        <v/>
      </c>
      <c r="I765" s="36" t="str">
        <f>IFERROR(IF(INDEX(使用レシピ!P:P,MATCH(テンプレート!$C765,使用レシピ!$E:$E,0))&lt;&gt;0,INDEX(使用レシピ!P:P,MATCH(テンプレート!$C765,使用レシピ!$E:$E,0)),""),"")</f>
        <v/>
      </c>
      <c r="J765" t="str">
        <f>IFERROR(IF(INDEX(使用レシピ!K:K,MATCH(テンプレート!$C765,使用レシピ!$E:$E,0))&lt;&gt;0,INDEX(使用レシピ!K:K,MATCH(テンプレート!$C765,使用レシピ!$E:$E,0)),""),"")</f>
        <v/>
      </c>
      <c r="K765" t="str">
        <f>IFERROR(IF(INDEX(使用レシピ!L:L,MATCH(テンプレート!$C765,使用レシピ!$E:$E,0))&lt;&gt;0,INDEX(使用レシピ!L:L,MATCH(テンプレート!$C765,使用レシピ!$E:$E,0)),""),"")</f>
        <v/>
      </c>
      <c r="L765" t="str">
        <f>IFERROR(IF(INDEX(使用レシピ!M:M,MATCH(テンプレート!$C765,使用レシピ!$E:$E,0))&lt;&gt;0,INDEX(使用レシピ!M:M,MATCH(テンプレート!$C765,使用レシピ!$E:$E,0)),""),"")</f>
        <v/>
      </c>
      <c r="M765" t="str">
        <f>IFERROR(IF(INDEX(使用レシピ!N:N,MATCH(テンプレート!$C765,使用レシピ!$E:$E,0))&lt;&gt;0,INDEX(使用レシピ!N:N,MATCH(テンプレート!$C765,使用レシピ!$E:$E,0)),""),"")</f>
        <v/>
      </c>
      <c r="N765" s="24" t="str">
        <f>IFERROR(IF(INDEX(使用レシピ!O:O,MATCH(テンプレート!$C765,使用レシピ!$E:$E,0))&lt;&gt;0,INDEX(使用レシピ!O:O,MATCH(テンプレート!$C765,使用レシピ!$E:$E,0)),""),"")</f>
        <v/>
      </c>
      <c r="O765" s="36" t="str">
        <f>IFERROR(IF(INDEX(使用レシピ!P:P,MATCH(テンプレート!$C765,使用レシピ!$E:$E,0))&lt;&gt;0,INDEX(使用レシピ!P:P,MATCH(テンプレート!$C765,使用レシピ!$E:$E,0)),""),"")</f>
        <v/>
      </c>
      <c r="P765" t="str">
        <f t="shared" si="61"/>
        <v/>
      </c>
      <c r="Q765" t="str">
        <f t="shared" si="62"/>
        <v/>
      </c>
      <c r="R765" t="str">
        <f t="shared" si="63"/>
        <v/>
      </c>
      <c r="S765" t="str">
        <f t="shared" si="64"/>
        <v/>
      </c>
      <c r="T765" s="24" t="str">
        <f t="shared" si="65"/>
        <v/>
      </c>
    </row>
    <row r="766" spans="2:20" x14ac:dyDescent="0.4">
      <c r="B766" s="49" t="str" cm="1">
        <f t="array" ref="B766">IFERROR((INDEX($P$4:$T$1000,MATCH(VALUE(LEFT($A766,LEN($A766)-1)),$A$4:$A$1000,0),VALUE(RIGHT($A766,1)))/ INDEX($O$4:$O$1000,MATCH(VALUE(LEFT($A766,LEN($A766)-1)),$A$4:$A$1000))) * INDEX($B$4:$B$1000,MATCH(VALUE(LEFT($A766,LEN($A766)-1)),$A$4:$A$1000)),"")</f>
        <v/>
      </c>
      <c r="C766" s="2" t="str" cm="1">
        <f t="array" ref="C766">IFERROR(IF(INDEX($D$4:$H$1000,MATCH(VALUE(LEFT($A766,LEN($A766)-1)),$A$4:$A$1000,0),VALUE(RIGHT($A766,1)))= 0,"",INDEX($D$4:$H$1000,MATCH(VALUE(LEFT($A766,LEN($A766)-1)),$A$4:$A$1000,0),VALUE(RIGHT($A766,1)))),"")</f>
        <v/>
      </c>
      <c r="D766" s="23" t="str">
        <f>IFERROR(IF(INDEX(使用レシピ!F:F,MATCH(テンプレート!$C766,使用レシピ!$E:$E,0))&lt;&gt;0,INDEX(使用レシピ!F:F,MATCH(テンプレート!$C766,使用レシピ!$E:$E,0)),""),"")</f>
        <v/>
      </c>
      <c r="E766" t="str">
        <f>IFERROR(IF(INDEX(使用レシピ!G:G,MATCH(テンプレート!$C766,使用レシピ!$E:$E,0))&lt;&gt;0,INDEX(使用レシピ!G:G,MATCH(テンプレート!$C766,使用レシピ!$E:$E,0)),""),"")</f>
        <v/>
      </c>
      <c r="F766" t="str">
        <f>IFERROR(IF(INDEX(使用レシピ!H:H,MATCH(テンプレート!$C766,使用レシピ!$E:$E,0))&lt;&gt;0,INDEX(使用レシピ!H:H,MATCH(テンプレート!$C766,使用レシピ!$E:$E,0)),""),"")</f>
        <v/>
      </c>
      <c r="G766" t="str">
        <f>IFERROR(IF(INDEX(使用レシピ!I:I,MATCH(テンプレート!$C766,使用レシピ!$E:$E,0))&lt;&gt;0,INDEX(使用レシピ!I:I,MATCH(テンプレート!$C766,使用レシピ!$E:$E,0)),""),"")</f>
        <v/>
      </c>
      <c r="H766" s="24" t="str">
        <f>IFERROR(IF(INDEX(使用レシピ!J:J,MATCH(テンプレート!$C766,使用レシピ!$E:$E,0))&lt;&gt;0,INDEX(使用レシピ!J:J,MATCH(テンプレート!$C766,使用レシピ!$E:$E,0)),""),"")</f>
        <v/>
      </c>
      <c r="I766" s="36" t="str">
        <f>IFERROR(IF(INDEX(使用レシピ!P:P,MATCH(テンプレート!$C766,使用レシピ!$E:$E,0))&lt;&gt;0,INDEX(使用レシピ!P:P,MATCH(テンプレート!$C766,使用レシピ!$E:$E,0)),""),"")</f>
        <v/>
      </c>
      <c r="J766" t="str">
        <f>IFERROR(IF(INDEX(使用レシピ!K:K,MATCH(テンプレート!$C766,使用レシピ!$E:$E,0))&lt;&gt;0,INDEX(使用レシピ!K:K,MATCH(テンプレート!$C766,使用レシピ!$E:$E,0)),""),"")</f>
        <v/>
      </c>
      <c r="K766" t="str">
        <f>IFERROR(IF(INDEX(使用レシピ!L:L,MATCH(テンプレート!$C766,使用レシピ!$E:$E,0))&lt;&gt;0,INDEX(使用レシピ!L:L,MATCH(テンプレート!$C766,使用レシピ!$E:$E,0)),""),"")</f>
        <v/>
      </c>
      <c r="L766" t="str">
        <f>IFERROR(IF(INDEX(使用レシピ!M:M,MATCH(テンプレート!$C766,使用レシピ!$E:$E,0))&lt;&gt;0,INDEX(使用レシピ!M:M,MATCH(テンプレート!$C766,使用レシピ!$E:$E,0)),""),"")</f>
        <v/>
      </c>
      <c r="M766" t="str">
        <f>IFERROR(IF(INDEX(使用レシピ!N:N,MATCH(テンプレート!$C766,使用レシピ!$E:$E,0))&lt;&gt;0,INDEX(使用レシピ!N:N,MATCH(テンプレート!$C766,使用レシピ!$E:$E,0)),""),"")</f>
        <v/>
      </c>
      <c r="N766" s="24" t="str">
        <f>IFERROR(IF(INDEX(使用レシピ!O:O,MATCH(テンプレート!$C766,使用レシピ!$E:$E,0))&lt;&gt;0,INDEX(使用レシピ!O:O,MATCH(テンプレート!$C766,使用レシピ!$E:$E,0)),""),"")</f>
        <v/>
      </c>
      <c r="O766" s="36" t="str">
        <f>IFERROR(IF(INDEX(使用レシピ!P:P,MATCH(テンプレート!$C766,使用レシピ!$E:$E,0))&lt;&gt;0,INDEX(使用レシピ!P:P,MATCH(テンプレート!$C766,使用レシピ!$E:$E,0)),""),"")</f>
        <v/>
      </c>
      <c r="P766" t="str">
        <f t="shared" si="61"/>
        <v/>
      </c>
      <c r="Q766" t="str">
        <f t="shared" si="62"/>
        <v/>
      </c>
      <c r="R766" t="str">
        <f t="shared" si="63"/>
        <v/>
      </c>
      <c r="S766" t="str">
        <f t="shared" si="64"/>
        <v/>
      </c>
      <c r="T766" s="24" t="str">
        <f t="shared" si="65"/>
        <v/>
      </c>
    </row>
    <row r="767" spans="2:20" x14ac:dyDescent="0.4">
      <c r="B767" s="49" t="str" cm="1">
        <f t="array" ref="B767">IFERROR((INDEX($P$4:$T$1000,MATCH(VALUE(LEFT($A767,LEN($A767)-1)),$A$4:$A$1000,0),VALUE(RIGHT($A767,1)))/ INDEX($O$4:$O$1000,MATCH(VALUE(LEFT($A767,LEN($A767)-1)),$A$4:$A$1000))) * INDEX($B$4:$B$1000,MATCH(VALUE(LEFT($A767,LEN($A767)-1)),$A$4:$A$1000)),"")</f>
        <v/>
      </c>
      <c r="C767" s="2" t="str" cm="1">
        <f t="array" ref="C767">IFERROR(IF(INDEX($D$4:$H$1000,MATCH(VALUE(LEFT($A767,LEN($A767)-1)),$A$4:$A$1000,0),VALUE(RIGHT($A767,1)))= 0,"",INDEX($D$4:$H$1000,MATCH(VALUE(LEFT($A767,LEN($A767)-1)),$A$4:$A$1000,0),VALUE(RIGHT($A767,1)))),"")</f>
        <v/>
      </c>
      <c r="D767" s="23" t="str">
        <f>IFERROR(IF(INDEX(使用レシピ!F:F,MATCH(テンプレート!$C767,使用レシピ!$E:$E,0))&lt;&gt;0,INDEX(使用レシピ!F:F,MATCH(テンプレート!$C767,使用レシピ!$E:$E,0)),""),"")</f>
        <v/>
      </c>
      <c r="E767" t="str">
        <f>IFERROR(IF(INDEX(使用レシピ!G:G,MATCH(テンプレート!$C767,使用レシピ!$E:$E,0))&lt;&gt;0,INDEX(使用レシピ!G:G,MATCH(テンプレート!$C767,使用レシピ!$E:$E,0)),""),"")</f>
        <v/>
      </c>
      <c r="F767" t="str">
        <f>IFERROR(IF(INDEX(使用レシピ!H:H,MATCH(テンプレート!$C767,使用レシピ!$E:$E,0))&lt;&gt;0,INDEX(使用レシピ!H:H,MATCH(テンプレート!$C767,使用レシピ!$E:$E,0)),""),"")</f>
        <v/>
      </c>
      <c r="G767" t="str">
        <f>IFERROR(IF(INDEX(使用レシピ!I:I,MATCH(テンプレート!$C767,使用レシピ!$E:$E,0))&lt;&gt;0,INDEX(使用レシピ!I:I,MATCH(テンプレート!$C767,使用レシピ!$E:$E,0)),""),"")</f>
        <v/>
      </c>
      <c r="H767" s="24" t="str">
        <f>IFERROR(IF(INDEX(使用レシピ!J:J,MATCH(テンプレート!$C767,使用レシピ!$E:$E,0))&lt;&gt;0,INDEX(使用レシピ!J:J,MATCH(テンプレート!$C767,使用レシピ!$E:$E,0)),""),"")</f>
        <v/>
      </c>
      <c r="I767" s="36" t="str">
        <f>IFERROR(IF(INDEX(使用レシピ!P:P,MATCH(テンプレート!$C767,使用レシピ!$E:$E,0))&lt;&gt;0,INDEX(使用レシピ!P:P,MATCH(テンプレート!$C767,使用レシピ!$E:$E,0)),""),"")</f>
        <v/>
      </c>
      <c r="J767" t="str">
        <f>IFERROR(IF(INDEX(使用レシピ!K:K,MATCH(テンプレート!$C767,使用レシピ!$E:$E,0))&lt;&gt;0,INDEX(使用レシピ!K:K,MATCH(テンプレート!$C767,使用レシピ!$E:$E,0)),""),"")</f>
        <v/>
      </c>
      <c r="K767" t="str">
        <f>IFERROR(IF(INDEX(使用レシピ!L:L,MATCH(テンプレート!$C767,使用レシピ!$E:$E,0))&lt;&gt;0,INDEX(使用レシピ!L:L,MATCH(テンプレート!$C767,使用レシピ!$E:$E,0)),""),"")</f>
        <v/>
      </c>
      <c r="L767" t="str">
        <f>IFERROR(IF(INDEX(使用レシピ!M:M,MATCH(テンプレート!$C767,使用レシピ!$E:$E,0))&lt;&gt;0,INDEX(使用レシピ!M:M,MATCH(テンプレート!$C767,使用レシピ!$E:$E,0)),""),"")</f>
        <v/>
      </c>
      <c r="M767" t="str">
        <f>IFERROR(IF(INDEX(使用レシピ!N:N,MATCH(テンプレート!$C767,使用レシピ!$E:$E,0))&lt;&gt;0,INDEX(使用レシピ!N:N,MATCH(テンプレート!$C767,使用レシピ!$E:$E,0)),""),"")</f>
        <v/>
      </c>
      <c r="N767" s="24" t="str">
        <f>IFERROR(IF(INDEX(使用レシピ!O:O,MATCH(テンプレート!$C767,使用レシピ!$E:$E,0))&lt;&gt;0,INDEX(使用レシピ!O:O,MATCH(テンプレート!$C767,使用レシピ!$E:$E,0)),""),"")</f>
        <v/>
      </c>
      <c r="O767" s="36" t="str">
        <f>IFERROR(IF(INDEX(使用レシピ!P:P,MATCH(テンプレート!$C767,使用レシピ!$E:$E,0))&lt;&gt;0,INDEX(使用レシピ!P:P,MATCH(テンプレート!$C767,使用レシピ!$E:$E,0)),""),"")</f>
        <v/>
      </c>
      <c r="P767" t="str">
        <f t="shared" si="61"/>
        <v/>
      </c>
      <c r="Q767" t="str">
        <f t="shared" si="62"/>
        <v/>
      </c>
      <c r="R767" t="str">
        <f t="shared" si="63"/>
        <v/>
      </c>
      <c r="S767" t="str">
        <f t="shared" si="64"/>
        <v/>
      </c>
      <c r="T767" s="24" t="str">
        <f t="shared" si="65"/>
        <v/>
      </c>
    </row>
    <row r="768" spans="2:20" x14ac:dyDescent="0.4">
      <c r="B768" s="49" t="str" cm="1">
        <f t="array" ref="B768">IFERROR((INDEX($P$4:$T$1000,MATCH(VALUE(LEFT($A768,LEN($A768)-1)),$A$4:$A$1000,0),VALUE(RIGHT($A768,1)))/ INDEX($O$4:$O$1000,MATCH(VALUE(LEFT($A768,LEN($A768)-1)),$A$4:$A$1000))) * INDEX($B$4:$B$1000,MATCH(VALUE(LEFT($A768,LEN($A768)-1)),$A$4:$A$1000)),"")</f>
        <v/>
      </c>
      <c r="C768" s="2" t="str" cm="1">
        <f t="array" ref="C768">IFERROR(IF(INDEX($D$4:$H$1000,MATCH(VALUE(LEFT($A768,LEN($A768)-1)),$A$4:$A$1000,0),VALUE(RIGHT($A768,1)))= 0,"",INDEX($D$4:$H$1000,MATCH(VALUE(LEFT($A768,LEN($A768)-1)),$A$4:$A$1000,0),VALUE(RIGHT($A768,1)))),"")</f>
        <v/>
      </c>
      <c r="D768" s="23" t="str">
        <f>IFERROR(IF(INDEX(使用レシピ!F:F,MATCH(テンプレート!$C768,使用レシピ!$E:$E,0))&lt;&gt;0,INDEX(使用レシピ!F:F,MATCH(テンプレート!$C768,使用レシピ!$E:$E,0)),""),"")</f>
        <v/>
      </c>
      <c r="E768" t="str">
        <f>IFERROR(IF(INDEX(使用レシピ!G:G,MATCH(テンプレート!$C768,使用レシピ!$E:$E,0))&lt;&gt;0,INDEX(使用レシピ!G:G,MATCH(テンプレート!$C768,使用レシピ!$E:$E,0)),""),"")</f>
        <v/>
      </c>
      <c r="F768" t="str">
        <f>IFERROR(IF(INDEX(使用レシピ!H:H,MATCH(テンプレート!$C768,使用レシピ!$E:$E,0))&lt;&gt;0,INDEX(使用レシピ!H:H,MATCH(テンプレート!$C768,使用レシピ!$E:$E,0)),""),"")</f>
        <v/>
      </c>
      <c r="G768" t="str">
        <f>IFERROR(IF(INDEX(使用レシピ!I:I,MATCH(テンプレート!$C768,使用レシピ!$E:$E,0))&lt;&gt;0,INDEX(使用レシピ!I:I,MATCH(テンプレート!$C768,使用レシピ!$E:$E,0)),""),"")</f>
        <v/>
      </c>
      <c r="H768" s="24" t="str">
        <f>IFERROR(IF(INDEX(使用レシピ!J:J,MATCH(テンプレート!$C768,使用レシピ!$E:$E,0))&lt;&gt;0,INDEX(使用レシピ!J:J,MATCH(テンプレート!$C768,使用レシピ!$E:$E,0)),""),"")</f>
        <v/>
      </c>
      <c r="I768" s="36" t="str">
        <f>IFERROR(IF(INDEX(使用レシピ!P:P,MATCH(テンプレート!$C768,使用レシピ!$E:$E,0))&lt;&gt;0,INDEX(使用レシピ!P:P,MATCH(テンプレート!$C768,使用レシピ!$E:$E,0)),""),"")</f>
        <v/>
      </c>
      <c r="J768" t="str">
        <f>IFERROR(IF(INDEX(使用レシピ!K:K,MATCH(テンプレート!$C768,使用レシピ!$E:$E,0))&lt;&gt;0,INDEX(使用レシピ!K:K,MATCH(テンプレート!$C768,使用レシピ!$E:$E,0)),""),"")</f>
        <v/>
      </c>
      <c r="K768" t="str">
        <f>IFERROR(IF(INDEX(使用レシピ!L:L,MATCH(テンプレート!$C768,使用レシピ!$E:$E,0))&lt;&gt;0,INDEX(使用レシピ!L:L,MATCH(テンプレート!$C768,使用レシピ!$E:$E,0)),""),"")</f>
        <v/>
      </c>
      <c r="L768" t="str">
        <f>IFERROR(IF(INDEX(使用レシピ!M:M,MATCH(テンプレート!$C768,使用レシピ!$E:$E,0))&lt;&gt;0,INDEX(使用レシピ!M:M,MATCH(テンプレート!$C768,使用レシピ!$E:$E,0)),""),"")</f>
        <v/>
      </c>
      <c r="M768" t="str">
        <f>IFERROR(IF(INDEX(使用レシピ!N:N,MATCH(テンプレート!$C768,使用レシピ!$E:$E,0))&lt;&gt;0,INDEX(使用レシピ!N:N,MATCH(テンプレート!$C768,使用レシピ!$E:$E,0)),""),"")</f>
        <v/>
      </c>
      <c r="N768" s="24" t="str">
        <f>IFERROR(IF(INDEX(使用レシピ!O:O,MATCH(テンプレート!$C768,使用レシピ!$E:$E,0))&lt;&gt;0,INDEX(使用レシピ!O:O,MATCH(テンプレート!$C768,使用レシピ!$E:$E,0)),""),"")</f>
        <v/>
      </c>
      <c r="O768" s="36" t="str">
        <f>IFERROR(IF(INDEX(使用レシピ!P:P,MATCH(テンプレート!$C768,使用レシピ!$E:$E,0))&lt;&gt;0,INDEX(使用レシピ!P:P,MATCH(テンプレート!$C768,使用レシピ!$E:$E,0)),""),"")</f>
        <v/>
      </c>
      <c r="P768" t="str">
        <f t="shared" si="61"/>
        <v/>
      </c>
      <c r="Q768" t="str">
        <f t="shared" si="62"/>
        <v/>
      </c>
      <c r="R768" t="str">
        <f t="shared" si="63"/>
        <v/>
      </c>
      <c r="S768" t="str">
        <f t="shared" si="64"/>
        <v/>
      </c>
      <c r="T768" s="24" t="str">
        <f t="shared" si="65"/>
        <v/>
      </c>
    </row>
    <row r="769" spans="2:20" x14ac:dyDescent="0.4">
      <c r="B769" s="49" t="str" cm="1">
        <f t="array" ref="B769">IFERROR((INDEX($P$4:$T$1000,MATCH(VALUE(LEFT($A769,LEN($A769)-1)),$A$4:$A$1000,0),VALUE(RIGHT($A769,1)))/ INDEX($O$4:$O$1000,MATCH(VALUE(LEFT($A769,LEN($A769)-1)),$A$4:$A$1000))) * INDEX($B$4:$B$1000,MATCH(VALUE(LEFT($A769,LEN($A769)-1)),$A$4:$A$1000)),"")</f>
        <v/>
      </c>
      <c r="C769" s="2" t="str" cm="1">
        <f t="array" ref="C769">IFERROR(IF(INDEX($D$4:$H$1000,MATCH(VALUE(LEFT($A769,LEN($A769)-1)),$A$4:$A$1000,0),VALUE(RIGHT($A769,1)))= 0,"",INDEX($D$4:$H$1000,MATCH(VALUE(LEFT($A769,LEN($A769)-1)),$A$4:$A$1000,0),VALUE(RIGHT($A769,1)))),"")</f>
        <v/>
      </c>
      <c r="D769" s="23" t="str">
        <f>IFERROR(IF(INDEX(使用レシピ!F:F,MATCH(テンプレート!$C769,使用レシピ!$E:$E,0))&lt;&gt;0,INDEX(使用レシピ!F:F,MATCH(テンプレート!$C769,使用レシピ!$E:$E,0)),""),"")</f>
        <v/>
      </c>
      <c r="E769" t="str">
        <f>IFERROR(IF(INDEX(使用レシピ!G:G,MATCH(テンプレート!$C769,使用レシピ!$E:$E,0))&lt;&gt;0,INDEX(使用レシピ!G:G,MATCH(テンプレート!$C769,使用レシピ!$E:$E,0)),""),"")</f>
        <v/>
      </c>
      <c r="F769" t="str">
        <f>IFERROR(IF(INDEX(使用レシピ!H:H,MATCH(テンプレート!$C769,使用レシピ!$E:$E,0))&lt;&gt;0,INDEX(使用レシピ!H:H,MATCH(テンプレート!$C769,使用レシピ!$E:$E,0)),""),"")</f>
        <v/>
      </c>
      <c r="G769" t="str">
        <f>IFERROR(IF(INDEX(使用レシピ!I:I,MATCH(テンプレート!$C769,使用レシピ!$E:$E,0))&lt;&gt;0,INDEX(使用レシピ!I:I,MATCH(テンプレート!$C769,使用レシピ!$E:$E,0)),""),"")</f>
        <v/>
      </c>
      <c r="H769" s="24" t="str">
        <f>IFERROR(IF(INDEX(使用レシピ!J:J,MATCH(テンプレート!$C769,使用レシピ!$E:$E,0))&lt;&gt;0,INDEX(使用レシピ!J:J,MATCH(テンプレート!$C769,使用レシピ!$E:$E,0)),""),"")</f>
        <v/>
      </c>
      <c r="I769" s="36" t="str">
        <f>IFERROR(IF(INDEX(使用レシピ!P:P,MATCH(テンプレート!$C769,使用レシピ!$E:$E,0))&lt;&gt;0,INDEX(使用レシピ!P:P,MATCH(テンプレート!$C769,使用レシピ!$E:$E,0)),""),"")</f>
        <v/>
      </c>
      <c r="J769" t="str">
        <f>IFERROR(IF(INDEX(使用レシピ!K:K,MATCH(テンプレート!$C769,使用レシピ!$E:$E,0))&lt;&gt;0,INDEX(使用レシピ!K:K,MATCH(テンプレート!$C769,使用レシピ!$E:$E,0)),""),"")</f>
        <v/>
      </c>
      <c r="K769" t="str">
        <f>IFERROR(IF(INDEX(使用レシピ!L:L,MATCH(テンプレート!$C769,使用レシピ!$E:$E,0))&lt;&gt;0,INDEX(使用レシピ!L:L,MATCH(テンプレート!$C769,使用レシピ!$E:$E,0)),""),"")</f>
        <v/>
      </c>
      <c r="L769" t="str">
        <f>IFERROR(IF(INDEX(使用レシピ!M:M,MATCH(テンプレート!$C769,使用レシピ!$E:$E,0))&lt;&gt;0,INDEX(使用レシピ!M:M,MATCH(テンプレート!$C769,使用レシピ!$E:$E,0)),""),"")</f>
        <v/>
      </c>
      <c r="M769" t="str">
        <f>IFERROR(IF(INDEX(使用レシピ!N:N,MATCH(テンプレート!$C769,使用レシピ!$E:$E,0))&lt;&gt;0,INDEX(使用レシピ!N:N,MATCH(テンプレート!$C769,使用レシピ!$E:$E,0)),""),"")</f>
        <v/>
      </c>
      <c r="N769" s="24" t="str">
        <f>IFERROR(IF(INDEX(使用レシピ!O:O,MATCH(テンプレート!$C769,使用レシピ!$E:$E,0))&lt;&gt;0,INDEX(使用レシピ!O:O,MATCH(テンプレート!$C769,使用レシピ!$E:$E,0)),""),"")</f>
        <v/>
      </c>
      <c r="O769" s="36" t="str">
        <f>IFERROR(IF(INDEX(使用レシピ!P:P,MATCH(テンプレート!$C769,使用レシピ!$E:$E,0))&lt;&gt;0,INDEX(使用レシピ!P:P,MATCH(テンプレート!$C769,使用レシピ!$E:$E,0)),""),"")</f>
        <v/>
      </c>
      <c r="P769" t="str">
        <f t="shared" si="61"/>
        <v/>
      </c>
      <c r="Q769" t="str">
        <f t="shared" si="62"/>
        <v/>
      </c>
      <c r="R769" t="str">
        <f t="shared" si="63"/>
        <v/>
      </c>
      <c r="S769" t="str">
        <f t="shared" si="64"/>
        <v/>
      </c>
      <c r="T769" s="24" t="str">
        <f t="shared" si="65"/>
        <v/>
      </c>
    </row>
    <row r="770" spans="2:20" x14ac:dyDescent="0.4">
      <c r="B770" s="49" t="str" cm="1">
        <f t="array" ref="B770">IFERROR((INDEX($P$4:$T$1000,MATCH(VALUE(LEFT($A770,LEN($A770)-1)),$A$4:$A$1000,0),VALUE(RIGHT($A770,1)))/ INDEX($O$4:$O$1000,MATCH(VALUE(LEFT($A770,LEN($A770)-1)),$A$4:$A$1000))) * INDEX($B$4:$B$1000,MATCH(VALUE(LEFT($A770,LEN($A770)-1)),$A$4:$A$1000)),"")</f>
        <v/>
      </c>
      <c r="C770" s="2" t="str" cm="1">
        <f t="array" ref="C770">IFERROR(IF(INDEX($D$4:$H$1000,MATCH(VALUE(LEFT($A770,LEN($A770)-1)),$A$4:$A$1000,0),VALUE(RIGHT($A770,1)))= 0,"",INDEX($D$4:$H$1000,MATCH(VALUE(LEFT($A770,LEN($A770)-1)),$A$4:$A$1000,0),VALUE(RIGHT($A770,1)))),"")</f>
        <v/>
      </c>
      <c r="D770" s="23" t="str">
        <f>IFERROR(IF(INDEX(使用レシピ!F:F,MATCH(テンプレート!$C770,使用レシピ!$E:$E,0))&lt;&gt;0,INDEX(使用レシピ!F:F,MATCH(テンプレート!$C770,使用レシピ!$E:$E,0)),""),"")</f>
        <v/>
      </c>
      <c r="E770" t="str">
        <f>IFERROR(IF(INDEX(使用レシピ!G:G,MATCH(テンプレート!$C770,使用レシピ!$E:$E,0))&lt;&gt;0,INDEX(使用レシピ!G:G,MATCH(テンプレート!$C770,使用レシピ!$E:$E,0)),""),"")</f>
        <v/>
      </c>
      <c r="F770" t="str">
        <f>IFERROR(IF(INDEX(使用レシピ!H:H,MATCH(テンプレート!$C770,使用レシピ!$E:$E,0))&lt;&gt;0,INDEX(使用レシピ!H:H,MATCH(テンプレート!$C770,使用レシピ!$E:$E,0)),""),"")</f>
        <v/>
      </c>
      <c r="G770" t="str">
        <f>IFERROR(IF(INDEX(使用レシピ!I:I,MATCH(テンプレート!$C770,使用レシピ!$E:$E,0))&lt;&gt;0,INDEX(使用レシピ!I:I,MATCH(テンプレート!$C770,使用レシピ!$E:$E,0)),""),"")</f>
        <v/>
      </c>
      <c r="H770" s="24" t="str">
        <f>IFERROR(IF(INDEX(使用レシピ!J:J,MATCH(テンプレート!$C770,使用レシピ!$E:$E,0))&lt;&gt;0,INDEX(使用レシピ!J:J,MATCH(テンプレート!$C770,使用レシピ!$E:$E,0)),""),"")</f>
        <v/>
      </c>
      <c r="I770" s="36" t="str">
        <f>IFERROR(IF(INDEX(使用レシピ!P:P,MATCH(テンプレート!$C770,使用レシピ!$E:$E,0))&lt;&gt;0,INDEX(使用レシピ!P:P,MATCH(テンプレート!$C770,使用レシピ!$E:$E,0)),""),"")</f>
        <v/>
      </c>
      <c r="J770" t="str">
        <f>IFERROR(IF(INDEX(使用レシピ!K:K,MATCH(テンプレート!$C770,使用レシピ!$E:$E,0))&lt;&gt;0,INDEX(使用レシピ!K:K,MATCH(テンプレート!$C770,使用レシピ!$E:$E,0)),""),"")</f>
        <v/>
      </c>
      <c r="K770" t="str">
        <f>IFERROR(IF(INDEX(使用レシピ!L:L,MATCH(テンプレート!$C770,使用レシピ!$E:$E,0))&lt;&gt;0,INDEX(使用レシピ!L:L,MATCH(テンプレート!$C770,使用レシピ!$E:$E,0)),""),"")</f>
        <v/>
      </c>
      <c r="L770" t="str">
        <f>IFERROR(IF(INDEX(使用レシピ!M:M,MATCH(テンプレート!$C770,使用レシピ!$E:$E,0))&lt;&gt;0,INDEX(使用レシピ!M:M,MATCH(テンプレート!$C770,使用レシピ!$E:$E,0)),""),"")</f>
        <v/>
      </c>
      <c r="M770" t="str">
        <f>IFERROR(IF(INDEX(使用レシピ!N:N,MATCH(テンプレート!$C770,使用レシピ!$E:$E,0))&lt;&gt;0,INDEX(使用レシピ!N:N,MATCH(テンプレート!$C770,使用レシピ!$E:$E,0)),""),"")</f>
        <v/>
      </c>
      <c r="N770" s="24" t="str">
        <f>IFERROR(IF(INDEX(使用レシピ!O:O,MATCH(テンプレート!$C770,使用レシピ!$E:$E,0))&lt;&gt;0,INDEX(使用レシピ!O:O,MATCH(テンプレート!$C770,使用レシピ!$E:$E,0)),""),"")</f>
        <v/>
      </c>
      <c r="O770" s="36" t="str">
        <f>IFERROR(IF(INDEX(使用レシピ!P:P,MATCH(テンプレート!$C770,使用レシピ!$E:$E,0))&lt;&gt;0,INDEX(使用レシピ!P:P,MATCH(テンプレート!$C770,使用レシピ!$E:$E,0)),""),"")</f>
        <v/>
      </c>
      <c r="P770" t="str">
        <f t="shared" si="61"/>
        <v/>
      </c>
      <c r="Q770" t="str">
        <f t="shared" si="62"/>
        <v/>
      </c>
      <c r="R770" t="str">
        <f t="shared" si="63"/>
        <v/>
      </c>
      <c r="S770" t="str">
        <f t="shared" si="64"/>
        <v/>
      </c>
      <c r="T770" s="24" t="str">
        <f t="shared" si="65"/>
        <v/>
      </c>
    </row>
    <row r="771" spans="2:20" x14ac:dyDescent="0.4">
      <c r="B771" s="49" t="str" cm="1">
        <f t="array" ref="B771">IFERROR((INDEX($P$4:$T$1000,MATCH(VALUE(LEFT($A771,LEN($A771)-1)),$A$4:$A$1000,0),VALUE(RIGHT($A771,1)))/ INDEX($O$4:$O$1000,MATCH(VALUE(LEFT($A771,LEN($A771)-1)),$A$4:$A$1000))) * INDEX($B$4:$B$1000,MATCH(VALUE(LEFT($A771,LEN($A771)-1)),$A$4:$A$1000)),"")</f>
        <v/>
      </c>
      <c r="C771" s="2" t="str" cm="1">
        <f t="array" ref="C771">IFERROR(IF(INDEX($D$4:$H$1000,MATCH(VALUE(LEFT($A771,LEN($A771)-1)),$A$4:$A$1000,0),VALUE(RIGHT($A771,1)))= 0,"",INDEX($D$4:$H$1000,MATCH(VALUE(LEFT($A771,LEN($A771)-1)),$A$4:$A$1000,0),VALUE(RIGHT($A771,1)))),"")</f>
        <v/>
      </c>
      <c r="D771" s="23" t="str">
        <f>IFERROR(IF(INDEX(使用レシピ!F:F,MATCH(テンプレート!$C771,使用レシピ!$E:$E,0))&lt;&gt;0,INDEX(使用レシピ!F:F,MATCH(テンプレート!$C771,使用レシピ!$E:$E,0)),""),"")</f>
        <v/>
      </c>
      <c r="E771" t="str">
        <f>IFERROR(IF(INDEX(使用レシピ!G:G,MATCH(テンプレート!$C771,使用レシピ!$E:$E,0))&lt;&gt;0,INDEX(使用レシピ!G:G,MATCH(テンプレート!$C771,使用レシピ!$E:$E,0)),""),"")</f>
        <v/>
      </c>
      <c r="F771" t="str">
        <f>IFERROR(IF(INDEX(使用レシピ!H:H,MATCH(テンプレート!$C771,使用レシピ!$E:$E,0))&lt;&gt;0,INDEX(使用レシピ!H:H,MATCH(テンプレート!$C771,使用レシピ!$E:$E,0)),""),"")</f>
        <v/>
      </c>
      <c r="G771" t="str">
        <f>IFERROR(IF(INDEX(使用レシピ!I:I,MATCH(テンプレート!$C771,使用レシピ!$E:$E,0))&lt;&gt;0,INDEX(使用レシピ!I:I,MATCH(テンプレート!$C771,使用レシピ!$E:$E,0)),""),"")</f>
        <v/>
      </c>
      <c r="H771" s="24" t="str">
        <f>IFERROR(IF(INDEX(使用レシピ!J:J,MATCH(テンプレート!$C771,使用レシピ!$E:$E,0))&lt;&gt;0,INDEX(使用レシピ!J:J,MATCH(テンプレート!$C771,使用レシピ!$E:$E,0)),""),"")</f>
        <v/>
      </c>
      <c r="I771" s="36" t="str">
        <f>IFERROR(IF(INDEX(使用レシピ!P:P,MATCH(テンプレート!$C771,使用レシピ!$E:$E,0))&lt;&gt;0,INDEX(使用レシピ!P:P,MATCH(テンプレート!$C771,使用レシピ!$E:$E,0)),""),"")</f>
        <v/>
      </c>
      <c r="J771" t="str">
        <f>IFERROR(IF(INDEX(使用レシピ!K:K,MATCH(テンプレート!$C771,使用レシピ!$E:$E,0))&lt;&gt;0,INDEX(使用レシピ!K:K,MATCH(テンプレート!$C771,使用レシピ!$E:$E,0)),""),"")</f>
        <v/>
      </c>
      <c r="K771" t="str">
        <f>IFERROR(IF(INDEX(使用レシピ!L:L,MATCH(テンプレート!$C771,使用レシピ!$E:$E,0))&lt;&gt;0,INDEX(使用レシピ!L:L,MATCH(テンプレート!$C771,使用レシピ!$E:$E,0)),""),"")</f>
        <v/>
      </c>
      <c r="L771" t="str">
        <f>IFERROR(IF(INDEX(使用レシピ!M:M,MATCH(テンプレート!$C771,使用レシピ!$E:$E,0))&lt;&gt;0,INDEX(使用レシピ!M:M,MATCH(テンプレート!$C771,使用レシピ!$E:$E,0)),""),"")</f>
        <v/>
      </c>
      <c r="M771" t="str">
        <f>IFERROR(IF(INDEX(使用レシピ!N:N,MATCH(テンプレート!$C771,使用レシピ!$E:$E,0))&lt;&gt;0,INDEX(使用レシピ!N:N,MATCH(テンプレート!$C771,使用レシピ!$E:$E,0)),""),"")</f>
        <v/>
      </c>
      <c r="N771" s="24" t="str">
        <f>IFERROR(IF(INDEX(使用レシピ!O:O,MATCH(テンプレート!$C771,使用レシピ!$E:$E,0))&lt;&gt;0,INDEX(使用レシピ!O:O,MATCH(テンプレート!$C771,使用レシピ!$E:$E,0)),""),"")</f>
        <v/>
      </c>
      <c r="O771" s="36" t="str">
        <f>IFERROR(IF(INDEX(使用レシピ!P:P,MATCH(テンプレート!$C771,使用レシピ!$E:$E,0))&lt;&gt;0,INDEX(使用レシピ!P:P,MATCH(テンプレート!$C771,使用レシピ!$E:$E,0)),""),"")</f>
        <v/>
      </c>
      <c r="P771" t="str">
        <f t="shared" si="61"/>
        <v/>
      </c>
      <c r="Q771" t="str">
        <f t="shared" si="62"/>
        <v/>
      </c>
      <c r="R771" t="str">
        <f t="shared" si="63"/>
        <v/>
      </c>
      <c r="S771" t="str">
        <f t="shared" si="64"/>
        <v/>
      </c>
      <c r="T771" s="24" t="str">
        <f t="shared" si="65"/>
        <v/>
      </c>
    </row>
    <row r="772" spans="2:20" x14ac:dyDescent="0.4">
      <c r="B772" s="49" t="str" cm="1">
        <f t="array" ref="B772">IFERROR((INDEX($P$4:$T$1000,MATCH(VALUE(LEFT($A772,LEN($A772)-1)),$A$4:$A$1000,0),VALUE(RIGHT($A772,1)))/ INDEX($O$4:$O$1000,MATCH(VALUE(LEFT($A772,LEN($A772)-1)),$A$4:$A$1000))) * INDEX($B$4:$B$1000,MATCH(VALUE(LEFT($A772,LEN($A772)-1)),$A$4:$A$1000)),"")</f>
        <v/>
      </c>
      <c r="C772" s="2" t="str" cm="1">
        <f t="array" ref="C772">IFERROR(IF(INDEX($D$4:$H$1000,MATCH(VALUE(LEFT($A772,LEN($A772)-1)),$A$4:$A$1000,0),VALUE(RIGHT($A772,1)))= 0,"",INDEX($D$4:$H$1000,MATCH(VALUE(LEFT($A772,LEN($A772)-1)),$A$4:$A$1000,0),VALUE(RIGHT($A772,1)))),"")</f>
        <v/>
      </c>
      <c r="D772" s="23" t="str">
        <f>IFERROR(IF(INDEX(使用レシピ!F:F,MATCH(テンプレート!$C772,使用レシピ!$E:$E,0))&lt;&gt;0,INDEX(使用レシピ!F:F,MATCH(テンプレート!$C772,使用レシピ!$E:$E,0)),""),"")</f>
        <v/>
      </c>
      <c r="E772" t="str">
        <f>IFERROR(IF(INDEX(使用レシピ!G:G,MATCH(テンプレート!$C772,使用レシピ!$E:$E,0))&lt;&gt;0,INDEX(使用レシピ!G:G,MATCH(テンプレート!$C772,使用レシピ!$E:$E,0)),""),"")</f>
        <v/>
      </c>
      <c r="F772" t="str">
        <f>IFERROR(IF(INDEX(使用レシピ!H:H,MATCH(テンプレート!$C772,使用レシピ!$E:$E,0))&lt;&gt;0,INDEX(使用レシピ!H:H,MATCH(テンプレート!$C772,使用レシピ!$E:$E,0)),""),"")</f>
        <v/>
      </c>
      <c r="G772" t="str">
        <f>IFERROR(IF(INDEX(使用レシピ!I:I,MATCH(テンプレート!$C772,使用レシピ!$E:$E,0))&lt;&gt;0,INDEX(使用レシピ!I:I,MATCH(テンプレート!$C772,使用レシピ!$E:$E,0)),""),"")</f>
        <v/>
      </c>
      <c r="H772" s="24" t="str">
        <f>IFERROR(IF(INDEX(使用レシピ!J:J,MATCH(テンプレート!$C772,使用レシピ!$E:$E,0))&lt;&gt;0,INDEX(使用レシピ!J:J,MATCH(テンプレート!$C772,使用レシピ!$E:$E,0)),""),"")</f>
        <v/>
      </c>
      <c r="I772" s="36" t="str">
        <f>IFERROR(IF(INDEX(使用レシピ!P:P,MATCH(テンプレート!$C772,使用レシピ!$E:$E,0))&lt;&gt;0,INDEX(使用レシピ!P:P,MATCH(テンプレート!$C772,使用レシピ!$E:$E,0)),""),"")</f>
        <v/>
      </c>
      <c r="J772" t="str">
        <f>IFERROR(IF(INDEX(使用レシピ!K:K,MATCH(テンプレート!$C772,使用レシピ!$E:$E,0))&lt;&gt;0,INDEX(使用レシピ!K:K,MATCH(テンプレート!$C772,使用レシピ!$E:$E,0)),""),"")</f>
        <v/>
      </c>
      <c r="K772" t="str">
        <f>IFERROR(IF(INDEX(使用レシピ!L:L,MATCH(テンプレート!$C772,使用レシピ!$E:$E,0))&lt;&gt;0,INDEX(使用レシピ!L:L,MATCH(テンプレート!$C772,使用レシピ!$E:$E,0)),""),"")</f>
        <v/>
      </c>
      <c r="L772" t="str">
        <f>IFERROR(IF(INDEX(使用レシピ!M:M,MATCH(テンプレート!$C772,使用レシピ!$E:$E,0))&lt;&gt;0,INDEX(使用レシピ!M:M,MATCH(テンプレート!$C772,使用レシピ!$E:$E,0)),""),"")</f>
        <v/>
      </c>
      <c r="M772" t="str">
        <f>IFERROR(IF(INDEX(使用レシピ!N:N,MATCH(テンプレート!$C772,使用レシピ!$E:$E,0))&lt;&gt;0,INDEX(使用レシピ!N:N,MATCH(テンプレート!$C772,使用レシピ!$E:$E,0)),""),"")</f>
        <v/>
      </c>
      <c r="N772" s="24" t="str">
        <f>IFERROR(IF(INDEX(使用レシピ!O:O,MATCH(テンプレート!$C772,使用レシピ!$E:$E,0))&lt;&gt;0,INDEX(使用レシピ!O:O,MATCH(テンプレート!$C772,使用レシピ!$E:$E,0)),""),"")</f>
        <v/>
      </c>
      <c r="O772" s="36" t="str">
        <f>IFERROR(IF(INDEX(使用レシピ!P:P,MATCH(テンプレート!$C772,使用レシピ!$E:$E,0))&lt;&gt;0,INDEX(使用レシピ!P:P,MATCH(テンプレート!$C772,使用レシピ!$E:$E,0)),""),"")</f>
        <v/>
      </c>
      <c r="P772" t="str">
        <f t="shared" si="61"/>
        <v/>
      </c>
      <c r="Q772" t="str">
        <f t="shared" si="62"/>
        <v/>
      </c>
      <c r="R772" t="str">
        <f t="shared" si="63"/>
        <v/>
      </c>
      <c r="S772" t="str">
        <f t="shared" si="64"/>
        <v/>
      </c>
      <c r="T772" s="24" t="str">
        <f t="shared" si="65"/>
        <v/>
      </c>
    </row>
    <row r="773" spans="2:20" x14ac:dyDescent="0.4">
      <c r="B773" s="49" t="str" cm="1">
        <f t="array" ref="B773">IFERROR((INDEX($P$4:$T$1000,MATCH(VALUE(LEFT($A773,LEN($A773)-1)),$A$4:$A$1000,0),VALUE(RIGHT($A773,1)))/ INDEX($O$4:$O$1000,MATCH(VALUE(LEFT($A773,LEN($A773)-1)),$A$4:$A$1000))) * INDEX($B$4:$B$1000,MATCH(VALUE(LEFT($A773,LEN($A773)-1)),$A$4:$A$1000)),"")</f>
        <v/>
      </c>
      <c r="C773" s="2" t="str" cm="1">
        <f t="array" ref="C773">IFERROR(IF(INDEX($D$4:$H$1000,MATCH(VALUE(LEFT($A773,LEN($A773)-1)),$A$4:$A$1000,0),VALUE(RIGHT($A773,1)))= 0,"",INDEX($D$4:$H$1000,MATCH(VALUE(LEFT($A773,LEN($A773)-1)),$A$4:$A$1000,0),VALUE(RIGHT($A773,1)))),"")</f>
        <v/>
      </c>
      <c r="D773" s="23" t="str">
        <f>IFERROR(IF(INDEX(使用レシピ!F:F,MATCH(テンプレート!$C773,使用レシピ!$E:$E,0))&lt;&gt;0,INDEX(使用レシピ!F:F,MATCH(テンプレート!$C773,使用レシピ!$E:$E,0)),""),"")</f>
        <v/>
      </c>
      <c r="E773" t="str">
        <f>IFERROR(IF(INDEX(使用レシピ!G:G,MATCH(テンプレート!$C773,使用レシピ!$E:$E,0))&lt;&gt;0,INDEX(使用レシピ!G:G,MATCH(テンプレート!$C773,使用レシピ!$E:$E,0)),""),"")</f>
        <v/>
      </c>
      <c r="F773" t="str">
        <f>IFERROR(IF(INDEX(使用レシピ!H:H,MATCH(テンプレート!$C773,使用レシピ!$E:$E,0))&lt;&gt;0,INDEX(使用レシピ!H:H,MATCH(テンプレート!$C773,使用レシピ!$E:$E,0)),""),"")</f>
        <v/>
      </c>
      <c r="G773" t="str">
        <f>IFERROR(IF(INDEX(使用レシピ!I:I,MATCH(テンプレート!$C773,使用レシピ!$E:$E,0))&lt;&gt;0,INDEX(使用レシピ!I:I,MATCH(テンプレート!$C773,使用レシピ!$E:$E,0)),""),"")</f>
        <v/>
      </c>
      <c r="H773" s="24" t="str">
        <f>IFERROR(IF(INDEX(使用レシピ!J:J,MATCH(テンプレート!$C773,使用レシピ!$E:$E,0))&lt;&gt;0,INDEX(使用レシピ!J:J,MATCH(テンプレート!$C773,使用レシピ!$E:$E,0)),""),"")</f>
        <v/>
      </c>
      <c r="I773" s="36" t="str">
        <f>IFERROR(IF(INDEX(使用レシピ!P:P,MATCH(テンプレート!$C773,使用レシピ!$E:$E,0))&lt;&gt;0,INDEX(使用レシピ!P:P,MATCH(テンプレート!$C773,使用レシピ!$E:$E,0)),""),"")</f>
        <v/>
      </c>
      <c r="J773" t="str">
        <f>IFERROR(IF(INDEX(使用レシピ!K:K,MATCH(テンプレート!$C773,使用レシピ!$E:$E,0))&lt;&gt;0,INDEX(使用レシピ!K:K,MATCH(テンプレート!$C773,使用レシピ!$E:$E,0)),""),"")</f>
        <v/>
      </c>
      <c r="K773" t="str">
        <f>IFERROR(IF(INDEX(使用レシピ!L:L,MATCH(テンプレート!$C773,使用レシピ!$E:$E,0))&lt;&gt;0,INDEX(使用レシピ!L:L,MATCH(テンプレート!$C773,使用レシピ!$E:$E,0)),""),"")</f>
        <v/>
      </c>
      <c r="L773" t="str">
        <f>IFERROR(IF(INDEX(使用レシピ!M:M,MATCH(テンプレート!$C773,使用レシピ!$E:$E,0))&lt;&gt;0,INDEX(使用レシピ!M:M,MATCH(テンプレート!$C773,使用レシピ!$E:$E,0)),""),"")</f>
        <v/>
      </c>
      <c r="M773" t="str">
        <f>IFERROR(IF(INDEX(使用レシピ!N:N,MATCH(テンプレート!$C773,使用レシピ!$E:$E,0))&lt;&gt;0,INDEX(使用レシピ!N:N,MATCH(テンプレート!$C773,使用レシピ!$E:$E,0)),""),"")</f>
        <v/>
      </c>
      <c r="N773" s="24" t="str">
        <f>IFERROR(IF(INDEX(使用レシピ!O:O,MATCH(テンプレート!$C773,使用レシピ!$E:$E,0))&lt;&gt;0,INDEX(使用レシピ!O:O,MATCH(テンプレート!$C773,使用レシピ!$E:$E,0)),""),"")</f>
        <v/>
      </c>
      <c r="O773" s="36" t="str">
        <f>IFERROR(IF(INDEX(使用レシピ!P:P,MATCH(テンプレート!$C773,使用レシピ!$E:$E,0))&lt;&gt;0,INDEX(使用レシピ!P:P,MATCH(テンプレート!$C773,使用レシピ!$E:$E,0)),""),"")</f>
        <v/>
      </c>
      <c r="P773" t="str">
        <f t="shared" si="61"/>
        <v/>
      </c>
      <c r="Q773" t="str">
        <f t="shared" si="62"/>
        <v/>
      </c>
      <c r="R773" t="str">
        <f t="shared" si="63"/>
        <v/>
      </c>
      <c r="S773" t="str">
        <f t="shared" si="64"/>
        <v/>
      </c>
      <c r="T773" s="24" t="str">
        <f t="shared" si="65"/>
        <v/>
      </c>
    </row>
    <row r="774" spans="2:20" x14ac:dyDescent="0.4">
      <c r="B774" s="49" t="str" cm="1">
        <f t="array" ref="B774">IFERROR((INDEX($P$4:$T$1000,MATCH(VALUE(LEFT($A774,LEN($A774)-1)),$A$4:$A$1000,0),VALUE(RIGHT($A774,1)))/ INDEX($O$4:$O$1000,MATCH(VALUE(LEFT($A774,LEN($A774)-1)),$A$4:$A$1000))) * INDEX($B$4:$B$1000,MATCH(VALUE(LEFT($A774,LEN($A774)-1)),$A$4:$A$1000)),"")</f>
        <v/>
      </c>
      <c r="C774" s="2" t="str" cm="1">
        <f t="array" ref="C774">IFERROR(IF(INDEX($D$4:$H$1000,MATCH(VALUE(LEFT($A774,LEN($A774)-1)),$A$4:$A$1000,0),VALUE(RIGHT($A774,1)))= 0,"",INDEX($D$4:$H$1000,MATCH(VALUE(LEFT($A774,LEN($A774)-1)),$A$4:$A$1000,0),VALUE(RIGHT($A774,1)))),"")</f>
        <v/>
      </c>
      <c r="D774" s="23" t="str">
        <f>IFERROR(IF(INDEX(使用レシピ!F:F,MATCH(テンプレート!$C774,使用レシピ!$E:$E,0))&lt;&gt;0,INDEX(使用レシピ!F:F,MATCH(テンプレート!$C774,使用レシピ!$E:$E,0)),""),"")</f>
        <v/>
      </c>
      <c r="E774" t="str">
        <f>IFERROR(IF(INDEX(使用レシピ!G:G,MATCH(テンプレート!$C774,使用レシピ!$E:$E,0))&lt;&gt;0,INDEX(使用レシピ!G:G,MATCH(テンプレート!$C774,使用レシピ!$E:$E,0)),""),"")</f>
        <v/>
      </c>
      <c r="F774" t="str">
        <f>IFERROR(IF(INDEX(使用レシピ!H:H,MATCH(テンプレート!$C774,使用レシピ!$E:$E,0))&lt;&gt;0,INDEX(使用レシピ!H:H,MATCH(テンプレート!$C774,使用レシピ!$E:$E,0)),""),"")</f>
        <v/>
      </c>
      <c r="G774" t="str">
        <f>IFERROR(IF(INDEX(使用レシピ!I:I,MATCH(テンプレート!$C774,使用レシピ!$E:$E,0))&lt;&gt;0,INDEX(使用レシピ!I:I,MATCH(テンプレート!$C774,使用レシピ!$E:$E,0)),""),"")</f>
        <v/>
      </c>
      <c r="H774" s="24" t="str">
        <f>IFERROR(IF(INDEX(使用レシピ!J:J,MATCH(テンプレート!$C774,使用レシピ!$E:$E,0))&lt;&gt;0,INDEX(使用レシピ!J:J,MATCH(テンプレート!$C774,使用レシピ!$E:$E,0)),""),"")</f>
        <v/>
      </c>
      <c r="I774" s="36" t="str">
        <f>IFERROR(IF(INDEX(使用レシピ!P:P,MATCH(テンプレート!$C774,使用レシピ!$E:$E,0))&lt;&gt;0,INDEX(使用レシピ!P:P,MATCH(テンプレート!$C774,使用レシピ!$E:$E,0)),""),"")</f>
        <v/>
      </c>
      <c r="J774" t="str">
        <f>IFERROR(IF(INDEX(使用レシピ!K:K,MATCH(テンプレート!$C774,使用レシピ!$E:$E,0))&lt;&gt;0,INDEX(使用レシピ!K:K,MATCH(テンプレート!$C774,使用レシピ!$E:$E,0)),""),"")</f>
        <v/>
      </c>
      <c r="K774" t="str">
        <f>IFERROR(IF(INDEX(使用レシピ!L:L,MATCH(テンプレート!$C774,使用レシピ!$E:$E,0))&lt;&gt;0,INDEX(使用レシピ!L:L,MATCH(テンプレート!$C774,使用レシピ!$E:$E,0)),""),"")</f>
        <v/>
      </c>
      <c r="L774" t="str">
        <f>IFERROR(IF(INDEX(使用レシピ!M:M,MATCH(テンプレート!$C774,使用レシピ!$E:$E,0))&lt;&gt;0,INDEX(使用レシピ!M:M,MATCH(テンプレート!$C774,使用レシピ!$E:$E,0)),""),"")</f>
        <v/>
      </c>
      <c r="M774" t="str">
        <f>IFERROR(IF(INDEX(使用レシピ!N:N,MATCH(テンプレート!$C774,使用レシピ!$E:$E,0))&lt;&gt;0,INDEX(使用レシピ!N:N,MATCH(テンプレート!$C774,使用レシピ!$E:$E,0)),""),"")</f>
        <v/>
      </c>
      <c r="N774" s="24" t="str">
        <f>IFERROR(IF(INDEX(使用レシピ!O:O,MATCH(テンプレート!$C774,使用レシピ!$E:$E,0))&lt;&gt;0,INDEX(使用レシピ!O:O,MATCH(テンプレート!$C774,使用レシピ!$E:$E,0)),""),"")</f>
        <v/>
      </c>
      <c r="O774" s="36" t="str">
        <f>IFERROR(IF(INDEX(使用レシピ!P:P,MATCH(テンプレート!$C774,使用レシピ!$E:$E,0))&lt;&gt;0,INDEX(使用レシピ!P:P,MATCH(テンプレート!$C774,使用レシピ!$E:$E,0)),""),"")</f>
        <v/>
      </c>
      <c r="P774" t="str">
        <f t="shared" si="61"/>
        <v/>
      </c>
      <c r="Q774" t="str">
        <f t="shared" si="62"/>
        <v/>
      </c>
      <c r="R774" t="str">
        <f t="shared" si="63"/>
        <v/>
      </c>
      <c r="S774" t="str">
        <f t="shared" si="64"/>
        <v/>
      </c>
      <c r="T774" s="24" t="str">
        <f t="shared" si="65"/>
        <v/>
      </c>
    </row>
    <row r="775" spans="2:20" x14ac:dyDescent="0.4">
      <c r="B775" s="49" t="str" cm="1">
        <f t="array" ref="B775">IFERROR((INDEX($P$4:$T$1000,MATCH(VALUE(LEFT($A775,LEN($A775)-1)),$A$4:$A$1000,0),VALUE(RIGHT($A775,1)))/ INDEX($O$4:$O$1000,MATCH(VALUE(LEFT($A775,LEN($A775)-1)),$A$4:$A$1000))) * INDEX($B$4:$B$1000,MATCH(VALUE(LEFT($A775,LEN($A775)-1)),$A$4:$A$1000)),"")</f>
        <v/>
      </c>
      <c r="C775" s="2" t="str" cm="1">
        <f t="array" ref="C775">IFERROR(IF(INDEX($D$4:$H$1000,MATCH(VALUE(LEFT($A775,LEN($A775)-1)),$A$4:$A$1000,0),VALUE(RIGHT($A775,1)))= 0,"",INDEX($D$4:$H$1000,MATCH(VALUE(LEFT($A775,LEN($A775)-1)),$A$4:$A$1000,0),VALUE(RIGHT($A775,1)))),"")</f>
        <v/>
      </c>
      <c r="D775" s="23" t="str">
        <f>IFERROR(IF(INDEX(使用レシピ!F:F,MATCH(テンプレート!$C775,使用レシピ!$E:$E,0))&lt;&gt;0,INDEX(使用レシピ!F:F,MATCH(テンプレート!$C775,使用レシピ!$E:$E,0)),""),"")</f>
        <v/>
      </c>
      <c r="E775" t="str">
        <f>IFERROR(IF(INDEX(使用レシピ!G:G,MATCH(テンプレート!$C775,使用レシピ!$E:$E,0))&lt;&gt;0,INDEX(使用レシピ!G:G,MATCH(テンプレート!$C775,使用レシピ!$E:$E,0)),""),"")</f>
        <v/>
      </c>
      <c r="F775" t="str">
        <f>IFERROR(IF(INDEX(使用レシピ!H:H,MATCH(テンプレート!$C775,使用レシピ!$E:$E,0))&lt;&gt;0,INDEX(使用レシピ!H:H,MATCH(テンプレート!$C775,使用レシピ!$E:$E,0)),""),"")</f>
        <v/>
      </c>
      <c r="G775" t="str">
        <f>IFERROR(IF(INDEX(使用レシピ!I:I,MATCH(テンプレート!$C775,使用レシピ!$E:$E,0))&lt;&gt;0,INDEX(使用レシピ!I:I,MATCH(テンプレート!$C775,使用レシピ!$E:$E,0)),""),"")</f>
        <v/>
      </c>
      <c r="H775" s="24" t="str">
        <f>IFERROR(IF(INDEX(使用レシピ!J:J,MATCH(テンプレート!$C775,使用レシピ!$E:$E,0))&lt;&gt;0,INDEX(使用レシピ!J:J,MATCH(テンプレート!$C775,使用レシピ!$E:$E,0)),""),"")</f>
        <v/>
      </c>
      <c r="I775" s="36" t="str">
        <f>IFERROR(IF(INDEX(使用レシピ!P:P,MATCH(テンプレート!$C775,使用レシピ!$E:$E,0))&lt;&gt;0,INDEX(使用レシピ!P:P,MATCH(テンプレート!$C775,使用レシピ!$E:$E,0)),""),"")</f>
        <v/>
      </c>
      <c r="J775" t="str">
        <f>IFERROR(IF(INDEX(使用レシピ!K:K,MATCH(テンプレート!$C775,使用レシピ!$E:$E,0))&lt;&gt;0,INDEX(使用レシピ!K:K,MATCH(テンプレート!$C775,使用レシピ!$E:$E,0)),""),"")</f>
        <v/>
      </c>
      <c r="K775" t="str">
        <f>IFERROR(IF(INDEX(使用レシピ!L:L,MATCH(テンプレート!$C775,使用レシピ!$E:$E,0))&lt;&gt;0,INDEX(使用レシピ!L:L,MATCH(テンプレート!$C775,使用レシピ!$E:$E,0)),""),"")</f>
        <v/>
      </c>
      <c r="L775" t="str">
        <f>IFERROR(IF(INDEX(使用レシピ!M:M,MATCH(テンプレート!$C775,使用レシピ!$E:$E,0))&lt;&gt;0,INDEX(使用レシピ!M:M,MATCH(テンプレート!$C775,使用レシピ!$E:$E,0)),""),"")</f>
        <v/>
      </c>
      <c r="M775" t="str">
        <f>IFERROR(IF(INDEX(使用レシピ!N:N,MATCH(テンプレート!$C775,使用レシピ!$E:$E,0))&lt;&gt;0,INDEX(使用レシピ!N:N,MATCH(テンプレート!$C775,使用レシピ!$E:$E,0)),""),"")</f>
        <v/>
      </c>
      <c r="N775" s="24" t="str">
        <f>IFERROR(IF(INDEX(使用レシピ!O:O,MATCH(テンプレート!$C775,使用レシピ!$E:$E,0))&lt;&gt;0,INDEX(使用レシピ!O:O,MATCH(テンプレート!$C775,使用レシピ!$E:$E,0)),""),"")</f>
        <v/>
      </c>
      <c r="O775" s="36" t="str">
        <f>IFERROR(IF(INDEX(使用レシピ!P:P,MATCH(テンプレート!$C775,使用レシピ!$E:$E,0))&lt;&gt;0,INDEX(使用レシピ!P:P,MATCH(テンプレート!$C775,使用レシピ!$E:$E,0)),""),"")</f>
        <v/>
      </c>
      <c r="P775" t="str">
        <f t="shared" si="61"/>
        <v/>
      </c>
      <c r="Q775" t="str">
        <f t="shared" si="62"/>
        <v/>
      </c>
      <c r="R775" t="str">
        <f t="shared" si="63"/>
        <v/>
      </c>
      <c r="S775" t="str">
        <f t="shared" si="64"/>
        <v/>
      </c>
      <c r="T775" s="24" t="str">
        <f t="shared" si="65"/>
        <v/>
      </c>
    </row>
    <row r="776" spans="2:20" x14ac:dyDescent="0.4">
      <c r="B776" s="49" t="str" cm="1">
        <f t="array" ref="B776">IFERROR((INDEX($P$4:$T$1000,MATCH(VALUE(LEFT($A776,LEN($A776)-1)),$A$4:$A$1000,0),VALUE(RIGHT($A776,1)))/ INDEX($O$4:$O$1000,MATCH(VALUE(LEFT($A776,LEN($A776)-1)),$A$4:$A$1000))) * INDEX($B$4:$B$1000,MATCH(VALUE(LEFT($A776,LEN($A776)-1)),$A$4:$A$1000)),"")</f>
        <v/>
      </c>
      <c r="C776" s="2" t="str" cm="1">
        <f t="array" ref="C776">IFERROR(IF(INDEX($D$4:$H$1000,MATCH(VALUE(LEFT($A776,LEN($A776)-1)),$A$4:$A$1000,0),VALUE(RIGHT($A776,1)))= 0,"",INDEX($D$4:$H$1000,MATCH(VALUE(LEFT($A776,LEN($A776)-1)),$A$4:$A$1000,0),VALUE(RIGHT($A776,1)))),"")</f>
        <v/>
      </c>
      <c r="D776" s="23" t="str">
        <f>IFERROR(IF(INDEX(使用レシピ!F:F,MATCH(テンプレート!$C776,使用レシピ!$E:$E,0))&lt;&gt;0,INDEX(使用レシピ!F:F,MATCH(テンプレート!$C776,使用レシピ!$E:$E,0)),""),"")</f>
        <v/>
      </c>
      <c r="E776" t="str">
        <f>IFERROR(IF(INDEX(使用レシピ!G:G,MATCH(テンプレート!$C776,使用レシピ!$E:$E,0))&lt;&gt;0,INDEX(使用レシピ!G:G,MATCH(テンプレート!$C776,使用レシピ!$E:$E,0)),""),"")</f>
        <v/>
      </c>
      <c r="F776" t="str">
        <f>IFERROR(IF(INDEX(使用レシピ!H:H,MATCH(テンプレート!$C776,使用レシピ!$E:$E,0))&lt;&gt;0,INDEX(使用レシピ!H:H,MATCH(テンプレート!$C776,使用レシピ!$E:$E,0)),""),"")</f>
        <v/>
      </c>
      <c r="G776" t="str">
        <f>IFERROR(IF(INDEX(使用レシピ!I:I,MATCH(テンプレート!$C776,使用レシピ!$E:$E,0))&lt;&gt;0,INDEX(使用レシピ!I:I,MATCH(テンプレート!$C776,使用レシピ!$E:$E,0)),""),"")</f>
        <v/>
      </c>
      <c r="H776" s="24" t="str">
        <f>IFERROR(IF(INDEX(使用レシピ!J:J,MATCH(テンプレート!$C776,使用レシピ!$E:$E,0))&lt;&gt;0,INDEX(使用レシピ!J:J,MATCH(テンプレート!$C776,使用レシピ!$E:$E,0)),""),"")</f>
        <v/>
      </c>
      <c r="I776" s="36" t="str">
        <f>IFERROR(IF(INDEX(使用レシピ!P:P,MATCH(テンプレート!$C776,使用レシピ!$E:$E,0))&lt;&gt;0,INDEX(使用レシピ!P:P,MATCH(テンプレート!$C776,使用レシピ!$E:$E,0)),""),"")</f>
        <v/>
      </c>
      <c r="J776" t="str">
        <f>IFERROR(IF(INDEX(使用レシピ!K:K,MATCH(テンプレート!$C776,使用レシピ!$E:$E,0))&lt;&gt;0,INDEX(使用レシピ!K:K,MATCH(テンプレート!$C776,使用レシピ!$E:$E,0)),""),"")</f>
        <v/>
      </c>
      <c r="K776" t="str">
        <f>IFERROR(IF(INDEX(使用レシピ!L:L,MATCH(テンプレート!$C776,使用レシピ!$E:$E,0))&lt;&gt;0,INDEX(使用レシピ!L:L,MATCH(テンプレート!$C776,使用レシピ!$E:$E,0)),""),"")</f>
        <v/>
      </c>
      <c r="L776" t="str">
        <f>IFERROR(IF(INDEX(使用レシピ!M:M,MATCH(テンプレート!$C776,使用レシピ!$E:$E,0))&lt;&gt;0,INDEX(使用レシピ!M:M,MATCH(テンプレート!$C776,使用レシピ!$E:$E,0)),""),"")</f>
        <v/>
      </c>
      <c r="M776" t="str">
        <f>IFERROR(IF(INDEX(使用レシピ!N:N,MATCH(テンプレート!$C776,使用レシピ!$E:$E,0))&lt;&gt;0,INDEX(使用レシピ!N:N,MATCH(テンプレート!$C776,使用レシピ!$E:$E,0)),""),"")</f>
        <v/>
      </c>
      <c r="N776" s="24" t="str">
        <f>IFERROR(IF(INDEX(使用レシピ!O:O,MATCH(テンプレート!$C776,使用レシピ!$E:$E,0))&lt;&gt;0,INDEX(使用レシピ!O:O,MATCH(テンプレート!$C776,使用レシピ!$E:$E,0)),""),"")</f>
        <v/>
      </c>
      <c r="O776" s="36" t="str">
        <f>IFERROR(IF(INDEX(使用レシピ!P:P,MATCH(テンプレート!$C776,使用レシピ!$E:$E,0))&lt;&gt;0,INDEX(使用レシピ!P:P,MATCH(テンプレート!$C776,使用レシピ!$E:$E,0)),""),"")</f>
        <v/>
      </c>
      <c r="P776" t="str">
        <f t="shared" si="61"/>
        <v/>
      </c>
      <c r="Q776" t="str">
        <f t="shared" si="62"/>
        <v/>
      </c>
      <c r="R776" t="str">
        <f t="shared" si="63"/>
        <v/>
      </c>
      <c r="S776" t="str">
        <f t="shared" si="64"/>
        <v/>
      </c>
      <c r="T776" s="24" t="str">
        <f t="shared" si="65"/>
        <v/>
      </c>
    </row>
    <row r="777" spans="2:20" x14ac:dyDescent="0.4">
      <c r="B777" s="49" t="str" cm="1">
        <f t="array" ref="B777">IFERROR((INDEX($P$4:$T$1000,MATCH(VALUE(LEFT($A777,LEN($A777)-1)),$A$4:$A$1000,0),VALUE(RIGHT($A777,1)))/ INDEX($O$4:$O$1000,MATCH(VALUE(LEFT($A777,LEN($A777)-1)),$A$4:$A$1000))) * INDEX($B$4:$B$1000,MATCH(VALUE(LEFT($A777,LEN($A777)-1)),$A$4:$A$1000)),"")</f>
        <v/>
      </c>
      <c r="C777" s="2" t="str" cm="1">
        <f t="array" ref="C777">IFERROR(IF(INDEX($D$4:$H$1000,MATCH(VALUE(LEFT($A777,LEN($A777)-1)),$A$4:$A$1000,0),VALUE(RIGHT($A777,1)))= 0,"",INDEX($D$4:$H$1000,MATCH(VALUE(LEFT($A777,LEN($A777)-1)),$A$4:$A$1000,0),VALUE(RIGHT($A777,1)))),"")</f>
        <v/>
      </c>
      <c r="D777" s="23" t="str">
        <f>IFERROR(IF(INDEX(使用レシピ!F:F,MATCH(テンプレート!$C777,使用レシピ!$E:$E,0))&lt;&gt;0,INDEX(使用レシピ!F:F,MATCH(テンプレート!$C777,使用レシピ!$E:$E,0)),""),"")</f>
        <v/>
      </c>
      <c r="E777" t="str">
        <f>IFERROR(IF(INDEX(使用レシピ!G:G,MATCH(テンプレート!$C777,使用レシピ!$E:$E,0))&lt;&gt;0,INDEX(使用レシピ!G:G,MATCH(テンプレート!$C777,使用レシピ!$E:$E,0)),""),"")</f>
        <v/>
      </c>
      <c r="F777" t="str">
        <f>IFERROR(IF(INDEX(使用レシピ!H:H,MATCH(テンプレート!$C777,使用レシピ!$E:$E,0))&lt;&gt;0,INDEX(使用レシピ!H:H,MATCH(テンプレート!$C777,使用レシピ!$E:$E,0)),""),"")</f>
        <v/>
      </c>
      <c r="G777" t="str">
        <f>IFERROR(IF(INDEX(使用レシピ!I:I,MATCH(テンプレート!$C777,使用レシピ!$E:$E,0))&lt;&gt;0,INDEX(使用レシピ!I:I,MATCH(テンプレート!$C777,使用レシピ!$E:$E,0)),""),"")</f>
        <v/>
      </c>
      <c r="H777" s="24" t="str">
        <f>IFERROR(IF(INDEX(使用レシピ!J:J,MATCH(テンプレート!$C777,使用レシピ!$E:$E,0))&lt;&gt;0,INDEX(使用レシピ!J:J,MATCH(テンプレート!$C777,使用レシピ!$E:$E,0)),""),"")</f>
        <v/>
      </c>
      <c r="I777" s="36" t="str">
        <f>IFERROR(IF(INDEX(使用レシピ!P:P,MATCH(テンプレート!$C777,使用レシピ!$E:$E,0))&lt;&gt;0,INDEX(使用レシピ!P:P,MATCH(テンプレート!$C777,使用レシピ!$E:$E,0)),""),"")</f>
        <v/>
      </c>
      <c r="J777" t="str">
        <f>IFERROR(IF(INDEX(使用レシピ!K:K,MATCH(テンプレート!$C777,使用レシピ!$E:$E,0))&lt;&gt;0,INDEX(使用レシピ!K:K,MATCH(テンプレート!$C777,使用レシピ!$E:$E,0)),""),"")</f>
        <v/>
      </c>
      <c r="K777" t="str">
        <f>IFERROR(IF(INDEX(使用レシピ!L:L,MATCH(テンプレート!$C777,使用レシピ!$E:$E,0))&lt;&gt;0,INDEX(使用レシピ!L:L,MATCH(テンプレート!$C777,使用レシピ!$E:$E,0)),""),"")</f>
        <v/>
      </c>
      <c r="L777" t="str">
        <f>IFERROR(IF(INDEX(使用レシピ!M:M,MATCH(テンプレート!$C777,使用レシピ!$E:$E,0))&lt;&gt;0,INDEX(使用レシピ!M:M,MATCH(テンプレート!$C777,使用レシピ!$E:$E,0)),""),"")</f>
        <v/>
      </c>
      <c r="M777" t="str">
        <f>IFERROR(IF(INDEX(使用レシピ!N:N,MATCH(テンプレート!$C777,使用レシピ!$E:$E,0))&lt;&gt;0,INDEX(使用レシピ!N:N,MATCH(テンプレート!$C777,使用レシピ!$E:$E,0)),""),"")</f>
        <v/>
      </c>
      <c r="N777" s="24" t="str">
        <f>IFERROR(IF(INDEX(使用レシピ!O:O,MATCH(テンプレート!$C777,使用レシピ!$E:$E,0))&lt;&gt;0,INDEX(使用レシピ!O:O,MATCH(テンプレート!$C777,使用レシピ!$E:$E,0)),""),"")</f>
        <v/>
      </c>
      <c r="O777" s="36" t="str">
        <f>IFERROR(IF(INDEX(使用レシピ!P:P,MATCH(テンプレート!$C777,使用レシピ!$E:$E,0))&lt;&gt;0,INDEX(使用レシピ!P:P,MATCH(テンプレート!$C777,使用レシピ!$E:$E,0)),""),"")</f>
        <v/>
      </c>
      <c r="P777" t="str">
        <f t="shared" si="61"/>
        <v/>
      </c>
      <c r="Q777" t="str">
        <f t="shared" si="62"/>
        <v/>
      </c>
      <c r="R777" t="str">
        <f t="shared" si="63"/>
        <v/>
      </c>
      <c r="S777" t="str">
        <f t="shared" si="64"/>
        <v/>
      </c>
      <c r="T777" s="24" t="str">
        <f t="shared" si="65"/>
        <v/>
      </c>
    </row>
    <row r="778" spans="2:20" x14ac:dyDescent="0.4">
      <c r="B778" s="49" t="str" cm="1">
        <f t="array" ref="B778">IFERROR((INDEX($P$4:$T$1000,MATCH(VALUE(LEFT($A778,LEN($A778)-1)),$A$4:$A$1000,0),VALUE(RIGHT($A778,1)))/ INDEX($O$4:$O$1000,MATCH(VALUE(LEFT($A778,LEN($A778)-1)),$A$4:$A$1000))) * INDEX($B$4:$B$1000,MATCH(VALUE(LEFT($A778,LEN($A778)-1)),$A$4:$A$1000)),"")</f>
        <v/>
      </c>
      <c r="C778" s="2" t="str" cm="1">
        <f t="array" ref="C778">IFERROR(IF(INDEX($D$4:$H$1000,MATCH(VALUE(LEFT($A778,LEN($A778)-1)),$A$4:$A$1000,0),VALUE(RIGHT($A778,1)))= 0,"",INDEX($D$4:$H$1000,MATCH(VALUE(LEFT($A778,LEN($A778)-1)),$A$4:$A$1000,0),VALUE(RIGHT($A778,1)))),"")</f>
        <v/>
      </c>
      <c r="D778" s="23" t="str">
        <f>IFERROR(IF(INDEX(使用レシピ!F:F,MATCH(テンプレート!$C778,使用レシピ!$E:$E,0))&lt;&gt;0,INDEX(使用レシピ!F:F,MATCH(テンプレート!$C778,使用レシピ!$E:$E,0)),""),"")</f>
        <v/>
      </c>
      <c r="E778" t="str">
        <f>IFERROR(IF(INDEX(使用レシピ!G:G,MATCH(テンプレート!$C778,使用レシピ!$E:$E,0))&lt;&gt;0,INDEX(使用レシピ!G:G,MATCH(テンプレート!$C778,使用レシピ!$E:$E,0)),""),"")</f>
        <v/>
      </c>
      <c r="F778" t="str">
        <f>IFERROR(IF(INDEX(使用レシピ!H:H,MATCH(テンプレート!$C778,使用レシピ!$E:$E,0))&lt;&gt;0,INDEX(使用レシピ!H:H,MATCH(テンプレート!$C778,使用レシピ!$E:$E,0)),""),"")</f>
        <v/>
      </c>
      <c r="G778" t="str">
        <f>IFERROR(IF(INDEX(使用レシピ!I:I,MATCH(テンプレート!$C778,使用レシピ!$E:$E,0))&lt;&gt;0,INDEX(使用レシピ!I:I,MATCH(テンプレート!$C778,使用レシピ!$E:$E,0)),""),"")</f>
        <v/>
      </c>
      <c r="H778" s="24" t="str">
        <f>IFERROR(IF(INDEX(使用レシピ!J:J,MATCH(テンプレート!$C778,使用レシピ!$E:$E,0))&lt;&gt;0,INDEX(使用レシピ!J:J,MATCH(テンプレート!$C778,使用レシピ!$E:$E,0)),""),"")</f>
        <v/>
      </c>
      <c r="I778" s="36" t="str">
        <f>IFERROR(IF(INDEX(使用レシピ!P:P,MATCH(テンプレート!$C778,使用レシピ!$E:$E,0))&lt;&gt;0,INDEX(使用レシピ!P:P,MATCH(テンプレート!$C778,使用レシピ!$E:$E,0)),""),"")</f>
        <v/>
      </c>
      <c r="J778" t="str">
        <f>IFERROR(IF(INDEX(使用レシピ!K:K,MATCH(テンプレート!$C778,使用レシピ!$E:$E,0))&lt;&gt;0,INDEX(使用レシピ!K:K,MATCH(テンプレート!$C778,使用レシピ!$E:$E,0)),""),"")</f>
        <v/>
      </c>
      <c r="K778" t="str">
        <f>IFERROR(IF(INDEX(使用レシピ!L:L,MATCH(テンプレート!$C778,使用レシピ!$E:$E,0))&lt;&gt;0,INDEX(使用レシピ!L:L,MATCH(テンプレート!$C778,使用レシピ!$E:$E,0)),""),"")</f>
        <v/>
      </c>
      <c r="L778" t="str">
        <f>IFERROR(IF(INDEX(使用レシピ!M:M,MATCH(テンプレート!$C778,使用レシピ!$E:$E,0))&lt;&gt;0,INDEX(使用レシピ!M:M,MATCH(テンプレート!$C778,使用レシピ!$E:$E,0)),""),"")</f>
        <v/>
      </c>
      <c r="M778" t="str">
        <f>IFERROR(IF(INDEX(使用レシピ!N:N,MATCH(テンプレート!$C778,使用レシピ!$E:$E,0))&lt;&gt;0,INDEX(使用レシピ!N:N,MATCH(テンプレート!$C778,使用レシピ!$E:$E,0)),""),"")</f>
        <v/>
      </c>
      <c r="N778" s="24" t="str">
        <f>IFERROR(IF(INDEX(使用レシピ!O:O,MATCH(テンプレート!$C778,使用レシピ!$E:$E,0))&lt;&gt;0,INDEX(使用レシピ!O:O,MATCH(テンプレート!$C778,使用レシピ!$E:$E,0)),""),"")</f>
        <v/>
      </c>
      <c r="O778" s="36" t="str">
        <f>IFERROR(IF(INDEX(使用レシピ!P:P,MATCH(テンプレート!$C778,使用レシピ!$E:$E,0))&lt;&gt;0,INDEX(使用レシピ!P:P,MATCH(テンプレート!$C778,使用レシピ!$E:$E,0)),""),"")</f>
        <v/>
      </c>
      <c r="P778" t="str">
        <f t="shared" si="61"/>
        <v/>
      </c>
      <c r="Q778" t="str">
        <f t="shared" si="62"/>
        <v/>
      </c>
      <c r="R778" t="str">
        <f t="shared" si="63"/>
        <v/>
      </c>
      <c r="S778" t="str">
        <f t="shared" si="64"/>
        <v/>
      </c>
      <c r="T778" s="24" t="str">
        <f t="shared" si="65"/>
        <v/>
      </c>
    </row>
    <row r="779" spans="2:20" x14ac:dyDescent="0.4">
      <c r="B779" s="49" t="str" cm="1">
        <f t="array" ref="B779">IFERROR((INDEX($P$4:$T$1000,MATCH(VALUE(LEFT($A779,LEN($A779)-1)),$A$4:$A$1000,0),VALUE(RIGHT($A779,1)))/ INDEX($O$4:$O$1000,MATCH(VALUE(LEFT($A779,LEN($A779)-1)),$A$4:$A$1000))) * INDEX($B$4:$B$1000,MATCH(VALUE(LEFT($A779,LEN($A779)-1)),$A$4:$A$1000)),"")</f>
        <v/>
      </c>
      <c r="C779" s="2" t="str" cm="1">
        <f t="array" ref="C779">IFERROR(IF(INDEX($D$4:$H$1000,MATCH(VALUE(LEFT($A779,LEN($A779)-1)),$A$4:$A$1000,0),VALUE(RIGHT($A779,1)))= 0,"",INDEX($D$4:$H$1000,MATCH(VALUE(LEFT($A779,LEN($A779)-1)),$A$4:$A$1000,0),VALUE(RIGHT($A779,1)))),"")</f>
        <v/>
      </c>
      <c r="D779" s="23" t="str">
        <f>IFERROR(IF(INDEX(使用レシピ!F:F,MATCH(テンプレート!$C779,使用レシピ!$E:$E,0))&lt;&gt;0,INDEX(使用レシピ!F:F,MATCH(テンプレート!$C779,使用レシピ!$E:$E,0)),""),"")</f>
        <v/>
      </c>
      <c r="E779" t="str">
        <f>IFERROR(IF(INDEX(使用レシピ!G:G,MATCH(テンプレート!$C779,使用レシピ!$E:$E,0))&lt;&gt;0,INDEX(使用レシピ!G:G,MATCH(テンプレート!$C779,使用レシピ!$E:$E,0)),""),"")</f>
        <v/>
      </c>
      <c r="F779" t="str">
        <f>IFERROR(IF(INDEX(使用レシピ!H:H,MATCH(テンプレート!$C779,使用レシピ!$E:$E,0))&lt;&gt;0,INDEX(使用レシピ!H:H,MATCH(テンプレート!$C779,使用レシピ!$E:$E,0)),""),"")</f>
        <v/>
      </c>
      <c r="G779" t="str">
        <f>IFERROR(IF(INDEX(使用レシピ!I:I,MATCH(テンプレート!$C779,使用レシピ!$E:$E,0))&lt;&gt;0,INDEX(使用レシピ!I:I,MATCH(テンプレート!$C779,使用レシピ!$E:$E,0)),""),"")</f>
        <v/>
      </c>
      <c r="H779" s="24" t="str">
        <f>IFERROR(IF(INDEX(使用レシピ!J:J,MATCH(テンプレート!$C779,使用レシピ!$E:$E,0))&lt;&gt;0,INDEX(使用レシピ!J:J,MATCH(テンプレート!$C779,使用レシピ!$E:$E,0)),""),"")</f>
        <v/>
      </c>
      <c r="I779" s="36" t="str">
        <f>IFERROR(IF(INDEX(使用レシピ!P:P,MATCH(テンプレート!$C779,使用レシピ!$E:$E,0))&lt;&gt;0,INDEX(使用レシピ!P:P,MATCH(テンプレート!$C779,使用レシピ!$E:$E,0)),""),"")</f>
        <v/>
      </c>
      <c r="J779" t="str">
        <f>IFERROR(IF(INDEX(使用レシピ!K:K,MATCH(テンプレート!$C779,使用レシピ!$E:$E,0))&lt;&gt;0,INDEX(使用レシピ!K:K,MATCH(テンプレート!$C779,使用レシピ!$E:$E,0)),""),"")</f>
        <v/>
      </c>
      <c r="K779" t="str">
        <f>IFERROR(IF(INDEX(使用レシピ!L:L,MATCH(テンプレート!$C779,使用レシピ!$E:$E,0))&lt;&gt;0,INDEX(使用レシピ!L:L,MATCH(テンプレート!$C779,使用レシピ!$E:$E,0)),""),"")</f>
        <v/>
      </c>
      <c r="L779" t="str">
        <f>IFERROR(IF(INDEX(使用レシピ!M:M,MATCH(テンプレート!$C779,使用レシピ!$E:$E,0))&lt;&gt;0,INDEX(使用レシピ!M:M,MATCH(テンプレート!$C779,使用レシピ!$E:$E,0)),""),"")</f>
        <v/>
      </c>
      <c r="M779" t="str">
        <f>IFERROR(IF(INDEX(使用レシピ!N:N,MATCH(テンプレート!$C779,使用レシピ!$E:$E,0))&lt;&gt;0,INDEX(使用レシピ!N:N,MATCH(テンプレート!$C779,使用レシピ!$E:$E,0)),""),"")</f>
        <v/>
      </c>
      <c r="N779" s="24" t="str">
        <f>IFERROR(IF(INDEX(使用レシピ!O:O,MATCH(テンプレート!$C779,使用レシピ!$E:$E,0))&lt;&gt;0,INDEX(使用レシピ!O:O,MATCH(テンプレート!$C779,使用レシピ!$E:$E,0)),""),"")</f>
        <v/>
      </c>
      <c r="O779" s="36" t="str">
        <f>IFERROR(IF(INDEX(使用レシピ!P:P,MATCH(テンプレート!$C779,使用レシピ!$E:$E,0))&lt;&gt;0,INDEX(使用レシピ!P:P,MATCH(テンプレート!$C779,使用レシピ!$E:$E,0)),""),"")</f>
        <v/>
      </c>
      <c r="P779" t="str">
        <f t="shared" si="61"/>
        <v/>
      </c>
      <c r="Q779" t="str">
        <f t="shared" si="62"/>
        <v/>
      </c>
      <c r="R779" t="str">
        <f t="shared" si="63"/>
        <v/>
      </c>
      <c r="S779" t="str">
        <f t="shared" si="64"/>
        <v/>
      </c>
      <c r="T779" s="24" t="str">
        <f t="shared" si="65"/>
        <v/>
      </c>
    </row>
    <row r="780" spans="2:20" x14ac:dyDescent="0.4">
      <c r="B780" s="49" t="str" cm="1">
        <f t="array" ref="B780">IFERROR((INDEX($P$4:$T$1000,MATCH(VALUE(LEFT($A780,LEN($A780)-1)),$A$4:$A$1000,0),VALUE(RIGHT($A780,1)))/ INDEX($O$4:$O$1000,MATCH(VALUE(LEFT($A780,LEN($A780)-1)),$A$4:$A$1000))) * INDEX($B$4:$B$1000,MATCH(VALUE(LEFT($A780,LEN($A780)-1)),$A$4:$A$1000)),"")</f>
        <v/>
      </c>
      <c r="C780" s="2" t="str" cm="1">
        <f t="array" ref="C780">IFERROR(IF(INDEX($D$4:$H$1000,MATCH(VALUE(LEFT($A780,LEN($A780)-1)),$A$4:$A$1000,0),VALUE(RIGHT($A780,1)))= 0,"",INDEX($D$4:$H$1000,MATCH(VALUE(LEFT($A780,LEN($A780)-1)),$A$4:$A$1000,0),VALUE(RIGHT($A780,1)))),"")</f>
        <v/>
      </c>
      <c r="D780" s="23" t="str">
        <f>IFERROR(IF(INDEX(使用レシピ!F:F,MATCH(テンプレート!$C780,使用レシピ!$E:$E,0))&lt;&gt;0,INDEX(使用レシピ!F:F,MATCH(テンプレート!$C780,使用レシピ!$E:$E,0)),""),"")</f>
        <v/>
      </c>
      <c r="E780" t="str">
        <f>IFERROR(IF(INDEX(使用レシピ!G:G,MATCH(テンプレート!$C780,使用レシピ!$E:$E,0))&lt;&gt;0,INDEX(使用レシピ!G:G,MATCH(テンプレート!$C780,使用レシピ!$E:$E,0)),""),"")</f>
        <v/>
      </c>
      <c r="F780" t="str">
        <f>IFERROR(IF(INDEX(使用レシピ!H:H,MATCH(テンプレート!$C780,使用レシピ!$E:$E,0))&lt;&gt;0,INDEX(使用レシピ!H:H,MATCH(テンプレート!$C780,使用レシピ!$E:$E,0)),""),"")</f>
        <v/>
      </c>
      <c r="G780" t="str">
        <f>IFERROR(IF(INDEX(使用レシピ!I:I,MATCH(テンプレート!$C780,使用レシピ!$E:$E,0))&lt;&gt;0,INDEX(使用レシピ!I:I,MATCH(テンプレート!$C780,使用レシピ!$E:$E,0)),""),"")</f>
        <v/>
      </c>
      <c r="H780" s="24" t="str">
        <f>IFERROR(IF(INDEX(使用レシピ!J:J,MATCH(テンプレート!$C780,使用レシピ!$E:$E,0))&lt;&gt;0,INDEX(使用レシピ!J:J,MATCH(テンプレート!$C780,使用レシピ!$E:$E,0)),""),"")</f>
        <v/>
      </c>
      <c r="I780" s="36" t="str">
        <f>IFERROR(IF(INDEX(使用レシピ!P:P,MATCH(テンプレート!$C780,使用レシピ!$E:$E,0))&lt;&gt;0,INDEX(使用レシピ!P:P,MATCH(テンプレート!$C780,使用レシピ!$E:$E,0)),""),"")</f>
        <v/>
      </c>
      <c r="J780" t="str">
        <f>IFERROR(IF(INDEX(使用レシピ!K:K,MATCH(テンプレート!$C780,使用レシピ!$E:$E,0))&lt;&gt;0,INDEX(使用レシピ!K:K,MATCH(テンプレート!$C780,使用レシピ!$E:$E,0)),""),"")</f>
        <v/>
      </c>
      <c r="K780" t="str">
        <f>IFERROR(IF(INDEX(使用レシピ!L:L,MATCH(テンプレート!$C780,使用レシピ!$E:$E,0))&lt;&gt;0,INDEX(使用レシピ!L:L,MATCH(テンプレート!$C780,使用レシピ!$E:$E,0)),""),"")</f>
        <v/>
      </c>
      <c r="L780" t="str">
        <f>IFERROR(IF(INDEX(使用レシピ!M:M,MATCH(テンプレート!$C780,使用レシピ!$E:$E,0))&lt;&gt;0,INDEX(使用レシピ!M:M,MATCH(テンプレート!$C780,使用レシピ!$E:$E,0)),""),"")</f>
        <v/>
      </c>
      <c r="M780" t="str">
        <f>IFERROR(IF(INDEX(使用レシピ!N:N,MATCH(テンプレート!$C780,使用レシピ!$E:$E,0))&lt;&gt;0,INDEX(使用レシピ!N:N,MATCH(テンプレート!$C780,使用レシピ!$E:$E,0)),""),"")</f>
        <v/>
      </c>
      <c r="N780" s="24" t="str">
        <f>IFERROR(IF(INDEX(使用レシピ!O:O,MATCH(テンプレート!$C780,使用レシピ!$E:$E,0))&lt;&gt;0,INDEX(使用レシピ!O:O,MATCH(テンプレート!$C780,使用レシピ!$E:$E,0)),""),"")</f>
        <v/>
      </c>
      <c r="O780" s="36" t="str">
        <f>IFERROR(IF(INDEX(使用レシピ!P:P,MATCH(テンプレート!$C780,使用レシピ!$E:$E,0))&lt;&gt;0,INDEX(使用レシピ!P:P,MATCH(テンプレート!$C780,使用レシピ!$E:$E,0)),""),"")</f>
        <v/>
      </c>
      <c r="P780" t="str">
        <f t="shared" si="61"/>
        <v/>
      </c>
      <c r="Q780" t="str">
        <f t="shared" si="62"/>
        <v/>
      </c>
      <c r="R780" t="str">
        <f t="shared" si="63"/>
        <v/>
      </c>
      <c r="S780" t="str">
        <f t="shared" si="64"/>
        <v/>
      </c>
      <c r="T780" s="24" t="str">
        <f t="shared" si="65"/>
        <v/>
      </c>
    </row>
    <row r="781" spans="2:20" x14ac:dyDescent="0.4">
      <c r="B781" s="49" t="str" cm="1">
        <f t="array" ref="B781">IFERROR((INDEX($P$4:$T$1000,MATCH(VALUE(LEFT($A781,LEN($A781)-1)),$A$4:$A$1000,0),VALUE(RIGHT($A781,1)))/ INDEX($O$4:$O$1000,MATCH(VALUE(LEFT($A781,LEN($A781)-1)),$A$4:$A$1000))) * INDEX($B$4:$B$1000,MATCH(VALUE(LEFT($A781,LEN($A781)-1)),$A$4:$A$1000)),"")</f>
        <v/>
      </c>
      <c r="C781" s="2" t="str" cm="1">
        <f t="array" ref="C781">IFERROR(IF(INDEX($D$4:$H$1000,MATCH(VALUE(LEFT($A781,LEN($A781)-1)),$A$4:$A$1000,0),VALUE(RIGHT($A781,1)))= 0,"",INDEX($D$4:$H$1000,MATCH(VALUE(LEFT($A781,LEN($A781)-1)),$A$4:$A$1000,0),VALUE(RIGHT($A781,1)))),"")</f>
        <v/>
      </c>
      <c r="D781" s="23" t="str">
        <f>IFERROR(IF(INDEX(使用レシピ!F:F,MATCH(テンプレート!$C781,使用レシピ!$E:$E,0))&lt;&gt;0,INDEX(使用レシピ!F:F,MATCH(テンプレート!$C781,使用レシピ!$E:$E,0)),""),"")</f>
        <v/>
      </c>
      <c r="E781" t="str">
        <f>IFERROR(IF(INDEX(使用レシピ!G:G,MATCH(テンプレート!$C781,使用レシピ!$E:$E,0))&lt;&gt;0,INDEX(使用レシピ!G:G,MATCH(テンプレート!$C781,使用レシピ!$E:$E,0)),""),"")</f>
        <v/>
      </c>
      <c r="F781" t="str">
        <f>IFERROR(IF(INDEX(使用レシピ!H:H,MATCH(テンプレート!$C781,使用レシピ!$E:$E,0))&lt;&gt;0,INDEX(使用レシピ!H:H,MATCH(テンプレート!$C781,使用レシピ!$E:$E,0)),""),"")</f>
        <v/>
      </c>
      <c r="G781" t="str">
        <f>IFERROR(IF(INDEX(使用レシピ!I:I,MATCH(テンプレート!$C781,使用レシピ!$E:$E,0))&lt;&gt;0,INDEX(使用レシピ!I:I,MATCH(テンプレート!$C781,使用レシピ!$E:$E,0)),""),"")</f>
        <v/>
      </c>
      <c r="H781" s="24" t="str">
        <f>IFERROR(IF(INDEX(使用レシピ!J:J,MATCH(テンプレート!$C781,使用レシピ!$E:$E,0))&lt;&gt;0,INDEX(使用レシピ!J:J,MATCH(テンプレート!$C781,使用レシピ!$E:$E,0)),""),"")</f>
        <v/>
      </c>
      <c r="I781" s="36" t="str">
        <f>IFERROR(IF(INDEX(使用レシピ!P:P,MATCH(テンプレート!$C781,使用レシピ!$E:$E,0))&lt;&gt;0,INDEX(使用レシピ!P:P,MATCH(テンプレート!$C781,使用レシピ!$E:$E,0)),""),"")</f>
        <v/>
      </c>
      <c r="J781" t="str">
        <f>IFERROR(IF(INDEX(使用レシピ!K:K,MATCH(テンプレート!$C781,使用レシピ!$E:$E,0))&lt;&gt;0,INDEX(使用レシピ!K:K,MATCH(テンプレート!$C781,使用レシピ!$E:$E,0)),""),"")</f>
        <v/>
      </c>
      <c r="K781" t="str">
        <f>IFERROR(IF(INDEX(使用レシピ!L:L,MATCH(テンプレート!$C781,使用レシピ!$E:$E,0))&lt;&gt;0,INDEX(使用レシピ!L:L,MATCH(テンプレート!$C781,使用レシピ!$E:$E,0)),""),"")</f>
        <v/>
      </c>
      <c r="L781" t="str">
        <f>IFERROR(IF(INDEX(使用レシピ!M:M,MATCH(テンプレート!$C781,使用レシピ!$E:$E,0))&lt;&gt;0,INDEX(使用レシピ!M:M,MATCH(テンプレート!$C781,使用レシピ!$E:$E,0)),""),"")</f>
        <v/>
      </c>
      <c r="M781" t="str">
        <f>IFERROR(IF(INDEX(使用レシピ!N:N,MATCH(テンプレート!$C781,使用レシピ!$E:$E,0))&lt;&gt;0,INDEX(使用レシピ!N:N,MATCH(テンプレート!$C781,使用レシピ!$E:$E,0)),""),"")</f>
        <v/>
      </c>
      <c r="N781" s="24" t="str">
        <f>IFERROR(IF(INDEX(使用レシピ!O:O,MATCH(テンプレート!$C781,使用レシピ!$E:$E,0))&lt;&gt;0,INDEX(使用レシピ!O:O,MATCH(テンプレート!$C781,使用レシピ!$E:$E,0)),""),"")</f>
        <v/>
      </c>
      <c r="O781" s="36" t="str">
        <f>IFERROR(IF(INDEX(使用レシピ!P:P,MATCH(テンプレート!$C781,使用レシピ!$E:$E,0))&lt;&gt;0,INDEX(使用レシピ!P:P,MATCH(テンプレート!$C781,使用レシピ!$E:$E,0)),""),"")</f>
        <v/>
      </c>
      <c r="P781" t="str">
        <f t="shared" si="61"/>
        <v/>
      </c>
      <c r="Q781" t="str">
        <f t="shared" si="62"/>
        <v/>
      </c>
      <c r="R781" t="str">
        <f t="shared" si="63"/>
        <v/>
      </c>
      <c r="S781" t="str">
        <f t="shared" si="64"/>
        <v/>
      </c>
      <c r="T781" s="24" t="str">
        <f t="shared" si="65"/>
        <v/>
      </c>
    </row>
    <row r="782" spans="2:20" x14ac:dyDescent="0.4">
      <c r="B782" s="49" t="str" cm="1">
        <f t="array" ref="B782">IFERROR((INDEX($P$4:$T$1000,MATCH(VALUE(LEFT($A782,LEN($A782)-1)),$A$4:$A$1000,0),VALUE(RIGHT($A782,1)))/ INDEX($O$4:$O$1000,MATCH(VALUE(LEFT($A782,LEN($A782)-1)),$A$4:$A$1000))) * INDEX($B$4:$B$1000,MATCH(VALUE(LEFT($A782,LEN($A782)-1)),$A$4:$A$1000)),"")</f>
        <v/>
      </c>
      <c r="C782" s="2" t="str" cm="1">
        <f t="array" ref="C782">IFERROR(IF(INDEX($D$4:$H$1000,MATCH(VALUE(LEFT($A782,LEN($A782)-1)),$A$4:$A$1000,0),VALUE(RIGHT($A782,1)))= 0,"",INDEX($D$4:$H$1000,MATCH(VALUE(LEFT($A782,LEN($A782)-1)),$A$4:$A$1000,0),VALUE(RIGHT($A782,1)))),"")</f>
        <v/>
      </c>
      <c r="D782" s="23" t="str">
        <f>IFERROR(IF(INDEX(使用レシピ!F:F,MATCH(テンプレート!$C782,使用レシピ!$E:$E,0))&lt;&gt;0,INDEX(使用レシピ!F:F,MATCH(テンプレート!$C782,使用レシピ!$E:$E,0)),""),"")</f>
        <v/>
      </c>
      <c r="E782" t="str">
        <f>IFERROR(IF(INDEX(使用レシピ!G:G,MATCH(テンプレート!$C782,使用レシピ!$E:$E,0))&lt;&gt;0,INDEX(使用レシピ!G:G,MATCH(テンプレート!$C782,使用レシピ!$E:$E,0)),""),"")</f>
        <v/>
      </c>
      <c r="F782" t="str">
        <f>IFERROR(IF(INDEX(使用レシピ!H:H,MATCH(テンプレート!$C782,使用レシピ!$E:$E,0))&lt;&gt;0,INDEX(使用レシピ!H:H,MATCH(テンプレート!$C782,使用レシピ!$E:$E,0)),""),"")</f>
        <v/>
      </c>
      <c r="G782" t="str">
        <f>IFERROR(IF(INDEX(使用レシピ!I:I,MATCH(テンプレート!$C782,使用レシピ!$E:$E,0))&lt;&gt;0,INDEX(使用レシピ!I:I,MATCH(テンプレート!$C782,使用レシピ!$E:$E,0)),""),"")</f>
        <v/>
      </c>
      <c r="H782" s="24" t="str">
        <f>IFERROR(IF(INDEX(使用レシピ!J:J,MATCH(テンプレート!$C782,使用レシピ!$E:$E,0))&lt;&gt;0,INDEX(使用レシピ!J:J,MATCH(テンプレート!$C782,使用レシピ!$E:$E,0)),""),"")</f>
        <v/>
      </c>
      <c r="I782" s="36" t="str">
        <f>IFERROR(IF(INDEX(使用レシピ!P:P,MATCH(テンプレート!$C782,使用レシピ!$E:$E,0))&lt;&gt;0,INDEX(使用レシピ!P:P,MATCH(テンプレート!$C782,使用レシピ!$E:$E,0)),""),"")</f>
        <v/>
      </c>
      <c r="J782" t="str">
        <f>IFERROR(IF(INDEX(使用レシピ!K:K,MATCH(テンプレート!$C782,使用レシピ!$E:$E,0))&lt;&gt;0,INDEX(使用レシピ!K:K,MATCH(テンプレート!$C782,使用レシピ!$E:$E,0)),""),"")</f>
        <v/>
      </c>
      <c r="K782" t="str">
        <f>IFERROR(IF(INDEX(使用レシピ!L:L,MATCH(テンプレート!$C782,使用レシピ!$E:$E,0))&lt;&gt;0,INDEX(使用レシピ!L:L,MATCH(テンプレート!$C782,使用レシピ!$E:$E,0)),""),"")</f>
        <v/>
      </c>
      <c r="L782" t="str">
        <f>IFERROR(IF(INDEX(使用レシピ!M:M,MATCH(テンプレート!$C782,使用レシピ!$E:$E,0))&lt;&gt;0,INDEX(使用レシピ!M:M,MATCH(テンプレート!$C782,使用レシピ!$E:$E,0)),""),"")</f>
        <v/>
      </c>
      <c r="M782" t="str">
        <f>IFERROR(IF(INDEX(使用レシピ!N:N,MATCH(テンプレート!$C782,使用レシピ!$E:$E,0))&lt;&gt;0,INDEX(使用レシピ!N:N,MATCH(テンプレート!$C782,使用レシピ!$E:$E,0)),""),"")</f>
        <v/>
      </c>
      <c r="N782" s="24" t="str">
        <f>IFERROR(IF(INDEX(使用レシピ!O:O,MATCH(テンプレート!$C782,使用レシピ!$E:$E,0))&lt;&gt;0,INDEX(使用レシピ!O:O,MATCH(テンプレート!$C782,使用レシピ!$E:$E,0)),""),"")</f>
        <v/>
      </c>
      <c r="O782" s="36" t="str">
        <f>IFERROR(IF(INDEX(使用レシピ!P:P,MATCH(テンプレート!$C782,使用レシピ!$E:$E,0))&lt;&gt;0,INDEX(使用レシピ!P:P,MATCH(テンプレート!$C782,使用レシピ!$E:$E,0)),""),"")</f>
        <v/>
      </c>
      <c r="P782" t="str">
        <f t="shared" si="61"/>
        <v/>
      </c>
      <c r="Q782" t="str">
        <f t="shared" si="62"/>
        <v/>
      </c>
      <c r="R782" t="str">
        <f t="shared" si="63"/>
        <v/>
      </c>
      <c r="S782" t="str">
        <f t="shared" si="64"/>
        <v/>
      </c>
      <c r="T782" s="24" t="str">
        <f t="shared" si="65"/>
        <v/>
      </c>
    </row>
    <row r="783" spans="2:20" x14ac:dyDescent="0.4">
      <c r="B783" s="49" t="str" cm="1">
        <f t="array" ref="B783">IFERROR((INDEX($P$4:$T$1000,MATCH(VALUE(LEFT($A783,LEN($A783)-1)),$A$4:$A$1000,0),VALUE(RIGHT($A783,1)))/ INDEX($O$4:$O$1000,MATCH(VALUE(LEFT($A783,LEN($A783)-1)),$A$4:$A$1000))) * INDEX($B$4:$B$1000,MATCH(VALUE(LEFT($A783,LEN($A783)-1)),$A$4:$A$1000)),"")</f>
        <v/>
      </c>
      <c r="C783" s="2" t="str" cm="1">
        <f t="array" ref="C783">IFERROR(IF(INDEX($D$4:$H$1000,MATCH(VALUE(LEFT($A783,LEN($A783)-1)),$A$4:$A$1000,0),VALUE(RIGHT($A783,1)))= 0,"",INDEX($D$4:$H$1000,MATCH(VALUE(LEFT($A783,LEN($A783)-1)),$A$4:$A$1000,0),VALUE(RIGHT($A783,1)))),"")</f>
        <v/>
      </c>
      <c r="D783" s="23" t="str">
        <f>IFERROR(IF(INDEX(使用レシピ!F:F,MATCH(テンプレート!$C783,使用レシピ!$E:$E,0))&lt;&gt;0,INDEX(使用レシピ!F:F,MATCH(テンプレート!$C783,使用レシピ!$E:$E,0)),""),"")</f>
        <v/>
      </c>
      <c r="E783" t="str">
        <f>IFERROR(IF(INDEX(使用レシピ!G:G,MATCH(テンプレート!$C783,使用レシピ!$E:$E,0))&lt;&gt;0,INDEX(使用レシピ!G:G,MATCH(テンプレート!$C783,使用レシピ!$E:$E,0)),""),"")</f>
        <v/>
      </c>
      <c r="F783" t="str">
        <f>IFERROR(IF(INDEX(使用レシピ!H:H,MATCH(テンプレート!$C783,使用レシピ!$E:$E,0))&lt;&gt;0,INDEX(使用レシピ!H:H,MATCH(テンプレート!$C783,使用レシピ!$E:$E,0)),""),"")</f>
        <v/>
      </c>
      <c r="G783" t="str">
        <f>IFERROR(IF(INDEX(使用レシピ!I:I,MATCH(テンプレート!$C783,使用レシピ!$E:$E,0))&lt;&gt;0,INDEX(使用レシピ!I:I,MATCH(テンプレート!$C783,使用レシピ!$E:$E,0)),""),"")</f>
        <v/>
      </c>
      <c r="H783" s="24" t="str">
        <f>IFERROR(IF(INDEX(使用レシピ!J:J,MATCH(テンプレート!$C783,使用レシピ!$E:$E,0))&lt;&gt;0,INDEX(使用レシピ!J:J,MATCH(テンプレート!$C783,使用レシピ!$E:$E,0)),""),"")</f>
        <v/>
      </c>
      <c r="I783" s="36" t="str">
        <f>IFERROR(IF(INDEX(使用レシピ!P:P,MATCH(テンプレート!$C783,使用レシピ!$E:$E,0))&lt;&gt;0,INDEX(使用レシピ!P:P,MATCH(テンプレート!$C783,使用レシピ!$E:$E,0)),""),"")</f>
        <v/>
      </c>
      <c r="J783" t="str">
        <f>IFERROR(IF(INDEX(使用レシピ!K:K,MATCH(テンプレート!$C783,使用レシピ!$E:$E,0))&lt;&gt;0,INDEX(使用レシピ!K:K,MATCH(テンプレート!$C783,使用レシピ!$E:$E,0)),""),"")</f>
        <v/>
      </c>
      <c r="K783" t="str">
        <f>IFERROR(IF(INDEX(使用レシピ!L:L,MATCH(テンプレート!$C783,使用レシピ!$E:$E,0))&lt;&gt;0,INDEX(使用レシピ!L:L,MATCH(テンプレート!$C783,使用レシピ!$E:$E,0)),""),"")</f>
        <v/>
      </c>
      <c r="L783" t="str">
        <f>IFERROR(IF(INDEX(使用レシピ!M:M,MATCH(テンプレート!$C783,使用レシピ!$E:$E,0))&lt;&gt;0,INDEX(使用レシピ!M:M,MATCH(テンプレート!$C783,使用レシピ!$E:$E,0)),""),"")</f>
        <v/>
      </c>
      <c r="M783" t="str">
        <f>IFERROR(IF(INDEX(使用レシピ!N:N,MATCH(テンプレート!$C783,使用レシピ!$E:$E,0))&lt;&gt;0,INDEX(使用レシピ!N:N,MATCH(テンプレート!$C783,使用レシピ!$E:$E,0)),""),"")</f>
        <v/>
      </c>
      <c r="N783" s="24" t="str">
        <f>IFERROR(IF(INDEX(使用レシピ!O:O,MATCH(テンプレート!$C783,使用レシピ!$E:$E,0))&lt;&gt;0,INDEX(使用レシピ!O:O,MATCH(テンプレート!$C783,使用レシピ!$E:$E,0)),""),"")</f>
        <v/>
      </c>
      <c r="O783" s="36" t="str">
        <f>IFERROR(IF(INDEX(使用レシピ!P:P,MATCH(テンプレート!$C783,使用レシピ!$E:$E,0))&lt;&gt;0,INDEX(使用レシピ!P:P,MATCH(テンプレート!$C783,使用レシピ!$E:$E,0)),""),"")</f>
        <v/>
      </c>
      <c r="P783" t="str">
        <f t="shared" si="61"/>
        <v/>
      </c>
      <c r="Q783" t="str">
        <f t="shared" si="62"/>
        <v/>
      </c>
      <c r="R783" t="str">
        <f t="shared" si="63"/>
        <v/>
      </c>
      <c r="S783" t="str">
        <f t="shared" si="64"/>
        <v/>
      </c>
      <c r="T783" s="24" t="str">
        <f t="shared" si="65"/>
        <v/>
      </c>
    </row>
    <row r="784" spans="2:20" x14ac:dyDescent="0.4">
      <c r="B784" s="49" t="str" cm="1">
        <f t="array" ref="B784">IFERROR((INDEX($P$4:$T$1000,MATCH(VALUE(LEFT($A784,LEN($A784)-1)),$A$4:$A$1000,0),VALUE(RIGHT($A784,1)))/ INDEX($O$4:$O$1000,MATCH(VALUE(LEFT($A784,LEN($A784)-1)),$A$4:$A$1000))) * INDEX($B$4:$B$1000,MATCH(VALUE(LEFT($A784,LEN($A784)-1)),$A$4:$A$1000)),"")</f>
        <v/>
      </c>
      <c r="C784" s="2" t="str" cm="1">
        <f t="array" ref="C784">IFERROR(IF(INDEX($D$4:$H$1000,MATCH(VALUE(LEFT($A784,LEN($A784)-1)),$A$4:$A$1000,0),VALUE(RIGHT($A784,1)))= 0,"",INDEX($D$4:$H$1000,MATCH(VALUE(LEFT($A784,LEN($A784)-1)),$A$4:$A$1000,0),VALUE(RIGHT($A784,1)))),"")</f>
        <v/>
      </c>
      <c r="D784" s="23" t="str">
        <f>IFERROR(IF(INDEX(使用レシピ!F:F,MATCH(テンプレート!$C784,使用レシピ!$E:$E,0))&lt;&gt;0,INDEX(使用レシピ!F:F,MATCH(テンプレート!$C784,使用レシピ!$E:$E,0)),""),"")</f>
        <v/>
      </c>
      <c r="E784" t="str">
        <f>IFERROR(IF(INDEX(使用レシピ!G:G,MATCH(テンプレート!$C784,使用レシピ!$E:$E,0))&lt;&gt;0,INDEX(使用レシピ!G:G,MATCH(テンプレート!$C784,使用レシピ!$E:$E,0)),""),"")</f>
        <v/>
      </c>
      <c r="F784" t="str">
        <f>IFERROR(IF(INDEX(使用レシピ!H:H,MATCH(テンプレート!$C784,使用レシピ!$E:$E,0))&lt;&gt;0,INDEX(使用レシピ!H:H,MATCH(テンプレート!$C784,使用レシピ!$E:$E,0)),""),"")</f>
        <v/>
      </c>
      <c r="G784" t="str">
        <f>IFERROR(IF(INDEX(使用レシピ!I:I,MATCH(テンプレート!$C784,使用レシピ!$E:$E,0))&lt;&gt;0,INDEX(使用レシピ!I:I,MATCH(テンプレート!$C784,使用レシピ!$E:$E,0)),""),"")</f>
        <v/>
      </c>
      <c r="H784" s="24" t="str">
        <f>IFERROR(IF(INDEX(使用レシピ!J:J,MATCH(テンプレート!$C784,使用レシピ!$E:$E,0))&lt;&gt;0,INDEX(使用レシピ!J:J,MATCH(テンプレート!$C784,使用レシピ!$E:$E,0)),""),"")</f>
        <v/>
      </c>
      <c r="I784" s="36" t="str">
        <f>IFERROR(IF(INDEX(使用レシピ!P:P,MATCH(テンプレート!$C784,使用レシピ!$E:$E,0))&lt;&gt;0,INDEX(使用レシピ!P:P,MATCH(テンプレート!$C784,使用レシピ!$E:$E,0)),""),"")</f>
        <v/>
      </c>
      <c r="J784" t="str">
        <f>IFERROR(IF(INDEX(使用レシピ!K:K,MATCH(テンプレート!$C784,使用レシピ!$E:$E,0))&lt;&gt;0,INDEX(使用レシピ!K:K,MATCH(テンプレート!$C784,使用レシピ!$E:$E,0)),""),"")</f>
        <v/>
      </c>
      <c r="K784" t="str">
        <f>IFERROR(IF(INDEX(使用レシピ!L:L,MATCH(テンプレート!$C784,使用レシピ!$E:$E,0))&lt;&gt;0,INDEX(使用レシピ!L:L,MATCH(テンプレート!$C784,使用レシピ!$E:$E,0)),""),"")</f>
        <v/>
      </c>
      <c r="L784" t="str">
        <f>IFERROR(IF(INDEX(使用レシピ!M:M,MATCH(テンプレート!$C784,使用レシピ!$E:$E,0))&lt;&gt;0,INDEX(使用レシピ!M:M,MATCH(テンプレート!$C784,使用レシピ!$E:$E,0)),""),"")</f>
        <v/>
      </c>
      <c r="M784" t="str">
        <f>IFERROR(IF(INDEX(使用レシピ!N:N,MATCH(テンプレート!$C784,使用レシピ!$E:$E,0))&lt;&gt;0,INDEX(使用レシピ!N:N,MATCH(テンプレート!$C784,使用レシピ!$E:$E,0)),""),"")</f>
        <v/>
      </c>
      <c r="N784" s="24" t="str">
        <f>IFERROR(IF(INDEX(使用レシピ!O:O,MATCH(テンプレート!$C784,使用レシピ!$E:$E,0))&lt;&gt;0,INDEX(使用レシピ!O:O,MATCH(テンプレート!$C784,使用レシピ!$E:$E,0)),""),"")</f>
        <v/>
      </c>
      <c r="O784" s="36" t="str">
        <f>IFERROR(IF(INDEX(使用レシピ!P:P,MATCH(テンプレート!$C784,使用レシピ!$E:$E,0))&lt;&gt;0,INDEX(使用レシピ!P:P,MATCH(テンプレート!$C784,使用レシピ!$E:$E,0)),""),"")</f>
        <v/>
      </c>
      <c r="P784" t="str">
        <f t="shared" si="61"/>
        <v/>
      </c>
      <c r="Q784" t="str">
        <f t="shared" si="62"/>
        <v/>
      </c>
      <c r="R784" t="str">
        <f t="shared" si="63"/>
        <v/>
      </c>
      <c r="S784" t="str">
        <f t="shared" si="64"/>
        <v/>
      </c>
      <c r="T784" s="24" t="str">
        <f t="shared" si="65"/>
        <v/>
      </c>
    </row>
    <row r="785" spans="2:20" x14ac:dyDescent="0.4">
      <c r="B785" s="49" t="str" cm="1">
        <f t="array" ref="B785">IFERROR((INDEX($P$4:$T$1000,MATCH(VALUE(LEFT($A785,LEN($A785)-1)),$A$4:$A$1000,0),VALUE(RIGHT($A785,1)))/ INDEX($O$4:$O$1000,MATCH(VALUE(LEFT($A785,LEN($A785)-1)),$A$4:$A$1000))) * INDEX($B$4:$B$1000,MATCH(VALUE(LEFT($A785,LEN($A785)-1)),$A$4:$A$1000)),"")</f>
        <v/>
      </c>
      <c r="C785" s="2" t="str" cm="1">
        <f t="array" ref="C785">IFERROR(IF(INDEX($D$4:$H$1000,MATCH(VALUE(LEFT($A785,LEN($A785)-1)),$A$4:$A$1000,0),VALUE(RIGHT($A785,1)))= 0,"",INDEX($D$4:$H$1000,MATCH(VALUE(LEFT($A785,LEN($A785)-1)),$A$4:$A$1000,0),VALUE(RIGHT($A785,1)))),"")</f>
        <v/>
      </c>
      <c r="D785" s="23" t="str">
        <f>IFERROR(IF(INDEX(使用レシピ!F:F,MATCH(テンプレート!$C785,使用レシピ!$E:$E,0))&lt;&gt;0,INDEX(使用レシピ!F:F,MATCH(テンプレート!$C785,使用レシピ!$E:$E,0)),""),"")</f>
        <v/>
      </c>
      <c r="E785" t="str">
        <f>IFERROR(IF(INDEX(使用レシピ!G:G,MATCH(テンプレート!$C785,使用レシピ!$E:$E,0))&lt;&gt;0,INDEX(使用レシピ!G:G,MATCH(テンプレート!$C785,使用レシピ!$E:$E,0)),""),"")</f>
        <v/>
      </c>
      <c r="F785" t="str">
        <f>IFERROR(IF(INDEX(使用レシピ!H:H,MATCH(テンプレート!$C785,使用レシピ!$E:$E,0))&lt;&gt;0,INDEX(使用レシピ!H:H,MATCH(テンプレート!$C785,使用レシピ!$E:$E,0)),""),"")</f>
        <v/>
      </c>
      <c r="G785" t="str">
        <f>IFERROR(IF(INDEX(使用レシピ!I:I,MATCH(テンプレート!$C785,使用レシピ!$E:$E,0))&lt;&gt;0,INDEX(使用レシピ!I:I,MATCH(テンプレート!$C785,使用レシピ!$E:$E,0)),""),"")</f>
        <v/>
      </c>
      <c r="H785" s="24" t="str">
        <f>IFERROR(IF(INDEX(使用レシピ!J:J,MATCH(テンプレート!$C785,使用レシピ!$E:$E,0))&lt;&gt;0,INDEX(使用レシピ!J:J,MATCH(テンプレート!$C785,使用レシピ!$E:$E,0)),""),"")</f>
        <v/>
      </c>
      <c r="I785" s="36" t="str">
        <f>IFERROR(IF(INDEX(使用レシピ!P:P,MATCH(テンプレート!$C785,使用レシピ!$E:$E,0))&lt;&gt;0,INDEX(使用レシピ!P:P,MATCH(テンプレート!$C785,使用レシピ!$E:$E,0)),""),"")</f>
        <v/>
      </c>
      <c r="J785" t="str">
        <f>IFERROR(IF(INDEX(使用レシピ!K:K,MATCH(テンプレート!$C785,使用レシピ!$E:$E,0))&lt;&gt;0,INDEX(使用レシピ!K:K,MATCH(テンプレート!$C785,使用レシピ!$E:$E,0)),""),"")</f>
        <v/>
      </c>
      <c r="K785" t="str">
        <f>IFERROR(IF(INDEX(使用レシピ!L:L,MATCH(テンプレート!$C785,使用レシピ!$E:$E,0))&lt;&gt;0,INDEX(使用レシピ!L:L,MATCH(テンプレート!$C785,使用レシピ!$E:$E,0)),""),"")</f>
        <v/>
      </c>
      <c r="L785" t="str">
        <f>IFERROR(IF(INDEX(使用レシピ!M:M,MATCH(テンプレート!$C785,使用レシピ!$E:$E,0))&lt;&gt;0,INDEX(使用レシピ!M:M,MATCH(テンプレート!$C785,使用レシピ!$E:$E,0)),""),"")</f>
        <v/>
      </c>
      <c r="M785" t="str">
        <f>IFERROR(IF(INDEX(使用レシピ!N:N,MATCH(テンプレート!$C785,使用レシピ!$E:$E,0))&lt;&gt;0,INDEX(使用レシピ!N:N,MATCH(テンプレート!$C785,使用レシピ!$E:$E,0)),""),"")</f>
        <v/>
      </c>
      <c r="N785" s="24" t="str">
        <f>IFERROR(IF(INDEX(使用レシピ!O:O,MATCH(テンプレート!$C785,使用レシピ!$E:$E,0))&lt;&gt;0,INDEX(使用レシピ!O:O,MATCH(テンプレート!$C785,使用レシピ!$E:$E,0)),""),"")</f>
        <v/>
      </c>
      <c r="O785" s="36" t="str">
        <f>IFERROR(IF(INDEX(使用レシピ!P:P,MATCH(テンプレート!$C785,使用レシピ!$E:$E,0))&lt;&gt;0,INDEX(使用レシピ!P:P,MATCH(テンプレート!$C785,使用レシピ!$E:$E,0)),""),"")</f>
        <v/>
      </c>
      <c r="P785" t="str">
        <f t="shared" si="61"/>
        <v/>
      </c>
      <c r="Q785" t="str">
        <f t="shared" si="62"/>
        <v/>
      </c>
      <c r="R785" t="str">
        <f t="shared" si="63"/>
        <v/>
      </c>
      <c r="S785" t="str">
        <f t="shared" si="64"/>
        <v/>
      </c>
      <c r="T785" s="24" t="str">
        <f t="shared" si="65"/>
        <v/>
      </c>
    </row>
    <row r="786" spans="2:20" x14ac:dyDescent="0.4">
      <c r="B786" s="49" t="str" cm="1">
        <f t="array" ref="B786">IFERROR((INDEX($P$4:$T$1000,MATCH(VALUE(LEFT($A786,LEN($A786)-1)),$A$4:$A$1000,0),VALUE(RIGHT($A786,1)))/ INDEX($O$4:$O$1000,MATCH(VALUE(LEFT($A786,LEN($A786)-1)),$A$4:$A$1000))) * INDEX($B$4:$B$1000,MATCH(VALUE(LEFT($A786,LEN($A786)-1)),$A$4:$A$1000)),"")</f>
        <v/>
      </c>
      <c r="C786" s="2" t="str" cm="1">
        <f t="array" ref="C786">IFERROR(IF(INDEX($D$4:$H$1000,MATCH(VALUE(LEFT($A786,LEN($A786)-1)),$A$4:$A$1000,0),VALUE(RIGHT($A786,1)))= 0,"",INDEX($D$4:$H$1000,MATCH(VALUE(LEFT($A786,LEN($A786)-1)),$A$4:$A$1000,0),VALUE(RIGHT($A786,1)))),"")</f>
        <v/>
      </c>
      <c r="D786" s="23" t="str">
        <f>IFERROR(IF(INDEX(使用レシピ!F:F,MATCH(テンプレート!$C786,使用レシピ!$E:$E,0))&lt;&gt;0,INDEX(使用レシピ!F:F,MATCH(テンプレート!$C786,使用レシピ!$E:$E,0)),""),"")</f>
        <v/>
      </c>
      <c r="E786" t="str">
        <f>IFERROR(IF(INDEX(使用レシピ!G:G,MATCH(テンプレート!$C786,使用レシピ!$E:$E,0))&lt;&gt;0,INDEX(使用レシピ!G:G,MATCH(テンプレート!$C786,使用レシピ!$E:$E,0)),""),"")</f>
        <v/>
      </c>
      <c r="F786" t="str">
        <f>IFERROR(IF(INDEX(使用レシピ!H:H,MATCH(テンプレート!$C786,使用レシピ!$E:$E,0))&lt;&gt;0,INDEX(使用レシピ!H:H,MATCH(テンプレート!$C786,使用レシピ!$E:$E,0)),""),"")</f>
        <v/>
      </c>
      <c r="G786" t="str">
        <f>IFERROR(IF(INDEX(使用レシピ!I:I,MATCH(テンプレート!$C786,使用レシピ!$E:$E,0))&lt;&gt;0,INDEX(使用レシピ!I:I,MATCH(テンプレート!$C786,使用レシピ!$E:$E,0)),""),"")</f>
        <v/>
      </c>
      <c r="H786" s="24" t="str">
        <f>IFERROR(IF(INDEX(使用レシピ!J:J,MATCH(テンプレート!$C786,使用レシピ!$E:$E,0))&lt;&gt;0,INDEX(使用レシピ!J:J,MATCH(テンプレート!$C786,使用レシピ!$E:$E,0)),""),"")</f>
        <v/>
      </c>
      <c r="I786" s="36" t="str">
        <f>IFERROR(IF(INDEX(使用レシピ!P:P,MATCH(テンプレート!$C786,使用レシピ!$E:$E,0))&lt;&gt;0,INDEX(使用レシピ!P:P,MATCH(テンプレート!$C786,使用レシピ!$E:$E,0)),""),"")</f>
        <v/>
      </c>
      <c r="J786" t="str">
        <f>IFERROR(IF(INDEX(使用レシピ!K:K,MATCH(テンプレート!$C786,使用レシピ!$E:$E,0))&lt;&gt;0,INDEX(使用レシピ!K:K,MATCH(テンプレート!$C786,使用レシピ!$E:$E,0)),""),"")</f>
        <v/>
      </c>
      <c r="K786" t="str">
        <f>IFERROR(IF(INDEX(使用レシピ!L:L,MATCH(テンプレート!$C786,使用レシピ!$E:$E,0))&lt;&gt;0,INDEX(使用レシピ!L:L,MATCH(テンプレート!$C786,使用レシピ!$E:$E,0)),""),"")</f>
        <v/>
      </c>
      <c r="L786" t="str">
        <f>IFERROR(IF(INDEX(使用レシピ!M:M,MATCH(テンプレート!$C786,使用レシピ!$E:$E,0))&lt;&gt;0,INDEX(使用レシピ!M:M,MATCH(テンプレート!$C786,使用レシピ!$E:$E,0)),""),"")</f>
        <v/>
      </c>
      <c r="M786" t="str">
        <f>IFERROR(IF(INDEX(使用レシピ!N:N,MATCH(テンプレート!$C786,使用レシピ!$E:$E,0))&lt;&gt;0,INDEX(使用レシピ!N:N,MATCH(テンプレート!$C786,使用レシピ!$E:$E,0)),""),"")</f>
        <v/>
      </c>
      <c r="N786" s="24" t="str">
        <f>IFERROR(IF(INDEX(使用レシピ!O:O,MATCH(テンプレート!$C786,使用レシピ!$E:$E,0))&lt;&gt;0,INDEX(使用レシピ!O:O,MATCH(テンプレート!$C786,使用レシピ!$E:$E,0)),""),"")</f>
        <v/>
      </c>
      <c r="O786" s="36" t="str">
        <f>IFERROR(IF(INDEX(使用レシピ!P:P,MATCH(テンプレート!$C786,使用レシピ!$E:$E,0))&lt;&gt;0,INDEX(使用レシピ!P:P,MATCH(テンプレート!$C786,使用レシピ!$E:$E,0)),""),"")</f>
        <v/>
      </c>
      <c r="P786" t="str">
        <f t="shared" si="61"/>
        <v/>
      </c>
      <c r="Q786" t="str">
        <f t="shared" si="62"/>
        <v/>
      </c>
      <c r="R786" t="str">
        <f t="shared" si="63"/>
        <v/>
      </c>
      <c r="S786" t="str">
        <f t="shared" si="64"/>
        <v/>
      </c>
      <c r="T786" s="24" t="str">
        <f t="shared" si="65"/>
        <v/>
      </c>
    </row>
    <row r="787" spans="2:20" x14ac:dyDescent="0.4">
      <c r="B787" s="49" t="str" cm="1">
        <f t="array" ref="B787">IFERROR((INDEX($P$4:$T$1000,MATCH(VALUE(LEFT($A787,LEN($A787)-1)),$A$4:$A$1000,0),VALUE(RIGHT($A787,1)))/ INDEX($O$4:$O$1000,MATCH(VALUE(LEFT($A787,LEN($A787)-1)),$A$4:$A$1000))) * INDEX($B$4:$B$1000,MATCH(VALUE(LEFT($A787,LEN($A787)-1)),$A$4:$A$1000)),"")</f>
        <v/>
      </c>
      <c r="C787" s="2" t="str" cm="1">
        <f t="array" ref="C787">IFERROR(IF(INDEX($D$4:$H$1000,MATCH(VALUE(LEFT($A787,LEN($A787)-1)),$A$4:$A$1000,0),VALUE(RIGHT($A787,1)))= 0,"",INDEX($D$4:$H$1000,MATCH(VALUE(LEFT($A787,LEN($A787)-1)),$A$4:$A$1000,0),VALUE(RIGHT($A787,1)))),"")</f>
        <v/>
      </c>
      <c r="D787" s="23" t="str">
        <f>IFERROR(IF(INDEX(使用レシピ!F:F,MATCH(テンプレート!$C787,使用レシピ!$E:$E,0))&lt;&gt;0,INDEX(使用レシピ!F:F,MATCH(テンプレート!$C787,使用レシピ!$E:$E,0)),""),"")</f>
        <v/>
      </c>
      <c r="E787" t="str">
        <f>IFERROR(IF(INDEX(使用レシピ!G:G,MATCH(テンプレート!$C787,使用レシピ!$E:$E,0))&lt;&gt;0,INDEX(使用レシピ!G:G,MATCH(テンプレート!$C787,使用レシピ!$E:$E,0)),""),"")</f>
        <v/>
      </c>
      <c r="F787" t="str">
        <f>IFERROR(IF(INDEX(使用レシピ!H:H,MATCH(テンプレート!$C787,使用レシピ!$E:$E,0))&lt;&gt;0,INDEX(使用レシピ!H:H,MATCH(テンプレート!$C787,使用レシピ!$E:$E,0)),""),"")</f>
        <v/>
      </c>
      <c r="G787" t="str">
        <f>IFERROR(IF(INDEX(使用レシピ!I:I,MATCH(テンプレート!$C787,使用レシピ!$E:$E,0))&lt;&gt;0,INDEX(使用レシピ!I:I,MATCH(テンプレート!$C787,使用レシピ!$E:$E,0)),""),"")</f>
        <v/>
      </c>
      <c r="H787" s="24" t="str">
        <f>IFERROR(IF(INDEX(使用レシピ!J:J,MATCH(テンプレート!$C787,使用レシピ!$E:$E,0))&lt;&gt;0,INDEX(使用レシピ!J:J,MATCH(テンプレート!$C787,使用レシピ!$E:$E,0)),""),"")</f>
        <v/>
      </c>
      <c r="I787" s="36" t="str">
        <f>IFERROR(IF(INDEX(使用レシピ!P:P,MATCH(テンプレート!$C787,使用レシピ!$E:$E,0))&lt;&gt;0,INDEX(使用レシピ!P:P,MATCH(テンプレート!$C787,使用レシピ!$E:$E,0)),""),"")</f>
        <v/>
      </c>
      <c r="J787" t="str">
        <f>IFERROR(IF(INDEX(使用レシピ!K:K,MATCH(テンプレート!$C787,使用レシピ!$E:$E,0))&lt;&gt;0,INDEX(使用レシピ!K:K,MATCH(テンプレート!$C787,使用レシピ!$E:$E,0)),""),"")</f>
        <v/>
      </c>
      <c r="K787" t="str">
        <f>IFERROR(IF(INDEX(使用レシピ!L:L,MATCH(テンプレート!$C787,使用レシピ!$E:$E,0))&lt;&gt;0,INDEX(使用レシピ!L:L,MATCH(テンプレート!$C787,使用レシピ!$E:$E,0)),""),"")</f>
        <v/>
      </c>
      <c r="L787" t="str">
        <f>IFERROR(IF(INDEX(使用レシピ!M:M,MATCH(テンプレート!$C787,使用レシピ!$E:$E,0))&lt;&gt;0,INDEX(使用レシピ!M:M,MATCH(テンプレート!$C787,使用レシピ!$E:$E,0)),""),"")</f>
        <v/>
      </c>
      <c r="M787" t="str">
        <f>IFERROR(IF(INDEX(使用レシピ!N:N,MATCH(テンプレート!$C787,使用レシピ!$E:$E,0))&lt;&gt;0,INDEX(使用レシピ!N:N,MATCH(テンプレート!$C787,使用レシピ!$E:$E,0)),""),"")</f>
        <v/>
      </c>
      <c r="N787" s="24" t="str">
        <f>IFERROR(IF(INDEX(使用レシピ!O:O,MATCH(テンプレート!$C787,使用レシピ!$E:$E,0))&lt;&gt;0,INDEX(使用レシピ!O:O,MATCH(テンプレート!$C787,使用レシピ!$E:$E,0)),""),"")</f>
        <v/>
      </c>
      <c r="O787" s="36" t="str">
        <f>IFERROR(IF(INDEX(使用レシピ!P:P,MATCH(テンプレート!$C787,使用レシピ!$E:$E,0))&lt;&gt;0,INDEX(使用レシピ!P:P,MATCH(テンプレート!$C787,使用レシピ!$E:$E,0)),""),"")</f>
        <v/>
      </c>
      <c r="P787" t="str">
        <f t="shared" si="61"/>
        <v/>
      </c>
      <c r="Q787" t="str">
        <f t="shared" si="62"/>
        <v/>
      </c>
      <c r="R787" t="str">
        <f t="shared" si="63"/>
        <v/>
      </c>
      <c r="S787" t="str">
        <f t="shared" si="64"/>
        <v/>
      </c>
      <c r="T787" s="24" t="str">
        <f t="shared" si="65"/>
        <v/>
      </c>
    </row>
    <row r="788" spans="2:20" x14ac:dyDescent="0.4">
      <c r="B788" s="49" t="str" cm="1">
        <f t="array" ref="B788">IFERROR((INDEX($P$4:$T$1000,MATCH(VALUE(LEFT($A788,LEN($A788)-1)),$A$4:$A$1000,0),VALUE(RIGHT($A788,1)))/ INDEX($O$4:$O$1000,MATCH(VALUE(LEFT($A788,LEN($A788)-1)),$A$4:$A$1000))) * INDEX($B$4:$B$1000,MATCH(VALUE(LEFT($A788,LEN($A788)-1)),$A$4:$A$1000)),"")</f>
        <v/>
      </c>
      <c r="C788" s="2" t="str" cm="1">
        <f t="array" ref="C788">IFERROR(IF(INDEX($D$4:$H$1000,MATCH(VALUE(LEFT($A788,LEN($A788)-1)),$A$4:$A$1000,0),VALUE(RIGHT($A788,1)))= 0,"",INDEX($D$4:$H$1000,MATCH(VALUE(LEFT($A788,LEN($A788)-1)),$A$4:$A$1000,0),VALUE(RIGHT($A788,1)))),"")</f>
        <v/>
      </c>
      <c r="D788" s="23" t="str">
        <f>IFERROR(IF(INDEX(使用レシピ!F:F,MATCH(テンプレート!$C788,使用レシピ!$E:$E,0))&lt;&gt;0,INDEX(使用レシピ!F:F,MATCH(テンプレート!$C788,使用レシピ!$E:$E,0)),""),"")</f>
        <v/>
      </c>
      <c r="E788" t="str">
        <f>IFERROR(IF(INDEX(使用レシピ!G:G,MATCH(テンプレート!$C788,使用レシピ!$E:$E,0))&lt;&gt;0,INDEX(使用レシピ!G:G,MATCH(テンプレート!$C788,使用レシピ!$E:$E,0)),""),"")</f>
        <v/>
      </c>
      <c r="F788" t="str">
        <f>IFERROR(IF(INDEX(使用レシピ!H:H,MATCH(テンプレート!$C788,使用レシピ!$E:$E,0))&lt;&gt;0,INDEX(使用レシピ!H:H,MATCH(テンプレート!$C788,使用レシピ!$E:$E,0)),""),"")</f>
        <v/>
      </c>
      <c r="G788" t="str">
        <f>IFERROR(IF(INDEX(使用レシピ!I:I,MATCH(テンプレート!$C788,使用レシピ!$E:$E,0))&lt;&gt;0,INDEX(使用レシピ!I:I,MATCH(テンプレート!$C788,使用レシピ!$E:$E,0)),""),"")</f>
        <v/>
      </c>
      <c r="H788" s="24" t="str">
        <f>IFERROR(IF(INDEX(使用レシピ!J:J,MATCH(テンプレート!$C788,使用レシピ!$E:$E,0))&lt;&gt;0,INDEX(使用レシピ!J:J,MATCH(テンプレート!$C788,使用レシピ!$E:$E,0)),""),"")</f>
        <v/>
      </c>
      <c r="I788" s="36" t="str">
        <f>IFERROR(IF(INDEX(使用レシピ!P:P,MATCH(テンプレート!$C788,使用レシピ!$E:$E,0))&lt;&gt;0,INDEX(使用レシピ!P:P,MATCH(テンプレート!$C788,使用レシピ!$E:$E,0)),""),"")</f>
        <v/>
      </c>
      <c r="J788" t="str">
        <f>IFERROR(IF(INDEX(使用レシピ!K:K,MATCH(テンプレート!$C788,使用レシピ!$E:$E,0))&lt;&gt;0,INDEX(使用レシピ!K:K,MATCH(テンプレート!$C788,使用レシピ!$E:$E,0)),""),"")</f>
        <v/>
      </c>
      <c r="K788" t="str">
        <f>IFERROR(IF(INDEX(使用レシピ!L:L,MATCH(テンプレート!$C788,使用レシピ!$E:$E,0))&lt;&gt;0,INDEX(使用レシピ!L:L,MATCH(テンプレート!$C788,使用レシピ!$E:$E,0)),""),"")</f>
        <v/>
      </c>
      <c r="L788" t="str">
        <f>IFERROR(IF(INDEX(使用レシピ!M:M,MATCH(テンプレート!$C788,使用レシピ!$E:$E,0))&lt;&gt;0,INDEX(使用レシピ!M:M,MATCH(テンプレート!$C788,使用レシピ!$E:$E,0)),""),"")</f>
        <v/>
      </c>
      <c r="M788" t="str">
        <f>IFERROR(IF(INDEX(使用レシピ!N:N,MATCH(テンプレート!$C788,使用レシピ!$E:$E,0))&lt;&gt;0,INDEX(使用レシピ!N:N,MATCH(テンプレート!$C788,使用レシピ!$E:$E,0)),""),"")</f>
        <v/>
      </c>
      <c r="N788" s="24" t="str">
        <f>IFERROR(IF(INDEX(使用レシピ!O:O,MATCH(テンプレート!$C788,使用レシピ!$E:$E,0))&lt;&gt;0,INDEX(使用レシピ!O:O,MATCH(テンプレート!$C788,使用レシピ!$E:$E,0)),""),"")</f>
        <v/>
      </c>
      <c r="O788" s="36" t="str">
        <f>IFERROR(IF(INDEX(使用レシピ!P:P,MATCH(テンプレート!$C788,使用レシピ!$E:$E,0))&lt;&gt;0,INDEX(使用レシピ!P:P,MATCH(テンプレート!$C788,使用レシピ!$E:$E,0)),""),"")</f>
        <v/>
      </c>
      <c r="P788" t="str">
        <f t="shared" si="61"/>
        <v/>
      </c>
      <c r="Q788" t="str">
        <f t="shared" si="62"/>
        <v/>
      </c>
      <c r="R788" t="str">
        <f t="shared" si="63"/>
        <v/>
      </c>
      <c r="S788" t="str">
        <f t="shared" si="64"/>
        <v/>
      </c>
      <c r="T788" s="24" t="str">
        <f t="shared" si="65"/>
        <v/>
      </c>
    </row>
    <row r="789" spans="2:20" x14ac:dyDescent="0.4">
      <c r="B789" s="49" t="str" cm="1">
        <f t="array" ref="B789">IFERROR((INDEX($P$4:$T$1000,MATCH(VALUE(LEFT($A789,LEN($A789)-1)),$A$4:$A$1000,0),VALUE(RIGHT($A789,1)))/ INDEX($O$4:$O$1000,MATCH(VALUE(LEFT($A789,LEN($A789)-1)),$A$4:$A$1000))) * INDEX($B$4:$B$1000,MATCH(VALUE(LEFT($A789,LEN($A789)-1)),$A$4:$A$1000)),"")</f>
        <v/>
      </c>
      <c r="C789" s="2" t="str" cm="1">
        <f t="array" ref="C789">IFERROR(IF(INDEX($D$4:$H$1000,MATCH(VALUE(LEFT($A789,LEN($A789)-1)),$A$4:$A$1000,0),VALUE(RIGHT($A789,1)))= 0,"",INDEX($D$4:$H$1000,MATCH(VALUE(LEFT($A789,LEN($A789)-1)),$A$4:$A$1000,0),VALUE(RIGHT($A789,1)))),"")</f>
        <v/>
      </c>
      <c r="D789" s="23" t="str">
        <f>IFERROR(IF(INDEX(使用レシピ!F:F,MATCH(テンプレート!$C789,使用レシピ!$E:$E,0))&lt;&gt;0,INDEX(使用レシピ!F:F,MATCH(テンプレート!$C789,使用レシピ!$E:$E,0)),""),"")</f>
        <v/>
      </c>
      <c r="E789" t="str">
        <f>IFERROR(IF(INDEX(使用レシピ!G:G,MATCH(テンプレート!$C789,使用レシピ!$E:$E,0))&lt;&gt;0,INDEX(使用レシピ!G:G,MATCH(テンプレート!$C789,使用レシピ!$E:$E,0)),""),"")</f>
        <v/>
      </c>
      <c r="F789" t="str">
        <f>IFERROR(IF(INDEX(使用レシピ!H:H,MATCH(テンプレート!$C789,使用レシピ!$E:$E,0))&lt;&gt;0,INDEX(使用レシピ!H:H,MATCH(テンプレート!$C789,使用レシピ!$E:$E,0)),""),"")</f>
        <v/>
      </c>
      <c r="G789" t="str">
        <f>IFERROR(IF(INDEX(使用レシピ!I:I,MATCH(テンプレート!$C789,使用レシピ!$E:$E,0))&lt;&gt;0,INDEX(使用レシピ!I:I,MATCH(テンプレート!$C789,使用レシピ!$E:$E,0)),""),"")</f>
        <v/>
      </c>
      <c r="H789" s="24" t="str">
        <f>IFERROR(IF(INDEX(使用レシピ!J:J,MATCH(テンプレート!$C789,使用レシピ!$E:$E,0))&lt;&gt;0,INDEX(使用レシピ!J:J,MATCH(テンプレート!$C789,使用レシピ!$E:$E,0)),""),"")</f>
        <v/>
      </c>
      <c r="I789" s="36" t="str">
        <f>IFERROR(IF(INDEX(使用レシピ!P:P,MATCH(テンプレート!$C789,使用レシピ!$E:$E,0))&lt;&gt;0,INDEX(使用レシピ!P:P,MATCH(テンプレート!$C789,使用レシピ!$E:$E,0)),""),"")</f>
        <v/>
      </c>
      <c r="J789" t="str">
        <f>IFERROR(IF(INDEX(使用レシピ!K:K,MATCH(テンプレート!$C789,使用レシピ!$E:$E,0))&lt;&gt;0,INDEX(使用レシピ!K:K,MATCH(テンプレート!$C789,使用レシピ!$E:$E,0)),""),"")</f>
        <v/>
      </c>
      <c r="K789" t="str">
        <f>IFERROR(IF(INDEX(使用レシピ!L:L,MATCH(テンプレート!$C789,使用レシピ!$E:$E,0))&lt;&gt;0,INDEX(使用レシピ!L:L,MATCH(テンプレート!$C789,使用レシピ!$E:$E,0)),""),"")</f>
        <v/>
      </c>
      <c r="L789" t="str">
        <f>IFERROR(IF(INDEX(使用レシピ!M:M,MATCH(テンプレート!$C789,使用レシピ!$E:$E,0))&lt;&gt;0,INDEX(使用レシピ!M:M,MATCH(テンプレート!$C789,使用レシピ!$E:$E,0)),""),"")</f>
        <v/>
      </c>
      <c r="M789" t="str">
        <f>IFERROR(IF(INDEX(使用レシピ!N:N,MATCH(テンプレート!$C789,使用レシピ!$E:$E,0))&lt;&gt;0,INDEX(使用レシピ!N:N,MATCH(テンプレート!$C789,使用レシピ!$E:$E,0)),""),"")</f>
        <v/>
      </c>
      <c r="N789" s="24" t="str">
        <f>IFERROR(IF(INDEX(使用レシピ!O:O,MATCH(テンプレート!$C789,使用レシピ!$E:$E,0))&lt;&gt;0,INDEX(使用レシピ!O:O,MATCH(テンプレート!$C789,使用レシピ!$E:$E,0)),""),"")</f>
        <v/>
      </c>
      <c r="O789" s="36" t="str">
        <f>IFERROR(IF(INDEX(使用レシピ!P:P,MATCH(テンプレート!$C789,使用レシピ!$E:$E,0))&lt;&gt;0,INDEX(使用レシピ!P:P,MATCH(テンプレート!$C789,使用レシピ!$E:$E,0)),""),"")</f>
        <v/>
      </c>
      <c r="P789" t="str">
        <f t="shared" si="61"/>
        <v/>
      </c>
      <c r="Q789" t="str">
        <f t="shared" si="62"/>
        <v/>
      </c>
      <c r="R789" t="str">
        <f t="shared" si="63"/>
        <v/>
      </c>
      <c r="S789" t="str">
        <f t="shared" si="64"/>
        <v/>
      </c>
      <c r="T789" s="24" t="str">
        <f t="shared" si="65"/>
        <v/>
      </c>
    </row>
    <row r="790" spans="2:20" x14ac:dyDescent="0.4">
      <c r="B790" s="49" t="str" cm="1">
        <f t="array" ref="B790">IFERROR((INDEX($P$4:$T$1000,MATCH(VALUE(LEFT($A790,LEN($A790)-1)),$A$4:$A$1000,0),VALUE(RIGHT($A790,1)))/ INDEX($O$4:$O$1000,MATCH(VALUE(LEFT($A790,LEN($A790)-1)),$A$4:$A$1000))) * INDEX($B$4:$B$1000,MATCH(VALUE(LEFT($A790,LEN($A790)-1)),$A$4:$A$1000)),"")</f>
        <v/>
      </c>
      <c r="C790" s="2" t="str" cm="1">
        <f t="array" ref="C790">IFERROR(IF(INDEX($D$4:$H$1000,MATCH(VALUE(LEFT($A790,LEN($A790)-1)),$A$4:$A$1000,0),VALUE(RIGHT($A790,1)))= 0,"",INDEX($D$4:$H$1000,MATCH(VALUE(LEFT($A790,LEN($A790)-1)),$A$4:$A$1000,0),VALUE(RIGHT($A790,1)))),"")</f>
        <v/>
      </c>
      <c r="D790" s="23" t="str">
        <f>IFERROR(IF(INDEX(使用レシピ!F:F,MATCH(テンプレート!$C790,使用レシピ!$E:$E,0))&lt;&gt;0,INDEX(使用レシピ!F:F,MATCH(テンプレート!$C790,使用レシピ!$E:$E,0)),""),"")</f>
        <v/>
      </c>
      <c r="E790" t="str">
        <f>IFERROR(IF(INDEX(使用レシピ!G:G,MATCH(テンプレート!$C790,使用レシピ!$E:$E,0))&lt;&gt;0,INDEX(使用レシピ!G:G,MATCH(テンプレート!$C790,使用レシピ!$E:$E,0)),""),"")</f>
        <v/>
      </c>
      <c r="F790" t="str">
        <f>IFERROR(IF(INDEX(使用レシピ!H:H,MATCH(テンプレート!$C790,使用レシピ!$E:$E,0))&lt;&gt;0,INDEX(使用レシピ!H:H,MATCH(テンプレート!$C790,使用レシピ!$E:$E,0)),""),"")</f>
        <v/>
      </c>
      <c r="G790" t="str">
        <f>IFERROR(IF(INDEX(使用レシピ!I:I,MATCH(テンプレート!$C790,使用レシピ!$E:$E,0))&lt;&gt;0,INDEX(使用レシピ!I:I,MATCH(テンプレート!$C790,使用レシピ!$E:$E,0)),""),"")</f>
        <v/>
      </c>
      <c r="H790" s="24" t="str">
        <f>IFERROR(IF(INDEX(使用レシピ!J:J,MATCH(テンプレート!$C790,使用レシピ!$E:$E,0))&lt;&gt;0,INDEX(使用レシピ!J:J,MATCH(テンプレート!$C790,使用レシピ!$E:$E,0)),""),"")</f>
        <v/>
      </c>
      <c r="I790" s="36" t="str">
        <f>IFERROR(IF(INDEX(使用レシピ!P:P,MATCH(テンプレート!$C790,使用レシピ!$E:$E,0))&lt;&gt;0,INDEX(使用レシピ!P:P,MATCH(テンプレート!$C790,使用レシピ!$E:$E,0)),""),"")</f>
        <v/>
      </c>
      <c r="J790" t="str">
        <f>IFERROR(IF(INDEX(使用レシピ!K:K,MATCH(テンプレート!$C790,使用レシピ!$E:$E,0))&lt;&gt;0,INDEX(使用レシピ!K:K,MATCH(テンプレート!$C790,使用レシピ!$E:$E,0)),""),"")</f>
        <v/>
      </c>
      <c r="K790" t="str">
        <f>IFERROR(IF(INDEX(使用レシピ!L:L,MATCH(テンプレート!$C790,使用レシピ!$E:$E,0))&lt;&gt;0,INDEX(使用レシピ!L:L,MATCH(テンプレート!$C790,使用レシピ!$E:$E,0)),""),"")</f>
        <v/>
      </c>
      <c r="L790" t="str">
        <f>IFERROR(IF(INDEX(使用レシピ!M:M,MATCH(テンプレート!$C790,使用レシピ!$E:$E,0))&lt;&gt;0,INDEX(使用レシピ!M:M,MATCH(テンプレート!$C790,使用レシピ!$E:$E,0)),""),"")</f>
        <v/>
      </c>
      <c r="M790" t="str">
        <f>IFERROR(IF(INDEX(使用レシピ!N:N,MATCH(テンプレート!$C790,使用レシピ!$E:$E,0))&lt;&gt;0,INDEX(使用レシピ!N:N,MATCH(テンプレート!$C790,使用レシピ!$E:$E,0)),""),"")</f>
        <v/>
      </c>
      <c r="N790" s="24" t="str">
        <f>IFERROR(IF(INDEX(使用レシピ!O:O,MATCH(テンプレート!$C790,使用レシピ!$E:$E,0))&lt;&gt;0,INDEX(使用レシピ!O:O,MATCH(テンプレート!$C790,使用レシピ!$E:$E,0)),""),"")</f>
        <v/>
      </c>
      <c r="O790" s="36" t="str">
        <f>IFERROR(IF(INDEX(使用レシピ!P:P,MATCH(テンプレート!$C790,使用レシピ!$E:$E,0))&lt;&gt;0,INDEX(使用レシピ!P:P,MATCH(テンプレート!$C790,使用レシピ!$E:$E,0)),""),"")</f>
        <v/>
      </c>
      <c r="P790" t="str">
        <f t="shared" si="61"/>
        <v/>
      </c>
      <c r="Q790" t="str">
        <f t="shared" si="62"/>
        <v/>
      </c>
      <c r="R790" t="str">
        <f t="shared" si="63"/>
        <v/>
      </c>
      <c r="S790" t="str">
        <f t="shared" si="64"/>
        <v/>
      </c>
      <c r="T790" s="24" t="str">
        <f t="shared" si="65"/>
        <v/>
      </c>
    </row>
    <row r="791" spans="2:20" x14ac:dyDescent="0.4">
      <c r="B791" s="49" t="str" cm="1">
        <f t="array" ref="B791">IFERROR((INDEX($P$4:$T$1000,MATCH(VALUE(LEFT($A791,LEN($A791)-1)),$A$4:$A$1000,0),VALUE(RIGHT($A791,1)))/ INDEX($O$4:$O$1000,MATCH(VALUE(LEFT($A791,LEN($A791)-1)),$A$4:$A$1000))) * INDEX($B$4:$B$1000,MATCH(VALUE(LEFT($A791,LEN($A791)-1)),$A$4:$A$1000)),"")</f>
        <v/>
      </c>
      <c r="C791" s="2" t="str" cm="1">
        <f t="array" ref="C791">IFERROR(IF(INDEX($D$4:$H$1000,MATCH(VALUE(LEFT($A791,LEN($A791)-1)),$A$4:$A$1000,0),VALUE(RIGHT($A791,1)))= 0,"",INDEX($D$4:$H$1000,MATCH(VALUE(LEFT($A791,LEN($A791)-1)),$A$4:$A$1000,0),VALUE(RIGHT($A791,1)))),"")</f>
        <v/>
      </c>
      <c r="D791" s="23" t="str">
        <f>IFERROR(IF(INDEX(使用レシピ!F:F,MATCH(テンプレート!$C791,使用レシピ!$E:$E,0))&lt;&gt;0,INDEX(使用レシピ!F:F,MATCH(テンプレート!$C791,使用レシピ!$E:$E,0)),""),"")</f>
        <v/>
      </c>
      <c r="E791" t="str">
        <f>IFERROR(IF(INDEX(使用レシピ!G:G,MATCH(テンプレート!$C791,使用レシピ!$E:$E,0))&lt;&gt;0,INDEX(使用レシピ!G:G,MATCH(テンプレート!$C791,使用レシピ!$E:$E,0)),""),"")</f>
        <v/>
      </c>
      <c r="F791" t="str">
        <f>IFERROR(IF(INDEX(使用レシピ!H:H,MATCH(テンプレート!$C791,使用レシピ!$E:$E,0))&lt;&gt;0,INDEX(使用レシピ!H:H,MATCH(テンプレート!$C791,使用レシピ!$E:$E,0)),""),"")</f>
        <v/>
      </c>
      <c r="G791" t="str">
        <f>IFERROR(IF(INDEX(使用レシピ!I:I,MATCH(テンプレート!$C791,使用レシピ!$E:$E,0))&lt;&gt;0,INDEX(使用レシピ!I:I,MATCH(テンプレート!$C791,使用レシピ!$E:$E,0)),""),"")</f>
        <v/>
      </c>
      <c r="H791" s="24" t="str">
        <f>IFERROR(IF(INDEX(使用レシピ!J:J,MATCH(テンプレート!$C791,使用レシピ!$E:$E,0))&lt;&gt;0,INDEX(使用レシピ!J:J,MATCH(テンプレート!$C791,使用レシピ!$E:$E,0)),""),"")</f>
        <v/>
      </c>
      <c r="I791" s="36" t="str">
        <f>IFERROR(IF(INDEX(使用レシピ!P:P,MATCH(テンプレート!$C791,使用レシピ!$E:$E,0))&lt;&gt;0,INDEX(使用レシピ!P:P,MATCH(テンプレート!$C791,使用レシピ!$E:$E,0)),""),"")</f>
        <v/>
      </c>
      <c r="J791" t="str">
        <f>IFERROR(IF(INDEX(使用レシピ!K:K,MATCH(テンプレート!$C791,使用レシピ!$E:$E,0))&lt;&gt;0,INDEX(使用レシピ!K:K,MATCH(テンプレート!$C791,使用レシピ!$E:$E,0)),""),"")</f>
        <v/>
      </c>
      <c r="K791" t="str">
        <f>IFERROR(IF(INDEX(使用レシピ!L:L,MATCH(テンプレート!$C791,使用レシピ!$E:$E,0))&lt;&gt;0,INDEX(使用レシピ!L:L,MATCH(テンプレート!$C791,使用レシピ!$E:$E,0)),""),"")</f>
        <v/>
      </c>
      <c r="L791" t="str">
        <f>IFERROR(IF(INDEX(使用レシピ!M:M,MATCH(テンプレート!$C791,使用レシピ!$E:$E,0))&lt;&gt;0,INDEX(使用レシピ!M:M,MATCH(テンプレート!$C791,使用レシピ!$E:$E,0)),""),"")</f>
        <v/>
      </c>
      <c r="M791" t="str">
        <f>IFERROR(IF(INDEX(使用レシピ!N:N,MATCH(テンプレート!$C791,使用レシピ!$E:$E,0))&lt;&gt;0,INDEX(使用レシピ!N:N,MATCH(テンプレート!$C791,使用レシピ!$E:$E,0)),""),"")</f>
        <v/>
      </c>
      <c r="N791" s="24" t="str">
        <f>IFERROR(IF(INDEX(使用レシピ!O:O,MATCH(テンプレート!$C791,使用レシピ!$E:$E,0))&lt;&gt;0,INDEX(使用レシピ!O:O,MATCH(テンプレート!$C791,使用レシピ!$E:$E,0)),""),"")</f>
        <v/>
      </c>
      <c r="O791" s="36" t="str">
        <f>IFERROR(IF(INDEX(使用レシピ!P:P,MATCH(テンプレート!$C791,使用レシピ!$E:$E,0))&lt;&gt;0,INDEX(使用レシピ!P:P,MATCH(テンプレート!$C791,使用レシピ!$E:$E,0)),""),"")</f>
        <v/>
      </c>
      <c r="P791" t="str">
        <f t="shared" si="61"/>
        <v/>
      </c>
      <c r="Q791" t="str">
        <f t="shared" si="62"/>
        <v/>
      </c>
      <c r="R791" t="str">
        <f t="shared" si="63"/>
        <v/>
      </c>
      <c r="S791" t="str">
        <f t="shared" si="64"/>
        <v/>
      </c>
      <c r="T791" s="24" t="str">
        <f t="shared" si="65"/>
        <v/>
      </c>
    </row>
    <row r="792" spans="2:20" x14ac:dyDescent="0.4">
      <c r="B792" s="49" t="str" cm="1">
        <f t="array" ref="B792">IFERROR((INDEX($P$4:$T$1000,MATCH(VALUE(LEFT($A792,LEN($A792)-1)),$A$4:$A$1000,0),VALUE(RIGHT($A792,1)))/ INDEX($O$4:$O$1000,MATCH(VALUE(LEFT($A792,LEN($A792)-1)),$A$4:$A$1000))) * INDEX($B$4:$B$1000,MATCH(VALUE(LEFT($A792,LEN($A792)-1)),$A$4:$A$1000)),"")</f>
        <v/>
      </c>
      <c r="C792" s="2" t="str" cm="1">
        <f t="array" ref="C792">IFERROR(IF(INDEX($D$4:$H$1000,MATCH(VALUE(LEFT($A792,LEN($A792)-1)),$A$4:$A$1000,0),VALUE(RIGHT($A792,1)))= 0,"",INDEX($D$4:$H$1000,MATCH(VALUE(LEFT($A792,LEN($A792)-1)),$A$4:$A$1000,0),VALUE(RIGHT($A792,1)))),"")</f>
        <v/>
      </c>
      <c r="D792" s="23" t="str">
        <f>IFERROR(IF(INDEX(使用レシピ!F:F,MATCH(テンプレート!$C792,使用レシピ!$E:$E,0))&lt;&gt;0,INDEX(使用レシピ!F:F,MATCH(テンプレート!$C792,使用レシピ!$E:$E,0)),""),"")</f>
        <v/>
      </c>
      <c r="E792" t="str">
        <f>IFERROR(IF(INDEX(使用レシピ!G:G,MATCH(テンプレート!$C792,使用レシピ!$E:$E,0))&lt;&gt;0,INDEX(使用レシピ!G:G,MATCH(テンプレート!$C792,使用レシピ!$E:$E,0)),""),"")</f>
        <v/>
      </c>
      <c r="F792" t="str">
        <f>IFERROR(IF(INDEX(使用レシピ!H:H,MATCH(テンプレート!$C792,使用レシピ!$E:$E,0))&lt;&gt;0,INDEX(使用レシピ!H:H,MATCH(テンプレート!$C792,使用レシピ!$E:$E,0)),""),"")</f>
        <v/>
      </c>
      <c r="G792" t="str">
        <f>IFERROR(IF(INDEX(使用レシピ!I:I,MATCH(テンプレート!$C792,使用レシピ!$E:$E,0))&lt;&gt;0,INDEX(使用レシピ!I:I,MATCH(テンプレート!$C792,使用レシピ!$E:$E,0)),""),"")</f>
        <v/>
      </c>
      <c r="H792" s="24" t="str">
        <f>IFERROR(IF(INDEX(使用レシピ!J:J,MATCH(テンプレート!$C792,使用レシピ!$E:$E,0))&lt;&gt;0,INDEX(使用レシピ!J:J,MATCH(テンプレート!$C792,使用レシピ!$E:$E,0)),""),"")</f>
        <v/>
      </c>
      <c r="I792" s="36" t="str">
        <f>IFERROR(IF(INDEX(使用レシピ!P:P,MATCH(テンプレート!$C792,使用レシピ!$E:$E,0))&lt;&gt;0,INDEX(使用レシピ!P:P,MATCH(テンプレート!$C792,使用レシピ!$E:$E,0)),""),"")</f>
        <v/>
      </c>
      <c r="J792" t="str">
        <f>IFERROR(IF(INDEX(使用レシピ!K:K,MATCH(テンプレート!$C792,使用レシピ!$E:$E,0))&lt;&gt;0,INDEX(使用レシピ!K:K,MATCH(テンプレート!$C792,使用レシピ!$E:$E,0)),""),"")</f>
        <v/>
      </c>
      <c r="K792" t="str">
        <f>IFERROR(IF(INDEX(使用レシピ!L:L,MATCH(テンプレート!$C792,使用レシピ!$E:$E,0))&lt;&gt;0,INDEX(使用レシピ!L:L,MATCH(テンプレート!$C792,使用レシピ!$E:$E,0)),""),"")</f>
        <v/>
      </c>
      <c r="L792" t="str">
        <f>IFERROR(IF(INDEX(使用レシピ!M:M,MATCH(テンプレート!$C792,使用レシピ!$E:$E,0))&lt;&gt;0,INDEX(使用レシピ!M:M,MATCH(テンプレート!$C792,使用レシピ!$E:$E,0)),""),"")</f>
        <v/>
      </c>
      <c r="M792" t="str">
        <f>IFERROR(IF(INDEX(使用レシピ!N:N,MATCH(テンプレート!$C792,使用レシピ!$E:$E,0))&lt;&gt;0,INDEX(使用レシピ!N:N,MATCH(テンプレート!$C792,使用レシピ!$E:$E,0)),""),"")</f>
        <v/>
      </c>
      <c r="N792" s="24" t="str">
        <f>IFERROR(IF(INDEX(使用レシピ!O:O,MATCH(テンプレート!$C792,使用レシピ!$E:$E,0))&lt;&gt;0,INDEX(使用レシピ!O:O,MATCH(テンプレート!$C792,使用レシピ!$E:$E,0)),""),"")</f>
        <v/>
      </c>
      <c r="O792" s="36" t="str">
        <f>IFERROR(IF(INDEX(使用レシピ!P:P,MATCH(テンプレート!$C792,使用レシピ!$E:$E,0))&lt;&gt;0,INDEX(使用レシピ!P:P,MATCH(テンプレート!$C792,使用レシピ!$E:$E,0)),""),"")</f>
        <v/>
      </c>
      <c r="P792" t="str">
        <f t="shared" si="61"/>
        <v/>
      </c>
      <c r="Q792" t="str">
        <f t="shared" si="62"/>
        <v/>
      </c>
      <c r="R792" t="str">
        <f t="shared" si="63"/>
        <v/>
      </c>
      <c r="S792" t="str">
        <f t="shared" si="64"/>
        <v/>
      </c>
      <c r="T792" s="24" t="str">
        <f t="shared" si="65"/>
        <v/>
      </c>
    </row>
    <row r="793" spans="2:20" x14ac:dyDescent="0.4">
      <c r="B793" s="49" t="str" cm="1">
        <f t="array" ref="B793">IFERROR((INDEX($P$4:$T$1000,MATCH(VALUE(LEFT($A793,LEN($A793)-1)),$A$4:$A$1000,0),VALUE(RIGHT($A793,1)))/ INDEX($O$4:$O$1000,MATCH(VALUE(LEFT($A793,LEN($A793)-1)),$A$4:$A$1000))) * INDEX($B$4:$B$1000,MATCH(VALUE(LEFT($A793,LEN($A793)-1)),$A$4:$A$1000)),"")</f>
        <v/>
      </c>
      <c r="C793" s="2" t="str" cm="1">
        <f t="array" ref="C793">IFERROR(IF(INDEX($D$4:$H$1000,MATCH(VALUE(LEFT($A793,LEN($A793)-1)),$A$4:$A$1000,0),VALUE(RIGHT($A793,1)))= 0,"",INDEX($D$4:$H$1000,MATCH(VALUE(LEFT($A793,LEN($A793)-1)),$A$4:$A$1000,0),VALUE(RIGHT($A793,1)))),"")</f>
        <v/>
      </c>
      <c r="D793" s="23" t="str">
        <f>IFERROR(IF(INDEX(使用レシピ!F:F,MATCH(テンプレート!$C793,使用レシピ!$E:$E,0))&lt;&gt;0,INDEX(使用レシピ!F:F,MATCH(テンプレート!$C793,使用レシピ!$E:$E,0)),""),"")</f>
        <v/>
      </c>
      <c r="E793" t="str">
        <f>IFERROR(IF(INDEX(使用レシピ!G:G,MATCH(テンプレート!$C793,使用レシピ!$E:$E,0))&lt;&gt;0,INDEX(使用レシピ!G:G,MATCH(テンプレート!$C793,使用レシピ!$E:$E,0)),""),"")</f>
        <v/>
      </c>
      <c r="F793" t="str">
        <f>IFERROR(IF(INDEX(使用レシピ!H:H,MATCH(テンプレート!$C793,使用レシピ!$E:$E,0))&lt;&gt;0,INDEX(使用レシピ!H:H,MATCH(テンプレート!$C793,使用レシピ!$E:$E,0)),""),"")</f>
        <v/>
      </c>
      <c r="G793" t="str">
        <f>IFERROR(IF(INDEX(使用レシピ!I:I,MATCH(テンプレート!$C793,使用レシピ!$E:$E,0))&lt;&gt;0,INDEX(使用レシピ!I:I,MATCH(テンプレート!$C793,使用レシピ!$E:$E,0)),""),"")</f>
        <v/>
      </c>
      <c r="H793" s="24" t="str">
        <f>IFERROR(IF(INDEX(使用レシピ!J:J,MATCH(テンプレート!$C793,使用レシピ!$E:$E,0))&lt;&gt;0,INDEX(使用レシピ!J:J,MATCH(テンプレート!$C793,使用レシピ!$E:$E,0)),""),"")</f>
        <v/>
      </c>
      <c r="I793" s="36" t="str">
        <f>IFERROR(IF(INDEX(使用レシピ!P:P,MATCH(テンプレート!$C793,使用レシピ!$E:$E,0))&lt;&gt;0,INDEX(使用レシピ!P:P,MATCH(テンプレート!$C793,使用レシピ!$E:$E,0)),""),"")</f>
        <v/>
      </c>
      <c r="J793" t="str">
        <f>IFERROR(IF(INDEX(使用レシピ!K:K,MATCH(テンプレート!$C793,使用レシピ!$E:$E,0))&lt;&gt;0,INDEX(使用レシピ!K:K,MATCH(テンプレート!$C793,使用レシピ!$E:$E,0)),""),"")</f>
        <v/>
      </c>
      <c r="K793" t="str">
        <f>IFERROR(IF(INDEX(使用レシピ!L:L,MATCH(テンプレート!$C793,使用レシピ!$E:$E,0))&lt;&gt;0,INDEX(使用レシピ!L:L,MATCH(テンプレート!$C793,使用レシピ!$E:$E,0)),""),"")</f>
        <v/>
      </c>
      <c r="L793" t="str">
        <f>IFERROR(IF(INDEX(使用レシピ!M:M,MATCH(テンプレート!$C793,使用レシピ!$E:$E,0))&lt;&gt;0,INDEX(使用レシピ!M:M,MATCH(テンプレート!$C793,使用レシピ!$E:$E,0)),""),"")</f>
        <v/>
      </c>
      <c r="M793" t="str">
        <f>IFERROR(IF(INDEX(使用レシピ!N:N,MATCH(テンプレート!$C793,使用レシピ!$E:$E,0))&lt;&gt;0,INDEX(使用レシピ!N:N,MATCH(テンプレート!$C793,使用レシピ!$E:$E,0)),""),"")</f>
        <v/>
      </c>
      <c r="N793" s="24" t="str">
        <f>IFERROR(IF(INDEX(使用レシピ!O:O,MATCH(テンプレート!$C793,使用レシピ!$E:$E,0))&lt;&gt;0,INDEX(使用レシピ!O:O,MATCH(テンプレート!$C793,使用レシピ!$E:$E,0)),""),"")</f>
        <v/>
      </c>
      <c r="O793" s="36" t="str">
        <f>IFERROR(IF(INDEX(使用レシピ!P:P,MATCH(テンプレート!$C793,使用レシピ!$E:$E,0))&lt;&gt;0,INDEX(使用レシピ!P:P,MATCH(テンプレート!$C793,使用レシピ!$E:$E,0)),""),"")</f>
        <v/>
      </c>
      <c r="P793" t="str">
        <f t="shared" si="61"/>
        <v/>
      </c>
      <c r="Q793" t="str">
        <f t="shared" si="62"/>
        <v/>
      </c>
      <c r="R793" t="str">
        <f t="shared" si="63"/>
        <v/>
      </c>
      <c r="S793" t="str">
        <f t="shared" si="64"/>
        <v/>
      </c>
      <c r="T793" s="24" t="str">
        <f t="shared" si="65"/>
        <v/>
      </c>
    </row>
    <row r="794" spans="2:20" x14ac:dyDescent="0.4">
      <c r="B794" s="49" t="str" cm="1">
        <f t="array" ref="B794">IFERROR((INDEX($P$4:$T$1000,MATCH(VALUE(LEFT($A794,LEN($A794)-1)),$A$4:$A$1000,0),VALUE(RIGHT($A794,1)))/ INDEX($O$4:$O$1000,MATCH(VALUE(LEFT($A794,LEN($A794)-1)),$A$4:$A$1000))) * INDEX($B$4:$B$1000,MATCH(VALUE(LEFT($A794,LEN($A794)-1)),$A$4:$A$1000)),"")</f>
        <v/>
      </c>
      <c r="C794" s="2" t="str" cm="1">
        <f t="array" ref="C794">IFERROR(IF(INDEX($D$4:$H$1000,MATCH(VALUE(LEFT($A794,LEN($A794)-1)),$A$4:$A$1000,0),VALUE(RIGHT($A794,1)))= 0,"",INDEX($D$4:$H$1000,MATCH(VALUE(LEFT($A794,LEN($A794)-1)),$A$4:$A$1000,0),VALUE(RIGHT($A794,1)))),"")</f>
        <v/>
      </c>
      <c r="D794" s="23" t="str">
        <f>IFERROR(IF(INDEX(使用レシピ!F:F,MATCH(テンプレート!$C794,使用レシピ!$E:$E,0))&lt;&gt;0,INDEX(使用レシピ!F:F,MATCH(テンプレート!$C794,使用レシピ!$E:$E,0)),""),"")</f>
        <v/>
      </c>
      <c r="E794" t="str">
        <f>IFERROR(IF(INDEX(使用レシピ!G:G,MATCH(テンプレート!$C794,使用レシピ!$E:$E,0))&lt;&gt;0,INDEX(使用レシピ!G:G,MATCH(テンプレート!$C794,使用レシピ!$E:$E,0)),""),"")</f>
        <v/>
      </c>
      <c r="F794" t="str">
        <f>IFERROR(IF(INDEX(使用レシピ!H:H,MATCH(テンプレート!$C794,使用レシピ!$E:$E,0))&lt;&gt;0,INDEX(使用レシピ!H:H,MATCH(テンプレート!$C794,使用レシピ!$E:$E,0)),""),"")</f>
        <v/>
      </c>
      <c r="G794" t="str">
        <f>IFERROR(IF(INDEX(使用レシピ!I:I,MATCH(テンプレート!$C794,使用レシピ!$E:$E,0))&lt;&gt;0,INDEX(使用レシピ!I:I,MATCH(テンプレート!$C794,使用レシピ!$E:$E,0)),""),"")</f>
        <v/>
      </c>
      <c r="H794" s="24" t="str">
        <f>IFERROR(IF(INDEX(使用レシピ!J:J,MATCH(テンプレート!$C794,使用レシピ!$E:$E,0))&lt;&gt;0,INDEX(使用レシピ!J:J,MATCH(テンプレート!$C794,使用レシピ!$E:$E,0)),""),"")</f>
        <v/>
      </c>
      <c r="I794" s="36" t="str">
        <f>IFERROR(IF(INDEX(使用レシピ!P:P,MATCH(テンプレート!$C794,使用レシピ!$E:$E,0))&lt;&gt;0,INDEX(使用レシピ!P:P,MATCH(テンプレート!$C794,使用レシピ!$E:$E,0)),""),"")</f>
        <v/>
      </c>
      <c r="J794" t="str">
        <f>IFERROR(IF(INDEX(使用レシピ!K:K,MATCH(テンプレート!$C794,使用レシピ!$E:$E,0))&lt;&gt;0,INDEX(使用レシピ!K:K,MATCH(テンプレート!$C794,使用レシピ!$E:$E,0)),""),"")</f>
        <v/>
      </c>
      <c r="K794" t="str">
        <f>IFERROR(IF(INDEX(使用レシピ!L:L,MATCH(テンプレート!$C794,使用レシピ!$E:$E,0))&lt;&gt;0,INDEX(使用レシピ!L:L,MATCH(テンプレート!$C794,使用レシピ!$E:$E,0)),""),"")</f>
        <v/>
      </c>
      <c r="L794" t="str">
        <f>IFERROR(IF(INDEX(使用レシピ!M:M,MATCH(テンプレート!$C794,使用レシピ!$E:$E,0))&lt;&gt;0,INDEX(使用レシピ!M:M,MATCH(テンプレート!$C794,使用レシピ!$E:$E,0)),""),"")</f>
        <v/>
      </c>
      <c r="M794" t="str">
        <f>IFERROR(IF(INDEX(使用レシピ!N:N,MATCH(テンプレート!$C794,使用レシピ!$E:$E,0))&lt;&gt;0,INDEX(使用レシピ!N:N,MATCH(テンプレート!$C794,使用レシピ!$E:$E,0)),""),"")</f>
        <v/>
      </c>
      <c r="N794" s="24" t="str">
        <f>IFERROR(IF(INDEX(使用レシピ!O:O,MATCH(テンプレート!$C794,使用レシピ!$E:$E,0))&lt;&gt;0,INDEX(使用レシピ!O:O,MATCH(テンプレート!$C794,使用レシピ!$E:$E,0)),""),"")</f>
        <v/>
      </c>
      <c r="O794" s="36" t="str">
        <f>IFERROR(IF(INDEX(使用レシピ!P:P,MATCH(テンプレート!$C794,使用レシピ!$E:$E,0))&lt;&gt;0,INDEX(使用レシピ!P:P,MATCH(テンプレート!$C794,使用レシピ!$E:$E,0)),""),"")</f>
        <v/>
      </c>
      <c r="P794" t="str">
        <f t="shared" si="61"/>
        <v/>
      </c>
      <c r="Q794" t="str">
        <f t="shared" si="62"/>
        <v/>
      </c>
      <c r="R794" t="str">
        <f t="shared" si="63"/>
        <v/>
      </c>
      <c r="S794" t="str">
        <f t="shared" si="64"/>
        <v/>
      </c>
      <c r="T794" s="24" t="str">
        <f t="shared" si="65"/>
        <v/>
      </c>
    </row>
    <row r="795" spans="2:20" x14ac:dyDescent="0.4">
      <c r="B795" s="49" t="str" cm="1">
        <f t="array" ref="B795">IFERROR((INDEX($P$4:$T$1000,MATCH(VALUE(LEFT($A795,LEN($A795)-1)),$A$4:$A$1000,0),VALUE(RIGHT($A795,1)))/ INDEX($O$4:$O$1000,MATCH(VALUE(LEFT($A795,LEN($A795)-1)),$A$4:$A$1000))) * INDEX($B$4:$B$1000,MATCH(VALUE(LEFT($A795,LEN($A795)-1)),$A$4:$A$1000)),"")</f>
        <v/>
      </c>
      <c r="C795" s="2" t="str" cm="1">
        <f t="array" ref="C795">IFERROR(IF(INDEX($D$4:$H$1000,MATCH(VALUE(LEFT($A795,LEN($A795)-1)),$A$4:$A$1000,0),VALUE(RIGHT($A795,1)))= 0,"",INDEX($D$4:$H$1000,MATCH(VALUE(LEFT($A795,LEN($A795)-1)),$A$4:$A$1000,0),VALUE(RIGHT($A795,1)))),"")</f>
        <v/>
      </c>
      <c r="D795" s="23" t="str">
        <f>IFERROR(IF(INDEX(使用レシピ!F:F,MATCH(テンプレート!$C795,使用レシピ!$E:$E,0))&lt;&gt;0,INDEX(使用レシピ!F:F,MATCH(テンプレート!$C795,使用レシピ!$E:$E,0)),""),"")</f>
        <v/>
      </c>
      <c r="E795" t="str">
        <f>IFERROR(IF(INDEX(使用レシピ!G:G,MATCH(テンプレート!$C795,使用レシピ!$E:$E,0))&lt;&gt;0,INDEX(使用レシピ!G:G,MATCH(テンプレート!$C795,使用レシピ!$E:$E,0)),""),"")</f>
        <v/>
      </c>
      <c r="F795" t="str">
        <f>IFERROR(IF(INDEX(使用レシピ!H:H,MATCH(テンプレート!$C795,使用レシピ!$E:$E,0))&lt;&gt;0,INDEX(使用レシピ!H:H,MATCH(テンプレート!$C795,使用レシピ!$E:$E,0)),""),"")</f>
        <v/>
      </c>
      <c r="G795" t="str">
        <f>IFERROR(IF(INDEX(使用レシピ!I:I,MATCH(テンプレート!$C795,使用レシピ!$E:$E,0))&lt;&gt;0,INDEX(使用レシピ!I:I,MATCH(テンプレート!$C795,使用レシピ!$E:$E,0)),""),"")</f>
        <v/>
      </c>
      <c r="H795" s="24" t="str">
        <f>IFERROR(IF(INDEX(使用レシピ!J:J,MATCH(テンプレート!$C795,使用レシピ!$E:$E,0))&lt;&gt;0,INDEX(使用レシピ!J:J,MATCH(テンプレート!$C795,使用レシピ!$E:$E,0)),""),"")</f>
        <v/>
      </c>
      <c r="I795" s="36" t="str">
        <f>IFERROR(IF(INDEX(使用レシピ!P:P,MATCH(テンプレート!$C795,使用レシピ!$E:$E,0))&lt;&gt;0,INDEX(使用レシピ!P:P,MATCH(テンプレート!$C795,使用レシピ!$E:$E,0)),""),"")</f>
        <v/>
      </c>
      <c r="J795" t="str">
        <f>IFERROR(IF(INDEX(使用レシピ!K:K,MATCH(テンプレート!$C795,使用レシピ!$E:$E,0))&lt;&gt;0,INDEX(使用レシピ!K:K,MATCH(テンプレート!$C795,使用レシピ!$E:$E,0)),""),"")</f>
        <v/>
      </c>
      <c r="K795" t="str">
        <f>IFERROR(IF(INDEX(使用レシピ!L:L,MATCH(テンプレート!$C795,使用レシピ!$E:$E,0))&lt;&gt;0,INDEX(使用レシピ!L:L,MATCH(テンプレート!$C795,使用レシピ!$E:$E,0)),""),"")</f>
        <v/>
      </c>
      <c r="L795" t="str">
        <f>IFERROR(IF(INDEX(使用レシピ!M:M,MATCH(テンプレート!$C795,使用レシピ!$E:$E,0))&lt;&gt;0,INDEX(使用レシピ!M:M,MATCH(テンプレート!$C795,使用レシピ!$E:$E,0)),""),"")</f>
        <v/>
      </c>
      <c r="M795" t="str">
        <f>IFERROR(IF(INDEX(使用レシピ!N:N,MATCH(テンプレート!$C795,使用レシピ!$E:$E,0))&lt;&gt;0,INDEX(使用レシピ!N:N,MATCH(テンプレート!$C795,使用レシピ!$E:$E,0)),""),"")</f>
        <v/>
      </c>
      <c r="N795" s="24" t="str">
        <f>IFERROR(IF(INDEX(使用レシピ!O:O,MATCH(テンプレート!$C795,使用レシピ!$E:$E,0))&lt;&gt;0,INDEX(使用レシピ!O:O,MATCH(テンプレート!$C795,使用レシピ!$E:$E,0)),""),"")</f>
        <v/>
      </c>
      <c r="O795" s="36" t="str">
        <f>IFERROR(IF(INDEX(使用レシピ!P:P,MATCH(テンプレート!$C795,使用レシピ!$E:$E,0))&lt;&gt;0,INDEX(使用レシピ!P:P,MATCH(テンプレート!$C795,使用レシピ!$E:$E,0)),""),"")</f>
        <v/>
      </c>
      <c r="P795" t="str">
        <f t="shared" si="61"/>
        <v/>
      </c>
      <c r="Q795" t="str">
        <f t="shared" si="62"/>
        <v/>
      </c>
      <c r="R795" t="str">
        <f t="shared" si="63"/>
        <v/>
      </c>
      <c r="S795" t="str">
        <f t="shared" si="64"/>
        <v/>
      </c>
      <c r="T795" s="24" t="str">
        <f t="shared" si="65"/>
        <v/>
      </c>
    </row>
    <row r="796" spans="2:20" x14ac:dyDescent="0.4">
      <c r="B796" s="49" t="str" cm="1">
        <f t="array" ref="B796">IFERROR((INDEX($P$4:$T$1000,MATCH(VALUE(LEFT($A796,LEN($A796)-1)),$A$4:$A$1000,0),VALUE(RIGHT($A796,1)))/ INDEX($O$4:$O$1000,MATCH(VALUE(LEFT($A796,LEN($A796)-1)),$A$4:$A$1000))) * INDEX($B$4:$B$1000,MATCH(VALUE(LEFT($A796,LEN($A796)-1)),$A$4:$A$1000)),"")</f>
        <v/>
      </c>
      <c r="C796" s="2" t="str" cm="1">
        <f t="array" ref="C796">IFERROR(IF(INDEX($D$4:$H$1000,MATCH(VALUE(LEFT($A796,LEN($A796)-1)),$A$4:$A$1000,0),VALUE(RIGHT($A796,1)))= 0,"",INDEX($D$4:$H$1000,MATCH(VALUE(LEFT($A796,LEN($A796)-1)),$A$4:$A$1000,0),VALUE(RIGHT($A796,1)))),"")</f>
        <v/>
      </c>
      <c r="D796" s="23" t="str">
        <f>IFERROR(IF(INDEX(使用レシピ!F:F,MATCH(テンプレート!$C796,使用レシピ!$E:$E,0))&lt;&gt;0,INDEX(使用レシピ!F:F,MATCH(テンプレート!$C796,使用レシピ!$E:$E,0)),""),"")</f>
        <v/>
      </c>
      <c r="E796" t="str">
        <f>IFERROR(IF(INDEX(使用レシピ!G:G,MATCH(テンプレート!$C796,使用レシピ!$E:$E,0))&lt;&gt;0,INDEX(使用レシピ!G:G,MATCH(テンプレート!$C796,使用レシピ!$E:$E,0)),""),"")</f>
        <v/>
      </c>
      <c r="F796" t="str">
        <f>IFERROR(IF(INDEX(使用レシピ!H:H,MATCH(テンプレート!$C796,使用レシピ!$E:$E,0))&lt;&gt;0,INDEX(使用レシピ!H:H,MATCH(テンプレート!$C796,使用レシピ!$E:$E,0)),""),"")</f>
        <v/>
      </c>
      <c r="G796" t="str">
        <f>IFERROR(IF(INDEX(使用レシピ!I:I,MATCH(テンプレート!$C796,使用レシピ!$E:$E,0))&lt;&gt;0,INDEX(使用レシピ!I:I,MATCH(テンプレート!$C796,使用レシピ!$E:$E,0)),""),"")</f>
        <v/>
      </c>
      <c r="H796" s="24" t="str">
        <f>IFERROR(IF(INDEX(使用レシピ!J:J,MATCH(テンプレート!$C796,使用レシピ!$E:$E,0))&lt;&gt;0,INDEX(使用レシピ!J:J,MATCH(テンプレート!$C796,使用レシピ!$E:$E,0)),""),"")</f>
        <v/>
      </c>
      <c r="I796" s="36" t="str">
        <f>IFERROR(IF(INDEX(使用レシピ!P:P,MATCH(テンプレート!$C796,使用レシピ!$E:$E,0))&lt;&gt;0,INDEX(使用レシピ!P:P,MATCH(テンプレート!$C796,使用レシピ!$E:$E,0)),""),"")</f>
        <v/>
      </c>
      <c r="J796" t="str">
        <f>IFERROR(IF(INDEX(使用レシピ!K:K,MATCH(テンプレート!$C796,使用レシピ!$E:$E,0))&lt;&gt;0,INDEX(使用レシピ!K:K,MATCH(テンプレート!$C796,使用レシピ!$E:$E,0)),""),"")</f>
        <v/>
      </c>
      <c r="K796" t="str">
        <f>IFERROR(IF(INDEX(使用レシピ!L:L,MATCH(テンプレート!$C796,使用レシピ!$E:$E,0))&lt;&gt;0,INDEX(使用レシピ!L:L,MATCH(テンプレート!$C796,使用レシピ!$E:$E,0)),""),"")</f>
        <v/>
      </c>
      <c r="L796" t="str">
        <f>IFERROR(IF(INDEX(使用レシピ!M:M,MATCH(テンプレート!$C796,使用レシピ!$E:$E,0))&lt;&gt;0,INDEX(使用レシピ!M:M,MATCH(テンプレート!$C796,使用レシピ!$E:$E,0)),""),"")</f>
        <v/>
      </c>
      <c r="M796" t="str">
        <f>IFERROR(IF(INDEX(使用レシピ!N:N,MATCH(テンプレート!$C796,使用レシピ!$E:$E,0))&lt;&gt;0,INDEX(使用レシピ!N:N,MATCH(テンプレート!$C796,使用レシピ!$E:$E,0)),""),"")</f>
        <v/>
      </c>
      <c r="N796" s="24" t="str">
        <f>IFERROR(IF(INDEX(使用レシピ!O:O,MATCH(テンプレート!$C796,使用レシピ!$E:$E,0))&lt;&gt;0,INDEX(使用レシピ!O:O,MATCH(テンプレート!$C796,使用レシピ!$E:$E,0)),""),"")</f>
        <v/>
      </c>
      <c r="O796" s="36" t="str">
        <f>IFERROR(IF(INDEX(使用レシピ!P:P,MATCH(テンプレート!$C796,使用レシピ!$E:$E,0))&lt;&gt;0,INDEX(使用レシピ!P:P,MATCH(テンプレート!$C796,使用レシピ!$E:$E,0)),""),"")</f>
        <v/>
      </c>
      <c r="P796" t="str">
        <f t="shared" si="61"/>
        <v/>
      </c>
      <c r="Q796" t="str">
        <f t="shared" si="62"/>
        <v/>
      </c>
      <c r="R796" t="str">
        <f t="shared" si="63"/>
        <v/>
      </c>
      <c r="S796" t="str">
        <f t="shared" si="64"/>
        <v/>
      </c>
      <c r="T796" s="24" t="str">
        <f t="shared" si="65"/>
        <v/>
      </c>
    </row>
    <row r="797" spans="2:20" x14ac:dyDescent="0.4">
      <c r="B797" s="49" t="str" cm="1">
        <f t="array" ref="B797">IFERROR((INDEX($P$4:$T$1000,MATCH(VALUE(LEFT($A797,LEN($A797)-1)),$A$4:$A$1000,0),VALUE(RIGHT($A797,1)))/ INDEX($O$4:$O$1000,MATCH(VALUE(LEFT($A797,LEN($A797)-1)),$A$4:$A$1000))) * INDEX($B$4:$B$1000,MATCH(VALUE(LEFT($A797,LEN($A797)-1)),$A$4:$A$1000)),"")</f>
        <v/>
      </c>
      <c r="C797" s="2" t="str" cm="1">
        <f t="array" ref="C797">IFERROR(IF(INDEX($D$4:$H$1000,MATCH(VALUE(LEFT($A797,LEN($A797)-1)),$A$4:$A$1000,0),VALUE(RIGHT($A797,1)))= 0,"",INDEX($D$4:$H$1000,MATCH(VALUE(LEFT($A797,LEN($A797)-1)),$A$4:$A$1000,0),VALUE(RIGHT($A797,1)))),"")</f>
        <v/>
      </c>
      <c r="D797" s="23" t="str">
        <f>IFERROR(IF(INDEX(使用レシピ!F:F,MATCH(テンプレート!$C797,使用レシピ!$E:$E,0))&lt;&gt;0,INDEX(使用レシピ!F:F,MATCH(テンプレート!$C797,使用レシピ!$E:$E,0)),""),"")</f>
        <v/>
      </c>
      <c r="E797" t="str">
        <f>IFERROR(IF(INDEX(使用レシピ!G:G,MATCH(テンプレート!$C797,使用レシピ!$E:$E,0))&lt;&gt;0,INDEX(使用レシピ!G:G,MATCH(テンプレート!$C797,使用レシピ!$E:$E,0)),""),"")</f>
        <v/>
      </c>
      <c r="F797" t="str">
        <f>IFERROR(IF(INDEX(使用レシピ!H:H,MATCH(テンプレート!$C797,使用レシピ!$E:$E,0))&lt;&gt;0,INDEX(使用レシピ!H:H,MATCH(テンプレート!$C797,使用レシピ!$E:$E,0)),""),"")</f>
        <v/>
      </c>
      <c r="G797" t="str">
        <f>IFERROR(IF(INDEX(使用レシピ!I:I,MATCH(テンプレート!$C797,使用レシピ!$E:$E,0))&lt;&gt;0,INDEX(使用レシピ!I:I,MATCH(テンプレート!$C797,使用レシピ!$E:$E,0)),""),"")</f>
        <v/>
      </c>
      <c r="H797" s="24" t="str">
        <f>IFERROR(IF(INDEX(使用レシピ!J:J,MATCH(テンプレート!$C797,使用レシピ!$E:$E,0))&lt;&gt;0,INDEX(使用レシピ!J:J,MATCH(テンプレート!$C797,使用レシピ!$E:$E,0)),""),"")</f>
        <v/>
      </c>
      <c r="I797" s="36" t="str">
        <f>IFERROR(IF(INDEX(使用レシピ!P:P,MATCH(テンプレート!$C797,使用レシピ!$E:$E,0))&lt;&gt;0,INDEX(使用レシピ!P:P,MATCH(テンプレート!$C797,使用レシピ!$E:$E,0)),""),"")</f>
        <v/>
      </c>
      <c r="J797" t="str">
        <f>IFERROR(IF(INDEX(使用レシピ!K:K,MATCH(テンプレート!$C797,使用レシピ!$E:$E,0))&lt;&gt;0,INDEX(使用レシピ!K:K,MATCH(テンプレート!$C797,使用レシピ!$E:$E,0)),""),"")</f>
        <v/>
      </c>
      <c r="K797" t="str">
        <f>IFERROR(IF(INDEX(使用レシピ!L:L,MATCH(テンプレート!$C797,使用レシピ!$E:$E,0))&lt;&gt;0,INDEX(使用レシピ!L:L,MATCH(テンプレート!$C797,使用レシピ!$E:$E,0)),""),"")</f>
        <v/>
      </c>
      <c r="L797" t="str">
        <f>IFERROR(IF(INDEX(使用レシピ!M:M,MATCH(テンプレート!$C797,使用レシピ!$E:$E,0))&lt;&gt;0,INDEX(使用レシピ!M:M,MATCH(テンプレート!$C797,使用レシピ!$E:$E,0)),""),"")</f>
        <v/>
      </c>
      <c r="M797" t="str">
        <f>IFERROR(IF(INDEX(使用レシピ!N:N,MATCH(テンプレート!$C797,使用レシピ!$E:$E,0))&lt;&gt;0,INDEX(使用レシピ!N:N,MATCH(テンプレート!$C797,使用レシピ!$E:$E,0)),""),"")</f>
        <v/>
      </c>
      <c r="N797" s="24" t="str">
        <f>IFERROR(IF(INDEX(使用レシピ!O:O,MATCH(テンプレート!$C797,使用レシピ!$E:$E,0))&lt;&gt;0,INDEX(使用レシピ!O:O,MATCH(テンプレート!$C797,使用レシピ!$E:$E,0)),""),"")</f>
        <v/>
      </c>
      <c r="O797" s="36" t="str">
        <f>IFERROR(IF(INDEX(使用レシピ!P:P,MATCH(テンプレート!$C797,使用レシピ!$E:$E,0))&lt;&gt;0,INDEX(使用レシピ!P:P,MATCH(テンプレート!$C797,使用レシピ!$E:$E,0)),""),"")</f>
        <v/>
      </c>
      <c r="P797" t="str">
        <f t="shared" si="61"/>
        <v/>
      </c>
      <c r="Q797" t="str">
        <f t="shared" si="62"/>
        <v/>
      </c>
      <c r="R797" t="str">
        <f t="shared" si="63"/>
        <v/>
      </c>
      <c r="S797" t="str">
        <f t="shared" si="64"/>
        <v/>
      </c>
      <c r="T797" s="24" t="str">
        <f t="shared" si="65"/>
        <v/>
      </c>
    </row>
    <row r="798" spans="2:20" x14ac:dyDescent="0.4">
      <c r="B798" s="49" t="str" cm="1">
        <f t="array" ref="B798">IFERROR((INDEX($P$4:$T$1000,MATCH(VALUE(LEFT($A798,LEN($A798)-1)),$A$4:$A$1000,0),VALUE(RIGHT($A798,1)))/ INDEX($O$4:$O$1000,MATCH(VALUE(LEFT($A798,LEN($A798)-1)),$A$4:$A$1000))) * INDEX($B$4:$B$1000,MATCH(VALUE(LEFT($A798,LEN($A798)-1)),$A$4:$A$1000)),"")</f>
        <v/>
      </c>
      <c r="C798" s="2" t="str" cm="1">
        <f t="array" ref="C798">IFERROR(IF(INDEX($D$4:$H$1000,MATCH(VALUE(LEFT($A798,LEN($A798)-1)),$A$4:$A$1000,0),VALUE(RIGHT($A798,1)))= 0,"",INDEX($D$4:$H$1000,MATCH(VALUE(LEFT($A798,LEN($A798)-1)),$A$4:$A$1000,0),VALUE(RIGHT($A798,1)))),"")</f>
        <v/>
      </c>
      <c r="D798" s="23" t="str">
        <f>IFERROR(IF(INDEX(使用レシピ!F:F,MATCH(テンプレート!$C798,使用レシピ!$E:$E,0))&lt;&gt;0,INDEX(使用レシピ!F:F,MATCH(テンプレート!$C798,使用レシピ!$E:$E,0)),""),"")</f>
        <v/>
      </c>
      <c r="E798" t="str">
        <f>IFERROR(IF(INDEX(使用レシピ!G:G,MATCH(テンプレート!$C798,使用レシピ!$E:$E,0))&lt;&gt;0,INDEX(使用レシピ!G:G,MATCH(テンプレート!$C798,使用レシピ!$E:$E,0)),""),"")</f>
        <v/>
      </c>
      <c r="F798" t="str">
        <f>IFERROR(IF(INDEX(使用レシピ!H:H,MATCH(テンプレート!$C798,使用レシピ!$E:$E,0))&lt;&gt;0,INDEX(使用レシピ!H:H,MATCH(テンプレート!$C798,使用レシピ!$E:$E,0)),""),"")</f>
        <v/>
      </c>
      <c r="G798" t="str">
        <f>IFERROR(IF(INDEX(使用レシピ!I:I,MATCH(テンプレート!$C798,使用レシピ!$E:$E,0))&lt;&gt;0,INDEX(使用レシピ!I:I,MATCH(テンプレート!$C798,使用レシピ!$E:$E,0)),""),"")</f>
        <v/>
      </c>
      <c r="H798" s="24" t="str">
        <f>IFERROR(IF(INDEX(使用レシピ!J:J,MATCH(テンプレート!$C798,使用レシピ!$E:$E,0))&lt;&gt;0,INDEX(使用レシピ!J:J,MATCH(テンプレート!$C798,使用レシピ!$E:$E,0)),""),"")</f>
        <v/>
      </c>
      <c r="I798" s="36" t="str">
        <f>IFERROR(IF(INDEX(使用レシピ!P:P,MATCH(テンプレート!$C798,使用レシピ!$E:$E,0))&lt;&gt;0,INDEX(使用レシピ!P:P,MATCH(テンプレート!$C798,使用レシピ!$E:$E,0)),""),"")</f>
        <v/>
      </c>
      <c r="J798" t="str">
        <f>IFERROR(IF(INDEX(使用レシピ!K:K,MATCH(テンプレート!$C798,使用レシピ!$E:$E,0))&lt;&gt;0,INDEX(使用レシピ!K:K,MATCH(テンプレート!$C798,使用レシピ!$E:$E,0)),""),"")</f>
        <v/>
      </c>
      <c r="K798" t="str">
        <f>IFERROR(IF(INDEX(使用レシピ!L:L,MATCH(テンプレート!$C798,使用レシピ!$E:$E,0))&lt;&gt;0,INDEX(使用レシピ!L:L,MATCH(テンプレート!$C798,使用レシピ!$E:$E,0)),""),"")</f>
        <v/>
      </c>
      <c r="L798" t="str">
        <f>IFERROR(IF(INDEX(使用レシピ!M:M,MATCH(テンプレート!$C798,使用レシピ!$E:$E,0))&lt;&gt;0,INDEX(使用レシピ!M:M,MATCH(テンプレート!$C798,使用レシピ!$E:$E,0)),""),"")</f>
        <v/>
      </c>
      <c r="M798" t="str">
        <f>IFERROR(IF(INDEX(使用レシピ!N:N,MATCH(テンプレート!$C798,使用レシピ!$E:$E,0))&lt;&gt;0,INDEX(使用レシピ!N:N,MATCH(テンプレート!$C798,使用レシピ!$E:$E,0)),""),"")</f>
        <v/>
      </c>
      <c r="N798" s="24" t="str">
        <f>IFERROR(IF(INDEX(使用レシピ!O:O,MATCH(テンプレート!$C798,使用レシピ!$E:$E,0))&lt;&gt;0,INDEX(使用レシピ!O:O,MATCH(テンプレート!$C798,使用レシピ!$E:$E,0)),""),"")</f>
        <v/>
      </c>
      <c r="O798" s="36" t="str">
        <f>IFERROR(IF(INDEX(使用レシピ!P:P,MATCH(テンプレート!$C798,使用レシピ!$E:$E,0))&lt;&gt;0,INDEX(使用レシピ!P:P,MATCH(テンプレート!$C798,使用レシピ!$E:$E,0)),""),"")</f>
        <v/>
      </c>
      <c r="P798" t="str">
        <f t="shared" si="61"/>
        <v/>
      </c>
      <c r="Q798" t="str">
        <f t="shared" si="62"/>
        <v/>
      </c>
      <c r="R798" t="str">
        <f t="shared" si="63"/>
        <v/>
      </c>
      <c r="S798" t="str">
        <f t="shared" si="64"/>
        <v/>
      </c>
      <c r="T798" s="24" t="str">
        <f t="shared" si="65"/>
        <v/>
      </c>
    </row>
    <row r="799" spans="2:20" x14ac:dyDescent="0.4">
      <c r="B799" s="49" t="str" cm="1">
        <f t="array" ref="B799">IFERROR((INDEX($P$4:$T$1000,MATCH(VALUE(LEFT($A799,LEN($A799)-1)),$A$4:$A$1000,0),VALUE(RIGHT($A799,1)))/ INDEX($O$4:$O$1000,MATCH(VALUE(LEFT($A799,LEN($A799)-1)),$A$4:$A$1000))) * INDEX($B$4:$B$1000,MATCH(VALUE(LEFT($A799,LEN($A799)-1)),$A$4:$A$1000)),"")</f>
        <v/>
      </c>
      <c r="C799" s="2" t="str" cm="1">
        <f t="array" ref="C799">IFERROR(IF(INDEX($D$4:$H$1000,MATCH(VALUE(LEFT($A799,LEN($A799)-1)),$A$4:$A$1000,0),VALUE(RIGHT($A799,1)))= 0,"",INDEX($D$4:$H$1000,MATCH(VALUE(LEFT($A799,LEN($A799)-1)),$A$4:$A$1000,0),VALUE(RIGHT($A799,1)))),"")</f>
        <v/>
      </c>
      <c r="D799" s="23" t="str">
        <f>IFERROR(IF(INDEX(使用レシピ!F:F,MATCH(テンプレート!$C799,使用レシピ!$E:$E,0))&lt;&gt;0,INDEX(使用レシピ!F:F,MATCH(テンプレート!$C799,使用レシピ!$E:$E,0)),""),"")</f>
        <v/>
      </c>
      <c r="E799" t="str">
        <f>IFERROR(IF(INDEX(使用レシピ!G:G,MATCH(テンプレート!$C799,使用レシピ!$E:$E,0))&lt;&gt;0,INDEX(使用レシピ!G:G,MATCH(テンプレート!$C799,使用レシピ!$E:$E,0)),""),"")</f>
        <v/>
      </c>
      <c r="F799" t="str">
        <f>IFERROR(IF(INDEX(使用レシピ!H:H,MATCH(テンプレート!$C799,使用レシピ!$E:$E,0))&lt;&gt;0,INDEX(使用レシピ!H:H,MATCH(テンプレート!$C799,使用レシピ!$E:$E,0)),""),"")</f>
        <v/>
      </c>
      <c r="G799" t="str">
        <f>IFERROR(IF(INDEX(使用レシピ!I:I,MATCH(テンプレート!$C799,使用レシピ!$E:$E,0))&lt;&gt;0,INDEX(使用レシピ!I:I,MATCH(テンプレート!$C799,使用レシピ!$E:$E,0)),""),"")</f>
        <v/>
      </c>
      <c r="H799" s="24" t="str">
        <f>IFERROR(IF(INDEX(使用レシピ!J:J,MATCH(テンプレート!$C799,使用レシピ!$E:$E,0))&lt;&gt;0,INDEX(使用レシピ!J:J,MATCH(テンプレート!$C799,使用レシピ!$E:$E,0)),""),"")</f>
        <v/>
      </c>
      <c r="I799" s="36" t="str">
        <f>IFERROR(IF(INDEX(使用レシピ!P:P,MATCH(テンプレート!$C799,使用レシピ!$E:$E,0))&lt;&gt;0,INDEX(使用レシピ!P:P,MATCH(テンプレート!$C799,使用レシピ!$E:$E,0)),""),"")</f>
        <v/>
      </c>
      <c r="J799" t="str">
        <f>IFERROR(IF(INDEX(使用レシピ!K:K,MATCH(テンプレート!$C799,使用レシピ!$E:$E,0))&lt;&gt;0,INDEX(使用レシピ!K:K,MATCH(テンプレート!$C799,使用レシピ!$E:$E,0)),""),"")</f>
        <v/>
      </c>
      <c r="K799" t="str">
        <f>IFERROR(IF(INDEX(使用レシピ!L:L,MATCH(テンプレート!$C799,使用レシピ!$E:$E,0))&lt;&gt;0,INDEX(使用レシピ!L:L,MATCH(テンプレート!$C799,使用レシピ!$E:$E,0)),""),"")</f>
        <v/>
      </c>
      <c r="L799" t="str">
        <f>IFERROR(IF(INDEX(使用レシピ!M:M,MATCH(テンプレート!$C799,使用レシピ!$E:$E,0))&lt;&gt;0,INDEX(使用レシピ!M:M,MATCH(テンプレート!$C799,使用レシピ!$E:$E,0)),""),"")</f>
        <v/>
      </c>
      <c r="M799" t="str">
        <f>IFERROR(IF(INDEX(使用レシピ!N:N,MATCH(テンプレート!$C799,使用レシピ!$E:$E,0))&lt;&gt;0,INDEX(使用レシピ!N:N,MATCH(テンプレート!$C799,使用レシピ!$E:$E,0)),""),"")</f>
        <v/>
      </c>
      <c r="N799" s="24" t="str">
        <f>IFERROR(IF(INDEX(使用レシピ!O:O,MATCH(テンプレート!$C799,使用レシピ!$E:$E,0))&lt;&gt;0,INDEX(使用レシピ!O:O,MATCH(テンプレート!$C799,使用レシピ!$E:$E,0)),""),"")</f>
        <v/>
      </c>
      <c r="O799" s="36" t="str">
        <f>IFERROR(IF(INDEX(使用レシピ!P:P,MATCH(テンプレート!$C799,使用レシピ!$E:$E,0))&lt;&gt;0,INDEX(使用レシピ!P:P,MATCH(テンプレート!$C799,使用レシピ!$E:$E,0)),""),"")</f>
        <v/>
      </c>
      <c r="P799" t="str">
        <f t="shared" si="61"/>
        <v/>
      </c>
      <c r="Q799" t="str">
        <f t="shared" si="62"/>
        <v/>
      </c>
      <c r="R799" t="str">
        <f t="shared" si="63"/>
        <v/>
      </c>
      <c r="S799" t="str">
        <f t="shared" si="64"/>
        <v/>
      </c>
      <c r="T799" s="24" t="str">
        <f t="shared" si="65"/>
        <v/>
      </c>
    </row>
    <row r="800" spans="2:20" x14ac:dyDescent="0.4">
      <c r="B800" s="49" t="str" cm="1">
        <f t="array" ref="B800">IFERROR((INDEX($P$4:$T$1000,MATCH(VALUE(LEFT($A800,LEN($A800)-1)),$A$4:$A$1000,0),VALUE(RIGHT($A800,1)))/ INDEX($O$4:$O$1000,MATCH(VALUE(LEFT($A800,LEN($A800)-1)),$A$4:$A$1000))) * INDEX($B$4:$B$1000,MATCH(VALUE(LEFT($A800,LEN($A800)-1)),$A$4:$A$1000)),"")</f>
        <v/>
      </c>
      <c r="C800" s="2" t="str" cm="1">
        <f t="array" ref="C800">IFERROR(IF(INDEX($D$4:$H$1000,MATCH(VALUE(LEFT($A800,LEN($A800)-1)),$A$4:$A$1000,0),VALUE(RIGHT($A800,1)))= 0,"",INDEX($D$4:$H$1000,MATCH(VALUE(LEFT($A800,LEN($A800)-1)),$A$4:$A$1000,0),VALUE(RIGHT($A800,1)))),"")</f>
        <v/>
      </c>
      <c r="D800" s="23" t="str">
        <f>IFERROR(IF(INDEX(使用レシピ!F:F,MATCH(テンプレート!$C800,使用レシピ!$E:$E,0))&lt;&gt;0,INDEX(使用レシピ!F:F,MATCH(テンプレート!$C800,使用レシピ!$E:$E,0)),""),"")</f>
        <v/>
      </c>
      <c r="E800" t="str">
        <f>IFERROR(IF(INDEX(使用レシピ!G:G,MATCH(テンプレート!$C800,使用レシピ!$E:$E,0))&lt;&gt;0,INDEX(使用レシピ!G:G,MATCH(テンプレート!$C800,使用レシピ!$E:$E,0)),""),"")</f>
        <v/>
      </c>
      <c r="F800" t="str">
        <f>IFERROR(IF(INDEX(使用レシピ!H:H,MATCH(テンプレート!$C800,使用レシピ!$E:$E,0))&lt;&gt;0,INDEX(使用レシピ!H:H,MATCH(テンプレート!$C800,使用レシピ!$E:$E,0)),""),"")</f>
        <v/>
      </c>
      <c r="G800" t="str">
        <f>IFERROR(IF(INDEX(使用レシピ!I:I,MATCH(テンプレート!$C800,使用レシピ!$E:$E,0))&lt;&gt;0,INDEX(使用レシピ!I:I,MATCH(テンプレート!$C800,使用レシピ!$E:$E,0)),""),"")</f>
        <v/>
      </c>
      <c r="H800" s="24" t="str">
        <f>IFERROR(IF(INDEX(使用レシピ!J:J,MATCH(テンプレート!$C800,使用レシピ!$E:$E,0))&lt;&gt;0,INDEX(使用レシピ!J:J,MATCH(テンプレート!$C800,使用レシピ!$E:$E,0)),""),"")</f>
        <v/>
      </c>
      <c r="I800" s="36" t="str">
        <f>IFERROR(IF(INDEX(使用レシピ!P:P,MATCH(テンプレート!$C800,使用レシピ!$E:$E,0))&lt;&gt;0,INDEX(使用レシピ!P:P,MATCH(テンプレート!$C800,使用レシピ!$E:$E,0)),""),"")</f>
        <v/>
      </c>
      <c r="J800" t="str">
        <f>IFERROR(IF(INDEX(使用レシピ!K:K,MATCH(テンプレート!$C800,使用レシピ!$E:$E,0))&lt;&gt;0,INDEX(使用レシピ!K:K,MATCH(テンプレート!$C800,使用レシピ!$E:$E,0)),""),"")</f>
        <v/>
      </c>
      <c r="K800" t="str">
        <f>IFERROR(IF(INDEX(使用レシピ!L:L,MATCH(テンプレート!$C800,使用レシピ!$E:$E,0))&lt;&gt;0,INDEX(使用レシピ!L:L,MATCH(テンプレート!$C800,使用レシピ!$E:$E,0)),""),"")</f>
        <v/>
      </c>
      <c r="L800" t="str">
        <f>IFERROR(IF(INDEX(使用レシピ!M:M,MATCH(テンプレート!$C800,使用レシピ!$E:$E,0))&lt;&gt;0,INDEX(使用レシピ!M:M,MATCH(テンプレート!$C800,使用レシピ!$E:$E,0)),""),"")</f>
        <v/>
      </c>
      <c r="M800" t="str">
        <f>IFERROR(IF(INDEX(使用レシピ!N:N,MATCH(テンプレート!$C800,使用レシピ!$E:$E,0))&lt;&gt;0,INDEX(使用レシピ!N:N,MATCH(テンプレート!$C800,使用レシピ!$E:$E,0)),""),"")</f>
        <v/>
      </c>
      <c r="N800" s="24" t="str">
        <f>IFERROR(IF(INDEX(使用レシピ!O:O,MATCH(テンプレート!$C800,使用レシピ!$E:$E,0))&lt;&gt;0,INDEX(使用レシピ!O:O,MATCH(テンプレート!$C800,使用レシピ!$E:$E,0)),""),"")</f>
        <v/>
      </c>
      <c r="O800" s="36" t="str">
        <f>IFERROR(IF(INDEX(使用レシピ!P:P,MATCH(テンプレート!$C800,使用レシピ!$E:$E,0))&lt;&gt;0,INDEX(使用レシピ!P:P,MATCH(テンプレート!$C800,使用レシピ!$E:$E,0)),""),"")</f>
        <v/>
      </c>
      <c r="P800" t="str">
        <f t="shared" si="61"/>
        <v/>
      </c>
      <c r="Q800" t="str">
        <f t="shared" si="62"/>
        <v/>
      </c>
      <c r="R800" t="str">
        <f t="shared" si="63"/>
        <v/>
      </c>
      <c r="S800" t="str">
        <f t="shared" si="64"/>
        <v/>
      </c>
      <c r="T800" s="24" t="str">
        <f t="shared" si="65"/>
        <v/>
      </c>
    </row>
    <row r="801" spans="2:20" x14ac:dyDescent="0.4">
      <c r="B801" s="49" t="str" cm="1">
        <f t="array" ref="B801">IFERROR((INDEX($P$4:$T$1000,MATCH(VALUE(LEFT($A801,LEN($A801)-1)),$A$4:$A$1000,0),VALUE(RIGHT($A801,1)))/ INDEX($O$4:$O$1000,MATCH(VALUE(LEFT($A801,LEN($A801)-1)),$A$4:$A$1000))) * INDEX($B$4:$B$1000,MATCH(VALUE(LEFT($A801,LEN($A801)-1)),$A$4:$A$1000)),"")</f>
        <v/>
      </c>
      <c r="C801" s="2" t="str" cm="1">
        <f t="array" ref="C801">IFERROR(IF(INDEX($D$4:$H$1000,MATCH(VALUE(LEFT($A801,LEN($A801)-1)),$A$4:$A$1000,0),VALUE(RIGHT($A801,1)))= 0,"",INDEX($D$4:$H$1000,MATCH(VALUE(LEFT($A801,LEN($A801)-1)),$A$4:$A$1000,0),VALUE(RIGHT($A801,1)))),"")</f>
        <v/>
      </c>
      <c r="D801" s="23" t="str">
        <f>IFERROR(IF(INDEX(使用レシピ!F:F,MATCH(テンプレート!$C801,使用レシピ!$E:$E,0))&lt;&gt;0,INDEX(使用レシピ!F:F,MATCH(テンプレート!$C801,使用レシピ!$E:$E,0)),""),"")</f>
        <v/>
      </c>
      <c r="E801" t="str">
        <f>IFERROR(IF(INDEX(使用レシピ!G:G,MATCH(テンプレート!$C801,使用レシピ!$E:$E,0))&lt;&gt;0,INDEX(使用レシピ!G:G,MATCH(テンプレート!$C801,使用レシピ!$E:$E,0)),""),"")</f>
        <v/>
      </c>
      <c r="F801" t="str">
        <f>IFERROR(IF(INDEX(使用レシピ!H:H,MATCH(テンプレート!$C801,使用レシピ!$E:$E,0))&lt;&gt;0,INDEX(使用レシピ!H:H,MATCH(テンプレート!$C801,使用レシピ!$E:$E,0)),""),"")</f>
        <v/>
      </c>
      <c r="G801" t="str">
        <f>IFERROR(IF(INDEX(使用レシピ!I:I,MATCH(テンプレート!$C801,使用レシピ!$E:$E,0))&lt;&gt;0,INDEX(使用レシピ!I:I,MATCH(テンプレート!$C801,使用レシピ!$E:$E,0)),""),"")</f>
        <v/>
      </c>
      <c r="H801" s="24" t="str">
        <f>IFERROR(IF(INDEX(使用レシピ!J:J,MATCH(テンプレート!$C801,使用レシピ!$E:$E,0))&lt;&gt;0,INDEX(使用レシピ!J:J,MATCH(テンプレート!$C801,使用レシピ!$E:$E,0)),""),"")</f>
        <v/>
      </c>
      <c r="I801" s="36" t="str">
        <f>IFERROR(IF(INDEX(使用レシピ!P:P,MATCH(テンプレート!$C801,使用レシピ!$E:$E,0))&lt;&gt;0,INDEX(使用レシピ!P:P,MATCH(テンプレート!$C801,使用レシピ!$E:$E,0)),""),"")</f>
        <v/>
      </c>
      <c r="J801" t="str">
        <f>IFERROR(IF(INDEX(使用レシピ!K:K,MATCH(テンプレート!$C801,使用レシピ!$E:$E,0))&lt;&gt;0,INDEX(使用レシピ!K:K,MATCH(テンプレート!$C801,使用レシピ!$E:$E,0)),""),"")</f>
        <v/>
      </c>
      <c r="K801" t="str">
        <f>IFERROR(IF(INDEX(使用レシピ!L:L,MATCH(テンプレート!$C801,使用レシピ!$E:$E,0))&lt;&gt;0,INDEX(使用レシピ!L:L,MATCH(テンプレート!$C801,使用レシピ!$E:$E,0)),""),"")</f>
        <v/>
      </c>
      <c r="L801" t="str">
        <f>IFERROR(IF(INDEX(使用レシピ!M:M,MATCH(テンプレート!$C801,使用レシピ!$E:$E,0))&lt;&gt;0,INDEX(使用レシピ!M:M,MATCH(テンプレート!$C801,使用レシピ!$E:$E,0)),""),"")</f>
        <v/>
      </c>
      <c r="M801" t="str">
        <f>IFERROR(IF(INDEX(使用レシピ!N:N,MATCH(テンプレート!$C801,使用レシピ!$E:$E,0))&lt;&gt;0,INDEX(使用レシピ!N:N,MATCH(テンプレート!$C801,使用レシピ!$E:$E,0)),""),"")</f>
        <v/>
      </c>
      <c r="N801" s="24" t="str">
        <f>IFERROR(IF(INDEX(使用レシピ!O:O,MATCH(テンプレート!$C801,使用レシピ!$E:$E,0))&lt;&gt;0,INDEX(使用レシピ!O:O,MATCH(テンプレート!$C801,使用レシピ!$E:$E,0)),""),"")</f>
        <v/>
      </c>
      <c r="O801" s="36" t="str">
        <f>IFERROR(IF(INDEX(使用レシピ!P:P,MATCH(テンプレート!$C801,使用レシピ!$E:$E,0))&lt;&gt;0,INDEX(使用レシピ!P:P,MATCH(テンプレート!$C801,使用レシピ!$E:$E,0)),""),"")</f>
        <v/>
      </c>
      <c r="P801" t="str">
        <f t="shared" si="61"/>
        <v/>
      </c>
      <c r="Q801" t="str">
        <f t="shared" si="62"/>
        <v/>
      </c>
      <c r="R801" t="str">
        <f t="shared" si="63"/>
        <v/>
      </c>
      <c r="S801" t="str">
        <f t="shared" si="64"/>
        <v/>
      </c>
      <c r="T801" s="24" t="str">
        <f t="shared" si="65"/>
        <v/>
      </c>
    </row>
    <row r="802" spans="2:20" x14ac:dyDescent="0.4">
      <c r="B802" s="49" t="str" cm="1">
        <f t="array" ref="B802">IFERROR((INDEX($P$4:$T$1000,MATCH(VALUE(LEFT($A802,LEN($A802)-1)),$A$4:$A$1000,0),VALUE(RIGHT($A802,1)))/ INDEX($O$4:$O$1000,MATCH(VALUE(LEFT($A802,LEN($A802)-1)),$A$4:$A$1000))) * INDEX($B$4:$B$1000,MATCH(VALUE(LEFT($A802,LEN($A802)-1)),$A$4:$A$1000)),"")</f>
        <v/>
      </c>
      <c r="C802" s="2" t="str" cm="1">
        <f t="array" ref="C802">IFERROR(IF(INDEX($D$4:$H$1000,MATCH(VALUE(LEFT($A802,LEN($A802)-1)),$A$4:$A$1000,0),VALUE(RIGHT($A802,1)))= 0,"",INDEX($D$4:$H$1000,MATCH(VALUE(LEFT($A802,LEN($A802)-1)),$A$4:$A$1000,0),VALUE(RIGHT($A802,1)))),"")</f>
        <v/>
      </c>
      <c r="D802" s="23" t="str">
        <f>IFERROR(IF(INDEX(使用レシピ!F:F,MATCH(テンプレート!$C802,使用レシピ!$E:$E,0))&lt;&gt;0,INDEX(使用レシピ!F:F,MATCH(テンプレート!$C802,使用レシピ!$E:$E,0)),""),"")</f>
        <v/>
      </c>
      <c r="E802" t="str">
        <f>IFERROR(IF(INDEX(使用レシピ!G:G,MATCH(テンプレート!$C802,使用レシピ!$E:$E,0))&lt;&gt;0,INDEX(使用レシピ!G:G,MATCH(テンプレート!$C802,使用レシピ!$E:$E,0)),""),"")</f>
        <v/>
      </c>
      <c r="F802" t="str">
        <f>IFERROR(IF(INDEX(使用レシピ!H:H,MATCH(テンプレート!$C802,使用レシピ!$E:$E,0))&lt;&gt;0,INDEX(使用レシピ!H:H,MATCH(テンプレート!$C802,使用レシピ!$E:$E,0)),""),"")</f>
        <v/>
      </c>
      <c r="G802" t="str">
        <f>IFERROR(IF(INDEX(使用レシピ!I:I,MATCH(テンプレート!$C802,使用レシピ!$E:$E,0))&lt;&gt;0,INDEX(使用レシピ!I:I,MATCH(テンプレート!$C802,使用レシピ!$E:$E,0)),""),"")</f>
        <v/>
      </c>
      <c r="H802" s="24" t="str">
        <f>IFERROR(IF(INDEX(使用レシピ!J:J,MATCH(テンプレート!$C802,使用レシピ!$E:$E,0))&lt;&gt;0,INDEX(使用レシピ!J:J,MATCH(テンプレート!$C802,使用レシピ!$E:$E,0)),""),"")</f>
        <v/>
      </c>
      <c r="I802" s="36" t="str">
        <f>IFERROR(IF(INDEX(使用レシピ!P:P,MATCH(テンプレート!$C802,使用レシピ!$E:$E,0))&lt;&gt;0,INDEX(使用レシピ!P:P,MATCH(テンプレート!$C802,使用レシピ!$E:$E,0)),""),"")</f>
        <v/>
      </c>
      <c r="J802" t="str">
        <f>IFERROR(IF(INDEX(使用レシピ!K:K,MATCH(テンプレート!$C802,使用レシピ!$E:$E,0))&lt;&gt;0,INDEX(使用レシピ!K:K,MATCH(テンプレート!$C802,使用レシピ!$E:$E,0)),""),"")</f>
        <v/>
      </c>
      <c r="K802" t="str">
        <f>IFERROR(IF(INDEX(使用レシピ!L:L,MATCH(テンプレート!$C802,使用レシピ!$E:$E,0))&lt;&gt;0,INDEX(使用レシピ!L:L,MATCH(テンプレート!$C802,使用レシピ!$E:$E,0)),""),"")</f>
        <v/>
      </c>
      <c r="L802" t="str">
        <f>IFERROR(IF(INDEX(使用レシピ!M:M,MATCH(テンプレート!$C802,使用レシピ!$E:$E,0))&lt;&gt;0,INDEX(使用レシピ!M:M,MATCH(テンプレート!$C802,使用レシピ!$E:$E,0)),""),"")</f>
        <v/>
      </c>
      <c r="M802" t="str">
        <f>IFERROR(IF(INDEX(使用レシピ!N:N,MATCH(テンプレート!$C802,使用レシピ!$E:$E,0))&lt;&gt;0,INDEX(使用レシピ!N:N,MATCH(テンプレート!$C802,使用レシピ!$E:$E,0)),""),"")</f>
        <v/>
      </c>
      <c r="N802" s="24" t="str">
        <f>IFERROR(IF(INDEX(使用レシピ!O:O,MATCH(テンプレート!$C802,使用レシピ!$E:$E,0))&lt;&gt;0,INDEX(使用レシピ!O:O,MATCH(テンプレート!$C802,使用レシピ!$E:$E,0)),""),"")</f>
        <v/>
      </c>
      <c r="O802" s="36" t="str">
        <f>IFERROR(IF(INDEX(使用レシピ!P:P,MATCH(テンプレート!$C802,使用レシピ!$E:$E,0))&lt;&gt;0,INDEX(使用レシピ!P:P,MATCH(テンプレート!$C802,使用レシピ!$E:$E,0)),""),"")</f>
        <v/>
      </c>
      <c r="P802" t="str">
        <f t="shared" si="61"/>
        <v/>
      </c>
      <c r="Q802" t="str">
        <f t="shared" si="62"/>
        <v/>
      </c>
      <c r="R802" t="str">
        <f t="shared" si="63"/>
        <v/>
      </c>
      <c r="S802" t="str">
        <f t="shared" si="64"/>
        <v/>
      </c>
      <c r="T802" s="24" t="str">
        <f t="shared" si="65"/>
        <v/>
      </c>
    </row>
    <row r="803" spans="2:20" x14ac:dyDescent="0.4">
      <c r="B803" s="49" t="str" cm="1">
        <f t="array" ref="B803">IFERROR((INDEX($P$4:$T$1000,MATCH(VALUE(LEFT($A803,LEN($A803)-1)),$A$4:$A$1000,0),VALUE(RIGHT($A803,1)))/ INDEX($O$4:$O$1000,MATCH(VALUE(LEFT($A803,LEN($A803)-1)),$A$4:$A$1000))) * INDEX($B$4:$B$1000,MATCH(VALUE(LEFT($A803,LEN($A803)-1)),$A$4:$A$1000)),"")</f>
        <v/>
      </c>
      <c r="C803" s="2" t="str" cm="1">
        <f t="array" ref="C803">IFERROR(IF(INDEX($D$4:$H$1000,MATCH(VALUE(LEFT($A803,LEN($A803)-1)),$A$4:$A$1000,0),VALUE(RIGHT($A803,1)))= 0,"",INDEX($D$4:$H$1000,MATCH(VALUE(LEFT($A803,LEN($A803)-1)),$A$4:$A$1000,0),VALUE(RIGHT($A803,1)))),"")</f>
        <v/>
      </c>
      <c r="D803" s="23" t="str">
        <f>IFERROR(IF(INDEX(使用レシピ!F:F,MATCH(テンプレート!$C803,使用レシピ!$E:$E,0))&lt;&gt;0,INDEX(使用レシピ!F:F,MATCH(テンプレート!$C803,使用レシピ!$E:$E,0)),""),"")</f>
        <v/>
      </c>
      <c r="E803" t="str">
        <f>IFERROR(IF(INDEX(使用レシピ!G:G,MATCH(テンプレート!$C803,使用レシピ!$E:$E,0))&lt;&gt;0,INDEX(使用レシピ!G:G,MATCH(テンプレート!$C803,使用レシピ!$E:$E,0)),""),"")</f>
        <v/>
      </c>
      <c r="F803" t="str">
        <f>IFERROR(IF(INDEX(使用レシピ!H:H,MATCH(テンプレート!$C803,使用レシピ!$E:$E,0))&lt;&gt;0,INDEX(使用レシピ!H:H,MATCH(テンプレート!$C803,使用レシピ!$E:$E,0)),""),"")</f>
        <v/>
      </c>
      <c r="G803" t="str">
        <f>IFERROR(IF(INDEX(使用レシピ!I:I,MATCH(テンプレート!$C803,使用レシピ!$E:$E,0))&lt;&gt;0,INDEX(使用レシピ!I:I,MATCH(テンプレート!$C803,使用レシピ!$E:$E,0)),""),"")</f>
        <v/>
      </c>
      <c r="H803" s="24" t="str">
        <f>IFERROR(IF(INDEX(使用レシピ!J:J,MATCH(テンプレート!$C803,使用レシピ!$E:$E,0))&lt;&gt;0,INDEX(使用レシピ!J:J,MATCH(テンプレート!$C803,使用レシピ!$E:$E,0)),""),"")</f>
        <v/>
      </c>
      <c r="I803" s="36" t="str">
        <f>IFERROR(IF(INDEX(使用レシピ!P:P,MATCH(テンプレート!$C803,使用レシピ!$E:$E,0))&lt;&gt;0,INDEX(使用レシピ!P:P,MATCH(テンプレート!$C803,使用レシピ!$E:$E,0)),""),"")</f>
        <v/>
      </c>
      <c r="J803" t="str">
        <f>IFERROR(IF(INDEX(使用レシピ!K:K,MATCH(テンプレート!$C803,使用レシピ!$E:$E,0))&lt;&gt;0,INDEX(使用レシピ!K:K,MATCH(テンプレート!$C803,使用レシピ!$E:$E,0)),""),"")</f>
        <v/>
      </c>
      <c r="K803" t="str">
        <f>IFERROR(IF(INDEX(使用レシピ!L:L,MATCH(テンプレート!$C803,使用レシピ!$E:$E,0))&lt;&gt;0,INDEX(使用レシピ!L:L,MATCH(テンプレート!$C803,使用レシピ!$E:$E,0)),""),"")</f>
        <v/>
      </c>
      <c r="L803" t="str">
        <f>IFERROR(IF(INDEX(使用レシピ!M:M,MATCH(テンプレート!$C803,使用レシピ!$E:$E,0))&lt;&gt;0,INDEX(使用レシピ!M:M,MATCH(テンプレート!$C803,使用レシピ!$E:$E,0)),""),"")</f>
        <v/>
      </c>
      <c r="M803" t="str">
        <f>IFERROR(IF(INDEX(使用レシピ!N:N,MATCH(テンプレート!$C803,使用レシピ!$E:$E,0))&lt;&gt;0,INDEX(使用レシピ!N:N,MATCH(テンプレート!$C803,使用レシピ!$E:$E,0)),""),"")</f>
        <v/>
      </c>
      <c r="N803" s="24" t="str">
        <f>IFERROR(IF(INDEX(使用レシピ!O:O,MATCH(テンプレート!$C803,使用レシピ!$E:$E,0))&lt;&gt;0,INDEX(使用レシピ!O:O,MATCH(テンプレート!$C803,使用レシピ!$E:$E,0)),""),"")</f>
        <v/>
      </c>
      <c r="O803" s="36" t="str">
        <f>IFERROR(IF(INDEX(使用レシピ!P:P,MATCH(テンプレート!$C803,使用レシピ!$E:$E,0))&lt;&gt;0,INDEX(使用レシピ!P:P,MATCH(テンプレート!$C803,使用レシピ!$E:$E,0)),""),"")</f>
        <v/>
      </c>
      <c r="P803" t="str">
        <f t="shared" si="61"/>
        <v/>
      </c>
      <c r="Q803" t="str">
        <f t="shared" si="62"/>
        <v/>
      </c>
      <c r="R803" t="str">
        <f t="shared" si="63"/>
        <v/>
      </c>
      <c r="S803" t="str">
        <f t="shared" si="64"/>
        <v/>
      </c>
      <c r="T803" s="24" t="str">
        <f t="shared" si="65"/>
        <v/>
      </c>
    </row>
    <row r="804" spans="2:20" x14ac:dyDescent="0.4">
      <c r="B804" s="49" t="str" cm="1">
        <f t="array" ref="B804">IFERROR((INDEX($P$4:$T$1000,MATCH(VALUE(LEFT($A804,LEN($A804)-1)),$A$4:$A$1000,0),VALUE(RIGHT($A804,1)))/ INDEX($O$4:$O$1000,MATCH(VALUE(LEFT($A804,LEN($A804)-1)),$A$4:$A$1000))) * INDEX($B$4:$B$1000,MATCH(VALUE(LEFT($A804,LEN($A804)-1)),$A$4:$A$1000)),"")</f>
        <v/>
      </c>
      <c r="C804" s="2" t="str" cm="1">
        <f t="array" ref="C804">IFERROR(IF(INDEX($D$4:$H$1000,MATCH(VALUE(LEFT($A804,LEN($A804)-1)),$A$4:$A$1000,0),VALUE(RIGHT($A804,1)))= 0,"",INDEX($D$4:$H$1000,MATCH(VALUE(LEFT($A804,LEN($A804)-1)),$A$4:$A$1000,0),VALUE(RIGHT($A804,1)))),"")</f>
        <v/>
      </c>
      <c r="D804" s="23" t="str">
        <f>IFERROR(IF(INDEX(使用レシピ!F:F,MATCH(テンプレート!$C804,使用レシピ!$E:$E,0))&lt;&gt;0,INDEX(使用レシピ!F:F,MATCH(テンプレート!$C804,使用レシピ!$E:$E,0)),""),"")</f>
        <v/>
      </c>
      <c r="E804" t="str">
        <f>IFERROR(IF(INDEX(使用レシピ!G:G,MATCH(テンプレート!$C804,使用レシピ!$E:$E,0))&lt;&gt;0,INDEX(使用レシピ!G:G,MATCH(テンプレート!$C804,使用レシピ!$E:$E,0)),""),"")</f>
        <v/>
      </c>
      <c r="F804" t="str">
        <f>IFERROR(IF(INDEX(使用レシピ!H:H,MATCH(テンプレート!$C804,使用レシピ!$E:$E,0))&lt;&gt;0,INDEX(使用レシピ!H:H,MATCH(テンプレート!$C804,使用レシピ!$E:$E,0)),""),"")</f>
        <v/>
      </c>
      <c r="G804" t="str">
        <f>IFERROR(IF(INDEX(使用レシピ!I:I,MATCH(テンプレート!$C804,使用レシピ!$E:$E,0))&lt;&gt;0,INDEX(使用レシピ!I:I,MATCH(テンプレート!$C804,使用レシピ!$E:$E,0)),""),"")</f>
        <v/>
      </c>
      <c r="H804" s="24" t="str">
        <f>IFERROR(IF(INDEX(使用レシピ!J:J,MATCH(テンプレート!$C804,使用レシピ!$E:$E,0))&lt;&gt;0,INDEX(使用レシピ!J:J,MATCH(テンプレート!$C804,使用レシピ!$E:$E,0)),""),"")</f>
        <v/>
      </c>
      <c r="I804" s="36" t="str">
        <f>IFERROR(IF(INDEX(使用レシピ!P:P,MATCH(テンプレート!$C804,使用レシピ!$E:$E,0))&lt;&gt;0,INDEX(使用レシピ!P:P,MATCH(テンプレート!$C804,使用レシピ!$E:$E,0)),""),"")</f>
        <v/>
      </c>
      <c r="J804" t="str">
        <f>IFERROR(IF(INDEX(使用レシピ!K:K,MATCH(テンプレート!$C804,使用レシピ!$E:$E,0))&lt;&gt;0,INDEX(使用レシピ!K:K,MATCH(テンプレート!$C804,使用レシピ!$E:$E,0)),""),"")</f>
        <v/>
      </c>
      <c r="K804" t="str">
        <f>IFERROR(IF(INDEX(使用レシピ!L:L,MATCH(テンプレート!$C804,使用レシピ!$E:$E,0))&lt;&gt;0,INDEX(使用レシピ!L:L,MATCH(テンプレート!$C804,使用レシピ!$E:$E,0)),""),"")</f>
        <v/>
      </c>
      <c r="L804" t="str">
        <f>IFERROR(IF(INDEX(使用レシピ!M:M,MATCH(テンプレート!$C804,使用レシピ!$E:$E,0))&lt;&gt;0,INDEX(使用レシピ!M:M,MATCH(テンプレート!$C804,使用レシピ!$E:$E,0)),""),"")</f>
        <v/>
      </c>
      <c r="M804" t="str">
        <f>IFERROR(IF(INDEX(使用レシピ!N:N,MATCH(テンプレート!$C804,使用レシピ!$E:$E,0))&lt;&gt;0,INDEX(使用レシピ!N:N,MATCH(テンプレート!$C804,使用レシピ!$E:$E,0)),""),"")</f>
        <v/>
      </c>
      <c r="N804" s="24" t="str">
        <f>IFERROR(IF(INDEX(使用レシピ!O:O,MATCH(テンプレート!$C804,使用レシピ!$E:$E,0))&lt;&gt;0,INDEX(使用レシピ!O:O,MATCH(テンプレート!$C804,使用レシピ!$E:$E,0)),""),"")</f>
        <v/>
      </c>
      <c r="O804" s="36" t="str">
        <f>IFERROR(IF(INDEX(使用レシピ!P:P,MATCH(テンプレート!$C804,使用レシピ!$E:$E,0))&lt;&gt;0,INDEX(使用レシピ!P:P,MATCH(テンプレート!$C804,使用レシピ!$E:$E,0)),""),"")</f>
        <v/>
      </c>
      <c r="P804" t="str">
        <f t="shared" si="61"/>
        <v/>
      </c>
      <c r="Q804" t="str">
        <f t="shared" si="62"/>
        <v/>
      </c>
      <c r="R804" t="str">
        <f t="shared" si="63"/>
        <v/>
      </c>
      <c r="S804" t="str">
        <f t="shared" si="64"/>
        <v/>
      </c>
      <c r="T804" s="24" t="str">
        <f t="shared" si="65"/>
        <v/>
      </c>
    </row>
    <row r="805" spans="2:20" x14ac:dyDescent="0.4">
      <c r="B805" s="49" t="str" cm="1">
        <f t="array" ref="B805">IFERROR((INDEX($P$4:$T$1000,MATCH(VALUE(LEFT($A805,LEN($A805)-1)),$A$4:$A$1000,0),VALUE(RIGHT($A805,1)))/ INDEX($O$4:$O$1000,MATCH(VALUE(LEFT($A805,LEN($A805)-1)),$A$4:$A$1000))) * INDEX($B$4:$B$1000,MATCH(VALUE(LEFT($A805,LEN($A805)-1)),$A$4:$A$1000)),"")</f>
        <v/>
      </c>
      <c r="C805" s="2" t="str" cm="1">
        <f t="array" ref="C805">IFERROR(IF(INDEX($D$4:$H$1000,MATCH(VALUE(LEFT($A805,LEN($A805)-1)),$A$4:$A$1000,0),VALUE(RIGHT($A805,1)))= 0,"",INDEX($D$4:$H$1000,MATCH(VALUE(LEFT($A805,LEN($A805)-1)),$A$4:$A$1000,0),VALUE(RIGHT($A805,1)))),"")</f>
        <v/>
      </c>
      <c r="D805" s="23" t="str">
        <f>IFERROR(IF(INDEX(使用レシピ!F:F,MATCH(テンプレート!$C805,使用レシピ!$E:$E,0))&lt;&gt;0,INDEX(使用レシピ!F:F,MATCH(テンプレート!$C805,使用レシピ!$E:$E,0)),""),"")</f>
        <v/>
      </c>
      <c r="E805" t="str">
        <f>IFERROR(IF(INDEX(使用レシピ!G:G,MATCH(テンプレート!$C805,使用レシピ!$E:$E,0))&lt;&gt;0,INDEX(使用レシピ!G:G,MATCH(テンプレート!$C805,使用レシピ!$E:$E,0)),""),"")</f>
        <v/>
      </c>
      <c r="F805" t="str">
        <f>IFERROR(IF(INDEX(使用レシピ!H:H,MATCH(テンプレート!$C805,使用レシピ!$E:$E,0))&lt;&gt;0,INDEX(使用レシピ!H:H,MATCH(テンプレート!$C805,使用レシピ!$E:$E,0)),""),"")</f>
        <v/>
      </c>
      <c r="G805" t="str">
        <f>IFERROR(IF(INDEX(使用レシピ!I:I,MATCH(テンプレート!$C805,使用レシピ!$E:$E,0))&lt;&gt;0,INDEX(使用レシピ!I:I,MATCH(テンプレート!$C805,使用レシピ!$E:$E,0)),""),"")</f>
        <v/>
      </c>
      <c r="H805" s="24" t="str">
        <f>IFERROR(IF(INDEX(使用レシピ!J:J,MATCH(テンプレート!$C805,使用レシピ!$E:$E,0))&lt;&gt;0,INDEX(使用レシピ!J:J,MATCH(テンプレート!$C805,使用レシピ!$E:$E,0)),""),"")</f>
        <v/>
      </c>
      <c r="I805" s="36" t="str">
        <f>IFERROR(IF(INDEX(使用レシピ!P:P,MATCH(テンプレート!$C805,使用レシピ!$E:$E,0))&lt;&gt;0,INDEX(使用レシピ!P:P,MATCH(テンプレート!$C805,使用レシピ!$E:$E,0)),""),"")</f>
        <v/>
      </c>
      <c r="J805" t="str">
        <f>IFERROR(IF(INDEX(使用レシピ!K:K,MATCH(テンプレート!$C805,使用レシピ!$E:$E,0))&lt;&gt;0,INDEX(使用レシピ!K:K,MATCH(テンプレート!$C805,使用レシピ!$E:$E,0)),""),"")</f>
        <v/>
      </c>
      <c r="K805" t="str">
        <f>IFERROR(IF(INDEX(使用レシピ!L:L,MATCH(テンプレート!$C805,使用レシピ!$E:$E,0))&lt;&gt;0,INDEX(使用レシピ!L:L,MATCH(テンプレート!$C805,使用レシピ!$E:$E,0)),""),"")</f>
        <v/>
      </c>
      <c r="L805" t="str">
        <f>IFERROR(IF(INDEX(使用レシピ!M:M,MATCH(テンプレート!$C805,使用レシピ!$E:$E,0))&lt;&gt;0,INDEX(使用レシピ!M:M,MATCH(テンプレート!$C805,使用レシピ!$E:$E,0)),""),"")</f>
        <v/>
      </c>
      <c r="M805" t="str">
        <f>IFERROR(IF(INDEX(使用レシピ!N:N,MATCH(テンプレート!$C805,使用レシピ!$E:$E,0))&lt;&gt;0,INDEX(使用レシピ!N:N,MATCH(テンプレート!$C805,使用レシピ!$E:$E,0)),""),"")</f>
        <v/>
      </c>
      <c r="N805" s="24" t="str">
        <f>IFERROR(IF(INDEX(使用レシピ!O:O,MATCH(テンプレート!$C805,使用レシピ!$E:$E,0))&lt;&gt;0,INDEX(使用レシピ!O:O,MATCH(テンプレート!$C805,使用レシピ!$E:$E,0)),""),"")</f>
        <v/>
      </c>
      <c r="O805" s="36" t="str">
        <f>IFERROR(IF(INDEX(使用レシピ!P:P,MATCH(テンプレート!$C805,使用レシピ!$E:$E,0))&lt;&gt;0,INDEX(使用レシピ!P:P,MATCH(テンプレート!$C805,使用レシピ!$E:$E,0)),""),"")</f>
        <v/>
      </c>
      <c r="P805" t="str">
        <f t="shared" si="61"/>
        <v/>
      </c>
      <c r="Q805" t="str">
        <f t="shared" si="62"/>
        <v/>
      </c>
      <c r="R805" t="str">
        <f t="shared" si="63"/>
        <v/>
      </c>
      <c r="S805" t="str">
        <f t="shared" si="64"/>
        <v/>
      </c>
      <c r="T805" s="24" t="str">
        <f t="shared" si="65"/>
        <v/>
      </c>
    </row>
    <row r="806" spans="2:20" x14ac:dyDescent="0.4">
      <c r="B806" s="49" t="str" cm="1">
        <f t="array" ref="B806">IFERROR((INDEX($P$4:$T$1000,MATCH(VALUE(LEFT($A806,LEN($A806)-1)),$A$4:$A$1000,0),VALUE(RIGHT($A806,1)))/ INDEX($O$4:$O$1000,MATCH(VALUE(LEFT($A806,LEN($A806)-1)),$A$4:$A$1000))) * INDEX($B$4:$B$1000,MATCH(VALUE(LEFT($A806,LEN($A806)-1)),$A$4:$A$1000)),"")</f>
        <v/>
      </c>
      <c r="C806" s="2" t="str" cm="1">
        <f t="array" ref="C806">IFERROR(IF(INDEX($D$4:$H$1000,MATCH(VALUE(LEFT($A806,LEN($A806)-1)),$A$4:$A$1000,0),VALUE(RIGHT($A806,1)))= 0,"",INDEX($D$4:$H$1000,MATCH(VALUE(LEFT($A806,LEN($A806)-1)),$A$4:$A$1000,0),VALUE(RIGHT($A806,1)))),"")</f>
        <v/>
      </c>
      <c r="D806" s="23" t="str">
        <f>IFERROR(IF(INDEX(使用レシピ!F:F,MATCH(テンプレート!$C806,使用レシピ!$E:$E,0))&lt;&gt;0,INDEX(使用レシピ!F:F,MATCH(テンプレート!$C806,使用レシピ!$E:$E,0)),""),"")</f>
        <v/>
      </c>
      <c r="E806" t="str">
        <f>IFERROR(IF(INDEX(使用レシピ!G:G,MATCH(テンプレート!$C806,使用レシピ!$E:$E,0))&lt;&gt;0,INDEX(使用レシピ!G:G,MATCH(テンプレート!$C806,使用レシピ!$E:$E,0)),""),"")</f>
        <v/>
      </c>
      <c r="F806" t="str">
        <f>IFERROR(IF(INDEX(使用レシピ!H:H,MATCH(テンプレート!$C806,使用レシピ!$E:$E,0))&lt;&gt;0,INDEX(使用レシピ!H:H,MATCH(テンプレート!$C806,使用レシピ!$E:$E,0)),""),"")</f>
        <v/>
      </c>
      <c r="G806" t="str">
        <f>IFERROR(IF(INDEX(使用レシピ!I:I,MATCH(テンプレート!$C806,使用レシピ!$E:$E,0))&lt;&gt;0,INDEX(使用レシピ!I:I,MATCH(テンプレート!$C806,使用レシピ!$E:$E,0)),""),"")</f>
        <v/>
      </c>
      <c r="H806" s="24" t="str">
        <f>IFERROR(IF(INDEX(使用レシピ!J:J,MATCH(テンプレート!$C806,使用レシピ!$E:$E,0))&lt;&gt;0,INDEX(使用レシピ!J:J,MATCH(テンプレート!$C806,使用レシピ!$E:$E,0)),""),"")</f>
        <v/>
      </c>
      <c r="I806" s="36" t="str">
        <f>IFERROR(IF(INDEX(使用レシピ!P:P,MATCH(テンプレート!$C806,使用レシピ!$E:$E,0))&lt;&gt;0,INDEX(使用レシピ!P:P,MATCH(テンプレート!$C806,使用レシピ!$E:$E,0)),""),"")</f>
        <v/>
      </c>
      <c r="J806" t="str">
        <f>IFERROR(IF(INDEX(使用レシピ!K:K,MATCH(テンプレート!$C806,使用レシピ!$E:$E,0))&lt;&gt;0,INDEX(使用レシピ!K:K,MATCH(テンプレート!$C806,使用レシピ!$E:$E,0)),""),"")</f>
        <v/>
      </c>
      <c r="K806" t="str">
        <f>IFERROR(IF(INDEX(使用レシピ!L:L,MATCH(テンプレート!$C806,使用レシピ!$E:$E,0))&lt;&gt;0,INDEX(使用レシピ!L:L,MATCH(テンプレート!$C806,使用レシピ!$E:$E,0)),""),"")</f>
        <v/>
      </c>
      <c r="L806" t="str">
        <f>IFERROR(IF(INDEX(使用レシピ!M:M,MATCH(テンプレート!$C806,使用レシピ!$E:$E,0))&lt;&gt;0,INDEX(使用レシピ!M:M,MATCH(テンプレート!$C806,使用レシピ!$E:$E,0)),""),"")</f>
        <v/>
      </c>
      <c r="M806" t="str">
        <f>IFERROR(IF(INDEX(使用レシピ!N:N,MATCH(テンプレート!$C806,使用レシピ!$E:$E,0))&lt;&gt;0,INDEX(使用レシピ!N:N,MATCH(テンプレート!$C806,使用レシピ!$E:$E,0)),""),"")</f>
        <v/>
      </c>
      <c r="N806" s="24" t="str">
        <f>IFERROR(IF(INDEX(使用レシピ!O:O,MATCH(テンプレート!$C806,使用レシピ!$E:$E,0))&lt;&gt;0,INDEX(使用レシピ!O:O,MATCH(テンプレート!$C806,使用レシピ!$E:$E,0)),""),"")</f>
        <v/>
      </c>
      <c r="O806" s="36" t="str">
        <f>IFERROR(IF(INDEX(使用レシピ!P:P,MATCH(テンプレート!$C806,使用レシピ!$E:$E,0))&lt;&gt;0,INDEX(使用レシピ!P:P,MATCH(テンプレート!$C806,使用レシピ!$E:$E,0)),""),"")</f>
        <v/>
      </c>
      <c r="P806" t="str">
        <f t="shared" si="61"/>
        <v/>
      </c>
      <c r="Q806" t="str">
        <f t="shared" si="62"/>
        <v/>
      </c>
      <c r="R806" t="str">
        <f t="shared" si="63"/>
        <v/>
      </c>
      <c r="S806" t="str">
        <f t="shared" si="64"/>
        <v/>
      </c>
      <c r="T806" s="24" t="str">
        <f t="shared" si="65"/>
        <v/>
      </c>
    </row>
    <row r="807" spans="2:20" x14ac:dyDescent="0.4">
      <c r="B807" s="49" t="str" cm="1">
        <f t="array" ref="B807">IFERROR((INDEX($P$4:$T$1000,MATCH(VALUE(LEFT($A807,LEN($A807)-1)),$A$4:$A$1000,0),VALUE(RIGHT($A807,1)))/ INDEX($O$4:$O$1000,MATCH(VALUE(LEFT($A807,LEN($A807)-1)),$A$4:$A$1000))) * INDEX($B$4:$B$1000,MATCH(VALUE(LEFT($A807,LEN($A807)-1)),$A$4:$A$1000)),"")</f>
        <v/>
      </c>
      <c r="C807" s="2" t="str" cm="1">
        <f t="array" ref="C807">IFERROR(IF(INDEX($D$4:$H$1000,MATCH(VALUE(LEFT($A807,LEN($A807)-1)),$A$4:$A$1000,0),VALUE(RIGHT($A807,1)))= 0,"",INDEX($D$4:$H$1000,MATCH(VALUE(LEFT($A807,LEN($A807)-1)),$A$4:$A$1000,0),VALUE(RIGHT($A807,1)))),"")</f>
        <v/>
      </c>
      <c r="D807" s="23" t="str">
        <f>IFERROR(IF(INDEX(使用レシピ!F:F,MATCH(テンプレート!$C807,使用レシピ!$E:$E,0))&lt;&gt;0,INDEX(使用レシピ!F:F,MATCH(テンプレート!$C807,使用レシピ!$E:$E,0)),""),"")</f>
        <v/>
      </c>
      <c r="E807" t="str">
        <f>IFERROR(IF(INDEX(使用レシピ!G:G,MATCH(テンプレート!$C807,使用レシピ!$E:$E,0))&lt;&gt;0,INDEX(使用レシピ!G:G,MATCH(テンプレート!$C807,使用レシピ!$E:$E,0)),""),"")</f>
        <v/>
      </c>
      <c r="F807" t="str">
        <f>IFERROR(IF(INDEX(使用レシピ!H:H,MATCH(テンプレート!$C807,使用レシピ!$E:$E,0))&lt;&gt;0,INDEX(使用レシピ!H:H,MATCH(テンプレート!$C807,使用レシピ!$E:$E,0)),""),"")</f>
        <v/>
      </c>
      <c r="G807" t="str">
        <f>IFERROR(IF(INDEX(使用レシピ!I:I,MATCH(テンプレート!$C807,使用レシピ!$E:$E,0))&lt;&gt;0,INDEX(使用レシピ!I:I,MATCH(テンプレート!$C807,使用レシピ!$E:$E,0)),""),"")</f>
        <v/>
      </c>
      <c r="H807" s="24" t="str">
        <f>IFERROR(IF(INDEX(使用レシピ!J:J,MATCH(テンプレート!$C807,使用レシピ!$E:$E,0))&lt;&gt;0,INDEX(使用レシピ!J:J,MATCH(テンプレート!$C807,使用レシピ!$E:$E,0)),""),"")</f>
        <v/>
      </c>
      <c r="I807" s="36" t="str">
        <f>IFERROR(IF(INDEX(使用レシピ!P:P,MATCH(テンプレート!$C807,使用レシピ!$E:$E,0))&lt;&gt;0,INDEX(使用レシピ!P:P,MATCH(テンプレート!$C807,使用レシピ!$E:$E,0)),""),"")</f>
        <v/>
      </c>
      <c r="J807" t="str">
        <f>IFERROR(IF(INDEX(使用レシピ!K:K,MATCH(テンプレート!$C807,使用レシピ!$E:$E,0))&lt;&gt;0,INDEX(使用レシピ!K:K,MATCH(テンプレート!$C807,使用レシピ!$E:$E,0)),""),"")</f>
        <v/>
      </c>
      <c r="K807" t="str">
        <f>IFERROR(IF(INDEX(使用レシピ!L:L,MATCH(テンプレート!$C807,使用レシピ!$E:$E,0))&lt;&gt;0,INDEX(使用レシピ!L:L,MATCH(テンプレート!$C807,使用レシピ!$E:$E,0)),""),"")</f>
        <v/>
      </c>
      <c r="L807" t="str">
        <f>IFERROR(IF(INDEX(使用レシピ!M:M,MATCH(テンプレート!$C807,使用レシピ!$E:$E,0))&lt;&gt;0,INDEX(使用レシピ!M:M,MATCH(テンプレート!$C807,使用レシピ!$E:$E,0)),""),"")</f>
        <v/>
      </c>
      <c r="M807" t="str">
        <f>IFERROR(IF(INDEX(使用レシピ!N:N,MATCH(テンプレート!$C807,使用レシピ!$E:$E,0))&lt;&gt;0,INDEX(使用レシピ!N:N,MATCH(テンプレート!$C807,使用レシピ!$E:$E,0)),""),"")</f>
        <v/>
      </c>
      <c r="N807" s="24" t="str">
        <f>IFERROR(IF(INDEX(使用レシピ!O:O,MATCH(テンプレート!$C807,使用レシピ!$E:$E,0))&lt;&gt;0,INDEX(使用レシピ!O:O,MATCH(テンプレート!$C807,使用レシピ!$E:$E,0)),""),"")</f>
        <v/>
      </c>
      <c r="O807" s="36" t="str">
        <f>IFERROR(IF(INDEX(使用レシピ!P:P,MATCH(テンプレート!$C807,使用レシピ!$E:$E,0))&lt;&gt;0,INDEX(使用レシピ!P:P,MATCH(テンプレート!$C807,使用レシピ!$E:$E,0)),""),"")</f>
        <v/>
      </c>
      <c r="P807" t="str">
        <f t="shared" si="61"/>
        <v/>
      </c>
      <c r="Q807" t="str">
        <f t="shared" si="62"/>
        <v/>
      </c>
      <c r="R807" t="str">
        <f t="shared" si="63"/>
        <v/>
      </c>
      <c r="S807" t="str">
        <f t="shared" si="64"/>
        <v/>
      </c>
      <c r="T807" s="24" t="str">
        <f t="shared" si="65"/>
        <v/>
      </c>
    </row>
    <row r="808" spans="2:20" x14ac:dyDescent="0.4">
      <c r="B808" s="49" t="str" cm="1">
        <f t="array" ref="B808">IFERROR((INDEX($P$4:$T$1000,MATCH(VALUE(LEFT($A808,LEN($A808)-1)),$A$4:$A$1000,0),VALUE(RIGHT($A808,1)))/ INDEX($O$4:$O$1000,MATCH(VALUE(LEFT($A808,LEN($A808)-1)),$A$4:$A$1000))) * INDEX($B$4:$B$1000,MATCH(VALUE(LEFT($A808,LEN($A808)-1)),$A$4:$A$1000)),"")</f>
        <v/>
      </c>
      <c r="C808" s="2" t="str" cm="1">
        <f t="array" ref="C808">IFERROR(IF(INDEX($D$4:$H$1000,MATCH(VALUE(LEFT($A808,LEN($A808)-1)),$A$4:$A$1000,0),VALUE(RIGHT($A808,1)))= 0,"",INDEX($D$4:$H$1000,MATCH(VALUE(LEFT($A808,LEN($A808)-1)),$A$4:$A$1000,0),VALUE(RIGHT($A808,1)))),"")</f>
        <v/>
      </c>
      <c r="D808" s="23" t="str">
        <f>IFERROR(IF(INDEX(使用レシピ!F:F,MATCH(テンプレート!$C808,使用レシピ!$E:$E,0))&lt;&gt;0,INDEX(使用レシピ!F:F,MATCH(テンプレート!$C808,使用レシピ!$E:$E,0)),""),"")</f>
        <v/>
      </c>
      <c r="E808" t="str">
        <f>IFERROR(IF(INDEX(使用レシピ!G:G,MATCH(テンプレート!$C808,使用レシピ!$E:$E,0))&lt;&gt;0,INDEX(使用レシピ!G:G,MATCH(テンプレート!$C808,使用レシピ!$E:$E,0)),""),"")</f>
        <v/>
      </c>
      <c r="F808" t="str">
        <f>IFERROR(IF(INDEX(使用レシピ!H:H,MATCH(テンプレート!$C808,使用レシピ!$E:$E,0))&lt;&gt;0,INDEX(使用レシピ!H:H,MATCH(テンプレート!$C808,使用レシピ!$E:$E,0)),""),"")</f>
        <v/>
      </c>
      <c r="G808" t="str">
        <f>IFERROR(IF(INDEX(使用レシピ!I:I,MATCH(テンプレート!$C808,使用レシピ!$E:$E,0))&lt;&gt;0,INDEX(使用レシピ!I:I,MATCH(テンプレート!$C808,使用レシピ!$E:$E,0)),""),"")</f>
        <v/>
      </c>
      <c r="H808" s="24" t="str">
        <f>IFERROR(IF(INDEX(使用レシピ!J:J,MATCH(テンプレート!$C808,使用レシピ!$E:$E,0))&lt;&gt;0,INDEX(使用レシピ!J:J,MATCH(テンプレート!$C808,使用レシピ!$E:$E,0)),""),"")</f>
        <v/>
      </c>
      <c r="I808" s="36" t="str">
        <f>IFERROR(IF(INDEX(使用レシピ!P:P,MATCH(テンプレート!$C808,使用レシピ!$E:$E,0))&lt;&gt;0,INDEX(使用レシピ!P:P,MATCH(テンプレート!$C808,使用レシピ!$E:$E,0)),""),"")</f>
        <v/>
      </c>
      <c r="J808" t="str">
        <f>IFERROR(IF(INDEX(使用レシピ!K:K,MATCH(テンプレート!$C808,使用レシピ!$E:$E,0))&lt;&gt;0,INDEX(使用レシピ!K:K,MATCH(テンプレート!$C808,使用レシピ!$E:$E,0)),""),"")</f>
        <v/>
      </c>
      <c r="K808" t="str">
        <f>IFERROR(IF(INDEX(使用レシピ!L:L,MATCH(テンプレート!$C808,使用レシピ!$E:$E,0))&lt;&gt;0,INDEX(使用レシピ!L:L,MATCH(テンプレート!$C808,使用レシピ!$E:$E,0)),""),"")</f>
        <v/>
      </c>
      <c r="L808" t="str">
        <f>IFERROR(IF(INDEX(使用レシピ!M:M,MATCH(テンプレート!$C808,使用レシピ!$E:$E,0))&lt;&gt;0,INDEX(使用レシピ!M:M,MATCH(テンプレート!$C808,使用レシピ!$E:$E,0)),""),"")</f>
        <v/>
      </c>
      <c r="M808" t="str">
        <f>IFERROR(IF(INDEX(使用レシピ!N:N,MATCH(テンプレート!$C808,使用レシピ!$E:$E,0))&lt;&gt;0,INDEX(使用レシピ!N:N,MATCH(テンプレート!$C808,使用レシピ!$E:$E,0)),""),"")</f>
        <v/>
      </c>
      <c r="N808" s="24" t="str">
        <f>IFERROR(IF(INDEX(使用レシピ!O:O,MATCH(テンプレート!$C808,使用レシピ!$E:$E,0))&lt;&gt;0,INDEX(使用レシピ!O:O,MATCH(テンプレート!$C808,使用レシピ!$E:$E,0)),""),"")</f>
        <v/>
      </c>
      <c r="O808" s="36" t="str">
        <f>IFERROR(IF(INDEX(使用レシピ!P:P,MATCH(テンプレート!$C808,使用レシピ!$E:$E,0))&lt;&gt;0,INDEX(使用レシピ!P:P,MATCH(テンプレート!$C808,使用レシピ!$E:$E,0)),""),"")</f>
        <v/>
      </c>
      <c r="P808" t="str">
        <f t="shared" si="61"/>
        <v/>
      </c>
      <c r="Q808" t="str">
        <f t="shared" si="62"/>
        <v/>
      </c>
      <c r="R808" t="str">
        <f t="shared" si="63"/>
        <v/>
      </c>
      <c r="S808" t="str">
        <f t="shared" si="64"/>
        <v/>
      </c>
      <c r="T808" s="24" t="str">
        <f t="shared" si="65"/>
        <v/>
      </c>
    </row>
    <row r="809" spans="2:20" x14ac:dyDescent="0.4">
      <c r="B809" s="49" t="str" cm="1">
        <f t="array" ref="B809">IFERROR((INDEX($P$4:$T$1000,MATCH(VALUE(LEFT($A809,LEN($A809)-1)),$A$4:$A$1000,0),VALUE(RIGHT($A809,1)))/ INDEX($O$4:$O$1000,MATCH(VALUE(LEFT($A809,LEN($A809)-1)),$A$4:$A$1000))) * INDEX($B$4:$B$1000,MATCH(VALUE(LEFT($A809,LEN($A809)-1)),$A$4:$A$1000)),"")</f>
        <v/>
      </c>
      <c r="C809" s="2" t="str" cm="1">
        <f t="array" ref="C809">IFERROR(IF(INDEX($D$4:$H$1000,MATCH(VALUE(LEFT($A809,LEN($A809)-1)),$A$4:$A$1000,0),VALUE(RIGHT($A809,1)))= 0,"",INDEX($D$4:$H$1000,MATCH(VALUE(LEFT($A809,LEN($A809)-1)),$A$4:$A$1000,0),VALUE(RIGHT($A809,1)))),"")</f>
        <v/>
      </c>
      <c r="D809" s="23" t="str">
        <f>IFERROR(IF(INDEX(使用レシピ!F:F,MATCH(テンプレート!$C809,使用レシピ!$E:$E,0))&lt;&gt;0,INDEX(使用レシピ!F:F,MATCH(テンプレート!$C809,使用レシピ!$E:$E,0)),""),"")</f>
        <v/>
      </c>
      <c r="E809" t="str">
        <f>IFERROR(IF(INDEX(使用レシピ!G:G,MATCH(テンプレート!$C809,使用レシピ!$E:$E,0))&lt;&gt;0,INDEX(使用レシピ!G:G,MATCH(テンプレート!$C809,使用レシピ!$E:$E,0)),""),"")</f>
        <v/>
      </c>
      <c r="F809" t="str">
        <f>IFERROR(IF(INDEX(使用レシピ!H:H,MATCH(テンプレート!$C809,使用レシピ!$E:$E,0))&lt;&gt;0,INDEX(使用レシピ!H:H,MATCH(テンプレート!$C809,使用レシピ!$E:$E,0)),""),"")</f>
        <v/>
      </c>
      <c r="G809" t="str">
        <f>IFERROR(IF(INDEX(使用レシピ!I:I,MATCH(テンプレート!$C809,使用レシピ!$E:$E,0))&lt;&gt;0,INDEX(使用レシピ!I:I,MATCH(テンプレート!$C809,使用レシピ!$E:$E,0)),""),"")</f>
        <v/>
      </c>
      <c r="H809" s="24" t="str">
        <f>IFERROR(IF(INDEX(使用レシピ!J:J,MATCH(テンプレート!$C809,使用レシピ!$E:$E,0))&lt;&gt;0,INDEX(使用レシピ!J:J,MATCH(テンプレート!$C809,使用レシピ!$E:$E,0)),""),"")</f>
        <v/>
      </c>
      <c r="I809" s="36" t="str">
        <f>IFERROR(IF(INDEX(使用レシピ!P:P,MATCH(テンプレート!$C809,使用レシピ!$E:$E,0))&lt;&gt;0,INDEX(使用レシピ!P:P,MATCH(テンプレート!$C809,使用レシピ!$E:$E,0)),""),"")</f>
        <v/>
      </c>
      <c r="J809" t="str">
        <f>IFERROR(IF(INDEX(使用レシピ!K:K,MATCH(テンプレート!$C809,使用レシピ!$E:$E,0))&lt;&gt;0,INDEX(使用レシピ!K:K,MATCH(テンプレート!$C809,使用レシピ!$E:$E,0)),""),"")</f>
        <v/>
      </c>
      <c r="K809" t="str">
        <f>IFERROR(IF(INDEX(使用レシピ!L:L,MATCH(テンプレート!$C809,使用レシピ!$E:$E,0))&lt;&gt;0,INDEX(使用レシピ!L:L,MATCH(テンプレート!$C809,使用レシピ!$E:$E,0)),""),"")</f>
        <v/>
      </c>
      <c r="L809" t="str">
        <f>IFERROR(IF(INDEX(使用レシピ!M:M,MATCH(テンプレート!$C809,使用レシピ!$E:$E,0))&lt;&gt;0,INDEX(使用レシピ!M:M,MATCH(テンプレート!$C809,使用レシピ!$E:$E,0)),""),"")</f>
        <v/>
      </c>
      <c r="M809" t="str">
        <f>IFERROR(IF(INDEX(使用レシピ!N:N,MATCH(テンプレート!$C809,使用レシピ!$E:$E,0))&lt;&gt;0,INDEX(使用レシピ!N:N,MATCH(テンプレート!$C809,使用レシピ!$E:$E,0)),""),"")</f>
        <v/>
      </c>
      <c r="N809" s="24" t="str">
        <f>IFERROR(IF(INDEX(使用レシピ!O:O,MATCH(テンプレート!$C809,使用レシピ!$E:$E,0))&lt;&gt;0,INDEX(使用レシピ!O:O,MATCH(テンプレート!$C809,使用レシピ!$E:$E,0)),""),"")</f>
        <v/>
      </c>
      <c r="O809" s="36" t="str">
        <f>IFERROR(IF(INDEX(使用レシピ!P:P,MATCH(テンプレート!$C809,使用レシピ!$E:$E,0))&lt;&gt;0,INDEX(使用レシピ!P:P,MATCH(テンプレート!$C809,使用レシピ!$E:$E,0)),""),"")</f>
        <v/>
      </c>
      <c r="P809" t="str">
        <f t="shared" si="61"/>
        <v/>
      </c>
      <c r="Q809" t="str">
        <f t="shared" si="62"/>
        <v/>
      </c>
      <c r="R809" t="str">
        <f t="shared" si="63"/>
        <v/>
      </c>
      <c r="S809" t="str">
        <f t="shared" si="64"/>
        <v/>
      </c>
      <c r="T809" s="24" t="str">
        <f t="shared" si="65"/>
        <v/>
      </c>
    </row>
    <row r="810" spans="2:20" x14ac:dyDescent="0.4">
      <c r="B810" s="49" t="str" cm="1">
        <f t="array" ref="B810">IFERROR((INDEX($P$4:$T$1000,MATCH(VALUE(LEFT($A810,LEN($A810)-1)),$A$4:$A$1000,0),VALUE(RIGHT($A810,1)))/ INDEX($O$4:$O$1000,MATCH(VALUE(LEFT($A810,LEN($A810)-1)),$A$4:$A$1000))) * INDEX($B$4:$B$1000,MATCH(VALUE(LEFT($A810,LEN($A810)-1)),$A$4:$A$1000)),"")</f>
        <v/>
      </c>
      <c r="C810" s="2" t="str" cm="1">
        <f t="array" ref="C810">IFERROR(IF(INDEX($D$4:$H$1000,MATCH(VALUE(LEFT($A810,LEN($A810)-1)),$A$4:$A$1000,0),VALUE(RIGHT($A810,1)))= 0,"",INDEX($D$4:$H$1000,MATCH(VALUE(LEFT($A810,LEN($A810)-1)),$A$4:$A$1000,0),VALUE(RIGHT($A810,1)))),"")</f>
        <v/>
      </c>
      <c r="D810" s="23" t="str">
        <f>IFERROR(IF(INDEX(使用レシピ!F:F,MATCH(テンプレート!$C810,使用レシピ!$E:$E,0))&lt;&gt;0,INDEX(使用レシピ!F:F,MATCH(テンプレート!$C810,使用レシピ!$E:$E,0)),""),"")</f>
        <v/>
      </c>
      <c r="E810" t="str">
        <f>IFERROR(IF(INDEX(使用レシピ!G:G,MATCH(テンプレート!$C810,使用レシピ!$E:$E,0))&lt;&gt;0,INDEX(使用レシピ!G:G,MATCH(テンプレート!$C810,使用レシピ!$E:$E,0)),""),"")</f>
        <v/>
      </c>
      <c r="F810" t="str">
        <f>IFERROR(IF(INDEX(使用レシピ!H:H,MATCH(テンプレート!$C810,使用レシピ!$E:$E,0))&lt;&gt;0,INDEX(使用レシピ!H:H,MATCH(テンプレート!$C810,使用レシピ!$E:$E,0)),""),"")</f>
        <v/>
      </c>
      <c r="G810" t="str">
        <f>IFERROR(IF(INDEX(使用レシピ!I:I,MATCH(テンプレート!$C810,使用レシピ!$E:$E,0))&lt;&gt;0,INDEX(使用レシピ!I:I,MATCH(テンプレート!$C810,使用レシピ!$E:$E,0)),""),"")</f>
        <v/>
      </c>
      <c r="H810" s="24" t="str">
        <f>IFERROR(IF(INDEX(使用レシピ!J:J,MATCH(テンプレート!$C810,使用レシピ!$E:$E,0))&lt;&gt;0,INDEX(使用レシピ!J:J,MATCH(テンプレート!$C810,使用レシピ!$E:$E,0)),""),"")</f>
        <v/>
      </c>
      <c r="I810" s="36" t="str">
        <f>IFERROR(IF(INDEX(使用レシピ!P:P,MATCH(テンプレート!$C810,使用レシピ!$E:$E,0))&lt;&gt;0,INDEX(使用レシピ!P:P,MATCH(テンプレート!$C810,使用レシピ!$E:$E,0)),""),"")</f>
        <v/>
      </c>
      <c r="J810" t="str">
        <f>IFERROR(IF(INDEX(使用レシピ!K:K,MATCH(テンプレート!$C810,使用レシピ!$E:$E,0))&lt;&gt;0,INDEX(使用レシピ!K:K,MATCH(テンプレート!$C810,使用レシピ!$E:$E,0)),""),"")</f>
        <v/>
      </c>
      <c r="K810" t="str">
        <f>IFERROR(IF(INDEX(使用レシピ!L:L,MATCH(テンプレート!$C810,使用レシピ!$E:$E,0))&lt;&gt;0,INDEX(使用レシピ!L:L,MATCH(テンプレート!$C810,使用レシピ!$E:$E,0)),""),"")</f>
        <v/>
      </c>
      <c r="L810" t="str">
        <f>IFERROR(IF(INDEX(使用レシピ!M:M,MATCH(テンプレート!$C810,使用レシピ!$E:$E,0))&lt;&gt;0,INDEX(使用レシピ!M:M,MATCH(テンプレート!$C810,使用レシピ!$E:$E,0)),""),"")</f>
        <v/>
      </c>
      <c r="M810" t="str">
        <f>IFERROR(IF(INDEX(使用レシピ!N:N,MATCH(テンプレート!$C810,使用レシピ!$E:$E,0))&lt;&gt;0,INDEX(使用レシピ!N:N,MATCH(テンプレート!$C810,使用レシピ!$E:$E,0)),""),"")</f>
        <v/>
      </c>
      <c r="N810" s="24" t="str">
        <f>IFERROR(IF(INDEX(使用レシピ!O:O,MATCH(テンプレート!$C810,使用レシピ!$E:$E,0))&lt;&gt;0,INDEX(使用レシピ!O:O,MATCH(テンプレート!$C810,使用レシピ!$E:$E,0)),""),"")</f>
        <v/>
      </c>
      <c r="O810" s="36" t="str">
        <f>IFERROR(IF(INDEX(使用レシピ!P:P,MATCH(テンプレート!$C810,使用レシピ!$E:$E,0))&lt;&gt;0,INDEX(使用レシピ!P:P,MATCH(テンプレート!$C810,使用レシピ!$E:$E,0)),""),"")</f>
        <v/>
      </c>
      <c r="P810" t="str">
        <f t="shared" si="61"/>
        <v/>
      </c>
      <c r="Q810" t="str">
        <f t="shared" si="62"/>
        <v/>
      </c>
      <c r="R810" t="str">
        <f t="shared" si="63"/>
        <v/>
      </c>
      <c r="S810" t="str">
        <f t="shared" si="64"/>
        <v/>
      </c>
      <c r="T810" s="24" t="str">
        <f t="shared" si="65"/>
        <v/>
      </c>
    </row>
    <row r="811" spans="2:20" x14ac:dyDescent="0.4">
      <c r="B811" s="49" t="str" cm="1">
        <f t="array" ref="B811">IFERROR((INDEX($P$4:$T$1000,MATCH(VALUE(LEFT($A811,LEN($A811)-1)),$A$4:$A$1000,0),VALUE(RIGHT($A811,1)))/ INDEX($O$4:$O$1000,MATCH(VALUE(LEFT($A811,LEN($A811)-1)),$A$4:$A$1000))) * INDEX($B$4:$B$1000,MATCH(VALUE(LEFT($A811,LEN($A811)-1)),$A$4:$A$1000)),"")</f>
        <v/>
      </c>
      <c r="C811" s="2" t="str" cm="1">
        <f t="array" ref="C811">IFERROR(IF(INDEX($D$4:$H$1000,MATCH(VALUE(LEFT($A811,LEN($A811)-1)),$A$4:$A$1000,0),VALUE(RIGHT($A811,1)))= 0,"",INDEX($D$4:$H$1000,MATCH(VALUE(LEFT($A811,LEN($A811)-1)),$A$4:$A$1000,0),VALUE(RIGHT($A811,1)))),"")</f>
        <v/>
      </c>
      <c r="D811" s="23" t="str">
        <f>IFERROR(IF(INDEX(使用レシピ!F:F,MATCH(テンプレート!$C811,使用レシピ!$E:$E,0))&lt;&gt;0,INDEX(使用レシピ!F:F,MATCH(テンプレート!$C811,使用レシピ!$E:$E,0)),""),"")</f>
        <v/>
      </c>
      <c r="E811" t="str">
        <f>IFERROR(IF(INDEX(使用レシピ!G:G,MATCH(テンプレート!$C811,使用レシピ!$E:$E,0))&lt;&gt;0,INDEX(使用レシピ!G:G,MATCH(テンプレート!$C811,使用レシピ!$E:$E,0)),""),"")</f>
        <v/>
      </c>
      <c r="F811" t="str">
        <f>IFERROR(IF(INDEX(使用レシピ!H:H,MATCH(テンプレート!$C811,使用レシピ!$E:$E,0))&lt;&gt;0,INDEX(使用レシピ!H:H,MATCH(テンプレート!$C811,使用レシピ!$E:$E,0)),""),"")</f>
        <v/>
      </c>
      <c r="G811" t="str">
        <f>IFERROR(IF(INDEX(使用レシピ!I:I,MATCH(テンプレート!$C811,使用レシピ!$E:$E,0))&lt;&gt;0,INDEX(使用レシピ!I:I,MATCH(テンプレート!$C811,使用レシピ!$E:$E,0)),""),"")</f>
        <v/>
      </c>
      <c r="H811" s="24" t="str">
        <f>IFERROR(IF(INDEX(使用レシピ!J:J,MATCH(テンプレート!$C811,使用レシピ!$E:$E,0))&lt;&gt;0,INDEX(使用レシピ!J:J,MATCH(テンプレート!$C811,使用レシピ!$E:$E,0)),""),"")</f>
        <v/>
      </c>
      <c r="I811" s="36" t="str">
        <f>IFERROR(IF(INDEX(使用レシピ!P:P,MATCH(テンプレート!$C811,使用レシピ!$E:$E,0))&lt;&gt;0,INDEX(使用レシピ!P:P,MATCH(テンプレート!$C811,使用レシピ!$E:$E,0)),""),"")</f>
        <v/>
      </c>
      <c r="J811" t="str">
        <f>IFERROR(IF(INDEX(使用レシピ!K:K,MATCH(テンプレート!$C811,使用レシピ!$E:$E,0))&lt;&gt;0,INDEX(使用レシピ!K:K,MATCH(テンプレート!$C811,使用レシピ!$E:$E,0)),""),"")</f>
        <v/>
      </c>
      <c r="K811" t="str">
        <f>IFERROR(IF(INDEX(使用レシピ!L:L,MATCH(テンプレート!$C811,使用レシピ!$E:$E,0))&lt;&gt;0,INDEX(使用レシピ!L:L,MATCH(テンプレート!$C811,使用レシピ!$E:$E,0)),""),"")</f>
        <v/>
      </c>
      <c r="L811" t="str">
        <f>IFERROR(IF(INDEX(使用レシピ!M:M,MATCH(テンプレート!$C811,使用レシピ!$E:$E,0))&lt;&gt;0,INDEX(使用レシピ!M:M,MATCH(テンプレート!$C811,使用レシピ!$E:$E,0)),""),"")</f>
        <v/>
      </c>
      <c r="M811" t="str">
        <f>IFERROR(IF(INDEX(使用レシピ!N:N,MATCH(テンプレート!$C811,使用レシピ!$E:$E,0))&lt;&gt;0,INDEX(使用レシピ!N:N,MATCH(テンプレート!$C811,使用レシピ!$E:$E,0)),""),"")</f>
        <v/>
      </c>
      <c r="N811" s="24" t="str">
        <f>IFERROR(IF(INDEX(使用レシピ!O:O,MATCH(テンプレート!$C811,使用レシピ!$E:$E,0))&lt;&gt;0,INDEX(使用レシピ!O:O,MATCH(テンプレート!$C811,使用レシピ!$E:$E,0)),""),"")</f>
        <v/>
      </c>
      <c r="O811" s="36" t="str">
        <f>IFERROR(IF(INDEX(使用レシピ!P:P,MATCH(テンプレート!$C811,使用レシピ!$E:$E,0))&lt;&gt;0,INDEX(使用レシピ!P:P,MATCH(テンプレート!$C811,使用レシピ!$E:$E,0)),""),"")</f>
        <v/>
      </c>
      <c r="P811" t="str">
        <f t="shared" si="61"/>
        <v/>
      </c>
      <c r="Q811" t="str">
        <f t="shared" si="62"/>
        <v/>
      </c>
      <c r="R811" t="str">
        <f t="shared" si="63"/>
        <v/>
      </c>
      <c r="S811" t="str">
        <f t="shared" si="64"/>
        <v/>
      </c>
      <c r="T811" s="24" t="str">
        <f t="shared" si="65"/>
        <v/>
      </c>
    </row>
    <row r="812" spans="2:20" x14ac:dyDescent="0.4">
      <c r="B812" s="49" t="str" cm="1">
        <f t="array" ref="B812">IFERROR((INDEX($P$4:$T$1000,MATCH(VALUE(LEFT($A812,LEN($A812)-1)),$A$4:$A$1000,0),VALUE(RIGHT($A812,1)))/ INDEX($O$4:$O$1000,MATCH(VALUE(LEFT($A812,LEN($A812)-1)),$A$4:$A$1000))) * INDEX($B$4:$B$1000,MATCH(VALUE(LEFT($A812,LEN($A812)-1)),$A$4:$A$1000)),"")</f>
        <v/>
      </c>
      <c r="C812" s="2" t="str" cm="1">
        <f t="array" ref="C812">IFERROR(IF(INDEX($D$4:$H$1000,MATCH(VALUE(LEFT($A812,LEN($A812)-1)),$A$4:$A$1000,0),VALUE(RIGHT($A812,1)))= 0,"",INDEX($D$4:$H$1000,MATCH(VALUE(LEFT($A812,LEN($A812)-1)),$A$4:$A$1000,0),VALUE(RIGHT($A812,1)))),"")</f>
        <v/>
      </c>
      <c r="D812" s="23" t="str">
        <f>IFERROR(IF(INDEX(使用レシピ!F:F,MATCH(テンプレート!$C812,使用レシピ!$E:$E,0))&lt;&gt;0,INDEX(使用レシピ!F:F,MATCH(テンプレート!$C812,使用レシピ!$E:$E,0)),""),"")</f>
        <v/>
      </c>
      <c r="E812" t="str">
        <f>IFERROR(IF(INDEX(使用レシピ!G:G,MATCH(テンプレート!$C812,使用レシピ!$E:$E,0))&lt;&gt;0,INDEX(使用レシピ!G:G,MATCH(テンプレート!$C812,使用レシピ!$E:$E,0)),""),"")</f>
        <v/>
      </c>
      <c r="F812" t="str">
        <f>IFERROR(IF(INDEX(使用レシピ!H:H,MATCH(テンプレート!$C812,使用レシピ!$E:$E,0))&lt;&gt;0,INDEX(使用レシピ!H:H,MATCH(テンプレート!$C812,使用レシピ!$E:$E,0)),""),"")</f>
        <v/>
      </c>
      <c r="G812" t="str">
        <f>IFERROR(IF(INDEX(使用レシピ!I:I,MATCH(テンプレート!$C812,使用レシピ!$E:$E,0))&lt;&gt;0,INDEX(使用レシピ!I:I,MATCH(テンプレート!$C812,使用レシピ!$E:$E,0)),""),"")</f>
        <v/>
      </c>
      <c r="H812" s="24" t="str">
        <f>IFERROR(IF(INDEX(使用レシピ!J:J,MATCH(テンプレート!$C812,使用レシピ!$E:$E,0))&lt;&gt;0,INDEX(使用レシピ!J:J,MATCH(テンプレート!$C812,使用レシピ!$E:$E,0)),""),"")</f>
        <v/>
      </c>
      <c r="I812" s="36" t="str">
        <f>IFERROR(IF(INDEX(使用レシピ!P:P,MATCH(テンプレート!$C812,使用レシピ!$E:$E,0))&lt;&gt;0,INDEX(使用レシピ!P:P,MATCH(テンプレート!$C812,使用レシピ!$E:$E,0)),""),"")</f>
        <v/>
      </c>
      <c r="J812" t="str">
        <f>IFERROR(IF(INDEX(使用レシピ!K:K,MATCH(テンプレート!$C812,使用レシピ!$E:$E,0))&lt;&gt;0,INDEX(使用レシピ!K:K,MATCH(テンプレート!$C812,使用レシピ!$E:$E,0)),""),"")</f>
        <v/>
      </c>
      <c r="K812" t="str">
        <f>IFERROR(IF(INDEX(使用レシピ!L:L,MATCH(テンプレート!$C812,使用レシピ!$E:$E,0))&lt;&gt;0,INDEX(使用レシピ!L:L,MATCH(テンプレート!$C812,使用レシピ!$E:$E,0)),""),"")</f>
        <v/>
      </c>
      <c r="L812" t="str">
        <f>IFERROR(IF(INDEX(使用レシピ!M:M,MATCH(テンプレート!$C812,使用レシピ!$E:$E,0))&lt;&gt;0,INDEX(使用レシピ!M:M,MATCH(テンプレート!$C812,使用レシピ!$E:$E,0)),""),"")</f>
        <v/>
      </c>
      <c r="M812" t="str">
        <f>IFERROR(IF(INDEX(使用レシピ!N:N,MATCH(テンプレート!$C812,使用レシピ!$E:$E,0))&lt;&gt;0,INDEX(使用レシピ!N:N,MATCH(テンプレート!$C812,使用レシピ!$E:$E,0)),""),"")</f>
        <v/>
      </c>
      <c r="N812" s="24" t="str">
        <f>IFERROR(IF(INDEX(使用レシピ!O:O,MATCH(テンプレート!$C812,使用レシピ!$E:$E,0))&lt;&gt;0,INDEX(使用レシピ!O:O,MATCH(テンプレート!$C812,使用レシピ!$E:$E,0)),""),"")</f>
        <v/>
      </c>
      <c r="O812" s="36" t="str">
        <f>IFERROR(IF(INDEX(使用レシピ!P:P,MATCH(テンプレート!$C812,使用レシピ!$E:$E,0))&lt;&gt;0,INDEX(使用レシピ!P:P,MATCH(テンプレート!$C812,使用レシピ!$E:$E,0)),""),"")</f>
        <v/>
      </c>
      <c r="P812" t="str">
        <f t="shared" si="61"/>
        <v/>
      </c>
      <c r="Q812" t="str">
        <f t="shared" si="62"/>
        <v/>
      </c>
      <c r="R812" t="str">
        <f t="shared" si="63"/>
        <v/>
      </c>
      <c r="S812" t="str">
        <f t="shared" si="64"/>
        <v/>
      </c>
      <c r="T812" s="24" t="str">
        <f t="shared" si="65"/>
        <v/>
      </c>
    </row>
    <row r="813" spans="2:20" x14ac:dyDescent="0.4">
      <c r="B813" s="49" t="str" cm="1">
        <f t="array" ref="B813">IFERROR((INDEX($P$4:$T$1000,MATCH(VALUE(LEFT($A813,LEN($A813)-1)),$A$4:$A$1000,0),VALUE(RIGHT($A813,1)))/ INDEX($O$4:$O$1000,MATCH(VALUE(LEFT($A813,LEN($A813)-1)),$A$4:$A$1000))) * INDEX($B$4:$B$1000,MATCH(VALUE(LEFT($A813,LEN($A813)-1)),$A$4:$A$1000)),"")</f>
        <v/>
      </c>
      <c r="C813" s="2" t="str" cm="1">
        <f t="array" ref="C813">IFERROR(IF(INDEX($D$4:$H$1000,MATCH(VALUE(LEFT($A813,LEN($A813)-1)),$A$4:$A$1000,0),VALUE(RIGHT($A813,1)))= 0,"",INDEX($D$4:$H$1000,MATCH(VALUE(LEFT($A813,LEN($A813)-1)),$A$4:$A$1000,0),VALUE(RIGHT($A813,1)))),"")</f>
        <v/>
      </c>
      <c r="D813" s="23" t="str">
        <f>IFERROR(IF(INDEX(使用レシピ!F:F,MATCH(テンプレート!$C813,使用レシピ!$E:$E,0))&lt;&gt;0,INDEX(使用レシピ!F:F,MATCH(テンプレート!$C813,使用レシピ!$E:$E,0)),""),"")</f>
        <v/>
      </c>
      <c r="E813" t="str">
        <f>IFERROR(IF(INDEX(使用レシピ!G:G,MATCH(テンプレート!$C813,使用レシピ!$E:$E,0))&lt;&gt;0,INDEX(使用レシピ!G:G,MATCH(テンプレート!$C813,使用レシピ!$E:$E,0)),""),"")</f>
        <v/>
      </c>
      <c r="F813" t="str">
        <f>IFERROR(IF(INDEX(使用レシピ!H:H,MATCH(テンプレート!$C813,使用レシピ!$E:$E,0))&lt;&gt;0,INDEX(使用レシピ!H:H,MATCH(テンプレート!$C813,使用レシピ!$E:$E,0)),""),"")</f>
        <v/>
      </c>
      <c r="G813" t="str">
        <f>IFERROR(IF(INDEX(使用レシピ!I:I,MATCH(テンプレート!$C813,使用レシピ!$E:$E,0))&lt;&gt;0,INDEX(使用レシピ!I:I,MATCH(テンプレート!$C813,使用レシピ!$E:$E,0)),""),"")</f>
        <v/>
      </c>
      <c r="H813" s="24" t="str">
        <f>IFERROR(IF(INDEX(使用レシピ!J:J,MATCH(テンプレート!$C813,使用レシピ!$E:$E,0))&lt;&gt;0,INDEX(使用レシピ!J:J,MATCH(テンプレート!$C813,使用レシピ!$E:$E,0)),""),"")</f>
        <v/>
      </c>
      <c r="I813" s="36" t="str">
        <f>IFERROR(IF(INDEX(使用レシピ!P:P,MATCH(テンプレート!$C813,使用レシピ!$E:$E,0))&lt;&gt;0,INDEX(使用レシピ!P:P,MATCH(テンプレート!$C813,使用レシピ!$E:$E,0)),""),"")</f>
        <v/>
      </c>
      <c r="J813" t="str">
        <f>IFERROR(IF(INDEX(使用レシピ!K:K,MATCH(テンプレート!$C813,使用レシピ!$E:$E,0))&lt;&gt;0,INDEX(使用レシピ!K:K,MATCH(テンプレート!$C813,使用レシピ!$E:$E,0)),""),"")</f>
        <v/>
      </c>
      <c r="K813" t="str">
        <f>IFERROR(IF(INDEX(使用レシピ!L:L,MATCH(テンプレート!$C813,使用レシピ!$E:$E,0))&lt;&gt;0,INDEX(使用レシピ!L:L,MATCH(テンプレート!$C813,使用レシピ!$E:$E,0)),""),"")</f>
        <v/>
      </c>
      <c r="L813" t="str">
        <f>IFERROR(IF(INDEX(使用レシピ!M:M,MATCH(テンプレート!$C813,使用レシピ!$E:$E,0))&lt;&gt;0,INDEX(使用レシピ!M:M,MATCH(テンプレート!$C813,使用レシピ!$E:$E,0)),""),"")</f>
        <v/>
      </c>
      <c r="M813" t="str">
        <f>IFERROR(IF(INDEX(使用レシピ!N:N,MATCH(テンプレート!$C813,使用レシピ!$E:$E,0))&lt;&gt;0,INDEX(使用レシピ!N:N,MATCH(テンプレート!$C813,使用レシピ!$E:$E,0)),""),"")</f>
        <v/>
      </c>
      <c r="N813" s="24" t="str">
        <f>IFERROR(IF(INDEX(使用レシピ!O:O,MATCH(テンプレート!$C813,使用レシピ!$E:$E,0))&lt;&gt;0,INDEX(使用レシピ!O:O,MATCH(テンプレート!$C813,使用レシピ!$E:$E,0)),""),"")</f>
        <v/>
      </c>
      <c r="O813" s="36" t="str">
        <f>IFERROR(IF(INDEX(使用レシピ!P:P,MATCH(テンプレート!$C813,使用レシピ!$E:$E,0))&lt;&gt;0,INDEX(使用レシピ!P:P,MATCH(テンプレート!$C813,使用レシピ!$E:$E,0)),""),"")</f>
        <v/>
      </c>
      <c r="P813" t="str">
        <f t="shared" ref="P813:P876" si="66">IFERROR(IF($O813/$I813*J813 &gt; 0,$O813/$I813*J813,""),"")</f>
        <v/>
      </c>
      <c r="Q813" t="str">
        <f t="shared" ref="Q813:Q876" si="67">IFERROR(IF($O813/$I813*K813 &gt; 0,$O813/$I813*K813,""),"")</f>
        <v/>
      </c>
      <c r="R813" t="str">
        <f t="shared" ref="R813:R876" si="68">IFERROR(IF($O813/$I813*L813 &gt; 0,$O813/$I813*L813,""),"")</f>
        <v/>
      </c>
      <c r="S813" t="str">
        <f t="shared" ref="S813:S876" si="69">IFERROR(IF($O813/$I813*M813 &gt; 0,$O813/$I813*M813,""),"")</f>
        <v/>
      </c>
      <c r="T813" s="24" t="str">
        <f t="shared" ref="T813:T876" si="70">IFERROR(IF($O813/$I813*N813 &gt; 0,$O813/$I813*N813,""),"")</f>
        <v/>
      </c>
    </row>
    <row r="814" spans="2:20" x14ac:dyDescent="0.4">
      <c r="B814" s="49" t="str" cm="1">
        <f t="array" ref="B814">IFERROR((INDEX($P$4:$T$1000,MATCH(VALUE(LEFT($A814,LEN($A814)-1)),$A$4:$A$1000,0),VALUE(RIGHT($A814,1)))/ INDEX($O$4:$O$1000,MATCH(VALUE(LEFT($A814,LEN($A814)-1)),$A$4:$A$1000))) * INDEX($B$4:$B$1000,MATCH(VALUE(LEFT($A814,LEN($A814)-1)),$A$4:$A$1000)),"")</f>
        <v/>
      </c>
      <c r="C814" s="2" t="str" cm="1">
        <f t="array" ref="C814">IFERROR(IF(INDEX($D$4:$H$1000,MATCH(VALUE(LEFT($A814,LEN($A814)-1)),$A$4:$A$1000,0),VALUE(RIGHT($A814,1)))= 0,"",INDEX($D$4:$H$1000,MATCH(VALUE(LEFT($A814,LEN($A814)-1)),$A$4:$A$1000,0),VALUE(RIGHT($A814,1)))),"")</f>
        <v/>
      </c>
      <c r="D814" s="23" t="str">
        <f>IFERROR(IF(INDEX(使用レシピ!F:F,MATCH(テンプレート!$C814,使用レシピ!$E:$E,0))&lt;&gt;0,INDEX(使用レシピ!F:F,MATCH(テンプレート!$C814,使用レシピ!$E:$E,0)),""),"")</f>
        <v/>
      </c>
      <c r="E814" t="str">
        <f>IFERROR(IF(INDEX(使用レシピ!G:G,MATCH(テンプレート!$C814,使用レシピ!$E:$E,0))&lt;&gt;0,INDEX(使用レシピ!G:G,MATCH(テンプレート!$C814,使用レシピ!$E:$E,0)),""),"")</f>
        <v/>
      </c>
      <c r="F814" t="str">
        <f>IFERROR(IF(INDEX(使用レシピ!H:H,MATCH(テンプレート!$C814,使用レシピ!$E:$E,0))&lt;&gt;0,INDEX(使用レシピ!H:H,MATCH(テンプレート!$C814,使用レシピ!$E:$E,0)),""),"")</f>
        <v/>
      </c>
      <c r="G814" t="str">
        <f>IFERROR(IF(INDEX(使用レシピ!I:I,MATCH(テンプレート!$C814,使用レシピ!$E:$E,0))&lt;&gt;0,INDEX(使用レシピ!I:I,MATCH(テンプレート!$C814,使用レシピ!$E:$E,0)),""),"")</f>
        <v/>
      </c>
      <c r="H814" s="24" t="str">
        <f>IFERROR(IF(INDEX(使用レシピ!J:J,MATCH(テンプレート!$C814,使用レシピ!$E:$E,0))&lt;&gt;0,INDEX(使用レシピ!J:J,MATCH(テンプレート!$C814,使用レシピ!$E:$E,0)),""),"")</f>
        <v/>
      </c>
      <c r="I814" s="36" t="str">
        <f>IFERROR(IF(INDEX(使用レシピ!P:P,MATCH(テンプレート!$C814,使用レシピ!$E:$E,0))&lt;&gt;0,INDEX(使用レシピ!P:P,MATCH(テンプレート!$C814,使用レシピ!$E:$E,0)),""),"")</f>
        <v/>
      </c>
      <c r="J814" t="str">
        <f>IFERROR(IF(INDEX(使用レシピ!K:K,MATCH(テンプレート!$C814,使用レシピ!$E:$E,0))&lt;&gt;0,INDEX(使用レシピ!K:K,MATCH(テンプレート!$C814,使用レシピ!$E:$E,0)),""),"")</f>
        <v/>
      </c>
      <c r="K814" t="str">
        <f>IFERROR(IF(INDEX(使用レシピ!L:L,MATCH(テンプレート!$C814,使用レシピ!$E:$E,0))&lt;&gt;0,INDEX(使用レシピ!L:L,MATCH(テンプレート!$C814,使用レシピ!$E:$E,0)),""),"")</f>
        <v/>
      </c>
      <c r="L814" t="str">
        <f>IFERROR(IF(INDEX(使用レシピ!M:M,MATCH(テンプレート!$C814,使用レシピ!$E:$E,0))&lt;&gt;0,INDEX(使用レシピ!M:M,MATCH(テンプレート!$C814,使用レシピ!$E:$E,0)),""),"")</f>
        <v/>
      </c>
      <c r="M814" t="str">
        <f>IFERROR(IF(INDEX(使用レシピ!N:N,MATCH(テンプレート!$C814,使用レシピ!$E:$E,0))&lt;&gt;0,INDEX(使用レシピ!N:N,MATCH(テンプレート!$C814,使用レシピ!$E:$E,0)),""),"")</f>
        <v/>
      </c>
      <c r="N814" s="24" t="str">
        <f>IFERROR(IF(INDEX(使用レシピ!O:O,MATCH(テンプレート!$C814,使用レシピ!$E:$E,0))&lt;&gt;0,INDEX(使用レシピ!O:O,MATCH(テンプレート!$C814,使用レシピ!$E:$E,0)),""),"")</f>
        <v/>
      </c>
      <c r="O814" s="36" t="str">
        <f>IFERROR(IF(INDEX(使用レシピ!P:P,MATCH(テンプレート!$C814,使用レシピ!$E:$E,0))&lt;&gt;0,INDEX(使用レシピ!P:P,MATCH(テンプレート!$C814,使用レシピ!$E:$E,0)),""),"")</f>
        <v/>
      </c>
      <c r="P814" t="str">
        <f t="shared" si="66"/>
        <v/>
      </c>
      <c r="Q814" t="str">
        <f t="shared" si="67"/>
        <v/>
      </c>
      <c r="R814" t="str">
        <f t="shared" si="68"/>
        <v/>
      </c>
      <c r="S814" t="str">
        <f t="shared" si="69"/>
        <v/>
      </c>
      <c r="T814" s="24" t="str">
        <f t="shared" si="70"/>
        <v/>
      </c>
    </row>
    <row r="815" spans="2:20" x14ac:dyDescent="0.4">
      <c r="B815" s="49" t="str" cm="1">
        <f t="array" ref="B815">IFERROR((INDEX($P$4:$T$1000,MATCH(VALUE(LEFT($A815,LEN($A815)-1)),$A$4:$A$1000,0),VALUE(RIGHT($A815,1)))/ INDEX($O$4:$O$1000,MATCH(VALUE(LEFT($A815,LEN($A815)-1)),$A$4:$A$1000))) * INDEX($B$4:$B$1000,MATCH(VALUE(LEFT($A815,LEN($A815)-1)),$A$4:$A$1000)),"")</f>
        <v/>
      </c>
      <c r="C815" s="2" t="str" cm="1">
        <f t="array" ref="C815">IFERROR(IF(INDEX($D$4:$H$1000,MATCH(VALUE(LEFT($A815,LEN($A815)-1)),$A$4:$A$1000,0),VALUE(RIGHT($A815,1)))= 0,"",INDEX($D$4:$H$1000,MATCH(VALUE(LEFT($A815,LEN($A815)-1)),$A$4:$A$1000,0),VALUE(RIGHT($A815,1)))),"")</f>
        <v/>
      </c>
      <c r="D815" s="23" t="str">
        <f>IFERROR(IF(INDEX(使用レシピ!F:F,MATCH(テンプレート!$C815,使用レシピ!$E:$E,0))&lt;&gt;0,INDEX(使用レシピ!F:F,MATCH(テンプレート!$C815,使用レシピ!$E:$E,0)),""),"")</f>
        <v/>
      </c>
      <c r="E815" t="str">
        <f>IFERROR(IF(INDEX(使用レシピ!G:G,MATCH(テンプレート!$C815,使用レシピ!$E:$E,0))&lt;&gt;0,INDEX(使用レシピ!G:G,MATCH(テンプレート!$C815,使用レシピ!$E:$E,0)),""),"")</f>
        <v/>
      </c>
      <c r="F815" t="str">
        <f>IFERROR(IF(INDEX(使用レシピ!H:H,MATCH(テンプレート!$C815,使用レシピ!$E:$E,0))&lt;&gt;0,INDEX(使用レシピ!H:H,MATCH(テンプレート!$C815,使用レシピ!$E:$E,0)),""),"")</f>
        <v/>
      </c>
      <c r="G815" t="str">
        <f>IFERROR(IF(INDEX(使用レシピ!I:I,MATCH(テンプレート!$C815,使用レシピ!$E:$E,0))&lt;&gt;0,INDEX(使用レシピ!I:I,MATCH(テンプレート!$C815,使用レシピ!$E:$E,0)),""),"")</f>
        <v/>
      </c>
      <c r="H815" s="24" t="str">
        <f>IFERROR(IF(INDEX(使用レシピ!J:J,MATCH(テンプレート!$C815,使用レシピ!$E:$E,0))&lt;&gt;0,INDEX(使用レシピ!J:J,MATCH(テンプレート!$C815,使用レシピ!$E:$E,0)),""),"")</f>
        <v/>
      </c>
      <c r="I815" s="36" t="str">
        <f>IFERROR(IF(INDEX(使用レシピ!P:P,MATCH(テンプレート!$C815,使用レシピ!$E:$E,0))&lt;&gt;0,INDEX(使用レシピ!P:P,MATCH(テンプレート!$C815,使用レシピ!$E:$E,0)),""),"")</f>
        <v/>
      </c>
      <c r="J815" t="str">
        <f>IFERROR(IF(INDEX(使用レシピ!K:K,MATCH(テンプレート!$C815,使用レシピ!$E:$E,0))&lt;&gt;0,INDEX(使用レシピ!K:K,MATCH(テンプレート!$C815,使用レシピ!$E:$E,0)),""),"")</f>
        <v/>
      </c>
      <c r="K815" t="str">
        <f>IFERROR(IF(INDEX(使用レシピ!L:L,MATCH(テンプレート!$C815,使用レシピ!$E:$E,0))&lt;&gt;0,INDEX(使用レシピ!L:L,MATCH(テンプレート!$C815,使用レシピ!$E:$E,0)),""),"")</f>
        <v/>
      </c>
      <c r="L815" t="str">
        <f>IFERROR(IF(INDEX(使用レシピ!M:M,MATCH(テンプレート!$C815,使用レシピ!$E:$E,0))&lt;&gt;0,INDEX(使用レシピ!M:M,MATCH(テンプレート!$C815,使用レシピ!$E:$E,0)),""),"")</f>
        <v/>
      </c>
      <c r="M815" t="str">
        <f>IFERROR(IF(INDEX(使用レシピ!N:N,MATCH(テンプレート!$C815,使用レシピ!$E:$E,0))&lt;&gt;0,INDEX(使用レシピ!N:N,MATCH(テンプレート!$C815,使用レシピ!$E:$E,0)),""),"")</f>
        <v/>
      </c>
      <c r="N815" s="24" t="str">
        <f>IFERROR(IF(INDEX(使用レシピ!O:O,MATCH(テンプレート!$C815,使用レシピ!$E:$E,0))&lt;&gt;0,INDEX(使用レシピ!O:O,MATCH(テンプレート!$C815,使用レシピ!$E:$E,0)),""),"")</f>
        <v/>
      </c>
      <c r="O815" s="36" t="str">
        <f>IFERROR(IF(INDEX(使用レシピ!P:P,MATCH(テンプレート!$C815,使用レシピ!$E:$E,0))&lt;&gt;0,INDEX(使用レシピ!P:P,MATCH(テンプレート!$C815,使用レシピ!$E:$E,0)),""),"")</f>
        <v/>
      </c>
      <c r="P815" t="str">
        <f t="shared" si="66"/>
        <v/>
      </c>
      <c r="Q815" t="str">
        <f t="shared" si="67"/>
        <v/>
      </c>
      <c r="R815" t="str">
        <f t="shared" si="68"/>
        <v/>
      </c>
      <c r="S815" t="str">
        <f t="shared" si="69"/>
        <v/>
      </c>
      <c r="T815" s="24" t="str">
        <f t="shared" si="70"/>
        <v/>
      </c>
    </row>
    <row r="816" spans="2:20" x14ac:dyDescent="0.4">
      <c r="B816" s="49" t="str" cm="1">
        <f t="array" ref="B816">IFERROR((INDEX($P$4:$T$1000,MATCH(VALUE(LEFT($A816,LEN($A816)-1)),$A$4:$A$1000,0),VALUE(RIGHT($A816,1)))/ INDEX($O$4:$O$1000,MATCH(VALUE(LEFT($A816,LEN($A816)-1)),$A$4:$A$1000))) * INDEX($B$4:$B$1000,MATCH(VALUE(LEFT($A816,LEN($A816)-1)),$A$4:$A$1000)),"")</f>
        <v/>
      </c>
      <c r="C816" s="2" t="str" cm="1">
        <f t="array" ref="C816">IFERROR(IF(INDEX($D$4:$H$1000,MATCH(VALUE(LEFT($A816,LEN($A816)-1)),$A$4:$A$1000,0),VALUE(RIGHT($A816,1)))= 0,"",INDEX($D$4:$H$1000,MATCH(VALUE(LEFT($A816,LEN($A816)-1)),$A$4:$A$1000,0),VALUE(RIGHT($A816,1)))),"")</f>
        <v/>
      </c>
      <c r="D816" s="23" t="str">
        <f>IFERROR(IF(INDEX(使用レシピ!F:F,MATCH(テンプレート!$C816,使用レシピ!$E:$E,0))&lt;&gt;0,INDEX(使用レシピ!F:F,MATCH(テンプレート!$C816,使用レシピ!$E:$E,0)),""),"")</f>
        <v/>
      </c>
      <c r="E816" t="str">
        <f>IFERROR(IF(INDEX(使用レシピ!G:G,MATCH(テンプレート!$C816,使用レシピ!$E:$E,0))&lt;&gt;0,INDEX(使用レシピ!G:G,MATCH(テンプレート!$C816,使用レシピ!$E:$E,0)),""),"")</f>
        <v/>
      </c>
      <c r="F816" t="str">
        <f>IFERROR(IF(INDEX(使用レシピ!H:H,MATCH(テンプレート!$C816,使用レシピ!$E:$E,0))&lt;&gt;0,INDEX(使用レシピ!H:H,MATCH(テンプレート!$C816,使用レシピ!$E:$E,0)),""),"")</f>
        <v/>
      </c>
      <c r="G816" t="str">
        <f>IFERROR(IF(INDEX(使用レシピ!I:I,MATCH(テンプレート!$C816,使用レシピ!$E:$E,0))&lt;&gt;0,INDEX(使用レシピ!I:I,MATCH(テンプレート!$C816,使用レシピ!$E:$E,0)),""),"")</f>
        <v/>
      </c>
      <c r="H816" s="24" t="str">
        <f>IFERROR(IF(INDEX(使用レシピ!J:J,MATCH(テンプレート!$C816,使用レシピ!$E:$E,0))&lt;&gt;0,INDEX(使用レシピ!J:J,MATCH(テンプレート!$C816,使用レシピ!$E:$E,0)),""),"")</f>
        <v/>
      </c>
      <c r="I816" s="36" t="str">
        <f>IFERROR(IF(INDEX(使用レシピ!P:P,MATCH(テンプレート!$C816,使用レシピ!$E:$E,0))&lt;&gt;0,INDEX(使用レシピ!P:P,MATCH(テンプレート!$C816,使用レシピ!$E:$E,0)),""),"")</f>
        <v/>
      </c>
      <c r="J816" t="str">
        <f>IFERROR(IF(INDEX(使用レシピ!K:K,MATCH(テンプレート!$C816,使用レシピ!$E:$E,0))&lt;&gt;0,INDEX(使用レシピ!K:K,MATCH(テンプレート!$C816,使用レシピ!$E:$E,0)),""),"")</f>
        <v/>
      </c>
      <c r="K816" t="str">
        <f>IFERROR(IF(INDEX(使用レシピ!L:L,MATCH(テンプレート!$C816,使用レシピ!$E:$E,0))&lt;&gt;0,INDEX(使用レシピ!L:L,MATCH(テンプレート!$C816,使用レシピ!$E:$E,0)),""),"")</f>
        <v/>
      </c>
      <c r="L816" t="str">
        <f>IFERROR(IF(INDEX(使用レシピ!M:M,MATCH(テンプレート!$C816,使用レシピ!$E:$E,0))&lt;&gt;0,INDEX(使用レシピ!M:M,MATCH(テンプレート!$C816,使用レシピ!$E:$E,0)),""),"")</f>
        <v/>
      </c>
      <c r="M816" t="str">
        <f>IFERROR(IF(INDEX(使用レシピ!N:N,MATCH(テンプレート!$C816,使用レシピ!$E:$E,0))&lt;&gt;0,INDEX(使用レシピ!N:N,MATCH(テンプレート!$C816,使用レシピ!$E:$E,0)),""),"")</f>
        <v/>
      </c>
      <c r="N816" s="24" t="str">
        <f>IFERROR(IF(INDEX(使用レシピ!O:O,MATCH(テンプレート!$C816,使用レシピ!$E:$E,0))&lt;&gt;0,INDEX(使用レシピ!O:O,MATCH(テンプレート!$C816,使用レシピ!$E:$E,0)),""),"")</f>
        <v/>
      </c>
      <c r="O816" s="36" t="str">
        <f>IFERROR(IF(INDEX(使用レシピ!P:P,MATCH(テンプレート!$C816,使用レシピ!$E:$E,0))&lt;&gt;0,INDEX(使用レシピ!P:P,MATCH(テンプレート!$C816,使用レシピ!$E:$E,0)),""),"")</f>
        <v/>
      </c>
      <c r="P816" t="str">
        <f t="shared" si="66"/>
        <v/>
      </c>
      <c r="Q816" t="str">
        <f t="shared" si="67"/>
        <v/>
      </c>
      <c r="R816" t="str">
        <f t="shared" si="68"/>
        <v/>
      </c>
      <c r="S816" t="str">
        <f t="shared" si="69"/>
        <v/>
      </c>
      <c r="T816" s="24" t="str">
        <f t="shared" si="70"/>
        <v/>
      </c>
    </row>
    <row r="817" spans="2:20" x14ac:dyDescent="0.4">
      <c r="B817" s="49" t="str" cm="1">
        <f t="array" ref="B817">IFERROR((INDEX($P$4:$T$1000,MATCH(VALUE(LEFT($A817,LEN($A817)-1)),$A$4:$A$1000,0),VALUE(RIGHT($A817,1)))/ INDEX($O$4:$O$1000,MATCH(VALUE(LEFT($A817,LEN($A817)-1)),$A$4:$A$1000))) * INDEX($B$4:$B$1000,MATCH(VALUE(LEFT($A817,LEN($A817)-1)),$A$4:$A$1000)),"")</f>
        <v/>
      </c>
      <c r="C817" s="2" t="str" cm="1">
        <f t="array" ref="C817">IFERROR(IF(INDEX($D$4:$H$1000,MATCH(VALUE(LEFT($A817,LEN($A817)-1)),$A$4:$A$1000,0),VALUE(RIGHT($A817,1)))= 0,"",INDEX($D$4:$H$1000,MATCH(VALUE(LEFT($A817,LEN($A817)-1)),$A$4:$A$1000,0),VALUE(RIGHT($A817,1)))),"")</f>
        <v/>
      </c>
      <c r="D817" s="23" t="str">
        <f>IFERROR(IF(INDEX(使用レシピ!F:F,MATCH(テンプレート!$C817,使用レシピ!$E:$E,0))&lt;&gt;0,INDEX(使用レシピ!F:F,MATCH(テンプレート!$C817,使用レシピ!$E:$E,0)),""),"")</f>
        <v/>
      </c>
      <c r="E817" t="str">
        <f>IFERROR(IF(INDEX(使用レシピ!G:G,MATCH(テンプレート!$C817,使用レシピ!$E:$E,0))&lt;&gt;0,INDEX(使用レシピ!G:G,MATCH(テンプレート!$C817,使用レシピ!$E:$E,0)),""),"")</f>
        <v/>
      </c>
      <c r="F817" t="str">
        <f>IFERROR(IF(INDEX(使用レシピ!H:H,MATCH(テンプレート!$C817,使用レシピ!$E:$E,0))&lt;&gt;0,INDEX(使用レシピ!H:H,MATCH(テンプレート!$C817,使用レシピ!$E:$E,0)),""),"")</f>
        <v/>
      </c>
      <c r="G817" t="str">
        <f>IFERROR(IF(INDEX(使用レシピ!I:I,MATCH(テンプレート!$C817,使用レシピ!$E:$E,0))&lt;&gt;0,INDEX(使用レシピ!I:I,MATCH(テンプレート!$C817,使用レシピ!$E:$E,0)),""),"")</f>
        <v/>
      </c>
      <c r="H817" s="24" t="str">
        <f>IFERROR(IF(INDEX(使用レシピ!J:J,MATCH(テンプレート!$C817,使用レシピ!$E:$E,0))&lt;&gt;0,INDEX(使用レシピ!J:J,MATCH(テンプレート!$C817,使用レシピ!$E:$E,0)),""),"")</f>
        <v/>
      </c>
      <c r="I817" s="36" t="str">
        <f>IFERROR(IF(INDEX(使用レシピ!P:P,MATCH(テンプレート!$C817,使用レシピ!$E:$E,0))&lt;&gt;0,INDEX(使用レシピ!P:P,MATCH(テンプレート!$C817,使用レシピ!$E:$E,0)),""),"")</f>
        <v/>
      </c>
      <c r="J817" t="str">
        <f>IFERROR(IF(INDEX(使用レシピ!K:K,MATCH(テンプレート!$C817,使用レシピ!$E:$E,0))&lt;&gt;0,INDEX(使用レシピ!K:K,MATCH(テンプレート!$C817,使用レシピ!$E:$E,0)),""),"")</f>
        <v/>
      </c>
      <c r="K817" t="str">
        <f>IFERROR(IF(INDEX(使用レシピ!L:L,MATCH(テンプレート!$C817,使用レシピ!$E:$E,0))&lt;&gt;0,INDEX(使用レシピ!L:L,MATCH(テンプレート!$C817,使用レシピ!$E:$E,0)),""),"")</f>
        <v/>
      </c>
      <c r="L817" t="str">
        <f>IFERROR(IF(INDEX(使用レシピ!M:M,MATCH(テンプレート!$C817,使用レシピ!$E:$E,0))&lt;&gt;0,INDEX(使用レシピ!M:M,MATCH(テンプレート!$C817,使用レシピ!$E:$E,0)),""),"")</f>
        <v/>
      </c>
      <c r="M817" t="str">
        <f>IFERROR(IF(INDEX(使用レシピ!N:N,MATCH(テンプレート!$C817,使用レシピ!$E:$E,0))&lt;&gt;0,INDEX(使用レシピ!N:N,MATCH(テンプレート!$C817,使用レシピ!$E:$E,0)),""),"")</f>
        <v/>
      </c>
      <c r="N817" s="24" t="str">
        <f>IFERROR(IF(INDEX(使用レシピ!O:O,MATCH(テンプレート!$C817,使用レシピ!$E:$E,0))&lt;&gt;0,INDEX(使用レシピ!O:O,MATCH(テンプレート!$C817,使用レシピ!$E:$E,0)),""),"")</f>
        <v/>
      </c>
      <c r="O817" s="36" t="str">
        <f>IFERROR(IF(INDEX(使用レシピ!P:P,MATCH(テンプレート!$C817,使用レシピ!$E:$E,0))&lt;&gt;0,INDEX(使用レシピ!P:P,MATCH(テンプレート!$C817,使用レシピ!$E:$E,0)),""),"")</f>
        <v/>
      </c>
      <c r="P817" t="str">
        <f t="shared" si="66"/>
        <v/>
      </c>
      <c r="Q817" t="str">
        <f t="shared" si="67"/>
        <v/>
      </c>
      <c r="R817" t="str">
        <f t="shared" si="68"/>
        <v/>
      </c>
      <c r="S817" t="str">
        <f t="shared" si="69"/>
        <v/>
      </c>
      <c r="T817" s="24" t="str">
        <f t="shared" si="70"/>
        <v/>
      </c>
    </row>
    <row r="818" spans="2:20" x14ac:dyDescent="0.4">
      <c r="B818" s="49" t="str" cm="1">
        <f t="array" ref="B818">IFERROR((INDEX($P$4:$T$1000,MATCH(VALUE(LEFT($A818,LEN($A818)-1)),$A$4:$A$1000,0),VALUE(RIGHT($A818,1)))/ INDEX($O$4:$O$1000,MATCH(VALUE(LEFT($A818,LEN($A818)-1)),$A$4:$A$1000))) * INDEX($B$4:$B$1000,MATCH(VALUE(LEFT($A818,LEN($A818)-1)),$A$4:$A$1000)),"")</f>
        <v/>
      </c>
      <c r="C818" s="2" t="str" cm="1">
        <f t="array" ref="C818">IFERROR(IF(INDEX($D$4:$H$1000,MATCH(VALUE(LEFT($A818,LEN($A818)-1)),$A$4:$A$1000,0),VALUE(RIGHT($A818,1)))= 0,"",INDEX($D$4:$H$1000,MATCH(VALUE(LEFT($A818,LEN($A818)-1)),$A$4:$A$1000,0),VALUE(RIGHT($A818,1)))),"")</f>
        <v/>
      </c>
      <c r="D818" s="23" t="str">
        <f>IFERROR(IF(INDEX(使用レシピ!F:F,MATCH(テンプレート!$C818,使用レシピ!$E:$E,0))&lt;&gt;0,INDEX(使用レシピ!F:F,MATCH(テンプレート!$C818,使用レシピ!$E:$E,0)),""),"")</f>
        <v/>
      </c>
      <c r="E818" t="str">
        <f>IFERROR(IF(INDEX(使用レシピ!G:G,MATCH(テンプレート!$C818,使用レシピ!$E:$E,0))&lt;&gt;0,INDEX(使用レシピ!G:G,MATCH(テンプレート!$C818,使用レシピ!$E:$E,0)),""),"")</f>
        <v/>
      </c>
      <c r="F818" t="str">
        <f>IFERROR(IF(INDEX(使用レシピ!H:H,MATCH(テンプレート!$C818,使用レシピ!$E:$E,0))&lt;&gt;0,INDEX(使用レシピ!H:H,MATCH(テンプレート!$C818,使用レシピ!$E:$E,0)),""),"")</f>
        <v/>
      </c>
      <c r="G818" t="str">
        <f>IFERROR(IF(INDEX(使用レシピ!I:I,MATCH(テンプレート!$C818,使用レシピ!$E:$E,0))&lt;&gt;0,INDEX(使用レシピ!I:I,MATCH(テンプレート!$C818,使用レシピ!$E:$E,0)),""),"")</f>
        <v/>
      </c>
      <c r="H818" s="24" t="str">
        <f>IFERROR(IF(INDEX(使用レシピ!J:J,MATCH(テンプレート!$C818,使用レシピ!$E:$E,0))&lt;&gt;0,INDEX(使用レシピ!J:J,MATCH(テンプレート!$C818,使用レシピ!$E:$E,0)),""),"")</f>
        <v/>
      </c>
      <c r="I818" s="36" t="str">
        <f>IFERROR(IF(INDEX(使用レシピ!P:P,MATCH(テンプレート!$C818,使用レシピ!$E:$E,0))&lt;&gt;0,INDEX(使用レシピ!P:P,MATCH(テンプレート!$C818,使用レシピ!$E:$E,0)),""),"")</f>
        <v/>
      </c>
      <c r="J818" t="str">
        <f>IFERROR(IF(INDEX(使用レシピ!K:K,MATCH(テンプレート!$C818,使用レシピ!$E:$E,0))&lt;&gt;0,INDEX(使用レシピ!K:K,MATCH(テンプレート!$C818,使用レシピ!$E:$E,0)),""),"")</f>
        <v/>
      </c>
      <c r="K818" t="str">
        <f>IFERROR(IF(INDEX(使用レシピ!L:L,MATCH(テンプレート!$C818,使用レシピ!$E:$E,0))&lt;&gt;0,INDEX(使用レシピ!L:L,MATCH(テンプレート!$C818,使用レシピ!$E:$E,0)),""),"")</f>
        <v/>
      </c>
      <c r="L818" t="str">
        <f>IFERROR(IF(INDEX(使用レシピ!M:M,MATCH(テンプレート!$C818,使用レシピ!$E:$E,0))&lt;&gt;0,INDEX(使用レシピ!M:M,MATCH(テンプレート!$C818,使用レシピ!$E:$E,0)),""),"")</f>
        <v/>
      </c>
      <c r="M818" t="str">
        <f>IFERROR(IF(INDEX(使用レシピ!N:N,MATCH(テンプレート!$C818,使用レシピ!$E:$E,0))&lt;&gt;0,INDEX(使用レシピ!N:N,MATCH(テンプレート!$C818,使用レシピ!$E:$E,0)),""),"")</f>
        <v/>
      </c>
      <c r="N818" s="24" t="str">
        <f>IFERROR(IF(INDEX(使用レシピ!O:O,MATCH(テンプレート!$C818,使用レシピ!$E:$E,0))&lt;&gt;0,INDEX(使用レシピ!O:O,MATCH(テンプレート!$C818,使用レシピ!$E:$E,0)),""),"")</f>
        <v/>
      </c>
      <c r="O818" s="36" t="str">
        <f>IFERROR(IF(INDEX(使用レシピ!P:P,MATCH(テンプレート!$C818,使用レシピ!$E:$E,0))&lt;&gt;0,INDEX(使用レシピ!P:P,MATCH(テンプレート!$C818,使用レシピ!$E:$E,0)),""),"")</f>
        <v/>
      </c>
      <c r="P818" t="str">
        <f t="shared" si="66"/>
        <v/>
      </c>
      <c r="Q818" t="str">
        <f t="shared" si="67"/>
        <v/>
      </c>
      <c r="R818" t="str">
        <f t="shared" si="68"/>
        <v/>
      </c>
      <c r="S818" t="str">
        <f t="shared" si="69"/>
        <v/>
      </c>
      <c r="T818" s="24" t="str">
        <f t="shared" si="70"/>
        <v/>
      </c>
    </row>
    <row r="819" spans="2:20" x14ac:dyDescent="0.4">
      <c r="B819" s="49" t="str" cm="1">
        <f t="array" ref="B819">IFERROR((INDEX($P$4:$T$1000,MATCH(VALUE(LEFT($A819,LEN($A819)-1)),$A$4:$A$1000,0),VALUE(RIGHT($A819,1)))/ INDEX($O$4:$O$1000,MATCH(VALUE(LEFT($A819,LEN($A819)-1)),$A$4:$A$1000))) * INDEX($B$4:$B$1000,MATCH(VALUE(LEFT($A819,LEN($A819)-1)),$A$4:$A$1000)),"")</f>
        <v/>
      </c>
      <c r="C819" s="2" t="str" cm="1">
        <f t="array" ref="C819">IFERROR(IF(INDEX($D$4:$H$1000,MATCH(VALUE(LEFT($A819,LEN($A819)-1)),$A$4:$A$1000,0),VALUE(RIGHT($A819,1)))= 0,"",INDEX($D$4:$H$1000,MATCH(VALUE(LEFT($A819,LEN($A819)-1)),$A$4:$A$1000,0),VALUE(RIGHT($A819,1)))),"")</f>
        <v/>
      </c>
      <c r="D819" s="23" t="str">
        <f>IFERROR(IF(INDEX(使用レシピ!F:F,MATCH(テンプレート!$C819,使用レシピ!$E:$E,0))&lt;&gt;0,INDEX(使用レシピ!F:F,MATCH(テンプレート!$C819,使用レシピ!$E:$E,0)),""),"")</f>
        <v/>
      </c>
      <c r="E819" t="str">
        <f>IFERROR(IF(INDEX(使用レシピ!G:G,MATCH(テンプレート!$C819,使用レシピ!$E:$E,0))&lt;&gt;0,INDEX(使用レシピ!G:G,MATCH(テンプレート!$C819,使用レシピ!$E:$E,0)),""),"")</f>
        <v/>
      </c>
      <c r="F819" t="str">
        <f>IFERROR(IF(INDEX(使用レシピ!H:H,MATCH(テンプレート!$C819,使用レシピ!$E:$E,0))&lt;&gt;0,INDEX(使用レシピ!H:H,MATCH(テンプレート!$C819,使用レシピ!$E:$E,0)),""),"")</f>
        <v/>
      </c>
      <c r="G819" t="str">
        <f>IFERROR(IF(INDEX(使用レシピ!I:I,MATCH(テンプレート!$C819,使用レシピ!$E:$E,0))&lt;&gt;0,INDEX(使用レシピ!I:I,MATCH(テンプレート!$C819,使用レシピ!$E:$E,0)),""),"")</f>
        <v/>
      </c>
      <c r="H819" s="24" t="str">
        <f>IFERROR(IF(INDEX(使用レシピ!J:J,MATCH(テンプレート!$C819,使用レシピ!$E:$E,0))&lt;&gt;0,INDEX(使用レシピ!J:J,MATCH(テンプレート!$C819,使用レシピ!$E:$E,0)),""),"")</f>
        <v/>
      </c>
      <c r="I819" s="36" t="str">
        <f>IFERROR(IF(INDEX(使用レシピ!P:P,MATCH(テンプレート!$C819,使用レシピ!$E:$E,0))&lt;&gt;0,INDEX(使用レシピ!P:P,MATCH(テンプレート!$C819,使用レシピ!$E:$E,0)),""),"")</f>
        <v/>
      </c>
      <c r="J819" t="str">
        <f>IFERROR(IF(INDEX(使用レシピ!K:K,MATCH(テンプレート!$C819,使用レシピ!$E:$E,0))&lt;&gt;0,INDEX(使用レシピ!K:K,MATCH(テンプレート!$C819,使用レシピ!$E:$E,0)),""),"")</f>
        <v/>
      </c>
      <c r="K819" t="str">
        <f>IFERROR(IF(INDEX(使用レシピ!L:L,MATCH(テンプレート!$C819,使用レシピ!$E:$E,0))&lt;&gt;0,INDEX(使用レシピ!L:L,MATCH(テンプレート!$C819,使用レシピ!$E:$E,0)),""),"")</f>
        <v/>
      </c>
      <c r="L819" t="str">
        <f>IFERROR(IF(INDEX(使用レシピ!M:M,MATCH(テンプレート!$C819,使用レシピ!$E:$E,0))&lt;&gt;0,INDEX(使用レシピ!M:M,MATCH(テンプレート!$C819,使用レシピ!$E:$E,0)),""),"")</f>
        <v/>
      </c>
      <c r="M819" t="str">
        <f>IFERROR(IF(INDEX(使用レシピ!N:N,MATCH(テンプレート!$C819,使用レシピ!$E:$E,0))&lt;&gt;0,INDEX(使用レシピ!N:N,MATCH(テンプレート!$C819,使用レシピ!$E:$E,0)),""),"")</f>
        <v/>
      </c>
      <c r="N819" s="24" t="str">
        <f>IFERROR(IF(INDEX(使用レシピ!O:O,MATCH(テンプレート!$C819,使用レシピ!$E:$E,0))&lt;&gt;0,INDEX(使用レシピ!O:O,MATCH(テンプレート!$C819,使用レシピ!$E:$E,0)),""),"")</f>
        <v/>
      </c>
      <c r="O819" s="36" t="str">
        <f>IFERROR(IF(INDEX(使用レシピ!P:P,MATCH(テンプレート!$C819,使用レシピ!$E:$E,0))&lt;&gt;0,INDEX(使用レシピ!P:P,MATCH(テンプレート!$C819,使用レシピ!$E:$E,0)),""),"")</f>
        <v/>
      </c>
      <c r="P819" t="str">
        <f t="shared" si="66"/>
        <v/>
      </c>
      <c r="Q819" t="str">
        <f t="shared" si="67"/>
        <v/>
      </c>
      <c r="R819" t="str">
        <f t="shared" si="68"/>
        <v/>
      </c>
      <c r="S819" t="str">
        <f t="shared" si="69"/>
        <v/>
      </c>
      <c r="T819" s="24" t="str">
        <f t="shared" si="70"/>
        <v/>
      </c>
    </row>
    <row r="820" spans="2:20" x14ac:dyDescent="0.4">
      <c r="B820" s="49" t="str" cm="1">
        <f t="array" ref="B820">IFERROR((INDEX($P$4:$T$1000,MATCH(VALUE(LEFT($A820,LEN($A820)-1)),$A$4:$A$1000,0),VALUE(RIGHT($A820,1)))/ INDEX($O$4:$O$1000,MATCH(VALUE(LEFT($A820,LEN($A820)-1)),$A$4:$A$1000))) * INDEX($B$4:$B$1000,MATCH(VALUE(LEFT($A820,LEN($A820)-1)),$A$4:$A$1000)),"")</f>
        <v/>
      </c>
      <c r="C820" s="2" t="str" cm="1">
        <f t="array" ref="C820">IFERROR(IF(INDEX($D$4:$H$1000,MATCH(VALUE(LEFT($A820,LEN($A820)-1)),$A$4:$A$1000,0),VALUE(RIGHT($A820,1)))= 0,"",INDEX($D$4:$H$1000,MATCH(VALUE(LEFT($A820,LEN($A820)-1)),$A$4:$A$1000,0),VALUE(RIGHT($A820,1)))),"")</f>
        <v/>
      </c>
      <c r="D820" s="23" t="str">
        <f>IFERROR(IF(INDEX(使用レシピ!F:F,MATCH(テンプレート!$C820,使用レシピ!$E:$E,0))&lt;&gt;0,INDEX(使用レシピ!F:F,MATCH(テンプレート!$C820,使用レシピ!$E:$E,0)),""),"")</f>
        <v/>
      </c>
      <c r="E820" t="str">
        <f>IFERROR(IF(INDEX(使用レシピ!G:G,MATCH(テンプレート!$C820,使用レシピ!$E:$E,0))&lt;&gt;0,INDEX(使用レシピ!G:G,MATCH(テンプレート!$C820,使用レシピ!$E:$E,0)),""),"")</f>
        <v/>
      </c>
      <c r="F820" t="str">
        <f>IFERROR(IF(INDEX(使用レシピ!H:H,MATCH(テンプレート!$C820,使用レシピ!$E:$E,0))&lt;&gt;0,INDEX(使用レシピ!H:H,MATCH(テンプレート!$C820,使用レシピ!$E:$E,0)),""),"")</f>
        <v/>
      </c>
      <c r="G820" t="str">
        <f>IFERROR(IF(INDEX(使用レシピ!I:I,MATCH(テンプレート!$C820,使用レシピ!$E:$E,0))&lt;&gt;0,INDEX(使用レシピ!I:I,MATCH(テンプレート!$C820,使用レシピ!$E:$E,0)),""),"")</f>
        <v/>
      </c>
      <c r="H820" s="24" t="str">
        <f>IFERROR(IF(INDEX(使用レシピ!J:J,MATCH(テンプレート!$C820,使用レシピ!$E:$E,0))&lt;&gt;0,INDEX(使用レシピ!J:J,MATCH(テンプレート!$C820,使用レシピ!$E:$E,0)),""),"")</f>
        <v/>
      </c>
      <c r="I820" s="36" t="str">
        <f>IFERROR(IF(INDEX(使用レシピ!P:P,MATCH(テンプレート!$C820,使用レシピ!$E:$E,0))&lt;&gt;0,INDEX(使用レシピ!P:P,MATCH(テンプレート!$C820,使用レシピ!$E:$E,0)),""),"")</f>
        <v/>
      </c>
      <c r="J820" t="str">
        <f>IFERROR(IF(INDEX(使用レシピ!K:K,MATCH(テンプレート!$C820,使用レシピ!$E:$E,0))&lt;&gt;0,INDEX(使用レシピ!K:K,MATCH(テンプレート!$C820,使用レシピ!$E:$E,0)),""),"")</f>
        <v/>
      </c>
      <c r="K820" t="str">
        <f>IFERROR(IF(INDEX(使用レシピ!L:L,MATCH(テンプレート!$C820,使用レシピ!$E:$E,0))&lt;&gt;0,INDEX(使用レシピ!L:L,MATCH(テンプレート!$C820,使用レシピ!$E:$E,0)),""),"")</f>
        <v/>
      </c>
      <c r="L820" t="str">
        <f>IFERROR(IF(INDEX(使用レシピ!M:M,MATCH(テンプレート!$C820,使用レシピ!$E:$E,0))&lt;&gt;0,INDEX(使用レシピ!M:M,MATCH(テンプレート!$C820,使用レシピ!$E:$E,0)),""),"")</f>
        <v/>
      </c>
      <c r="M820" t="str">
        <f>IFERROR(IF(INDEX(使用レシピ!N:N,MATCH(テンプレート!$C820,使用レシピ!$E:$E,0))&lt;&gt;0,INDEX(使用レシピ!N:N,MATCH(テンプレート!$C820,使用レシピ!$E:$E,0)),""),"")</f>
        <v/>
      </c>
      <c r="N820" s="24" t="str">
        <f>IFERROR(IF(INDEX(使用レシピ!O:O,MATCH(テンプレート!$C820,使用レシピ!$E:$E,0))&lt;&gt;0,INDEX(使用レシピ!O:O,MATCH(テンプレート!$C820,使用レシピ!$E:$E,0)),""),"")</f>
        <v/>
      </c>
      <c r="O820" s="36" t="str">
        <f>IFERROR(IF(INDEX(使用レシピ!P:P,MATCH(テンプレート!$C820,使用レシピ!$E:$E,0))&lt;&gt;0,INDEX(使用レシピ!P:P,MATCH(テンプレート!$C820,使用レシピ!$E:$E,0)),""),"")</f>
        <v/>
      </c>
      <c r="P820" t="str">
        <f t="shared" si="66"/>
        <v/>
      </c>
      <c r="Q820" t="str">
        <f t="shared" si="67"/>
        <v/>
      </c>
      <c r="R820" t="str">
        <f t="shared" si="68"/>
        <v/>
      </c>
      <c r="S820" t="str">
        <f t="shared" si="69"/>
        <v/>
      </c>
      <c r="T820" s="24" t="str">
        <f t="shared" si="70"/>
        <v/>
      </c>
    </row>
    <row r="821" spans="2:20" x14ac:dyDescent="0.4">
      <c r="B821" s="49" t="str" cm="1">
        <f t="array" ref="B821">IFERROR((INDEX($P$4:$T$1000,MATCH(VALUE(LEFT($A821,LEN($A821)-1)),$A$4:$A$1000,0),VALUE(RIGHT($A821,1)))/ INDEX($O$4:$O$1000,MATCH(VALUE(LEFT($A821,LEN($A821)-1)),$A$4:$A$1000))) * INDEX($B$4:$B$1000,MATCH(VALUE(LEFT($A821,LEN($A821)-1)),$A$4:$A$1000)),"")</f>
        <v/>
      </c>
      <c r="C821" s="2" t="str" cm="1">
        <f t="array" ref="C821">IFERROR(IF(INDEX($D$4:$H$1000,MATCH(VALUE(LEFT($A821,LEN($A821)-1)),$A$4:$A$1000,0),VALUE(RIGHT($A821,1)))= 0,"",INDEX($D$4:$H$1000,MATCH(VALUE(LEFT($A821,LEN($A821)-1)),$A$4:$A$1000,0),VALUE(RIGHT($A821,1)))),"")</f>
        <v/>
      </c>
      <c r="D821" s="23" t="str">
        <f>IFERROR(IF(INDEX(使用レシピ!F:F,MATCH(テンプレート!$C821,使用レシピ!$E:$E,0))&lt;&gt;0,INDEX(使用レシピ!F:F,MATCH(テンプレート!$C821,使用レシピ!$E:$E,0)),""),"")</f>
        <v/>
      </c>
      <c r="E821" t="str">
        <f>IFERROR(IF(INDEX(使用レシピ!G:G,MATCH(テンプレート!$C821,使用レシピ!$E:$E,0))&lt;&gt;0,INDEX(使用レシピ!G:G,MATCH(テンプレート!$C821,使用レシピ!$E:$E,0)),""),"")</f>
        <v/>
      </c>
      <c r="F821" t="str">
        <f>IFERROR(IF(INDEX(使用レシピ!H:H,MATCH(テンプレート!$C821,使用レシピ!$E:$E,0))&lt;&gt;0,INDEX(使用レシピ!H:H,MATCH(テンプレート!$C821,使用レシピ!$E:$E,0)),""),"")</f>
        <v/>
      </c>
      <c r="G821" t="str">
        <f>IFERROR(IF(INDEX(使用レシピ!I:I,MATCH(テンプレート!$C821,使用レシピ!$E:$E,0))&lt;&gt;0,INDEX(使用レシピ!I:I,MATCH(テンプレート!$C821,使用レシピ!$E:$E,0)),""),"")</f>
        <v/>
      </c>
      <c r="H821" s="24" t="str">
        <f>IFERROR(IF(INDEX(使用レシピ!J:J,MATCH(テンプレート!$C821,使用レシピ!$E:$E,0))&lt;&gt;0,INDEX(使用レシピ!J:J,MATCH(テンプレート!$C821,使用レシピ!$E:$E,0)),""),"")</f>
        <v/>
      </c>
      <c r="I821" s="36" t="str">
        <f>IFERROR(IF(INDEX(使用レシピ!P:P,MATCH(テンプレート!$C821,使用レシピ!$E:$E,0))&lt;&gt;0,INDEX(使用レシピ!P:P,MATCH(テンプレート!$C821,使用レシピ!$E:$E,0)),""),"")</f>
        <v/>
      </c>
      <c r="J821" t="str">
        <f>IFERROR(IF(INDEX(使用レシピ!K:K,MATCH(テンプレート!$C821,使用レシピ!$E:$E,0))&lt;&gt;0,INDEX(使用レシピ!K:K,MATCH(テンプレート!$C821,使用レシピ!$E:$E,0)),""),"")</f>
        <v/>
      </c>
      <c r="K821" t="str">
        <f>IFERROR(IF(INDEX(使用レシピ!L:L,MATCH(テンプレート!$C821,使用レシピ!$E:$E,0))&lt;&gt;0,INDEX(使用レシピ!L:L,MATCH(テンプレート!$C821,使用レシピ!$E:$E,0)),""),"")</f>
        <v/>
      </c>
      <c r="L821" t="str">
        <f>IFERROR(IF(INDEX(使用レシピ!M:M,MATCH(テンプレート!$C821,使用レシピ!$E:$E,0))&lt;&gt;0,INDEX(使用レシピ!M:M,MATCH(テンプレート!$C821,使用レシピ!$E:$E,0)),""),"")</f>
        <v/>
      </c>
      <c r="M821" t="str">
        <f>IFERROR(IF(INDEX(使用レシピ!N:N,MATCH(テンプレート!$C821,使用レシピ!$E:$E,0))&lt;&gt;0,INDEX(使用レシピ!N:N,MATCH(テンプレート!$C821,使用レシピ!$E:$E,0)),""),"")</f>
        <v/>
      </c>
      <c r="N821" s="24" t="str">
        <f>IFERROR(IF(INDEX(使用レシピ!O:O,MATCH(テンプレート!$C821,使用レシピ!$E:$E,0))&lt;&gt;0,INDEX(使用レシピ!O:O,MATCH(テンプレート!$C821,使用レシピ!$E:$E,0)),""),"")</f>
        <v/>
      </c>
      <c r="O821" s="36" t="str">
        <f>IFERROR(IF(INDEX(使用レシピ!P:P,MATCH(テンプレート!$C821,使用レシピ!$E:$E,0))&lt;&gt;0,INDEX(使用レシピ!P:P,MATCH(テンプレート!$C821,使用レシピ!$E:$E,0)),""),"")</f>
        <v/>
      </c>
      <c r="P821" t="str">
        <f t="shared" si="66"/>
        <v/>
      </c>
      <c r="Q821" t="str">
        <f t="shared" si="67"/>
        <v/>
      </c>
      <c r="R821" t="str">
        <f t="shared" si="68"/>
        <v/>
      </c>
      <c r="S821" t="str">
        <f t="shared" si="69"/>
        <v/>
      </c>
      <c r="T821" s="24" t="str">
        <f t="shared" si="70"/>
        <v/>
      </c>
    </row>
    <row r="822" spans="2:20" x14ac:dyDescent="0.4">
      <c r="B822" s="49" t="str" cm="1">
        <f t="array" ref="B822">IFERROR((INDEX($P$4:$T$1000,MATCH(VALUE(LEFT($A822,LEN($A822)-1)),$A$4:$A$1000,0),VALUE(RIGHT($A822,1)))/ INDEX($O$4:$O$1000,MATCH(VALUE(LEFT($A822,LEN($A822)-1)),$A$4:$A$1000))) * INDEX($B$4:$B$1000,MATCH(VALUE(LEFT($A822,LEN($A822)-1)),$A$4:$A$1000)),"")</f>
        <v/>
      </c>
      <c r="C822" s="2" t="str" cm="1">
        <f t="array" ref="C822">IFERROR(IF(INDEX($D$4:$H$1000,MATCH(VALUE(LEFT($A822,LEN($A822)-1)),$A$4:$A$1000,0),VALUE(RIGHT($A822,1)))= 0,"",INDEX($D$4:$H$1000,MATCH(VALUE(LEFT($A822,LEN($A822)-1)),$A$4:$A$1000,0),VALUE(RIGHT($A822,1)))),"")</f>
        <v/>
      </c>
      <c r="D822" s="23" t="str">
        <f>IFERROR(IF(INDEX(使用レシピ!F:F,MATCH(テンプレート!$C822,使用レシピ!$E:$E,0))&lt;&gt;0,INDEX(使用レシピ!F:F,MATCH(テンプレート!$C822,使用レシピ!$E:$E,0)),""),"")</f>
        <v/>
      </c>
      <c r="E822" t="str">
        <f>IFERROR(IF(INDEX(使用レシピ!G:G,MATCH(テンプレート!$C822,使用レシピ!$E:$E,0))&lt;&gt;0,INDEX(使用レシピ!G:G,MATCH(テンプレート!$C822,使用レシピ!$E:$E,0)),""),"")</f>
        <v/>
      </c>
      <c r="F822" t="str">
        <f>IFERROR(IF(INDEX(使用レシピ!H:H,MATCH(テンプレート!$C822,使用レシピ!$E:$E,0))&lt;&gt;0,INDEX(使用レシピ!H:H,MATCH(テンプレート!$C822,使用レシピ!$E:$E,0)),""),"")</f>
        <v/>
      </c>
      <c r="G822" t="str">
        <f>IFERROR(IF(INDEX(使用レシピ!I:I,MATCH(テンプレート!$C822,使用レシピ!$E:$E,0))&lt;&gt;0,INDEX(使用レシピ!I:I,MATCH(テンプレート!$C822,使用レシピ!$E:$E,0)),""),"")</f>
        <v/>
      </c>
      <c r="H822" s="24" t="str">
        <f>IFERROR(IF(INDEX(使用レシピ!J:J,MATCH(テンプレート!$C822,使用レシピ!$E:$E,0))&lt;&gt;0,INDEX(使用レシピ!J:J,MATCH(テンプレート!$C822,使用レシピ!$E:$E,0)),""),"")</f>
        <v/>
      </c>
      <c r="I822" s="36" t="str">
        <f>IFERROR(IF(INDEX(使用レシピ!P:P,MATCH(テンプレート!$C822,使用レシピ!$E:$E,0))&lt;&gt;0,INDEX(使用レシピ!P:P,MATCH(テンプレート!$C822,使用レシピ!$E:$E,0)),""),"")</f>
        <v/>
      </c>
      <c r="J822" t="str">
        <f>IFERROR(IF(INDEX(使用レシピ!K:K,MATCH(テンプレート!$C822,使用レシピ!$E:$E,0))&lt;&gt;0,INDEX(使用レシピ!K:K,MATCH(テンプレート!$C822,使用レシピ!$E:$E,0)),""),"")</f>
        <v/>
      </c>
      <c r="K822" t="str">
        <f>IFERROR(IF(INDEX(使用レシピ!L:L,MATCH(テンプレート!$C822,使用レシピ!$E:$E,0))&lt;&gt;0,INDEX(使用レシピ!L:L,MATCH(テンプレート!$C822,使用レシピ!$E:$E,0)),""),"")</f>
        <v/>
      </c>
      <c r="L822" t="str">
        <f>IFERROR(IF(INDEX(使用レシピ!M:M,MATCH(テンプレート!$C822,使用レシピ!$E:$E,0))&lt;&gt;0,INDEX(使用レシピ!M:M,MATCH(テンプレート!$C822,使用レシピ!$E:$E,0)),""),"")</f>
        <v/>
      </c>
      <c r="M822" t="str">
        <f>IFERROR(IF(INDEX(使用レシピ!N:N,MATCH(テンプレート!$C822,使用レシピ!$E:$E,0))&lt;&gt;0,INDEX(使用レシピ!N:N,MATCH(テンプレート!$C822,使用レシピ!$E:$E,0)),""),"")</f>
        <v/>
      </c>
      <c r="N822" s="24" t="str">
        <f>IFERROR(IF(INDEX(使用レシピ!O:O,MATCH(テンプレート!$C822,使用レシピ!$E:$E,0))&lt;&gt;0,INDEX(使用レシピ!O:O,MATCH(テンプレート!$C822,使用レシピ!$E:$E,0)),""),"")</f>
        <v/>
      </c>
      <c r="O822" s="36" t="str">
        <f>IFERROR(IF(INDEX(使用レシピ!P:P,MATCH(テンプレート!$C822,使用レシピ!$E:$E,0))&lt;&gt;0,INDEX(使用レシピ!P:P,MATCH(テンプレート!$C822,使用レシピ!$E:$E,0)),""),"")</f>
        <v/>
      </c>
      <c r="P822" t="str">
        <f t="shared" si="66"/>
        <v/>
      </c>
      <c r="Q822" t="str">
        <f t="shared" si="67"/>
        <v/>
      </c>
      <c r="R822" t="str">
        <f t="shared" si="68"/>
        <v/>
      </c>
      <c r="S822" t="str">
        <f t="shared" si="69"/>
        <v/>
      </c>
      <c r="T822" s="24" t="str">
        <f t="shared" si="70"/>
        <v/>
      </c>
    </row>
    <row r="823" spans="2:20" x14ac:dyDescent="0.4">
      <c r="B823" s="49" t="str" cm="1">
        <f t="array" ref="B823">IFERROR((INDEX($P$4:$T$1000,MATCH(VALUE(LEFT($A823,LEN($A823)-1)),$A$4:$A$1000,0),VALUE(RIGHT($A823,1)))/ INDEX($O$4:$O$1000,MATCH(VALUE(LEFT($A823,LEN($A823)-1)),$A$4:$A$1000))) * INDEX($B$4:$B$1000,MATCH(VALUE(LEFT($A823,LEN($A823)-1)),$A$4:$A$1000)),"")</f>
        <v/>
      </c>
      <c r="C823" s="2" t="str" cm="1">
        <f t="array" ref="C823">IFERROR(IF(INDEX($D$4:$H$1000,MATCH(VALUE(LEFT($A823,LEN($A823)-1)),$A$4:$A$1000,0),VALUE(RIGHT($A823,1)))= 0,"",INDEX($D$4:$H$1000,MATCH(VALUE(LEFT($A823,LEN($A823)-1)),$A$4:$A$1000,0),VALUE(RIGHT($A823,1)))),"")</f>
        <v/>
      </c>
      <c r="D823" s="23" t="str">
        <f>IFERROR(IF(INDEX(使用レシピ!F:F,MATCH(テンプレート!$C823,使用レシピ!$E:$E,0))&lt;&gt;0,INDEX(使用レシピ!F:F,MATCH(テンプレート!$C823,使用レシピ!$E:$E,0)),""),"")</f>
        <v/>
      </c>
      <c r="E823" t="str">
        <f>IFERROR(IF(INDEX(使用レシピ!G:G,MATCH(テンプレート!$C823,使用レシピ!$E:$E,0))&lt;&gt;0,INDEX(使用レシピ!G:G,MATCH(テンプレート!$C823,使用レシピ!$E:$E,0)),""),"")</f>
        <v/>
      </c>
      <c r="F823" t="str">
        <f>IFERROR(IF(INDEX(使用レシピ!H:H,MATCH(テンプレート!$C823,使用レシピ!$E:$E,0))&lt;&gt;0,INDEX(使用レシピ!H:H,MATCH(テンプレート!$C823,使用レシピ!$E:$E,0)),""),"")</f>
        <v/>
      </c>
      <c r="G823" t="str">
        <f>IFERROR(IF(INDEX(使用レシピ!I:I,MATCH(テンプレート!$C823,使用レシピ!$E:$E,0))&lt;&gt;0,INDEX(使用レシピ!I:I,MATCH(テンプレート!$C823,使用レシピ!$E:$E,0)),""),"")</f>
        <v/>
      </c>
      <c r="H823" s="24" t="str">
        <f>IFERROR(IF(INDEX(使用レシピ!J:J,MATCH(テンプレート!$C823,使用レシピ!$E:$E,0))&lt;&gt;0,INDEX(使用レシピ!J:J,MATCH(テンプレート!$C823,使用レシピ!$E:$E,0)),""),"")</f>
        <v/>
      </c>
      <c r="I823" s="36" t="str">
        <f>IFERROR(IF(INDEX(使用レシピ!P:P,MATCH(テンプレート!$C823,使用レシピ!$E:$E,0))&lt;&gt;0,INDEX(使用レシピ!P:P,MATCH(テンプレート!$C823,使用レシピ!$E:$E,0)),""),"")</f>
        <v/>
      </c>
      <c r="J823" t="str">
        <f>IFERROR(IF(INDEX(使用レシピ!K:K,MATCH(テンプレート!$C823,使用レシピ!$E:$E,0))&lt;&gt;0,INDEX(使用レシピ!K:K,MATCH(テンプレート!$C823,使用レシピ!$E:$E,0)),""),"")</f>
        <v/>
      </c>
      <c r="K823" t="str">
        <f>IFERROR(IF(INDEX(使用レシピ!L:L,MATCH(テンプレート!$C823,使用レシピ!$E:$E,0))&lt;&gt;0,INDEX(使用レシピ!L:L,MATCH(テンプレート!$C823,使用レシピ!$E:$E,0)),""),"")</f>
        <v/>
      </c>
      <c r="L823" t="str">
        <f>IFERROR(IF(INDEX(使用レシピ!M:M,MATCH(テンプレート!$C823,使用レシピ!$E:$E,0))&lt;&gt;0,INDEX(使用レシピ!M:M,MATCH(テンプレート!$C823,使用レシピ!$E:$E,0)),""),"")</f>
        <v/>
      </c>
      <c r="M823" t="str">
        <f>IFERROR(IF(INDEX(使用レシピ!N:N,MATCH(テンプレート!$C823,使用レシピ!$E:$E,0))&lt;&gt;0,INDEX(使用レシピ!N:N,MATCH(テンプレート!$C823,使用レシピ!$E:$E,0)),""),"")</f>
        <v/>
      </c>
      <c r="N823" s="24" t="str">
        <f>IFERROR(IF(INDEX(使用レシピ!O:O,MATCH(テンプレート!$C823,使用レシピ!$E:$E,0))&lt;&gt;0,INDEX(使用レシピ!O:O,MATCH(テンプレート!$C823,使用レシピ!$E:$E,0)),""),"")</f>
        <v/>
      </c>
      <c r="O823" s="36" t="str">
        <f>IFERROR(IF(INDEX(使用レシピ!P:P,MATCH(テンプレート!$C823,使用レシピ!$E:$E,0))&lt;&gt;0,INDEX(使用レシピ!P:P,MATCH(テンプレート!$C823,使用レシピ!$E:$E,0)),""),"")</f>
        <v/>
      </c>
      <c r="P823" t="str">
        <f t="shared" si="66"/>
        <v/>
      </c>
      <c r="Q823" t="str">
        <f t="shared" si="67"/>
        <v/>
      </c>
      <c r="R823" t="str">
        <f t="shared" si="68"/>
        <v/>
      </c>
      <c r="S823" t="str">
        <f t="shared" si="69"/>
        <v/>
      </c>
      <c r="T823" s="24" t="str">
        <f t="shared" si="70"/>
        <v/>
      </c>
    </row>
    <row r="824" spans="2:20" x14ac:dyDescent="0.4">
      <c r="B824" s="49" t="str" cm="1">
        <f t="array" ref="B824">IFERROR((INDEX($P$4:$T$1000,MATCH(VALUE(LEFT($A824,LEN($A824)-1)),$A$4:$A$1000,0),VALUE(RIGHT($A824,1)))/ INDEX($O$4:$O$1000,MATCH(VALUE(LEFT($A824,LEN($A824)-1)),$A$4:$A$1000))) * INDEX($B$4:$B$1000,MATCH(VALUE(LEFT($A824,LEN($A824)-1)),$A$4:$A$1000)),"")</f>
        <v/>
      </c>
      <c r="C824" s="2" t="str" cm="1">
        <f t="array" ref="C824">IFERROR(IF(INDEX($D$4:$H$1000,MATCH(VALUE(LEFT($A824,LEN($A824)-1)),$A$4:$A$1000,0),VALUE(RIGHT($A824,1)))= 0,"",INDEX($D$4:$H$1000,MATCH(VALUE(LEFT($A824,LEN($A824)-1)),$A$4:$A$1000,0),VALUE(RIGHT($A824,1)))),"")</f>
        <v/>
      </c>
      <c r="D824" s="23" t="str">
        <f>IFERROR(IF(INDEX(使用レシピ!F:F,MATCH(テンプレート!$C824,使用レシピ!$E:$E,0))&lt;&gt;0,INDEX(使用レシピ!F:F,MATCH(テンプレート!$C824,使用レシピ!$E:$E,0)),""),"")</f>
        <v/>
      </c>
      <c r="E824" t="str">
        <f>IFERROR(IF(INDEX(使用レシピ!G:G,MATCH(テンプレート!$C824,使用レシピ!$E:$E,0))&lt;&gt;0,INDEX(使用レシピ!G:G,MATCH(テンプレート!$C824,使用レシピ!$E:$E,0)),""),"")</f>
        <v/>
      </c>
      <c r="F824" t="str">
        <f>IFERROR(IF(INDEX(使用レシピ!H:H,MATCH(テンプレート!$C824,使用レシピ!$E:$E,0))&lt;&gt;0,INDEX(使用レシピ!H:H,MATCH(テンプレート!$C824,使用レシピ!$E:$E,0)),""),"")</f>
        <v/>
      </c>
      <c r="G824" t="str">
        <f>IFERROR(IF(INDEX(使用レシピ!I:I,MATCH(テンプレート!$C824,使用レシピ!$E:$E,0))&lt;&gt;0,INDEX(使用レシピ!I:I,MATCH(テンプレート!$C824,使用レシピ!$E:$E,0)),""),"")</f>
        <v/>
      </c>
      <c r="H824" s="24" t="str">
        <f>IFERROR(IF(INDEX(使用レシピ!J:J,MATCH(テンプレート!$C824,使用レシピ!$E:$E,0))&lt;&gt;0,INDEX(使用レシピ!J:J,MATCH(テンプレート!$C824,使用レシピ!$E:$E,0)),""),"")</f>
        <v/>
      </c>
      <c r="I824" s="36" t="str">
        <f>IFERROR(IF(INDEX(使用レシピ!P:P,MATCH(テンプレート!$C824,使用レシピ!$E:$E,0))&lt;&gt;0,INDEX(使用レシピ!P:P,MATCH(テンプレート!$C824,使用レシピ!$E:$E,0)),""),"")</f>
        <v/>
      </c>
      <c r="J824" t="str">
        <f>IFERROR(IF(INDEX(使用レシピ!K:K,MATCH(テンプレート!$C824,使用レシピ!$E:$E,0))&lt;&gt;0,INDEX(使用レシピ!K:K,MATCH(テンプレート!$C824,使用レシピ!$E:$E,0)),""),"")</f>
        <v/>
      </c>
      <c r="K824" t="str">
        <f>IFERROR(IF(INDEX(使用レシピ!L:L,MATCH(テンプレート!$C824,使用レシピ!$E:$E,0))&lt;&gt;0,INDEX(使用レシピ!L:L,MATCH(テンプレート!$C824,使用レシピ!$E:$E,0)),""),"")</f>
        <v/>
      </c>
      <c r="L824" t="str">
        <f>IFERROR(IF(INDEX(使用レシピ!M:M,MATCH(テンプレート!$C824,使用レシピ!$E:$E,0))&lt;&gt;0,INDEX(使用レシピ!M:M,MATCH(テンプレート!$C824,使用レシピ!$E:$E,0)),""),"")</f>
        <v/>
      </c>
      <c r="M824" t="str">
        <f>IFERROR(IF(INDEX(使用レシピ!N:N,MATCH(テンプレート!$C824,使用レシピ!$E:$E,0))&lt;&gt;0,INDEX(使用レシピ!N:N,MATCH(テンプレート!$C824,使用レシピ!$E:$E,0)),""),"")</f>
        <v/>
      </c>
      <c r="N824" s="24" t="str">
        <f>IFERROR(IF(INDEX(使用レシピ!O:O,MATCH(テンプレート!$C824,使用レシピ!$E:$E,0))&lt;&gt;0,INDEX(使用レシピ!O:O,MATCH(テンプレート!$C824,使用レシピ!$E:$E,0)),""),"")</f>
        <v/>
      </c>
      <c r="O824" s="36" t="str">
        <f>IFERROR(IF(INDEX(使用レシピ!P:P,MATCH(テンプレート!$C824,使用レシピ!$E:$E,0))&lt;&gt;0,INDEX(使用レシピ!P:P,MATCH(テンプレート!$C824,使用レシピ!$E:$E,0)),""),"")</f>
        <v/>
      </c>
      <c r="P824" t="str">
        <f t="shared" si="66"/>
        <v/>
      </c>
      <c r="Q824" t="str">
        <f t="shared" si="67"/>
        <v/>
      </c>
      <c r="R824" t="str">
        <f t="shared" si="68"/>
        <v/>
      </c>
      <c r="S824" t="str">
        <f t="shared" si="69"/>
        <v/>
      </c>
      <c r="T824" s="24" t="str">
        <f t="shared" si="70"/>
        <v/>
      </c>
    </row>
    <row r="825" spans="2:20" x14ac:dyDescent="0.4">
      <c r="B825" s="49" t="str" cm="1">
        <f t="array" ref="B825">IFERROR((INDEX($P$4:$T$1000,MATCH(VALUE(LEFT($A825,LEN($A825)-1)),$A$4:$A$1000,0),VALUE(RIGHT($A825,1)))/ INDEX($O$4:$O$1000,MATCH(VALUE(LEFT($A825,LEN($A825)-1)),$A$4:$A$1000))) * INDEX($B$4:$B$1000,MATCH(VALUE(LEFT($A825,LEN($A825)-1)),$A$4:$A$1000)),"")</f>
        <v/>
      </c>
      <c r="C825" s="2" t="str" cm="1">
        <f t="array" ref="C825">IFERROR(IF(INDEX($D$4:$H$1000,MATCH(VALUE(LEFT($A825,LEN($A825)-1)),$A$4:$A$1000,0),VALUE(RIGHT($A825,1)))= 0,"",INDEX($D$4:$H$1000,MATCH(VALUE(LEFT($A825,LEN($A825)-1)),$A$4:$A$1000,0),VALUE(RIGHT($A825,1)))),"")</f>
        <v/>
      </c>
      <c r="D825" s="23" t="str">
        <f>IFERROR(IF(INDEX(使用レシピ!F:F,MATCH(テンプレート!$C825,使用レシピ!$E:$E,0))&lt;&gt;0,INDEX(使用レシピ!F:F,MATCH(テンプレート!$C825,使用レシピ!$E:$E,0)),""),"")</f>
        <v/>
      </c>
      <c r="E825" t="str">
        <f>IFERROR(IF(INDEX(使用レシピ!G:G,MATCH(テンプレート!$C825,使用レシピ!$E:$E,0))&lt;&gt;0,INDEX(使用レシピ!G:G,MATCH(テンプレート!$C825,使用レシピ!$E:$E,0)),""),"")</f>
        <v/>
      </c>
      <c r="F825" t="str">
        <f>IFERROR(IF(INDEX(使用レシピ!H:H,MATCH(テンプレート!$C825,使用レシピ!$E:$E,0))&lt;&gt;0,INDEX(使用レシピ!H:H,MATCH(テンプレート!$C825,使用レシピ!$E:$E,0)),""),"")</f>
        <v/>
      </c>
      <c r="G825" t="str">
        <f>IFERROR(IF(INDEX(使用レシピ!I:I,MATCH(テンプレート!$C825,使用レシピ!$E:$E,0))&lt;&gt;0,INDEX(使用レシピ!I:I,MATCH(テンプレート!$C825,使用レシピ!$E:$E,0)),""),"")</f>
        <v/>
      </c>
      <c r="H825" s="24" t="str">
        <f>IFERROR(IF(INDEX(使用レシピ!J:J,MATCH(テンプレート!$C825,使用レシピ!$E:$E,0))&lt;&gt;0,INDEX(使用レシピ!J:J,MATCH(テンプレート!$C825,使用レシピ!$E:$E,0)),""),"")</f>
        <v/>
      </c>
      <c r="I825" s="36" t="str">
        <f>IFERROR(IF(INDEX(使用レシピ!P:P,MATCH(テンプレート!$C825,使用レシピ!$E:$E,0))&lt;&gt;0,INDEX(使用レシピ!P:P,MATCH(テンプレート!$C825,使用レシピ!$E:$E,0)),""),"")</f>
        <v/>
      </c>
      <c r="J825" t="str">
        <f>IFERROR(IF(INDEX(使用レシピ!K:K,MATCH(テンプレート!$C825,使用レシピ!$E:$E,0))&lt;&gt;0,INDEX(使用レシピ!K:K,MATCH(テンプレート!$C825,使用レシピ!$E:$E,0)),""),"")</f>
        <v/>
      </c>
      <c r="K825" t="str">
        <f>IFERROR(IF(INDEX(使用レシピ!L:L,MATCH(テンプレート!$C825,使用レシピ!$E:$E,0))&lt;&gt;0,INDEX(使用レシピ!L:L,MATCH(テンプレート!$C825,使用レシピ!$E:$E,0)),""),"")</f>
        <v/>
      </c>
      <c r="L825" t="str">
        <f>IFERROR(IF(INDEX(使用レシピ!M:M,MATCH(テンプレート!$C825,使用レシピ!$E:$E,0))&lt;&gt;0,INDEX(使用レシピ!M:M,MATCH(テンプレート!$C825,使用レシピ!$E:$E,0)),""),"")</f>
        <v/>
      </c>
      <c r="M825" t="str">
        <f>IFERROR(IF(INDEX(使用レシピ!N:N,MATCH(テンプレート!$C825,使用レシピ!$E:$E,0))&lt;&gt;0,INDEX(使用レシピ!N:N,MATCH(テンプレート!$C825,使用レシピ!$E:$E,0)),""),"")</f>
        <v/>
      </c>
      <c r="N825" s="24" t="str">
        <f>IFERROR(IF(INDEX(使用レシピ!O:O,MATCH(テンプレート!$C825,使用レシピ!$E:$E,0))&lt;&gt;0,INDEX(使用レシピ!O:O,MATCH(テンプレート!$C825,使用レシピ!$E:$E,0)),""),"")</f>
        <v/>
      </c>
      <c r="O825" s="36" t="str">
        <f>IFERROR(IF(INDEX(使用レシピ!P:P,MATCH(テンプレート!$C825,使用レシピ!$E:$E,0))&lt;&gt;0,INDEX(使用レシピ!P:P,MATCH(テンプレート!$C825,使用レシピ!$E:$E,0)),""),"")</f>
        <v/>
      </c>
      <c r="P825" t="str">
        <f t="shared" si="66"/>
        <v/>
      </c>
      <c r="Q825" t="str">
        <f t="shared" si="67"/>
        <v/>
      </c>
      <c r="R825" t="str">
        <f t="shared" si="68"/>
        <v/>
      </c>
      <c r="S825" t="str">
        <f t="shared" si="69"/>
        <v/>
      </c>
      <c r="T825" s="24" t="str">
        <f t="shared" si="70"/>
        <v/>
      </c>
    </row>
    <row r="826" spans="2:20" x14ac:dyDescent="0.4">
      <c r="B826" s="49" t="str" cm="1">
        <f t="array" ref="B826">IFERROR((INDEX($P$4:$T$1000,MATCH(VALUE(LEFT($A826,LEN($A826)-1)),$A$4:$A$1000,0),VALUE(RIGHT($A826,1)))/ INDEX($O$4:$O$1000,MATCH(VALUE(LEFT($A826,LEN($A826)-1)),$A$4:$A$1000))) * INDEX($B$4:$B$1000,MATCH(VALUE(LEFT($A826,LEN($A826)-1)),$A$4:$A$1000)),"")</f>
        <v/>
      </c>
      <c r="C826" s="2" t="str" cm="1">
        <f t="array" ref="C826">IFERROR(IF(INDEX($D$4:$H$1000,MATCH(VALUE(LEFT($A826,LEN($A826)-1)),$A$4:$A$1000,0),VALUE(RIGHT($A826,1)))= 0,"",INDEX($D$4:$H$1000,MATCH(VALUE(LEFT($A826,LEN($A826)-1)),$A$4:$A$1000,0),VALUE(RIGHT($A826,1)))),"")</f>
        <v/>
      </c>
      <c r="D826" s="23" t="str">
        <f>IFERROR(IF(INDEX(使用レシピ!F:F,MATCH(テンプレート!$C826,使用レシピ!$E:$E,0))&lt;&gt;0,INDEX(使用レシピ!F:F,MATCH(テンプレート!$C826,使用レシピ!$E:$E,0)),""),"")</f>
        <v/>
      </c>
      <c r="E826" t="str">
        <f>IFERROR(IF(INDEX(使用レシピ!G:G,MATCH(テンプレート!$C826,使用レシピ!$E:$E,0))&lt;&gt;0,INDEX(使用レシピ!G:G,MATCH(テンプレート!$C826,使用レシピ!$E:$E,0)),""),"")</f>
        <v/>
      </c>
      <c r="F826" t="str">
        <f>IFERROR(IF(INDEX(使用レシピ!H:H,MATCH(テンプレート!$C826,使用レシピ!$E:$E,0))&lt;&gt;0,INDEX(使用レシピ!H:H,MATCH(テンプレート!$C826,使用レシピ!$E:$E,0)),""),"")</f>
        <v/>
      </c>
      <c r="G826" t="str">
        <f>IFERROR(IF(INDEX(使用レシピ!I:I,MATCH(テンプレート!$C826,使用レシピ!$E:$E,0))&lt;&gt;0,INDEX(使用レシピ!I:I,MATCH(テンプレート!$C826,使用レシピ!$E:$E,0)),""),"")</f>
        <v/>
      </c>
      <c r="H826" s="24" t="str">
        <f>IFERROR(IF(INDEX(使用レシピ!J:J,MATCH(テンプレート!$C826,使用レシピ!$E:$E,0))&lt;&gt;0,INDEX(使用レシピ!J:J,MATCH(テンプレート!$C826,使用レシピ!$E:$E,0)),""),"")</f>
        <v/>
      </c>
      <c r="I826" s="36" t="str">
        <f>IFERROR(IF(INDEX(使用レシピ!P:P,MATCH(テンプレート!$C826,使用レシピ!$E:$E,0))&lt;&gt;0,INDEX(使用レシピ!P:P,MATCH(テンプレート!$C826,使用レシピ!$E:$E,0)),""),"")</f>
        <v/>
      </c>
      <c r="J826" t="str">
        <f>IFERROR(IF(INDEX(使用レシピ!K:K,MATCH(テンプレート!$C826,使用レシピ!$E:$E,0))&lt;&gt;0,INDEX(使用レシピ!K:K,MATCH(テンプレート!$C826,使用レシピ!$E:$E,0)),""),"")</f>
        <v/>
      </c>
      <c r="K826" t="str">
        <f>IFERROR(IF(INDEX(使用レシピ!L:L,MATCH(テンプレート!$C826,使用レシピ!$E:$E,0))&lt;&gt;0,INDEX(使用レシピ!L:L,MATCH(テンプレート!$C826,使用レシピ!$E:$E,0)),""),"")</f>
        <v/>
      </c>
      <c r="L826" t="str">
        <f>IFERROR(IF(INDEX(使用レシピ!M:M,MATCH(テンプレート!$C826,使用レシピ!$E:$E,0))&lt;&gt;0,INDEX(使用レシピ!M:M,MATCH(テンプレート!$C826,使用レシピ!$E:$E,0)),""),"")</f>
        <v/>
      </c>
      <c r="M826" t="str">
        <f>IFERROR(IF(INDEX(使用レシピ!N:N,MATCH(テンプレート!$C826,使用レシピ!$E:$E,0))&lt;&gt;0,INDEX(使用レシピ!N:N,MATCH(テンプレート!$C826,使用レシピ!$E:$E,0)),""),"")</f>
        <v/>
      </c>
      <c r="N826" s="24" t="str">
        <f>IFERROR(IF(INDEX(使用レシピ!O:O,MATCH(テンプレート!$C826,使用レシピ!$E:$E,0))&lt;&gt;0,INDEX(使用レシピ!O:O,MATCH(テンプレート!$C826,使用レシピ!$E:$E,0)),""),"")</f>
        <v/>
      </c>
      <c r="O826" s="36" t="str">
        <f>IFERROR(IF(INDEX(使用レシピ!P:P,MATCH(テンプレート!$C826,使用レシピ!$E:$E,0))&lt;&gt;0,INDEX(使用レシピ!P:P,MATCH(テンプレート!$C826,使用レシピ!$E:$E,0)),""),"")</f>
        <v/>
      </c>
      <c r="P826" t="str">
        <f t="shared" si="66"/>
        <v/>
      </c>
      <c r="Q826" t="str">
        <f t="shared" si="67"/>
        <v/>
      </c>
      <c r="R826" t="str">
        <f t="shared" si="68"/>
        <v/>
      </c>
      <c r="S826" t="str">
        <f t="shared" si="69"/>
        <v/>
      </c>
      <c r="T826" s="24" t="str">
        <f t="shared" si="70"/>
        <v/>
      </c>
    </row>
    <row r="827" spans="2:20" x14ac:dyDescent="0.4">
      <c r="B827" s="49" t="str" cm="1">
        <f t="array" ref="B827">IFERROR((INDEX($P$4:$T$1000,MATCH(VALUE(LEFT($A827,LEN($A827)-1)),$A$4:$A$1000,0),VALUE(RIGHT($A827,1)))/ INDEX($O$4:$O$1000,MATCH(VALUE(LEFT($A827,LEN($A827)-1)),$A$4:$A$1000))) * INDEX($B$4:$B$1000,MATCH(VALUE(LEFT($A827,LEN($A827)-1)),$A$4:$A$1000)),"")</f>
        <v/>
      </c>
      <c r="C827" s="2" t="str" cm="1">
        <f t="array" ref="C827">IFERROR(IF(INDEX($D$4:$H$1000,MATCH(VALUE(LEFT($A827,LEN($A827)-1)),$A$4:$A$1000,0),VALUE(RIGHT($A827,1)))= 0,"",INDEX($D$4:$H$1000,MATCH(VALUE(LEFT($A827,LEN($A827)-1)),$A$4:$A$1000,0),VALUE(RIGHT($A827,1)))),"")</f>
        <v/>
      </c>
      <c r="D827" s="23" t="str">
        <f>IFERROR(IF(INDEX(使用レシピ!F:F,MATCH(テンプレート!$C827,使用レシピ!$E:$E,0))&lt;&gt;0,INDEX(使用レシピ!F:F,MATCH(テンプレート!$C827,使用レシピ!$E:$E,0)),""),"")</f>
        <v/>
      </c>
      <c r="E827" t="str">
        <f>IFERROR(IF(INDEX(使用レシピ!G:G,MATCH(テンプレート!$C827,使用レシピ!$E:$E,0))&lt;&gt;0,INDEX(使用レシピ!G:G,MATCH(テンプレート!$C827,使用レシピ!$E:$E,0)),""),"")</f>
        <v/>
      </c>
      <c r="F827" t="str">
        <f>IFERROR(IF(INDEX(使用レシピ!H:H,MATCH(テンプレート!$C827,使用レシピ!$E:$E,0))&lt;&gt;0,INDEX(使用レシピ!H:H,MATCH(テンプレート!$C827,使用レシピ!$E:$E,0)),""),"")</f>
        <v/>
      </c>
      <c r="G827" t="str">
        <f>IFERROR(IF(INDEX(使用レシピ!I:I,MATCH(テンプレート!$C827,使用レシピ!$E:$E,0))&lt;&gt;0,INDEX(使用レシピ!I:I,MATCH(テンプレート!$C827,使用レシピ!$E:$E,0)),""),"")</f>
        <v/>
      </c>
      <c r="H827" s="24" t="str">
        <f>IFERROR(IF(INDEX(使用レシピ!J:J,MATCH(テンプレート!$C827,使用レシピ!$E:$E,0))&lt;&gt;0,INDEX(使用レシピ!J:J,MATCH(テンプレート!$C827,使用レシピ!$E:$E,0)),""),"")</f>
        <v/>
      </c>
      <c r="I827" s="36" t="str">
        <f>IFERROR(IF(INDEX(使用レシピ!P:P,MATCH(テンプレート!$C827,使用レシピ!$E:$E,0))&lt;&gt;0,INDEX(使用レシピ!P:P,MATCH(テンプレート!$C827,使用レシピ!$E:$E,0)),""),"")</f>
        <v/>
      </c>
      <c r="J827" t="str">
        <f>IFERROR(IF(INDEX(使用レシピ!K:K,MATCH(テンプレート!$C827,使用レシピ!$E:$E,0))&lt;&gt;0,INDEX(使用レシピ!K:K,MATCH(テンプレート!$C827,使用レシピ!$E:$E,0)),""),"")</f>
        <v/>
      </c>
      <c r="K827" t="str">
        <f>IFERROR(IF(INDEX(使用レシピ!L:L,MATCH(テンプレート!$C827,使用レシピ!$E:$E,0))&lt;&gt;0,INDEX(使用レシピ!L:L,MATCH(テンプレート!$C827,使用レシピ!$E:$E,0)),""),"")</f>
        <v/>
      </c>
      <c r="L827" t="str">
        <f>IFERROR(IF(INDEX(使用レシピ!M:M,MATCH(テンプレート!$C827,使用レシピ!$E:$E,0))&lt;&gt;0,INDEX(使用レシピ!M:M,MATCH(テンプレート!$C827,使用レシピ!$E:$E,0)),""),"")</f>
        <v/>
      </c>
      <c r="M827" t="str">
        <f>IFERROR(IF(INDEX(使用レシピ!N:N,MATCH(テンプレート!$C827,使用レシピ!$E:$E,0))&lt;&gt;0,INDEX(使用レシピ!N:N,MATCH(テンプレート!$C827,使用レシピ!$E:$E,0)),""),"")</f>
        <v/>
      </c>
      <c r="N827" s="24" t="str">
        <f>IFERROR(IF(INDEX(使用レシピ!O:O,MATCH(テンプレート!$C827,使用レシピ!$E:$E,0))&lt;&gt;0,INDEX(使用レシピ!O:O,MATCH(テンプレート!$C827,使用レシピ!$E:$E,0)),""),"")</f>
        <v/>
      </c>
      <c r="O827" s="36" t="str">
        <f>IFERROR(IF(INDEX(使用レシピ!P:P,MATCH(テンプレート!$C827,使用レシピ!$E:$E,0))&lt;&gt;0,INDEX(使用レシピ!P:P,MATCH(テンプレート!$C827,使用レシピ!$E:$E,0)),""),"")</f>
        <v/>
      </c>
      <c r="P827" t="str">
        <f t="shared" si="66"/>
        <v/>
      </c>
      <c r="Q827" t="str">
        <f t="shared" si="67"/>
        <v/>
      </c>
      <c r="R827" t="str">
        <f t="shared" si="68"/>
        <v/>
      </c>
      <c r="S827" t="str">
        <f t="shared" si="69"/>
        <v/>
      </c>
      <c r="T827" s="24" t="str">
        <f t="shared" si="70"/>
        <v/>
      </c>
    </row>
    <row r="828" spans="2:20" x14ac:dyDescent="0.4">
      <c r="B828" s="49" t="str" cm="1">
        <f t="array" ref="B828">IFERROR((INDEX($P$4:$T$1000,MATCH(VALUE(LEFT($A828,LEN($A828)-1)),$A$4:$A$1000,0),VALUE(RIGHT($A828,1)))/ INDEX($O$4:$O$1000,MATCH(VALUE(LEFT($A828,LEN($A828)-1)),$A$4:$A$1000))) * INDEX($B$4:$B$1000,MATCH(VALUE(LEFT($A828,LEN($A828)-1)),$A$4:$A$1000)),"")</f>
        <v/>
      </c>
      <c r="C828" s="2" t="str" cm="1">
        <f t="array" ref="C828">IFERROR(IF(INDEX($D$4:$H$1000,MATCH(VALUE(LEFT($A828,LEN($A828)-1)),$A$4:$A$1000,0),VALUE(RIGHT($A828,1)))= 0,"",INDEX($D$4:$H$1000,MATCH(VALUE(LEFT($A828,LEN($A828)-1)),$A$4:$A$1000,0),VALUE(RIGHT($A828,1)))),"")</f>
        <v/>
      </c>
      <c r="D828" s="23" t="str">
        <f>IFERROR(IF(INDEX(使用レシピ!F:F,MATCH(テンプレート!$C828,使用レシピ!$E:$E,0))&lt;&gt;0,INDEX(使用レシピ!F:F,MATCH(テンプレート!$C828,使用レシピ!$E:$E,0)),""),"")</f>
        <v/>
      </c>
      <c r="E828" t="str">
        <f>IFERROR(IF(INDEX(使用レシピ!G:G,MATCH(テンプレート!$C828,使用レシピ!$E:$E,0))&lt;&gt;0,INDEX(使用レシピ!G:G,MATCH(テンプレート!$C828,使用レシピ!$E:$E,0)),""),"")</f>
        <v/>
      </c>
      <c r="F828" t="str">
        <f>IFERROR(IF(INDEX(使用レシピ!H:H,MATCH(テンプレート!$C828,使用レシピ!$E:$E,0))&lt;&gt;0,INDEX(使用レシピ!H:H,MATCH(テンプレート!$C828,使用レシピ!$E:$E,0)),""),"")</f>
        <v/>
      </c>
      <c r="G828" t="str">
        <f>IFERROR(IF(INDEX(使用レシピ!I:I,MATCH(テンプレート!$C828,使用レシピ!$E:$E,0))&lt;&gt;0,INDEX(使用レシピ!I:I,MATCH(テンプレート!$C828,使用レシピ!$E:$E,0)),""),"")</f>
        <v/>
      </c>
      <c r="H828" s="24" t="str">
        <f>IFERROR(IF(INDEX(使用レシピ!J:J,MATCH(テンプレート!$C828,使用レシピ!$E:$E,0))&lt;&gt;0,INDEX(使用レシピ!J:J,MATCH(テンプレート!$C828,使用レシピ!$E:$E,0)),""),"")</f>
        <v/>
      </c>
      <c r="I828" s="36" t="str">
        <f>IFERROR(IF(INDEX(使用レシピ!P:P,MATCH(テンプレート!$C828,使用レシピ!$E:$E,0))&lt;&gt;0,INDEX(使用レシピ!P:P,MATCH(テンプレート!$C828,使用レシピ!$E:$E,0)),""),"")</f>
        <v/>
      </c>
      <c r="J828" t="str">
        <f>IFERROR(IF(INDEX(使用レシピ!K:K,MATCH(テンプレート!$C828,使用レシピ!$E:$E,0))&lt;&gt;0,INDEX(使用レシピ!K:K,MATCH(テンプレート!$C828,使用レシピ!$E:$E,0)),""),"")</f>
        <v/>
      </c>
      <c r="K828" t="str">
        <f>IFERROR(IF(INDEX(使用レシピ!L:L,MATCH(テンプレート!$C828,使用レシピ!$E:$E,0))&lt;&gt;0,INDEX(使用レシピ!L:L,MATCH(テンプレート!$C828,使用レシピ!$E:$E,0)),""),"")</f>
        <v/>
      </c>
      <c r="L828" t="str">
        <f>IFERROR(IF(INDEX(使用レシピ!M:M,MATCH(テンプレート!$C828,使用レシピ!$E:$E,0))&lt;&gt;0,INDEX(使用レシピ!M:M,MATCH(テンプレート!$C828,使用レシピ!$E:$E,0)),""),"")</f>
        <v/>
      </c>
      <c r="M828" t="str">
        <f>IFERROR(IF(INDEX(使用レシピ!N:N,MATCH(テンプレート!$C828,使用レシピ!$E:$E,0))&lt;&gt;0,INDEX(使用レシピ!N:N,MATCH(テンプレート!$C828,使用レシピ!$E:$E,0)),""),"")</f>
        <v/>
      </c>
      <c r="N828" s="24" t="str">
        <f>IFERROR(IF(INDEX(使用レシピ!O:O,MATCH(テンプレート!$C828,使用レシピ!$E:$E,0))&lt;&gt;0,INDEX(使用レシピ!O:O,MATCH(テンプレート!$C828,使用レシピ!$E:$E,0)),""),"")</f>
        <v/>
      </c>
      <c r="O828" s="36" t="str">
        <f>IFERROR(IF(INDEX(使用レシピ!P:P,MATCH(テンプレート!$C828,使用レシピ!$E:$E,0))&lt;&gt;0,INDEX(使用レシピ!P:P,MATCH(テンプレート!$C828,使用レシピ!$E:$E,0)),""),"")</f>
        <v/>
      </c>
      <c r="P828" t="str">
        <f t="shared" si="66"/>
        <v/>
      </c>
      <c r="Q828" t="str">
        <f t="shared" si="67"/>
        <v/>
      </c>
      <c r="R828" t="str">
        <f t="shared" si="68"/>
        <v/>
      </c>
      <c r="S828" t="str">
        <f t="shared" si="69"/>
        <v/>
      </c>
      <c r="T828" s="24" t="str">
        <f t="shared" si="70"/>
        <v/>
      </c>
    </row>
    <row r="829" spans="2:20" x14ac:dyDescent="0.4">
      <c r="B829" s="49" t="str" cm="1">
        <f t="array" ref="B829">IFERROR((INDEX($P$4:$T$1000,MATCH(VALUE(LEFT($A829,LEN($A829)-1)),$A$4:$A$1000,0),VALUE(RIGHT($A829,1)))/ INDEX($O$4:$O$1000,MATCH(VALUE(LEFT($A829,LEN($A829)-1)),$A$4:$A$1000))) * INDEX($B$4:$B$1000,MATCH(VALUE(LEFT($A829,LEN($A829)-1)),$A$4:$A$1000)),"")</f>
        <v/>
      </c>
      <c r="C829" s="2" t="str" cm="1">
        <f t="array" ref="C829">IFERROR(IF(INDEX($D$4:$H$1000,MATCH(VALUE(LEFT($A829,LEN($A829)-1)),$A$4:$A$1000,0),VALUE(RIGHT($A829,1)))= 0,"",INDEX($D$4:$H$1000,MATCH(VALUE(LEFT($A829,LEN($A829)-1)),$A$4:$A$1000,0),VALUE(RIGHT($A829,1)))),"")</f>
        <v/>
      </c>
      <c r="D829" s="23" t="str">
        <f>IFERROR(IF(INDEX(使用レシピ!F:F,MATCH(テンプレート!$C829,使用レシピ!$E:$E,0))&lt;&gt;0,INDEX(使用レシピ!F:F,MATCH(テンプレート!$C829,使用レシピ!$E:$E,0)),""),"")</f>
        <v/>
      </c>
      <c r="E829" t="str">
        <f>IFERROR(IF(INDEX(使用レシピ!G:G,MATCH(テンプレート!$C829,使用レシピ!$E:$E,0))&lt;&gt;0,INDEX(使用レシピ!G:G,MATCH(テンプレート!$C829,使用レシピ!$E:$E,0)),""),"")</f>
        <v/>
      </c>
      <c r="F829" t="str">
        <f>IFERROR(IF(INDEX(使用レシピ!H:H,MATCH(テンプレート!$C829,使用レシピ!$E:$E,0))&lt;&gt;0,INDEX(使用レシピ!H:H,MATCH(テンプレート!$C829,使用レシピ!$E:$E,0)),""),"")</f>
        <v/>
      </c>
      <c r="G829" t="str">
        <f>IFERROR(IF(INDEX(使用レシピ!I:I,MATCH(テンプレート!$C829,使用レシピ!$E:$E,0))&lt;&gt;0,INDEX(使用レシピ!I:I,MATCH(テンプレート!$C829,使用レシピ!$E:$E,0)),""),"")</f>
        <v/>
      </c>
      <c r="H829" s="24" t="str">
        <f>IFERROR(IF(INDEX(使用レシピ!J:J,MATCH(テンプレート!$C829,使用レシピ!$E:$E,0))&lt;&gt;0,INDEX(使用レシピ!J:J,MATCH(テンプレート!$C829,使用レシピ!$E:$E,0)),""),"")</f>
        <v/>
      </c>
      <c r="I829" s="36" t="str">
        <f>IFERROR(IF(INDEX(使用レシピ!P:P,MATCH(テンプレート!$C829,使用レシピ!$E:$E,0))&lt;&gt;0,INDEX(使用レシピ!P:P,MATCH(テンプレート!$C829,使用レシピ!$E:$E,0)),""),"")</f>
        <v/>
      </c>
      <c r="J829" t="str">
        <f>IFERROR(IF(INDEX(使用レシピ!K:K,MATCH(テンプレート!$C829,使用レシピ!$E:$E,0))&lt;&gt;0,INDEX(使用レシピ!K:K,MATCH(テンプレート!$C829,使用レシピ!$E:$E,0)),""),"")</f>
        <v/>
      </c>
      <c r="K829" t="str">
        <f>IFERROR(IF(INDEX(使用レシピ!L:L,MATCH(テンプレート!$C829,使用レシピ!$E:$E,0))&lt;&gt;0,INDEX(使用レシピ!L:L,MATCH(テンプレート!$C829,使用レシピ!$E:$E,0)),""),"")</f>
        <v/>
      </c>
      <c r="L829" t="str">
        <f>IFERROR(IF(INDEX(使用レシピ!M:M,MATCH(テンプレート!$C829,使用レシピ!$E:$E,0))&lt;&gt;0,INDEX(使用レシピ!M:M,MATCH(テンプレート!$C829,使用レシピ!$E:$E,0)),""),"")</f>
        <v/>
      </c>
      <c r="M829" t="str">
        <f>IFERROR(IF(INDEX(使用レシピ!N:N,MATCH(テンプレート!$C829,使用レシピ!$E:$E,0))&lt;&gt;0,INDEX(使用レシピ!N:N,MATCH(テンプレート!$C829,使用レシピ!$E:$E,0)),""),"")</f>
        <v/>
      </c>
      <c r="N829" s="24" t="str">
        <f>IFERROR(IF(INDEX(使用レシピ!O:O,MATCH(テンプレート!$C829,使用レシピ!$E:$E,0))&lt;&gt;0,INDEX(使用レシピ!O:O,MATCH(テンプレート!$C829,使用レシピ!$E:$E,0)),""),"")</f>
        <v/>
      </c>
      <c r="O829" s="36" t="str">
        <f>IFERROR(IF(INDEX(使用レシピ!P:P,MATCH(テンプレート!$C829,使用レシピ!$E:$E,0))&lt;&gt;0,INDEX(使用レシピ!P:P,MATCH(テンプレート!$C829,使用レシピ!$E:$E,0)),""),"")</f>
        <v/>
      </c>
      <c r="P829" t="str">
        <f t="shared" si="66"/>
        <v/>
      </c>
      <c r="Q829" t="str">
        <f t="shared" si="67"/>
        <v/>
      </c>
      <c r="R829" t="str">
        <f t="shared" si="68"/>
        <v/>
      </c>
      <c r="S829" t="str">
        <f t="shared" si="69"/>
        <v/>
      </c>
      <c r="T829" s="24" t="str">
        <f t="shared" si="70"/>
        <v/>
      </c>
    </row>
    <row r="830" spans="2:20" x14ac:dyDescent="0.4">
      <c r="B830" s="49" t="str" cm="1">
        <f t="array" ref="B830">IFERROR((INDEX($P$4:$T$1000,MATCH(VALUE(LEFT($A830,LEN($A830)-1)),$A$4:$A$1000,0),VALUE(RIGHT($A830,1)))/ INDEX($O$4:$O$1000,MATCH(VALUE(LEFT($A830,LEN($A830)-1)),$A$4:$A$1000))) * INDEX($B$4:$B$1000,MATCH(VALUE(LEFT($A830,LEN($A830)-1)),$A$4:$A$1000)),"")</f>
        <v/>
      </c>
      <c r="C830" s="2" t="str" cm="1">
        <f t="array" ref="C830">IFERROR(IF(INDEX($D$4:$H$1000,MATCH(VALUE(LEFT($A830,LEN($A830)-1)),$A$4:$A$1000,0),VALUE(RIGHT($A830,1)))= 0,"",INDEX($D$4:$H$1000,MATCH(VALUE(LEFT($A830,LEN($A830)-1)),$A$4:$A$1000,0),VALUE(RIGHT($A830,1)))),"")</f>
        <v/>
      </c>
      <c r="D830" s="23" t="str">
        <f>IFERROR(IF(INDEX(使用レシピ!F:F,MATCH(テンプレート!$C830,使用レシピ!$E:$E,0))&lt;&gt;0,INDEX(使用レシピ!F:F,MATCH(テンプレート!$C830,使用レシピ!$E:$E,0)),""),"")</f>
        <v/>
      </c>
      <c r="E830" t="str">
        <f>IFERROR(IF(INDEX(使用レシピ!G:G,MATCH(テンプレート!$C830,使用レシピ!$E:$E,0))&lt;&gt;0,INDEX(使用レシピ!G:G,MATCH(テンプレート!$C830,使用レシピ!$E:$E,0)),""),"")</f>
        <v/>
      </c>
      <c r="F830" t="str">
        <f>IFERROR(IF(INDEX(使用レシピ!H:H,MATCH(テンプレート!$C830,使用レシピ!$E:$E,0))&lt;&gt;0,INDEX(使用レシピ!H:H,MATCH(テンプレート!$C830,使用レシピ!$E:$E,0)),""),"")</f>
        <v/>
      </c>
      <c r="G830" t="str">
        <f>IFERROR(IF(INDEX(使用レシピ!I:I,MATCH(テンプレート!$C830,使用レシピ!$E:$E,0))&lt;&gt;0,INDEX(使用レシピ!I:I,MATCH(テンプレート!$C830,使用レシピ!$E:$E,0)),""),"")</f>
        <v/>
      </c>
      <c r="H830" s="24" t="str">
        <f>IFERROR(IF(INDEX(使用レシピ!J:J,MATCH(テンプレート!$C830,使用レシピ!$E:$E,0))&lt;&gt;0,INDEX(使用レシピ!J:J,MATCH(テンプレート!$C830,使用レシピ!$E:$E,0)),""),"")</f>
        <v/>
      </c>
      <c r="I830" s="36" t="str">
        <f>IFERROR(IF(INDEX(使用レシピ!P:P,MATCH(テンプレート!$C830,使用レシピ!$E:$E,0))&lt;&gt;0,INDEX(使用レシピ!P:P,MATCH(テンプレート!$C830,使用レシピ!$E:$E,0)),""),"")</f>
        <v/>
      </c>
      <c r="J830" t="str">
        <f>IFERROR(IF(INDEX(使用レシピ!K:K,MATCH(テンプレート!$C830,使用レシピ!$E:$E,0))&lt;&gt;0,INDEX(使用レシピ!K:K,MATCH(テンプレート!$C830,使用レシピ!$E:$E,0)),""),"")</f>
        <v/>
      </c>
      <c r="K830" t="str">
        <f>IFERROR(IF(INDEX(使用レシピ!L:L,MATCH(テンプレート!$C830,使用レシピ!$E:$E,0))&lt;&gt;0,INDEX(使用レシピ!L:L,MATCH(テンプレート!$C830,使用レシピ!$E:$E,0)),""),"")</f>
        <v/>
      </c>
      <c r="L830" t="str">
        <f>IFERROR(IF(INDEX(使用レシピ!M:M,MATCH(テンプレート!$C830,使用レシピ!$E:$E,0))&lt;&gt;0,INDEX(使用レシピ!M:M,MATCH(テンプレート!$C830,使用レシピ!$E:$E,0)),""),"")</f>
        <v/>
      </c>
      <c r="M830" t="str">
        <f>IFERROR(IF(INDEX(使用レシピ!N:N,MATCH(テンプレート!$C830,使用レシピ!$E:$E,0))&lt;&gt;0,INDEX(使用レシピ!N:N,MATCH(テンプレート!$C830,使用レシピ!$E:$E,0)),""),"")</f>
        <v/>
      </c>
      <c r="N830" s="24" t="str">
        <f>IFERROR(IF(INDEX(使用レシピ!O:O,MATCH(テンプレート!$C830,使用レシピ!$E:$E,0))&lt;&gt;0,INDEX(使用レシピ!O:O,MATCH(テンプレート!$C830,使用レシピ!$E:$E,0)),""),"")</f>
        <v/>
      </c>
      <c r="O830" s="36" t="str">
        <f>IFERROR(IF(INDEX(使用レシピ!P:P,MATCH(テンプレート!$C830,使用レシピ!$E:$E,0))&lt;&gt;0,INDEX(使用レシピ!P:P,MATCH(テンプレート!$C830,使用レシピ!$E:$E,0)),""),"")</f>
        <v/>
      </c>
      <c r="P830" t="str">
        <f t="shared" si="66"/>
        <v/>
      </c>
      <c r="Q830" t="str">
        <f t="shared" si="67"/>
        <v/>
      </c>
      <c r="R830" t="str">
        <f t="shared" si="68"/>
        <v/>
      </c>
      <c r="S830" t="str">
        <f t="shared" si="69"/>
        <v/>
      </c>
      <c r="T830" s="24" t="str">
        <f t="shared" si="70"/>
        <v/>
      </c>
    </row>
    <row r="831" spans="2:20" x14ac:dyDescent="0.4">
      <c r="B831" s="49" t="str" cm="1">
        <f t="array" ref="B831">IFERROR((INDEX($P$4:$T$1000,MATCH(VALUE(LEFT($A831,LEN($A831)-1)),$A$4:$A$1000,0),VALUE(RIGHT($A831,1)))/ INDEX($O$4:$O$1000,MATCH(VALUE(LEFT($A831,LEN($A831)-1)),$A$4:$A$1000))) * INDEX($B$4:$B$1000,MATCH(VALUE(LEFT($A831,LEN($A831)-1)),$A$4:$A$1000)),"")</f>
        <v/>
      </c>
      <c r="C831" s="2" t="str" cm="1">
        <f t="array" ref="C831">IFERROR(IF(INDEX($D$4:$H$1000,MATCH(VALUE(LEFT($A831,LEN($A831)-1)),$A$4:$A$1000,0),VALUE(RIGHT($A831,1)))= 0,"",INDEX($D$4:$H$1000,MATCH(VALUE(LEFT($A831,LEN($A831)-1)),$A$4:$A$1000,0),VALUE(RIGHT($A831,1)))),"")</f>
        <v/>
      </c>
      <c r="D831" s="23" t="str">
        <f>IFERROR(IF(INDEX(使用レシピ!F:F,MATCH(テンプレート!$C831,使用レシピ!$E:$E,0))&lt;&gt;0,INDEX(使用レシピ!F:F,MATCH(テンプレート!$C831,使用レシピ!$E:$E,0)),""),"")</f>
        <v/>
      </c>
      <c r="E831" t="str">
        <f>IFERROR(IF(INDEX(使用レシピ!G:G,MATCH(テンプレート!$C831,使用レシピ!$E:$E,0))&lt;&gt;0,INDEX(使用レシピ!G:G,MATCH(テンプレート!$C831,使用レシピ!$E:$E,0)),""),"")</f>
        <v/>
      </c>
      <c r="F831" t="str">
        <f>IFERROR(IF(INDEX(使用レシピ!H:H,MATCH(テンプレート!$C831,使用レシピ!$E:$E,0))&lt;&gt;0,INDEX(使用レシピ!H:H,MATCH(テンプレート!$C831,使用レシピ!$E:$E,0)),""),"")</f>
        <v/>
      </c>
      <c r="G831" t="str">
        <f>IFERROR(IF(INDEX(使用レシピ!I:I,MATCH(テンプレート!$C831,使用レシピ!$E:$E,0))&lt;&gt;0,INDEX(使用レシピ!I:I,MATCH(テンプレート!$C831,使用レシピ!$E:$E,0)),""),"")</f>
        <v/>
      </c>
      <c r="H831" s="24" t="str">
        <f>IFERROR(IF(INDEX(使用レシピ!J:J,MATCH(テンプレート!$C831,使用レシピ!$E:$E,0))&lt;&gt;0,INDEX(使用レシピ!J:J,MATCH(テンプレート!$C831,使用レシピ!$E:$E,0)),""),"")</f>
        <v/>
      </c>
      <c r="I831" s="36" t="str">
        <f>IFERROR(IF(INDEX(使用レシピ!P:P,MATCH(テンプレート!$C831,使用レシピ!$E:$E,0))&lt;&gt;0,INDEX(使用レシピ!P:P,MATCH(テンプレート!$C831,使用レシピ!$E:$E,0)),""),"")</f>
        <v/>
      </c>
      <c r="J831" t="str">
        <f>IFERROR(IF(INDEX(使用レシピ!K:K,MATCH(テンプレート!$C831,使用レシピ!$E:$E,0))&lt;&gt;0,INDEX(使用レシピ!K:K,MATCH(テンプレート!$C831,使用レシピ!$E:$E,0)),""),"")</f>
        <v/>
      </c>
      <c r="K831" t="str">
        <f>IFERROR(IF(INDEX(使用レシピ!L:L,MATCH(テンプレート!$C831,使用レシピ!$E:$E,0))&lt;&gt;0,INDEX(使用レシピ!L:L,MATCH(テンプレート!$C831,使用レシピ!$E:$E,0)),""),"")</f>
        <v/>
      </c>
      <c r="L831" t="str">
        <f>IFERROR(IF(INDEX(使用レシピ!M:M,MATCH(テンプレート!$C831,使用レシピ!$E:$E,0))&lt;&gt;0,INDEX(使用レシピ!M:M,MATCH(テンプレート!$C831,使用レシピ!$E:$E,0)),""),"")</f>
        <v/>
      </c>
      <c r="M831" t="str">
        <f>IFERROR(IF(INDEX(使用レシピ!N:N,MATCH(テンプレート!$C831,使用レシピ!$E:$E,0))&lt;&gt;0,INDEX(使用レシピ!N:N,MATCH(テンプレート!$C831,使用レシピ!$E:$E,0)),""),"")</f>
        <v/>
      </c>
      <c r="N831" s="24" t="str">
        <f>IFERROR(IF(INDEX(使用レシピ!O:O,MATCH(テンプレート!$C831,使用レシピ!$E:$E,0))&lt;&gt;0,INDEX(使用レシピ!O:O,MATCH(テンプレート!$C831,使用レシピ!$E:$E,0)),""),"")</f>
        <v/>
      </c>
      <c r="O831" s="36" t="str">
        <f>IFERROR(IF(INDEX(使用レシピ!P:P,MATCH(テンプレート!$C831,使用レシピ!$E:$E,0))&lt;&gt;0,INDEX(使用レシピ!P:P,MATCH(テンプレート!$C831,使用レシピ!$E:$E,0)),""),"")</f>
        <v/>
      </c>
      <c r="P831" t="str">
        <f t="shared" si="66"/>
        <v/>
      </c>
      <c r="Q831" t="str">
        <f t="shared" si="67"/>
        <v/>
      </c>
      <c r="R831" t="str">
        <f t="shared" si="68"/>
        <v/>
      </c>
      <c r="S831" t="str">
        <f t="shared" si="69"/>
        <v/>
      </c>
      <c r="T831" s="24" t="str">
        <f t="shared" si="70"/>
        <v/>
      </c>
    </row>
    <row r="832" spans="2:20" x14ac:dyDescent="0.4">
      <c r="B832" s="49" t="str" cm="1">
        <f t="array" ref="B832">IFERROR((INDEX($P$4:$T$1000,MATCH(VALUE(LEFT($A832,LEN($A832)-1)),$A$4:$A$1000,0),VALUE(RIGHT($A832,1)))/ INDEX($O$4:$O$1000,MATCH(VALUE(LEFT($A832,LEN($A832)-1)),$A$4:$A$1000))) * INDEX($B$4:$B$1000,MATCH(VALUE(LEFT($A832,LEN($A832)-1)),$A$4:$A$1000)),"")</f>
        <v/>
      </c>
      <c r="C832" s="2" t="str" cm="1">
        <f t="array" ref="C832">IFERROR(IF(INDEX($D$4:$H$1000,MATCH(VALUE(LEFT($A832,LEN($A832)-1)),$A$4:$A$1000,0),VALUE(RIGHT($A832,1)))= 0,"",INDEX($D$4:$H$1000,MATCH(VALUE(LEFT($A832,LEN($A832)-1)),$A$4:$A$1000,0),VALUE(RIGHT($A832,1)))),"")</f>
        <v/>
      </c>
      <c r="D832" s="23" t="str">
        <f>IFERROR(IF(INDEX(使用レシピ!F:F,MATCH(テンプレート!$C832,使用レシピ!$E:$E,0))&lt;&gt;0,INDEX(使用レシピ!F:F,MATCH(テンプレート!$C832,使用レシピ!$E:$E,0)),""),"")</f>
        <v/>
      </c>
      <c r="E832" t="str">
        <f>IFERROR(IF(INDEX(使用レシピ!G:G,MATCH(テンプレート!$C832,使用レシピ!$E:$E,0))&lt;&gt;0,INDEX(使用レシピ!G:G,MATCH(テンプレート!$C832,使用レシピ!$E:$E,0)),""),"")</f>
        <v/>
      </c>
      <c r="F832" t="str">
        <f>IFERROR(IF(INDEX(使用レシピ!H:H,MATCH(テンプレート!$C832,使用レシピ!$E:$E,0))&lt;&gt;0,INDEX(使用レシピ!H:H,MATCH(テンプレート!$C832,使用レシピ!$E:$E,0)),""),"")</f>
        <v/>
      </c>
      <c r="G832" t="str">
        <f>IFERROR(IF(INDEX(使用レシピ!I:I,MATCH(テンプレート!$C832,使用レシピ!$E:$E,0))&lt;&gt;0,INDEX(使用レシピ!I:I,MATCH(テンプレート!$C832,使用レシピ!$E:$E,0)),""),"")</f>
        <v/>
      </c>
      <c r="H832" s="24" t="str">
        <f>IFERROR(IF(INDEX(使用レシピ!J:J,MATCH(テンプレート!$C832,使用レシピ!$E:$E,0))&lt;&gt;0,INDEX(使用レシピ!J:J,MATCH(テンプレート!$C832,使用レシピ!$E:$E,0)),""),"")</f>
        <v/>
      </c>
      <c r="I832" s="36" t="str">
        <f>IFERROR(IF(INDEX(使用レシピ!P:P,MATCH(テンプレート!$C832,使用レシピ!$E:$E,0))&lt;&gt;0,INDEX(使用レシピ!P:P,MATCH(テンプレート!$C832,使用レシピ!$E:$E,0)),""),"")</f>
        <v/>
      </c>
      <c r="J832" t="str">
        <f>IFERROR(IF(INDEX(使用レシピ!K:K,MATCH(テンプレート!$C832,使用レシピ!$E:$E,0))&lt;&gt;0,INDEX(使用レシピ!K:K,MATCH(テンプレート!$C832,使用レシピ!$E:$E,0)),""),"")</f>
        <v/>
      </c>
      <c r="K832" t="str">
        <f>IFERROR(IF(INDEX(使用レシピ!L:L,MATCH(テンプレート!$C832,使用レシピ!$E:$E,0))&lt;&gt;0,INDEX(使用レシピ!L:L,MATCH(テンプレート!$C832,使用レシピ!$E:$E,0)),""),"")</f>
        <v/>
      </c>
      <c r="L832" t="str">
        <f>IFERROR(IF(INDEX(使用レシピ!M:M,MATCH(テンプレート!$C832,使用レシピ!$E:$E,0))&lt;&gt;0,INDEX(使用レシピ!M:M,MATCH(テンプレート!$C832,使用レシピ!$E:$E,0)),""),"")</f>
        <v/>
      </c>
      <c r="M832" t="str">
        <f>IFERROR(IF(INDEX(使用レシピ!N:N,MATCH(テンプレート!$C832,使用レシピ!$E:$E,0))&lt;&gt;0,INDEX(使用レシピ!N:N,MATCH(テンプレート!$C832,使用レシピ!$E:$E,0)),""),"")</f>
        <v/>
      </c>
      <c r="N832" s="24" t="str">
        <f>IFERROR(IF(INDEX(使用レシピ!O:O,MATCH(テンプレート!$C832,使用レシピ!$E:$E,0))&lt;&gt;0,INDEX(使用レシピ!O:O,MATCH(テンプレート!$C832,使用レシピ!$E:$E,0)),""),"")</f>
        <v/>
      </c>
      <c r="O832" s="36" t="str">
        <f>IFERROR(IF(INDEX(使用レシピ!P:P,MATCH(テンプレート!$C832,使用レシピ!$E:$E,0))&lt;&gt;0,INDEX(使用レシピ!P:P,MATCH(テンプレート!$C832,使用レシピ!$E:$E,0)),""),"")</f>
        <v/>
      </c>
      <c r="P832" t="str">
        <f t="shared" si="66"/>
        <v/>
      </c>
      <c r="Q832" t="str">
        <f t="shared" si="67"/>
        <v/>
      </c>
      <c r="R832" t="str">
        <f t="shared" si="68"/>
        <v/>
      </c>
      <c r="S832" t="str">
        <f t="shared" si="69"/>
        <v/>
      </c>
      <c r="T832" s="24" t="str">
        <f t="shared" si="70"/>
        <v/>
      </c>
    </row>
    <row r="833" spans="2:20" x14ac:dyDescent="0.4">
      <c r="B833" s="49" t="str" cm="1">
        <f t="array" ref="B833">IFERROR((INDEX($P$4:$T$1000,MATCH(VALUE(LEFT($A833,LEN($A833)-1)),$A$4:$A$1000,0),VALUE(RIGHT($A833,1)))/ INDEX($O$4:$O$1000,MATCH(VALUE(LEFT($A833,LEN($A833)-1)),$A$4:$A$1000))) * INDEX($B$4:$B$1000,MATCH(VALUE(LEFT($A833,LEN($A833)-1)),$A$4:$A$1000)),"")</f>
        <v/>
      </c>
      <c r="C833" s="2" t="str" cm="1">
        <f t="array" ref="C833">IFERROR(IF(INDEX($D$4:$H$1000,MATCH(VALUE(LEFT($A833,LEN($A833)-1)),$A$4:$A$1000,0),VALUE(RIGHT($A833,1)))= 0,"",INDEX($D$4:$H$1000,MATCH(VALUE(LEFT($A833,LEN($A833)-1)),$A$4:$A$1000,0),VALUE(RIGHT($A833,1)))),"")</f>
        <v/>
      </c>
      <c r="D833" s="23" t="str">
        <f>IFERROR(IF(INDEX(使用レシピ!F:F,MATCH(テンプレート!$C833,使用レシピ!$E:$E,0))&lt;&gt;0,INDEX(使用レシピ!F:F,MATCH(テンプレート!$C833,使用レシピ!$E:$E,0)),""),"")</f>
        <v/>
      </c>
      <c r="E833" t="str">
        <f>IFERROR(IF(INDEX(使用レシピ!G:G,MATCH(テンプレート!$C833,使用レシピ!$E:$E,0))&lt;&gt;0,INDEX(使用レシピ!G:G,MATCH(テンプレート!$C833,使用レシピ!$E:$E,0)),""),"")</f>
        <v/>
      </c>
      <c r="F833" t="str">
        <f>IFERROR(IF(INDEX(使用レシピ!H:H,MATCH(テンプレート!$C833,使用レシピ!$E:$E,0))&lt;&gt;0,INDEX(使用レシピ!H:H,MATCH(テンプレート!$C833,使用レシピ!$E:$E,0)),""),"")</f>
        <v/>
      </c>
      <c r="G833" t="str">
        <f>IFERROR(IF(INDEX(使用レシピ!I:I,MATCH(テンプレート!$C833,使用レシピ!$E:$E,0))&lt;&gt;0,INDEX(使用レシピ!I:I,MATCH(テンプレート!$C833,使用レシピ!$E:$E,0)),""),"")</f>
        <v/>
      </c>
      <c r="H833" s="24" t="str">
        <f>IFERROR(IF(INDEX(使用レシピ!J:J,MATCH(テンプレート!$C833,使用レシピ!$E:$E,0))&lt;&gt;0,INDEX(使用レシピ!J:J,MATCH(テンプレート!$C833,使用レシピ!$E:$E,0)),""),"")</f>
        <v/>
      </c>
      <c r="I833" s="36" t="str">
        <f>IFERROR(IF(INDEX(使用レシピ!P:P,MATCH(テンプレート!$C833,使用レシピ!$E:$E,0))&lt;&gt;0,INDEX(使用レシピ!P:P,MATCH(テンプレート!$C833,使用レシピ!$E:$E,0)),""),"")</f>
        <v/>
      </c>
      <c r="J833" t="str">
        <f>IFERROR(IF(INDEX(使用レシピ!K:K,MATCH(テンプレート!$C833,使用レシピ!$E:$E,0))&lt;&gt;0,INDEX(使用レシピ!K:K,MATCH(テンプレート!$C833,使用レシピ!$E:$E,0)),""),"")</f>
        <v/>
      </c>
      <c r="K833" t="str">
        <f>IFERROR(IF(INDEX(使用レシピ!L:L,MATCH(テンプレート!$C833,使用レシピ!$E:$E,0))&lt;&gt;0,INDEX(使用レシピ!L:L,MATCH(テンプレート!$C833,使用レシピ!$E:$E,0)),""),"")</f>
        <v/>
      </c>
      <c r="L833" t="str">
        <f>IFERROR(IF(INDEX(使用レシピ!M:M,MATCH(テンプレート!$C833,使用レシピ!$E:$E,0))&lt;&gt;0,INDEX(使用レシピ!M:M,MATCH(テンプレート!$C833,使用レシピ!$E:$E,0)),""),"")</f>
        <v/>
      </c>
      <c r="M833" t="str">
        <f>IFERROR(IF(INDEX(使用レシピ!N:N,MATCH(テンプレート!$C833,使用レシピ!$E:$E,0))&lt;&gt;0,INDEX(使用レシピ!N:N,MATCH(テンプレート!$C833,使用レシピ!$E:$E,0)),""),"")</f>
        <v/>
      </c>
      <c r="N833" s="24" t="str">
        <f>IFERROR(IF(INDEX(使用レシピ!O:O,MATCH(テンプレート!$C833,使用レシピ!$E:$E,0))&lt;&gt;0,INDEX(使用レシピ!O:O,MATCH(テンプレート!$C833,使用レシピ!$E:$E,0)),""),"")</f>
        <v/>
      </c>
      <c r="O833" s="36" t="str">
        <f>IFERROR(IF(INDEX(使用レシピ!P:P,MATCH(テンプレート!$C833,使用レシピ!$E:$E,0))&lt;&gt;0,INDEX(使用レシピ!P:P,MATCH(テンプレート!$C833,使用レシピ!$E:$E,0)),""),"")</f>
        <v/>
      </c>
      <c r="P833" t="str">
        <f t="shared" si="66"/>
        <v/>
      </c>
      <c r="Q833" t="str">
        <f t="shared" si="67"/>
        <v/>
      </c>
      <c r="R833" t="str">
        <f t="shared" si="68"/>
        <v/>
      </c>
      <c r="S833" t="str">
        <f t="shared" si="69"/>
        <v/>
      </c>
      <c r="T833" s="24" t="str">
        <f t="shared" si="70"/>
        <v/>
      </c>
    </row>
    <row r="834" spans="2:20" x14ac:dyDescent="0.4">
      <c r="B834" s="49" t="str" cm="1">
        <f t="array" ref="B834">IFERROR((INDEX($P$4:$T$1000,MATCH(VALUE(LEFT($A834,LEN($A834)-1)),$A$4:$A$1000,0),VALUE(RIGHT($A834,1)))/ INDEX($O$4:$O$1000,MATCH(VALUE(LEFT($A834,LEN($A834)-1)),$A$4:$A$1000))) * INDEX($B$4:$B$1000,MATCH(VALUE(LEFT($A834,LEN($A834)-1)),$A$4:$A$1000)),"")</f>
        <v/>
      </c>
      <c r="C834" s="2" t="str" cm="1">
        <f t="array" ref="C834">IFERROR(IF(INDEX($D$4:$H$1000,MATCH(VALUE(LEFT($A834,LEN($A834)-1)),$A$4:$A$1000,0),VALUE(RIGHT($A834,1)))= 0,"",INDEX($D$4:$H$1000,MATCH(VALUE(LEFT($A834,LEN($A834)-1)),$A$4:$A$1000,0),VALUE(RIGHT($A834,1)))),"")</f>
        <v/>
      </c>
      <c r="D834" s="23" t="str">
        <f>IFERROR(IF(INDEX(使用レシピ!F:F,MATCH(テンプレート!$C834,使用レシピ!$E:$E,0))&lt;&gt;0,INDEX(使用レシピ!F:F,MATCH(テンプレート!$C834,使用レシピ!$E:$E,0)),""),"")</f>
        <v/>
      </c>
      <c r="E834" t="str">
        <f>IFERROR(IF(INDEX(使用レシピ!G:G,MATCH(テンプレート!$C834,使用レシピ!$E:$E,0))&lt;&gt;0,INDEX(使用レシピ!G:G,MATCH(テンプレート!$C834,使用レシピ!$E:$E,0)),""),"")</f>
        <v/>
      </c>
      <c r="F834" t="str">
        <f>IFERROR(IF(INDEX(使用レシピ!H:H,MATCH(テンプレート!$C834,使用レシピ!$E:$E,0))&lt;&gt;0,INDEX(使用レシピ!H:H,MATCH(テンプレート!$C834,使用レシピ!$E:$E,0)),""),"")</f>
        <v/>
      </c>
      <c r="G834" t="str">
        <f>IFERROR(IF(INDEX(使用レシピ!I:I,MATCH(テンプレート!$C834,使用レシピ!$E:$E,0))&lt;&gt;0,INDEX(使用レシピ!I:I,MATCH(テンプレート!$C834,使用レシピ!$E:$E,0)),""),"")</f>
        <v/>
      </c>
      <c r="H834" s="24" t="str">
        <f>IFERROR(IF(INDEX(使用レシピ!J:J,MATCH(テンプレート!$C834,使用レシピ!$E:$E,0))&lt;&gt;0,INDEX(使用レシピ!J:J,MATCH(テンプレート!$C834,使用レシピ!$E:$E,0)),""),"")</f>
        <v/>
      </c>
      <c r="I834" s="36" t="str">
        <f>IFERROR(IF(INDEX(使用レシピ!P:P,MATCH(テンプレート!$C834,使用レシピ!$E:$E,0))&lt;&gt;0,INDEX(使用レシピ!P:P,MATCH(テンプレート!$C834,使用レシピ!$E:$E,0)),""),"")</f>
        <v/>
      </c>
      <c r="J834" t="str">
        <f>IFERROR(IF(INDEX(使用レシピ!K:K,MATCH(テンプレート!$C834,使用レシピ!$E:$E,0))&lt;&gt;0,INDEX(使用レシピ!K:K,MATCH(テンプレート!$C834,使用レシピ!$E:$E,0)),""),"")</f>
        <v/>
      </c>
      <c r="K834" t="str">
        <f>IFERROR(IF(INDEX(使用レシピ!L:L,MATCH(テンプレート!$C834,使用レシピ!$E:$E,0))&lt;&gt;0,INDEX(使用レシピ!L:L,MATCH(テンプレート!$C834,使用レシピ!$E:$E,0)),""),"")</f>
        <v/>
      </c>
      <c r="L834" t="str">
        <f>IFERROR(IF(INDEX(使用レシピ!M:M,MATCH(テンプレート!$C834,使用レシピ!$E:$E,0))&lt;&gt;0,INDEX(使用レシピ!M:M,MATCH(テンプレート!$C834,使用レシピ!$E:$E,0)),""),"")</f>
        <v/>
      </c>
      <c r="M834" t="str">
        <f>IFERROR(IF(INDEX(使用レシピ!N:N,MATCH(テンプレート!$C834,使用レシピ!$E:$E,0))&lt;&gt;0,INDEX(使用レシピ!N:N,MATCH(テンプレート!$C834,使用レシピ!$E:$E,0)),""),"")</f>
        <v/>
      </c>
      <c r="N834" s="24" t="str">
        <f>IFERROR(IF(INDEX(使用レシピ!O:O,MATCH(テンプレート!$C834,使用レシピ!$E:$E,0))&lt;&gt;0,INDEX(使用レシピ!O:O,MATCH(テンプレート!$C834,使用レシピ!$E:$E,0)),""),"")</f>
        <v/>
      </c>
      <c r="O834" s="36" t="str">
        <f>IFERROR(IF(INDEX(使用レシピ!P:P,MATCH(テンプレート!$C834,使用レシピ!$E:$E,0))&lt;&gt;0,INDEX(使用レシピ!P:P,MATCH(テンプレート!$C834,使用レシピ!$E:$E,0)),""),"")</f>
        <v/>
      </c>
      <c r="P834" t="str">
        <f t="shared" si="66"/>
        <v/>
      </c>
      <c r="Q834" t="str">
        <f t="shared" si="67"/>
        <v/>
      </c>
      <c r="R834" t="str">
        <f t="shared" si="68"/>
        <v/>
      </c>
      <c r="S834" t="str">
        <f t="shared" si="69"/>
        <v/>
      </c>
      <c r="T834" s="24" t="str">
        <f t="shared" si="70"/>
        <v/>
      </c>
    </row>
    <row r="835" spans="2:20" x14ac:dyDescent="0.4">
      <c r="B835" s="49" t="str" cm="1">
        <f t="array" ref="B835">IFERROR((INDEX($P$4:$T$1000,MATCH(VALUE(LEFT($A835,LEN($A835)-1)),$A$4:$A$1000,0),VALUE(RIGHT($A835,1)))/ INDEX($O$4:$O$1000,MATCH(VALUE(LEFT($A835,LEN($A835)-1)),$A$4:$A$1000))) * INDEX($B$4:$B$1000,MATCH(VALUE(LEFT($A835,LEN($A835)-1)),$A$4:$A$1000)),"")</f>
        <v/>
      </c>
      <c r="C835" s="2" t="str" cm="1">
        <f t="array" ref="C835">IFERROR(IF(INDEX($D$4:$H$1000,MATCH(VALUE(LEFT($A835,LEN($A835)-1)),$A$4:$A$1000,0),VALUE(RIGHT($A835,1)))= 0,"",INDEX($D$4:$H$1000,MATCH(VALUE(LEFT($A835,LEN($A835)-1)),$A$4:$A$1000,0),VALUE(RIGHT($A835,1)))),"")</f>
        <v/>
      </c>
      <c r="D835" s="23" t="str">
        <f>IFERROR(IF(INDEX(使用レシピ!F:F,MATCH(テンプレート!$C835,使用レシピ!$E:$E,0))&lt;&gt;0,INDEX(使用レシピ!F:F,MATCH(テンプレート!$C835,使用レシピ!$E:$E,0)),""),"")</f>
        <v/>
      </c>
      <c r="E835" t="str">
        <f>IFERROR(IF(INDEX(使用レシピ!G:G,MATCH(テンプレート!$C835,使用レシピ!$E:$E,0))&lt;&gt;0,INDEX(使用レシピ!G:G,MATCH(テンプレート!$C835,使用レシピ!$E:$E,0)),""),"")</f>
        <v/>
      </c>
      <c r="F835" t="str">
        <f>IFERROR(IF(INDEX(使用レシピ!H:H,MATCH(テンプレート!$C835,使用レシピ!$E:$E,0))&lt;&gt;0,INDEX(使用レシピ!H:H,MATCH(テンプレート!$C835,使用レシピ!$E:$E,0)),""),"")</f>
        <v/>
      </c>
      <c r="G835" t="str">
        <f>IFERROR(IF(INDEX(使用レシピ!I:I,MATCH(テンプレート!$C835,使用レシピ!$E:$E,0))&lt;&gt;0,INDEX(使用レシピ!I:I,MATCH(テンプレート!$C835,使用レシピ!$E:$E,0)),""),"")</f>
        <v/>
      </c>
      <c r="H835" s="24" t="str">
        <f>IFERROR(IF(INDEX(使用レシピ!J:J,MATCH(テンプレート!$C835,使用レシピ!$E:$E,0))&lt;&gt;0,INDEX(使用レシピ!J:J,MATCH(テンプレート!$C835,使用レシピ!$E:$E,0)),""),"")</f>
        <v/>
      </c>
      <c r="I835" s="36" t="str">
        <f>IFERROR(IF(INDEX(使用レシピ!P:P,MATCH(テンプレート!$C835,使用レシピ!$E:$E,0))&lt;&gt;0,INDEX(使用レシピ!P:P,MATCH(テンプレート!$C835,使用レシピ!$E:$E,0)),""),"")</f>
        <v/>
      </c>
      <c r="J835" t="str">
        <f>IFERROR(IF(INDEX(使用レシピ!K:K,MATCH(テンプレート!$C835,使用レシピ!$E:$E,0))&lt;&gt;0,INDEX(使用レシピ!K:K,MATCH(テンプレート!$C835,使用レシピ!$E:$E,0)),""),"")</f>
        <v/>
      </c>
      <c r="K835" t="str">
        <f>IFERROR(IF(INDEX(使用レシピ!L:L,MATCH(テンプレート!$C835,使用レシピ!$E:$E,0))&lt;&gt;0,INDEX(使用レシピ!L:L,MATCH(テンプレート!$C835,使用レシピ!$E:$E,0)),""),"")</f>
        <v/>
      </c>
      <c r="L835" t="str">
        <f>IFERROR(IF(INDEX(使用レシピ!M:M,MATCH(テンプレート!$C835,使用レシピ!$E:$E,0))&lt;&gt;0,INDEX(使用レシピ!M:M,MATCH(テンプレート!$C835,使用レシピ!$E:$E,0)),""),"")</f>
        <v/>
      </c>
      <c r="M835" t="str">
        <f>IFERROR(IF(INDEX(使用レシピ!N:N,MATCH(テンプレート!$C835,使用レシピ!$E:$E,0))&lt;&gt;0,INDEX(使用レシピ!N:N,MATCH(テンプレート!$C835,使用レシピ!$E:$E,0)),""),"")</f>
        <v/>
      </c>
      <c r="N835" s="24" t="str">
        <f>IFERROR(IF(INDEX(使用レシピ!O:O,MATCH(テンプレート!$C835,使用レシピ!$E:$E,0))&lt;&gt;0,INDEX(使用レシピ!O:O,MATCH(テンプレート!$C835,使用レシピ!$E:$E,0)),""),"")</f>
        <v/>
      </c>
      <c r="O835" s="36" t="str">
        <f>IFERROR(IF(INDEX(使用レシピ!P:P,MATCH(テンプレート!$C835,使用レシピ!$E:$E,0))&lt;&gt;0,INDEX(使用レシピ!P:P,MATCH(テンプレート!$C835,使用レシピ!$E:$E,0)),""),"")</f>
        <v/>
      </c>
      <c r="P835" t="str">
        <f t="shared" si="66"/>
        <v/>
      </c>
      <c r="Q835" t="str">
        <f t="shared" si="67"/>
        <v/>
      </c>
      <c r="R835" t="str">
        <f t="shared" si="68"/>
        <v/>
      </c>
      <c r="S835" t="str">
        <f t="shared" si="69"/>
        <v/>
      </c>
      <c r="T835" s="24" t="str">
        <f t="shared" si="70"/>
        <v/>
      </c>
    </row>
    <row r="836" spans="2:20" x14ac:dyDescent="0.4">
      <c r="B836" s="49" t="str" cm="1">
        <f t="array" ref="B836">IFERROR((INDEX($P$4:$T$1000,MATCH(VALUE(LEFT($A836,LEN($A836)-1)),$A$4:$A$1000,0),VALUE(RIGHT($A836,1)))/ INDEX($O$4:$O$1000,MATCH(VALUE(LEFT($A836,LEN($A836)-1)),$A$4:$A$1000))) * INDEX($B$4:$B$1000,MATCH(VALUE(LEFT($A836,LEN($A836)-1)),$A$4:$A$1000)),"")</f>
        <v/>
      </c>
      <c r="C836" s="2" t="str" cm="1">
        <f t="array" ref="C836">IFERROR(IF(INDEX($D$4:$H$1000,MATCH(VALUE(LEFT($A836,LEN($A836)-1)),$A$4:$A$1000,0),VALUE(RIGHT($A836,1)))= 0,"",INDEX($D$4:$H$1000,MATCH(VALUE(LEFT($A836,LEN($A836)-1)),$A$4:$A$1000,0),VALUE(RIGHT($A836,1)))),"")</f>
        <v/>
      </c>
      <c r="D836" s="23" t="str">
        <f>IFERROR(IF(INDEX(使用レシピ!F:F,MATCH(テンプレート!$C836,使用レシピ!$E:$E,0))&lt;&gt;0,INDEX(使用レシピ!F:F,MATCH(テンプレート!$C836,使用レシピ!$E:$E,0)),""),"")</f>
        <v/>
      </c>
      <c r="E836" t="str">
        <f>IFERROR(IF(INDEX(使用レシピ!G:G,MATCH(テンプレート!$C836,使用レシピ!$E:$E,0))&lt;&gt;0,INDEX(使用レシピ!G:G,MATCH(テンプレート!$C836,使用レシピ!$E:$E,0)),""),"")</f>
        <v/>
      </c>
      <c r="F836" t="str">
        <f>IFERROR(IF(INDEX(使用レシピ!H:H,MATCH(テンプレート!$C836,使用レシピ!$E:$E,0))&lt;&gt;0,INDEX(使用レシピ!H:H,MATCH(テンプレート!$C836,使用レシピ!$E:$E,0)),""),"")</f>
        <v/>
      </c>
      <c r="G836" t="str">
        <f>IFERROR(IF(INDEX(使用レシピ!I:I,MATCH(テンプレート!$C836,使用レシピ!$E:$E,0))&lt;&gt;0,INDEX(使用レシピ!I:I,MATCH(テンプレート!$C836,使用レシピ!$E:$E,0)),""),"")</f>
        <v/>
      </c>
      <c r="H836" s="24" t="str">
        <f>IFERROR(IF(INDEX(使用レシピ!J:J,MATCH(テンプレート!$C836,使用レシピ!$E:$E,0))&lt;&gt;0,INDEX(使用レシピ!J:J,MATCH(テンプレート!$C836,使用レシピ!$E:$E,0)),""),"")</f>
        <v/>
      </c>
      <c r="I836" s="36" t="str">
        <f>IFERROR(IF(INDEX(使用レシピ!P:P,MATCH(テンプレート!$C836,使用レシピ!$E:$E,0))&lt;&gt;0,INDEX(使用レシピ!P:P,MATCH(テンプレート!$C836,使用レシピ!$E:$E,0)),""),"")</f>
        <v/>
      </c>
      <c r="J836" t="str">
        <f>IFERROR(IF(INDEX(使用レシピ!K:K,MATCH(テンプレート!$C836,使用レシピ!$E:$E,0))&lt;&gt;0,INDEX(使用レシピ!K:K,MATCH(テンプレート!$C836,使用レシピ!$E:$E,0)),""),"")</f>
        <v/>
      </c>
      <c r="K836" t="str">
        <f>IFERROR(IF(INDEX(使用レシピ!L:L,MATCH(テンプレート!$C836,使用レシピ!$E:$E,0))&lt;&gt;0,INDEX(使用レシピ!L:L,MATCH(テンプレート!$C836,使用レシピ!$E:$E,0)),""),"")</f>
        <v/>
      </c>
      <c r="L836" t="str">
        <f>IFERROR(IF(INDEX(使用レシピ!M:M,MATCH(テンプレート!$C836,使用レシピ!$E:$E,0))&lt;&gt;0,INDEX(使用レシピ!M:M,MATCH(テンプレート!$C836,使用レシピ!$E:$E,0)),""),"")</f>
        <v/>
      </c>
      <c r="M836" t="str">
        <f>IFERROR(IF(INDEX(使用レシピ!N:N,MATCH(テンプレート!$C836,使用レシピ!$E:$E,0))&lt;&gt;0,INDEX(使用レシピ!N:N,MATCH(テンプレート!$C836,使用レシピ!$E:$E,0)),""),"")</f>
        <v/>
      </c>
      <c r="N836" s="24" t="str">
        <f>IFERROR(IF(INDEX(使用レシピ!O:O,MATCH(テンプレート!$C836,使用レシピ!$E:$E,0))&lt;&gt;0,INDEX(使用レシピ!O:O,MATCH(テンプレート!$C836,使用レシピ!$E:$E,0)),""),"")</f>
        <v/>
      </c>
      <c r="O836" s="36" t="str">
        <f>IFERROR(IF(INDEX(使用レシピ!P:P,MATCH(テンプレート!$C836,使用レシピ!$E:$E,0))&lt;&gt;0,INDEX(使用レシピ!P:P,MATCH(テンプレート!$C836,使用レシピ!$E:$E,0)),""),"")</f>
        <v/>
      </c>
      <c r="P836" t="str">
        <f t="shared" si="66"/>
        <v/>
      </c>
      <c r="Q836" t="str">
        <f t="shared" si="67"/>
        <v/>
      </c>
      <c r="R836" t="str">
        <f t="shared" si="68"/>
        <v/>
      </c>
      <c r="S836" t="str">
        <f t="shared" si="69"/>
        <v/>
      </c>
      <c r="T836" s="24" t="str">
        <f t="shared" si="70"/>
        <v/>
      </c>
    </row>
    <row r="837" spans="2:20" x14ac:dyDescent="0.4">
      <c r="B837" s="49" t="str" cm="1">
        <f t="array" ref="B837">IFERROR((INDEX($P$4:$T$1000,MATCH(VALUE(LEFT($A837,LEN($A837)-1)),$A$4:$A$1000,0),VALUE(RIGHT($A837,1)))/ INDEX($O$4:$O$1000,MATCH(VALUE(LEFT($A837,LEN($A837)-1)),$A$4:$A$1000))) * INDEX($B$4:$B$1000,MATCH(VALUE(LEFT($A837,LEN($A837)-1)),$A$4:$A$1000)),"")</f>
        <v/>
      </c>
      <c r="C837" s="2" t="str" cm="1">
        <f t="array" ref="C837">IFERROR(IF(INDEX($D$4:$H$1000,MATCH(VALUE(LEFT($A837,LEN($A837)-1)),$A$4:$A$1000,0),VALUE(RIGHT($A837,1)))= 0,"",INDEX($D$4:$H$1000,MATCH(VALUE(LEFT($A837,LEN($A837)-1)),$A$4:$A$1000,0),VALUE(RIGHT($A837,1)))),"")</f>
        <v/>
      </c>
      <c r="D837" s="23" t="str">
        <f>IFERROR(IF(INDEX(使用レシピ!F:F,MATCH(テンプレート!$C837,使用レシピ!$E:$E,0))&lt;&gt;0,INDEX(使用レシピ!F:F,MATCH(テンプレート!$C837,使用レシピ!$E:$E,0)),""),"")</f>
        <v/>
      </c>
      <c r="E837" t="str">
        <f>IFERROR(IF(INDEX(使用レシピ!G:G,MATCH(テンプレート!$C837,使用レシピ!$E:$E,0))&lt;&gt;0,INDEX(使用レシピ!G:G,MATCH(テンプレート!$C837,使用レシピ!$E:$E,0)),""),"")</f>
        <v/>
      </c>
      <c r="F837" t="str">
        <f>IFERROR(IF(INDEX(使用レシピ!H:H,MATCH(テンプレート!$C837,使用レシピ!$E:$E,0))&lt;&gt;0,INDEX(使用レシピ!H:H,MATCH(テンプレート!$C837,使用レシピ!$E:$E,0)),""),"")</f>
        <v/>
      </c>
      <c r="G837" t="str">
        <f>IFERROR(IF(INDEX(使用レシピ!I:I,MATCH(テンプレート!$C837,使用レシピ!$E:$E,0))&lt;&gt;0,INDEX(使用レシピ!I:I,MATCH(テンプレート!$C837,使用レシピ!$E:$E,0)),""),"")</f>
        <v/>
      </c>
      <c r="H837" s="24" t="str">
        <f>IFERROR(IF(INDEX(使用レシピ!J:J,MATCH(テンプレート!$C837,使用レシピ!$E:$E,0))&lt;&gt;0,INDEX(使用レシピ!J:J,MATCH(テンプレート!$C837,使用レシピ!$E:$E,0)),""),"")</f>
        <v/>
      </c>
      <c r="I837" s="36" t="str">
        <f>IFERROR(IF(INDEX(使用レシピ!P:P,MATCH(テンプレート!$C837,使用レシピ!$E:$E,0))&lt;&gt;0,INDEX(使用レシピ!P:P,MATCH(テンプレート!$C837,使用レシピ!$E:$E,0)),""),"")</f>
        <v/>
      </c>
      <c r="J837" t="str">
        <f>IFERROR(IF(INDEX(使用レシピ!K:K,MATCH(テンプレート!$C837,使用レシピ!$E:$E,0))&lt;&gt;0,INDEX(使用レシピ!K:K,MATCH(テンプレート!$C837,使用レシピ!$E:$E,0)),""),"")</f>
        <v/>
      </c>
      <c r="K837" t="str">
        <f>IFERROR(IF(INDEX(使用レシピ!L:L,MATCH(テンプレート!$C837,使用レシピ!$E:$E,0))&lt;&gt;0,INDEX(使用レシピ!L:L,MATCH(テンプレート!$C837,使用レシピ!$E:$E,0)),""),"")</f>
        <v/>
      </c>
      <c r="L837" t="str">
        <f>IFERROR(IF(INDEX(使用レシピ!M:M,MATCH(テンプレート!$C837,使用レシピ!$E:$E,0))&lt;&gt;0,INDEX(使用レシピ!M:M,MATCH(テンプレート!$C837,使用レシピ!$E:$E,0)),""),"")</f>
        <v/>
      </c>
      <c r="M837" t="str">
        <f>IFERROR(IF(INDEX(使用レシピ!N:N,MATCH(テンプレート!$C837,使用レシピ!$E:$E,0))&lt;&gt;0,INDEX(使用レシピ!N:N,MATCH(テンプレート!$C837,使用レシピ!$E:$E,0)),""),"")</f>
        <v/>
      </c>
      <c r="N837" s="24" t="str">
        <f>IFERROR(IF(INDEX(使用レシピ!O:O,MATCH(テンプレート!$C837,使用レシピ!$E:$E,0))&lt;&gt;0,INDEX(使用レシピ!O:O,MATCH(テンプレート!$C837,使用レシピ!$E:$E,0)),""),"")</f>
        <v/>
      </c>
      <c r="O837" s="36" t="str">
        <f>IFERROR(IF(INDEX(使用レシピ!P:P,MATCH(テンプレート!$C837,使用レシピ!$E:$E,0))&lt;&gt;0,INDEX(使用レシピ!P:P,MATCH(テンプレート!$C837,使用レシピ!$E:$E,0)),""),"")</f>
        <v/>
      </c>
      <c r="P837" t="str">
        <f t="shared" si="66"/>
        <v/>
      </c>
      <c r="Q837" t="str">
        <f t="shared" si="67"/>
        <v/>
      </c>
      <c r="R837" t="str">
        <f t="shared" si="68"/>
        <v/>
      </c>
      <c r="S837" t="str">
        <f t="shared" si="69"/>
        <v/>
      </c>
      <c r="T837" s="24" t="str">
        <f t="shared" si="70"/>
        <v/>
      </c>
    </row>
    <row r="838" spans="2:20" x14ac:dyDescent="0.4">
      <c r="B838" s="49" t="str" cm="1">
        <f t="array" ref="B838">IFERROR((INDEX($P$4:$T$1000,MATCH(VALUE(LEFT($A838,LEN($A838)-1)),$A$4:$A$1000,0),VALUE(RIGHT($A838,1)))/ INDEX($O$4:$O$1000,MATCH(VALUE(LEFT($A838,LEN($A838)-1)),$A$4:$A$1000))) * INDEX($B$4:$B$1000,MATCH(VALUE(LEFT($A838,LEN($A838)-1)),$A$4:$A$1000)),"")</f>
        <v/>
      </c>
      <c r="C838" s="2" t="str" cm="1">
        <f t="array" ref="C838">IFERROR(IF(INDEX($D$4:$H$1000,MATCH(VALUE(LEFT($A838,LEN($A838)-1)),$A$4:$A$1000,0),VALUE(RIGHT($A838,1)))= 0,"",INDEX($D$4:$H$1000,MATCH(VALUE(LEFT($A838,LEN($A838)-1)),$A$4:$A$1000,0),VALUE(RIGHT($A838,1)))),"")</f>
        <v/>
      </c>
      <c r="D838" s="23" t="str">
        <f>IFERROR(IF(INDEX(使用レシピ!F:F,MATCH(テンプレート!$C838,使用レシピ!$E:$E,0))&lt;&gt;0,INDEX(使用レシピ!F:F,MATCH(テンプレート!$C838,使用レシピ!$E:$E,0)),""),"")</f>
        <v/>
      </c>
      <c r="E838" t="str">
        <f>IFERROR(IF(INDEX(使用レシピ!G:G,MATCH(テンプレート!$C838,使用レシピ!$E:$E,0))&lt;&gt;0,INDEX(使用レシピ!G:G,MATCH(テンプレート!$C838,使用レシピ!$E:$E,0)),""),"")</f>
        <v/>
      </c>
      <c r="F838" t="str">
        <f>IFERROR(IF(INDEX(使用レシピ!H:H,MATCH(テンプレート!$C838,使用レシピ!$E:$E,0))&lt;&gt;0,INDEX(使用レシピ!H:H,MATCH(テンプレート!$C838,使用レシピ!$E:$E,0)),""),"")</f>
        <v/>
      </c>
      <c r="G838" t="str">
        <f>IFERROR(IF(INDEX(使用レシピ!I:I,MATCH(テンプレート!$C838,使用レシピ!$E:$E,0))&lt;&gt;0,INDEX(使用レシピ!I:I,MATCH(テンプレート!$C838,使用レシピ!$E:$E,0)),""),"")</f>
        <v/>
      </c>
      <c r="H838" s="24" t="str">
        <f>IFERROR(IF(INDEX(使用レシピ!J:J,MATCH(テンプレート!$C838,使用レシピ!$E:$E,0))&lt;&gt;0,INDEX(使用レシピ!J:J,MATCH(テンプレート!$C838,使用レシピ!$E:$E,0)),""),"")</f>
        <v/>
      </c>
      <c r="I838" s="36" t="str">
        <f>IFERROR(IF(INDEX(使用レシピ!P:P,MATCH(テンプレート!$C838,使用レシピ!$E:$E,0))&lt;&gt;0,INDEX(使用レシピ!P:P,MATCH(テンプレート!$C838,使用レシピ!$E:$E,0)),""),"")</f>
        <v/>
      </c>
      <c r="J838" t="str">
        <f>IFERROR(IF(INDEX(使用レシピ!K:K,MATCH(テンプレート!$C838,使用レシピ!$E:$E,0))&lt;&gt;0,INDEX(使用レシピ!K:K,MATCH(テンプレート!$C838,使用レシピ!$E:$E,0)),""),"")</f>
        <v/>
      </c>
      <c r="K838" t="str">
        <f>IFERROR(IF(INDEX(使用レシピ!L:L,MATCH(テンプレート!$C838,使用レシピ!$E:$E,0))&lt;&gt;0,INDEX(使用レシピ!L:L,MATCH(テンプレート!$C838,使用レシピ!$E:$E,0)),""),"")</f>
        <v/>
      </c>
      <c r="L838" t="str">
        <f>IFERROR(IF(INDEX(使用レシピ!M:M,MATCH(テンプレート!$C838,使用レシピ!$E:$E,0))&lt;&gt;0,INDEX(使用レシピ!M:M,MATCH(テンプレート!$C838,使用レシピ!$E:$E,0)),""),"")</f>
        <v/>
      </c>
      <c r="M838" t="str">
        <f>IFERROR(IF(INDEX(使用レシピ!N:N,MATCH(テンプレート!$C838,使用レシピ!$E:$E,0))&lt;&gt;0,INDEX(使用レシピ!N:N,MATCH(テンプレート!$C838,使用レシピ!$E:$E,0)),""),"")</f>
        <v/>
      </c>
      <c r="N838" s="24" t="str">
        <f>IFERROR(IF(INDEX(使用レシピ!O:O,MATCH(テンプレート!$C838,使用レシピ!$E:$E,0))&lt;&gt;0,INDEX(使用レシピ!O:O,MATCH(テンプレート!$C838,使用レシピ!$E:$E,0)),""),"")</f>
        <v/>
      </c>
      <c r="O838" s="36" t="str">
        <f>IFERROR(IF(INDEX(使用レシピ!P:P,MATCH(テンプレート!$C838,使用レシピ!$E:$E,0))&lt;&gt;0,INDEX(使用レシピ!P:P,MATCH(テンプレート!$C838,使用レシピ!$E:$E,0)),""),"")</f>
        <v/>
      </c>
      <c r="P838" t="str">
        <f t="shared" si="66"/>
        <v/>
      </c>
      <c r="Q838" t="str">
        <f t="shared" si="67"/>
        <v/>
      </c>
      <c r="R838" t="str">
        <f t="shared" si="68"/>
        <v/>
      </c>
      <c r="S838" t="str">
        <f t="shared" si="69"/>
        <v/>
      </c>
      <c r="T838" s="24" t="str">
        <f t="shared" si="70"/>
        <v/>
      </c>
    </row>
    <row r="839" spans="2:20" x14ac:dyDescent="0.4">
      <c r="B839" s="49" t="str" cm="1">
        <f t="array" ref="B839">IFERROR((INDEX($P$4:$T$1000,MATCH(VALUE(LEFT($A839,LEN($A839)-1)),$A$4:$A$1000,0),VALUE(RIGHT($A839,1)))/ INDEX($O$4:$O$1000,MATCH(VALUE(LEFT($A839,LEN($A839)-1)),$A$4:$A$1000))) * INDEX($B$4:$B$1000,MATCH(VALUE(LEFT($A839,LEN($A839)-1)),$A$4:$A$1000)),"")</f>
        <v/>
      </c>
      <c r="C839" s="2" t="str" cm="1">
        <f t="array" ref="C839">IFERROR(IF(INDEX($D$4:$H$1000,MATCH(VALUE(LEFT($A839,LEN($A839)-1)),$A$4:$A$1000,0),VALUE(RIGHT($A839,1)))= 0,"",INDEX($D$4:$H$1000,MATCH(VALUE(LEFT($A839,LEN($A839)-1)),$A$4:$A$1000,0),VALUE(RIGHT($A839,1)))),"")</f>
        <v/>
      </c>
      <c r="D839" s="23" t="str">
        <f>IFERROR(IF(INDEX(使用レシピ!F:F,MATCH(テンプレート!$C839,使用レシピ!$E:$E,0))&lt;&gt;0,INDEX(使用レシピ!F:F,MATCH(テンプレート!$C839,使用レシピ!$E:$E,0)),""),"")</f>
        <v/>
      </c>
      <c r="E839" t="str">
        <f>IFERROR(IF(INDEX(使用レシピ!G:G,MATCH(テンプレート!$C839,使用レシピ!$E:$E,0))&lt;&gt;0,INDEX(使用レシピ!G:G,MATCH(テンプレート!$C839,使用レシピ!$E:$E,0)),""),"")</f>
        <v/>
      </c>
      <c r="F839" t="str">
        <f>IFERROR(IF(INDEX(使用レシピ!H:H,MATCH(テンプレート!$C839,使用レシピ!$E:$E,0))&lt;&gt;0,INDEX(使用レシピ!H:H,MATCH(テンプレート!$C839,使用レシピ!$E:$E,0)),""),"")</f>
        <v/>
      </c>
      <c r="G839" t="str">
        <f>IFERROR(IF(INDEX(使用レシピ!I:I,MATCH(テンプレート!$C839,使用レシピ!$E:$E,0))&lt;&gt;0,INDEX(使用レシピ!I:I,MATCH(テンプレート!$C839,使用レシピ!$E:$E,0)),""),"")</f>
        <v/>
      </c>
      <c r="H839" s="24" t="str">
        <f>IFERROR(IF(INDEX(使用レシピ!J:J,MATCH(テンプレート!$C839,使用レシピ!$E:$E,0))&lt;&gt;0,INDEX(使用レシピ!J:J,MATCH(テンプレート!$C839,使用レシピ!$E:$E,0)),""),"")</f>
        <v/>
      </c>
      <c r="I839" s="36" t="str">
        <f>IFERROR(IF(INDEX(使用レシピ!P:P,MATCH(テンプレート!$C839,使用レシピ!$E:$E,0))&lt;&gt;0,INDEX(使用レシピ!P:P,MATCH(テンプレート!$C839,使用レシピ!$E:$E,0)),""),"")</f>
        <v/>
      </c>
      <c r="J839" t="str">
        <f>IFERROR(IF(INDEX(使用レシピ!K:K,MATCH(テンプレート!$C839,使用レシピ!$E:$E,0))&lt;&gt;0,INDEX(使用レシピ!K:K,MATCH(テンプレート!$C839,使用レシピ!$E:$E,0)),""),"")</f>
        <v/>
      </c>
      <c r="K839" t="str">
        <f>IFERROR(IF(INDEX(使用レシピ!L:L,MATCH(テンプレート!$C839,使用レシピ!$E:$E,0))&lt;&gt;0,INDEX(使用レシピ!L:L,MATCH(テンプレート!$C839,使用レシピ!$E:$E,0)),""),"")</f>
        <v/>
      </c>
      <c r="L839" t="str">
        <f>IFERROR(IF(INDEX(使用レシピ!M:M,MATCH(テンプレート!$C839,使用レシピ!$E:$E,0))&lt;&gt;0,INDEX(使用レシピ!M:M,MATCH(テンプレート!$C839,使用レシピ!$E:$E,0)),""),"")</f>
        <v/>
      </c>
      <c r="M839" t="str">
        <f>IFERROR(IF(INDEX(使用レシピ!N:N,MATCH(テンプレート!$C839,使用レシピ!$E:$E,0))&lt;&gt;0,INDEX(使用レシピ!N:N,MATCH(テンプレート!$C839,使用レシピ!$E:$E,0)),""),"")</f>
        <v/>
      </c>
      <c r="N839" s="24" t="str">
        <f>IFERROR(IF(INDEX(使用レシピ!O:O,MATCH(テンプレート!$C839,使用レシピ!$E:$E,0))&lt;&gt;0,INDEX(使用レシピ!O:O,MATCH(テンプレート!$C839,使用レシピ!$E:$E,0)),""),"")</f>
        <v/>
      </c>
      <c r="O839" s="36" t="str">
        <f>IFERROR(IF(INDEX(使用レシピ!P:P,MATCH(テンプレート!$C839,使用レシピ!$E:$E,0))&lt;&gt;0,INDEX(使用レシピ!P:P,MATCH(テンプレート!$C839,使用レシピ!$E:$E,0)),""),"")</f>
        <v/>
      </c>
      <c r="P839" t="str">
        <f t="shared" si="66"/>
        <v/>
      </c>
      <c r="Q839" t="str">
        <f t="shared" si="67"/>
        <v/>
      </c>
      <c r="R839" t="str">
        <f t="shared" si="68"/>
        <v/>
      </c>
      <c r="S839" t="str">
        <f t="shared" si="69"/>
        <v/>
      </c>
      <c r="T839" s="24" t="str">
        <f t="shared" si="70"/>
        <v/>
      </c>
    </row>
    <row r="840" spans="2:20" x14ac:dyDescent="0.4">
      <c r="B840" s="49" t="str" cm="1">
        <f t="array" ref="B840">IFERROR((INDEX($P$4:$T$1000,MATCH(VALUE(LEFT($A840,LEN($A840)-1)),$A$4:$A$1000,0),VALUE(RIGHT($A840,1)))/ INDEX($O$4:$O$1000,MATCH(VALUE(LEFT($A840,LEN($A840)-1)),$A$4:$A$1000))) * INDEX($B$4:$B$1000,MATCH(VALUE(LEFT($A840,LEN($A840)-1)),$A$4:$A$1000)),"")</f>
        <v/>
      </c>
      <c r="C840" s="2" t="str" cm="1">
        <f t="array" ref="C840">IFERROR(IF(INDEX($D$4:$H$1000,MATCH(VALUE(LEFT($A840,LEN($A840)-1)),$A$4:$A$1000,0),VALUE(RIGHT($A840,1)))= 0,"",INDEX($D$4:$H$1000,MATCH(VALUE(LEFT($A840,LEN($A840)-1)),$A$4:$A$1000,0),VALUE(RIGHT($A840,1)))),"")</f>
        <v/>
      </c>
      <c r="D840" s="23" t="str">
        <f>IFERROR(IF(INDEX(使用レシピ!F:F,MATCH(テンプレート!$C840,使用レシピ!$E:$E,0))&lt;&gt;0,INDEX(使用レシピ!F:F,MATCH(テンプレート!$C840,使用レシピ!$E:$E,0)),""),"")</f>
        <v/>
      </c>
      <c r="E840" t="str">
        <f>IFERROR(IF(INDEX(使用レシピ!G:G,MATCH(テンプレート!$C840,使用レシピ!$E:$E,0))&lt;&gt;0,INDEX(使用レシピ!G:G,MATCH(テンプレート!$C840,使用レシピ!$E:$E,0)),""),"")</f>
        <v/>
      </c>
      <c r="F840" t="str">
        <f>IFERROR(IF(INDEX(使用レシピ!H:H,MATCH(テンプレート!$C840,使用レシピ!$E:$E,0))&lt;&gt;0,INDEX(使用レシピ!H:H,MATCH(テンプレート!$C840,使用レシピ!$E:$E,0)),""),"")</f>
        <v/>
      </c>
      <c r="G840" t="str">
        <f>IFERROR(IF(INDEX(使用レシピ!I:I,MATCH(テンプレート!$C840,使用レシピ!$E:$E,0))&lt;&gt;0,INDEX(使用レシピ!I:I,MATCH(テンプレート!$C840,使用レシピ!$E:$E,0)),""),"")</f>
        <v/>
      </c>
      <c r="H840" s="24" t="str">
        <f>IFERROR(IF(INDEX(使用レシピ!J:J,MATCH(テンプレート!$C840,使用レシピ!$E:$E,0))&lt;&gt;0,INDEX(使用レシピ!J:J,MATCH(テンプレート!$C840,使用レシピ!$E:$E,0)),""),"")</f>
        <v/>
      </c>
      <c r="I840" s="36" t="str">
        <f>IFERROR(IF(INDEX(使用レシピ!P:P,MATCH(テンプレート!$C840,使用レシピ!$E:$E,0))&lt;&gt;0,INDEX(使用レシピ!P:P,MATCH(テンプレート!$C840,使用レシピ!$E:$E,0)),""),"")</f>
        <v/>
      </c>
      <c r="J840" t="str">
        <f>IFERROR(IF(INDEX(使用レシピ!K:K,MATCH(テンプレート!$C840,使用レシピ!$E:$E,0))&lt;&gt;0,INDEX(使用レシピ!K:K,MATCH(テンプレート!$C840,使用レシピ!$E:$E,0)),""),"")</f>
        <v/>
      </c>
      <c r="K840" t="str">
        <f>IFERROR(IF(INDEX(使用レシピ!L:L,MATCH(テンプレート!$C840,使用レシピ!$E:$E,0))&lt;&gt;0,INDEX(使用レシピ!L:L,MATCH(テンプレート!$C840,使用レシピ!$E:$E,0)),""),"")</f>
        <v/>
      </c>
      <c r="L840" t="str">
        <f>IFERROR(IF(INDEX(使用レシピ!M:M,MATCH(テンプレート!$C840,使用レシピ!$E:$E,0))&lt;&gt;0,INDEX(使用レシピ!M:M,MATCH(テンプレート!$C840,使用レシピ!$E:$E,0)),""),"")</f>
        <v/>
      </c>
      <c r="M840" t="str">
        <f>IFERROR(IF(INDEX(使用レシピ!N:N,MATCH(テンプレート!$C840,使用レシピ!$E:$E,0))&lt;&gt;0,INDEX(使用レシピ!N:N,MATCH(テンプレート!$C840,使用レシピ!$E:$E,0)),""),"")</f>
        <v/>
      </c>
      <c r="N840" s="24" t="str">
        <f>IFERROR(IF(INDEX(使用レシピ!O:O,MATCH(テンプレート!$C840,使用レシピ!$E:$E,0))&lt;&gt;0,INDEX(使用レシピ!O:O,MATCH(テンプレート!$C840,使用レシピ!$E:$E,0)),""),"")</f>
        <v/>
      </c>
      <c r="O840" s="36" t="str">
        <f>IFERROR(IF(INDEX(使用レシピ!P:P,MATCH(テンプレート!$C840,使用レシピ!$E:$E,0))&lt;&gt;0,INDEX(使用レシピ!P:P,MATCH(テンプレート!$C840,使用レシピ!$E:$E,0)),""),"")</f>
        <v/>
      </c>
      <c r="P840" t="str">
        <f t="shared" si="66"/>
        <v/>
      </c>
      <c r="Q840" t="str">
        <f t="shared" si="67"/>
        <v/>
      </c>
      <c r="R840" t="str">
        <f t="shared" si="68"/>
        <v/>
      </c>
      <c r="S840" t="str">
        <f t="shared" si="69"/>
        <v/>
      </c>
      <c r="T840" s="24" t="str">
        <f t="shared" si="70"/>
        <v/>
      </c>
    </row>
    <row r="841" spans="2:20" x14ac:dyDescent="0.4">
      <c r="B841" s="49" t="str" cm="1">
        <f t="array" ref="B841">IFERROR((INDEX($P$4:$T$1000,MATCH(VALUE(LEFT($A841,LEN($A841)-1)),$A$4:$A$1000,0),VALUE(RIGHT($A841,1)))/ INDEX($O$4:$O$1000,MATCH(VALUE(LEFT($A841,LEN($A841)-1)),$A$4:$A$1000))) * INDEX($B$4:$B$1000,MATCH(VALUE(LEFT($A841,LEN($A841)-1)),$A$4:$A$1000)),"")</f>
        <v/>
      </c>
      <c r="C841" s="2" t="str" cm="1">
        <f t="array" ref="C841">IFERROR(IF(INDEX($D$4:$H$1000,MATCH(VALUE(LEFT($A841,LEN($A841)-1)),$A$4:$A$1000,0),VALUE(RIGHT($A841,1)))= 0,"",INDEX($D$4:$H$1000,MATCH(VALUE(LEFT($A841,LEN($A841)-1)),$A$4:$A$1000,0),VALUE(RIGHT($A841,1)))),"")</f>
        <v/>
      </c>
      <c r="D841" s="23" t="str">
        <f>IFERROR(IF(INDEX(使用レシピ!F:F,MATCH(テンプレート!$C841,使用レシピ!$E:$E,0))&lt;&gt;0,INDEX(使用レシピ!F:F,MATCH(テンプレート!$C841,使用レシピ!$E:$E,0)),""),"")</f>
        <v/>
      </c>
      <c r="E841" t="str">
        <f>IFERROR(IF(INDEX(使用レシピ!G:G,MATCH(テンプレート!$C841,使用レシピ!$E:$E,0))&lt;&gt;0,INDEX(使用レシピ!G:G,MATCH(テンプレート!$C841,使用レシピ!$E:$E,0)),""),"")</f>
        <v/>
      </c>
      <c r="F841" t="str">
        <f>IFERROR(IF(INDEX(使用レシピ!H:H,MATCH(テンプレート!$C841,使用レシピ!$E:$E,0))&lt;&gt;0,INDEX(使用レシピ!H:H,MATCH(テンプレート!$C841,使用レシピ!$E:$E,0)),""),"")</f>
        <v/>
      </c>
      <c r="G841" t="str">
        <f>IFERROR(IF(INDEX(使用レシピ!I:I,MATCH(テンプレート!$C841,使用レシピ!$E:$E,0))&lt;&gt;0,INDEX(使用レシピ!I:I,MATCH(テンプレート!$C841,使用レシピ!$E:$E,0)),""),"")</f>
        <v/>
      </c>
      <c r="H841" s="24" t="str">
        <f>IFERROR(IF(INDEX(使用レシピ!J:J,MATCH(テンプレート!$C841,使用レシピ!$E:$E,0))&lt;&gt;0,INDEX(使用レシピ!J:J,MATCH(テンプレート!$C841,使用レシピ!$E:$E,0)),""),"")</f>
        <v/>
      </c>
      <c r="I841" s="36" t="str">
        <f>IFERROR(IF(INDEX(使用レシピ!P:P,MATCH(テンプレート!$C841,使用レシピ!$E:$E,0))&lt;&gt;0,INDEX(使用レシピ!P:P,MATCH(テンプレート!$C841,使用レシピ!$E:$E,0)),""),"")</f>
        <v/>
      </c>
      <c r="J841" t="str">
        <f>IFERROR(IF(INDEX(使用レシピ!K:K,MATCH(テンプレート!$C841,使用レシピ!$E:$E,0))&lt;&gt;0,INDEX(使用レシピ!K:K,MATCH(テンプレート!$C841,使用レシピ!$E:$E,0)),""),"")</f>
        <v/>
      </c>
      <c r="K841" t="str">
        <f>IFERROR(IF(INDEX(使用レシピ!L:L,MATCH(テンプレート!$C841,使用レシピ!$E:$E,0))&lt;&gt;0,INDEX(使用レシピ!L:L,MATCH(テンプレート!$C841,使用レシピ!$E:$E,0)),""),"")</f>
        <v/>
      </c>
      <c r="L841" t="str">
        <f>IFERROR(IF(INDEX(使用レシピ!M:M,MATCH(テンプレート!$C841,使用レシピ!$E:$E,0))&lt;&gt;0,INDEX(使用レシピ!M:M,MATCH(テンプレート!$C841,使用レシピ!$E:$E,0)),""),"")</f>
        <v/>
      </c>
      <c r="M841" t="str">
        <f>IFERROR(IF(INDEX(使用レシピ!N:N,MATCH(テンプレート!$C841,使用レシピ!$E:$E,0))&lt;&gt;0,INDEX(使用レシピ!N:N,MATCH(テンプレート!$C841,使用レシピ!$E:$E,0)),""),"")</f>
        <v/>
      </c>
      <c r="N841" s="24" t="str">
        <f>IFERROR(IF(INDEX(使用レシピ!O:O,MATCH(テンプレート!$C841,使用レシピ!$E:$E,0))&lt;&gt;0,INDEX(使用レシピ!O:O,MATCH(テンプレート!$C841,使用レシピ!$E:$E,0)),""),"")</f>
        <v/>
      </c>
      <c r="O841" s="36" t="str">
        <f>IFERROR(IF(INDEX(使用レシピ!P:P,MATCH(テンプレート!$C841,使用レシピ!$E:$E,0))&lt;&gt;0,INDEX(使用レシピ!P:P,MATCH(テンプレート!$C841,使用レシピ!$E:$E,0)),""),"")</f>
        <v/>
      </c>
      <c r="P841" t="str">
        <f t="shared" si="66"/>
        <v/>
      </c>
      <c r="Q841" t="str">
        <f t="shared" si="67"/>
        <v/>
      </c>
      <c r="R841" t="str">
        <f t="shared" si="68"/>
        <v/>
      </c>
      <c r="S841" t="str">
        <f t="shared" si="69"/>
        <v/>
      </c>
      <c r="T841" s="24" t="str">
        <f t="shared" si="70"/>
        <v/>
      </c>
    </row>
    <row r="842" spans="2:20" x14ac:dyDescent="0.4">
      <c r="B842" s="49" t="str" cm="1">
        <f t="array" ref="B842">IFERROR((INDEX($P$4:$T$1000,MATCH(VALUE(LEFT($A842,LEN($A842)-1)),$A$4:$A$1000,0),VALUE(RIGHT($A842,1)))/ INDEX($O$4:$O$1000,MATCH(VALUE(LEFT($A842,LEN($A842)-1)),$A$4:$A$1000))) * INDEX($B$4:$B$1000,MATCH(VALUE(LEFT($A842,LEN($A842)-1)),$A$4:$A$1000)),"")</f>
        <v/>
      </c>
      <c r="C842" s="2" t="str" cm="1">
        <f t="array" ref="C842">IFERROR(IF(INDEX($D$4:$H$1000,MATCH(VALUE(LEFT($A842,LEN($A842)-1)),$A$4:$A$1000,0),VALUE(RIGHT($A842,1)))= 0,"",INDEX($D$4:$H$1000,MATCH(VALUE(LEFT($A842,LEN($A842)-1)),$A$4:$A$1000,0),VALUE(RIGHT($A842,1)))),"")</f>
        <v/>
      </c>
      <c r="D842" s="23" t="str">
        <f>IFERROR(IF(INDEX(使用レシピ!F:F,MATCH(テンプレート!$C842,使用レシピ!$E:$E,0))&lt;&gt;0,INDEX(使用レシピ!F:F,MATCH(テンプレート!$C842,使用レシピ!$E:$E,0)),""),"")</f>
        <v/>
      </c>
      <c r="E842" t="str">
        <f>IFERROR(IF(INDEX(使用レシピ!G:G,MATCH(テンプレート!$C842,使用レシピ!$E:$E,0))&lt;&gt;0,INDEX(使用レシピ!G:G,MATCH(テンプレート!$C842,使用レシピ!$E:$E,0)),""),"")</f>
        <v/>
      </c>
      <c r="F842" t="str">
        <f>IFERROR(IF(INDEX(使用レシピ!H:H,MATCH(テンプレート!$C842,使用レシピ!$E:$E,0))&lt;&gt;0,INDEX(使用レシピ!H:H,MATCH(テンプレート!$C842,使用レシピ!$E:$E,0)),""),"")</f>
        <v/>
      </c>
      <c r="G842" t="str">
        <f>IFERROR(IF(INDEX(使用レシピ!I:I,MATCH(テンプレート!$C842,使用レシピ!$E:$E,0))&lt;&gt;0,INDEX(使用レシピ!I:I,MATCH(テンプレート!$C842,使用レシピ!$E:$E,0)),""),"")</f>
        <v/>
      </c>
      <c r="H842" s="24" t="str">
        <f>IFERROR(IF(INDEX(使用レシピ!J:J,MATCH(テンプレート!$C842,使用レシピ!$E:$E,0))&lt;&gt;0,INDEX(使用レシピ!J:J,MATCH(テンプレート!$C842,使用レシピ!$E:$E,0)),""),"")</f>
        <v/>
      </c>
      <c r="I842" s="36" t="str">
        <f>IFERROR(IF(INDEX(使用レシピ!P:P,MATCH(テンプレート!$C842,使用レシピ!$E:$E,0))&lt;&gt;0,INDEX(使用レシピ!P:P,MATCH(テンプレート!$C842,使用レシピ!$E:$E,0)),""),"")</f>
        <v/>
      </c>
      <c r="J842" t="str">
        <f>IFERROR(IF(INDEX(使用レシピ!K:K,MATCH(テンプレート!$C842,使用レシピ!$E:$E,0))&lt;&gt;0,INDEX(使用レシピ!K:K,MATCH(テンプレート!$C842,使用レシピ!$E:$E,0)),""),"")</f>
        <v/>
      </c>
      <c r="K842" t="str">
        <f>IFERROR(IF(INDEX(使用レシピ!L:L,MATCH(テンプレート!$C842,使用レシピ!$E:$E,0))&lt;&gt;0,INDEX(使用レシピ!L:L,MATCH(テンプレート!$C842,使用レシピ!$E:$E,0)),""),"")</f>
        <v/>
      </c>
      <c r="L842" t="str">
        <f>IFERROR(IF(INDEX(使用レシピ!M:M,MATCH(テンプレート!$C842,使用レシピ!$E:$E,0))&lt;&gt;0,INDEX(使用レシピ!M:M,MATCH(テンプレート!$C842,使用レシピ!$E:$E,0)),""),"")</f>
        <v/>
      </c>
      <c r="M842" t="str">
        <f>IFERROR(IF(INDEX(使用レシピ!N:N,MATCH(テンプレート!$C842,使用レシピ!$E:$E,0))&lt;&gt;0,INDEX(使用レシピ!N:N,MATCH(テンプレート!$C842,使用レシピ!$E:$E,0)),""),"")</f>
        <v/>
      </c>
      <c r="N842" s="24" t="str">
        <f>IFERROR(IF(INDEX(使用レシピ!O:O,MATCH(テンプレート!$C842,使用レシピ!$E:$E,0))&lt;&gt;0,INDEX(使用レシピ!O:O,MATCH(テンプレート!$C842,使用レシピ!$E:$E,0)),""),"")</f>
        <v/>
      </c>
      <c r="O842" s="36" t="str">
        <f>IFERROR(IF(INDEX(使用レシピ!P:P,MATCH(テンプレート!$C842,使用レシピ!$E:$E,0))&lt;&gt;0,INDEX(使用レシピ!P:P,MATCH(テンプレート!$C842,使用レシピ!$E:$E,0)),""),"")</f>
        <v/>
      </c>
      <c r="P842" t="str">
        <f t="shared" si="66"/>
        <v/>
      </c>
      <c r="Q842" t="str">
        <f t="shared" si="67"/>
        <v/>
      </c>
      <c r="R842" t="str">
        <f t="shared" si="68"/>
        <v/>
      </c>
      <c r="S842" t="str">
        <f t="shared" si="69"/>
        <v/>
      </c>
      <c r="T842" s="24" t="str">
        <f t="shared" si="70"/>
        <v/>
      </c>
    </row>
    <row r="843" spans="2:20" x14ac:dyDescent="0.4">
      <c r="B843" s="49" t="str" cm="1">
        <f t="array" ref="B843">IFERROR((INDEX($P$4:$T$1000,MATCH(VALUE(LEFT($A843,LEN($A843)-1)),$A$4:$A$1000,0),VALUE(RIGHT($A843,1)))/ INDEX($O$4:$O$1000,MATCH(VALUE(LEFT($A843,LEN($A843)-1)),$A$4:$A$1000))) * INDEX($B$4:$B$1000,MATCH(VALUE(LEFT($A843,LEN($A843)-1)),$A$4:$A$1000)),"")</f>
        <v/>
      </c>
      <c r="C843" s="2" t="str" cm="1">
        <f t="array" ref="C843">IFERROR(IF(INDEX($D$4:$H$1000,MATCH(VALUE(LEFT($A843,LEN($A843)-1)),$A$4:$A$1000,0),VALUE(RIGHT($A843,1)))= 0,"",INDEX($D$4:$H$1000,MATCH(VALUE(LEFT($A843,LEN($A843)-1)),$A$4:$A$1000,0),VALUE(RIGHT($A843,1)))),"")</f>
        <v/>
      </c>
      <c r="D843" s="23" t="str">
        <f>IFERROR(IF(INDEX(使用レシピ!F:F,MATCH(テンプレート!$C843,使用レシピ!$E:$E,0))&lt;&gt;0,INDEX(使用レシピ!F:F,MATCH(テンプレート!$C843,使用レシピ!$E:$E,0)),""),"")</f>
        <v/>
      </c>
      <c r="E843" t="str">
        <f>IFERROR(IF(INDEX(使用レシピ!G:G,MATCH(テンプレート!$C843,使用レシピ!$E:$E,0))&lt;&gt;0,INDEX(使用レシピ!G:G,MATCH(テンプレート!$C843,使用レシピ!$E:$E,0)),""),"")</f>
        <v/>
      </c>
      <c r="F843" t="str">
        <f>IFERROR(IF(INDEX(使用レシピ!H:H,MATCH(テンプレート!$C843,使用レシピ!$E:$E,0))&lt;&gt;0,INDEX(使用レシピ!H:H,MATCH(テンプレート!$C843,使用レシピ!$E:$E,0)),""),"")</f>
        <v/>
      </c>
      <c r="G843" t="str">
        <f>IFERROR(IF(INDEX(使用レシピ!I:I,MATCH(テンプレート!$C843,使用レシピ!$E:$E,0))&lt;&gt;0,INDEX(使用レシピ!I:I,MATCH(テンプレート!$C843,使用レシピ!$E:$E,0)),""),"")</f>
        <v/>
      </c>
      <c r="H843" s="24" t="str">
        <f>IFERROR(IF(INDEX(使用レシピ!J:J,MATCH(テンプレート!$C843,使用レシピ!$E:$E,0))&lt;&gt;0,INDEX(使用レシピ!J:J,MATCH(テンプレート!$C843,使用レシピ!$E:$E,0)),""),"")</f>
        <v/>
      </c>
      <c r="I843" s="36" t="str">
        <f>IFERROR(IF(INDEX(使用レシピ!P:P,MATCH(テンプレート!$C843,使用レシピ!$E:$E,0))&lt;&gt;0,INDEX(使用レシピ!P:P,MATCH(テンプレート!$C843,使用レシピ!$E:$E,0)),""),"")</f>
        <v/>
      </c>
      <c r="J843" t="str">
        <f>IFERROR(IF(INDEX(使用レシピ!K:K,MATCH(テンプレート!$C843,使用レシピ!$E:$E,0))&lt;&gt;0,INDEX(使用レシピ!K:K,MATCH(テンプレート!$C843,使用レシピ!$E:$E,0)),""),"")</f>
        <v/>
      </c>
      <c r="K843" t="str">
        <f>IFERROR(IF(INDEX(使用レシピ!L:L,MATCH(テンプレート!$C843,使用レシピ!$E:$E,0))&lt;&gt;0,INDEX(使用レシピ!L:L,MATCH(テンプレート!$C843,使用レシピ!$E:$E,0)),""),"")</f>
        <v/>
      </c>
      <c r="L843" t="str">
        <f>IFERROR(IF(INDEX(使用レシピ!M:M,MATCH(テンプレート!$C843,使用レシピ!$E:$E,0))&lt;&gt;0,INDEX(使用レシピ!M:M,MATCH(テンプレート!$C843,使用レシピ!$E:$E,0)),""),"")</f>
        <v/>
      </c>
      <c r="M843" t="str">
        <f>IFERROR(IF(INDEX(使用レシピ!N:N,MATCH(テンプレート!$C843,使用レシピ!$E:$E,0))&lt;&gt;0,INDEX(使用レシピ!N:N,MATCH(テンプレート!$C843,使用レシピ!$E:$E,0)),""),"")</f>
        <v/>
      </c>
      <c r="N843" s="24" t="str">
        <f>IFERROR(IF(INDEX(使用レシピ!O:O,MATCH(テンプレート!$C843,使用レシピ!$E:$E,0))&lt;&gt;0,INDEX(使用レシピ!O:O,MATCH(テンプレート!$C843,使用レシピ!$E:$E,0)),""),"")</f>
        <v/>
      </c>
      <c r="O843" s="36" t="str">
        <f>IFERROR(IF(INDEX(使用レシピ!P:P,MATCH(テンプレート!$C843,使用レシピ!$E:$E,0))&lt;&gt;0,INDEX(使用レシピ!P:P,MATCH(テンプレート!$C843,使用レシピ!$E:$E,0)),""),"")</f>
        <v/>
      </c>
      <c r="P843" t="str">
        <f t="shared" si="66"/>
        <v/>
      </c>
      <c r="Q843" t="str">
        <f t="shared" si="67"/>
        <v/>
      </c>
      <c r="R843" t="str">
        <f t="shared" si="68"/>
        <v/>
      </c>
      <c r="S843" t="str">
        <f t="shared" si="69"/>
        <v/>
      </c>
      <c r="T843" s="24" t="str">
        <f t="shared" si="70"/>
        <v/>
      </c>
    </row>
    <row r="844" spans="2:20" x14ac:dyDescent="0.4">
      <c r="B844" s="49" t="str" cm="1">
        <f t="array" ref="B844">IFERROR((INDEX($P$4:$T$1000,MATCH(VALUE(LEFT($A844,LEN($A844)-1)),$A$4:$A$1000,0),VALUE(RIGHT($A844,1)))/ INDEX($O$4:$O$1000,MATCH(VALUE(LEFT($A844,LEN($A844)-1)),$A$4:$A$1000))) * INDEX($B$4:$B$1000,MATCH(VALUE(LEFT($A844,LEN($A844)-1)),$A$4:$A$1000)),"")</f>
        <v/>
      </c>
      <c r="C844" s="2" t="str" cm="1">
        <f t="array" ref="C844">IFERROR(IF(INDEX($D$4:$H$1000,MATCH(VALUE(LEFT($A844,LEN($A844)-1)),$A$4:$A$1000,0),VALUE(RIGHT($A844,1)))= 0,"",INDEX($D$4:$H$1000,MATCH(VALUE(LEFT($A844,LEN($A844)-1)),$A$4:$A$1000,0),VALUE(RIGHT($A844,1)))),"")</f>
        <v/>
      </c>
      <c r="D844" s="23" t="str">
        <f>IFERROR(IF(INDEX(使用レシピ!F:F,MATCH(テンプレート!$C844,使用レシピ!$E:$E,0))&lt;&gt;0,INDEX(使用レシピ!F:F,MATCH(テンプレート!$C844,使用レシピ!$E:$E,0)),""),"")</f>
        <v/>
      </c>
      <c r="E844" t="str">
        <f>IFERROR(IF(INDEX(使用レシピ!G:G,MATCH(テンプレート!$C844,使用レシピ!$E:$E,0))&lt;&gt;0,INDEX(使用レシピ!G:G,MATCH(テンプレート!$C844,使用レシピ!$E:$E,0)),""),"")</f>
        <v/>
      </c>
      <c r="F844" t="str">
        <f>IFERROR(IF(INDEX(使用レシピ!H:H,MATCH(テンプレート!$C844,使用レシピ!$E:$E,0))&lt;&gt;0,INDEX(使用レシピ!H:H,MATCH(テンプレート!$C844,使用レシピ!$E:$E,0)),""),"")</f>
        <v/>
      </c>
      <c r="G844" t="str">
        <f>IFERROR(IF(INDEX(使用レシピ!I:I,MATCH(テンプレート!$C844,使用レシピ!$E:$E,0))&lt;&gt;0,INDEX(使用レシピ!I:I,MATCH(テンプレート!$C844,使用レシピ!$E:$E,0)),""),"")</f>
        <v/>
      </c>
      <c r="H844" s="24" t="str">
        <f>IFERROR(IF(INDEX(使用レシピ!J:J,MATCH(テンプレート!$C844,使用レシピ!$E:$E,0))&lt;&gt;0,INDEX(使用レシピ!J:J,MATCH(テンプレート!$C844,使用レシピ!$E:$E,0)),""),"")</f>
        <v/>
      </c>
      <c r="I844" s="36" t="str">
        <f>IFERROR(IF(INDEX(使用レシピ!P:P,MATCH(テンプレート!$C844,使用レシピ!$E:$E,0))&lt;&gt;0,INDEX(使用レシピ!P:P,MATCH(テンプレート!$C844,使用レシピ!$E:$E,0)),""),"")</f>
        <v/>
      </c>
      <c r="J844" t="str">
        <f>IFERROR(IF(INDEX(使用レシピ!K:K,MATCH(テンプレート!$C844,使用レシピ!$E:$E,0))&lt;&gt;0,INDEX(使用レシピ!K:K,MATCH(テンプレート!$C844,使用レシピ!$E:$E,0)),""),"")</f>
        <v/>
      </c>
      <c r="K844" t="str">
        <f>IFERROR(IF(INDEX(使用レシピ!L:L,MATCH(テンプレート!$C844,使用レシピ!$E:$E,0))&lt;&gt;0,INDEX(使用レシピ!L:L,MATCH(テンプレート!$C844,使用レシピ!$E:$E,0)),""),"")</f>
        <v/>
      </c>
      <c r="L844" t="str">
        <f>IFERROR(IF(INDEX(使用レシピ!M:M,MATCH(テンプレート!$C844,使用レシピ!$E:$E,0))&lt;&gt;0,INDEX(使用レシピ!M:M,MATCH(テンプレート!$C844,使用レシピ!$E:$E,0)),""),"")</f>
        <v/>
      </c>
      <c r="M844" t="str">
        <f>IFERROR(IF(INDEX(使用レシピ!N:N,MATCH(テンプレート!$C844,使用レシピ!$E:$E,0))&lt;&gt;0,INDEX(使用レシピ!N:N,MATCH(テンプレート!$C844,使用レシピ!$E:$E,0)),""),"")</f>
        <v/>
      </c>
      <c r="N844" s="24" t="str">
        <f>IFERROR(IF(INDEX(使用レシピ!O:O,MATCH(テンプレート!$C844,使用レシピ!$E:$E,0))&lt;&gt;0,INDEX(使用レシピ!O:O,MATCH(テンプレート!$C844,使用レシピ!$E:$E,0)),""),"")</f>
        <v/>
      </c>
      <c r="O844" s="36" t="str">
        <f>IFERROR(IF(INDEX(使用レシピ!P:P,MATCH(テンプレート!$C844,使用レシピ!$E:$E,0))&lt;&gt;0,INDEX(使用レシピ!P:P,MATCH(テンプレート!$C844,使用レシピ!$E:$E,0)),""),"")</f>
        <v/>
      </c>
      <c r="P844" t="str">
        <f t="shared" si="66"/>
        <v/>
      </c>
      <c r="Q844" t="str">
        <f t="shared" si="67"/>
        <v/>
      </c>
      <c r="R844" t="str">
        <f t="shared" si="68"/>
        <v/>
      </c>
      <c r="S844" t="str">
        <f t="shared" si="69"/>
        <v/>
      </c>
      <c r="T844" s="24" t="str">
        <f t="shared" si="70"/>
        <v/>
      </c>
    </row>
    <row r="845" spans="2:20" x14ac:dyDescent="0.4">
      <c r="B845" s="49" t="str" cm="1">
        <f t="array" ref="B845">IFERROR((INDEX($P$4:$T$1000,MATCH(VALUE(LEFT($A845,LEN($A845)-1)),$A$4:$A$1000,0),VALUE(RIGHT($A845,1)))/ INDEX($O$4:$O$1000,MATCH(VALUE(LEFT($A845,LEN($A845)-1)),$A$4:$A$1000))) * INDEX($B$4:$B$1000,MATCH(VALUE(LEFT($A845,LEN($A845)-1)),$A$4:$A$1000)),"")</f>
        <v/>
      </c>
      <c r="C845" s="2" t="str" cm="1">
        <f t="array" ref="C845">IFERROR(IF(INDEX($D$4:$H$1000,MATCH(VALUE(LEFT($A845,LEN($A845)-1)),$A$4:$A$1000,0),VALUE(RIGHT($A845,1)))= 0,"",INDEX($D$4:$H$1000,MATCH(VALUE(LEFT($A845,LEN($A845)-1)),$A$4:$A$1000,0),VALUE(RIGHT($A845,1)))),"")</f>
        <v/>
      </c>
      <c r="D845" s="23" t="str">
        <f>IFERROR(IF(INDEX(使用レシピ!F:F,MATCH(テンプレート!$C845,使用レシピ!$E:$E,0))&lt;&gt;0,INDEX(使用レシピ!F:F,MATCH(テンプレート!$C845,使用レシピ!$E:$E,0)),""),"")</f>
        <v/>
      </c>
      <c r="E845" t="str">
        <f>IFERROR(IF(INDEX(使用レシピ!G:G,MATCH(テンプレート!$C845,使用レシピ!$E:$E,0))&lt;&gt;0,INDEX(使用レシピ!G:G,MATCH(テンプレート!$C845,使用レシピ!$E:$E,0)),""),"")</f>
        <v/>
      </c>
      <c r="F845" t="str">
        <f>IFERROR(IF(INDEX(使用レシピ!H:H,MATCH(テンプレート!$C845,使用レシピ!$E:$E,0))&lt;&gt;0,INDEX(使用レシピ!H:H,MATCH(テンプレート!$C845,使用レシピ!$E:$E,0)),""),"")</f>
        <v/>
      </c>
      <c r="G845" t="str">
        <f>IFERROR(IF(INDEX(使用レシピ!I:I,MATCH(テンプレート!$C845,使用レシピ!$E:$E,0))&lt;&gt;0,INDEX(使用レシピ!I:I,MATCH(テンプレート!$C845,使用レシピ!$E:$E,0)),""),"")</f>
        <v/>
      </c>
      <c r="H845" s="24" t="str">
        <f>IFERROR(IF(INDEX(使用レシピ!J:J,MATCH(テンプレート!$C845,使用レシピ!$E:$E,0))&lt;&gt;0,INDEX(使用レシピ!J:J,MATCH(テンプレート!$C845,使用レシピ!$E:$E,0)),""),"")</f>
        <v/>
      </c>
      <c r="I845" s="36" t="str">
        <f>IFERROR(IF(INDEX(使用レシピ!P:P,MATCH(テンプレート!$C845,使用レシピ!$E:$E,0))&lt;&gt;0,INDEX(使用レシピ!P:P,MATCH(テンプレート!$C845,使用レシピ!$E:$E,0)),""),"")</f>
        <v/>
      </c>
      <c r="J845" t="str">
        <f>IFERROR(IF(INDEX(使用レシピ!K:K,MATCH(テンプレート!$C845,使用レシピ!$E:$E,0))&lt;&gt;0,INDEX(使用レシピ!K:K,MATCH(テンプレート!$C845,使用レシピ!$E:$E,0)),""),"")</f>
        <v/>
      </c>
      <c r="K845" t="str">
        <f>IFERROR(IF(INDEX(使用レシピ!L:L,MATCH(テンプレート!$C845,使用レシピ!$E:$E,0))&lt;&gt;0,INDEX(使用レシピ!L:L,MATCH(テンプレート!$C845,使用レシピ!$E:$E,0)),""),"")</f>
        <v/>
      </c>
      <c r="L845" t="str">
        <f>IFERROR(IF(INDEX(使用レシピ!M:M,MATCH(テンプレート!$C845,使用レシピ!$E:$E,0))&lt;&gt;0,INDEX(使用レシピ!M:M,MATCH(テンプレート!$C845,使用レシピ!$E:$E,0)),""),"")</f>
        <v/>
      </c>
      <c r="M845" t="str">
        <f>IFERROR(IF(INDEX(使用レシピ!N:N,MATCH(テンプレート!$C845,使用レシピ!$E:$E,0))&lt;&gt;0,INDEX(使用レシピ!N:N,MATCH(テンプレート!$C845,使用レシピ!$E:$E,0)),""),"")</f>
        <v/>
      </c>
      <c r="N845" s="24" t="str">
        <f>IFERROR(IF(INDEX(使用レシピ!O:O,MATCH(テンプレート!$C845,使用レシピ!$E:$E,0))&lt;&gt;0,INDEX(使用レシピ!O:O,MATCH(テンプレート!$C845,使用レシピ!$E:$E,0)),""),"")</f>
        <v/>
      </c>
      <c r="O845" s="36" t="str">
        <f>IFERROR(IF(INDEX(使用レシピ!P:P,MATCH(テンプレート!$C845,使用レシピ!$E:$E,0))&lt;&gt;0,INDEX(使用レシピ!P:P,MATCH(テンプレート!$C845,使用レシピ!$E:$E,0)),""),"")</f>
        <v/>
      </c>
      <c r="P845" t="str">
        <f t="shared" si="66"/>
        <v/>
      </c>
      <c r="Q845" t="str">
        <f t="shared" si="67"/>
        <v/>
      </c>
      <c r="R845" t="str">
        <f t="shared" si="68"/>
        <v/>
      </c>
      <c r="S845" t="str">
        <f t="shared" si="69"/>
        <v/>
      </c>
      <c r="T845" s="24" t="str">
        <f t="shared" si="70"/>
        <v/>
      </c>
    </row>
    <row r="846" spans="2:20" x14ac:dyDescent="0.4">
      <c r="B846" s="49" t="str" cm="1">
        <f t="array" ref="B846">IFERROR((INDEX($P$4:$T$1000,MATCH(VALUE(LEFT($A846,LEN($A846)-1)),$A$4:$A$1000,0),VALUE(RIGHT($A846,1)))/ INDEX($O$4:$O$1000,MATCH(VALUE(LEFT($A846,LEN($A846)-1)),$A$4:$A$1000))) * INDEX($B$4:$B$1000,MATCH(VALUE(LEFT($A846,LEN($A846)-1)),$A$4:$A$1000)),"")</f>
        <v/>
      </c>
      <c r="C846" s="2" t="str" cm="1">
        <f t="array" ref="C846">IFERROR(IF(INDEX($D$4:$H$1000,MATCH(VALUE(LEFT($A846,LEN($A846)-1)),$A$4:$A$1000,0),VALUE(RIGHT($A846,1)))= 0,"",INDEX($D$4:$H$1000,MATCH(VALUE(LEFT($A846,LEN($A846)-1)),$A$4:$A$1000,0),VALUE(RIGHT($A846,1)))),"")</f>
        <v/>
      </c>
      <c r="D846" s="23" t="str">
        <f>IFERROR(IF(INDEX(使用レシピ!F:F,MATCH(テンプレート!$C846,使用レシピ!$E:$E,0))&lt;&gt;0,INDEX(使用レシピ!F:F,MATCH(テンプレート!$C846,使用レシピ!$E:$E,0)),""),"")</f>
        <v/>
      </c>
      <c r="E846" t="str">
        <f>IFERROR(IF(INDEX(使用レシピ!G:G,MATCH(テンプレート!$C846,使用レシピ!$E:$E,0))&lt;&gt;0,INDEX(使用レシピ!G:G,MATCH(テンプレート!$C846,使用レシピ!$E:$E,0)),""),"")</f>
        <v/>
      </c>
      <c r="F846" t="str">
        <f>IFERROR(IF(INDEX(使用レシピ!H:H,MATCH(テンプレート!$C846,使用レシピ!$E:$E,0))&lt;&gt;0,INDEX(使用レシピ!H:H,MATCH(テンプレート!$C846,使用レシピ!$E:$E,0)),""),"")</f>
        <v/>
      </c>
      <c r="G846" t="str">
        <f>IFERROR(IF(INDEX(使用レシピ!I:I,MATCH(テンプレート!$C846,使用レシピ!$E:$E,0))&lt;&gt;0,INDEX(使用レシピ!I:I,MATCH(テンプレート!$C846,使用レシピ!$E:$E,0)),""),"")</f>
        <v/>
      </c>
      <c r="H846" s="24" t="str">
        <f>IFERROR(IF(INDEX(使用レシピ!J:J,MATCH(テンプレート!$C846,使用レシピ!$E:$E,0))&lt;&gt;0,INDEX(使用レシピ!J:J,MATCH(テンプレート!$C846,使用レシピ!$E:$E,0)),""),"")</f>
        <v/>
      </c>
      <c r="I846" s="36" t="str">
        <f>IFERROR(IF(INDEX(使用レシピ!P:P,MATCH(テンプレート!$C846,使用レシピ!$E:$E,0))&lt;&gt;0,INDEX(使用レシピ!P:P,MATCH(テンプレート!$C846,使用レシピ!$E:$E,0)),""),"")</f>
        <v/>
      </c>
      <c r="J846" t="str">
        <f>IFERROR(IF(INDEX(使用レシピ!K:K,MATCH(テンプレート!$C846,使用レシピ!$E:$E,0))&lt;&gt;0,INDEX(使用レシピ!K:K,MATCH(テンプレート!$C846,使用レシピ!$E:$E,0)),""),"")</f>
        <v/>
      </c>
      <c r="K846" t="str">
        <f>IFERROR(IF(INDEX(使用レシピ!L:L,MATCH(テンプレート!$C846,使用レシピ!$E:$E,0))&lt;&gt;0,INDEX(使用レシピ!L:L,MATCH(テンプレート!$C846,使用レシピ!$E:$E,0)),""),"")</f>
        <v/>
      </c>
      <c r="L846" t="str">
        <f>IFERROR(IF(INDEX(使用レシピ!M:M,MATCH(テンプレート!$C846,使用レシピ!$E:$E,0))&lt;&gt;0,INDEX(使用レシピ!M:M,MATCH(テンプレート!$C846,使用レシピ!$E:$E,0)),""),"")</f>
        <v/>
      </c>
      <c r="M846" t="str">
        <f>IFERROR(IF(INDEX(使用レシピ!N:N,MATCH(テンプレート!$C846,使用レシピ!$E:$E,0))&lt;&gt;0,INDEX(使用レシピ!N:N,MATCH(テンプレート!$C846,使用レシピ!$E:$E,0)),""),"")</f>
        <v/>
      </c>
      <c r="N846" s="24" t="str">
        <f>IFERROR(IF(INDEX(使用レシピ!O:O,MATCH(テンプレート!$C846,使用レシピ!$E:$E,0))&lt;&gt;0,INDEX(使用レシピ!O:O,MATCH(テンプレート!$C846,使用レシピ!$E:$E,0)),""),"")</f>
        <v/>
      </c>
      <c r="O846" s="36" t="str">
        <f>IFERROR(IF(INDEX(使用レシピ!P:P,MATCH(テンプレート!$C846,使用レシピ!$E:$E,0))&lt;&gt;0,INDEX(使用レシピ!P:P,MATCH(テンプレート!$C846,使用レシピ!$E:$E,0)),""),"")</f>
        <v/>
      </c>
      <c r="P846" t="str">
        <f t="shared" si="66"/>
        <v/>
      </c>
      <c r="Q846" t="str">
        <f t="shared" si="67"/>
        <v/>
      </c>
      <c r="R846" t="str">
        <f t="shared" si="68"/>
        <v/>
      </c>
      <c r="S846" t="str">
        <f t="shared" si="69"/>
        <v/>
      </c>
      <c r="T846" s="24" t="str">
        <f t="shared" si="70"/>
        <v/>
      </c>
    </row>
    <row r="847" spans="2:20" x14ac:dyDescent="0.4">
      <c r="B847" s="49" t="str" cm="1">
        <f t="array" ref="B847">IFERROR((INDEX($P$4:$T$1000,MATCH(VALUE(LEFT($A847,LEN($A847)-1)),$A$4:$A$1000,0),VALUE(RIGHT($A847,1)))/ INDEX($O$4:$O$1000,MATCH(VALUE(LEFT($A847,LEN($A847)-1)),$A$4:$A$1000))) * INDEX($B$4:$B$1000,MATCH(VALUE(LEFT($A847,LEN($A847)-1)),$A$4:$A$1000)),"")</f>
        <v/>
      </c>
      <c r="C847" s="2" t="str" cm="1">
        <f t="array" ref="C847">IFERROR(IF(INDEX($D$4:$H$1000,MATCH(VALUE(LEFT($A847,LEN($A847)-1)),$A$4:$A$1000,0),VALUE(RIGHT($A847,1)))= 0,"",INDEX($D$4:$H$1000,MATCH(VALUE(LEFT($A847,LEN($A847)-1)),$A$4:$A$1000,0),VALUE(RIGHT($A847,1)))),"")</f>
        <v/>
      </c>
      <c r="D847" s="23" t="str">
        <f>IFERROR(IF(INDEX(使用レシピ!F:F,MATCH(テンプレート!$C847,使用レシピ!$E:$E,0))&lt;&gt;0,INDEX(使用レシピ!F:F,MATCH(テンプレート!$C847,使用レシピ!$E:$E,0)),""),"")</f>
        <v/>
      </c>
      <c r="E847" t="str">
        <f>IFERROR(IF(INDEX(使用レシピ!G:G,MATCH(テンプレート!$C847,使用レシピ!$E:$E,0))&lt;&gt;0,INDEX(使用レシピ!G:G,MATCH(テンプレート!$C847,使用レシピ!$E:$E,0)),""),"")</f>
        <v/>
      </c>
      <c r="F847" t="str">
        <f>IFERROR(IF(INDEX(使用レシピ!H:H,MATCH(テンプレート!$C847,使用レシピ!$E:$E,0))&lt;&gt;0,INDEX(使用レシピ!H:H,MATCH(テンプレート!$C847,使用レシピ!$E:$E,0)),""),"")</f>
        <v/>
      </c>
      <c r="G847" t="str">
        <f>IFERROR(IF(INDEX(使用レシピ!I:I,MATCH(テンプレート!$C847,使用レシピ!$E:$E,0))&lt;&gt;0,INDEX(使用レシピ!I:I,MATCH(テンプレート!$C847,使用レシピ!$E:$E,0)),""),"")</f>
        <v/>
      </c>
      <c r="H847" s="24" t="str">
        <f>IFERROR(IF(INDEX(使用レシピ!J:J,MATCH(テンプレート!$C847,使用レシピ!$E:$E,0))&lt;&gt;0,INDEX(使用レシピ!J:J,MATCH(テンプレート!$C847,使用レシピ!$E:$E,0)),""),"")</f>
        <v/>
      </c>
      <c r="I847" s="36" t="str">
        <f>IFERROR(IF(INDEX(使用レシピ!P:P,MATCH(テンプレート!$C847,使用レシピ!$E:$E,0))&lt;&gt;0,INDEX(使用レシピ!P:P,MATCH(テンプレート!$C847,使用レシピ!$E:$E,0)),""),"")</f>
        <v/>
      </c>
      <c r="J847" t="str">
        <f>IFERROR(IF(INDEX(使用レシピ!K:K,MATCH(テンプレート!$C847,使用レシピ!$E:$E,0))&lt;&gt;0,INDEX(使用レシピ!K:K,MATCH(テンプレート!$C847,使用レシピ!$E:$E,0)),""),"")</f>
        <v/>
      </c>
      <c r="K847" t="str">
        <f>IFERROR(IF(INDEX(使用レシピ!L:L,MATCH(テンプレート!$C847,使用レシピ!$E:$E,0))&lt;&gt;0,INDEX(使用レシピ!L:L,MATCH(テンプレート!$C847,使用レシピ!$E:$E,0)),""),"")</f>
        <v/>
      </c>
      <c r="L847" t="str">
        <f>IFERROR(IF(INDEX(使用レシピ!M:M,MATCH(テンプレート!$C847,使用レシピ!$E:$E,0))&lt;&gt;0,INDEX(使用レシピ!M:M,MATCH(テンプレート!$C847,使用レシピ!$E:$E,0)),""),"")</f>
        <v/>
      </c>
      <c r="M847" t="str">
        <f>IFERROR(IF(INDEX(使用レシピ!N:N,MATCH(テンプレート!$C847,使用レシピ!$E:$E,0))&lt;&gt;0,INDEX(使用レシピ!N:N,MATCH(テンプレート!$C847,使用レシピ!$E:$E,0)),""),"")</f>
        <v/>
      </c>
      <c r="N847" s="24" t="str">
        <f>IFERROR(IF(INDEX(使用レシピ!O:O,MATCH(テンプレート!$C847,使用レシピ!$E:$E,0))&lt;&gt;0,INDEX(使用レシピ!O:O,MATCH(テンプレート!$C847,使用レシピ!$E:$E,0)),""),"")</f>
        <v/>
      </c>
      <c r="O847" s="36" t="str">
        <f>IFERROR(IF(INDEX(使用レシピ!P:P,MATCH(テンプレート!$C847,使用レシピ!$E:$E,0))&lt;&gt;0,INDEX(使用レシピ!P:P,MATCH(テンプレート!$C847,使用レシピ!$E:$E,0)),""),"")</f>
        <v/>
      </c>
      <c r="P847" t="str">
        <f t="shared" si="66"/>
        <v/>
      </c>
      <c r="Q847" t="str">
        <f t="shared" si="67"/>
        <v/>
      </c>
      <c r="R847" t="str">
        <f t="shared" si="68"/>
        <v/>
      </c>
      <c r="S847" t="str">
        <f t="shared" si="69"/>
        <v/>
      </c>
      <c r="T847" s="24" t="str">
        <f t="shared" si="70"/>
        <v/>
      </c>
    </row>
    <row r="848" spans="2:20" x14ac:dyDescent="0.4">
      <c r="B848" s="49" t="str" cm="1">
        <f t="array" ref="B848">IFERROR((INDEX($P$4:$T$1000,MATCH(VALUE(LEFT($A848,LEN($A848)-1)),$A$4:$A$1000,0),VALUE(RIGHT($A848,1)))/ INDEX($O$4:$O$1000,MATCH(VALUE(LEFT($A848,LEN($A848)-1)),$A$4:$A$1000))) * INDEX($B$4:$B$1000,MATCH(VALUE(LEFT($A848,LEN($A848)-1)),$A$4:$A$1000)),"")</f>
        <v/>
      </c>
      <c r="C848" s="2" t="str" cm="1">
        <f t="array" ref="C848">IFERROR(IF(INDEX($D$4:$H$1000,MATCH(VALUE(LEFT($A848,LEN($A848)-1)),$A$4:$A$1000,0),VALUE(RIGHT($A848,1)))= 0,"",INDEX($D$4:$H$1000,MATCH(VALUE(LEFT($A848,LEN($A848)-1)),$A$4:$A$1000,0),VALUE(RIGHT($A848,1)))),"")</f>
        <v/>
      </c>
      <c r="D848" s="23" t="str">
        <f>IFERROR(IF(INDEX(使用レシピ!F:F,MATCH(テンプレート!$C848,使用レシピ!$E:$E,0))&lt;&gt;0,INDEX(使用レシピ!F:F,MATCH(テンプレート!$C848,使用レシピ!$E:$E,0)),""),"")</f>
        <v/>
      </c>
      <c r="E848" t="str">
        <f>IFERROR(IF(INDEX(使用レシピ!G:G,MATCH(テンプレート!$C848,使用レシピ!$E:$E,0))&lt;&gt;0,INDEX(使用レシピ!G:G,MATCH(テンプレート!$C848,使用レシピ!$E:$E,0)),""),"")</f>
        <v/>
      </c>
      <c r="F848" t="str">
        <f>IFERROR(IF(INDEX(使用レシピ!H:H,MATCH(テンプレート!$C848,使用レシピ!$E:$E,0))&lt;&gt;0,INDEX(使用レシピ!H:H,MATCH(テンプレート!$C848,使用レシピ!$E:$E,0)),""),"")</f>
        <v/>
      </c>
      <c r="G848" t="str">
        <f>IFERROR(IF(INDEX(使用レシピ!I:I,MATCH(テンプレート!$C848,使用レシピ!$E:$E,0))&lt;&gt;0,INDEX(使用レシピ!I:I,MATCH(テンプレート!$C848,使用レシピ!$E:$E,0)),""),"")</f>
        <v/>
      </c>
      <c r="H848" s="24" t="str">
        <f>IFERROR(IF(INDEX(使用レシピ!J:J,MATCH(テンプレート!$C848,使用レシピ!$E:$E,0))&lt;&gt;0,INDEX(使用レシピ!J:J,MATCH(テンプレート!$C848,使用レシピ!$E:$E,0)),""),"")</f>
        <v/>
      </c>
      <c r="I848" s="36" t="str">
        <f>IFERROR(IF(INDEX(使用レシピ!P:P,MATCH(テンプレート!$C848,使用レシピ!$E:$E,0))&lt;&gt;0,INDEX(使用レシピ!P:P,MATCH(テンプレート!$C848,使用レシピ!$E:$E,0)),""),"")</f>
        <v/>
      </c>
      <c r="J848" t="str">
        <f>IFERROR(IF(INDEX(使用レシピ!K:K,MATCH(テンプレート!$C848,使用レシピ!$E:$E,0))&lt;&gt;0,INDEX(使用レシピ!K:K,MATCH(テンプレート!$C848,使用レシピ!$E:$E,0)),""),"")</f>
        <v/>
      </c>
      <c r="K848" t="str">
        <f>IFERROR(IF(INDEX(使用レシピ!L:L,MATCH(テンプレート!$C848,使用レシピ!$E:$E,0))&lt;&gt;0,INDEX(使用レシピ!L:L,MATCH(テンプレート!$C848,使用レシピ!$E:$E,0)),""),"")</f>
        <v/>
      </c>
      <c r="L848" t="str">
        <f>IFERROR(IF(INDEX(使用レシピ!M:M,MATCH(テンプレート!$C848,使用レシピ!$E:$E,0))&lt;&gt;0,INDEX(使用レシピ!M:M,MATCH(テンプレート!$C848,使用レシピ!$E:$E,0)),""),"")</f>
        <v/>
      </c>
      <c r="M848" t="str">
        <f>IFERROR(IF(INDEX(使用レシピ!N:N,MATCH(テンプレート!$C848,使用レシピ!$E:$E,0))&lt;&gt;0,INDEX(使用レシピ!N:N,MATCH(テンプレート!$C848,使用レシピ!$E:$E,0)),""),"")</f>
        <v/>
      </c>
      <c r="N848" s="24" t="str">
        <f>IFERROR(IF(INDEX(使用レシピ!O:O,MATCH(テンプレート!$C848,使用レシピ!$E:$E,0))&lt;&gt;0,INDEX(使用レシピ!O:O,MATCH(テンプレート!$C848,使用レシピ!$E:$E,0)),""),"")</f>
        <v/>
      </c>
      <c r="O848" s="36" t="str">
        <f>IFERROR(IF(INDEX(使用レシピ!P:P,MATCH(テンプレート!$C848,使用レシピ!$E:$E,0))&lt;&gt;0,INDEX(使用レシピ!P:P,MATCH(テンプレート!$C848,使用レシピ!$E:$E,0)),""),"")</f>
        <v/>
      </c>
      <c r="P848" t="str">
        <f t="shared" si="66"/>
        <v/>
      </c>
      <c r="Q848" t="str">
        <f t="shared" si="67"/>
        <v/>
      </c>
      <c r="R848" t="str">
        <f t="shared" si="68"/>
        <v/>
      </c>
      <c r="S848" t="str">
        <f t="shared" si="69"/>
        <v/>
      </c>
      <c r="T848" s="24" t="str">
        <f t="shared" si="70"/>
        <v/>
      </c>
    </row>
    <row r="849" spans="2:20" x14ac:dyDescent="0.4">
      <c r="B849" s="49" t="str" cm="1">
        <f t="array" ref="B849">IFERROR((INDEX($P$4:$T$1000,MATCH(VALUE(LEFT($A849,LEN($A849)-1)),$A$4:$A$1000,0),VALUE(RIGHT($A849,1)))/ INDEX($O$4:$O$1000,MATCH(VALUE(LEFT($A849,LEN($A849)-1)),$A$4:$A$1000))) * INDEX($B$4:$B$1000,MATCH(VALUE(LEFT($A849,LEN($A849)-1)),$A$4:$A$1000)),"")</f>
        <v/>
      </c>
      <c r="C849" s="2" t="str" cm="1">
        <f t="array" ref="C849">IFERROR(IF(INDEX($D$4:$H$1000,MATCH(VALUE(LEFT($A849,LEN($A849)-1)),$A$4:$A$1000,0),VALUE(RIGHT($A849,1)))= 0,"",INDEX($D$4:$H$1000,MATCH(VALUE(LEFT($A849,LEN($A849)-1)),$A$4:$A$1000,0),VALUE(RIGHT($A849,1)))),"")</f>
        <v/>
      </c>
      <c r="D849" s="23" t="str">
        <f>IFERROR(IF(INDEX(使用レシピ!F:F,MATCH(テンプレート!$C849,使用レシピ!$E:$E,0))&lt;&gt;0,INDEX(使用レシピ!F:F,MATCH(テンプレート!$C849,使用レシピ!$E:$E,0)),""),"")</f>
        <v/>
      </c>
      <c r="E849" t="str">
        <f>IFERROR(IF(INDEX(使用レシピ!G:G,MATCH(テンプレート!$C849,使用レシピ!$E:$E,0))&lt;&gt;0,INDEX(使用レシピ!G:G,MATCH(テンプレート!$C849,使用レシピ!$E:$E,0)),""),"")</f>
        <v/>
      </c>
      <c r="F849" t="str">
        <f>IFERROR(IF(INDEX(使用レシピ!H:H,MATCH(テンプレート!$C849,使用レシピ!$E:$E,0))&lt;&gt;0,INDEX(使用レシピ!H:H,MATCH(テンプレート!$C849,使用レシピ!$E:$E,0)),""),"")</f>
        <v/>
      </c>
      <c r="G849" t="str">
        <f>IFERROR(IF(INDEX(使用レシピ!I:I,MATCH(テンプレート!$C849,使用レシピ!$E:$E,0))&lt;&gt;0,INDEX(使用レシピ!I:I,MATCH(テンプレート!$C849,使用レシピ!$E:$E,0)),""),"")</f>
        <v/>
      </c>
      <c r="H849" s="24" t="str">
        <f>IFERROR(IF(INDEX(使用レシピ!J:J,MATCH(テンプレート!$C849,使用レシピ!$E:$E,0))&lt;&gt;0,INDEX(使用レシピ!J:J,MATCH(テンプレート!$C849,使用レシピ!$E:$E,0)),""),"")</f>
        <v/>
      </c>
      <c r="I849" s="36" t="str">
        <f>IFERROR(IF(INDEX(使用レシピ!P:P,MATCH(テンプレート!$C849,使用レシピ!$E:$E,0))&lt;&gt;0,INDEX(使用レシピ!P:P,MATCH(テンプレート!$C849,使用レシピ!$E:$E,0)),""),"")</f>
        <v/>
      </c>
      <c r="J849" t="str">
        <f>IFERROR(IF(INDEX(使用レシピ!K:K,MATCH(テンプレート!$C849,使用レシピ!$E:$E,0))&lt;&gt;0,INDEX(使用レシピ!K:K,MATCH(テンプレート!$C849,使用レシピ!$E:$E,0)),""),"")</f>
        <v/>
      </c>
      <c r="K849" t="str">
        <f>IFERROR(IF(INDEX(使用レシピ!L:L,MATCH(テンプレート!$C849,使用レシピ!$E:$E,0))&lt;&gt;0,INDEX(使用レシピ!L:L,MATCH(テンプレート!$C849,使用レシピ!$E:$E,0)),""),"")</f>
        <v/>
      </c>
      <c r="L849" t="str">
        <f>IFERROR(IF(INDEX(使用レシピ!M:M,MATCH(テンプレート!$C849,使用レシピ!$E:$E,0))&lt;&gt;0,INDEX(使用レシピ!M:M,MATCH(テンプレート!$C849,使用レシピ!$E:$E,0)),""),"")</f>
        <v/>
      </c>
      <c r="M849" t="str">
        <f>IFERROR(IF(INDEX(使用レシピ!N:N,MATCH(テンプレート!$C849,使用レシピ!$E:$E,0))&lt;&gt;0,INDEX(使用レシピ!N:N,MATCH(テンプレート!$C849,使用レシピ!$E:$E,0)),""),"")</f>
        <v/>
      </c>
      <c r="N849" s="24" t="str">
        <f>IFERROR(IF(INDEX(使用レシピ!O:O,MATCH(テンプレート!$C849,使用レシピ!$E:$E,0))&lt;&gt;0,INDEX(使用レシピ!O:O,MATCH(テンプレート!$C849,使用レシピ!$E:$E,0)),""),"")</f>
        <v/>
      </c>
      <c r="O849" s="36" t="str">
        <f>IFERROR(IF(INDEX(使用レシピ!P:P,MATCH(テンプレート!$C849,使用レシピ!$E:$E,0))&lt;&gt;0,INDEX(使用レシピ!P:P,MATCH(テンプレート!$C849,使用レシピ!$E:$E,0)),""),"")</f>
        <v/>
      </c>
      <c r="P849" t="str">
        <f t="shared" si="66"/>
        <v/>
      </c>
      <c r="Q849" t="str">
        <f t="shared" si="67"/>
        <v/>
      </c>
      <c r="R849" t="str">
        <f t="shared" si="68"/>
        <v/>
      </c>
      <c r="S849" t="str">
        <f t="shared" si="69"/>
        <v/>
      </c>
      <c r="T849" s="24" t="str">
        <f t="shared" si="70"/>
        <v/>
      </c>
    </row>
    <row r="850" spans="2:20" x14ac:dyDescent="0.4">
      <c r="B850" s="49" t="str" cm="1">
        <f t="array" ref="B850">IFERROR((INDEX($P$4:$T$1000,MATCH(VALUE(LEFT($A850,LEN($A850)-1)),$A$4:$A$1000,0),VALUE(RIGHT($A850,1)))/ INDEX($O$4:$O$1000,MATCH(VALUE(LEFT($A850,LEN($A850)-1)),$A$4:$A$1000))) * INDEX($B$4:$B$1000,MATCH(VALUE(LEFT($A850,LEN($A850)-1)),$A$4:$A$1000)),"")</f>
        <v/>
      </c>
      <c r="C850" s="2" t="str" cm="1">
        <f t="array" ref="C850">IFERROR(IF(INDEX($D$4:$H$1000,MATCH(VALUE(LEFT($A850,LEN($A850)-1)),$A$4:$A$1000,0),VALUE(RIGHT($A850,1)))= 0,"",INDEX($D$4:$H$1000,MATCH(VALUE(LEFT($A850,LEN($A850)-1)),$A$4:$A$1000,0),VALUE(RIGHT($A850,1)))),"")</f>
        <v/>
      </c>
      <c r="D850" s="23" t="str">
        <f>IFERROR(IF(INDEX(使用レシピ!F:F,MATCH(テンプレート!$C850,使用レシピ!$E:$E,0))&lt;&gt;0,INDEX(使用レシピ!F:F,MATCH(テンプレート!$C850,使用レシピ!$E:$E,0)),""),"")</f>
        <v/>
      </c>
      <c r="E850" t="str">
        <f>IFERROR(IF(INDEX(使用レシピ!G:G,MATCH(テンプレート!$C850,使用レシピ!$E:$E,0))&lt;&gt;0,INDEX(使用レシピ!G:G,MATCH(テンプレート!$C850,使用レシピ!$E:$E,0)),""),"")</f>
        <v/>
      </c>
      <c r="F850" t="str">
        <f>IFERROR(IF(INDEX(使用レシピ!H:H,MATCH(テンプレート!$C850,使用レシピ!$E:$E,0))&lt;&gt;0,INDEX(使用レシピ!H:H,MATCH(テンプレート!$C850,使用レシピ!$E:$E,0)),""),"")</f>
        <v/>
      </c>
      <c r="G850" t="str">
        <f>IFERROR(IF(INDEX(使用レシピ!I:I,MATCH(テンプレート!$C850,使用レシピ!$E:$E,0))&lt;&gt;0,INDEX(使用レシピ!I:I,MATCH(テンプレート!$C850,使用レシピ!$E:$E,0)),""),"")</f>
        <v/>
      </c>
      <c r="H850" s="24" t="str">
        <f>IFERROR(IF(INDEX(使用レシピ!J:J,MATCH(テンプレート!$C850,使用レシピ!$E:$E,0))&lt;&gt;0,INDEX(使用レシピ!J:J,MATCH(テンプレート!$C850,使用レシピ!$E:$E,0)),""),"")</f>
        <v/>
      </c>
      <c r="I850" s="36" t="str">
        <f>IFERROR(IF(INDEX(使用レシピ!P:P,MATCH(テンプレート!$C850,使用レシピ!$E:$E,0))&lt;&gt;0,INDEX(使用レシピ!P:P,MATCH(テンプレート!$C850,使用レシピ!$E:$E,0)),""),"")</f>
        <v/>
      </c>
      <c r="J850" t="str">
        <f>IFERROR(IF(INDEX(使用レシピ!K:K,MATCH(テンプレート!$C850,使用レシピ!$E:$E,0))&lt;&gt;0,INDEX(使用レシピ!K:K,MATCH(テンプレート!$C850,使用レシピ!$E:$E,0)),""),"")</f>
        <v/>
      </c>
      <c r="K850" t="str">
        <f>IFERROR(IF(INDEX(使用レシピ!L:L,MATCH(テンプレート!$C850,使用レシピ!$E:$E,0))&lt;&gt;0,INDEX(使用レシピ!L:L,MATCH(テンプレート!$C850,使用レシピ!$E:$E,0)),""),"")</f>
        <v/>
      </c>
      <c r="L850" t="str">
        <f>IFERROR(IF(INDEX(使用レシピ!M:M,MATCH(テンプレート!$C850,使用レシピ!$E:$E,0))&lt;&gt;0,INDEX(使用レシピ!M:M,MATCH(テンプレート!$C850,使用レシピ!$E:$E,0)),""),"")</f>
        <v/>
      </c>
      <c r="M850" t="str">
        <f>IFERROR(IF(INDEX(使用レシピ!N:N,MATCH(テンプレート!$C850,使用レシピ!$E:$E,0))&lt;&gt;0,INDEX(使用レシピ!N:N,MATCH(テンプレート!$C850,使用レシピ!$E:$E,0)),""),"")</f>
        <v/>
      </c>
      <c r="N850" s="24" t="str">
        <f>IFERROR(IF(INDEX(使用レシピ!O:O,MATCH(テンプレート!$C850,使用レシピ!$E:$E,0))&lt;&gt;0,INDEX(使用レシピ!O:O,MATCH(テンプレート!$C850,使用レシピ!$E:$E,0)),""),"")</f>
        <v/>
      </c>
      <c r="O850" s="36" t="str">
        <f>IFERROR(IF(INDEX(使用レシピ!P:P,MATCH(テンプレート!$C850,使用レシピ!$E:$E,0))&lt;&gt;0,INDEX(使用レシピ!P:P,MATCH(テンプレート!$C850,使用レシピ!$E:$E,0)),""),"")</f>
        <v/>
      </c>
      <c r="P850" t="str">
        <f t="shared" si="66"/>
        <v/>
      </c>
      <c r="Q850" t="str">
        <f t="shared" si="67"/>
        <v/>
      </c>
      <c r="R850" t="str">
        <f t="shared" si="68"/>
        <v/>
      </c>
      <c r="S850" t="str">
        <f t="shared" si="69"/>
        <v/>
      </c>
      <c r="T850" s="24" t="str">
        <f t="shared" si="70"/>
        <v/>
      </c>
    </row>
    <row r="851" spans="2:20" x14ac:dyDescent="0.4">
      <c r="B851" s="49" t="str" cm="1">
        <f t="array" ref="B851">IFERROR((INDEX($P$4:$T$1000,MATCH(VALUE(LEFT($A851,LEN($A851)-1)),$A$4:$A$1000,0),VALUE(RIGHT($A851,1)))/ INDEX($O$4:$O$1000,MATCH(VALUE(LEFT($A851,LEN($A851)-1)),$A$4:$A$1000))) * INDEX($B$4:$B$1000,MATCH(VALUE(LEFT($A851,LEN($A851)-1)),$A$4:$A$1000)),"")</f>
        <v/>
      </c>
      <c r="C851" s="2" t="str" cm="1">
        <f t="array" ref="C851">IFERROR(IF(INDEX($D$4:$H$1000,MATCH(VALUE(LEFT($A851,LEN($A851)-1)),$A$4:$A$1000,0),VALUE(RIGHT($A851,1)))= 0,"",INDEX($D$4:$H$1000,MATCH(VALUE(LEFT($A851,LEN($A851)-1)),$A$4:$A$1000,0),VALUE(RIGHT($A851,1)))),"")</f>
        <v/>
      </c>
      <c r="D851" s="23" t="str">
        <f>IFERROR(IF(INDEX(使用レシピ!F:F,MATCH(テンプレート!$C851,使用レシピ!$E:$E,0))&lt;&gt;0,INDEX(使用レシピ!F:F,MATCH(テンプレート!$C851,使用レシピ!$E:$E,0)),""),"")</f>
        <v/>
      </c>
      <c r="E851" t="str">
        <f>IFERROR(IF(INDEX(使用レシピ!G:G,MATCH(テンプレート!$C851,使用レシピ!$E:$E,0))&lt;&gt;0,INDEX(使用レシピ!G:G,MATCH(テンプレート!$C851,使用レシピ!$E:$E,0)),""),"")</f>
        <v/>
      </c>
      <c r="F851" t="str">
        <f>IFERROR(IF(INDEX(使用レシピ!H:H,MATCH(テンプレート!$C851,使用レシピ!$E:$E,0))&lt;&gt;0,INDEX(使用レシピ!H:H,MATCH(テンプレート!$C851,使用レシピ!$E:$E,0)),""),"")</f>
        <v/>
      </c>
      <c r="G851" t="str">
        <f>IFERROR(IF(INDEX(使用レシピ!I:I,MATCH(テンプレート!$C851,使用レシピ!$E:$E,0))&lt;&gt;0,INDEX(使用レシピ!I:I,MATCH(テンプレート!$C851,使用レシピ!$E:$E,0)),""),"")</f>
        <v/>
      </c>
      <c r="H851" s="24" t="str">
        <f>IFERROR(IF(INDEX(使用レシピ!J:J,MATCH(テンプレート!$C851,使用レシピ!$E:$E,0))&lt;&gt;0,INDEX(使用レシピ!J:J,MATCH(テンプレート!$C851,使用レシピ!$E:$E,0)),""),"")</f>
        <v/>
      </c>
      <c r="I851" s="36" t="str">
        <f>IFERROR(IF(INDEX(使用レシピ!P:P,MATCH(テンプレート!$C851,使用レシピ!$E:$E,0))&lt;&gt;0,INDEX(使用レシピ!P:P,MATCH(テンプレート!$C851,使用レシピ!$E:$E,0)),""),"")</f>
        <v/>
      </c>
      <c r="J851" t="str">
        <f>IFERROR(IF(INDEX(使用レシピ!K:K,MATCH(テンプレート!$C851,使用レシピ!$E:$E,0))&lt;&gt;0,INDEX(使用レシピ!K:K,MATCH(テンプレート!$C851,使用レシピ!$E:$E,0)),""),"")</f>
        <v/>
      </c>
      <c r="K851" t="str">
        <f>IFERROR(IF(INDEX(使用レシピ!L:L,MATCH(テンプレート!$C851,使用レシピ!$E:$E,0))&lt;&gt;0,INDEX(使用レシピ!L:L,MATCH(テンプレート!$C851,使用レシピ!$E:$E,0)),""),"")</f>
        <v/>
      </c>
      <c r="L851" t="str">
        <f>IFERROR(IF(INDEX(使用レシピ!M:M,MATCH(テンプレート!$C851,使用レシピ!$E:$E,0))&lt;&gt;0,INDEX(使用レシピ!M:M,MATCH(テンプレート!$C851,使用レシピ!$E:$E,0)),""),"")</f>
        <v/>
      </c>
      <c r="M851" t="str">
        <f>IFERROR(IF(INDEX(使用レシピ!N:N,MATCH(テンプレート!$C851,使用レシピ!$E:$E,0))&lt;&gt;0,INDEX(使用レシピ!N:N,MATCH(テンプレート!$C851,使用レシピ!$E:$E,0)),""),"")</f>
        <v/>
      </c>
      <c r="N851" s="24" t="str">
        <f>IFERROR(IF(INDEX(使用レシピ!O:O,MATCH(テンプレート!$C851,使用レシピ!$E:$E,0))&lt;&gt;0,INDEX(使用レシピ!O:O,MATCH(テンプレート!$C851,使用レシピ!$E:$E,0)),""),"")</f>
        <v/>
      </c>
      <c r="O851" s="36" t="str">
        <f>IFERROR(IF(INDEX(使用レシピ!P:P,MATCH(テンプレート!$C851,使用レシピ!$E:$E,0))&lt;&gt;0,INDEX(使用レシピ!P:P,MATCH(テンプレート!$C851,使用レシピ!$E:$E,0)),""),"")</f>
        <v/>
      </c>
      <c r="P851" t="str">
        <f t="shared" si="66"/>
        <v/>
      </c>
      <c r="Q851" t="str">
        <f t="shared" si="67"/>
        <v/>
      </c>
      <c r="R851" t="str">
        <f t="shared" si="68"/>
        <v/>
      </c>
      <c r="S851" t="str">
        <f t="shared" si="69"/>
        <v/>
      </c>
      <c r="T851" s="24" t="str">
        <f t="shared" si="70"/>
        <v/>
      </c>
    </row>
    <row r="852" spans="2:20" x14ac:dyDescent="0.4">
      <c r="B852" s="49" t="str" cm="1">
        <f t="array" ref="B852">IFERROR((INDEX($P$4:$T$1000,MATCH(VALUE(LEFT($A852,LEN($A852)-1)),$A$4:$A$1000,0),VALUE(RIGHT($A852,1)))/ INDEX($O$4:$O$1000,MATCH(VALUE(LEFT($A852,LEN($A852)-1)),$A$4:$A$1000))) * INDEX($B$4:$B$1000,MATCH(VALUE(LEFT($A852,LEN($A852)-1)),$A$4:$A$1000)),"")</f>
        <v/>
      </c>
      <c r="C852" s="2" t="str" cm="1">
        <f t="array" ref="C852">IFERROR(IF(INDEX($D$4:$H$1000,MATCH(VALUE(LEFT($A852,LEN($A852)-1)),$A$4:$A$1000,0),VALUE(RIGHT($A852,1)))= 0,"",INDEX($D$4:$H$1000,MATCH(VALUE(LEFT($A852,LEN($A852)-1)),$A$4:$A$1000,0),VALUE(RIGHT($A852,1)))),"")</f>
        <v/>
      </c>
      <c r="D852" s="23" t="str">
        <f>IFERROR(IF(INDEX(使用レシピ!F:F,MATCH(テンプレート!$C852,使用レシピ!$E:$E,0))&lt;&gt;0,INDEX(使用レシピ!F:F,MATCH(テンプレート!$C852,使用レシピ!$E:$E,0)),""),"")</f>
        <v/>
      </c>
      <c r="E852" t="str">
        <f>IFERROR(IF(INDEX(使用レシピ!G:G,MATCH(テンプレート!$C852,使用レシピ!$E:$E,0))&lt;&gt;0,INDEX(使用レシピ!G:G,MATCH(テンプレート!$C852,使用レシピ!$E:$E,0)),""),"")</f>
        <v/>
      </c>
      <c r="F852" t="str">
        <f>IFERROR(IF(INDEX(使用レシピ!H:H,MATCH(テンプレート!$C852,使用レシピ!$E:$E,0))&lt;&gt;0,INDEX(使用レシピ!H:H,MATCH(テンプレート!$C852,使用レシピ!$E:$E,0)),""),"")</f>
        <v/>
      </c>
      <c r="G852" t="str">
        <f>IFERROR(IF(INDEX(使用レシピ!I:I,MATCH(テンプレート!$C852,使用レシピ!$E:$E,0))&lt;&gt;0,INDEX(使用レシピ!I:I,MATCH(テンプレート!$C852,使用レシピ!$E:$E,0)),""),"")</f>
        <v/>
      </c>
      <c r="H852" s="24" t="str">
        <f>IFERROR(IF(INDEX(使用レシピ!J:J,MATCH(テンプレート!$C852,使用レシピ!$E:$E,0))&lt;&gt;0,INDEX(使用レシピ!J:J,MATCH(テンプレート!$C852,使用レシピ!$E:$E,0)),""),"")</f>
        <v/>
      </c>
      <c r="I852" s="36" t="str">
        <f>IFERROR(IF(INDEX(使用レシピ!P:P,MATCH(テンプレート!$C852,使用レシピ!$E:$E,0))&lt;&gt;0,INDEX(使用レシピ!P:P,MATCH(テンプレート!$C852,使用レシピ!$E:$E,0)),""),"")</f>
        <v/>
      </c>
      <c r="J852" t="str">
        <f>IFERROR(IF(INDEX(使用レシピ!K:K,MATCH(テンプレート!$C852,使用レシピ!$E:$E,0))&lt;&gt;0,INDEX(使用レシピ!K:K,MATCH(テンプレート!$C852,使用レシピ!$E:$E,0)),""),"")</f>
        <v/>
      </c>
      <c r="K852" t="str">
        <f>IFERROR(IF(INDEX(使用レシピ!L:L,MATCH(テンプレート!$C852,使用レシピ!$E:$E,0))&lt;&gt;0,INDEX(使用レシピ!L:L,MATCH(テンプレート!$C852,使用レシピ!$E:$E,0)),""),"")</f>
        <v/>
      </c>
      <c r="L852" t="str">
        <f>IFERROR(IF(INDEX(使用レシピ!M:M,MATCH(テンプレート!$C852,使用レシピ!$E:$E,0))&lt;&gt;0,INDEX(使用レシピ!M:M,MATCH(テンプレート!$C852,使用レシピ!$E:$E,0)),""),"")</f>
        <v/>
      </c>
      <c r="M852" t="str">
        <f>IFERROR(IF(INDEX(使用レシピ!N:N,MATCH(テンプレート!$C852,使用レシピ!$E:$E,0))&lt;&gt;0,INDEX(使用レシピ!N:N,MATCH(テンプレート!$C852,使用レシピ!$E:$E,0)),""),"")</f>
        <v/>
      </c>
      <c r="N852" s="24" t="str">
        <f>IFERROR(IF(INDEX(使用レシピ!O:O,MATCH(テンプレート!$C852,使用レシピ!$E:$E,0))&lt;&gt;0,INDEX(使用レシピ!O:O,MATCH(テンプレート!$C852,使用レシピ!$E:$E,0)),""),"")</f>
        <v/>
      </c>
      <c r="O852" s="36" t="str">
        <f>IFERROR(IF(INDEX(使用レシピ!P:P,MATCH(テンプレート!$C852,使用レシピ!$E:$E,0))&lt;&gt;0,INDEX(使用レシピ!P:P,MATCH(テンプレート!$C852,使用レシピ!$E:$E,0)),""),"")</f>
        <v/>
      </c>
      <c r="P852" t="str">
        <f t="shared" si="66"/>
        <v/>
      </c>
      <c r="Q852" t="str">
        <f t="shared" si="67"/>
        <v/>
      </c>
      <c r="R852" t="str">
        <f t="shared" si="68"/>
        <v/>
      </c>
      <c r="S852" t="str">
        <f t="shared" si="69"/>
        <v/>
      </c>
      <c r="T852" s="24" t="str">
        <f t="shared" si="70"/>
        <v/>
      </c>
    </row>
    <row r="853" spans="2:20" x14ac:dyDescent="0.4">
      <c r="B853" s="49" t="str" cm="1">
        <f t="array" ref="B853">IFERROR((INDEX($P$4:$T$1000,MATCH(VALUE(LEFT($A853,LEN($A853)-1)),$A$4:$A$1000,0),VALUE(RIGHT($A853,1)))/ INDEX($O$4:$O$1000,MATCH(VALUE(LEFT($A853,LEN($A853)-1)),$A$4:$A$1000))) * INDEX($B$4:$B$1000,MATCH(VALUE(LEFT($A853,LEN($A853)-1)),$A$4:$A$1000)),"")</f>
        <v/>
      </c>
      <c r="C853" s="2" t="str" cm="1">
        <f t="array" ref="C853">IFERROR(IF(INDEX($D$4:$H$1000,MATCH(VALUE(LEFT($A853,LEN($A853)-1)),$A$4:$A$1000,0),VALUE(RIGHT($A853,1)))= 0,"",INDEX($D$4:$H$1000,MATCH(VALUE(LEFT($A853,LEN($A853)-1)),$A$4:$A$1000,0),VALUE(RIGHT($A853,1)))),"")</f>
        <v/>
      </c>
      <c r="D853" s="23" t="str">
        <f>IFERROR(IF(INDEX(使用レシピ!F:F,MATCH(テンプレート!$C853,使用レシピ!$E:$E,0))&lt;&gt;0,INDEX(使用レシピ!F:F,MATCH(テンプレート!$C853,使用レシピ!$E:$E,0)),""),"")</f>
        <v/>
      </c>
      <c r="E853" t="str">
        <f>IFERROR(IF(INDEX(使用レシピ!G:G,MATCH(テンプレート!$C853,使用レシピ!$E:$E,0))&lt;&gt;0,INDEX(使用レシピ!G:G,MATCH(テンプレート!$C853,使用レシピ!$E:$E,0)),""),"")</f>
        <v/>
      </c>
      <c r="F853" t="str">
        <f>IFERROR(IF(INDEX(使用レシピ!H:H,MATCH(テンプレート!$C853,使用レシピ!$E:$E,0))&lt;&gt;0,INDEX(使用レシピ!H:H,MATCH(テンプレート!$C853,使用レシピ!$E:$E,0)),""),"")</f>
        <v/>
      </c>
      <c r="G853" t="str">
        <f>IFERROR(IF(INDEX(使用レシピ!I:I,MATCH(テンプレート!$C853,使用レシピ!$E:$E,0))&lt;&gt;0,INDEX(使用レシピ!I:I,MATCH(テンプレート!$C853,使用レシピ!$E:$E,0)),""),"")</f>
        <v/>
      </c>
      <c r="H853" s="24" t="str">
        <f>IFERROR(IF(INDEX(使用レシピ!J:J,MATCH(テンプレート!$C853,使用レシピ!$E:$E,0))&lt;&gt;0,INDEX(使用レシピ!J:J,MATCH(テンプレート!$C853,使用レシピ!$E:$E,0)),""),"")</f>
        <v/>
      </c>
      <c r="I853" s="36" t="str">
        <f>IFERROR(IF(INDEX(使用レシピ!P:P,MATCH(テンプレート!$C853,使用レシピ!$E:$E,0))&lt;&gt;0,INDEX(使用レシピ!P:P,MATCH(テンプレート!$C853,使用レシピ!$E:$E,0)),""),"")</f>
        <v/>
      </c>
      <c r="J853" t="str">
        <f>IFERROR(IF(INDEX(使用レシピ!K:K,MATCH(テンプレート!$C853,使用レシピ!$E:$E,0))&lt;&gt;0,INDEX(使用レシピ!K:K,MATCH(テンプレート!$C853,使用レシピ!$E:$E,0)),""),"")</f>
        <v/>
      </c>
      <c r="K853" t="str">
        <f>IFERROR(IF(INDEX(使用レシピ!L:L,MATCH(テンプレート!$C853,使用レシピ!$E:$E,0))&lt;&gt;0,INDEX(使用レシピ!L:L,MATCH(テンプレート!$C853,使用レシピ!$E:$E,0)),""),"")</f>
        <v/>
      </c>
      <c r="L853" t="str">
        <f>IFERROR(IF(INDEX(使用レシピ!M:M,MATCH(テンプレート!$C853,使用レシピ!$E:$E,0))&lt;&gt;0,INDEX(使用レシピ!M:M,MATCH(テンプレート!$C853,使用レシピ!$E:$E,0)),""),"")</f>
        <v/>
      </c>
      <c r="M853" t="str">
        <f>IFERROR(IF(INDEX(使用レシピ!N:N,MATCH(テンプレート!$C853,使用レシピ!$E:$E,0))&lt;&gt;0,INDEX(使用レシピ!N:N,MATCH(テンプレート!$C853,使用レシピ!$E:$E,0)),""),"")</f>
        <v/>
      </c>
      <c r="N853" s="24" t="str">
        <f>IFERROR(IF(INDEX(使用レシピ!O:O,MATCH(テンプレート!$C853,使用レシピ!$E:$E,0))&lt;&gt;0,INDEX(使用レシピ!O:O,MATCH(テンプレート!$C853,使用レシピ!$E:$E,0)),""),"")</f>
        <v/>
      </c>
      <c r="O853" s="36" t="str">
        <f>IFERROR(IF(INDEX(使用レシピ!P:P,MATCH(テンプレート!$C853,使用レシピ!$E:$E,0))&lt;&gt;0,INDEX(使用レシピ!P:P,MATCH(テンプレート!$C853,使用レシピ!$E:$E,0)),""),"")</f>
        <v/>
      </c>
      <c r="P853" t="str">
        <f t="shared" si="66"/>
        <v/>
      </c>
      <c r="Q853" t="str">
        <f t="shared" si="67"/>
        <v/>
      </c>
      <c r="R853" t="str">
        <f t="shared" si="68"/>
        <v/>
      </c>
      <c r="S853" t="str">
        <f t="shared" si="69"/>
        <v/>
      </c>
      <c r="T853" s="24" t="str">
        <f t="shared" si="70"/>
        <v/>
      </c>
    </row>
    <row r="854" spans="2:20" x14ac:dyDescent="0.4">
      <c r="B854" s="49" t="str" cm="1">
        <f t="array" ref="B854">IFERROR((INDEX($P$4:$T$1000,MATCH(VALUE(LEFT($A854,LEN($A854)-1)),$A$4:$A$1000,0),VALUE(RIGHT($A854,1)))/ INDEX($O$4:$O$1000,MATCH(VALUE(LEFT($A854,LEN($A854)-1)),$A$4:$A$1000))) * INDEX($B$4:$B$1000,MATCH(VALUE(LEFT($A854,LEN($A854)-1)),$A$4:$A$1000)),"")</f>
        <v/>
      </c>
      <c r="C854" s="2" t="str" cm="1">
        <f t="array" ref="C854">IFERROR(IF(INDEX($D$4:$H$1000,MATCH(VALUE(LEFT($A854,LEN($A854)-1)),$A$4:$A$1000,0),VALUE(RIGHT($A854,1)))= 0,"",INDEX($D$4:$H$1000,MATCH(VALUE(LEFT($A854,LEN($A854)-1)),$A$4:$A$1000,0),VALUE(RIGHT($A854,1)))),"")</f>
        <v/>
      </c>
      <c r="D854" s="23" t="str">
        <f>IFERROR(IF(INDEX(使用レシピ!F:F,MATCH(テンプレート!$C854,使用レシピ!$E:$E,0))&lt;&gt;0,INDEX(使用レシピ!F:F,MATCH(テンプレート!$C854,使用レシピ!$E:$E,0)),""),"")</f>
        <v/>
      </c>
      <c r="E854" t="str">
        <f>IFERROR(IF(INDEX(使用レシピ!G:G,MATCH(テンプレート!$C854,使用レシピ!$E:$E,0))&lt;&gt;0,INDEX(使用レシピ!G:G,MATCH(テンプレート!$C854,使用レシピ!$E:$E,0)),""),"")</f>
        <v/>
      </c>
      <c r="F854" t="str">
        <f>IFERROR(IF(INDEX(使用レシピ!H:H,MATCH(テンプレート!$C854,使用レシピ!$E:$E,0))&lt;&gt;0,INDEX(使用レシピ!H:H,MATCH(テンプレート!$C854,使用レシピ!$E:$E,0)),""),"")</f>
        <v/>
      </c>
      <c r="G854" t="str">
        <f>IFERROR(IF(INDEX(使用レシピ!I:I,MATCH(テンプレート!$C854,使用レシピ!$E:$E,0))&lt;&gt;0,INDEX(使用レシピ!I:I,MATCH(テンプレート!$C854,使用レシピ!$E:$E,0)),""),"")</f>
        <v/>
      </c>
      <c r="H854" s="24" t="str">
        <f>IFERROR(IF(INDEX(使用レシピ!J:J,MATCH(テンプレート!$C854,使用レシピ!$E:$E,0))&lt;&gt;0,INDEX(使用レシピ!J:J,MATCH(テンプレート!$C854,使用レシピ!$E:$E,0)),""),"")</f>
        <v/>
      </c>
      <c r="I854" s="36" t="str">
        <f>IFERROR(IF(INDEX(使用レシピ!P:P,MATCH(テンプレート!$C854,使用レシピ!$E:$E,0))&lt;&gt;0,INDEX(使用レシピ!P:P,MATCH(テンプレート!$C854,使用レシピ!$E:$E,0)),""),"")</f>
        <v/>
      </c>
      <c r="J854" t="str">
        <f>IFERROR(IF(INDEX(使用レシピ!K:K,MATCH(テンプレート!$C854,使用レシピ!$E:$E,0))&lt;&gt;0,INDEX(使用レシピ!K:K,MATCH(テンプレート!$C854,使用レシピ!$E:$E,0)),""),"")</f>
        <v/>
      </c>
      <c r="K854" t="str">
        <f>IFERROR(IF(INDEX(使用レシピ!L:L,MATCH(テンプレート!$C854,使用レシピ!$E:$E,0))&lt;&gt;0,INDEX(使用レシピ!L:L,MATCH(テンプレート!$C854,使用レシピ!$E:$E,0)),""),"")</f>
        <v/>
      </c>
      <c r="L854" t="str">
        <f>IFERROR(IF(INDEX(使用レシピ!M:M,MATCH(テンプレート!$C854,使用レシピ!$E:$E,0))&lt;&gt;0,INDEX(使用レシピ!M:M,MATCH(テンプレート!$C854,使用レシピ!$E:$E,0)),""),"")</f>
        <v/>
      </c>
      <c r="M854" t="str">
        <f>IFERROR(IF(INDEX(使用レシピ!N:N,MATCH(テンプレート!$C854,使用レシピ!$E:$E,0))&lt;&gt;0,INDEX(使用レシピ!N:N,MATCH(テンプレート!$C854,使用レシピ!$E:$E,0)),""),"")</f>
        <v/>
      </c>
      <c r="N854" s="24" t="str">
        <f>IFERROR(IF(INDEX(使用レシピ!O:O,MATCH(テンプレート!$C854,使用レシピ!$E:$E,0))&lt;&gt;0,INDEX(使用レシピ!O:O,MATCH(テンプレート!$C854,使用レシピ!$E:$E,0)),""),"")</f>
        <v/>
      </c>
      <c r="O854" s="36" t="str">
        <f>IFERROR(IF(INDEX(使用レシピ!P:P,MATCH(テンプレート!$C854,使用レシピ!$E:$E,0))&lt;&gt;0,INDEX(使用レシピ!P:P,MATCH(テンプレート!$C854,使用レシピ!$E:$E,0)),""),"")</f>
        <v/>
      </c>
      <c r="P854" t="str">
        <f t="shared" si="66"/>
        <v/>
      </c>
      <c r="Q854" t="str">
        <f t="shared" si="67"/>
        <v/>
      </c>
      <c r="R854" t="str">
        <f t="shared" si="68"/>
        <v/>
      </c>
      <c r="S854" t="str">
        <f t="shared" si="69"/>
        <v/>
      </c>
      <c r="T854" s="24" t="str">
        <f t="shared" si="70"/>
        <v/>
      </c>
    </row>
    <row r="855" spans="2:20" x14ac:dyDescent="0.4">
      <c r="B855" s="49" t="str" cm="1">
        <f t="array" ref="B855">IFERROR((INDEX($P$4:$T$1000,MATCH(VALUE(LEFT($A855,LEN($A855)-1)),$A$4:$A$1000,0),VALUE(RIGHT($A855,1)))/ INDEX($O$4:$O$1000,MATCH(VALUE(LEFT($A855,LEN($A855)-1)),$A$4:$A$1000))) * INDEX($B$4:$B$1000,MATCH(VALUE(LEFT($A855,LEN($A855)-1)),$A$4:$A$1000)),"")</f>
        <v/>
      </c>
      <c r="C855" s="2" t="str" cm="1">
        <f t="array" ref="C855">IFERROR(IF(INDEX($D$4:$H$1000,MATCH(VALUE(LEFT($A855,LEN($A855)-1)),$A$4:$A$1000,0),VALUE(RIGHT($A855,1)))= 0,"",INDEX($D$4:$H$1000,MATCH(VALUE(LEFT($A855,LEN($A855)-1)),$A$4:$A$1000,0),VALUE(RIGHT($A855,1)))),"")</f>
        <v/>
      </c>
      <c r="D855" s="23" t="str">
        <f>IFERROR(IF(INDEX(使用レシピ!F:F,MATCH(テンプレート!$C855,使用レシピ!$E:$E,0))&lt;&gt;0,INDEX(使用レシピ!F:F,MATCH(テンプレート!$C855,使用レシピ!$E:$E,0)),""),"")</f>
        <v/>
      </c>
      <c r="E855" t="str">
        <f>IFERROR(IF(INDEX(使用レシピ!G:G,MATCH(テンプレート!$C855,使用レシピ!$E:$E,0))&lt;&gt;0,INDEX(使用レシピ!G:G,MATCH(テンプレート!$C855,使用レシピ!$E:$E,0)),""),"")</f>
        <v/>
      </c>
      <c r="F855" t="str">
        <f>IFERROR(IF(INDEX(使用レシピ!H:H,MATCH(テンプレート!$C855,使用レシピ!$E:$E,0))&lt;&gt;0,INDEX(使用レシピ!H:H,MATCH(テンプレート!$C855,使用レシピ!$E:$E,0)),""),"")</f>
        <v/>
      </c>
      <c r="G855" t="str">
        <f>IFERROR(IF(INDEX(使用レシピ!I:I,MATCH(テンプレート!$C855,使用レシピ!$E:$E,0))&lt;&gt;0,INDEX(使用レシピ!I:I,MATCH(テンプレート!$C855,使用レシピ!$E:$E,0)),""),"")</f>
        <v/>
      </c>
      <c r="H855" s="24" t="str">
        <f>IFERROR(IF(INDEX(使用レシピ!J:J,MATCH(テンプレート!$C855,使用レシピ!$E:$E,0))&lt;&gt;0,INDEX(使用レシピ!J:J,MATCH(テンプレート!$C855,使用レシピ!$E:$E,0)),""),"")</f>
        <v/>
      </c>
      <c r="I855" s="36" t="str">
        <f>IFERROR(IF(INDEX(使用レシピ!P:P,MATCH(テンプレート!$C855,使用レシピ!$E:$E,0))&lt;&gt;0,INDEX(使用レシピ!P:P,MATCH(テンプレート!$C855,使用レシピ!$E:$E,0)),""),"")</f>
        <v/>
      </c>
      <c r="J855" t="str">
        <f>IFERROR(IF(INDEX(使用レシピ!K:K,MATCH(テンプレート!$C855,使用レシピ!$E:$E,0))&lt;&gt;0,INDEX(使用レシピ!K:K,MATCH(テンプレート!$C855,使用レシピ!$E:$E,0)),""),"")</f>
        <v/>
      </c>
      <c r="K855" t="str">
        <f>IFERROR(IF(INDEX(使用レシピ!L:L,MATCH(テンプレート!$C855,使用レシピ!$E:$E,0))&lt;&gt;0,INDEX(使用レシピ!L:L,MATCH(テンプレート!$C855,使用レシピ!$E:$E,0)),""),"")</f>
        <v/>
      </c>
      <c r="L855" t="str">
        <f>IFERROR(IF(INDEX(使用レシピ!M:M,MATCH(テンプレート!$C855,使用レシピ!$E:$E,0))&lt;&gt;0,INDEX(使用レシピ!M:M,MATCH(テンプレート!$C855,使用レシピ!$E:$E,0)),""),"")</f>
        <v/>
      </c>
      <c r="M855" t="str">
        <f>IFERROR(IF(INDEX(使用レシピ!N:N,MATCH(テンプレート!$C855,使用レシピ!$E:$E,0))&lt;&gt;0,INDEX(使用レシピ!N:N,MATCH(テンプレート!$C855,使用レシピ!$E:$E,0)),""),"")</f>
        <v/>
      </c>
      <c r="N855" s="24" t="str">
        <f>IFERROR(IF(INDEX(使用レシピ!O:O,MATCH(テンプレート!$C855,使用レシピ!$E:$E,0))&lt;&gt;0,INDEX(使用レシピ!O:O,MATCH(テンプレート!$C855,使用レシピ!$E:$E,0)),""),"")</f>
        <v/>
      </c>
      <c r="O855" s="36" t="str">
        <f>IFERROR(IF(INDEX(使用レシピ!P:P,MATCH(テンプレート!$C855,使用レシピ!$E:$E,0))&lt;&gt;0,INDEX(使用レシピ!P:P,MATCH(テンプレート!$C855,使用レシピ!$E:$E,0)),""),"")</f>
        <v/>
      </c>
      <c r="P855" t="str">
        <f t="shared" si="66"/>
        <v/>
      </c>
      <c r="Q855" t="str">
        <f t="shared" si="67"/>
        <v/>
      </c>
      <c r="R855" t="str">
        <f t="shared" si="68"/>
        <v/>
      </c>
      <c r="S855" t="str">
        <f t="shared" si="69"/>
        <v/>
      </c>
      <c r="T855" s="24" t="str">
        <f t="shared" si="70"/>
        <v/>
      </c>
    </row>
    <row r="856" spans="2:20" x14ac:dyDescent="0.4">
      <c r="B856" s="49" t="str" cm="1">
        <f t="array" ref="B856">IFERROR((INDEX($P$4:$T$1000,MATCH(VALUE(LEFT($A856,LEN($A856)-1)),$A$4:$A$1000,0),VALUE(RIGHT($A856,1)))/ INDEX($O$4:$O$1000,MATCH(VALUE(LEFT($A856,LEN($A856)-1)),$A$4:$A$1000))) * INDEX($B$4:$B$1000,MATCH(VALUE(LEFT($A856,LEN($A856)-1)),$A$4:$A$1000)),"")</f>
        <v/>
      </c>
      <c r="C856" s="2" t="str" cm="1">
        <f t="array" ref="C856">IFERROR(IF(INDEX($D$4:$H$1000,MATCH(VALUE(LEFT($A856,LEN($A856)-1)),$A$4:$A$1000,0),VALUE(RIGHT($A856,1)))= 0,"",INDEX($D$4:$H$1000,MATCH(VALUE(LEFT($A856,LEN($A856)-1)),$A$4:$A$1000,0),VALUE(RIGHT($A856,1)))),"")</f>
        <v/>
      </c>
      <c r="D856" s="23" t="str">
        <f>IFERROR(IF(INDEX(使用レシピ!F:F,MATCH(テンプレート!$C856,使用レシピ!$E:$E,0))&lt;&gt;0,INDEX(使用レシピ!F:F,MATCH(テンプレート!$C856,使用レシピ!$E:$E,0)),""),"")</f>
        <v/>
      </c>
      <c r="E856" t="str">
        <f>IFERROR(IF(INDEX(使用レシピ!G:G,MATCH(テンプレート!$C856,使用レシピ!$E:$E,0))&lt;&gt;0,INDEX(使用レシピ!G:G,MATCH(テンプレート!$C856,使用レシピ!$E:$E,0)),""),"")</f>
        <v/>
      </c>
      <c r="F856" t="str">
        <f>IFERROR(IF(INDEX(使用レシピ!H:H,MATCH(テンプレート!$C856,使用レシピ!$E:$E,0))&lt;&gt;0,INDEX(使用レシピ!H:H,MATCH(テンプレート!$C856,使用レシピ!$E:$E,0)),""),"")</f>
        <v/>
      </c>
      <c r="G856" t="str">
        <f>IFERROR(IF(INDEX(使用レシピ!I:I,MATCH(テンプレート!$C856,使用レシピ!$E:$E,0))&lt;&gt;0,INDEX(使用レシピ!I:I,MATCH(テンプレート!$C856,使用レシピ!$E:$E,0)),""),"")</f>
        <v/>
      </c>
      <c r="H856" s="24" t="str">
        <f>IFERROR(IF(INDEX(使用レシピ!J:J,MATCH(テンプレート!$C856,使用レシピ!$E:$E,0))&lt;&gt;0,INDEX(使用レシピ!J:J,MATCH(テンプレート!$C856,使用レシピ!$E:$E,0)),""),"")</f>
        <v/>
      </c>
      <c r="I856" s="36" t="str">
        <f>IFERROR(IF(INDEX(使用レシピ!P:P,MATCH(テンプレート!$C856,使用レシピ!$E:$E,0))&lt;&gt;0,INDEX(使用レシピ!P:P,MATCH(テンプレート!$C856,使用レシピ!$E:$E,0)),""),"")</f>
        <v/>
      </c>
      <c r="J856" t="str">
        <f>IFERROR(IF(INDEX(使用レシピ!K:K,MATCH(テンプレート!$C856,使用レシピ!$E:$E,0))&lt;&gt;0,INDEX(使用レシピ!K:K,MATCH(テンプレート!$C856,使用レシピ!$E:$E,0)),""),"")</f>
        <v/>
      </c>
      <c r="K856" t="str">
        <f>IFERROR(IF(INDEX(使用レシピ!L:L,MATCH(テンプレート!$C856,使用レシピ!$E:$E,0))&lt;&gt;0,INDEX(使用レシピ!L:L,MATCH(テンプレート!$C856,使用レシピ!$E:$E,0)),""),"")</f>
        <v/>
      </c>
      <c r="L856" t="str">
        <f>IFERROR(IF(INDEX(使用レシピ!M:M,MATCH(テンプレート!$C856,使用レシピ!$E:$E,0))&lt;&gt;0,INDEX(使用レシピ!M:M,MATCH(テンプレート!$C856,使用レシピ!$E:$E,0)),""),"")</f>
        <v/>
      </c>
      <c r="M856" t="str">
        <f>IFERROR(IF(INDEX(使用レシピ!N:N,MATCH(テンプレート!$C856,使用レシピ!$E:$E,0))&lt;&gt;0,INDEX(使用レシピ!N:N,MATCH(テンプレート!$C856,使用レシピ!$E:$E,0)),""),"")</f>
        <v/>
      </c>
      <c r="N856" s="24" t="str">
        <f>IFERROR(IF(INDEX(使用レシピ!O:O,MATCH(テンプレート!$C856,使用レシピ!$E:$E,0))&lt;&gt;0,INDEX(使用レシピ!O:O,MATCH(テンプレート!$C856,使用レシピ!$E:$E,0)),""),"")</f>
        <v/>
      </c>
      <c r="O856" s="36" t="str">
        <f>IFERROR(IF(INDEX(使用レシピ!P:P,MATCH(テンプレート!$C856,使用レシピ!$E:$E,0))&lt;&gt;0,INDEX(使用レシピ!P:P,MATCH(テンプレート!$C856,使用レシピ!$E:$E,0)),""),"")</f>
        <v/>
      </c>
      <c r="P856" t="str">
        <f t="shared" si="66"/>
        <v/>
      </c>
      <c r="Q856" t="str">
        <f t="shared" si="67"/>
        <v/>
      </c>
      <c r="R856" t="str">
        <f t="shared" si="68"/>
        <v/>
      </c>
      <c r="S856" t="str">
        <f t="shared" si="69"/>
        <v/>
      </c>
      <c r="T856" s="24" t="str">
        <f t="shared" si="70"/>
        <v/>
      </c>
    </row>
    <row r="857" spans="2:20" x14ac:dyDescent="0.4">
      <c r="B857" s="49" t="str" cm="1">
        <f t="array" ref="B857">IFERROR((INDEX($P$4:$T$1000,MATCH(VALUE(LEFT($A857,LEN($A857)-1)),$A$4:$A$1000,0),VALUE(RIGHT($A857,1)))/ INDEX($O$4:$O$1000,MATCH(VALUE(LEFT($A857,LEN($A857)-1)),$A$4:$A$1000))) * INDEX($B$4:$B$1000,MATCH(VALUE(LEFT($A857,LEN($A857)-1)),$A$4:$A$1000)),"")</f>
        <v/>
      </c>
      <c r="C857" s="2" t="str" cm="1">
        <f t="array" ref="C857">IFERROR(IF(INDEX($D$4:$H$1000,MATCH(VALUE(LEFT($A857,LEN($A857)-1)),$A$4:$A$1000,0),VALUE(RIGHT($A857,1)))= 0,"",INDEX($D$4:$H$1000,MATCH(VALUE(LEFT($A857,LEN($A857)-1)),$A$4:$A$1000,0),VALUE(RIGHT($A857,1)))),"")</f>
        <v/>
      </c>
      <c r="D857" s="23" t="str">
        <f>IFERROR(IF(INDEX(使用レシピ!F:F,MATCH(テンプレート!$C857,使用レシピ!$E:$E,0))&lt;&gt;0,INDEX(使用レシピ!F:F,MATCH(テンプレート!$C857,使用レシピ!$E:$E,0)),""),"")</f>
        <v/>
      </c>
      <c r="E857" t="str">
        <f>IFERROR(IF(INDEX(使用レシピ!G:G,MATCH(テンプレート!$C857,使用レシピ!$E:$E,0))&lt;&gt;0,INDEX(使用レシピ!G:G,MATCH(テンプレート!$C857,使用レシピ!$E:$E,0)),""),"")</f>
        <v/>
      </c>
      <c r="F857" t="str">
        <f>IFERROR(IF(INDEX(使用レシピ!H:H,MATCH(テンプレート!$C857,使用レシピ!$E:$E,0))&lt;&gt;0,INDEX(使用レシピ!H:H,MATCH(テンプレート!$C857,使用レシピ!$E:$E,0)),""),"")</f>
        <v/>
      </c>
      <c r="G857" t="str">
        <f>IFERROR(IF(INDEX(使用レシピ!I:I,MATCH(テンプレート!$C857,使用レシピ!$E:$E,0))&lt;&gt;0,INDEX(使用レシピ!I:I,MATCH(テンプレート!$C857,使用レシピ!$E:$E,0)),""),"")</f>
        <v/>
      </c>
      <c r="H857" s="24" t="str">
        <f>IFERROR(IF(INDEX(使用レシピ!J:J,MATCH(テンプレート!$C857,使用レシピ!$E:$E,0))&lt;&gt;0,INDEX(使用レシピ!J:J,MATCH(テンプレート!$C857,使用レシピ!$E:$E,0)),""),"")</f>
        <v/>
      </c>
      <c r="I857" s="36" t="str">
        <f>IFERROR(IF(INDEX(使用レシピ!P:P,MATCH(テンプレート!$C857,使用レシピ!$E:$E,0))&lt;&gt;0,INDEX(使用レシピ!P:P,MATCH(テンプレート!$C857,使用レシピ!$E:$E,0)),""),"")</f>
        <v/>
      </c>
      <c r="J857" t="str">
        <f>IFERROR(IF(INDEX(使用レシピ!K:K,MATCH(テンプレート!$C857,使用レシピ!$E:$E,0))&lt;&gt;0,INDEX(使用レシピ!K:K,MATCH(テンプレート!$C857,使用レシピ!$E:$E,0)),""),"")</f>
        <v/>
      </c>
      <c r="K857" t="str">
        <f>IFERROR(IF(INDEX(使用レシピ!L:L,MATCH(テンプレート!$C857,使用レシピ!$E:$E,0))&lt;&gt;0,INDEX(使用レシピ!L:L,MATCH(テンプレート!$C857,使用レシピ!$E:$E,0)),""),"")</f>
        <v/>
      </c>
      <c r="L857" t="str">
        <f>IFERROR(IF(INDEX(使用レシピ!M:M,MATCH(テンプレート!$C857,使用レシピ!$E:$E,0))&lt;&gt;0,INDEX(使用レシピ!M:M,MATCH(テンプレート!$C857,使用レシピ!$E:$E,0)),""),"")</f>
        <v/>
      </c>
      <c r="M857" t="str">
        <f>IFERROR(IF(INDEX(使用レシピ!N:N,MATCH(テンプレート!$C857,使用レシピ!$E:$E,0))&lt;&gt;0,INDEX(使用レシピ!N:N,MATCH(テンプレート!$C857,使用レシピ!$E:$E,0)),""),"")</f>
        <v/>
      </c>
      <c r="N857" s="24" t="str">
        <f>IFERROR(IF(INDEX(使用レシピ!O:O,MATCH(テンプレート!$C857,使用レシピ!$E:$E,0))&lt;&gt;0,INDEX(使用レシピ!O:O,MATCH(テンプレート!$C857,使用レシピ!$E:$E,0)),""),"")</f>
        <v/>
      </c>
      <c r="O857" s="36" t="str">
        <f>IFERROR(IF(INDEX(使用レシピ!P:P,MATCH(テンプレート!$C857,使用レシピ!$E:$E,0))&lt;&gt;0,INDEX(使用レシピ!P:P,MATCH(テンプレート!$C857,使用レシピ!$E:$E,0)),""),"")</f>
        <v/>
      </c>
      <c r="P857" t="str">
        <f t="shared" si="66"/>
        <v/>
      </c>
      <c r="Q857" t="str">
        <f t="shared" si="67"/>
        <v/>
      </c>
      <c r="R857" t="str">
        <f t="shared" si="68"/>
        <v/>
      </c>
      <c r="S857" t="str">
        <f t="shared" si="69"/>
        <v/>
      </c>
      <c r="T857" s="24" t="str">
        <f t="shared" si="70"/>
        <v/>
      </c>
    </row>
    <row r="858" spans="2:20" x14ac:dyDescent="0.4">
      <c r="B858" s="49" t="str" cm="1">
        <f t="array" ref="B858">IFERROR((INDEX($P$4:$T$1000,MATCH(VALUE(LEFT($A858,LEN($A858)-1)),$A$4:$A$1000,0),VALUE(RIGHT($A858,1)))/ INDEX($O$4:$O$1000,MATCH(VALUE(LEFT($A858,LEN($A858)-1)),$A$4:$A$1000))) * INDEX($B$4:$B$1000,MATCH(VALUE(LEFT($A858,LEN($A858)-1)),$A$4:$A$1000)),"")</f>
        <v/>
      </c>
      <c r="C858" s="2" t="str" cm="1">
        <f t="array" ref="C858">IFERROR(IF(INDEX($D$4:$H$1000,MATCH(VALUE(LEFT($A858,LEN($A858)-1)),$A$4:$A$1000,0),VALUE(RIGHT($A858,1)))= 0,"",INDEX($D$4:$H$1000,MATCH(VALUE(LEFT($A858,LEN($A858)-1)),$A$4:$A$1000,0),VALUE(RIGHT($A858,1)))),"")</f>
        <v/>
      </c>
      <c r="D858" s="23" t="str">
        <f>IFERROR(IF(INDEX(使用レシピ!F:F,MATCH(テンプレート!$C858,使用レシピ!$E:$E,0))&lt;&gt;0,INDEX(使用レシピ!F:F,MATCH(テンプレート!$C858,使用レシピ!$E:$E,0)),""),"")</f>
        <v/>
      </c>
      <c r="E858" t="str">
        <f>IFERROR(IF(INDEX(使用レシピ!G:G,MATCH(テンプレート!$C858,使用レシピ!$E:$E,0))&lt;&gt;0,INDEX(使用レシピ!G:G,MATCH(テンプレート!$C858,使用レシピ!$E:$E,0)),""),"")</f>
        <v/>
      </c>
      <c r="F858" t="str">
        <f>IFERROR(IF(INDEX(使用レシピ!H:H,MATCH(テンプレート!$C858,使用レシピ!$E:$E,0))&lt;&gt;0,INDEX(使用レシピ!H:H,MATCH(テンプレート!$C858,使用レシピ!$E:$E,0)),""),"")</f>
        <v/>
      </c>
      <c r="G858" t="str">
        <f>IFERROR(IF(INDEX(使用レシピ!I:I,MATCH(テンプレート!$C858,使用レシピ!$E:$E,0))&lt;&gt;0,INDEX(使用レシピ!I:I,MATCH(テンプレート!$C858,使用レシピ!$E:$E,0)),""),"")</f>
        <v/>
      </c>
      <c r="H858" s="24" t="str">
        <f>IFERROR(IF(INDEX(使用レシピ!J:J,MATCH(テンプレート!$C858,使用レシピ!$E:$E,0))&lt;&gt;0,INDEX(使用レシピ!J:J,MATCH(テンプレート!$C858,使用レシピ!$E:$E,0)),""),"")</f>
        <v/>
      </c>
      <c r="I858" s="36" t="str">
        <f>IFERROR(IF(INDEX(使用レシピ!P:P,MATCH(テンプレート!$C858,使用レシピ!$E:$E,0))&lt;&gt;0,INDEX(使用レシピ!P:P,MATCH(テンプレート!$C858,使用レシピ!$E:$E,0)),""),"")</f>
        <v/>
      </c>
      <c r="J858" t="str">
        <f>IFERROR(IF(INDEX(使用レシピ!K:K,MATCH(テンプレート!$C858,使用レシピ!$E:$E,0))&lt;&gt;0,INDEX(使用レシピ!K:K,MATCH(テンプレート!$C858,使用レシピ!$E:$E,0)),""),"")</f>
        <v/>
      </c>
      <c r="K858" t="str">
        <f>IFERROR(IF(INDEX(使用レシピ!L:L,MATCH(テンプレート!$C858,使用レシピ!$E:$E,0))&lt;&gt;0,INDEX(使用レシピ!L:L,MATCH(テンプレート!$C858,使用レシピ!$E:$E,0)),""),"")</f>
        <v/>
      </c>
      <c r="L858" t="str">
        <f>IFERROR(IF(INDEX(使用レシピ!M:M,MATCH(テンプレート!$C858,使用レシピ!$E:$E,0))&lt;&gt;0,INDEX(使用レシピ!M:M,MATCH(テンプレート!$C858,使用レシピ!$E:$E,0)),""),"")</f>
        <v/>
      </c>
      <c r="M858" t="str">
        <f>IFERROR(IF(INDEX(使用レシピ!N:N,MATCH(テンプレート!$C858,使用レシピ!$E:$E,0))&lt;&gt;0,INDEX(使用レシピ!N:N,MATCH(テンプレート!$C858,使用レシピ!$E:$E,0)),""),"")</f>
        <v/>
      </c>
      <c r="N858" s="24" t="str">
        <f>IFERROR(IF(INDEX(使用レシピ!O:O,MATCH(テンプレート!$C858,使用レシピ!$E:$E,0))&lt;&gt;0,INDEX(使用レシピ!O:O,MATCH(テンプレート!$C858,使用レシピ!$E:$E,0)),""),"")</f>
        <v/>
      </c>
      <c r="O858" s="36" t="str">
        <f>IFERROR(IF(INDEX(使用レシピ!P:P,MATCH(テンプレート!$C858,使用レシピ!$E:$E,0))&lt;&gt;0,INDEX(使用レシピ!P:P,MATCH(テンプレート!$C858,使用レシピ!$E:$E,0)),""),"")</f>
        <v/>
      </c>
      <c r="P858" t="str">
        <f t="shared" si="66"/>
        <v/>
      </c>
      <c r="Q858" t="str">
        <f t="shared" si="67"/>
        <v/>
      </c>
      <c r="R858" t="str">
        <f t="shared" si="68"/>
        <v/>
      </c>
      <c r="S858" t="str">
        <f t="shared" si="69"/>
        <v/>
      </c>
      <c r="T858" s="24" t="str">
        <f t="shared" si="70"/>
        <v/>
      </c>
    </row>
    <row r="859" spans="2:20" x14ac:dyDescent="0.4">
      <c r="B859" s="49" t="str" cm="1">
        <f t="array" ref="B859">IFERROR((INDEX($P$4:$T$1000,MATCH(VALUE(LEFT($A859,LEN($A859)-1)),$A$4:$A$1000,0),VALUE(RIGHT($A859,1)))/ INDEX($O$4:$O$1000,MATCH(VALUE(LEFT($A859,LEN($A859)-1)),$A$4:$A$1000))) * INDEX($B$4:$B$1000,MATCH(VALUE(LEFT($A859,LEN($A859)-1)),$A$4:$A$1000)),"")</f>
        <v/>
      </c>
      <c r="C859" s="2" t="str" cm="1">
        <f t="array" ref="C859">IFERROR(IF(INDEX($D$4:$H$1000,MATCH(VALUE(LEFT($A859,LEN($A859)-1)),$A$4:$A$1000,0),VALUE(RIGHT($A859,1)))= 0,"",INDEX($D$4:$H$1000,MATCH(VALUE(LEFT($A859,LEN($A859)-1)),$A$4:$A$1000,0),VALUE(RIGHT($A859,1)))),"")</f>
        <v/>
      </c>
      <c r="D859" s="23" t="str">
        <f>IFERROR(IF(INDEX(使用レシピ!F:F,MATCH(テンプレート!$C859,使用レシピ!$E:$E,0))&lt;&gt;0,INDEX(使用レシピ!F:F,MATCH(テンプレート!$C859,使用レシピ!$E:$E,0)),""),"")</f>
        <v/>
      </c>
      <c r="E859" t="str">
        <f>IFERROR(IF(INDEX(使用レシピ!G:G,MATCH(テンプレート!$C859,使用レシピ!$E:$E,0))&lt;&gt;0,INDEX(使用レシピ!G:G,MATCH(テンプレート!$C859,使用レシピ!$E:$E,0)),""),"")</f>
        <v/>
      </c>
      <c r="F859" t="str">
        <f>IFERROR(IF(INDEX(使用レシピ!H:H,MATCH(テンプレート!$C859,使用レシピ!$E:$E,0))&lt;&gt;0,INDEX(使用レシピ!H:H,MATCH(テンプレート!$C859,使用レシピ!$E:$E,0)),""),"")</f>
        <v/>
      </c>
      <c r="G859" t="str">
        <f>IFERROR(IF(INDEX(使用レシピ!I:I,MATCH(テンプレート!$C859,使用レシピ!$E:$E,0))&lt;&gt;0,INDEX(使用レシピ!I:I,MATCH(テンプレート!$C859,使用レシピ!$E:$E,0)),""),"")</f>
        <v/>
      </c>
      <c r="H859" s="24" t="str">
        <f>IFERROR(IF(INDEX(使用レシピ!J:J,MATCH(テンプレート!$C859,使用レシピ!$E:$E,0))&lt;&gt;0,INDEX(使用レシピ!J:J,MATCH(テンプレート!$C859,使用レシピ!$E:$E,0)),""),"")</f>
        <v/>
      </c>
      <c r="I859" s="36" t="str">
        <f>IFERROR(IF(INDEX(使用レシピ!P:P,MATCH(テンプレート!$C859,使用レシピ!$E:$E,0))&lt;&gt;0,INDEX(使用レシピ!P:P,MATCH(テンプレート!$C859,使用レシピ!$E:$E,0)),""),"")</f>
        <v/>
      </c>
      <c r="J859" t="str">
        <f>IFERROR(IF(INDEX(使用レシピ!K:K,MATCH(テンプレート!$C859,使用レシピ!$E:$E,0))&lt;&gt;0,INDEX(使用レシピ!K:K,MATCH(テンプレート!$C859,使用レシピ!$E:$E,0)),""),"")</f>
        <v/>
      </c>
      <c r="K859" t="str">
        <f>IFERROR(IF(INDEX(使用レシピ!L:L,MATCH(テンプレート!$C859,使用レシピ!$E:$E,0))&lt;&gt;0,INDEX(使用レシピ!L:L,MATCH(テンプレート!$C859,使用レシピ!$E:$E,0)),""),"")</f>
        <v/>
      </c>
      <c r="L859" t="str">
        <f>IFERROR(IF(INDEX(使用レシピ!M:M,MATCH(テンプレート!$C859,使用レシピ!$E:$E,0))&lt;&gt;0,INDEX(使用レシピ!M:M,MATCH(テンプレート!$C859,使用レシピ!$E:$E,0)),""),"")</f>
        <v/>
      </c>
      <c r="M859" t="str">
        <f>IFERROR(IF(INDEX(使用レシピ!N:N,MATCH(テンプレート!$C859,使用レシピ!$E:$E,0))&lt;&gt;0,INDEX(使用レシピ!N:N,MATCH(テンプレート!$C859,使用レシピ!$E:$E,0)),""),"")</f>
        <v/>
      </c>
      <c r="N859" s="24" t="str">
        <f>IFERROR(IF(INDEX(使用レシピ!O:O,MATCH(テンプレート!$C859,使用レシピ!$E:$E,0))&lt;&gt;0,INDEX(使用レシピ!O:O,MATCH(テンプレート!$C859,使用レシピ!$E:$E,0)),""),"")</f>
        <v/>
      </c>
      <c r="O859" s="36" t="str">
        <f>IFERROR(IF(INDEX(使用レシピ!P:P,MATCH(テンプレート!$C859,使用レシピ!$E:$E,0))&lt;&gt;0,INDEX(使用レシピ!P:P,MATCH(テンプレート!$C859,使用レシピ!$E:$E,0)),""),"")</f>
        <v/>
      </c>
      <c r="P859" t="str">
        <f t="shared" si="66"/>
        <v/>
      </c>
      <c r="Q859" t="str">
        <f t="shared" si="67"/>
        <v/>
      </c>
      <c r="R859" t="str">
        <f t="shared" si="68"/>
        <v/>
      </c>
      <c r="S859" t="str">
        <f t="shared" si="69"/>
        <v/>
      </c>
      <c r="T859" s="24" t="str">
        <f t="shared" si="70"/>
        <v/>
      </c>
    </row>
    <row r="860" spans="2:20" x14ac:dyDescent="0.4">
      <c r="B860" s="49" t="str" cm="1">
        <f t="array" ref="B860">IFERROR((INDEX($P$4:$T$1000,MATCH(VALUE(LEFT($A860,LEN($A860)-1)),$A$4:$A$1000,0),VALUE(RIGHT($A860,1)))/ INDEX($O$4:$O$1000,MATCH(VALUE(LEFT($A860,LEN($A860)-1)),$A$4:$A$1000))) * INDEX($B$4:$B$1000,MATCH(VALUE(LEFT($A860,LEN($A860)-1)),$A$4:$A$1000)),"")</f>
        <v/>
      </c>
      <c r="C860" s="2" t="str" cm="1">
        <f t="array" ref="C860">IFERROR(IF(INDEX($D$4:$H$1000,MATCH(VALUE(LEFT($A860,LEN($A860)-1)),$A$4:$A$1000,0),VALUE(RIGHT($A860,1)))= 0,"",INDEX($D$4:$H$1000,MATCH(VALUE(LEFT($A860,LEN($A860)-1)),$A$4:$A$1000,0),VALUE(RIGHT($A860,1)))),"")</f>
        <v/>
      </c>
      <c r="D860" s="23" t="str">
        <f>IFERROR(IF(INDEX(使用レシピ!F:F,MATCH(テンプレート!$C860,使用レシピ!$E:$E,0))&lt;&gt;0,INDEX(使用レシピ!F:F,MATCH(テンプレート!$C860,使用レシピ!$E:$E,0)),""),"")</f>
        <v/>
      </c>
      <c r="E860" t="str">
        <f>IFERROR(IF(INDEX(使用レシピ!G:G,MATCH(テンプレート!$C860,使用レシピ!$E:$E,0))&lt;&gt;0,INDEX(使用レシピ!G:G,MATCH(テンプレート!$C860,使用レシピ!$E:$E,0)),""),"")</f>
        <v/>
      </c>
      <c r="F860" t="str">
        <f>IFERROR(IF(INDEX(使用レシピ!H:H,MATCH(テンプレート!$C860,使用レシピ!$E:$E,0))&lt;&gt;0,INDEX(使用レシピ!H:H,MATCH(テンプレート!$C860,使用レシピ!$E:$E,0)),""),"")</f>
        <v/>
      </c>
      <c r="G860" t="str">
        <f>IFERROR(IF(INDEX(使用レシピ!I:I,MATCH(テンプレート!$C860,使用レシピ!$E:$E,0))&lt;&gt;0,INDEX(使用レシピ!I:I,MATCH(テンプレート!$C860,使用レシピ!$E:$E,0)),""),"")</f>
        <v/>
      </c>
      <c r="H860" s="24" t="str">
        <f>IFERROR(IF(INDEX(使用レシピ!J:J,MATCH(テンプレート!$C860,使用レシピ!$E:$E,0))&lt;&gt;0,INDEX(使用レシピ!J:J,MATCH(テンプレート!$C860,使用レシピ!$E:$E,0)),""),"")</f>
        <v/>
      </c>
      <c r="I860" s="36" t="str">
        <f>IFERROR(IF(INDEX(使用レシピ!P:P,MATCH(テンプレート!$C860,使用レシピ!$E:$E,0))&lt;&gt;0,INDEX(使用レシピ!P:P,MATCH(テンプレート!$C860,使用レシピ!$E:$E,0)),""),"")</f>
        <v/>
      </c>
      <c r="J860" t="str">
        <f>IFERROR(IF(INDEX(使用レシピ!K:K,MATCH(テンプレート!$C860,使用レシピ!$E:$E,0))&lt;&gt;0,INDEX(使用レシピ!K:K,MATCH(テンプレート!$C860,使用レシピ!$E:$E,0)),""),"")</f>
        <v/>
      </c>
      <c r="K860" t="str">
        <f>IFERROR(IF(INDEX(使用レシピ!L:L,MATCH(テンプレート!$C860,使用レシピ!$E:$E,0))&lt;&gt;0,INDEX(使用レシピ!L:L,MATCH(テンプレート!$C860,使用レシピ!$E:$E,0)),""),"")</f>
        <v/>
      </c>
      <c r="L860" t="str">
        <f>IFERROR(IF(INDEX(使用レシピ!M:M,MATCH(テンプレート!$C860,使用レシピ!$E:$E,0))&lt;&gt;0,INDEX(使用レシピ!M:M,MATCH(テンプレート!$C860,使用レシピ!$E:$E,0)),""),"")</f>
        <v/>
      </c>
      <c r="M860" t="str">
        <f>IFERROR(IF(INDEX(使用レシピ!N:N,MATCH(テンプレート!$C860,使用レシピ!$E:$E,0))&lt;&gt;0,INDEX(使用レシピ!N:N,MATCH(テンプレート!$C860,使用レシピ!$E:$E,0)),""),"")</f>
        <v/>
      </c>
      <c r="N860" s="24" t="str">
        <f>IFERROR(IF(INDEX(使用レシピ!O:O,MATCH(テンプレート!$C860,使用レシピ!$E:$E,0))&lt;&gt;0,INDEX(使用レシピ!O:O,MATCH(テンプレート!$C860,使用レシピ!$E:$E,0)),""),"")</f>
        <v/>
      </c>
      <c r="O860" s="36" t="str">
        <f>IFERROR(IF(INDEX(使用レシピ!P:P,MATCH(テンプレート!$C860,使用レシピ!$E:$E,0))&lt;&gt;0,INDEX(使用レシピ!P:P,MATCH(テンプレート!$C860,使用レシピ!$E:$E,0)),""),"")</f>
        <v/>
      </c>
      <c r="P860" t="str">
        <f t="shared" si="66"/>
        <v/>
      </c>
      <c r="Q860" t="str">
        <f t="shared" si="67"/>
        <v/>
      </c>
      <c r="R860" t="str">
        <f t="shared" si="68"/>
        <v/>
      </c>
      <c r="S860" t="str">
        <f t="shared" si="69"/>
        <v/>
      </c>
      <c r="T860" s="24" t="str">
        <f t="shared" si="70"/>
        <v/>
      </c>
    </row>
    <row r="861" spans="2:20" x14ac:dyDescent="0.4">
      <c r="B861" s="49" t="str" cm="1">
        <f t="array" ref="B861">IFERROR((INDEX($P$4:$T$1000,MATCH(VALUE(LEFT($A861,LEN($A861)-1)),$A$4:$A$1000,0),VALUE(RIGHT($A861,1)))/ INDEX($O$4:$O$1000,MATCH(VALUE(LEFT($A861,LEN($A861)-1)),$A$4:$A$1000))) * INDEX($B$4:$B$1000,MATCH(VALUE(LEFT($A861,LEN($A861)-1)),$A$4:$A$1000)),"")</f>
        <v/>
      </c>
      <c r="C861" s="2" t="str" cm="1">
        <f t="array" ref="C861">IFERROR(IF(INDEX($D$4:$H$1000,MATCH(VALUE(LEFT($A861,LEN($A861)-1)),$A$4:$A$1000,0),VALUE(RIGHT($A861,1)))= 0,"",INDEX($D$4:$H$1000,MATCH(VALUE(LEFT($A861,LEN($A861)-1)),$A$4:$A$1000,0),VALUE(RIGHT($A861,1)))),"")</f>
        <v/>
      </c>
      <c r="D861" s="23" t="str">
        <f>IFERROR(IF(INDEX(使用レシピ!F:F,MATCH(テンプレート!$C861,使用レシピ!$E:$E,0))&lt;&gt;0,INDEX(使用レシピ!F:F,MATCH(テンプレート!$C861,使用レシピ!$E:$E,0)),""),"")</f>
        <v/>
      </c>
      <c r="E861" t="str">
        <f>IFERROR(IF(INDEX(使用レシピ!G:G,MATCH(テンプレート!$C861,使用レシピ!$E:$E,0))&lt;&gt;0,INDEX(使用レシピ!G:G,MATCH(テンプレート!$C861,使用レシピ!$E:$E,0)),""),"")</f>
        <v/>
      </c>
      <c r="F861" t="str">
        <f>IFERROR(IF(INDEX(使用レシピ!H:H,MATCH(テンプレート!$C861,使用レシピ!$E:$E,0))&lt;&gt;0,INDEX(使用レシピ!H:H,MATCH(テンプレート!$C861,使用レシピ!$E:$E,0)),""),"")</f>
        <v/>
      </c>
      <c r="G861" t="str">
        <f>IFERROR(IF(INDEX(使用レシピ!I:I,MATCH(テンプレート!$C861,使用レシピ!$E:$E,0))&lt;&gt;0,INDEX(使用レシピ!I:I,MATCH(テンプレート!$C861,使用レシピ!$E:$E,0)),""),"")</f>
        <v/>
      </c>
      <c r="H861" s="24" t="str">
        <f>IFERROR(IF(INDEX(使用レシピ!J:J,MATCH(テンプレート!$C861,使用レシピ!$E:$E,0))&lt;&gt;0,INDEX(使用レシピ!J:J,MATCH(テンプレート!$C861,使用レシピ!$E:$E,0)),""),"")</f>
        <v/>
      </c>
      <c r="I861" s="36" t="str">
        <f>IFERROR(IF(INDEX(使用レシピ!P:P,MATCH(テンプレート!$C861,使用レシピ!$E:$E,0))&lt;&gt;0,INDEX(使用レシピ!P:P,MATCH(テンプレート!$C861,使用レシピ!$E:$E,0)),""),"")</f>
        <v/>
      </c>
      <c r="J861" t="str">
        <f>IFERROR(IF(INDEX(使用レシピ!K:K,MATCH(テンプレート!$C861,使用レシピ!$E:$E,0))&lt;&gt;0,INDEX(使用レシピ!K:K,MATCH(テンプレート!$C861,使用レシピ!$E:$E,0)),""),"")</f>
        <v/>
      </c>
      <c r="K861" t="str">
        <f>IFERROR(IF(INDEX(使用レシピ!L:L,MATCH(テンプレート!$C861,使用レシピ!$E:$E,0))&lt;&gt;0,INDEX(使用レシピ!L:L,MATCH(テンプレート!$C861,使用レシピ!$E:$E,0)),""),"")</f>
        <v/>
      </c>
      <c r="L861" t="str">
        <f>IFERROR(IF(INDEX(使用レシピ!M:M,MATCH(テンプレート!$C861,使用レシピ!$E:$E,0))&lt;&gt;0,INDEX(使用レシピ!M:M,MATCH(テンプレート!$C861,使用レシピ!$E:$E,0)),""),"")</f>
        <v/>
      </c>
      <c r="M861" t="str">
        <f>IFERROR(IF(INDEX(使用レシピ!N:N,MATCH(テンプレート!$C861,使用レシピ!$E:$E,0))&lt;&gt;0,INDEX(使用レシピ!N:N,MATCH(テンプレート!$C861,使用レシピ!$E:$E,0)),""),"")</f>
        <v/>
      </c>
      <c r="N861" s="24" t="str">
        <f>IFERROR(IF(INDEX(使用レシピ!O:O,MATCH(テンプレート!$C861,使用レシピ!$E:$E,0))&lt;&gt;0,INDEX(使用レシピ!O:O,MATCH(テンプレート!$C861,使用レシピ!$E:$E,0)),""),"")</f>
        <v/>
      </c>
      <c r="O861" s="36" t="str">
        <f>IFERROR(IF(INDEX(使用レシピ!P:P,MATCH(テンプレート!$C861,使用レシピ!$E:$E,0))&lt;&gt;0,INDEX(使用レシピ!P:P,MATCH(テンプレート!$C861,使用レシピ!$E:$E,0)),""),"")</f>
        <v/>
      </c>
      <c r="P861" t="str">
        <f t="shared" si="66"/>
        <v/>
      </c>
      <c r="Q861" t="str">
        <f t="shared" si="67"/>
        <v/>
      </c>
      <c r="R861" t="str">
        <f t="shared" si="68"/>
        <v/>
      </c>
      <c r="S861" t="str">
        <f t="shared" si="69"/>
        <v/>
      </c>
      <c r="T861" s="24" t="str">
        <f t="shared" si="70"/>
        <v/>
      </c>
    </row>
    <row r="862" spans="2:20" x14ac:dyDescent="0.4">
      <c r="B862" s="49" t="str" cm="1">
        <f t="array" ref="B862">IFERROR((INDEX($P$4:$T$1000,MATCH(VALUE(LEFT($A862,LEN($A862)-1)),$A$4:$A$1000,0),VALUE(RIGHT($A862,1)))/ INDEX($O$4:$O$1000,MATCH(VALUE(LEFT($A862,LEN($A862)-1)),$A$4:$A$1000))) * INDEX($B$4:$B$1000,MATCH(VALUE(LEFT($A862,LEN($A862)-1)),$A$4:$A$1000)),"")</f>
        <v/>
      </c>
      <c r="C862" s="2" t="str" cm="1">
        <f t="array" ref="C862">IFERROR(IF(INDEX($D$4:$H$1000,MATCH(VALUE(LEFT($A862,LEN($A862)-1)),$A$4:$A$1000,0),VALUE(RIGHT($A862,1)))= 0,"",INDEX($D$4:$H$1000,MATCH(VALUE(LEFT($A862,LEN($A862)-1)),$A$4:$A$1000,0),VALUE(RIGHT($A862,1)))),"")</f>
        <v/>
      </c>
      <c r="D862" s="23" t="str">
        <f>IFERROR(IF(INDEX(使用レシピ!F:F,MATCH(テンプレート!$C862,使用レシピ!$E:$E,0))&lt;&gt;0,INDEX(使用レシピ!F:F,MATCH(テンプレート!$C862,使用レシピ!$E:$E,0)),""),"")</f>
        <v/>
      </c>
      <c r="E862" t="str">
        <f>IFERROR(IF(INDEX(使用レシピ!G:G,MATCH(テンプレート!$C862,使用レシピ!$E:$E,0))&lt;&gt;0,INDEX(使用レシピ!G:G,MATCH(テンプレート!$C862,使用レシピ!$E:$E,0)),""),"")</f>
        <v/>
      </c>
      <c r="F862" t="str">
        <f>IFERROR(IF(INDEX(使用レシピ!H:H,MATCH(テンプレート!$C862,使用レシピ!$E:$E,0))&lt;&gt;0,INDEX(使用レシピ!H:H,MATCH(テンプレート!$C862,使用レシピ!$E:$E,0)),""),"")</f>
        <v/>
      </c>
      <c r="G862" t="str">
        <f>IFERROR(IF(INDEX(使用レシピ!I:I,MATCH(テンプレート!$C862,使用レシピ!$E:$E,0))&lt;&gt;0,INDEX(使用レシピ!I:I,MATCH(テンプレート!$C862,使用レシピ!$E:$E,0)),""),"")</f>
        <v/>
      </c>
      <c r="H862" s="24" t="str">
        <f>IFERROR(IF(INDEX(使用レシピ!J:J,MATCH(テンプレート!$C862,使用レシピ!$E:$E,0))&lt;&gt;0,INDEX(使用レシピ!J:J,MATCH(テンプレート!$C862,使用レシピ!$E:$E,0)),""),"")</f>
        <v/>
      </c>
      <c r="I862" s="36" t="str">
        <f>IFERROR(IF(INDEX(使用レシピ!P:P,MATCH(テンプレート!$C862,使用レシピ!$E:$E,0))&lt;&gt;0,INDEX(使用レシピ!P:P,MATCH(テンプレート!$C862,使用レシピ!$E:$E,0)),""),"")</f>
        <v/>
      </c>
      <c r="J862" t="str">
        <f>IFERROR(IF(INDEX(使用レシピ!K:K,MATCH(テンプレート!$C862,使用レシピ!$E:$E,0))&lt;&gt;0,INDEX(使用レシピ!K:K,MATCH(テンプレート!$C862,使用レシピ!$E:$E,0)),""),"")</f>
        <v/>
      </c>
      <c r="K862" t="str">
        <f>IFERROR(IF(INDEX(使用レシピ!L:L,MATCH(テンプレート!$C862,使用レシピ!$E:$E,0))&lt;&gt;0,INDEX(使用レシピ!L:L,MATCH(テンプレート!$C862,使用レシピ!$E:$E,0)),""),"")</f>
        <v/>
      </c>
      <c r="L862" t="str">
        <f>IFERROR(IF(INDEX(使用レシピ!M:M,MATCH(テンプレート!$C862,使用レシピ!$E:$E,0))&lt;&gt;0,INDEX(使用レシピ!M:M,MATCH(テンプレート!$C862,使用レシピ!$E:$E,0)),""),"")</f>
        <v/>
      </c>
      <c r="M862" t="str">
        <f>IFERROR(IF(INDEX(使用レシピ!N:N,MATCH(テンプレート!$C862,使用レシピ!$E:$E,0))&lt;&gt;0,INDEX(使用レシピ!N:N,MATCH(テンプレート!$C862,使用レシピ!$E:$E,0)),""),"")</f>
        <v/>
      </c>
      <c r="N862" s="24" t="str">
        <f>IFERROR(IF(INDEX(使用レシピ!O:O,MATCH(テンプレート!$C862,使用レシピ!$E:$E,0))&lt;&gt;0,INDEX(使用レシピ!O:O,MATCH(テンプレート!$C862,使用レシピ!$E:$E,0)),""),"")</f>
        <v/>
      </c>
      <c r="O862" s="36" t="str">
        <f>IFERROR(IF(INDEX(使用レシピ!P:P,MATCH(テンプレート!$C862,使用レシピ!$E:$E,0))&lt;&gt;0,INDEX(使用レシピ!P:P,MATCH(テンプレート!$C862,使用レシピ!$E:$E,0)),""),"")</f>
        <v/>
      </c>
      <c r="P862" t="str">
        <f t="shared" si="66"/>
        <v/>
      </c>
      <c r="Q862" t="str">
        <f t="shared" si="67"/>
        <v/>
      </c>
      <c r="R862" t="str">
        <f t="shared" si="68"/>
        <v/>
      </c>
      <c r="S862" t="str">
        <f t="shared" si="69"/>
        <v/>
      </c>
      <c r="T862" s="24" t="str">
        <f t="shared" si="70"/>
        <v/>
      </c>
    </row>
    <row r="863" spans="2:20" x14ac:dyDescent="0.4">
      <c r="B863" s="49" t="str" cm="1">
        <f t="array" ref="B863">IFERROR((INDEX($P$4:$T$1000,MATCH(VALUE(LEFT($A863,LEN($A863)-1)),$A$4:$A$1000,0),VALUE(RIGHT($A863,1)))/ INDEX($O$4:$O$1000,MATCH(VALUE(LEFT($A863,LEN($A863)-1)),$A$4:$A$1000))) * INDEX($B$4:$B$1000,MATCH(VALUE(LEFT($A863,LEN($A863)-1)),$A$4:$A$1000)),"")</f>
        <v/>
      </c>
      <c r="C863" s="2" t="str" cm="1">
        <f t="array" ref="C863">IFERROR(IF(INDEX($D$4:$H$1000,MATCH(VALUE(LEFT($A863,LEN($A863)-1)),$A$4:$A$1000,0),VALUE(RIGHT($A863,1)))= 0,"",INDEX($D$4:$H$1000,MATCH(VALUE(LEFT($A863,LEN($A863)-1)),$A$4:$A$1000,0),VALUE(RIGHT($A863,1)))),"")</f>
        <v/>
      </c>
      <c r="D863" s="23" t="str">
        <f>IFERROR(IF(INDEX(使用レシピ!F:F,MATCH(テンプレート!$C863,使用レシピ!$E:$E,0))&lt;&gt;0,INDEX(使用レシピ!F:F,MATCH(テンプレート!$C863,使用レシピ!$E:$E,0)),""),"")</f>
        <v/>
      </c>
      <c r="E863" t="str">
        <f>IFERROR(IF(INDEX(使用レシピ!G:G,MATCH(テンプレート!$C863,使用レシピ!$E:$E,0))&lt;&gt;0,INDEX(使用レシピ!G:G,MATCH(テンプレート!$C863,使用レシピ!$E:$E,0)),""),"")</f>
        <v/>
      </c>
      <c r="F863" t="str">
        <f>IFERROR(IF(INDEX(使用レシピ!H:H,MATCH(テンプレート!$C863,使用レシピ!$E:$E,0))&lt;&gt;0,INDEX(使用レシピ!H:H,MATCH(テンプレート!$C863,使用レシピ!$E:$E,0)),""),"")</f>
        <v/>
      </c>
      <c r="G863" t="str">
        <f>IFERROR(IF(INDEX(使用レシピ!I:I,MATCH(テンプレート!$C863,使用レシピ!$E:$E,0))&lt;&gt;0,INDEX(使用レシピ!I:I,MATCH(テンプレート!$C863,使用レシピ!$E:$E,0)),""),"")</f>
        <v/>
      </c>
      <c r="H863" s="24" t="str">
        <f>IFERROR(IF(INDEX(使用レシピ!J:J,MATCH(テンプレート!$C863,使用レシピ!$E:$E,0))&lt;&gt;0,INDEX(使用レシピ!J:J,MATCH(テンプレート!$C863,使用レシピ!$E:$E,0)),""),"")</f>
        <v/>
      </c>
      <c r="I863" s="36" t="str">
        <f>IFERROR(IF(INDEX(使用レシピ!P:P,MATCH(テンプレート!$C863,使用レシピ!$E:$E,0))&lt;&gt;0,INDEX(使用レシピ!P:P,MATCH(テンプレート!$C863,使用レシピ!$E:$E,0)),""),"")</f>
        <v/>
      </c>
      <c r="J863" t="str">
        <f>IFERROR(IF(INDEX(使用レシピ!K:K,MATCH(テンプレート!$C863,使用レシピ!$E:$E,0))&lt;&gt;0,INDEX(使用レシピ!K:K,MATCH(テンプレート!$C863,使用レシピ!$E:$E,0)),""),"")</f>
        <v/>
      </c>
      <c r="K863" t="str">
        <f>IFERROR(IF(INDEX(使用レシピ!L:L,MATCH(テンプレート!$C863,使用レシピ!$E:$E,0))&lt;&gt;0,INDEX(使用レシピ!L:L,MATCH(テンプレート!$C863,使用レシピ!$E:$E,0)),""),"")</f>
        <v/>
      </c>
      <c r="L863" t="str">
        <f>IFERROR(IF(INDEX(使用レシピ!M:M,MATCH(テンプレート!$C863,使用レシピ!$E:$E,0))&lt;&gt;0,INDEX(使用レシピ!M:M,MATCH(テンプレート!$C863,使用レシピ!$E:$E,0)),""),"")</f>
        <v/>
      </c>
      <c r="M863" t="str">
        <f>IFERROR(IF(INDEX(使用レシピ!N:N,MATCH(テンプレート!$C863,使用レシピ!$E:$E,0))&lt;&gt;0,INDEX(使用レシピ!N:N,MATCH(テンプレート!$C863,使用レシピ!$E:$E,0)),""),"")</f>
        <v/>
      </c>
      <c r="N863" s="24" t="str">
        <f>IFERROR(IF(INDEX(使用レシピ!O:O,MATCH(テンプレート!$C863,使用レシピ!$E:$E,0))&lt;&gt;0,INDEX(使用レシピ!O:O,MATCH(テンプレート!$C863,使用レシピ!$E:$E,0)),""),"")</f>
        <v/>
      </c>
      <c r="O863" s="36" t="str">
        <f>IFERROR(IF(INDEX(使用レシピ!P:P,MATCH(テンプレート!$C863,使用レシピ!$E:$E,0))&lt;&gt;0,INDEX(使用レシピ!P:P,MATCH(テンプレート!$C863,使用レシピ!$E:$E,0)),""),"")</f>
        <v/>
      </c>
      <c r="P863" t="str">
        <f t="shared" si="66"/>
        <v/>
      </c>
      <c r="Q863" t="str">
        <f t="shared" si="67"/>
        <v/>
      </c>
      <c r="R863" t="str">
        <f t="shared" si="68"/>
        <v/>
      </c>
      <c r="S863" t="str">
        <f t="shared" si="69"/>
        <v/>
      </c>
      <c r="T863" s="24" t="str">
        <f t="shared" si="70"/>
        <v/>
      </c>
    </row>
    <row r="864" spans="2:20" x14ac:dyDescent="0.4">
      <c r="B864" s="49" t="str" cm="1">
        <f t="array" ref="B864">IFERROR((INDEX($P$4:$T$1000,MATCH(VALUE(LEFT($A864,LEN($A864)-1)),$A$4:$A$1000,0),VALUE(RIGHT($A864,1)))/ INDEX($O$4:$O$1000,MATCH(VALUE(LEFT($A864,LEN($A864)-1)),$A$4:$A$1000))) * INDEX($B$4:$B$1000,MATCH(VALUE(LEFT($A864,LEN($A864)-1)),$A$4:$A$1000)),"")</f>
        <v/>
      </c>
      <c r="C864" s="2" t="str" cm="1">
        <f t="array" ref="C864">IFERROR(IF(INDEX($D$4:$H$1000,MATCH(VALUE(LEFT($A864,LEN($A864)-1)),$A$4:$A$1000,0),VALUE(RIGHT($A864,1)))= 0,"",INDEX($D$4:$H$1000,MATCH(VALUE(LEFT($A864,LEN($A864)-1)),$A$4:$A$1000,0),VALUE(RIGHT($A864,1)))),"")</f>
        <v/>
      </c>
      <c r="D864" s="23" t="str">
        <f>IFERROR(IF(INDEX(使用レシピ!F:F,MATCH(テンプレート!$C864,使用レシピ!$E:$E,0))&lt;&gt;0,INDEX(使用レシピ!F:F,MATCH(テンプレート!$C864,使用レシピ!$E:$E,0)),""),"")</f>
        <v/>
      </c>
      <c r="E864" t="str">
        <f>IFERROR(IF(INDEX(使用レシピ!G:G,MATCH(テンプレート!$C864,使用レシピ!$E:$E,0))&lt;&gt;0,INDEX(使用レシピ!G:G,MATCH(テンプレート!$C864,使用レシピ!$E:$E,0)),""),"")</f>
        <v/>
      </c>
      <c r="F864" t="str">
        <f>IFERROR(IF(INDEX(使用レシピ!H:H,MATCH(テンプレート!$C864,使用レシピ!$E:$E,0))&lt;&gt;0,INDEX(使用レシピ!H:H,MATCH(テンプレート!$C864,使用レシピ!$E:$E,0)),""),"")</f>
        <v/>
      </c>
      <c r="G864" t="str">
        <f>IFERROR(IF(INDEX(使用レシピ!I:I,MATCH(テンプレート!$C864,使用レシピ!$E:$E,0))&lt;&gt;0,INDEX(使用レシピ!I:I,MATCH(テンプレート!$C864,使用レシピ!$E:$E,0)),""),"")</f>
        <v/>
      </c>
      <c r="H864" s="24" t="str">
        <f>IFERROR(IF(INDEX(使用レシピ!J:J,MATCH(テンプレート!$C864,使用レシピ!$E:$E,0))&lt;&gt;0,INDEX(使用レシピ!J:J,MATCH(テンプレート!$C864,使用レシピ!$E:$E,0)),""),"")</f>
        <v/>
      </c>
      <c r="I864" s="36" t="str">
        <f>IFERROR(IF(INDEX(使用レシピ!P:P,MATCH(テンプレート!$C864,使用レシピ!$E:$E,0))&lt;&gt;0,INDEX(使用レシピ!P:P,MATCH(テンプレート!$C864,使用レシピ!$E:$E,0)),""),"")</f>
        <v/>
      </c>
      <c r="J864" t="str">
        <f>IFERROR(IF(INDEX(使用レシピ!K:K,MATCH(テンプレート!$C864,使用レシピ!$E:$E,0))&lt;&gt;0,INDEX(使用レシピ!K:K,MATCH(テンプレート!$C864,使用レシピ!$E:$E,0)),""),"")</f>
        <v/>
      </c>
      <c r="K864" t="str">
        <f>IFERROR(IF(INDEX(使用レシピ!L:L,MATCH(テンプレート!$C864,使用レシピ!$E:$E,0))&lt;&gt;0,INDEX(使用レシピ!L:L,MATCH(テンプレート!$C864,使用レシピ!$E:$E,0)),""),"")</f>
        <v/>
      </c>
      <c r="L864" t="str">
        <f>IFERROR(IF(INDEX(使用レシピ!M:M,MATCH(テンプレート!$C864,使用レシピ!$E:$E,0))&lt;&gt;0,INDEX(使用レシピ!M:M,MATCH(テンプレート!$C864,使用レシピ!$E:$E,0)),""),"")</f>
        <v/>
      </c>
      <c r="M864" t="str">
        <f>IFERROR(IF(INDEX(使用レシピ!N:N,MATCH(テンプレート!$C864,使用レシピ!$E:$E,0))&lt;&gt;0,INDEX(使用レシピ!N:N,MATCH(テンプレート!$C864,使用レシピ!$E:$E,0)),""),"")</f>
        <v/>
      </c>
      <c r="N864" s="24" t="str">
        <f>IFERROR(IF(INDEX(使用レシピ!O:O,MATCH(テンプレート!$C864,使用レシピ!$E:$E,0))&lt;&gt;0,INDEX(使用レシピ!O:O,MATCH(テンプレート!$C864,使用レシピ!$E:$E,0)),""),"")</f>
        <v/>
      </c>
      <c r="O864" s="36" t="str">
        <f>IFERROR(IF(INDEX(使用レシピ!P:P,MATCH(テンプレート!$C864,使用レシピ!$E:$E,0))&lt;&gt;0,INDEX(使用レシピ!P:P,MATCH(テンプレート!$C864,使用レシピ!$E:$E,0)),""),"")</f>
        <v/>
      </c>
      <c r="P864" t="str">
        <f t="shared" si="66"/>
        <v/>
      </c>
      <c r="Q864" t="str">
        <f t="shared" si="67"/>
        <v/>
      </c>
      <c r="R864" t="str">
        <f t="shared" si="68"/>
        <v/>
      </c>
      <c r="S864" t="str">
        <f t="shared" si="69"/>
        <v/>
      </c>
      <c r="T864" s="24" t="str">
        <f t="shared" si="70"/>
        <v/>
      </c>
    </row>
    <row r="865" spans="2:20" x14ac:dyDescent="0.4">
      <c r="B865" s="49" t="str" cm="1">
        <f t="array" ref="B865">IFERROR((INDEX($P$4:$T$1000,MATCH(VALUE(LEFT($A865,LEN($A865)-1)),$A$4:$A$1000,0),VALUE(RIGHT($A865,1)))/ INDEX($O$4:$O$1000,MATCH(VALUE(LEFT($A865,LEN($A865)-1)),$A$4:$A$1000))) * INDEX($B$4:$B$1000,MATCH(VALUE(LEFT($A865,LEN($A865)-1)),$A$4:$A$1000)),"")</f>
        <v/>
      </c>
      <c r="C865" s="2" t="str" cm="1">
        <f t="array" ref="C865">IFERROR(IF(INDEX($D$4:$H$1000,MATCH(VALUE(LEFT($A865,LEN($A865)-1)),$A$4:$A$1000,0),VALUE(RIGHT($A865,1)))= 0,"",INDEX($D$4:$H$1000,MATCH(VALUE(LEFT($A865,LEN($A865)-1)),$A$4:$A$1000,0),VALUE(RIGHT($A865,1)))),"")</f>
        <v/>
      </c>
      <c r="D865" s="23" t="str">
        <f>IFERROR(IF(INDEX(使用レシピ!F:F,MATCH(テンプレート!$C865,使用レシピ!$E:$E,0))&lt;&gt;0,INDEX(使用レシピ!F:F,MATCH(テンプレート!$C865,使用レシピ!$E:$E,0)),""),"")</f>
        <v/>
      </c>
      <c r="E865" t="str">
        <f>IFERROR(IF(INDEX(使用レシピ!G:G,MATCH(テンプレート!$C865,使用レシピ!$E:$E,0))&lt;&gt;0,INDEX(使用レシピ!G:G,MATCH(テンプレート!$C865,使用レシピ!$E:$E,0)),""),"")</f>
        <v/>
      </c>
      <c r="F865" t="str">
        <f>IFERROR(IF(INDEX(使用レシピ!H:H,MATCH(テンプレート!$C865,使用レシピ!$E:$E,0))&lt;&gt;0,INDEX(使用レシピ!H:H,MATCH(テンプレート!$C865,使用レシピ!$E:$E,0)),""),"")</f>
        <v/>
      </c>
      <c r="G865" t="str">
        <f>IFERROR(IF(INDEX(使用レシピ!I:I,MATCH(テンプレート!$C865,使用レシピ!$E:$E,0))&lt;&gt;0,INDEX(使用レシピ!I:I,MATCH(テンプレート!$C865,使用レシピ!$E:$E,0)),""),"")</f>
        <v/>
      </c>
      <c r="H865" s="24" t="str">
        <f>IFERROR(IF(INDEX(使用レシピ!J:J,MATCH(テンプレート!$C865,使用レシピ!$E:$E,0))&lt;&gt;0,INDEX(使用レシピ!J:J,MATCH(テンプレート!$C865,使用レシピ!$E:$E,0)),""),"")</f>
        <v/>
      </c>
      <c r="I865" s="36" t="str">
        <f>IFERROR(IF(INDEX(使用レシピ!P:P,MATCH(テンプレート!$C865,使用レシピ!$E:$E,0))&lt;&gt;0,INDEX(使用レシピ!P:P,MATCH(テンプレート!$C865,使用レシピ!$E:$E,0)),""),"")</f>
        <v/>
      </c>
      <c r="J865" t="str">
        <f>IFERROR(IF(INDEX(使用レシピ!K:K,MATCH(テンプレート!$C865,使用レシピ!$E:$E,0))&lt;&gt;0,INDEX(使用レシピ!K:K,MATCH(テンプレート!$C865,使用レシピ!$E:$E,0)),""),"")</f>
        <v/>
      </c>
      <c r="K865" t="str">
        <f>IFERROR(IF(INDEX(使用レシピ!L:L,MATCH(テンプレート!$C865,使用レシピ!$E:$E,0))&lt;&gt;0,INDEX(使用レシピ!L:L,MATCH(テンプレート!$C865,使用レシピ!$E:$E,0)),""),"")</f>
        <v/>
      </c>
      <c r="L865" t="str">
        <f>IFERROR(IF(INDEX(使用レシピ!M:M,MATCH(テンプレート!$C865,使用レシピ!$E:$E,0))&lt;&gt;0,INDEX(使用レシピ!M:M,MATCH(テンプレート!$C865,使用レシピ!$E:$E,0)),""),"")</f>
        <v/>
      </c>
      <c r="M865" t="str">
        <f>IFERROR(IF(INDEX(使用レシピ!N:N,MATCH(テンプレート!$C865,使用レシピ!$E:$E,0))&lt;&gt;0,INDEX(使用レシピ!N:N,MATCH(テンプレート!$C865,使用レシピ!$E:$E,0)),""),"")</f>
        <v/>
      </c>
      <c r="N865" s="24" t="str">
        <f>IFERROR(IF(INDEX(使用レシピ!O:O,MATCH(テンプレート!$C865,使用レシピ!$E:$E,0))&lt;&gt;0,INDEX(使用レシピ!O:O,MATCH(テンプレート!$C865,使用レシピ!$E:$E,0)),""),"")</f>
        <v/>
      </c>
      <c r="O865" s="36" t="str">
        <f>IFERROR(IF(INDEX(使用レシピ!P:P,MATCH(テンプレート!$C865,使用レシピ!$E:$E,0))&lt;&gt;0,INDEX(使用レシピ!P:P,MATCH(テンプレート!$C865,使用レシピ!$E:$E,0)),""),"")</f>
        <v/>
      </c>
      <c r="P865" t="str">
        <f t="shared" si="66"/>
        <v/>
      </c>
      <c r="Q865" t="str">
        <f t="shared" si="67"/>
        <v/>
      </c>
      <c r="R865" t="str">
        <f t="shared" si="68"/>
        <v/>
      </c>
      <c r="S865" t="str">
        <f t="shared" si="69"/>
        <v/>
      </c>
      <c r="T865" s="24" t="str">
        <f t="shared" si="70"/>
        <v/>
      </c>
    </row>
    <row r="866" spans="2:20" x14ac:dyDescent="0.4">
      <c r="B866" s="49" t="str" cm="1">
        <f t="array" ref="B866">IFERROR((INDEX($P$4:$T$1000,MATCH(VALUE(LEFT($A866,LEN($A866)-1)),$A$4:$A$1000,0),VALUE(RIGHT($A866,1)))/ INDEX($O$4:$O$1000,MATCH(VALUE(LEFT($A866,LEN($A866)-1)),$A$4:$A$1000))) * INDEX($B$4:$B$1000,MATCH(VALUE(LEFT($A866,LEN($A866)-1)),$A$4:$A$1000)),"")</f>
        <v/>
      </c>
      <c r="C866" s="2" t="str" cm="1">
        <f t="array" ref="C866">IFERROR(IF(INDEX($D$4:$H$1000,MATCH(VALUE(LEFT($A866,LEN($A866)-1)),$A$4:$A$1000,0),VALUE(RIGHT($A866,1)))= 0,"",INDEX($D$4:$H$1000,MATCH(VALUE(LEFT($A866,LEN($A866)-1)),$A$4:$A$1000,0),VALUE(RIGHT($A866,1)))),"")</f>
        <v/>
      </c>
      <c r="D866" s="23" t="str">
        <f>IFERROR(IF(INDEX(使用レシピ!F:F,MATCH(テンプレート!$C866,使用レシピ!$E:$E,0))&lt;&gt;0,INDEX(使用レシピ!F:F,MATCH(テンプレート!$C866,使用レシピ!$E:$E,0)),""),"")</f>
        <v/>
      </c>
      <c r="E866" t="str">
        <f>IFERROR(IF(INDEX(使用レシピ!G:G,MATCH(テンプレート!$C866,使用レシピ!$E:$E,0))&lt;&gt;0,INDEX(使用レシピ!G:G,MATCH(テンプレート!$C866,使用レシピ!$E:$E,0)),""),"")</f>
        <v/>
      </c>
      <c r="F866" t="str">
        <f>IFERROR(IF(INDEX(使用レシピ!H:H,MATCH(テンプレート!$C866,使用レシピ!$E:$E,0))&lt;&gt;0,INDEX(使用レシピ!H:H,MATCH(テンプレート!$C866,使用レシピ!$E:$E,0)),""),"")</f>
        <v/>
      </c>
      <c r="G866" t="str">
        <f>IFERROR(IF(INDEX(使用レシピ!I:I,MATCH(テンプレート!$C866,使用レシピ!$E:$E,0))&lt;&gt;0,INDEX(使用レシピ!I:I,MATCH(テンプレート!$C866,使用レシピ!$E:$E,0)),""),"")</f>
        <v/>
      </c>
      <c r="H866" s="24" t="str">
        <f>IFERROR(IF(INDEX(使用レシピ!J:J,MATCH(テンプレート!$C866,使用レシピ!$E:$E,0))&lt;&gt;0,INDEX(使用レシピ!J:J,MATCH(テンプレート!$C866,使用レシピ!$E:$E,0)),""),"")</f>
        <v/>
      </c>
      <c r="I866" s="36" t="str">
        <f>IFERROR(IF(INDEX(使用レシピ!P:P,MATCH(テンプレート!$C866,使用レシピ!$E:$E,0))&lt;&gt;0,INDEX(使用レシピ!P:P,MATCH(テンプレート!$C866,使用レシピ!$E:$E,0)),""),"")</f>
        <v/>
      </c>
      <c r="J866" t="str">
        <f>IFERROR(IF(INDEX(使用レシピ!K:K,MATCH(テンプレート!$C866,使用レシピ!$E:$E,0))&lt;&gt;0,INDEX(使用レシピ!K:K,MATCH(テンプレート!$C866,使用レシピ!$E:$E,0)),""),"")</f>
        <v/>
      </c>
      <c r="K866" t="str">
        <f>IFERROR(IF(INDEX(使用レシピ!L:L,MATCH(テンプレート!$C866,使用レシピ!$E:$E,0))&lt;&gt;0,INDEX(使用レシピ!L:L,MATCH(テンプレート!$C866,使用レシピ!$E:$E,0)),""),"")</f>
        <v/>
      </c>
      <c r="L866" t="str">
        <f>IFERROR(IF(INDEX(使用レシピ!M:M,MATCH(テンプレート!$C866,使用レシピ!$E:$E,0))&lt;&gt;0,INDEX(使用レシピ!M:M,MATCH(テンプレート!$C866,使用レシピ!$E:$E,0)),""),"")</f>
        <v/>
      </c>
      <c r="M866" t="str">
        <f>IFERROR(IF(INDEX(使用レシピ!N:N,MATCH(テンプレート!$C866,使用レシピ!$E:$E,0))&lt;&gt;0,INDEX(使用レシピ!N:N,MATCH(テンプレート!$C866,使用レシピ!$E:$E,0)),""),"")</f>
        <v/>
      </c>
      <c r="N866" s="24" t="str">
        <f>IFERROR(IF(INDEX(使用レシピ!O:O,MATCH(テンプレート!$C866,使用レシピ!$E:$E,0))&lt;&gt;0,INDEX(使用レシピ!O:O,MATCH(テンプレート!$C866,使用レシピ!$E:$E,0)),""),"")</f>
        <v/>
      </c>
      <c r="O866" s="36" t="str">
        <f>IFERROR(IF(INDEX(使用レシピ!P:P,MATCH(テンプレート!$C866,使用レシピ!$E:$E,0))&lt;&gt;0,INDEX(使用レシピ!P:P,MATCH(テンプレート!$C866,使用レシピ!$E:$E,0)),""),"")</f>
        <v/>
      </c>
      <c r="P866" t="str">
        <f t="shared" si="66"/>
        <v/>
      </c>
      <c r="Q866" t="str">
        <f t="shared" si="67"/>
        <v/>
      </c>
      <c r="R866" t="str">
        <f t="shared" si="68"/>
        <v/>
      </c>
      <c r="S866" t="str">
        <f t="shared" si="69"/>
        <v/>
      </c>
      <c r="T866" s="24" t="str">
        <f t="shared" si="70"/>
        <v/>
      </c>
    </row>
    <row r="867" spans="2:20" x14ac:dyDescent="0.4">
      <c r="B867" s="49" t="str" cm="1">
        <f t="array" ref="B867">IFERROR((INDEX($P$4:$T$1000,MATCH(VALUE(LEFT($A867,LEN($A867)-1)),$A$4:$A$1000,0),VALUE(RIGHT($A867,1)))/ INDEX($O$4:$O$1000,MATCH(VALUE(LEFT($A867,LEN($A867)-1)),$A$4:$A$1000))) * INDEX($B$4:$B$1000,MATCH(VALUE(LEFT($A867,LEN($A867)-1)),$A$4:$A$1000)),"")</f>
        <v/>
      </c>
      <c r="C867" s="2" t="str" cm="1">
        <f t="array" ref="C867">IFERROR(IF(INDEX($D$4:$H$1000,MATCH(VALUE(LEFT($A867,LEN($A867)-1)),$A$4:$A$1000,0),VALUE(RIGHT($A867,1)))= 0,"",INDEX($D$4:$H$1000,MATCH(VALUE(LEFT($A867,LEN($A867)-1)),$A$4:$A$1000,0),VALUE(RIGHT($A867,1)))),"")</f>
        <v/>
      </c>
      <c r="D867" s="23" t="str">
        <f>IFERROR(IF(INDEX(使用レシピ!F:F,MATCH(テンプレート!$C867,使用レシピ!$E:$E,0))&lt;&gt;0,INDEX(使用レシピ!F:F,MATCH(テンプレート!$C867,使用レシピ!$E:$E,0)),""),"")</f>
        <v/>
      </c>
      <c r="E867" t="str">
        <f>IFERROR(IF(INDEX(使用レシピ!G:G,MATCH(テンプレート!$C867,使用レシピ!$E:$E,0))&lt;&gt;0,INDEX(使用レシピ!G:G,MATCH(テンプレート!$C867,使用レシピ!$E:$E,0)),""),"")</f>
        <v/>
      </c>
      <c r="F867" t="str">
        <f>IFERROR(IF(INDEX(使用レシピ!H:H,MATCH(テンプレート!$C867,使用レシピ!$E:$E,0))&lt;&gt;0,INDEX(使用レシピ!H:H,MATCH(テンプレート!$C867,使用レシピ!$E:$E,0)),""),"")</f>
        <v/>
      </c>
      <c r="G867" t="str">
        <f>IFERROR(IF(INDEX(使用レシピ!I:I,MATCH(テンプレート!$C867,使用レシピ!$E:$E,0))&lt;&gt;0,INDEX(使用レシピ!I:I,MATCH(テンプレート!$C867,使用レシピ!$E:$E,0)),""),"")</f>
        <v/>
      </c>
      <c r="H867" s="24" t="str">
        <f>IFERROR(IF(INDEX(使用レシピ!J:J,MATCH(テンプレート!$C867,使用レシピ!$E:$E,0))&lt;&gt;0,INDEX(使用レシピ!J:J,MATCH(テンプレート!$C867,使用レシピ!$E:$E,0)),""),"")</f>
        <v/>
      </c>
      <c r="I867" s="36" t="str">
        <f>IFERROR(IF(INDEX(使用レシピ!P:P,MATCH(テンプレート!$C867,使用レシピ!$E:$E,0))&lt;&gt;0,INDEX(使用レシピ!P:P,MATCH(テンプレート!$C867,使用レシピ!$E:$E,0)),""),"")</f>
        <v/>
      </c>
      <c r="J867" t="str">
        <f>IFERROR(IF(INDEX(使用レシピ!K:K,MATCH(テンプレート!$C867,使用レシピ!$E:$E,0))&lt;&gt;0,INDEX(使用レシピ!K:K,MATCH(テンプレート!$C867,使用レシピ!$E:$E,0)),""),"")</f>
        <v/>
      </c>
      <c r="K867" t="str">
        <f>IFERROR(IF(INDEX(使用レシピ!L:L,MATCH(テンプレート!$C867,使用レシピ!$E:$E,0))&lt;&gt;0,INDEX(使用レシピ!L:L,MATCH(テンプレート!$C867,使用レシピ!$E:$E,0)),""),"")</f>
        <v/>
      </c>
      <c r="L867" t="str">
        <f>IFERROR(IF(INDEX(使用レシピ!M:M,MATCH(テンプレート!$C867,使用レシピ!$E:$E,0))&lt;&gt;0,INDEX(使用レシピ!M:M,MATCH(テンプレート!$C867,使用レシピ!$E:$E,0)),""),"")</f>
        <v/>
      </c>
      <c r="M867" t="str">
        <f>IFERROR(IF(INDEX(使用レシピ!N:N,MATCH(テンプレート!$C867,使用レシピ!$E:$E,0))&lt;&gt;0,INDEX(使用レシピ!N:N,MATCH(テンプレート!$C867,使用レシピ!$E:$E,0)),""),"")</f>
        <v/>
      </c>
      <c r="N867" s="24" t="str">
        <f>IFERROR(IF(INDEX(使用レシピ!O:O,MATCH(テンプレート!$C867,使用レシピ!$E:$E,0))&lt;&gt;0,INDEX(使用レシピ!O:O,MATCH(テンプレート!$C867,使用レシピ!$E:$E,0)),""),"")</f>
        <v/>
      </c>
      <c r="O867" s="36" t="str">
        <f>IFERROR(IF(INDEX(使用レシピ!P:P,MATCH(テンプレート!$C867,使用レシピ!$E:$E,0))&lt;&gt;0,INDEX(使用レシピ!P:P,MATCH(テンプレート!$C867,使用レシピ!$E:$E,0)),""),"")</f>
        <v/>
      </c>
      <c r="P867" t="str">
        <f t="shared" si="66"/>
        <v/>
      </c>
      <c r="Q867" t="str">
        <f t="shared" si="67"/>
        <v/>
      </c>
      <c r="R867" t="str">
        <f t="shared" si="68"/>
        <v/>
      </c>
      <c r="S867" t="str">
        <f t="shared" si="69"/>
        <v/>
      </c>
      <c r="T867" s="24" t="str">
        <f t="shared" si="70"/>
        <v/>
      </c>
    </row>
    <row r="868" spans="2:20" x14ac:dyDescent="0.4">
      <c r="B868" s="49" t="str" cm="1">
        <f t="array" ref="B868">IFERROR((INDEX($P$4:$T$1000,MATCH(VALUE(LEFT($A868,LEN($A868)-1)),$A$4:$A$1000,0),VALUE(RIGHT($A868,1)))/ INDEX($O$4:$O$1000,MATCH(VALUE(LEFT($A868,LEN($A868)-1)),$A$4:$A$1000))) * INDEX($B$4:$B$1000,MATCH(VALUE(LEFT($A868,LEN($A868)-1)),$A$4:$A$1000)),"")</f>
        <v/>
      </c>
      <c r="C868" s="2" t="str" cm="1">
        <f t="array" ref="C868">IFERROR(IF(INDEX($D$4:$H$1000,MATCH(VALUE(LEFT($A868,LEN($A868)-1)),$A$4:$A$1000,0),VALUE(RIGHT($A868,1)))= 0,"",INDEX($D$4:$H$1000,MATCH(VALUE(LEFT($A868,LEN($A868)-1)),$A$4:$A$1000,0),VALUE(RIGHT($A868,1)))),"")</f>
        <v/>
      </c>
      <c r="D868" s="23" t="str">
        <f>IFERROR(IF(INDEX(使用レシピ!F:F,MATCH(テンプレート!$C868,使用レシピ!$E:$E,0))&lt;&gt;0,INDEX(使用レシピ!F:F,MATCH(テンプレート!$C868,使用レシピ!$E:$E,0)),""),"")</f>
        <v/>
      </c>
      <c r="E868" t="str">
        <f>IFERROR(IF(INDEX(使用レシピ!G:G,MATCH(テンプレート!$C868,使用レシピ!$E:$E,0))&lt;&gt;0,INDEX(使用レシピ!G:G,MATCH(テンプレート!$C868,使用レシピ!$E:$E,0)),""),"")</f>
        <v/>
      </c>
      <c r="F868" t="str">
        <f>IFERROR(IF(INDEX(使用レシピ!H:H,MATCH(テンプレート!$C868,使用レシピ!$E:$E,0))&lt;&gt;0,INDEX(使用レシピ!H:H,MATCH(テンプレート!$C868,使用レシピ!$E:$E,0)),""),"")</f>
        <v/>
      </c>
      <c r="G868" t="str">
        <f>IFERROR(IF(INDEX(使用レシピ!I:I,MATCH(テンプレート!$C868,使用レシピ!$E:$E,0))&lt;&gt;0,INDEX(使用レシピ!I:I,MATCH(テンプレート!$C868,使用レシピ!$E:$E,0)),""),"")</f>
        <v/>
      </c>
      <c r="H868" s="24" t="str">
        <f>IFERROR(IF(INDEX(使用レシピ!J:J,MATCH(テンプレート!$C868,使用レシピ!$E:$E,0))&lt;&gt;0,INDEX(使用レシピ!J:J,MATCH(テンプレート!$C868,使用レシピ!$E:$E,0)),""),"")</f>
        <v/>
      </c>
      <c r="I868" s="36" t="str">
        <f>IFERROR(IF(INDEX(使用レシピ!P:P,MATCH(テンプレート!$C868,使用レシピ!$E:$E,0))&lt;&gt;0,INDEX(使用レシピ!P:P,MATCH(テンプレート!$C868,使用レシピ!$E:$E,0)),""),"")</f>
        <v/>
      </c>
      <c r="J868" t="str">
        <f>IFERROR(IF(INDEX(使用レシピ!K:K,MATCH(テンプレート!$C868,使用レシピ!$E:$E,0))&lt;&gt;0,INDEX(使用レシピ!K:K,MATCH(テンプレート!$C868,使用レシピ!$E:$E,0)),""),"")</f>
        <v/>
      </c>
      <c r="K868" t="str">
        <f>IFERROR(IF(INDEX(使用レシピ!L:L,MATCH(テンプレート!$C868,使用レシピ!$E:$E,0))&lt;&gt;0,INDEX(使用レシピ!L:L,MATCH(テンプレート!$C868,使用レシピ!$E:$E,0)),""),"")</f>
        <v/>
      </c>
      <c r="L868" t="str">
        <f>IFERROR(IF(INDEX(使用レシピ!M:M,MATCH(テンプレート!$C868,使用レシピ!$E:$E,0))&lt;&gt;0,INDEX(使用レシピ!M:M,MATCH(テンプレート!$C868,使用レシピ!$E:$E,0)),""),"")</f>
        <v/>
      </c>
      <c r="M868" t="str">
        <f>IFERROR(IF(INDEX(使用レシピ!N:N,MATCH(テンプレート!$C868,使用レシピ!$E:$E,0))&lt;&gt;0,INDEX(使用レシピ!N:N,MATCH(テンプレート!$C868,使用レシピ!$E:$E,0)),""),"")</f>
        <v/>
      </c>
      <c r="N868" s="24" t="str">
        <f>IFERROR(IF(INDEX(使用レシピ!O:O,MATCH(テンプレート!$C868,使用レシピ!$E:$E,0))&lt;&gt;0,INDEX(使用レシピ!O:O,MATCH(テンプレート!$C868,使用レシピ!$E:$E,0)),""),"")</f>
        <v/>
      </c>
      <c r="O868" s="36" t="str">
        <f>IFERROR(IF(INDEX(使用レシピ!P:P,MATCH(テンプレート!$C868,使用レシピ!$E:$E,0))&lt;&gt;0,INDEX(使用レシピ!P:P,MATCH(テンプレート!$C868,使用レシピ!$E:$E,0)),""),"")</f>
        <v/>
      </c>
      <c r="P868" t="str">
        <f t="shared" si="66"/>
        <v/>
      </c>
      <c r="Q868" t="str">
        <f t="shared" si="67"/>
        <v/>
      </c>
      <c r="R868" t="str">
        <f t="shared" si="68"/>
        <v/>
      </c>
      <c r="S868" t="str">
        <f t="shared" si="69"/>
        <v/>
      </c>
      <c r="T868" s="24" t="str">
        <f t="shared" si="70"/>
        <v/>
      </c>
    </row>
    <row r="869" spans="2:20" x14ac:dyDescent="0.4">
      <c r="B869" s="49" t="str" cm="1">
        <f t="array" ref="B869">IFERROR((INDEX($P$4:$T$1000,MATCH(VALUE(LEFT($A869,LEN($A869)-1)),$A$4:$A$1000,0),VALUE(RIGHT($A869,1)))/ INDEX($O$4:$O$1000,MATCH(VALUE(LEFT($A869,LEN($A869)-1)),$A$4:$A$1000))) * INDEX($B$4:$B$1000,MATCH(VALUE(LEFT($A869,LEN($A869)-1)),$A$4:$A$1000)),"")</f>
        <v/>
      </c>
      <c r="C869" s="2" t="str" cm="1">
        <f t="array" ref="C869">IFERROR(IF(INDEX($D$4:$H$1000,MATCH(VALUE(LEFT($A869,LEN($A869)-1)),$A$4:$A$1000,0),VALUE(RIGHT($A869,1)))= 0,"",INDEX($D$4:$H$1000,MATCH(VALUE(LEFT($A869,LEN($A869)-1)),$A$4:$A$1000,0),VALUE(RIGHT($A869,1)))),"")</f>
        <v/>
      </c>
      <c r="D869" s="23" t="str">
        <f>IFERROR(IF(INDEX(使用レシピ!F:F,MATCH(テンプレート!$C869,使用レシピ!$E:$E,0))&lt;&gt;0,INDEX(使用レシピ!F:F,MATCH(テンプレート!$C869,使用レシピ!$E:$E,0)),""),"")</f>
        <v/>
      </c>
      <c r="E869" t="str">
        <f>IFERROR(IF(INDEX(使用レシピ!G:G,MATCH(テンプレート!$C869,使用レシピ!$E:$E,0))&lt;&gt;0,INDEX(使用レシピ!G:G,MATCH(テンプレート!$C869,使用レシピ!$E:$E,0)),""),"")</f>
        <v/>
      </c>
      <c r="F869" t="str">
        <f>IFERROR(IF(INDEX(使用レシピ!H:H,MATCH(テンプレート!$C869,使用レシピ!$E:$E,0))&lt;&gt;0,INDEX(使用レシピ!H:H,MATCH(テンプレート!$C869,使用レシピ!$E:$E,0)),""),"")</f>
        <v/>
      </c>
      <c r="G869" t="str">
        <f>IFERROR(IF(INDEX(使用レシピ!I:I,MATCH(テンプレート!$C869,使用レシピ!$E:$E,0))&lt;&gt;0,INDEX(使用レシピ!I:I,MATCH(テンプレート!$C869,使用レシピ!$E:$E,0)),""),"")</f>
        <v/>
      </c>
      <c r="H869" s="24" t="str">
        <f>IFERROR(IF(INDEX(使用レシピ!J:J,MATCH(テンプレート!$C869,使用レシピ!$E:$E,0))&lt;&gt;0,INDEX(使用レシピ!J:J,MATCH(テンプレート!$C869,使用レシピ!$E:$E,0)),""),"")</f>
        <v/>
      </c>
      <c r="I869" s="36" t="str">
        <f>IFERROR(IF(INDEX(使用レシピ!P:P,MATCH(テンプレート!$C869,使用レシピ!$E:$E,0))&lt;&gt;0,INDEX(使用レシピ!P:P,MATCH(テンプレート!$C869,使用レシピ!$E:$E,0)),""),"")</f>
        <v/>
      </c>
      <c r="J869" t="str">
        <f>IFERROR(IF(INDEX(使用レシピ!K:K,MATCH(テンプレート!$C869,使用レシピ!$E:$E,0))&lt;&gt;0,INDEX(使用レシピ!K:K,MATCH(テンプレート!$C869,使用レシピ!$E:$E,0)),""),"")</f>
        <v/>
      </c>
      <c r="K869" t="str">
        <f>IFERROR(IF(INDEX(使用レシピ!L:L,MATCH(テンプレート!$C869,使用レシピ!$E:$E,0))&lt;&gt;0,INDEX(使用レシピ!L:L,MATCH(テンプレート!$C869,使用レシピ!$E:$E,0)),""),"")</f>
        <v/>
      </c>
      <c r="L869" t="str">
        <f>IFERROR(IF(INDEX(使用レシピ!M:M,MATCH(テンプレート!$C869,使用レシピ!$E:$E,0))&lt;&gt;0,INDEX(使用レシピ!M:M,MATCH(テンプレート!$C869,使用レシピ!$E:$E,0)),""),"")</f>
        <v/>
      </c>
      <c r="M869" t="str">
        <f>IFERROR(IF(INDEX(使用レシピ!N:N,MATCH(テンプレート!$C869,使用レシピ!$E:$E,0))&lt;&gt;0,INDEX(使用レシピ!N:N,MATCH(テンプレート!$C869,使用レシピ!$E:$E,0)),""),"")</f>
        <v/>
      </c>
      <c r="N869" s="24" t="str">
        <f>IFERROR(IF(INDEX(使用レシピ!O:O,MATCH(テンプレート!$C869,使用レシピ!$E:$E,0))&lt;&gt;0,INDEX(使用レシピ!O:O,MATCH(テンプレート!$C869,使用レシピ!$E:$E,0)),""),"")</f>
        <v/>
      </c>
      <c r="O869" s="36" t="str">
        <f>IFERROR(IF(INDEX(使用レシピ!P:P,MATCH(テンプレート!$C869,使用レシピ!$E:$E,0))&lt;&gt;0,INDEX(使用レシピ!P:P,MATCH(テンプレート!$C869,使用レシピ!$E:$E,0)),""),"")</f>
        <v/>
      </c>
      <c r="P869" t="str">
        <f t="shared" si="66"/>
        <v/>
      </c>
      <c r="Q869" t="str">
        <f t="shared" si="67"/>
        <v/>
      </c>
      <c r="R869" t="str">
        <f t="shared" si="68"/>
        <v/>
      </c>
      <c r="S869" t="str">
        <f t="shared" si="69"/>
        <v/>
      </c>
      <c r="T869" s="24" t="str">
        <f t="shared" si="70"/>
        <v/>
      </c>
    </row>
    <row r="870" spans="2:20" x14ac:dyDescent="0.4">
      <c r="B870" s="49" t="str" cm="1">
        <f t="array" ref="B870">IFERROR((INDEX($P$4:$T$1000,MATCH(VALUE(LEFT($A870,LEN($A870)-1)),$A$4:$A$1000,0),VALUE(RIGHT($A870,1)))/ INDEX($O$4:$O$1000,MATCH(VALUE(LEFT($A870,LEN($A870)-1)),$A$4:$A$1000))) * INDEX($B$4:$B$1000,MATCH(VALUE(LEFT($A870,LEN($A870)-1)),$A$4:$A$1000)),"")</f>
        <v/>
      </c>
      <c r="C870" s="2" t="str" cm="1">
        <f t="array" ref="C870">IFERROR(IF(INDEX($D$4:$H$1000,MATCH(VALUE(LEFT($A870,LEN($A870)-1)),$A$4:$A$1000,0),VALUE(RIGHT($A870,1)))= 0,"",INDEX($D$4:$H$1000,MATCH(VALUE(LEFT($A870,LEN($A870)-1)),$A$4:$A$1000,0),VALUE(RIGHT($A870,1)))),"")</f>
        <v/>
      </c>
      <c r="D870" s="23" t="str">
        <f>IFERROR(IF(INDEX(使用レシピ!F:F,MATCH(テンプレート!$C870,使用レシピ!$E:$E,0))&lt;&gt;0,INDEX(使用レシピ!F:F,MATCH(テンプレート!$C870,使用レシピ!$E:$E,0)),""),"")</f>
        <v/>
      </c>
      <c r="E870" t="str">
        <f>IFERROR(IF(INDEX(使用レシピ!G:G,MATCH(テンプレート!$C870,使用レシピ!$E:$E,0))&lt;&gt;0,INDEX(使用レシピ!G:G,MATCH(テンプレート!$C870,使用レシピ!$E:$E,0)),""),"")</f>
        <v/>
      </c>
      <c r="F870" t="str">
        <f>IFERROR(IF(INDEX(使用レシピ!H:H,MATCH(テンプレート!$C870,使用レシピ!$E:$E,0))&lt;&gt;0,INDEX(使用レシピ!H:H,MATCH(テンプレート!$C870,使用レシピ!$E:$E,0)),""),"")</f>
        <v/>
      </c>
      <c r="G870" t="str">
        <f>IFERROR(IF(INDEX(使用レシピ!I:I,MATCH(テンプレート!$C870,使用レシピ!$E:$E,0))&lt;&gt;0,INDEX(使用レシピ!I:I,MATCH(テンプレート!$C870,使用レシピ!$E:$E,0)),""),"")</f>
        <v/>
      </c>
      <c r="H870" s="24" t="str">
        <f>IFERROR(IF(INDEX(使用レシピ!J:J,MATCH(テンプレート!$C870,使用レシピ!$E:$E,0))&lt;&gt;0,INDEX(使用レシピ!J:J,MATCH(テンプレート!$C870,使用レシピ!$E:$E,0)),""),"")</f>
        <v/>
      </c>
      <c r="I870" s="36" t="str">
        <f>IFERROR(IF(INDEX(使用レシピ!P:P,MATCH(テンプレート!$C870,使用レシピ!$E:$E,0))&lt;&gt;0,INDEX(使用レシピ!P:P,MATCH(テンプレート!$C870,使用レシピ!$E:$E,0)),""),"")</f>
        <v/>
      </c>
      <c r="J870" t="str">
        <f>IFERROR(IF(INDEX(使用レシピ!K:K,MATCH(テンプレート!$C870,使用レシピ!$E:$E,0))&lt;&gt;0,INDEX(使用レシピ!K:K,MATCH(テンプレート!$C870,使用レシピ!$E:$E,0)),""),"")</f>
        <v/>
      </c>
      <c r="K870" t="str">
        <f>IFERROR(IF(INDEX(使用レシピ!L:L,MATCH(テンプレート!$C870,使用レシピ!$E:$E,0))&lt;&gt;0,INDEX(使用レシピ!L:L,MATCH(テンプレート!$C870,使用レシピ!$E:$E,0)),""),"")</f>
        <v/>
      </c>
      <c r="L870" t="str">
        <f>IFERROR(IF(INDEX(使用レシピ!M:M,MATCH(テンプレート!$C870,使用レシピ!$E:$E,0))&lt;&gt;0,INDEX(使用レシピ!M:M,MATCH(テンプレート!$C870,使用レシピ!$E:$E,0)),""),"")</f>
        <v/>
      </c>
      <c r="M870" t="str">
        <f>IFERROR(IF(INDEX(使用レシピ!N:N,MATCH(テンプレート!$C870,使用レシピ!$E:$E,0))&lt;&gt;0,INDEX(使用レシピ!N:N,MATCH(テンプレート!$C870,使用レシピ!$E:$E,0)),""),"")</f>
        <v/>
      </c>
      <c r="N870" s="24" t="str">
        <f>IFERROR(IF(INDEX(使用レシピ!O:O,MATCH(テンプレート!$C870,使用レシピ!$E:$E,0))&lt;&gt;0,INDEX(使用レシピ!O:O,MATCH(テンプレート!$C870,使用レシピ!$E:$E,0)),""),"")</f>
        <v/>
      </c>
      <c r="O870" s="36" t="str">
        <f>IFERROR(IF(INDEX(使用レシピ!P:P,MATCH(テンプレート!$C870,使用レシピ!$E:$E,0))&lt;&gt;0,INDEX(使用レシピ!P:P,MATCH(テンプレート!$C870,使用レシピ!$E:$E,0)),""),"")</f>
        <v/>
      </c>
      <c r="P870" t="str">
        <f t="shared" si="66"/>
        <v/>
      </c>
      <c r="Q870" t="str">
        <f t="shared" si="67"/>
        <v/>
      </c>
      <c r="R870" t="str">
        <f t="shared" si="68"/>
        <v/>
      </c>
      <c r="S870" t="str">
        <f t="shared" si="69"/>
        <v/>
      </c>
      <c r="T870" s="24" t="str">
        <f t="shared" si="70"/>
        <v/>
      </c>
    </row>
    <row r="871" spans="2:20" x14ac:dyDescent="0.4">
      <c r="B871" s="49" t="str" cm="1">
        <f t="array" ref="B871">IFERROR((INDEX($P$4:$T$1000,MATCH(VALUE(LEFT($A871,LEN($A871)-1)),$A$4:$A$1000,0),VALUE(RIGHT($A871,1)))/ INDEX($O$4:$O$1000,MATCH(VALUE(LEFT($A871,LEN($A871)-1)),$A$4:$A$1000))) * INDEX($B$4:$B$1000,MATCH(VALUE(LEFT($A871,LEN($A871)-1)),$A$4:$A$1000)),"")</f>
        <v/>
      </c>
      <c r="C871" s="2" t="str" cm="1">
        <f t="array" ref="C871">IFERROR(IF(INDEX($D$4:$H$1000,MATCH(VALUE(LEFT($A871,LEN($A871)-1)),$A$4:$A$1000,0),VALUE(RIGHT($A871,1)))= 0,"",INDEX($D$4:$H$1000,MATCH(VALUE(LEFT($A871,LEN($A871)-1)),$A$4:$A$1000,0),VALUE(RIGHT($A871,1)))),"")</f>
        <v/>
      </c>
      <c r="D871" s="23" t="str">
        <f>IFERROR(IF(INDEX(使用レシピ!F:F,MATCH(テンプレート!$C871,使用レシピ!$E:$E,0))&lt;&gt;0,INDEX(使用レシピ!F:F,MATCH(テンプレート!$C871,使用レシピ!$E:$E,0)),""),"")</f>
        <v/>
      </c>
      <c r="E871" t="str">
        <f>IFERROR(IF(INDEX(使用レシピ!G:G,MATCH(テンプレート!$C871,使用レシピ!$E:$E,0))&lt;&gt;0,INDEX(使用レシピ!G:G,MATCH(テンプレート!$C871,使用レシピ!$E:$E,0)),""),"")</f>
        <v/>
      </c>
      <c r="F871" t="str">
        <f>IFERROR(IF(INDEX(使用レシピ!H:H,MATCH(テンプレート!$C871,使用レシピ!$E:$E,0))&lt;&gt;0,INDEX(使用レシピ!H:H,MATCH(テンプレート!$C871,使用レシピ!$E:$E,0)),""),"")</f>
        <v/>
      </c>
      <c r="G871" t="str">
        <f>IFERROR(IF(INDEX(使用レシピ!I:I,MATCH(テンプレート!$C871,使用レシピ!$E:$E,0))&lt;&gt;0,INDEX(使用レシピ!I:I,MATCH(テンプレート!$C871,使用レシピ!$E:$E,0)),""),"")</f>
        <v/>
      </c>
      <c r="H871" s="24" t="str">
        <f>IFERROR(IF(INDEX(使用レシピ!J:J,MATCH(テンプレート!$C871,使用レシピ!$E:$E,0))&lt;&gt;0,INDEX(使用レシピ!J:J,MATCH(テンプレート!$C871,使用レシピ!$E:$E,0)),""),"")</f>
        <v/>
      </c>
      <c r="I871" s="36" t="str">
        <f>IFERROR(IF(INDEX(使用レシピ!P:P,MATCH(テンプレート!$C871,使用レシピ!$E:$E,0))&lt;&gt;0,INDEX(使用レシピ!P:P,MATCH(テンプレート!$C871,使用レシピ!$E:$E,0)),""),"")</f>
        <v/>
      </c>
      <c r="J871" t="str">
        <f>IFERROR(IF(INDEX(使用レシピ!K:K,MATCH(テンプレート!$C871,使用レシピ!$E:$E,0))&lt;&gt;0,INDEX(使用レシピ!K:K,MATCH(テンプレート!$C871,使用レシピ!$E:$E,0)),""),"")</f>
        <v/>
      </c>
      <c r="K871" t="str">
        <f>IFERROR(IF(INDEX(使用レシピ!L:L,MATCH(テンプレート!$C871,使用レシピ!$E:$E,0))&lt;&gt;0,INDEX(使用レシピ!L:L,MATCH(テンプレート!$C871,使用レシピ!$E:$E,0)),""),"")</f>
        <v/>
      </c>
      <c r="L871" t="str">
        <f>IFERROR(IF(INDEX(使用レシピ!M:M,MATCH(テンプレート!$C871,使用レシピ!$E:$E,0))&lt;&gt;0,INDEX(使用レシピ!M:M,MATCH(テンプレート!$C871,使用レシピ!$E:$E,0)),""),"")</f>
        <v/>
      </c>
      <c r="M871" t="str">
        <f>IFERROR(IF(INDEX(使用レシピ!N:N,MATCH(テンプレート!$C871,使用レシピ!$E:$E,0))&lt;&gt;0,INDEX(使用レシピ!N:N,MATCH(テンプレート!$C871,使用レシピ!$E:$E,0)),""),"")</f>
        <v/>
      </c>
      <c r="N871" s="24" t="str">
        <f>IFERROR(IF(INDEX(使用レシピ!O:O,MATCH(テンプレート!$C871,使用レシピ!$E:$E,0))&lt;&gt;0,INDEX(使用レシピ!O:O,MATCH(テンプレート!$C871,使用レシピ!$E:$E,0)),""),"")</f>
        <v/>
      </c>
      <c r="O871" s="36" t="str">
        <f>IFERROR(IF(INDEX(使用レシピ!P:P,MATCH(テンプレート!$C871,使用レシピ!$E:$E,0))&lt;&gt;0,INDEX(使用レシピ!P:P,MATCH(テンプレート!$C871,使用レシピ!$E:$E,0)),""),"")</f>
        <v/>
      </c>
      <c r="P871" t="str">
        <f t="shared" si="66"/>
        <v/>
      </c>
      <c r="Q871" t="str">
        <f t="shared" si="67"/>
        <v/>
      </c>
      <c r="R871" t="str">
        <f t="shared" si="68"/>
        <v/>
      </c>
      <c r="S871" t="str">
        <f t="shared" si="69"/>
        <v/>
      </c>
      <c r="T871" s="24" t="str">
        <f t="shared" si="70"/>
        <v/>
      </c>
    </row>
    <row r="872" spans="2:20" x14ac:dyDescent="0.4">
      <c r="B872" s="49" t="str" cm="1">
        <f t="array" ref="B872">IFERROR((INDEX($P$4:$T$1000,MATCH(VALUE(LEFT($A872,LEN($A872)-1)),$A$4:$A$1000,0),VALUE(RIGHT($A872,1)))/ INDEX($O$4:$O$1000,MATCH(VALUE(LEFT($A872,LEN($A872)-1)),$A$4:$A$1000))) * INDEX($B$4:$B$1000,MATCH(VALUE(LEFT($A872,LEN($A872)-1)),$A$4:$A$1000)),"")</f>
        <v/>
      </c>
      <c r="C872" s="2" t="str" cm="1">
        <f t="array" ref="C872">IFERROR(IF(INDEX($D$4:$H$1000,MATCH(VALUE(LEFT($A872,LEN($A872)-1)),$A$4:$A$1000,0),VALUE(RIGHT($A872,1)))= 0,"",INDEX($D$4:$H$1000,MATCH(VALUE(LEFT($A872,LEN($A872)-1)),$A$4:$A$1000,0),VALUE(RIGHT($A872,1)))),"")</f>
        <v/>
      </c>
      <c r="D872" s="23" t="str">
        <f>IFERROR(IF(INDEX(使用レシピ!F:F,MATCH(テンプレート!$C872,使用レシピ!$E:$E,0))&lt;&gt;0,INDEX(使用レシピ!F:F,MATCH(テンプレート!$C872,使用レシピ!$E:$E,0)),""),"")</f>
        <v/>
      </c>
      <c r="E872" t="str">
        <f>IFERROR(IF(INDEX(使用レシピ!G:G,MATCH(テンプレート!$C872,使用レシピ!$E:$E,0))&lt;&gt;0,INDEX(使用レシピ!G:G,MATCH(テンプレート!$C872,使用レシピ!$E:$E,0)),""),"")</f>
        <v/>
      </c>
      <c r="F872" t="str">
        <f>IFERROR(IF(INDEX(使用レシピ!H:H,MATCH(テンプレート!$C872,使用レシピ!$E:$E,0))&lt;&gt;0,INDEX(使用レシピ!H:H,MATCH(テンプレート!$C872,使用レシピ!$E:$E,0)),""),"")</f>
        <v/>
      </c>
      <c r="G872" t="str">
        <f>IFERROR(IF(INDEX(使用レシピ!I:I,MATCH(テンプレート!$C872,使用レシピ!$E:$E,0))&lt;&gt;0,INDEX(使用レシピ!I:I,MATCH(テンプレート!$C872,使用レシピ!$E:$E,0)),""),"")</f>
        <v/>
      </c>
      <c r="H872" s="24" t="str">
        <f>IFERROR(IF(INDEX(使用レシピ!J:J,MATCH(テンプレート!$C872,使用レシピ!$E:$E,0))&lt;&gt;0,INDEX(使用レシピ!J:J,MATCH(テンプレート!$C872,使用レシピ!$E:$E,0)),""),"")</f>
        <v/>
      </c>
      <c r="I872" s="36" t="str">
        <f>IFERROR(IF(INDEX(使用レシピ!P:P,MATCH(テンプレート!$C872,使用レシピ!$E:$E,0))&lt;&gt;0,INDEX(使用レシピ!P:P,MATCH(テンプレート!$C872,使用レシピ!$E:$E,0)),""),"")</f>
        <v/>
      </c>
      <c r="J872" t="str">
        <f>IFERROR(IF(INDEX(使用レシピ!K:K,MATCH(テンプレート!$C872,使用レシピ!$E:$E,0))&lt;&gt;0,INDEX(使用レシピ!K:K,MATCH(テンプレート!$C872,使用レシピ!$E:$E,0)),""),"")</f>
        <v/>
      </c>
      <c r="K872" t="str">
        <f>IFERROR(IF(INDEX(使用レシピ!L:L,MATCH(テンプレート!$C872,使用レシピ!$E:$E,0))&lt;&gt;0,INDEX(使用レシピ!L:L,MATCH(テンプレート!$C872,使用レシピ!$E:$E,0)),""),"")</f>
        <v/>
      </c>
      <c r="L872" t="str">
        <f>IFERROR(IF(INDEX(使用レシピ!M:M,MATCH(テンプレート!$C872,使用レシピ!$E:$E,0))&lt;&gt;0,INDEX(使用レシピ!M:M,MATCH(テンプレート!$C872,使用レシピ!$E:$E,0)),""),"")</f>
        <v/>
      </c>
      <c r="M872" t="str">
        <f>IFERROR(IF(INDEX(使用レシピ!N:N,MATCH(テンプレート!$C872,使用レシピ!$E:$E,0))&lt;&gt;0,INDEX(使用レシピ!N:N,MATCH(テンプレート!$C872,使用レシピ!$E:$E,0)),""),"")</f>
        <v/>
      </c>
      <c r="N872" s="24" t="str">
        <f>IFERROR(IF(INDEX(使用レシピ!O:O,MATCH(テンプレート!$C872,使用レシピ!$E:$E,0))&lt;&gt;0,INDEX(使用レシピ!O:O,MATCH(テンプレート!$C872,使用レシピ!$E:$E,0)),""),"")</f>
        <v/>
      </c>
      <c r="O872" s="36" t="str">
        <f>IFERROR(IF(INDEX(使用レシピ!P:P,MATCH(テンプレート!$C872,使用レシピ!$E:$E,0))&lt;&gt;0,INDEX(使用レシピ!P:P,MATCH(テンプレート!$C872,使用レシピ!$E:$E,0)),""),"")</f>
        <v/>
      </c>
      <c r="P872" t="str">
        <f t="shared" si="66"/>
        <v/>
      </c>
      <c r="Q872" t="str">
        <f t="shared" si="67"/>
        <v/>
      </c>
      <c r="R872" t="str">
        <f t="shared" si="68"/>
        <v/>
      </c>
      <c r="S872" t="str">
        <f t="shared" si="69"/>
        <v/>
      </c>
      <c r="T872" s="24" t="str">
        <f t="shared" si="70"/>
        <v/>
      </c>
    </row>
    <row r="873" spans="2:20" x14ac:dyDescent="0.4">
      <c r="B873" s="49" t="str" cm="1">
        <f t="array" ref="B873">IFERROR((INDEX($P$4:$T$1000,MATCH(VALUE(LEFT($A873,LEN($A873)-1)),$A$4:$A$1000,0),VALUE(RIGHT($A873,1)))/ INDEX($O$4:$O$1000,MATCH(VALUE(LEFT($A873,LEN($A873)-1)),$A$4:$A$1000))) * INDEX($B$4:$B$1000,MATCH(VALUE(LEFT($A873,LEN($A873)-1)),$A$4:$A$1000)),"")</f>
        <v/>
      </c>
      <c r="C873" s="2" t="str" cm="1">
        <f t="array" ref="C873">IFERROR(IF(INDEX($D$4:$H$1000,MATCH(VALUE(LEFT($A873,LEN($A873)-1)),$A$4:$A$1000,0),VALUE(RIGHT($A873,1)))= 0,"",INDEX($D$4:$H$1000,MATCH(VALUE(LEFT($A873,LEN($A873)-1)),$A$4:$A$1000,0),VALUE(RIGHT($A873,1)))),"")</f>
        <v/>
      </c>
      <c r="D873" s="23" t="str">
        <f>IFERROR(IF(INDEX(使用レシピ!F:F,MATCH(テンプレート!$C873,使用レシピ!$E:$E,0))&lt;&gt;0,INDEX(使用レシピ!F:F,MATCH(テンプレート!$C873,使用レシピ!$E:$E,0)),""),"")</f>
        <v/>
      </c>
      <c r="E873" t="str">
        <f>IFERROR(IF(INDEX(使用レシピ!G:G,MATCH(テンプレート!$C873,使用レシピ!$E:$E,0))&lt;&gt;0,INDEX(使用レシピ!G:G,MATCH(テンプレート!$C873,使用レシピ!$E:$E,0)),""),"")</f>
        <v/>
      </c>
      <c r="F873" t="str">
        <f>IFERROR(IF(INDEX(使用レシピ!H:H,MATCH(テンプレート!$C873,使用レシピ!$E:$E,0))&lt;&gt;0,INDEX(使用レシピ!H:H,MATCH(テンプレート!$C873,使用レシピ!$E:$E,0)),""),"")</f>
        <v/>
      </c>
      <c r="G873" t="str">
        <f>IFERROR(IF(INDEX(使用レシピ!I:I,MATCH(テンプレート!$C873,使用レシピ!$E:$E,0))&lt;&gt;0,INDEX(使用レシピ!I:I,MATCH(テンプレート!$C873,使用レシピ!$E:$E,0)),""),"")</f>
        <v/>
      </c>
      <c r="H873" s="24" t="str">
        <f>IFERROR(IF(INDEX(使用レシピ!J:J,MATCH(テンプレート!$C873,使用レシピ!$E:$E,0))&lt;&gt;0,INDEX(使用レシピ!J:J,MATCH(テンプレート!$C873,使用レシピ!$E:$E,0)),""),"")</f>
        <v/>
      </c>
      <c r="I873" s="36" t="str">
        <f>IFERROR(IF(INDEX(使用レシピ!P:P,MATCH(テンプレート!$C873,使用レシピ!$E:$E,0))&lt;&gt;0,INDEX(使用レシピ!P:P,MATCH(テンプレート!$C873,使用レシピ!$E:$E,0)),""),"")</f>
        <v/>
      </c>
      <c r="J873" t="str">
        <f>IFERROR(IF(INDEX(使用レシピ!K:K,MATCH(テンプレート!$C873,使用レシピ!$E:$E,0))&lt;&gt;0,INDEX(使用レシピ!K:K,MATCH(テンプレート!$C873,使用レシピ!$E:$E,0)),""),"")</f>
        <v/>
      </c>
      <c r="K873" t="str">
        <f>IFERROR(IF(INDEX(使用レシピ!L:L,MATCH(テンプレート!$C873,使用レシピ!$E:$E,0))&lt;&gt;0,INDEX(使用レシピ!L:L,MATCH(テンプレート!$C873,使用レシピ!$E:$E,0)),""),"")</f>
        <v/>
      </c>
      <c r="L873" t="str">
        <f>IFERROR(IF(INDEX(使用レシピ!M:M,MATCH(テンプレート!$C873,使用レシピ!$E:$E,0))&lt;&gt;0,INDEX(使用レシピ!M:M,MATCH(テンプレート!$C873,使用レシピ!$E:$E,0)),""),"")</f>
        <v/>
      </c>
      <c r="M873" t="str">
        <f>IFERROR(IF(INDEX(使用レシピ!N:N,MATCH(テンプレート!$C873,使用レシピ!$E:$E,0))&lt;&gt;0,INDEX(使用レシピ!N:N,MATCH(テンプレート!$C873,使用レシピ!$E:$E,0)),""),"")</f>
        <v/>
      </c>
      <c r="N873" s="24" t="str">
        <f>IFERROR(IF(INDEX(使用レシピ!O:O,MATCH(テンプレート!$C873,使用レシピ!$E:$E,0))&lt;&gt;0,INDEX(使用レシピ!O:O,MATCH(テンプレート!$C873,使用レシピ!$E:$E,0)),""),"")</f>
        <v/>
      </c>
      <c r="O873" s="36" t="str">
        <f>IFERROR(IF(INDEX(使用レシピ!P:P,MATCH(テンプレート!$C873,使用レシピ!$E:$E,0))&lt;&gt;0,INDEX(使用レシピ!P:P,MATCH(テンプレート!$C873,使用レシピ!$E:$E,0)),""),"")</f>
        <v/>
      </c>
      <c r="P873" t="str">
        <f t="shared" si="66"/>
        <v/>
      </c>
      <c r="Q873" t="str">
        <f t="shared" si="67"/>
        <v/>
      </c>
      <c r="R873" t="str">
        <f t="shared" si="68"/>
        <v/>
      </c>
      <c r="S873" t="str">
        <f t="shared" si="69"/>
        <v/>
      </c>
      <c r="T873" s="24" t="str">
        <f t="shared" si="70"/>
        <v/>
      </c>
    </row>
    <row r="874" spans="2:20" x14ac:dyDescent="0.4">
      <c r="B874" s="49" t="str" cm="1">
        <f t="array" ref="B874">IFERROR((INDEX($P$4:$T$1000,MATCH(VALUE(LEFT($A874,LEN($A874)-1)),$A$4:$A$1000,0),VALUE(RIGHT($A874,1)))/ INDEX($O$4:$O$1000,MATCH(VALUE(LEFT($A874,LEN($A874)-1)),$A$4:$A$1000))) * INDEX($B$4:$B$1000,MATCH(VALUE(LEFT($A874,LEN($A874)-1)),$A$4:$A$1000)),"")</f>
        <v/>
      </c>
      <c r="C874" s="2" t="str" cm="1">
        <f t="array" ref="C874">IFERROR(IF(INDEX($D$4:$H$1000,MATCH(VALUE(LEFT($A874,LEN($A874)-1)),$A$4:$A$1000,0),VALUE(RIGHT($A874,1)))= 0,"",INDEX($D$4:$H$1000,MATCH(VALUE(LEFT($A874,LEN($A874)-1)),$A$4:$A$1000,0),VALUE(RIGHT($A874,1)))),"")</f>
        <v/>
      </c>
      <c r="D874" s="23" t="str">
        <f>IFERROR(IF(INDEX(使用レシピ!F:F,MATCH(テンプレート!$C874,使用レシピ!$E:$E,0))&lt;&gt;0,INDEX(使用レシピ!F:F,MATCH(テンプレート!$C874,使用レシピ!$E:$E,0)),""),"")</f>
        <v/>
      </c>
      <c r="E874" t="str">
        <f>IFERROR(IF(INDEX(使用レシピ!G:G,MATCH(テンプレート!$C874,使用レシピ!$E:$E,0))&lt;&gt;0,INDEX(使用レシピ!G:G,MATCH(テンプレート!$C874,使用レシピ!$E:$E,0)),""),"")</f>
        <v/>
      </c>
      <c r="F874" t="str">
        <f>IFERROR(IF(INDEX(使用レシピ!H:H,MATCH(テンプレート!$C874,使用レシピ!$E:$E,0))&lt;&gt;0,INDEX(使用レシピ!H:H,MATCH(テンプレート!$C874,使用レシピ!$E:$E,0)),""),"")</f>
        <v/>
      </c>
      <c r="G874" t="str">
        <f>IFERROR(IF(INDEX(使用レシピ!I:I,MATCH(テンプレート!$C874,使用レシピ!$E:$E,0))&lt;&gt;0,INDEX(使用レシピ!I:I,MATCH(テンプレート!$C874,使用レシピ!$E:$E,0)),""),"")</f>
        <v/>
      </c>
      <c r="H874" s="24" t="str">
        <f>IFERROR(IF(INDEX(使用レシピ!J:J,MATCH(テンプレート!$C874,使用レシピ!$E:$E,0))&lt;&gt;0,INDEX(使用レシピ!J:J,MATCH(テンプレート!$C874,使用レシピ!$E:$E,0)),""),"")</f>
        <v/>
      </c>
      <c r="I874" s="36" t="str">
        <f>IFERROR(IF(INDEX(使用レシピ!P:P,MATCH(テンプレート!$C874,使用レシピ!$E:$E,0))&lt;&gt;0,INDEX(使用レシピ!P:P,MATCH(テンプレート!$C874,使用レシピ!$E:$E,0)),""),"")</f>
        <v/>
      </c>
      <c r="J874" t="str">
        <f>IFERROR(IF(INDEX(使用レシピ!K:K,MATCH(テンプレート!$C874,使用レシピ!$E:$E,0))&lt;&gt;0,INDEX(使用レシピ!K:K,MATCH(テンプレート!$C874,使用レシピ!$E:$E,0)),""),"")</f>
        <v/>
      </c>
      <c r="K874" t="str">
        <f>IFERROR(IF(INDEX(使用レシピ!L:L,MATCH(テンプレート!$C874,使用レシピ!$E:$E,0))&lt;&gt;0,INDEX(使用レシピ!L:L,MATCH(テンプレート!$C874,使用レシピ!$E:$E,0)),""),"")</f>
        <v/>
      </c>
      <c r="L874" t="str">
        <f>IFERROR(IF(INDEX(使用レシピ!M:M,MATCH(テンプレート!$C874,使用レシピ!$E:$E,0))&lt;&gt;0,INDEX(使用レシピ!M:M,MATCH(テンプレート!$C874,使用レシピ!$E:$E,0)),""),"")</f>
        <v/>
      </c>
      <c r="M874" t="str">
        <f>IFERROR(IF(INDEX(使用レシピ!N:N,MATCH(テンプレート!$C874,使用レシピ!$E:$E,0))&lt;&gt;0,INDEX(使用レシピ!N:N,MATCH(テンプレート!$C874,使用レシピ!$E:$E,0)),""),"")</f>
        <v/>
      </c>
      <c r="N874" s="24" t="str">
        <f>IFERROR(IF(INDEX(使用レシピ!O:O,MATCH(テンプレート!$C874,使用レシピ!$E:$E,0))&lt;&gt;0,INDEX(使用レシピ!O:O,MATCH(テンプレート!$C874,使用レシピ!$E:$E,0)),""),"")</f>
        <v/>
      </c>
      <c r="O874" s="36" t="str">
        <f>IFERROR(IF(INDEX(使用レシピ!P:P,MATCH(テンプレート!$C874,使用レシピ!$E:$E,0))&lt;&gt;0,INDEX(使用レシピ!P:P,MATCH(テンプレート!$C874,使用レシピ!$E:$E,0)),""),"")</f>
        <v/>
      </c>
      <c r="P874" t="str">
        <f t="shared" si="66"/>
        <v/>
      </c>
      <c r="Q874" t="str">
        <f t="shared" si="67"/>
        <v/>
      </c>
      <c r="R874" t="str">
        <f t="shared" si="68"/>
        <v/>
      </c>
      <c r="S874" t="str">
        <f t="shared" si="69"/>
        <v/>
      </c>
      <c r="T874" s="24" t="str">
        <f t="shared" si="70"/>
        <v/>
      </c>
    </row>
    <row r="875" spans="2:20" x14ac:dyDescent="0.4">
      <c r="B875" s="49" t="str" cm="1">
        <f t="array" ref="B875">IFERROR((INDEX($P$4:$T$1000,MATCH(VALUE(LEFT($A875,LEN($A875)-1)),$A$4:$A$1000,0),VALUE(RIGHT($A875,1)))/ INDEX($O$4:$O$1000,MATCH(VALUE(LEFT($A875,LEN($A875)-1)),$A$4:$A$1000))) * INDEX($B$4:$B$1000,MATCH(VALUE(LEFT($A875,LEN($A875)-1)),$A$4:$A$1000)),"")</f>
        <v/>
      </c>
      <c r="C875" s="2" t="str" cm="1">
        <f t="array" ref="C875">IFERROR(IF(INDEX($D$4:$H$1000,MATCH(VALUE(LEFT($A875,LEN($A875)-1)),$A$4:$A$1000,0),VALUE(RIGHT($A875,1)))= 0,"",INDEX($D$4:$H$1000,MATCH(VALUE(LEFT($A875,LEN($A875)-1)),$A$4:$A$1000,0),VALUE(RIGHT($A875,1)))),"")</f>
        <v/>
      </c>
      <c r="D875" s="23" t="str">
        <f>IFERROR(IF(INDEX(使用レシピ!F:F,MATCH(テンプレート!$C875,使用レシピ!$E:$E,0))&lt;&gt;0,INDEX(使用レシピ!F:F,MATCH(テンプレート!$C875,使用レシピ!$E:$E,0)),""),"")</f>
        <v/>
      </c>
      <c r="E875" t="str">
        <f>IFERROR(IF(INDEX(使用レシピ!G:G,MATCH(テンプレート!$C875,使用レシピ!$E:$E,0))&lt;&gt;0,INDEX(使用レシピ!G:G,MATCH(テンプレート!$C875,使用レシピ!$E:$E,0)),""),"")</f>
        <v/>
      </c>
      <c r="F875" t="str">
        <f>IFERROR(IF(INDEX(使用レシピ!H:H,MATCH(テンプレート!$C875,使用レシピ!$E:$E,0))&lt;&gt;0,INDEX(使用レシピ!H:H,MATCH(テンプレート!$C875,使用レシピ!$E:$E,0)),""),"")</f>
        <v/>
      </c>
      <c r="G875" t="str">
        <f>IFERROR(IF(INDEX(使用レシピ!I:I,MATCH(テンプレート!$C875,使用レシピ!$E:$E,0))&lt;&gt;0,INDEX(使用レシピ!I:I,MATCH(テンプレート!$C875,使用レシピ!$E:$E,0)),""),"")</f>
        <v/>
      </c>
      <c r="H875" s="24" t="str">
        <f>IFERROR(IF(INDEX(使用レシピ!J:J,MATCH(テンプレート!$C875,使用レシピ!$E:$E,0))&lt;&gt;0,INDEX(使用レシピ!J:J,MATCH(テンプレート!$C875,使用レシピ!$E:$E,0)),""),"")</f>
        <v/>
      </c>
      <c r="I875" s="36" t="str">
        <f>IFERROR(IF(INDEX(使用レシピ!P:P,MATCH(テンプレート!$C875,使用レシピ!$E:$E,0))&lt;&gt;0,INDEX(使用レシピ!P:P,MATCH(テンプレート!$C875,使用レシピ!$E:$E,0)),""),"")</f>
        <v/>
      </c>
      <c r="J875" t="str">
        <f>IFERROR(IF(INDEX(使用レシピ!K:K,MATCH(テンプレート!$C875,使用レシピ!$E:$E,0))&lt;&gt;0,INDEX(使用レシピ!K:K,MATCH(テンプレート!$C875,使用レシピ!$E:$E,0)),""),"")</f>
        <v/>
      </c>
      <c r="K875" t="str">
        <f>IFERROR(IF(INDEX(使用レシピ!L:L,MATCH(テンプレート!$C875,使用レシピ!$E:$E,0))&lt;&gt;0,INDEX(使用レシピ!L:L,MATCH(テンプレート!$C875,使用レシピ!$E:$E,0)),""),"")</f>
        <v/>
      </c>
      <c r="L875" t="str">
        <f>IFERROR(IF(INDEX(使用レシピ!M:M,MATCH(テンプレート!$C875,使用レシピ!$E:$E,0))&lt;&gt;0,INDEX(使用レシピ!M:M,MATCH(テンプレート!$C875,使用レシピ!$E:$E,0)),""),"")</f>
        <v/>
      </c>
      <c r="M875" t="str">
        <f>IFERROR(IF(INDEX(使用レシピ!N:N,MATCH(テンプレート!$C875,使用レシピ!$E:$E,0))&lt;&gt;0,INDEX(使用レシピ!N:N,MATCH(テンプレート!$C875,使用レシピ!$E:$E,0)),""),"")</f>
        <v/>
      </c>
      <c r="N875" s="24" t="str">
        <f>IFERROR(IF(INDEX(使用レシピ!O:O,MATCH(テンプレート!$C875,使用レシピ!$E:$E,0))&lt;&gt;0,INDEX(使用レシピ!O:O,MATCH(テンプレート!$C875,使用レシピ!$E:$E,0)),""),"")</f>
        <v/>
      </c>
      <c r="O875" s="36" t="str">
        <f>IFERROR(IF(INDEX(使用レシピ!P:P,MATCH(テンプレート!$C875,使用レシピ!$E:$E,0))&lt;&gt;0,INDEX(使用レシピ!P:P,MATCH(テンプレート!$C875,使用レシピ!$E:$E,0)),""),"")</f>
        <v/>
      </c>
      <c r="P875" t="str">
        <f t="shared" si="66"/>
        <v/>
      </c>
      <c r="Q875" t="str">
        <f t="shared" si="67"/>
        <v/>
      </c>
      <c r="R875" t="str">
        <f t="shared" si="68"/>
        <v/>
      </c>
      <c r="S875" t="str">
        <f t="shared" si="69"/>
        <v/>
      </c>
      <c r="T875" s="24" t="str">
        <f t="shared" si="70"/>
        <v/>
      </c>
    </row>
    <row r="876" spans="2:20" x14ac:dyDescent="0.4">
      <c r="B876" s="49" t="str" cm="1">
        <f t="array" ref="B876">IFERROR((INDEX($P$4:$T$1000,MATCH(VALUE(LEFT($A876,LEN($A876)-1)),$A$4:$A$1000,0),VALUE(RIGHT($A876,1)))/ INDEX($O$4:$O$1000,MATCH(VALUE(LEFT($A876,LEN($A876)-1)),$A$4:$A$1000))) * INDEX($B$4:$B$1000,MATCH(VALUE(LEFT($A876,LEN($A876)-1)),$A$4:$A$1000)),"")</f>
        <v/>
      </c>
      <c r="C876" s="2" t="str" cm="1">
        <f t="array" ref="C876">IFERROR(IF(INDEX($D$4:$H$1000,MATCH(VALUE(LEFT($A876,LEN($A876)-1)),$A$4:$A$1000,0),VALUE(RIGHT($A876,1)))= 0,"",INDEX($D$4:$H$1000,MATCH(VALUE(LEFT($A876,LEN($A876)-1)),$A$4:$A$1000,0),VALUE(RIGHT($A876,1)))),"")</f>
        <v/>
      </c>
      <c r="D876" s="23" t="str">
        <f>IFERROR(IF(INDEX(使用レシピ!F:F,MATCH(テンプレート!$C876,使用レシピ!$E:$E,0))&lt;&gt;0,INDEX(使用レシピ!F:F,MATCH(テンプレート!$C876,使用レシピ!$E:$E,0)),""),"")</f>
        <v/>
      </c>
      <c r="E876" t="str">
        <f>IFERROR(IF(INDEX(使用レシピ!G:G,MATCH(テンプレート!$C876,使用レシピ!$E:$E,0))&lt;&gt;0,INDEX(使用レシピ!G:G,MATCH(テンプレート!$C876,使用レシピ!$E:$E,0)),""),"")</f>
        <v/>
      </c>
      <c r="F876" t="str">
        <f>IFERROR(IF(INDEX(使用レシピ!H:H,MATCH(テンプレート!$C876,使用レシピ!$E:$E,0))&lt;&gt;0,INDEX(使用レシピ!H:H,MATCH(テンプレート!$C876,使用レシピ!$E:$E,0)),""),"")</f>
        <v/>
      </c>
      <c r="G876" t="str">
        <f>IFERROR(IF(INDEX(使用レシピ!I:I,MATCH(テンプレート!$C876,使用レシピ!$E:$E,0))&lt;&gt;0,INDEX(使用レシピ!I:I,MATCH(テンプレート!$C876,使用レシピ!$E:$E,0)),""),"")</f>
        <v/>
      </c>
      <c r="H876" s="24" t="str">
        <f>IFERROR(IF(INDEX(使用レシピ!J:J,MATCH(テンプレート!$C876,使用レシピ!$E:$E,0))&lt;&gt;0,INDEX(使用レシピ!J:J,MATCH(テンプレート!$C876,使用レシピ!$E:$E,0)),""),"")</f>
        <v/>
      </c>
      <c r="I876" s="36" t="str">
        <f>IFERROR(IF(INDEX(使用レシピ!P:P,MATCH(テンプレート!$C876,使用レシピ!$E:$E,0))&lt;&gt;0,INDEX(使用レシピ!P:P,MATCH(テンプレート!$C876,使用レシピ!$E:$E,0)),""),"")</f>
        <v/>
      </c>
      <c r="J876" t="str">
        <f>IFERROR(IF(INDEX(使用レシピ!K:K,MATCH(テンプレート!$C876,使用レシピ!$E:$E,0))&lt;&gt;0,INDEX(使用レシピ!K:K,MATCH(テンプレート!$C876,使用レシピ!$E:$E,0)),""),"")</f>
        <v/>
      </c>
      <c r="K876" t="str">
        <f>IFERROR(IF(INDEX(使用レシピ!L:L,MATCH(テンプレート!$C876,使用レシピ!$E:$E,0))&lt;&gt;0,INDEX(使用レシピ!L:L,MATCH(テンプレート!$C876,使用レシピ!$E:$E,0)),""),"")</f>
        <v/>
      </c>
      <c r="L876" t="str">
        <f>IFERROR(IF(INDEX(使用レシピ!M:M,MATCH(テンプレート!$C876,使用レシピ!$E:$E,0))&lt;&gt;0,INDEX(使用レシピ!M:M,MATCH(テンプレート!$C876,使用レシピ!$E:$E,0)),""),"")</f>
        <v/>
      </c>
      <c r="M876" t="str">
        <f>IFERROR(IF(INDEX(使用レシピ!N:N,MATCH(テンプレート!$C876,使用レシピ!$E:$E,0))&lt;&gt;0,INDEX(使用レシピ!N:N,MATCH(テンプレート!$C876,使用レシピ!$E:$E,0)),""),"")</f>
        <v/>
      </c>
      <c r="N876" s="24" t="str">
        <f>IFERROR(IF(INDEX(使用レシピ!O:O,MATCH(テンプレート!$C876,使用レシピ!$E:$E,0))&lt;&gt;0,INDEX(使用レシピ!O:O,MATCH(テンプレート!$C876,使用レシピ!$E:$E,0)),""),"")</f>
        <v/>
      </c>
      <c r="O876" s="36" t="str">
        <f>IFERROR(IF(INDEX(使用レシピ!P:P,MATCH(テンプレート!$C876,使用レシピ!$E:$E,0))&lt;&gt;0,INDEX(使用レシピ!P:P,MATCH(テンプレート!$C876,使用レシピ!$E:$E,0)),""),"")</f>
        <v/>
      </c>
      <c r="P876" t="str">
        <f t="shared" si="66"/>
        <v/>
      </c>
      <c r="Q876" t="str">
        <f t="shared" si="67"/>
        <v/>
      </c>
      <c r="R876" t="str">
        <f t="shared" si="68"/>
        <v/>
      </c>
      <c r="S876" t="str">
        <f t="shared" si="69"/>
        <v/>
      </c>
      <c r="T876" s="24" t="str">
        <f t="shared" si="70"/>
        <v/>
      </c>
    </row>
    <row r="877" spans="2:20" x14ac:dyDescent="0.4">
      <c r="B877" s="49" t="str" cm="1">
        <f t="array" ref="B877">IFERROR((INDEX($P$4:$T$1000,MATCH(VALUE(LEFT($A877,LEN($A877)-1)),$A$4:$A$1000,0),VALUE(RIGHT($A877,1)))/ INDEX($O$4:$O$1000,MATCH(VALUE(LEFT($A877,LEN($A877)-1)),$A$4:$A$1000))) * INDEX($B$4:$B$1000,MATCH(VALUE(LEFT($A877,LEN($A877)-1)),$A$4:$A$1000)),"")</f>
        <v/>
      </c>
      <c r="C877" s="2" t="str" cm="1">
        <f t="array" ref="C877">IFERROR(IF(INDEX($D$4:$H$1000,MATCH(VALUE(LEFT($A877,LEN($A877)-1)),$A$4:$A$1000,0),VALUE(RIGHT($A877,1)))= 0,"",INDEX($D$4:$H$1000,MATCH(VALUE(LEFT($A877,LEN($A877)-1)),$A$4:$A$1000,0),VALUE(RIGHT($A877,1)))),"")</f>
        <v/>
      </c>
      <c r="D877" s="23" t="str">
        <f>IFERROR(IF(INDEX(使用レシピ!F:F,MATCH(テンプレート!$C877,使用レシピ!$E:$E,0))&lt;&gt;0,INDEX(使用レシピ!F:F,MATCH(テンプレート!$C877,使用レシピ!$E:$E,0)),""),"")</f>
        <v/>
      </c>
      <c r="E877" t="str">
        <f>IFERROR(IF(INDEX(使用レシピ!G:G,MATCH(テンプレート!$C877,使用レシピ!$E:$E,0))&lt;&gt;0,INDEX(使用レシピ!G:G,MATCH(テンプレート!$C877,使用レシピ!$E:$E,0)),""),"")</f>
        <v/>
      </c>
      <c r="F877" t="str">
        <f>IFERROR(IF(INDEX(使用レシピ!H:H,MATCH(テンプレート!$C877,使用レシピ!$E:$E,0))&lt;&gt;0,INDEX(使用レシピ!H:H,MATCH(テンプレート!$C877,使用レシピ!$E:$E,0)),""),"")</f>
        <v/>
      </c>
      <c r="G877" t="str">
        <f>IFERROR(IF(INDEX(使用レシピ!I:I,MATCH(テンプレート!$C877,使用レシピ!$E:$E,0))&lt;&gt;0,INDEX(使用レシピ!I:I,MATCH(テンプレート!$C877,使用レシピ!$E:$E,0)),""),"")</f>
        <v/>
      </c>
      <c r="H877" s="24" t="str">
        <f>IFERROR(IF(INDEX(使用レシピ!J:J,MATCH(テンプレート!$C877,使用レシピ!$E:$E,0))&lt;&gt;0,INDEX(使用レシピ!J:J,MATCH(テンプレート!$C877,使用レシピ!$E:$E,0)),""),"")</f>
        <v/>
      </c>
      <c r="I877" s="36" t="str">
        <f>IFERROR(IF(INDEX(使用レシピ!P:P,MATCH(テンプレート!$C877,使用レシピ!$E:$E,0))&lt;&gt;0,INDEX(使用レシピ!P:P,MATCH(テンプレート!$C877,使用レシピ!$E:$E,0)),""),"")</f>
        <v/>
      </c>
      <c r="J877" t="str">
        <f>IFERROR(IF(INDEX(使用レシピ!K:K,MATCH(テンプレート!$C877,使用レシピ!$E:$E,0))&lt;&gt;0,INDEX(使用レシピ!K:K,MATCH(テンプレート!$C877,使用レシピ!$E:$E,0)),""),"")</f>
        <v/>
      </c>
      <c r="K877" t="str">
        <f>IFERROR(IF(INDEX(使用レシピ!L:L,MATCH(テンプレート!$C877,使用レシピ!$E:$E,0))&lt;&gt;0,INDEX(使用レシピ!L:L,MATCH(テンプレート!$C877,使用レシピ!$E:$E,0)),""),"")</f>
        <v/>
      </c>
      <c r="L877" t="str">
        <f>IFERROR(IF(INDEX(使用レシピ!M:M,MATCH(テンプレート!$C877,使用レシピ!$E:$E,0))&lt;&gt;0,INDEX(使用レシピ!M:M,MATCH(テンプレート!$C877,使用レシピ!$E:$E,0)),""),"")</f>
        <v/>
      </c>
      <c r="M877" t="str">
        <f>IFERROR(IF(INDEX(使用レシピ!N:N,MATCH(テンプレート!$C877,使用レシピ!$E:$E,0))&lt;&gt;0,INDEX(使用レシピ!N:N,MATCH(テンプレート!$C877,使用レシピ!$E:$E,0)),""),"")</f>
        <v/>
      </c>
      <c r="N877" s="24" t="str">
        <f>IFERROR(IF(INDEX(使用レシピ!O:O,MATCH(テンプレート!$C877,使用レシピ!$E:$E,0))&lt;&gt;0,INDEX(使用レシピ!O:O,MATCH(テンプレート!$C877,使用レシピ!$E:$E,0)),""),"")</f>
        <v/>
      </c>
      <c r="O877" s="36" t="str">
        <f>IFERROR(IF(INDEX(使用レシピ!P:P,MATCH(テンプレート!$C877,使用レシピ!$E:$E,0))&lt;&gt;0,INDEX(使用レシピ!P:P,MATCH(テンプレート!$C877,使用レシピ!$E:$E,0)),""),"")</f>
        <v/>
      </c>
      <c r="P877" t="str">
        <f t="shared" ref="P877:P940" si="71">IFERROR(IF($O877/$I877*J877 &gt; 0,$O877/$I877*J877,""),"")</f>
        <v/>
      </c>
      <c r="Q877" t="str">
        <f t="shared" ref="Q877:Q940" si="72">IFERROR(IF($O877/$I877*K877 &gt; 0,$O877/$I877*K877,""),"")</f>
        <v/>
      </c>
      <c r="R877" t="str">
        <f t="shared" ref="R877:R940" si="73">IFERROR(IF($O877/$I877*L877 &gt; 0,$O877/$I877*L877,""),"")</f>
        <v/>
      </c>
      <c r="S877" t="str">
        <f t="shared" ref="S877:S940" si="74">IFERROR(IF($O877/$I877*M877 &gt; 0,$O877/$I877*M877,""),"")</f>
        <v/>
      </c>
      <c r="T877" s="24" t="str">
        <f t="shared" ref="T877:T940" si="75">IFERROR(IF($O877/$I877*N877 &gt; 0,$O877/$I877*N877,""),"")</f>
        <v/>
      </c>
    </row>
    <row r="878" spans="2:20" x14ac:dyDescent="0.4">
      <c r="B878" s="49" t="str" cm="1">
        <f t="array" ref="B878">IFERROR((INDEX($P$4:$T$1000,MATCH(VALUE(LEFT($A878,LEN($A878)-1)),$A$4:$A$1000,0),VALUE(RIGHT($A878,1)))/ INDEX($O$4:$O$1000,MATCH(VALUE(LEFT($A878,LEN($A878)-1)),$A$4:$A$1000))) * INDEX($B$4:$B$1000,MATCH(VALUE(LEFT($A878,LEN($A878)-1)),$A$4:$A$1000)),"")</f>
        <v/>
      </c>
      <c r="C878" s="2" t="str" cm="1">
        <f t="array" ref="C878">IFERROR(IF(INDEX($D$4:$H$1000,MATCH(VALUE(LEFT($A878,LEN($A878)-1)),$A$4:$A$1000,0),VALUE(RIGHT($A878,1)))= 0,"",INDEX($D$4:$H$1000,MATCH(VALUE(LEFT($A878,LEN($A878)-1)),$A$4:$A$1000,0),VALUE(RIGHT($A878,1)))),"")</f>
        <v/>
      </c>
      <c r="D878" s="23" t="str">
        <f>IFERROR(IF(INDEX(使用レシピ!F:F,MATCH(テンプレート!$C878,使用レシピ!$E:$E,0))&lt;&gt;0,INDEX(使用レシピ!F:F,MATCH(テンプレート!$C878,使用レシピ!$E:$E,0)),""),"")</f>
        <v/>
      </c>
      <c r="E878" t="str">
        <f>IFERROR(IF(INDEX(使用レシピ!G:G,MATCH(テンプレート!$C878,使用レシピ!$E:$E,0))&lt;&gt;0,INDEX(使用レシピ!G:G,MATCH(テンプレート!$C878,使用レシピ!$E:$E,0)),""),"")</f>
        <v/>
      </c>
      <c r="F878" t="str">
        <f>IFERROR(IF(INDEX(使用レシピ!H:H,MATCH(テンプレート!$C878,使用レシピ!$E:$E,0))&lt;&gt;0,INDEX(使用レシピ!H:H,MATCH(テンプレート!$C878,使用レシピ!$E:$E,0)),""),"")</f>
        <v/>
      </c>
      <c r="G878" t="str">
        <f>IFERROR(IF(INDEX(使用レシピ!I:I,MATCH(テンプレート!$C878,使用レシピ!$E:$E,0))&lt;&gt;0,INDEX(使用レシピ!I:I,MATCH(テンプレート!$C878,使用レシピ!$E:$E,0)),""),"")</f>
        <v/>
      </c>
      <c r="H878" s="24" t="str">
        <f>IFERROR(IF(INDEX(使用レシピ!J:J,MATCH(テンプレート!$C878,使用レシピ!$E:$E,0))&lt;&gt;0,INDEX(使用レシピ!J:J,MATCH(テンプレート!$C878,使用レシピ!$E:$E,0)),""),"")</f>
        <v/>
      </c>
      <c r="I878" s="36" t="str">
        <f>IFERROR(IF(INDEX(使用レシピ!P:P,MATCH(テンプレート!$C878,使用レシピ!$E:$E,0))&lt;&gt;0,INDEX(使用レシピ!P:P,MATCH(テンプレート!$C878,使用レシピ!$E:$E,0)),""),"")</f>
        <v/>
      </c>
      <c r="J878" t="str">
        <f>IFERROR(IF(INDEX(使用レシピ!K:K,MATCH(テンプレート!$C878,使用レシピ!$E:$E,0))&lt;&gt;0,INDEX(使用レシピ!K:K,MATCH(テンプレート!$C878,使用レシピ!$E:$E,0)),""),"")</f>
        <v/>
      </c>
      <c r="K878" t="str">
        <f>IFERROR(IF(INDEX(使用レシピ!L:L,MATCH(テンプレート!$C878,使用レシピ!$E:$E,0))&lt;&gt;0,INDEX(使用レシピ!L:L,MATCH(テンプレート!$C878,使用レシピ!$E:$E,0)),""),"")</f>
        <v/>
      </c>
      <c r="L878" t="str">
        <f>IFERROR(IF(INDEX(使用レシピ!M:M,MATCH(テンプレート!$C878,使用レシピ!$E:$E,0))&lt;&gt;0,INDEX(使用レシピ!M:M,MATCH(テンプレート!$C878,使用レシピ!$E:$E,0)),""),"")</f>
        <v/>
      </c>
      <c r="M878" t="str">
        <f>IFERROR(IF(INDEX(使用レシピ!N:N,MATCH(テンプレート!$C878,使用レシピ!$E:$E,0))&lt;&gt;0,INDEX(使用レシピ!N:N,MATCH(テンプレート!$C878,使用レシピ!$E:$E,0)),""),"")</f>
        <v/>
      </c>
      <c r="N878" s="24" t="str">
        <f>IFERROR(IF(INDEX(使用レシピ!O:O,MATCH(テンプレート!$C878,使用レシピ!$E:$E,0))&lt;&gt;0,INDEX(使用レシピ!O:O,MATCH(テンプレート!$C878,使用レシピ!$E:$E,0)),""),"")</f>
        <v/>
      </c>
      <c r="O878" s="36" t="str">
        <f>IFERROR(IF(INDEX(使用レシピ!P:P,MATCH(テンプレート!$C878,使用レシピ!$E:$E,0))&lt;&gt;0,INDEX(使用レシピ!P:P,MATCH(テンプレート!$C878,使用レシピ!$E:$E,0)),""),"")</f>
        <v/>
      </c>
      <c r="P878" t="str">
        <f t="shared" si="71"/>
        <v/>
      </c>
      <c r="Q878" t="str">
        <f t="shared" si="72"/>
        <v/>
      </c>
      <c r="R878" t="str">
        <f t="shared" si="73"/>
        <v/>
      </c>
      <c r="S878" t="str">
        <f t="shared" si="74"/>
        <v/>
      </c>
      <c r="T878" s="24" t="str">
        <f t="shared" si="75"/>
        <v/>
      </c>
    </row>
    <row r="879" spans="2:20" x14ac:dyDescent="0.4">
      <c r="B879" s="49" t="str" cm="1">
        <f t="array" ref="B879">IFERROR((INDEX($P$4:$T$1000,MATCH(VALUE(LEFT($A879,LEN($A879)-1)),$A$4:$A$1000,0),VALUE(RIGHT($A879,1)))/ INDEX($O$4:$O$1000,MATCH(VALUE(LEFT($A879,LEN($A879)-1)),$A$4:$A$1000))) * INDEX($B$4:$B$1000,MATCH(VALUE(LEFT($A879,LEN($A879)-1)),$A$4:$A$1000)),"")</f>
        <v/>
      </c>
      <c r="C879" s="2" t="str" cm="1">
        <f t="array" ref="C879">IFERROR(IF(INDEX($D$4:$H$1000,MATCH(VALUE(LEFT($A879,LEN($A879)-1)),$A$4:$A$1000,0),VALUE(RIGHT($A879,1)))= 0,"",INDEX($D$4:$H$1000,MATCH(VALUE(LEFT($A879,LEN($A879)-1)),$A$4:$A$1000,0),VALUE(RIGHT($A879,1)))),"")</f>
        <v/>
      </c>
      <c r="D879" s="23" t="str">
        <f>IFERROR(IF(INDEX(使用レシピ!F:F,MATCH(テンプレート!$C879,使用レシピ!$E:$E,0))&lt;&gt;0,INDEX(使用レシピ!F:F,MATCH(テンプレート!$C879,使用レシピ!$E:$E,0)),""),"")</f>
        <v/>
      </c>
      <c r="E879" t="str">
        <f>IFERROR(IF(INDEX(使用レシピ!G:G,MATCH(テンプレート!$C879,使用レシピ!$E:$E,0))&lt;&gt;0,INDEX(使用レシピ!G:G,MATCH(テンプレート!$C879,使用レシピ!$E:$E,0)),""),"")</f>
        <v/>
      </c>
      <c r="F879" t="str">
        <f>IFERROR(IF(INDEX(使用レシピ!H:H,MATCH(テンプレート!$C879,使用レシピ!$E:$E,0))&lt;&gt;0,INDEX(使用レシピ!H:H,MATCH(テンプレート!$C879,使用レシピ!$E:$E,0)),""),"")</f>
        <v/>
      </c>
      <c r="G879" t="str">
        <f>IFERROR(IF(INDEX(使用レシピ!I:I,MATCH(テンプレート!$C879,使用レシピ!$E:$E,0))&lt;&gt;0,INDEX(使用レシピ!I:I,MATCH(テンプレート!$C879,使用レシピ!$E:$E,0)),""),"")</f>
        <v/>
      </c>
      <c r="H879" s="24" t="str">
        <f>IFERROR(IF(INDEX(使用レシピ!J:J,MATCH(テンプレート!$C879,使用レシピ!$E:$E,0))&lt;&gt;0,INDEX(使用レシピ!J:J,MATCH(テンプレート!$C879,使用レシピ!$E:$E,0)),""),"")</f>
        <v/>
      </c>
      <c r="I879" s="36" t="str">
        <f>IFERROR(IF(INDEX(使用レシピ!P:P,MATCH(テンプレート!$C879,使用レシピ!$E:$E,0))&lt;&gt;0,INDEX(使用レシピ!P:P,MATCH(テンプレート!$C879,使用レシピ!$E:$E,0)),""),"")</f>
        <v/>
      </c>
      <c r="J879" t="str">
        <f>IFERROR(IF(INDEX(使用レシピ!K:K,MATCH(テンプレート!$C879,使用レシピ!$E:$E,0))&lt;&gt;0,INDEX(使用レシピ!K:K,MATCH(テンプレート!$C879,使用レシピ!$E:$E,0)),""),"")</f>
        <v/>
      </c>
      <c r="K879" t="str">
        <f>IFERROR(IF(INDEX(使用レシピ!L:L,MATCH(テンプレート!$C879,使用レシピ!$E:$E,0))&lt;&gt;0,INDEX(使用レシピ!L:L,MATCH(テンプレート!$C879,使用レシピ!$E:$E,0)),""),"")</f>
        <v/>
      </c>
      <c r="L879" t="str">
        <f>IFERROR(IF(INDEX(使用レシピ!M:M,MATCH(テンプレート!$C879,使用レシピ!$E:$E,0))&lt;&gt;0,INDEX(使用レシピ!M:M,MATCH(テンプレート!$C879,使用レシピ!$E:$E,0)),""),"")</f>
        <v/>
      </c>
      <c r="M879" t="str">
        <f>IFERROR(IF(INDEX(使用レシピ!N:N,MATCH(テンプレート!$C879,使用レシピ!$E:$E,0))&lt;&gt;0,INDEX(使用レシピ!N:N,MATCH(テンプレート!$C879,使用レシピ!$E:$E,0)),""),"")</f>
        <v/>
      </c>
      <c r="N879" s="24" t="str">
        <f>IFERROR(IF(INDEX(使用レシピ!O:O,MATCH(テンプレート!$C879,使用レシピ!$E:$E,0))&lt;&gt;0,INDEX(使用レシピ!O:O,MATCH(テンプレート!$C879,使用レシピ!$E:$E,0)),""),"")</f>
        <v/>
      </c>
      <c r="O879" s="36" t="str">
        <f>IFERROR(IF(INDEX(使用レシピ!P:P,MATCH(テンプレート!$C879,使用レシピ!$E:$E,0))&lt;&gt;0,INDEX(使用レシピ!P:P,MATCH(テンプレート!$C879,使用レシピ!$E:$E,0)),""),"")</f>
        <v/>
      </c>
      <c r="P879" t="str">
        <f t="shared" si="71"/>
        <v/>
      </c>
      <c r="Q879" t="str">
        <f t="shared" si="72"/>
        <v/>
      </c>
      <c r="R879" t="str">
        <f t="shared" si="73"/>
        <v/>
      </c>
      <c r="S879" t="str">
        <f t="shared" si="74"/>
        <v/>
      </c>
      <c r="T879" s="24" t="str">
        <f t="shared" si="75"/>
        <v/>
      </c>
    </row>
    <row r="880" spans="2:20" x14ac:dyDescent="0.4">
      <c r="B880" s="49" t="str" cm="1">
        <f t="array" ref="B880">IFERROR((INDEX($P$4:$T$1000,MATCH(VALUE(LEFT($A880,LEN($A880)-1)),$A$4:$A$1000,0),VALUE(RIGHT($A880,1)))/ INDEX($O$4:$O$1000,MATCH(VALUE(LEFT($A880,LEN($A880)-1)),$A$4:$A$1000))) * INDEX($B$4:$B$1000,MATCH(VALUE(LEFT($A880,LEN($A880)-1)),$A$4:$A$1000)),"")</f>
        <v/>
      </c>
      <c r="C880" s="2" t="str" cm="1">
        <f t="array" ref="C880">IFERROR(IF(INDEX($D$4:$H$1000,MATCH(VALUE(LEFT($A880,LEN($A880)-1)),$A$4:$A$1000,0),VALUE(RIGHT($A880,1)))= 0,"",INDEX($D$4:$H$1000,MATCH(VALUE(LEFT($A880,LEN($A880)-1)),$A$4:$A$1000,0),VALUE(RIGHT($A880,1)))),"")</f>
        <v/>
      </c>
      <c r="D880" s="23" t="str">
        <f>IFERROR(IF(INDEX(使用レシピ!F:F,MATCH(テンプレート!$C880,使用レシピ!$E:$E,0))&lt;&gt;0,INDEX(使用レシピ!F:F,MATCH(テンプレート!$C880,使用レシピ!$E:$E,0)),""),"")</f>
        <v/>
      </c>
      <c r="E880" t="str">
        <f>IFERROR(IF(INDEX(使用レシピ!G:G,MATCH(テンプレート!$C880,使用レシピ!$E:$E,0))&lt;&gt;0,INDEX(使用レシピ!G:G,MATCH(テンプレート!$C880,使用レシピ!$E:$E,0)),""),"")</f>
        <v/>
      </c>
      <c r="F880" t="str">
        <f>IFERROR(IF(INDEX(使用レシピ!H:H,MATCH(テンプレート!$C880,使用レシピ!$E:$E,0))&lt;&gt;0,INDEX(使用レシピ!H:H,MATCH(テンプレート!$C880,使用レシピ!$E:$E,0)),""),"")</f>
        <v/>
      </c>
      <c r="G880" t="str">
        <f>IFERROR(IF(INDEX(使用レシピ!I:I,MATCH(テンプレート!$C880,使用レシピ!$E:$E,0))&lt;&gt;0,INDEX(使用レシピ!I:I,MATCH(テンプレート!$C880,使用レシピ!$E:$E,0)),""),"")</f>
        <v/>
      </c>
      <c r="H880" s="24" t="str">
        <f>IFERROR(IF(INDEX(使用レシピ!J:J,MATCH(テンプレート!$C880,使用レシピ!$E:$E,0))&lt;&gt;0,INDEX(使用レシピ!J:J,MATCH(テンプレート!$C880,使用レシピ!$E:$E,0)),""),"")</f>
        <v/>
      </c>
      <c r="I880" s="36" t="str">
        <f>IFERROR(IF(INDEX(使用レシピ!P:P,MATCH(テンプレート!$C880,使用レシピ!$E:$E,0))&lt;&gt;0,INDEX(使用レシピ!P:P,MATCH(テンプレート!$C880,使用レシピ!$E:$E,0)),""),"")</f>
        <v/>
      </c>
      <c r="J880" t="str">
        <f>IFERROR(IF(INDEX(使用レシピ!K:K,MATCH(テンプレート!$C880,使用レシピ!$E:$E,0))&lt;&gt;0,INDEX(使用レシピ!K:K,MATCH(テンプレート!$C880,使用レシピ!$E:$E,0)),""),"")</f>
        <v/>
      </c>
      <c r="K880" t="str">
        <f>IFERROR(IF(INDEX(使用レシピ!L:L,MATCH(テンプレート!$C880,使用レシピ!$E:$E,0))&lt;&gt;0,INDEX(使用レシピ!L:L,MATCH(テンプレート!$C880,使用レシピ!$E:$E,0)),""),"")</f>
        <v/>
      </c>
      <c r="L880" t="str">
        <f>IFERROR(IF(INDEX(使用レシピ!M:M,MATCH(テンプレート!$C880,使用レシピ!$E:$E,0))&lt;&gt;0,INDEX(使用レシピ!M:M,MATCH(テンプレート!$C880,使用レシピ!$E:$E,0)),""),"")</f>
        <v/>
      </c>
      <c r="M880" t="str">
        <f>IFERROR(IF(INDEX(使用レシピ!N:N,MATCH(テンプレート!$C880,使用レシピ!$E:$E,0))&lt;&gt;0,INDEX(使用レシピ!N:N,MATCH(テンプレート!$C880,使用レシピ!$E:$E,0)),""),"")</f>
        <v/>
      </c>
      <c r="N880" s="24" t="str">
        <f>IFERROR(IF(INDEX(使用レシピ!O:O,MATCH(テンプレート!$C880,使用レシピ!$E:$E,0))&lt;&gt;0,INDEX(使用レシピ!O:O,MATCH(テンプレート!$C880,使用レシピ!$E:$E,0)),""),"")</f>
        <v/>
      </c>
      <c r="O880" s="36" t="str">
        <f>IFERROR(IF(INDEX(使用レシピ!P:P,MATCH(テンプレート!$C880,使用レシピ!$E:$E,0))&lt;&gt;0,INDEX(使用レシピ!P:P,MATCH(テンプレート!$C880,使用レシピ!$E:$E,0)),""),"")</f>
        <v/>
      </c>
      <c r="P880" t="str">
        <f t="shared" si="71"/>
        <v/>
      </c>
      <c r="Q880" t="str">
        <f t="shared" si="72"/>
        <v/>
      </c>
      <c r="R880" t="str">
        <f t="shared" si="73"/>
        <v/>
      </c>
      <c r="S880" t="str">
        <f t="shared" si="74"/>
        <v/>
      </c>
      <c r="T880" s="24" t="str">
        <f t="shared" si="75"/>
        <v/>
      </c>
    </row>
    <row r="881" spans="2:20" x14ac:dyDescent="0.4">
      <c r="B881" s="49" t="str" cm="1">
        <f t="array" ref="B881">IFERROR((INDEX($P$4:$T$1000,MATCH(VALUE(LEFT($A881,LEN($A881)-1)),$A$4:$A$1000,0),VALUE(RIGHT($A881,1)))/ INDEX($O$4:$O$1000,MATCH(VALUE(LEFT($A881,LEN($A881)-1)),$A$4:$A$1000))) * INDEX($B$4:$B$1000,MATCH(VALUE(LEFT($A881,LEN($A881)-1)),$A$4:$A$1000)),"")</f>
        <v/>
      </c>
      <c r="C881" s="2" t="str" cm="1">
        <f t="array" ref="C881">IFERROR(IF(INDEX($D$4:$H$1000,MATCH(VALUE(LEFT($A881,LEN($A881)-1)),$A$4:$A$1000,0),VALUE(RIGHT($A881,1)))= 0,"",INDEX($D$4:$H$1000,MATCH(VALUE(LEFT($A881,LEN($A881)-1)),$A$4:$A$1000,0),VALUE(RIGHT($A881,1)))),"")</f>
        <v/>
      </c>
      <c r="D881" s="23" t="str">
        <f>IFERROR(IF(INDEX(使用レシピ!F:F,MATCH(テンプレート!$C881,使用レシピ!$E:$E,0))&lt;&gt;0,INDEX(使用レシピ!F:F,MATCH(テンプレート!$C881,使用レシピ!$E:$E,0)),""),"")</f>
        <v/>
      </c>
      <c r="E881" t="str">
        <f>IFERROR(IF(INDEX(使用レシピ!G:G,MATCH(テンプレート!$C881,使用レシピ!$E:$E,0))&lt;&gt;0,INDEX(使用レシピ!G:G,MATCH(テンプレート!$C881,使用レシピ!$E:$E,0)),""),"")</f>
        <v/>
      </c>
      <c r="F881" t="str">
        <f>IFERROR(IF(INDEX(使用レシピ!H:H,MATCH(テンプレート!$C881,使用レシピ!$E:$E,0))&lt;&gt;0,INDEX(使用レシピ!H:H,MATCH(テンプレート!$C881,使用レシピ!$E:$E,0)),""),"")</f>
        <v/>
      </c>
      <c r="G881" t="str">
        <f>IFERROR(IF(INDEX(使用レシピ!I:I,MATCH(テンプレート!$C881,使用レシピ!$E:$E,0))&lt;&gt;0,INDEX(使用レシピ!I:I,MATCH(テンプレート!$C881,使用レシピ!$E:$E,0)),""),"")</f>
        <v/>
      </c>
      <c r="H881" s="24" t="str">
        <f>IFERROR(IF(INDEX(使用レシピ!J:J,MATCH(テンプレート!$C881,使用レシピ!$E:$E,0))&lt;&gt;0,INDEX(使用レシピ!J:J,MATCH(テンプレート!$C881,使用レシピ!$E:$E,0)),""),"")</f>
        <v/>
      </c>
      <c r="I881" s="36" t="str">
        <f>IFERROR(IF(INDEX(使用レシピ!P:P,MATCH(テンプレート!$C881,使用レシピ!$E:$E,0))&lt;&gt;0,INDEX(使用レシピ!P:P,MATCH(テンプレート!$C881,使用レシピ!$E:$E,0)),""),"")</f>
        <v/>
      </c>
      <c r="J881" t="str">
        <f>IFERROR(IF(INDEX(使用レシピ!K:K,MATCH(テンプレート!$C881,使用レシピ!$E:$E,0))&lt;&gt;0,INDEX(使用レシピ!K:K,MATCH(テンプレート!$C881,使用レシピ!$E:$E,0)),""),"")</f>
        <v/>
      </c>
      <c r="K881" t="str">
        <f>IFERROR(IF(INDEX(使用レシピ!L:L,MATCH(テンプレート!$C881,使用レシピ!$E:$E,0))&lt;&gt;0,INDEX(使用レシピ!L:L,MATCH(テンプレート!$C881,使用レシピ!$E:$E,0)),""),"")</f>
        <v/>
      </c>
      <c r="L881" t="str">
        <f>IFERROR(IF(INDEX(使用レシピ!M:M,MATCH(テンプレート!$C881,使用レシピ!$E:$E,0))&lt;&gt;0,INDEX(使用レシピ!M:M,MATCH(テンプレート!$C881,使用レシピ!$E:$E,0)),""),"")</f>
        <v/>
      </c>
      <c r="M881" t="str">
        <f>IFERROR(IF(INDEX(使用レシピ!N:N,MATCH(テンプレート!$C881,使用レシピ!$E:$E,0))&lt;&gt;0,INDEX(使用レシピ!N:N,MATCH(テンプレート!$C881,使用レシピ!$E:$E,0)),""),"")</f>
        <v/>
      </c>
      <c r="N881" s="24" t="str">
        <f>IFERROR(IF(INDEX(使用レシピ!O:O,MATCH(テンプレート!$C881,使用レシピ!$E:$E,0))&lt;&gt;0,INDEX(使用レシピ!O:O,MATCH(テンプレート!$C881,使用レシピ!$E:$E,0)),""),"")</f>
        <v/>
      </c>
      <c r="O881" s="36" t="str">
        <f>IFERROR(IF(INDEX(使用レシピ!P:P,MATCH(テンプレート!$C881,使用レシピ!$E:$E,0))&lt;&gt;0,INDEX(使用レシピ!P:P,MATCH(テンプレート!$C881,使用レシピ!$E:$E,0)),""),"")</f>
        <v/>
      </c>
      <c r="P881" t="str">
        <f t="shared" si="71"/>
        <v/>
      </c>
      <c r="Q881" t="str">
        <f t="shared" si="72"/>
        <v/>
      </c>
      <c r="R881" t="str">
        <f t="shared" si="73"/>
        <v/>
      </c>
      <c r="S881" t="str">
        <f t="shared" si="74"/>
        <v/>
      </c>
      <c r="T881" s="24" t="str">
        <f t="shared" si="75"/>
        <v/>
      </c>
    </row>
    <row r="882" spans="2:20" x14ac:dyDescent="0.4">
      <c r="B882" s="49" t="str" cm="1">
        <f t="array" ref="B882">IFERROR((INDEX($P$4:$T$1000,MATCH(VALUE(LEFT($A882,LEN($A882)-1)),$A$4:$A$1000,0),VALUE(RIGHT($A882,1)))/ INDEX($O$4:$O$1000,MATCH(VALUE(LEFT($A882,LEN($A882)-1)),$A$4:$A$1000))) * INDEX($B$4:$B$1000,MATCH(VALUE(LEFT($A882,LEN($A882)-1)),$A$4:$A$1000)),"")</f>
        <v/>
      </c>
      <c r="C882" s="2" t="str" cm="1">
        <f t="array" ref="C882">IFERROR(IF(INDEX($D$4:$H$1000,MATCH(VALUE(LEFT($A882,LEN($A882)-1)),$A$4:$A$1000,0),VALUE(RIGHT($A882,1)))= 0,"",INDEX($D$4:$H$1000,MATCH(VALUE(LEFT($A882,LEN($A882)-1)),$A$4:$A$1000,0),VALUE(RIGHT($A882,1)))),"")</f>
        <v/>
      </c>
      <c r="D882" s="23" t="str">
        <f>IFERROR(IF(INDEX(使用レシピ!F:F,MATCH(テンプレート!$C882,使用レシピ!$E:$E,0))&lt;&gt;0,INDEX(使用レシピ!F:F,MATCH(テンプレート!$C882,使用レシピ!$E:$E,0)),""),"")</f>
        <v/>
      </c>
      <c r="E882" t="str">
        <f>IFERROR(IF(INDEX(使用レシピ!G:G,MATCH(テンプレート!$C882,使用レシピ!$E:$E,0))&lt;&gt;0,INDEX(使用レシピ!G:G,MATCH(テンプレート!$C882,使用レシピ!$E:$E,0)),""),"")</f>
        <v/>
      </c>
      <c r="F882" t="str">
        <f>IFERROR(IF(INDEX(使用レシピ!H:H,MATCH(テンプレート!$C882,使用レシピ!$E:$E,0))&lt;&gt;0,INDEX(使用レシピ!H:H,MATCH(テンプレート!$C882,使用レシピ!$E:$E,0)),""),"")</f>
        <v/>
      </c>
      <c r="G882" t="str">
        <f>IFERROR(IF(INDEX(使用レシピ!I:I,MATCH(テンプレート!$C882,使用レシピ!$E:$E,0))&lt;&gt;0,INDEX(使用レシピ!I:I,MATCH(テンプレート!$C882,使用レシピ!$E:$E,0)),""),"")</f>
        <v/>
      </c>
      <c r="H882" s="24" t="str">
        <f>IFERROR(IF(INDEX(使用レシピ!J:J,MATCH(テンプレート!$C882,使用レシピ!$E:$E,0))&lt;&gt;0,INDEX(使用レシピ!J:J,MATCH(テンプレート!$C882,使用レシピ!$E:$E,0)),""),"")</f>
        <v/>
      </c>
      <c r="I882" s="36" t="str">
        <f>IFERROR(IF(INDEX(使用レシピ!P:P,MATCH(テンプレート!$C882,使用レシピ!$E:$E,0))&lt;&gt;0,INDEX(使用レシピ!P:P,MATCH(テンプレート!$C882,使用レシピ!$E:$E,0)),""),"")</f>
        <v/>
      </c>
      <c r="J882" t="str">
        <f>IFERROR(IF(INDEX(使用レシピ!K:K,MATCH(テンプレート!$C882,使用レシピ!$E:$E,0))&lt;&gt;0,INDEX(使用レシピ!K:K,MATCH(テンプレート!$C882,使用レシピ!$E:$E,0)),""),"")</f>
        <v/>
      </c>
      <c r="K882" t="str">
        <f>IFERROR(IF(INDEX(使用レシピ!L:L,MATCH(テンプレート!$C882,使用レシピ!$E:$E,0))&lt;&gt;0,INDEX(使用レシピ!L:L,MATCH(テンプレート!$C882,使用レシピ!$E:$E,0)),""),"")</f>
        <v/>
      </c>
      <c r="L882" t="str">
        <f>IFERROR(IF(INDEX(使用レシピ!M:M,MATCH(テンプレート!$C882,使用レシピ!$E:$E,0))&lt;&gt;0,INDEX(使用レシピ!M:M,MATCH(テンプレート!$C882,使用レシピ!$E:$E,0)),""),"")</f>
        <v/>
      </c>
      <c r="M882" t="str">
        <f>IFERROR(IF(INDEX(使用レシピ!N:N,MATCH(テンプレート!$C882,使用レシピ!$E:$E,0))&lt;&gt;0,INDEX(使用レシピ!N:N,MATCH(テンプレート!$C882,使用レシピ!$E:$E,0)),""),"")</f>
        <v/>
      </c>
      <c r="N882" s="24" t="str">
        <f>IFERROR(IF(INDEX(使用レシピ!O:O,MATCH(テンプレート!$C882,使用レシピ!$E:$E,0))&lt;&gt;0,INDEX(使用レシピ!O:O,MATCH(テンプレート!$C882,使用レシピ!$E:$E,0)),""),"")</f>
        <v/>
      </c>
      <c r="O882" s="36" t="str">
        <f>IFERROR(IF(INDEX(使用レシピ!P:P,MATCH(テンプレート!$C882,使用レシピ!$E:$E,0))&lt;&gt;0,INDEX(使用レシピ!P:P,MATCH(テンプレート!$C882,使用レシピ!$E:$E,0)),""),"")</f>
        <v/>
      </c>
      <c r="P882" t="str">
        <f t="shared" si="71"/>
        <v/>
      </c>
      <c r="Q882" t="str">
        <f t="shared" si="72"/>
        <v/>
      </c>
      <c r="R882" t="str">
        <f t="shared" si="73"/>
        <v/>
      </c>
      <c r="S882" t="str">
        <f t="shared" si="74"/>
        <v/>
      </c>
      <c r="T882" s="24" t="str">
        <f t="shared" si="75"/>
        <v/>
      </c>
    </row>
    <row r="883" spans="2:20" x14ac:dyDescent="0.4">
      <c r="B883" s="49" t="str" cm="1">
        <f t="array" ref="B883">IFERROR((INDEX($P$4:$T$1000,MATCH(VALUE(LEFT($A883,LEN($A883)-1)),$A$4:$A$1000,0),VALUE(RIGHT($A883,1)))/ INDEX($O$4:$O$1000,MATCH(VALUE(LEFT($A883,LEN($A883)-1)),$A$4:$A$1000))) * INDEX($B$4:$B$1000,MATCH(VALUE(LEFT($A883,LEN($A883)-1)),$A$4:$A$1000)),"")</f>
        <v/>
      </c>
      <c r="C883" s="2" t="str" cm="1">
        <f t="array" ref="C883">IFERROR(IF(INDEX($D$4:$H$1000,MATCH(VALUE(LEFT($A883,LEN($A883)-1)),$A$4:$A$1000,0),VALUE(RIGHT($A883,1)))= 0,"",INDEX($D$4:$H$1000,MATCH(VALUE(LEFT($A883,LEN($A883)-1)),$A$4:$A$1000,0),VALUE(RIGHT($A883,1)))),"")</f>
        <v/>
      </c>
      <c r="D883" s="23" t="str">
        <f>IFERROR(IF(INDEX(使用レシピ!F:F,MATCH(テンプレート!$C883,使用レシピ!$E:$E,0))&lt;&gt;0,INDEX(使用レシピ!F:F,MATCH(テンプレート!$C883,使用レシピ!$E:$E,0)),""),"")</f>
        <v/>
      </c>
      <c r="E883" t="str">
        <f>IFERROR(IF(INDEX(使用レシピ!G:G,MATCH(テンプレート!$C883,使用レシピ!$E:$E,0))&lt;&gt;0,INDEX(使用レシピ!G:G,MATCH(テンプレート!$C883,使用レシピ!$E:$E,0)),""),"")</f>
        <v/>
      </c>
      <c r="F883" t="str">
        <f>IFERROR(IF(INDEX(使用レシピ!H:H,MATCH(テンプレート!$C883,使用レシピ!$E:$E,0))&lt;&gt;0,INDEX(使用レシピ!H:H,MATCH(テンプレート!$C883,使用レシピ!$E:$E,0)),""),"")</f>
        <v/>
      </c>
      <c r="G883" t="str">
        <f>IFERROR(IF(INDEX(使用レシピ!I:I,MATCH(テンプレート!$C883,使用レシピ!$E:$E,0))&lt;&gt;0,INDEX(使用レシピ!I:I,MATCH(テンプレート!$C883,使用レシピ!$E:$E,0)),""),"")</f>
        <v/>
      </c>
      <c r="H883" s="24" t="str">
        <f>IFERROR(IF(INDEX(使用レシピ!J:J,MATCH(テンプレート!$C883,使用レシピ!$E:$E,0))&lt;&gt;0,INDEX(使用レシピ!J:J,MATCH(テンプレート!$C883,使用レシピ!$E:$E,0)),""),"")</f>
        <v/>
      </c>
      <c r="I883" s="36" t="str">
        <f>IFERROR(IF(INDEX(使用レシピ!P:P,MATCH(テンプレート!$C883,使用レシピ!$E:$E,0))&lt;&gt;0,INDEX(使用レシピ!P:P,MATCH(テンプレート!$C883,使用レシピ!$E:$E,0)),""),"")</f>
        <v/>
      </c>
      <c r="J883" t="str">
        <f>IFERROR(IF(INDEX(使用レシピ!K:K,MATCH(テンプレート!$C883,使用レシピ!$E:$E,0))&lt;&gt;0,INDEX(使用レシピ!K:K,MATCH(テンプレート!$C883,使用レシピ!$E:$E,0)),""),"")</f>
        <v/>
      </c>
      <c r="K883" t="str">
        <f>IFERROR(IF(INDEX(使用レシピ!L:L,MATCH(テンプレート!$C883,使用レシピ!$E:$E,0))&lt;&gt;0,INDEX(使用レシピ!L:L,MATCH(テンプレート!$C883,使用レシピ!$E:$E,0)),""),"")</f>
        <v/>
      </c>
      <c r="L883" t="str">
        <f>IFERROR(IF(INDEX(使用レシピ!M:M,MATCH(テンプレート!$C883,使用レシピ!$E:$E,0))&lt;&gt;0,INDEX(使用レシピ!M:M,MATCH(テンプレート!$C883,使用レシピ!$E:$E,0)),""),"")</f>
        <v/>
      </c>
      <c r="M883" t="str">
        <f>IFERROR(IF(INDEX(使用レシピ!N:N,MATCH(テンプレート!$C883,使用レシピ!$E:$E,0))&lt;&gt;0,INDEX(使用レシピ!N:N,MATCH(テンプレート!$C883,使用レシピ!$E:$E,0)),""),"")</f>
        <v/>
      </c>
      <c r="N883" s="24" t="str">
        <f>IFERROR(IF(INDEX(使用レシピ!O:O,MATCH(テンプレート!$C883,使用レシピ!$E:$E,0))&lt;&gt;0,INDEX(使用レシピ!O:O,MATCH(テンプレート!$C883,使用レシピ!$E:$E,0)),""),"")</f>
        <v/>
      </c>
      <c r="O883" s="36" t="str">
        <f>IFERROR(IF(INDEX(使用レシピ!P:P,MATCH(テンプレート!$C883,使用レシピ!$E:$E,0))&lt;&gt;0,INDEX(使用レシピ!P:P,MATCH(テンプレート!$C883,使用レシピ!$E:$E,0)),""),"")</f>
        <v/>
      </c>
      <c r="P883" t="str">
        <f t="shared" si="71"/>
        <v/>
      </c>
      <c r="Q883" t="str">
        <f t="shared" si="72"/>
        <v/>
      </c>
      <c r="R883" t="str">
        <f t="shared" si="73"/>
        <v/>
      </c>
      <c r="S883" t="str">
        <f t="shared" si="74"/>
        <v/>
      </c>
      <c r="T883" s="24" t="str">
        <f t="shared" si="75"/>
        <v/>
      </c>
    </row>
    <row r="884" spans="2:20" x14ac:dyDescent="0.4">
      <c r="B884" s="49" t="str" cm="1">
        <f t="array" ref="B884">IFERROR((INDEX($P$4:$T$1000,MATCH(VALUE(LEFT($A884,LEN($A884)-1)),$A$4:$A$1000,0),VALUE(RIGHT($A884,1)))/ INDEX($O$4:$O$1000,MATCH(VALUE(LEFT($A884,LEN($A884)-1)),$A$4:$A$1000))) * INDEX($B$4:$B$1000,MATCH(VALUE(LEFT($A884,LEN($A884)-1)),$A$4:$A$1000)),"")</f>
        <v/>
      </c>
      <c r="C884" s="2" t="str" cm="1">
        <f t="array" ref="C884">IFERROR(IF(INDEX($D$4:$H$1000,MATCH(VALUE(LEFT($A884,LEN($A884)-1)),$A$4:$A$1000,0),VALUE(RIGHT($A884,1)))= 0,"",INDEX($D$4:$H$1000,MATCH(VALUE(LEFT($A884,LEN($A884)-1)),$A$4:$A$1000,0),VALUE(RIGHT($A884,1)))),"")</f>
        <v/>
      </c>
      <c r="D884" s="23" t="str">
        <f>IFERROR(IF(INDEX(使用レシピ!F:F,MATCH(テンプレート!$C884,使用レシピ!$E:$E,0))&lt;&gt;0,INDEX(使用レシピ!F:F,MATCH(テンプレート!$C884,使用レシピ!$E:$E,0)),""),"")</f>
        <v/>
      </c>
      <c r="E884" t="str">
        <f>IFERROR(IF(INDEX(使用レシピ!G:G,MATCH(テンプレート!$C884,使用レシピ!$E:$E,0))&lt;&gt;0,INDEX(使用レシピ!G:G,MATCH(テンプレート!$C884,使用レシピ!$E:$E,0)),""),"")</f>
        <v/>
      </c>
      <c r="F884" t="str">
        <f>IFERROR(IF(INDEX(使用レシピ!H:H,MATCH(テンプレート!$C884,使用レシピ!$E:$E,0))&lt;&gt;0,INDEX(使用レシピ!H:H,MATCH(テンプレート!$C884,使用レシピ!$E:$E,0)),""),"")</f>
        <v/>
      </c>
      <c r="G884" t="str">
        <f>IFERROR(IF(INDEX(使用レシピ!I:I,MATCH(テンプレート!$C884,使用レシピ!$E:$E,0))&lt;&gt;0,INDEX(使用レシピ!I:I,MATCH(テンプレート!$C884,使用レシピ!$E:$E,0)),""),"")</f>
        <v/>
      </c>
      <c r="H884" s="24" t="str">
        <f>IFERROR(IF(INDEX(使用レシピ!J:J,MATCH(テンプレート!$C884,使用レシピ!$E:$E,0))&lt;&gt;0,INDEX(使用レシピ!J:J,MATCH(テンプレート!$C884,使用レシピ!$E:$E,0)),""),"")</f>
        <v/>
      </c>
      <c r="I884" s="36" t="str">
        <f>IFERROR(IF(INDEX(使用レシピ!P:P,MATCH(テンプレート!$C884,使用レシピ!$E:$E,0))&lt;&gt;0,INDEX(使用レシピ!P:P,MATCH(テンプレート!$C884,使用レシピ!$E:$E,0)),""),"")</f>
        <v/>
      </c>
      <c r="J884" t="str">
        <f>IFERROR(IF(INDEX(使用レシピ!K:K,MATCH(テンプレート!$C884,使用レシピ!$E:$E,0))&lt;&gt;0,INDEX(使用レシピ!K:K,MATCH(テンプレート!$C884,使用レシピ!$E:$E,0)),""),"")</f>
        <v/>
      </c>
      <c r="K884" t="str">
        <f>IFERROR(IF(INDEX(使用レシピ!L:L,MATCH(テンプレート!$C884,使用レシピ!$E:$E,0))&lt;&gt;0,INDEX(使用レシピ!L:L,MATCH(テンプレート!$C884,使用レシピ!$E:$E,0)),""),"")</f>
        <v/>
      </c>
      <c r="L884" t="str">
        <f>IFERROR(IF(INDEX(使用レシピ!M:M,MATCH(テンプレート!$C884,使用レシピ!$E:$E,0))&lt;&gt;0,INDEX(使用レシピ!M:M,MATCH(テンプレート!$C884,使用レシピ!$E:$E,0)),""),"")</f>
        <v/>
      </c>
      <c r="M884" t="str">
        <f>IFERROR(IF(INDEX(使用レシピ!N:N,MATCH(テンプレート!$C884,使用レシピ!$E:$E,0))&lt;&gt;0,INDEX(使用レシピ!N:N,MATCH(テンプレート!$C884,使用レシピ!$E:$E,0)),""),"")</f>
        <v/>
      </c>
      <c r="N884" s="24" t="str">
        <f>IFERROR(IF(INDEX(使用レシピ!O:O,MATCH(テンプレート!$C884,使用レシピ!$E:$E,0))&lt;&gt;0,INDEX(使用レシピ!O:O,MATCH(テンプレート!$C884,使用レシピ!$E:$E,0)),""),"")</f>
        <v/>
      </c>
      <c r="O884" s="36" t="str">
        <f>IFERROR(IF(INDEX(使用レシピ!P:P,MATCH(テンプレート!$C884,使用レシピ!$E:$E,0))&lt;&gt;0,INDEX(使用レシピ!P:P,MATCH(テンプレート!$C884,使用レシピ!$E:$E,0)),""),"")</f>
        <v/>
      </c>
      <c r="P884" t="str">
        <f t="shared" si="71"/>
        <v/>
      </c>
      <c r="Q884" t="str">
        <f t="shared" si="72"/>
        <v/>
      </c>
      <c r="R884" t="str">
        <f t="shared" si="73"/>
        <v/>
      </c>
      <c r="S884" t="str">
        <f t="shared" si="74"/>
        <v/>
      </c>
      <c r="T884" s="24" t="str">
        <f t="shared" si="75"/>
        <v/>
      </c>
    </row>
    <row r="885" spans="2:20" x14ac:dyDescent="0.4">
      <c r="B885" s="49" t="str" cm="1">
        <f t="array" ref="B885">IFERROR((INDEX($P$4:$T$1000,MATCH(VALUE(LEFT($A885,LEN($A885)-1)),$A$4:$A$1000,0),VALUE(RIGHT($A885,1)))/ INDEX($O$4:$O$1000,MATCH(VALUE(LEFT($A885,LEN($A885)-1)),$A$4:$A$1000))) * INDEX($B$4:$B$1000,MATCH(VALUE(LEFT($A885,LEN($A885)-1)),$A$4:$A$1000)),"")</f>
        <v/>
      </c>
      <c r="C885" s="2" t="str" cm="1">
        <f t="array" ref="C885">IFERROR(IF(INDEX($D$4:$H$1000,MATCH(VALUE(LEFT($A885,LEN($A885)-1)),$A$4:$A$1000,0),VALUE(RIGHT($A885,1)))= 0,"",INDEX($D$4:$H$1000,MATCH(VALUE(LEFT($A885,LEN($A885)-1)),$A$4:$A$1000,0),VALUE(RIGHT($A885,1)))),"")</f>
        <v/>
      </c>
      <c r="D885" s="23" t="str">
        <f>IFERROR(IF(INDEX(使用レシピ!F:F,MATCH(テンプレート!$C885,使用レシピ!$E:$E,0))&lt;&gt;0,INDEX(使用レシピ!F:F,MATCH(テンプレート!$C885,使用レシピ!$E:$E,0)),""),"")</f>
        <v/>
      </c>
      <c r="E885" t="str">
        <f>IFERROR(IF(INDEX(使用レシピ!G:G,MATCH(テンプレート!$C885,使用レシピ!$E:$E,0))&lt;&gt;0,INDEX(使用レシピ!G:G,MATCH(テンプレート!$C885,使用レシピ!$E:$E,0)),""),"")</f>
        <v/>
      </c>
      <c r="F885" t="str">
        <f>IFERROR(IF(INDEX(使用レシピ!H:H,MATCH(テンプレート!$C885,使用レシピ!$E:$E,0))&lt;&gt;0,INDEX(使用レシピ!H:H,MATCH(テンプレート!$C885,使用レシピ!$E:$E,0)),""),"")</f>
        <v/>
      </c>
      <c r="G885" t="str">
        <f>IFERROR(IF(INDEX(使用レシピ!I:I,MATCH(テンプレート!$C885,使用レシピ!$E:$E,0))&lt;&gt;0,INDEX(使用レシピ!I:I,MATCH(テンプレート!$C885,使用レシピ!$E:$E,0)),""),"")</f>
        <v/>
      </c>
      <c r="H885" s="24" t="str">
        <f>IFERROR(IF(INDEX(使用レシピ!J:J,MATCH(テンプレート!$C885,使用レシピ!$E:$E,0))&lt;&gt;0,INDEX(使用レシピ!J:J,MATCH(テンプレート!$C885,使用レシピ!$E:$E,0)),""),"")</f>
        <v/>
      </c>
      <c r="I885" s="36" t="str">
        <f>IFERROR(IF(INDEX(使用レシピ!P:P,MATCH(テンプレート!$C885,使用レシピ!$E:$E,0))&lt;&gt;0,INDEX(使用レシピ!P:P,MATCH(テンプレート!$C885,使用レシピ!$E:$E,0)),""),"")</f>
        <v/>
      </c>
      <c r="J885" t="str">
        <f>IFERROR(IF(INDEX(使用レシピ!K:K,MATCH(テンプレート!$C885,使用レシピ!$E:$E,0))&lt;&gt;0,INDEX(使用レシピ!K:K,MATCH(テンプレート!$C885,使用レシピ!$E:$E,0)),""),"")</f>
        <v/>
      </c>
      <c r="K885" t="str">
        <f>IFERROR(IF(INDEX(使用レシピ!L:L,MATCH(テンプレート!$C885,使用レシピ!$E:$E,0))&lt;&gt;0,INDEX(使用レシピ!L:L,MATCH(テンプレート!$C885,使用レシピ!$E:$E,0)),""),"")</f>
        <v/>
      </c>
      <c r="L885" t="str">
        <f>IFERROR(IF(INDEX(使用レシピ!M:M,MATCH(テンプレート!$C885,使用レシピ!$E:$E,0))&lt;&gt;0,INDEX(使用レシピ!M:M,MATCH(テンプレート!$C885,使用レシピ!$E:$E,0)),""),"")</f>
        <v/>
      </c>
      <c r="M885" t="str">
        <f>IFERROR(IF(INDEX(使用レシピ!N:N,MATCH(テンプレート!$C885,使用レシピ!$E:$E,0))&lt;&gt;0,INDEX(使用レシピ!N:N,MATCH(テンプレート!$C885,使用レシピ!$E:$E,0)),""),"")</f>
        <v/>
      </c>
      <c r="N885" s="24" t="str">
        <f>IFERROR(IF(INDEX(使用レシピ!O:O,MATCH(テンプレート!$C885,使用レシピ!$E:$E,0))&lt;&gt;0,INDEX(使用レシピ!O:O,MATCH(テンプレート!$C885,使用レシピ!$E:$E,0)),""),"")</f>
        <v/>
      </c>
      <c r="O885" s="36" t="str">
        <f>IFERROR(IF(INDEX(使用レシピ!P:P,MATCH(テンプレート!$C885,使用レシピ!$E:$E,0))&lt;&gt;0,INDEX(使用レシピ!P:P,MATCH(テンプレート!$C885,使用レシピ!$E:$E,0)),""),"")</f>
        <v/>
      </c>
      <c r="P885" t="str">
        <f t="shared" si="71"/>
        <v/>
      </c>
      <c r="Q885" t="str">
        <f t="shared" si="72"/>
        <v/>
      </c>
      <c r="R885" t="str">
        <f t="shared" si="73"/>
        <v/>
      </c>
      <c r="S885" t="str">
        <f t="shared" si="74"/>
        <v/>
      </c>
      <c r="T885" s="24" t="str">
        <f t="shared" si="75"/>
        <v/>
      </c>
    </row>
    <row r="886" spans="2:20" x14ac:dyDescent="0.4">
      <c r="B886" s="49" t="str" cm="1">
        <f t="array" ref="B886">IFERROR((INDEX($P$4:$T$1000,MATCH(VALUE(LEFT($A886,LEN($A886)-1)),$A$4:$A$1000,0),VALUE(RIGHT($A886,1)))/ INDEX($O$4:$O$1000,MATCH(VALUE(LEFT($A886,LEN($A886)-1)),$A$4:$A$1000))) * INDEX($B$4:$B$1000,MATCH(VALUE(LEFT($A886,LEN($A886)-1)),$A$4:$A$1000)),"")</f>
        <v/>
      </c>
      <c r="C886" s="2" t="str" cm="1">
        <f t="array" ref="C886">IFERROR(IF(INDEX($D$4:$H$1000,MATCH(VALUE(LEFT($A886,LEN($A886)-1)),$A$4:$A$1000,0),VALUE(RIGHT($A886,1)))= 0,"",INDEX($D$4:$H$1000,MATCH(VALUE(LEFT($A886,LEN($A886)-1)),$A$4:$A$1000,0),VALUE(RIGHT($A886,1)))),"")</f>
        <v/>
      </c>
      <c r="D886" s="23" t="str">
        <f>IFERROR(IF(INDEX(使用レシピ!F:F,MATCH(テンプレート!$C886,使用レシピ!$E:$E,0))&lt;&gt;0,INDEX(使用レシピ!F:F,MATCH(テンプレート!$C886,使用レシピ!$E:$E,0)),""),"")</f>
        <v/>
      </c>
      <c r="E886" t="str">
        <f>IFERROR(IF(INDEX(使用レシピ!G:G,MATCH(テンプレート!$C886,使用レシピ!$E:$E,0))&lt;&gt;0,INDEX(使用レシピ!G:G,MATCH(テンプレート!$C886,使用レシピ!$E:$E,0)),""),"")</f>
        <v/>
      </c>
      <c r="F886" t="str">
        <f>IFERROR(IF(INDEX(使用レシピ!H:H,MATCH(テンプレート!$C886,使用レシピ!$E:$E,0))&lt;&gt;0,INDEX(使用レシピ!H:H,MATCH(テンプレート!$C886,使用レシピ!$E:$E,0)),""),"")</f>
        <v/>
      </c>
      <c r="G886" t="str">
        <f>IFERROR(IF(INDEX(使用レシピ!I:I,MATCH(テンプレート!$C886,使用レシピ!$E:$E,0))&lt;&gt;0,INDEX(使用レシピ!I:I,MATCH(テンプレート!$C886,使用レシピ!$E:$E,0)),""),"")</f>
        <v/>
      </c>
      <c r="H886" s="24" t="str">
        <f>IFERROR(IF(INDEX(使用レシピ!J:J,MATCH(テンプレート!$C886,使用レシピ!$E:$E,0))&lt;&gt;0,INDEX(使用レシピ!J:J,MATCH(テンプレート!$C886,使用レシピ!$E:$E,0)),""),"")</f>
        <v/>
      </c>
      <c r="I886" s="36" t="str">
        <f>IFERROR(IF(INDEX(使用レシピ!P:P,MATCH(テンプレート!$C886,使用レシピ!$E:$E,0))&lt;&gt;0,INDEX(使用レシピ!P:P,MATCH(テンプレート!$C886,使用レシピ!$E:$E,0)),""),"")</f>
        <v/>
      </c>
      <c r="J886" t="str">
        <f>IFERROR(IF(INDEX(使用レシピ!K:K,MATCH(テンプレート!$C886,使用レシピ!$E:$E,0))&lt;&gt;0,INDEX(使用レシピ!K:K,MATCH(テンプレート!$C886,使用レシピ!$E:$E,0)),""),"")</f>
        <v/>
      </c>
      <c r="K886" t="str">
        <f>IFERROR(IF(INDEX(使用レシピ!L:L,MATCH(テンプレート!$C886,使用レシピ!$E:$E,0))&lt;&gt;0,INDEX(使用レシピ!L:L,MATCH(テンプレート!$C886,使用レシピ!$E:$E,0)),""),"")</f>
        <v/>
      </c>
      <c r="L886" t="str">
        <f>IFERROR(IF(INDEX(使用レシピ!M:M,MATCH(テンプレート!$C886,使用レシピ!$E:$E,0))&lt;&gt;0,INDEX(使用レシピ!M:M,MATCH(テンプレート!$C886,使用レシピ!$E:$E,0)),""),"")</f>
        <v/>
      </c>
      <c r="M886" t="str">
        <f>IFERROR(IF(INDEX(使用レシピ!N:N,MATCH(テンプレート!$C886,使用レシピ!$E:$E,0))&lt;&gt;0,INDEX(使用レシピ!N:N,MATCH(テンプレート!$C886,使用レシピ!$E:$E,0)),""),"")</f>
        <v/>
      </c>
      <c r="N886" s="24" t="str">
        <f>IFERROR(IF(INDEX(使用レシピ!O:O,MATCH(テンプレート!$C886,使用レシピ!$E:$E,0))&lt;&gt;0,INDEX(使用レシピ!O:O,MATCH(テンプレート!$C886,使用レシピ!$E:$E,0)),""),"")</f>
        <v/>
      </c>
      <c r="O886" s="36" t="str">
        <f>IFERROR(IF(INDEX(使用レシピ!P:P,MATCH(テンプレート!$C886,使用レシピ!$E:$E,0))&lt;&gt;0,INDEX(使用レシピ!P:P,MATCH(テンプレート!$C886,使用レシピ!$E:$E,0)),""),"")</f>
        <v/>
      </c>
      <c r="P886" t="str">
        <f t="shared" si="71"/>
        <v/>
      </c>
      <c r="Q886" t="str">
        <f t="shared" si="72"/>
        <v/>
      </c>
      <c r="R886" t="str">
        <f t="shared" si="73"/>
        <v/>
      </c>
      <c r="S886" t="str">
        <f t="shared" si="74"/>
        <v/>
      </c>
      <c r="T886" s="24" t="str">
        <f t="shared" si="75"/>
        <v/>
      </c>
    </row>
    <row r="887" spans="2:20" x14ac:dyDescent="0.4">
      <c r="B887" s="49" t="str" cm="1">
        <f t="array" ref="B887">IFERROR((INDEX($P$4:$T$1000,MATCH(VALUE(LEFT($A887,LEN($A887)-1)),$A$4:$A$1000,0),VALUE(RIGHT($A887,1)))/ INDEX($O$4:$O$1000,MATCH(VALUE(LEFT($A887,LEN($A887)-1)),$A$4:$A$1000))) * INDEX($B$4:$B$1000,MATCH(VALUE(LEFT($A887,LEN($A887)-1)),$A$4:$A$1000)),"")</f>
        <v/>
      </c>
      <c r="C887" s="2" t="str" cm="1">
        <f t="array" ref="C887">IFERROR(IF(INDEX($D$4:$H$1000,MATCH(VALUE(LEFT($A887,LEN($A887)-1)),$A$4:$A$1000,0),VALUE(RIGHT($A887,1)))= 0,"",INDEX($D$4:$H$1000,MATCH(VALUE(LEFT($A887,LEN($A887)-1)),$A$4:$A$1000,0),VALUE(RIGHT($A887,1)))),"")</f>
        <v/>
      </c>
      <c r="D887" s="23" t="str">
        <f>IFERROR(IF(INDEX(使用レシピ!F:F,MATCH(テンプレート!$C887,使用レシピ!$E:$E,0))&lt;&gt;0,INDEX(使用レシピ!F:F,MATCH(テンプレート!$C887,使用レシピ!$E:$E,0)),""),"")</f>
        <v/>
      </c>
      <c r="E887" t="str">
        <f>IFERROR(IF(INDEX(使用レシピ!G:G,MATCH(テンプレート!$C887,使用レシピ!$E:$E,0))&lt;&gt;0,INDEX(使用レシピ!G:G,MATCH(テンプレート!$C887,使用レシピ!$E:$E,0)),""),"")</f>
        <v/>
      </c>
      <c r="F887" t="str">
        <f>IFERROR(IF(INDEX(使用レシピ!H:H,MATCH(テンプレート!$C887,使用レシピ!$E:$E,0))&lt;&gt;0,INDEX(使用レシピ!H:H,MATCH(テンプレート!$C887,使用レシピ!$E:$E,0)),""),"")</f>
        <v/>
      </c>
      <c r="G887" t="str">
        <f>IFERROR(IF(INDEX(使用レシピ!I:I,MATCH(テンプレート!$C887,使用レシピ!$E:$E,0))&lt;&gt;0,INDEX(使用レシピ!I:I,MATCH(テンプレート!$C887,使用レシピ!$E:$E,0)),""),"")</f>
        <v/>
      </c>
      <c r="H887" s="24" t="str">
        <f>IFERROR(IF(INDEX(使用レシピ!J:J,MATCH(テンプレート!$C887,使用レシピ!$E:$E,0))&lt;&gt;0,INDEX(使用レシピ!J:J,MATCH(テンプレート!$C887,使用レシピ!$E:$E,0)),""),"")</f>
        <v/>
      </c>
      <c r="I887" s="36" t="str">
        <f>IFERROR(IF(INDEX(使用レシピ!P:P,MATCH(テンプレート!$C887,使用レシピ!$E:$E,0))&lt;&gt;0,INDEX(使用レシピ!P:P,MATCH(テンプレート!$C887,使用レシピ!$E:$E,0)),""),"")</f>
        <v/>
      </c>
      <c r="J887" t="str">
        <f>IFERROR(IF(INDEX(使用レシピ!K:K,MATCH(テンプレート!$C887,使用レシピ!$E:$E,0))&lt;&gt;0,INDEX(使用レシピ!K:K,MATCH(テンプレート!$C887,使用レシピ!$E:$E,0)),""),"")</f>
        <v/>
      </c>
      <c r="K887" t="str">
        <f>IFERROR(IF(INDEX(使用レシピ!L:L,MATCH(テンプレート!$C887,使用レシピ!$E:$E,0))&lt;&gt;0,INDEX(使用レシピ!L:L,MATCH(テンプレート!$C887,使用レシピ!$E:$E,0)),""),"")</f>
        <v/>
      </c>
      <c r="L887" t="str">
        <f>IFERROR(IF(INDEX(使用レシピ!M:M,MATCH(テンプレート!$C887,使用レシピ!$E:$E,0))&lt;&gt;0,INDEX(使用レシピ!M:M,MATCH(テンプレート!$C887,使用レシピ!$E:$E,0)),""),"")</f>
        <v/>
      </c>
      <c r="M887" t="str">
        <f>IFERROR(IF(INDEX(使用レシピ!N:N,MATCH(テンプレート!$C887,使用レシピ!$E:$E,0))&lt;&gt;0,INDEX(使用レシピ!N:N,MATCH(テンプレート!$C887,使用レシピ!$E:$E,0)),""),"")</f>
        <v/>
      </c>
      <c r="N887" s="24" t="str">
        <f>IFERROR(IF(INDEX(使用レシピ!O:O,MATCH(テンプレート!$C887,使用レシピ!$E:$E,0))&lt;&gt;0,INDEX(使用レシピ!O:O,MATCH(テンプレート!$C887,使用レシピ!$E:$E,0)),""),"")</f>
        <v/>
      </c>
      <c r="O887" s="36" t="str">
        <f>IFERROR(IF(INDEX(使用レシピ!P:P,MATCH(テンプレート!$C887,使用レシピ!$E:$E,0))&lt;&gt;0,INDEX(使用レシピ!P:P,MATCH(テンプレート!$C887,使用レシピ!$E:$E,0)),""),"")</f>
        <v/>
      </c>
      <c r="P887" t="str">
        <f t="shared" si="71"/>
        <v/>
      </c>
      <c r="Q887" t="str">
        <f t="shared" si="72"/>
        <v/>
      </c>
      <c r="R887" t="str">
        <f t="shared" si="73"/>
        <v/>
      </c>
      <c r="S887" t="str">
        <f t="shared" si="74"/>
        <v/>
      </c>
      <c r="T887" s="24" t="str">
        <f t="shared" si="75"/>
        <v/>
      </c>
    </row>
    <row r="888" spans="2:20" x14ac:dyDescent="0.4">
      <c r="B888" s="49" t="str" cm="1">
        <f t="array" ref="B888">IFERROR((INDEX($P$4:$T$1000,MATCH(VALUE(LEFT($A888,LEN($A888)-1)),$A$4:$A$1000,0),VALUE(RIGHT($A888,1)))/ INDEX($O$4:$O$1000,MATCH(VALUE(LEFT($A888,LEN($A888)-1)),$A$4:$A$1000))) * INDEX($B$4:$B$1000,MATCH(VALUE(LEFT($A888,LEN($A888)-1)),$A$4:$A$1000)),"")</f>
        <v/>
      </c>
      <c r="C888" s="2" t="str" cm="1">
        <f t="array" ref="C888">IFERROR(IF(INDEX($D$4:$H$1000,MATCH(VALUE(LEFT($A888,LEN($A888)-1)),$A$4:$A$1000,0),VALUE(RIGHT($A888,1)))= 0,"",INDEX($D$4:$H$1000,MATCH(VALUE(LEFT($A888,LEN($A888)-1)),$A$4:$A$1000,0),VALUE(RIGHT($A888,1)))),"")</f>
        <v/>
      </c>
      <c r="D888" s="23" t="str">
        <f>IFERROR(IF(INDEX(使用レシピ!F:F,MATCH(テンプレート!$C888,使用レシピ!$E:$E,0))&lt;&gt;0,INDEX(使用レシピ!F:F,MATCH(テンプレート!$C888,使用レシピ!$E:$E,0)),""),"")</f>
        <v/>
      </c>
      <c r="E888" t="str">
        <f>IFERROR(IF(INDEX(使用レシピ!G:G,MATCH(テンプレート!$C888,使用レシピ!$E:$E,0))&lt;&gt;0,INDEX(使用レシピ!G:G,MATCH(テンプレート!$C888,使用レシピ!$E:$E,0)),""),"")</f>
        <v/>
      </c>
      <c r="F888" t="str">
        <f>IFERROR(IF(INDEX(使用レシピ!H:H,MATCH(テンプレート!$C888,使用レシピ!$E:$E,0))&lt;&gt;0,INDEX(使用レシピ!H:H,MATCH(テンプレート!$C888,使用レシピ!$E:$E,0)),""),"")</f>
        <v/>
      </c>
      <c r="G888" t="str">
        <f>IFERROR(IF(INDEX(使用レシピ!I:I,MATCH(テンプレート!$C888,使用レシピ!$E:$E,0))&lt;&gt;0,INDEX(使用レシピ!I:I,MATCH(テンプレート!$C888,使用レシピ!$E:$E,0)),""),"")</f>
        <v/>
      </c>
      <c r="H888" s="24" t="str">
        <f>IFERROR(IF(INDEX(使用レシピ!J:J,MATCH(テンプレート!$C888,使用レシピ!$E:$E,0))&lt;&gt;0,INDEX(使用レシピ!J:J,MATCH(テンプレート!$C888,使用レシピ!$E:$E,0)),""),"")</f>
        <v/>
      </c>
      <c r="I888" s="36" t="str">
        <f>IFERROR(IF(INDEX(使用レシピ!P:P,MATCH(テンプレート!$C888,使用レシピ!$E:$E,0))&lt;&gt;0,INDEX(使用レシピ!P:P,MATCH(テンプレート!$C888,使用レシピ!$E:$E,0)),""),"")</f>
        <v/>
      </c>
      <c r="J888" t="str">
        <f>IFERROR(IF(INDEX(使用レシピ!K:K,MATCH(テンプレート!$C888,使用レシピ!$E:$E,0))&lt;&gt;0,INDEX(使用レシピ!K:K,MATCH(テンプレート!$C888,使用レシピ!$E:$E,0)),""),"")</f>
        <v/>
      </c>
      <c r="K888" t="str">
        <f>IFERROR(IF(INDEX(使用レシピ!L:L,MATCH(テンプレート!$C888,使用レシピ!$E:$E,0))&lt;&gt;0,INDEX(使用レシピ!L:L,MATCH(テンプレート!$C888,使用レシピ!$E:$E,0)),""),"")</f>
        <v/>
      </c>
      <c r="L888" t="str">
        <f>IFERROR(IF(INDEX(使用レシピ!M:M,MATCH(テンプレート!$C888,使用レシピ!$E:$E,0))&lt;&gt;0,INDEX(使用レシピ!M:M,MATCH(テンプレート!$C888,使用レシピ!$E:$E,0)),""),"")</f>
        <v/>
      </c>
      <c r="M888" t="str">
        <f>IFERROR(IF(INDEX(使用レシピ!N:N,MATCH(テンプレート!$C888,使用レシピ!$E:$E,0))&lt;&gt;0,INDEX(使用レシピ!N:N,MATCH(テンプレート!$C888,使用レシピ!$E:$E,0)),""),"")</f>
        <v/>
      </c>
      <c r="N888" s="24" t="str">
        <f>IFERROR(IF(INDEX(使用レシピ!O:O,MATCH(テンプレート!$C888,使用レシピ!$E:$E,0))&lt;&gt;0,INDEX(使用レシピ!O:O,MATCH(テンプレート!$C888,使用レシピ!$E:$E,0)),""),"")</f>
        <v/>
      </c>
      <c r="O888" s="36" t="str">
        <f>IFERROR(IF(INDEX(使用レシピ!P:P,MATCH(テンプレート!$C888,使用レシピ!$E:$E,0))&lt;&gt;0,INDEX(使用レシピ!P:P,MATCH(テンプレート!$C888,使用レシピ!$E:$E,0)),""),"")</f>
        <v/>
      </c>
      <c r="P888" t="str">
        <f t="shared" si="71"/>
        <v/>
      </c>
      <c r="Q888" t="str">
        <f t="shared" si="72"/>
        <v/>
      </c>
      <c r="R888" t="str">
        <f t="shared" si="73"/>
        <v/>
      </c>
      <c r="S888" t="str">
        <f t="shared" si="74"/>
        <v/>
      </c>
      <c r="T888" s="24" t="str">
        <f t="shared" si="75"/>
        <v/>
      </c>
    </row>
    <row r="889" spans="2:20" x14ac:dyDescent="0.4">
      <c r="B889" s="49" t="str" cm="1">
        <f t="array" ref="B889">IFERROR((INDEX($P$4:$T$1000,MATCH(VALUE(LEFT($A889,LEN($A889)-1)),$A$4:$A$1000,0),VALUE(RIGHT($A889,1)))/ INDEX($O$4:$O$1000,MATCH(VALUE(LEFT($A889,LEN($A889)-1)),$A$4:$A$1000))) * INDEX($B$4:$B$1000,MATCH(VALUE(LEFT($A889,LEN($A889)-1)),$A$4:$A$1000)),"")</f>
        <v/>
      </c>
      <c r="C889" s="2" t="str" cm="1">
        <f t="array" ref="C889">IFERROR(IF(INDEX($D$4:$H$1000,MATCH(VALUE(LEFT($A889,LEN($A889)-1)),$A$4:$A$1000,0),VALUE(RIGHT($A889,1)))= 0,"",INDEX($D$4:$H$1000,MATCH(VALUE(LEFT($A889,LEN($A889)-1)),$A$4:$A$1000,0),VALUE(RIGHT($A889,1)))),"")</f>
        <v/>
      </c>
      <c r="D889" s="23" t="str">
        <f>IFERROR(IF(INDEX(使用レシピ!F:F,MATCH(テンプレート!$C889,使用レシピ!$E:$E,0))&lt;&gt;0,INDEX(使用レシピ!F:F,MATCH(テンプレート!$C889,使用レシピ!$E:$E,0)),""),"")</f>
        <v/>
      </c>
      <c r="E889" t="str">
        <f>IFERROR(IF(INDEX(使用レシピ!G:G,MATCH(テンプレート!$C889,使用レシピ!$E:$E,0))&lt;&gt;0,INDEX(使用レシピ!G:G,MATCH(テンプレート!$C889,使用レシピ!$E:$E,0)),""),"")</f>
        <v/>
      </c>
      <c r="F889" t="str">
        <f>IFERROR(IF(INDEX(使用レシピ!H:H,MATCH(テンプレート!$C889,使用レシピ!$E:$E,0))&lt;&gt;0,INDEX(使用レシピ!H:H,MATCH(テンプレート!$C889,使用レシピ!$E:$E,0)),""),"")</f>
        <v/>
      </c>
      <c r="G889" t="str">
        <f>IFERROR(IF(INDEX(使用レシピ!I:I,MATCH(テンプレート!$C889,使用レシピ!$E:$E,0))&lt;&gt;0,INDEX(使用レシピ!I:I,MATCH(テンプレート!$C889,使用レシピ!$E:$E,0)),""),"")</f>
        <v/>
      </c>
      <c r="H889" s="24" t="str">
        <f>IFERROR(IF(INDEX(使用レシピ!J:J,MATCH(テンプレート!$C889,使用レシピ!$E:$E,0))&lt;&gt;0,INDEX(使用レシピ!J:J,MATCH(テンプレート!$C889,使用レシピ!$E:$E,0)),""),"")</f>
        <v/>
      </c>
      <c r="I889" s="36" t="str">
        <f>IFERROR(IF(INDEX(使用レシピ!P:P,MATCH(テンプレート!$C889,使用レシピ!$E:$E,0))&lt;&gt;0,INDEX(使用レシピ!P:P,MATCH(テンプレート!$C889,使用レシピ!$E:$E,0)),""),"")</f>
        <v/>
      </c>
      <c r="J889" t="str">
        <f>IFERROR(IF(INDEX(使用レシピ!K:K,MATCH(テンプレート!$C889,使用レシピ!$E:$E,0))&lt;&gt;0,INDEX(使用レシピ!K:K,MATCH(テンプレート!$C889,使用レシピ!$E:$E,0)),""),"")</f>
        <v/>
      </c>
      <c r="K889" t="str">
        <f>IFERROR(IF(INDEX(使用レシピ!L:L,MATCH(テンプレート!$C889,使用レシピ!$E:$E,0))&lt;&gt;0,INDEX(使用レシピ!L:L,MATCH(テンプレート!$C889,使用レシピ!$E:$E,0)),""),"")</f>
        <v/>
      </c>
      <c r="L889" t="str">
        <f>IFERROR(IF(INDEX(使用レシピ!M:M,MATCH(テンプレート!$C889,使用レシピ!$E:$E,0))&lt;&gt;0,INDEX(使用レシピ!M:M,MATCH(テンプレート!$C889,使用レシピ!$E:$E,0)),""),"")</f>
        <v/>
      </c>
      <c r="M889" t="str">
        <f>IFERROR(IF(INDEX(使用レシピ!N:N,MATCH(テンプレート!$C889,使用レシピ!$E:$E,0))&lt;&gt;0,INDEX(使用レシピ!N:N,MATCH(テンプレート!$C889,使用レシピ!$E:$E,0)),""),"")</f>
        <v/>
      </c>
      <c r="N889" s="24" t="str">
        <f>IFERROR(IF(INDEX(使用レシピ!O:O,MATCH(テンプレート!$C889,使用レシピ!$E:$E,0))&lt;&gt;0,INDEX(使用レシピ!O:O,MATCH(テンプレート!$C889,使用レシピ!$E:$E,0)),""),"")</f>
        <v/>
      </c>
      <c r="O889" s="36" t="str">
        <f>IFERROR(IF(INDEX(使用レシピ!P:P,MATCH(テンプレート!$C889,使用レシピ!$E:$E,0))&lt;&gt;0,INDEX(使用レシピ!P:P,MATCH(テンプレート!$C889,使用レシピ!$E:$E,0)),""),"")</f>
        <v/>
      </c>
      <c r="P889" t="str">
        <f t="shared" si="71"/>
        <v/>
      </c>
      <c r="Q889" t="str">
        <f t="shared" si="72"/>
        <v/>
      </c>
      <c r="R889" t="str">
        <f t="shared" si="73"/>
        <v/>
      </c>
      <c r="S889" t="str">
        <f t="shared" si="74"/>
        <v/>
      </c>
      <c r="T889" s="24" t="str">
        <f t="shared" si="75"/>
        <v/>
      </c>
    </row>
    <row r="890" spans="2:20" x14ac:dyDescent="0.4">
      <c r="B890" s="49" t="str" cm="1">
        <f t="array" ref="B890">IFERROR((INDEX($P$4:$T$1000,MATCH(VALUE(LEFT($A890,LEN($A890)-1)),$A$4:$A$1000,0),VALUE(RIGHT($A890,1)))/ INDEX($O$4:$O$1000,MATCH(VALUE(LEFT($A890,LEN($A890)-1)),$A$4:$A$1000))) * INDEX($B$4:$B$1000,MATCH(VALUE(LEFT($A890,LEN($A890)-1)),$A$4:$A$1000)),"")</f>
        <v/>
      </c>
      <c r="C890" s="2" t="str" cm="1">
        <f t="array" ref="C890">IFERROR(IF(INDEX($D$4:$H$1000,MATCH(VALUE(LEFT($A890,LEN($A890)-1)),$A$4:$A$1000,0),VALUE(RIGHT($A890,1)))= 0,"",INDEX($D$4:$H$1000,MATCH(VALUE(LEFT($A890,LEN($A890)-1)),$A$4:$A$1000,0),VALUE(RIGHT($A890,1)))),"")</f>
        <v/>
      </c>
      <c r="D890" s="23" t="str">
        <f>IFERROR(IF(INDEX(使用レシピ!F:F,MATCH(テンプレート!$C890,使用レシピ!$E:$E,0))&lt;&gt;0,INDEX(使用レシピ!F:F,MATCH(テンプレート!$C890,使用レシピ!$E:$E,0)),""),"")</f>
        <v/>
      </c>
      <c r="E890" t="str">
        <f>IFERROR(IF(INDEX(使用レシピ!G:G,MATCH(テンプレート!$C890,使用レシピ!$E:$E,0))&lt;&gt;0,INDEX(使用レシピ!G:G,MATCH(テンプレート!$C890,使用レシピ!$E:$E,0)),""),"")</f>
        <v/>
      </c>
      <c r="F890" t="str">
        <f>IFERROR(IF(INDEX(使用レシピ!H:H,MATCH(テンプレート!$C890,使用レシピ!$E:$E,0))&lt;&gt;0,INDEX(使用レシピ!H:H,MATCH(テンプレート!$C890,使用レシピ!$E:$E,0)),""),"")</f>
        <v/>
      </c>
      <c r="G890" t="str">
        <f>IFERROR(IF(INDEX(使用レシピ!I:I,MATCH(テンプレート!$C890,使用レシピ!$E:$E,0))&lt;&gt;0,INDEX(使用レシピ!I:I,MATCH(テンプレート!$C890,使用レシピ!$E:$E,0)),""),"")</f>
        <v/>
      </c>
      <c r="H890" s="24" t="str">
        <f>IFERROR(IF(INDEX(使用レシピ!J:J,MATCH(テンプレート!$C890,使用レシピ!$E:$E,0))&lt;&gt;0,INDEX(使用レシピ!J:J,MATCH(テンプレート!$C890,使用レシピ!$E:$E,0)),""),"")</f>
        <v/>
      </c>
      <c r="I890" s="36" t="str">
        <f>IFERROR(IF(INDEX(使用レシピ!P:P,MATCH(テンプレート!$C890,使用レシピ!$E:$E,0))&lt;&gt;0,INDEX(使用レシピ!P:P,MATCH(テンプレート!$C890,使用レシピ!$E:$E,0)),""),"")</f>
        <v/>
      </c>
      <c r="J890" t="str">
        <f>IFERROR(IF(INDEX(使用レシピ!K:K,MATCH(テンプレート!$C890,使用レシピ!$E:$E,0))&lt;&gt;0,INDEX(使用レシピ!K:K,MATCH(テンプレート!$C890,使用レシピ!$E:$E,0)),""),"")</f>
        <v/>
      </c>
      <c r="K890" t="str">
        <f>IFERROR(IF(INDEX(使用レシピ!L:L,MATCH(テンプレート!$C890,使用レシピ!$E:$E,0))&lt;&gt;0,INDEX(使用レシピ!L:L,MATCH(テンプレート!$C890,使用レシピ!$E:$E,0)),""),"")</f>
        <v/>
      </c>
      <c r="L890" t="str">
        <f>IFERROR(IF(INDEX(使用レシピ!M:M,MATCH(テンプレート!$C890,使用レシピ!$E:$E,0))&lt;&gt;0,INDEX(使用レシピ!M:M,MATCH(テンプレート!$C890,使用レシピ!$E:$E,0)),""),"")</f>
        <v/>
      </c>
      <c r="M890" t="str">
        <f>IFERROR(IF(INDEX(使用レシピ!N:N,MATCH(テンプレート!$C890,使用レシピ!$E:$E,0))&lt;&gt;0,INDEX(使用レシピ!N:N,MATCH(テンプレート!$C890,使用レシピ!$E:$E,0)),""),"")</f>
        <v/>
      </c>
      <c r="N890" s="24" t="str">
        <f>IFERROR(IF(INDEX(使用レシピ!O:O,MATCH(テンプレート!$C890,使用レシピ!$E:$E,0))&lt;&gt;0,INDEX(使用レシピ!O:O,MATCH(テンプレート!$C890,使用レシピ!$E:$E,0)),""),"")</f>
        <v/>
      </c>
      <c r="O890" s="36" t="str">
        <f>IFERROR(IF(INDEX(使用レシピ!P:P,MATCH(テンプレート!$C890,使用レシピ!$E:$E,0))&lt;&gt;0,INDEX(使用レシピ!P:P,MATCH(テンプレート!$C890,使用レシピ!$E:$E,0)),""),"")</f>
        <v/>
      </c>
      <c r="P890" t="str">
        <f t="shared" si="71"/>
        <v/>
      </c>
      <c r="Q890" t="str">
        <f t="shared" si="72"/>
        <v/>
      </c>
      <c r="R890" t="str">
        <f t="shared" si="73"/>
        <v/>
      </c>
      <c r="S890" t="str">
        <f t="shared" si="74"/>
        <v/>
      </c>
      <c r="T890" s="24" t="str">
        <f t="shared" si="75"/>
        <v/>
      </c>
    </row>
    <row r="891" spans="2:20" x14ac:dyDescent="0.4">
      <c r="B891" s="49" t="str" cm="1">
        <f t="array" ref="B891">IFERROR((INDEX($P$4:$T$1000,MATCH(VALUE(LEFT($A891,LEN($A891)-1)),$A$4:$A$1000,0),VALUE(RIGHT($A891,1)))/ INDEX($O$4:$O$1000,MATCH(VALUE(LEFT($A891,LEN($A891)-1)),$A$4:$A$1000))) * INDEX($B$4:$B$1000,MATCH(VALUE(LEFT($A891,LEN($A891)-1)),$A$4:$A$1000)),"")</f>
        <v/>
      </c>
      <c r="C891" s="2" t="str" cm="1">
        <f t="array" ref="C891">IFERROR(IF(INDEX($D$4:$H$1000,MATCH(VALUE(LEFT($A891,LEN($A891)-1)),$A$4:$A$1000,0),VALUE(RIGHT($A891,1)))= 0,"",INDEX($D$4:$H$1000,MATCH(VALUE(LEFT($A891,LEN($A891)-1)),$A$4:$A$1000,0),VALUE(RIGHT($A891,1)))),"")</f>
        <v/>
      </c>
      <c r="D891" s="23" t="str">
        <f>IFERROR(IF(INDEX(使用レシピ!F:F,MATCH(テンプレート!$C891,使用レシピ!$E:$E,0))&lt;&gt;0,INDEX(使用レシピ!F:F,MATCH(テンプレート!$C891,使用レシピ!$E:$E,0)),""),"")</f>
        <v/>
      </c>
      <c r="E891" t="str">
        <f>IFERROR(IF(INDEX(使用レシピ!G:G,MATCH(テンプレート!$C891,使用レシピ!$E:$E,0))&lt;&gt;0,INDEX(使用レシピ!G:G,MATCH(テンプレート!$C891,使用レシピ!$E:$E,0)),""),"")</f>
        <v/>
      </c>
      <c r="F891" t="str">
        <f>IFERROR(IF(INDEX(使用レシピ!H:H,MATCH(テンプレート!$C891,使用レシピ!$E:$E,0))&lt;&gt;0,INDEX(使用レシピ!H:H,MATCH(テンプレート!$C891,使用レシピ!$E:$E,0)),""),"")</f>
        <v/>
      </c>
      <c r="G891" t="str">
        <f>IFERROR(IF(INDEX(使用レシピ!I:I,MATCH(テンプレート!$C891,使用レシピ!$E:$E,0))&lt;&gt;0,INDEX(使用レシピ!I:I,MATCH(テンプレート!$C891,使用レシピ!$E:$E,0)),""),"")</f>
        <v/>
      </c>
      <c r="H891" s="24" t="str">
        <f>IFERROR(IF(INDEX(使用レシピ!J:J,MATCH(テンプレート!$C891,使用レシピ!$E:$E,0))&lt;&gt;0,INDEX(使用レシピ!J:J,MATCH(テンプレート!$C891,使用レシピ!$E:$E,0)),""),"")</f>
        <v/>
      </c>
      <c r="I891" s="36" t="str">
        <f>IFERROR(IF(INDEX(使用レシピ!P:P,MATCH(テンプレート!$C891,使用レシピ!$E:$E,0))&lt;&gt;0,INDEX(使用レシピ!P:P,MATCH(テンプレート!$C891,使用レシピ!$E:$E,0)),""),"")</f>
        <v/>
      </c>
      <c r="J891" t="str">
        <f>IFERROR(IF(INDEX(使用レシピ!K:K,MATCH(テンプレート!$C891,使用レシピ!$E:$E,0))&lt;&gt;0,INDEX(使用レシピ!K:K,MATCH(テンプレート!$C891,使用レシピ!$E:$E,0)),""),"")</f>
        <v/>
      </c>
      <c r="K891" t="str">
        <f>IFERROR(IF(INDEX(使用レシピ!L:L,MATCH(テンプレート!$C891,使用レシピ!$E:$E,0))&lt;&gt;0,INDEX(使用レシピ!L:L,MATCH(テンプレート!$C891,使用レシピ!$E:$E,0)),""),"")</f>
        <v/>
      </c>
      <c r="L891" t="str">
        <f>IFERROR(IF(INDEX(使用レシピ!M:M,MATCH(テンプレート!$C891,使用レシピ!$E:$E,0))&lt;&gt;0,INDEX(使用レシピ!M:M,MATCH(テンプレート!$C891,使用レシピ!$E:$E,0)),""),"")</f>
        <v/>
      </c>
      <c r="M891" t="str">
        <f>IFERROR(IF(INDEX(使用レシピ!N:N,MATCH(テンプレート!$C891,使用レシピ!$E:$E,0))&lt;&gt;0,INDEX(使用レシピ!N:N,MATCH(テンプレート!$C891,使用レシピ!$E:$E,0)),""),"")</f>
        <v/>
      </c>
      <c r="N891" s="24" t="str">
        <f>IFERROR(IF(INDEX(使用レシピ!O:O,MATCH(テンプレート!$C891,使用レシピ!$E:$E,0))&lt;&gt;0,INDEX(使用レシピ!O:O,MATCH(テンプレート!$C891,使用レシピ!$E:$E,0)),""),"")</f>
        <v/>
      </c>
      <c r="O891" s="36" t="str">
        <f>IFERROR(IF(INDEX(使用レシピ!P:P,MATCH(テンプレート!$C891,使用レシピ!$E:$E,0))&lt;&gt;0,INDEX(使用レシピ!P:P,MATCH(テンプレート!$C891,使用レシピ!$E:$E,0)),""),"")</f>
        <v/>
      </c>
      <c r="P891" t="str">
        <f t="shared" si="71"/>
        <v/>
      </c>
      <c r="Q891" t="str">
        <f t="shared" si="72"/>
        <v/>
      </c>
      <c r="R891" t="str">
        <f t="shared" si="73"/>
        <v/>
      </c>
      <c r="S891" t="str">
        <f t="shared" si="74"/>
        <v/>
      </c>
      <c r="T891" s="24" t="str">
        <f t="shared" si="75"/>
        <v/>
      </c>
    </row>
    <row r="892" spans="2:20" x14ac:dyDescent="0.4">
      <c r="B892" s="49" t="str" cm="1">
        <f t="array" ref="B892">IFERROR((INDEX($P$4:$T$1000,MATCH(VALUE(LEFT($A892,LEN($A892)-1)),$A$4:$A$1000,0),VALUE(RIGHT($A892,1)))/ INDEX($O$4:$O$1000,MATCH(VALUE(LEFT($A892,LEN($A892)-1)),$A$4:$A$1000))) * INDEX($B$4:$B$1000,MATCH(VALUE(LEFT($A892,LEN($A892)-1)),$A$4:$A$1000)),"")</f>
        <v/>
      </c>
      <c r="C892" s="2" t="str" cm="1">
        <f t="array" ref="C892">IFERROR(IF(INDEX($D$4:$H$1000,MATCH(VALUE(LEFT($A892,LEN($A892)-1)),$A$4:$A$1000,0),VALUE(RIGHT($A892,1)))= 0,"",INDEX($D$4:$H$1000,MATCH(VALUE(LEFT($A892,LEN($A892)-1)),$A$4:$A$1000,0),VALUE(RIGHT($A892,1)))),"")</f>
        <v/>
      </c>
      <c r="D892" s="23" t="str">
        <f>IFERROR(IF(INDEX(使用レシピ!F:F,MATCH(テンプレート!$C892,使用レシピ!$E:$E,0))&lt;&gt;0,INDEX(使用レシピ!F:F,MATCH(テンプレート!$C892,使用レシピ!$E:$E,0)),""),"")</f>
        <v/>
      </c>
      <c r="E892" t="str">
        <f>IFERROR(IF(INDEX(使用レシピ!G:G,MATCH(テンプレート!$C892,使用レシピ!$E:$E,0))&lt;&gt;0,INDEX(使用レシピ!G:G,MATCH(テンプレート!$C892,使用レシピ!$E:$E,0)),""),"")</f>
        <v/>
      </c>
      <c r="F892" t="str">
        <f>IFERROR(IF(INDEX(使用レシピ!H:H,MATCH(テンプレート!$C892,使用レシピ!$E:$E,0))&lt;&gt;0,INDEX(使用レシピ!H:H,MATCH(テンプレート!$C892,使用レシピ!$E:$E,0)),""),"")</f>
        <v/>
      </c>
      <c r="G892" t="str">
        <f>IFERROR(IF(INDEX(使用レシピ!I:I,MATCH(テンプレート!$C892,使用レシピ!$E:$E,0))&lt;&gt;0,INDEX(使用レシピ!I:I,MATCH(テンプレート!$C892,使用レシピ!$E:$E,0)),""),"")</f>
        <v/>
      </c>
      <c r="H892" s="24" t="str">
        <f>IFERROR(IF(INDEX(使用レシピ!J:J,MATCH(テンプレート!$C892,使用レシピ!$E:$E,0))&lt;&gt;0,INDEX(使用レシピ!J:J,MATCH(テンプレート!$C892,使用レシピ!$E:$E,0)),""),"")</f>
        <v/>
      </c>
      <c r="I892" s="36" t="str">
        <f>IFERROR(IF(INDEX(使用レシピ!P:P,MATCH(テンプレート!$C892,使用レシピ!$E:$E,0))&lt;&gt;0,INDEX(使用レシピ!P:P,MATCH(テンプレート!$C892,使用レシピ!$E:$E,0)),""),"")</f>
        <v/>
      </c>
      <c r="J892" t="str">
        <f>IFERROR(IF(INDEX(使用レシピ!K:K,MATCH(テンプレート!$C892,使用レシピ!$E:$E,0))&lt;&gt;0,INDEX(使用レシピ!K:K,MATCH(テンプレート!$C892,使用レシピ!$E:$E,0)),""),"")</f>
        <v/>
      </c>
      <c r="K892" t="str">
        <f>IFERROR(IF(INDEX(使用レシピ!L:L,MATCH(テンプレート!$C892,使用レシピ!$E:$E,0))&lt;&gt;0,INDEX(使用レシピ!L:L,MATCH(テンプレート!$C892,使用レシピ!$E:$E,0)),""),"")</f>
        <v/>
      </c>
      <c r="L892" t="str">
        <f>IFERROR(IF(INDEX(使用レシピ!M:M,MATCH(テンプレート!$C892,使用レシピ!$E:$E,0))&lt;&gt;0,INDEX(使用レシピ!M:M,MATCH(テンプレート!$C892,使用レシピ!$E:$E,0)),""),"")</f>
        <v/>
      </c>
      <c r="M892" t="str">
        <f>IFERROR(IF(INDEX(使用レシピ!N:N,MATCH(テンプレート!$C892,使用レシピ!$E:$E,0))&lt;&gt;0,INDEX(使用レシピ!N:N,MATCH(テンプレート!$C892,使用レシピ!$E:$E,0)),""),"")</f>
        <v/>
      </c>
      <c r="N892" s="24" t="str">
        <f>IFERROR(IF(INDEX(使用レシピ!O:O,MATCH(テンプレート!$C892,使用レシピ!$E:$E,0))&lt;&gt;0,INDEX(使用レシピ!O:O,MATCH(テンプレート!$C892,使用レシピ!$E:$E,0)),""),"")</f>
        <v/>
      </c>
      <c r="O892" s="36" t="str">
        <f>IFERROR(IF(INDEX(使用レシピ!P:P,MATCH(テンプレート!$C892,使用レシピ!$E:$E,0))&lt;&gt;0,INDEX(使用レシピ!P:P,MATCH(テンプレート!$C892,使用レシピ!$E:$E,0)),""),"")</f>
        <v/>
      </c>
      <c r="P892" t="str">
        <f t="shared" si="71"/>
        <v/>
      </c>
      <c r="Q892" t="str">
        <f t="shared" si="72"/>
        <v/>
      </c>
      <c r="R892" t="str">
        <f t="shared" si="73"/>
        <v/>
      </c>
      <c r="S892" t="str">
        <f t="shared" si="74"/>
        <v/>
      </c>
      <c r="T892" s="24" t="str">
        <f t="shared" si="75"/>
        <v/>
      </c>
    </row>
    <row r="893" spans="2:20" x14ac:dyDescent="0.4">
      <c r="B893" s="49" t="str" cm="1">
        <f t="array" ref="B893">IFERROR((INDEX($P$4:$T$1000,MATCH(VALUE(LEFT($A893,LEN($A893)-1)),$A$4:$A$1000,0),VALUE(RIGHT($A893,1)))/ INDEX($O$4:$O$1000,MATCH(VALUE(LEFT($A893,LEN($A893)-1)),$A$4:$A$1000))) * INDEX($B$4:$B$1000,MATCH(VALUE(LEFT($A893,LEN($A893)-1)),$A$4:$A$1000)),"")</f>
        <v/>
      </c>
      <c r="C893" s="2" t="str" cm="1">
        <f t="array" ref="C893">IFERROR(IF(INDEX($D$4:$H$1000,MATCH(VALUE(LEFT($A893,LEN($A893)-1)),$A$4:$A$1000,0),VALUE(RIGHT($A893,1)))= 0,"",INDEX($D$4:$H$1000,MATCH(VALUE(LEFT($A893,LEN($A893)-1)),$A$4:$A$1000,0),VALUE(RIGHT($A893,1)))),"")</f>
        <v/>
      </c>
      <c r="D893" s="23" t="str">
        <f>IFERROR(IF(INDEX(使用レシピ!F:F,MATCH(テンプレート!$C893,使用レシピ!$E:$E,0))&lt;&gt;0,INDEX(使用レシピ!F:F,MATCH(テンプレート!$C893,使用レシピ!$E:$E,0)),""),"")</f>
        <v/>
      </c>
      <c r="E893" t="str">
        <f>IFERROR(IF(INDEX(使用レシピ!G:G,MATCH(テンプレート!$C893,使用レシピ!$E:$E,0))&lt;&gt;0,INDEX(使用レシピ!G:G,MATCH(テンプレート!$C893,使用レシピ!$E:$E,0)),""),"")</f>
        <v/>
      </c>
      <c r="F893" t="str">
        <f>IFERROR(IF(INDEX(使用レシピ!H:H,MATCH(テンプレート!$C893,使用レシピ!$E:$E,0))&lt;&gt;0,INDEX(使用レシピ!H:H,MATCH(テンプレート!$C893,使用レシピ!$E:$E,0)),""),"")</f>
        <v/>
      </c>
      <c r="G893" t="str">
        <f>IFERROR(IF(INDEX(使用レシピ!I:I,MATCH(テンプレート!$C893,使用レシピ!$E:$E,0))&lt;&gt;0,INDEX(使用レシピ!I:I,MATCH(テンプレート!$C893,使用レシピ!$E:$E,0)),""),"")</f>
        <v/>
      </c>
      <c r="H893" s="24" t="str">
        <f>IFERROR(IF(INDEX(使用レシピ!J:J,MATCH(テンプレート!$C893,使用レシピ!$E:$E,0))&lt;&gt;0,INDEX(使用レシピ!J:J,MATCH(テンプレート!$C893,使用レシピ!$E:$E,0)),""),"")</f>
        <v/>
      </c>
      <c r="I893" s="36" t="str">
        <f>IFERROR(IF(INDEX(使用レシピ!P:P,MATCH(テンプレート!$C893,使用レシピ!$E:$E,0))&lt;&gt;0,INDEX(使用レシピ!P:P,MATCH(テンプレート!$C893,使用レシピ!$E:$E,0)),""),"")</f>
        <v/>
      </c>
      <c r="J893" t="str">
        <f>IFERROR(IF(INDEX(使用レシピ!K:K,MATCH(テンプレート!$C893,使用レシピ!$E:$E,0))&lt;&gt;0,INDEX(使用レシピ!K:K,MATCH(テンプレート!$C893,使用レシピ!$E:$E,0)),""),"")</f>
        <v/>
      </c>
      <c r="K893" t="str">
        <f>IFERROR(IF(INDEX(使用レシピ!L:L,MATCH(テンプレート!$C893,使用レシピ!$E:$E,0))&lt;&gt;0,INDEX(使用レシピ!L:L,MATCH(テンプレート!$C893,使用レシピ!$E:$E,0)),""),"")</f>
        <v/>
      </c>
      <c r="L893" t="str">
        <f>IFERROR(IF(INDEX(使用レシピ!M:M,MATCH(テンプレート!$C893,使用レシピ!$E:$E,0))&lt;&gt;0,INDEX(使用レシピ!M:M,MATCH(テンプレート!$C893,使用レシピ!$E:$E,0)),""),"")</f>
        <v/>
      </c>
      <c r="M893" t="str">
        <f>IFERROR(IF(INDEX(使用レシピ!N:N,MATCH(テンプレート!$C893,使用レシピ!$E:$E,0))&lt;&gt;0,INDEX(使用レシピ!N:N,MATCH(テンプレート!$C893,使用レシピ!$E:$E,0)),""),"")</f>
        <v/>
      </c>
      <c r="N893" s="24" t="str">
        <f>IFERROR(IF(INDEX(使用レシピ!O:O,MATCH(テンプレート!$C893,使用レシピ!$E:$E,0))&lt;&gt;0,INDEX(使用レシピ!O:O,MATCH(テンプレート!$C893,使用レシピ!$E:$E,0)),""),"")</f>
        <v/>
      </c>
      <c r="O893" s="36" t="str">
        <f>IFERROR(IF(INDEX(使用レシピ!P:P,MATCH(テンプレート!$C893,使用レシピ!$E:$E,0))&lt;&gt;0,INDEX(使用レシピ!P:P,MATCH(テンプレート!$C893,使用レシピ!$E:$E,0)),""),"")</f>
        <v/>
      </c>
      <c r="P893" t="str">
        <f t="shared" si="71"/>
        <v/>
      </c>
      <c r="Q893" t="str">
        <f t="shared" si="72"/>
        <v/>
      </c>
      <c r="R893" t="str">
        <f t="shared" si="73"/>
        <v/>
      </c>
      <c r="S893" t="str">
        <f t="shared" si="74"/>
        <v/>
      </c>
      <c r="T893" s="24" t="str">
        <f t="shared" si="75"/>
        <v/>
      </c>
    </row>
    <row r="894" spans="2:20" x14ac:dyDescent="0.4">
      <c r="B894" s="49" t="str" cm="1">
        <f t="array" ref="B894">IFERROR((INDEX($P$4:$T$1000,MATCH(VALUE(LEFT($A894,LEN($A894)-1)),$A$4:$A$1000,0),VALUE(RIGHT($A894,1)))/ INDEX($O$4:$O$1000,MATCH(VALUE(LEFT($A894,LEN($A894)-1)),$A$4:$A$1000))) * INDEX($B$4:$B$1000,MATCH(VALUE(LEFT($A894,LEN($A894)-1)),$A$4:$A$1000)),"")</f>
        <v/>
      </c>
      <c r="C894" s="2" t="str" cm="1">
        <f t="array" ref="C894">IFERROR(IF(INDEX($D$4:$H$1000,MATCH(VALUE(LEFT($A894,LEN($A894)-1)),$A$4:$A$1000,0),VALUE(RIGHT($A894,1)))= 0,"",INDEX($D$4:$H$1000,MATCH(VALUE(LEFT($A894,LEN($A894)-1)),$A$4:$A$1000,0),VALUE(RIGHT($A894,1)))),"")</f>
        <v/>
      </c>
      <c r="D894" s="23" t="str">
        <f>IFERROR(IF(INDEX(使用レシピ!F:F,MATCH(テンプレート!$C894,使用レシピ!$E:$E,0))&lt;&gt;0,INDEX(使用レシピ!F:F,MATCH(テンプレート!$C894,使用レシピ!$E:$E,0)),""),"")</f>
        <v/>
      </c>
      <c r="E894" t="str">
        <f>IFERROR(IF(INDEX(使用レシピ!G:G,MATCH(テンプレート!$C894,使用レシピ!$E:$E,0))&lt;&gt;0,INDEX(使用レシピ!G:G,MATCH(テンプレート!$C894,使用レシピ!$E:$E,0)),""),"")</f>
        <v/>
      </c>
      <c r="F894" t="str">
        <f>IFERROR(IF(INDEX(使用レシピ!H:H,MATCH(テンプレート!$C894,使用レシピ!$E:$E,0))&lt;&gt;0,INDEX(使用レシピ!H:H,MATCH(テンプレート!$C894,使用レシピ!$E:$E,0)),""),"")</f>
        <v/>
      </c>
      <c r="G894" t="str">
        <f>IFERROR(IF(INDEX(使用レシピ!I:I,MATCH(テンプレート!$C894,使用レシピ!$E:$E,0))&lt;&gt;0,INDEX(使用レシピ!I:I,MATCH(テンプレート!$C894,使用レシピ!$E:$E,0)),""),"")</f>
        <v/>
      </c>
      <c r="H894" s="24" t="str">
        <f>IFERROR(IF(INDEX(使用レシピ!J:J,MATCH(テンプレート!$C894,使用レシピ!$E:$E,0))&lt;&gt;0,INDEX(使用レシピ!J:J,MATCH(テンプレート!$C894,使用レシピ!$E:$E,0)),""),"")</f>
        <v/>
      </c>
      <c r="I894" s="36" t="str">
        <f>IFERROR(IF(INDEX(使用レシピ!P:P,MATCH(テンプレート!$C894,使用レシピ!$E:$E,0))&lt;&gt;0,INDEX(使用レシピ!P:P,MATCH(テンプレート!$C894,使用レシピ!$E:$E,0)),""),"")</f>
        <v/>
      </c>
      <c r="J894" t="str">
        <f>IFERROR(IF(INDEX(使用レシピ!K:K,MATCH(テンプレート!$C894,使用レシピ!$E:$E,0))&lt;&gt;0,INDEX(使用レシピ!K:K,MATCH(テンプレート!$C894,使用レシピ!$E:$E,0)),""),"")</f>
        <v/>
      </c>
      <c r="K894" t="str">
        <f>IFERROR(IF(INDEX(使用レシピ!L:L,MATCH(テンプレート!$C894,使用レシピ!$E:$E,0))&lt;&gt;0,INDEX(使用レシピ!L:L,MATCH(テンプレート!$C894,使用レシピ!$E:$E,0)),""),"")</f>
        <v/>
      </c>
      <c r="L894" t="str">
        <f>IFERROR(IF(INDEX(使用レシピ!M:M,MATCH(テンプレート!$C894,使用レシピ!$E:$E,0))&lt;&gt;0,INDEX(使用レシピ!M:M,MATCH(テンプレート!$C894,使用レシピ!$E:$E,0)),""),"")</f>
        <v/>
      </c>
      <c r="M894" t="str">
        <f>IFERROR(IF(INDEX(使用レシピ!N:N,MATCH(テンプレート!$C894,使用レシピ!$E:$E,0))&lt;&gt;0,INDEX(使用レシピ!N:N,MATCH(テンプレート!$C894,使用レシピ!$E:$E,0)),""),"")</f>
        <v/>
      </c>
      <c r="N894" s="24" t="str">
        <f>IFERROR(IF(INDEX(使用レシピ!O:O,MATCH(テンプレート!$C894,使用レシピ!$E:$E,0))&lt;&gt;0,INDEX(使用レシピ!O:O,MATCH(テンプレート!$C894,使用レシピ!$E:$E,0)),""),"")</f>
        <v/>
      </c>
      <c r="O894" s="36" t="str">
        <f>IFERROR(IF(INDEX(使用レシピ!P:P,MATCH(テンプレート!$C894,使用レシピ!$E:$E,0))&lt;&gt;0,INDEX(使用レシピ!P:P,MATCH(テンプレート!$C894,使用レシピ!$E:$E,0)),""),"")</f>
        <v/>
      </c>
      <c r="P894" t="str">
        <f t="shared" si="71"/>
        <v/>
      </c>
      <c r="Q894" t="str">
        <f t="shared" si="72"/>
        <v/>
      </c>
      <c r="R894" t="str">
        <f t="shared" si="73"/>
        <v/>
      </c>
      <c r="S894" t="str">
        <f t="shared" si="74"/>
        <v/>
      </c>
      <c r="T894" s="24" t="str">
        <f t="shared" si="75"/>
        <v/>
      </c>
    </row>
    <row r="895" spans="2:20" x14ac:dyDescent="0.4">
      <c r="B895" s="49" t="str" cm="1">
        <f t="array" ref="B895">IFERROR((INDEX($P$4:$T$1000,MATCH(VALUE(LEFT($A895,LEN($A895)-1)),$A$4:$A$1000,0),VALUE(RIGHT($A895,1)))/ INDEX($O$4:$O$1000,MATCH(VALUE(LEFT($A895,LEN($A895)-1)),$A$4:$A$1000))) * INDEX($B$4:$B$1000,MATCH(VALUE(LEFT($A895,LEN($A895)-1)),$A$4:$A$1000)),"")</f>
        <v/>
      </c>
      <c r="C895" s="2" t="str" cm="1">
        <f t="array" ref="C895">IFERROR(IF(INDEX($D$4:$H$1000,MATCH(VALUE(LEFT($A895,LEN($A895)-1)),$A$4:$A$1000,0),VALUE(RIGHT($A895,1)))= 0,"",INDEX($D$4:$H$1000,MATCH(VALUE(LEFT($A895,LEN($A895)-1)),$A$4:$A$1000,0),VALUE(RIGHT($A895,1)))),"")</f>
        <v/>
      </c>
      <c r="D895" s="23" t="str">
        <f>IFERROR(IF(INDEX(使用レシピ!F:F,MATCH(テンプレート!$C895,使用レシピ!$E:$E,0))&lt;&gt;0,INDEX(使用レシピ!F:F,MATCH(テンプレート!$C895,使用レシピ!$E:$E,0)),""),"")</f>
        <v/>
      </c>
      <c r="E895" t="str">
        <f>IFERROR(IF(INDEX(使用レシピ!G:G,MATCH(テンプレート!$C895,使用レシピ!$E:$E,0))&lt;&gt;0,INDEX(使用レシピ!G:G,MATCH(テンプレート!$C895,使用レシピ!$E:$E,0)),""),"")</f>
        <v/>
      </c>
      <c r="F895" t="str">
        <f>IFERROR(IF(INDEX(使用レシピ!H:H,MATCH(テンプレート!$C895,使用レシピ!$E:$E,0))&lt;&gt;0,INDEX(使用レシピ!H:H,MATCH(テンプレート!$C895,使用レシピ!$E:$E,0)),""),"")</f>
        <v/>
      </c>
      <c r="G895" t="str">
        <f>IFERROR(IF(INDEX(使用レシピ!I:I,MATCH(テンプレート!$C895,使用レシピ!$E:$E,0))&lt;&gt;0,INDEX(使用レシピ!I:I,MATCH(テンプレート!$C895,使用レシピ!$E:$E,0)),""),"")</f>
        <v/>
      </c>
      <c r="H895" s="24" t="str">
        <f>IFERROR(IF(INDEX(使用レシピ!J:J,MATCH(テンプレート!$C895,使用レシピ!$E:$E,0))&lt;&gt;0,INDEX(使用レシピ!J:J,MATCH(テンプレート!$C895,使用レシピ!$E:$E,0)),""),"")</f>
        <v/>
      </c>
      <c r="I895" s="36" t="str">
        <f>IFERROR(IF(INDEX(使用レシピ!P:P,MATCH(テンプレート!$C895,使用レシピ!$E:$E,0))&lt;&gt;0,INDEX(使用レシピ!P:P,MATCH(テンプレート!$C895,使用レシピ!$E:$E,0)),""),"")</f>
        <v/>
      </c>
      <c r="J895" t="str">
        <f>IFERROR(IF(INDEX(使用レシピ!K:K,MATCH(テンプレート!$C895,使用レシピ!$E:$E,0))&lt;&gt;0,INDEX(使用レシピ!K:K,MATCH(テンプレート!$C895,使用レシピ!$E:$E,0)),""),"")</f>
        <v/>
      </c>
      <c r="K895" t="str">
        <f>IFERROR(IF(INDEX(使用レシピ!L:L,MATCH(テンプレート!$C895,使用レシピ!$E:$E,0))&lt;&gt;0,INDEX(使用レシピ!L:L,MATCH(テンプレート!$C895,使用レシピ!$E:$E,0)),""),"")</f>
        <v/>
      </c>
      <c r="L895" t="str">
        <f>IFERROR(IF(INDEX(使用レシピ!M:M,MATCH(テンプレート!$C895,使用レシピ!$E:$E,0))&lt;&gt;0,INDEX(使用レシピ!M:M,MATCH(テンプレート!$C895,使用レシピ!$E:$E,0)),""),"")</f>
        <v/>
      </c>
      <c r="M895" t="str">
        <f>IFERROR(IF(INDEX(使用レシピ!N:N,MATCH(テンプレート!$C895,使用レシピ!$E:$E,0))&lt;&gt;0,INDEX(使用レシピ!N:N,MATCH(テンプレート!$C895,使用レシピ!$E:$E,0)),""),"")</f>
        <v/>
      </c>
      <c r="N895" s="24" t="str">
        <f>IFERROR(IF(INDEX(使用レシピ!O:O,MATCH(テンプレート!$C895,使用レシピ!$E:$E,0))&lt;&gt;0,INDEX(使用レシピ!O:O,MATCH(テンプレート!$C895,使用レシピ!$E:$E,0)),""),"")</f>
        <v/>
      </c>
      <c r="O895" s="36" t="str">
        <f>IFERROR(IF(INDEX(使用レシピ!P:P,MATCH(テンプレート!$C895,使用レシピ!$E:$E,0))&lt;&gt;0,INDEX(使用レシピ!P:P,MATCH(テンプレート!$C895,使用レシピ!$E:$E,0)),""),"")</f>
        <v/>
      </c>
      <c r="P895" t="str">
        <f t="shared" si="71"/>
        <v/>
      </c>
      <c r="Q895" t="str">
        <f t="shared" si="72"/>
        <v/>
      </c>
      <c r="R895" t="str">
        <f t="shared" si="73"/>
        <v/>
      </c>
      <c r="S895" t="str">
        <f t="shared" si="74"/>
        <v/>
      </c>
      <c r="T895" s="24" t="str">
        <f t="shared" si="75"/>
        <v/>
      </c>
    </row>
    <row r="896" spans="2:20" x14ac:dyDescent="0.4">
      <c r="B896" s="49" t="str" cm="1">
        <f t="array" ref="B896">IFERROR((INDEX($P$4:$T$1000,MATCH(VALUE(LEFT($A896,LEN($A896)-1)),$A$4:$A$1000,0),VALUE(RIGHT($A896,1)))/ INDEX($O$4:$O$1000,MATCH(VALUE(LEFT($A896,LEN($A896)-1)),$A$4:$A$1000))) * INDEX($B$4:$B$1000,MATCH(VALUE(LEFT($A896,LEN($A896)-1)),$A$4:$A$1000)),"")</f>
        <v/>
      </c>
      <c r="C896" s="2" t="str" cm="1">
        <f t="array" ref="C896">IFERROR(IF(INDEX($D$4:$H$1000,MATCH(VALUE(LEFT($A896,LEN($A896)-1)),$A$4:$A$1000,0),VALUE(RIGHT($A896,1)))= 0,"",INDEX($D$4:$H$1000,MATCH(VALUE(LEFT($A896,LEN($A896)-1)),$A$4:$A$1000,0),VALUE(RIGHT($A896,1)))),"")</f>
        <v/>
      </c>
      <c r="D896" s="23" t="str">
        <f>IFERROR(IF(INDEX(使用レシピ!F:F,MATCH(テンプレート!$C896,使用レシピ!$E:$E,0))&lt;&gt;0,INDEX(使用レシピ!F:F,MATCH(テンプレート!$C896,使用レシピ!$E:$E,0)),""),"")</f>
        <v/>
      </c>
      <c r="E896" t="str">
        <f>IFERROR(IF(INDEX(使用レシピ!G:G,MATCH(テンプレート!$C896,使用レシピ!$E:$E,0))&lt;&gt;0,INDEX(使用レシピ!G:G,MATCH(テンプレート!$C896,使用レシピ!$E:$E,0)),""),"")</f>
        <v/>
      </c>
      <c r="F896" t="str">
        <f>IFERROR(IF(INDEX(使用レシピ!H:H,MATCH(テンプレート!$C896,使用レシピ!$E:$E,0))&lt;&gt;0,INDEX(使用レシピ!H:H,MATCH(テンプレート!$C896,使用レシピ!$E:$E,0)),""),"")</f>
        <v/>
      </c>
      <c r="G896" t="str">
        <f>IFERROR(IF(INDEX(使用レシピ!I:I,MATCH(テンプレート!$C896,使用レシピ!$E:$E,0))&lt;&gt;0,INDEX(使用レシピ!I:I,MATCH(テンプレート!$C896,使用レシピ!$E:$E,0)),""),"")</f>
        <v/>
      </c>
      <c r="H896" s="24" t="str">
        <f>IFERROR(IF(INDEX(使用レシピ!J:J,MATCH(テンプレート!$C896,使用レシピ!$E:$E,0))&lt;&gt;0,INDEX(使用レシピ!J:J,MATCH(テンプレート!$C896,使用レシピ!$E:$E,0)),""),"")</f>
        <v/>
      </c>
      <c r="I896" s="36" t="str">
        <f>IFERROR(IF(INDEX(使用レシピ!P:P,MATCH(テンプレート!$C896,使用レシピ!$E:$E,0))&lt;&gt;0,INDEX(使用レシピ!P:P,MATCH(テンプレート!$C896,使用レシピ!$E:$E,0)),""),"")</f>
        <v/>
      </c>
      <c r="J896" t="str">
        <f>IFERROR(IF(INDEX(使用レシピ!K:K,MATCH(テンプレート!$C896,使用レシピ!$E:$E,0))&lt;&gt;0,INDEX(使用レシピ!K:K,MATCH(テンプレート!$C896,使用レシピ!$E:$E,0)),""),"")</f>
        <v/>
      </c>
      <c r="K896" t="str">
        <f>IFERROR(IF(INDEX(使用レシピ!L:L,MATCH(テンプレート!$C896,使用レシピ!$E:$E,0))&lt;&gt;0,INDEX(使用レシピ!L:L,MATCH(テンプレート!$C896,使用レシピ!$E:$E,0)),""),"")</f>
        <v/>
      </c>
      <c r="L896" t="str">
        <f>IFERROR(IF(INDEX(使用レシピ!M:M,MATCH(テンプレート!$C896,使用レシピ!$E:$E,0))&lt;&gt;0,INDEX(使用レシピ!M:M,MATCH(テンプレート!$C896,使用レシピ!$E:$E,0)),""),"")</f>
        <v/>
      </c>
      <c r="M896" t="str">
        <f>IFERROR(IF(INDEX(使用レシピ!N:N,MATCH(テンプレート!$C896,使用レシピ!$E:$E,0))&lt;&gt;0,INDEX(使用レシピ!N:N,MATCH(テンプレート!$C896,使用レシピ!$E:$E,0)),""),"")</f>
        <v/>
      </c>
      <c r="N896" s="24" t="str">
        <f>IFERROR(IF(INDEX(使用レシピ!O:O,MATCH(テンプレート!$C896,使用レシピ!$E:$E,0))&lt;&gt;0,INDEX(使用レシピ!O:O,MATCH(テンプレート!$C896,使用レシピ!$E:$E,0)),""),"")</f>
        <v/>
      </c>
      <c r="O896" s="36" t="str">
        <f>IFERROR(IF(INDEX(使用レシピ!P:P,MATCH(テンプレート!$C896,使用レシピ!$E:$E,0))&lt;&gt;0,INDEX(使用レシピ!P:P,MATCH(テンプレート!$C896,使用レシピ!$E:$E,0)),""),"")</f>
        <v/>
      </c>
      <c r="P896" t="str">
        <f t="shared" si="71"/>
        <v/>
      </c>
      <c r="Q896" t="str">
        <f t="shared" si="72"/>
        <v/>
      </c>
      <c r="R896" t="str">
        <f t="shared" si="73"/>
        <v/>
      </c>
      <c r="S896" t="str">
        <f t="shared" si="74"/>
        <v/>
      </c>
      <c r="T896" s="24" t="str">
        <f t="shared" si="75"/>
        <v/>
      </c>
    </row>
    <row r="897" spans="2:20" x14ac:dyDescent="0.4">
      <c r="B897" s="49" t="str" cm="1">
        <f t="array" ref="B897">IFERROR((INDEX($P$4:$T$1000,MATCH(VALUE(LEFT($A897,LEN($A897)-1)),$A$4:$A$1000,0),VALUE(RIGHT($A897,1)))/ INDEX($O$4:$O$1000,MATCH(VALUE(LEFT($A897,LEN($A897)-1)),$A$4:$A$1000))) * INDEX($B$4:$B$1000,MATCH(VALUE(LEFT($A897,LEN($A897)-1)),$A$4:$A$1000)),"")</f>
        <v/>
      </c>
      <c r="C897" s="2" t="str" cm="1">
        <f t="array" ref="C897">IFERROR(IF(INDEX($D$4:$H$1000,MATCH(VALUE(LEFT($A897,LEN($A897)-1)),$A$4:$A$1000,0),VALUE(RIGHT($A897,1)))= 0,"",INDEX($D$4:$H$1000,MATCH(VALUE(LEFT($A897,LEN($A897)-1)),$A$4:$A$1000,0),VALUE(RIGHT($A897,1)))),"")</f>
        <v/>
      </c>
      <c r="D897" s="23" t="str">
        <f>IFERROR(IF(INDEX(使用レシピ!F:F,MATCH(テンプレート!$C897,使用レシピ!$E:$E,0))&lt;&gt;0,INDEX(使用レシピ!F:F,MATCH(テンプレート!$C897,使用レシピ!$E:$E,0)),""),"")</f>
        <v/>
      </c>
      <c r="E897" t="str">
        <f>IFERROR(IF(INDEX(使用レシピ!G:G,MATCH(テンプレート!$C897,使用レシピ!$E:$E,0))&lt;&gt;0,INDEX(使用レシピ!G:G,MATCH(テンプレート!$C897,使用レシピ!$E:$E,0)),""),"")</f>
        <v/>
      </c>
      <c r="F897" t="str">
        <f>IFERROR(IF(INDEX(使用レシピ!H:H,MATCH(テンプレート!$C897,使用レシピ!$E:$E,0))&lt;&gt;0,INDEX(使用レシピ!H:H,MATCH(テンプレート!$C897,使用レシピ!$E:$E,0)),""),"")</f>
        <v/>
      </c>
      <c r="G897" t="str">
        <f>IFERROR(IF(INDEX(使用レシピ!I:I,MATCH(テンプレート!$C897,使用レシピ!$E:$E,0))&lt;&gt;0,INDEX(使用レシピ!I:I,MATCH(テンプレート!$C897,使用レシピ!$E:$E,0)),""),"")</f>
        <v/>
      </c>
      <c r="H897" s="24" t="str">
        <f>IFERROR(IF(INDEX(使用レシピ!J:J,MATCH(テンプレート!$C897,使用レシピ!$E:$E,0))&lt;&gt;0,INDEX(使用レシピ!J:J,MATCH(テンプレート!$C897,使用レシピ!$E:$E,0)),""),"")</f>
        <v/>
      </c>
      <c r="I897" s="36" t="str">
        <f>IFERROR(IF(INDEX(使用レシピ!P:P,MATCH(テンプレート!$C897,使用レシピ!$E:$E,0))&lt;&gt;0,INDEX(使用レシピ!P:P,MATCH(テンプレート!$C897,使用レシピ!$E:$E,0)),""),"")</f>
        <v/>
      </c>
      <c r="J897" t="str">
        <f>IFERROR(IF(INDEX(使用レシピ!K:K,MATCH(テンプレート!$C897,使用レシピ!$E:$E,0))&lt;&gt;0,INDEX(使用レシピ!K:K,MATCH(テンプレート!$C897,使用レシピ!$E:$E,0)),""),"")</f>
        <v/>
      </c>
      <c r="K897" t="str">
        <f>IFERROR(IF(INDEX(使用レシピ!L:L,MATCH(テンプレート!$C897,使用レシピ!$E:$E,0))&lt;&gt;0,INDEX(使用レシピ!L:L,MATCH(テンプレート!$C897,使用レシピ!$E:$E,0)),""),"")</f>
        <v/>
      </c>
      <c r="L897" t="str">
        <f>IFERROR(IF(INDEX(使用レシピ!M:M,MATCH(テンプレート!$C897,使用レシピ!$E:$E,0))&lt;&gt;0,INDEX(使用レシピ!M:M,MATCH(テンプレート!$C897,使用レシピ!$E:$E,0)),""),"")</f>
        <v/>
      </c>
      <c r="M897" t="str">
        <f>IFERROR(IF(INDEX(使用レシピ!N:N,MATCH(テンプレート!$C897,使用レシピ!$E:$E,0))&lt;&gt;0,INDEX(使用レシピ!N:N,MATCH(テンプレート!$C897,使用レシピ!$E:$E,0)),""),"")</f>
        <v/>
      </c>
      <c r="N897" s="24" t="str">
        <f>IFERROR(IF(INDEX(使用レシピ!O:O,MATCH(テンプレート!$C897,使用レシピ!$E:$E,0))&lt;&gt;0,INDEX(使用レシピ!O:O,MATCH(テンプレート!$C897,使用レシピ!$E:$E,0)),""),"")</f>
        <v/>
      </c>
      <c r="O897" s="36" t="str">
        <f>IFERROR(IF(INDEX(使用レシピ!P:P,MATCH(テンプレート!$C897,使用レシピ!$E:$E,0))&lt;&gt;0,INDEX(使用レシピ!P:P,MATCH(テンプレート!$C897,使用レシピ!$E:$E,0)),""),"")</f>
        <v/>
      </c>
      <c r="P897" t="str">
        <f t="shared" si="71"/>
        <v/>
      </c>
      <c r="Q897" t="str">
        <f t="shared" si="72"/>
        <v/>
      </c>
      <c r="R897" t="str">
        <f t="shared" si="73"/>
        <v/>
      </c>
      <c r="S897" t="str">
        <f t="shared" si="74"/>
        <v/>
      </c>
      <c r="T897" s="24" t="str">
        <f t="shared" si="75"/>
        <v/>
      </c>
    </row>
    <row r="898" spans="2:20" x14ac:dyDescent="0.4">
      <c r="B898" s="49" t="str" cm="1">
        <f t="array" ref="B898">IFERROR((INDEX($P$4:$T$1000,MATCH(VALUE(LEFT($A898,LEN($A898)-1)),$A$4:$A$1000,0),VALUE(RIGHT($A898,1)))/ INDEX($O$4:$O$1000,MATCH(VALUE(LEFT($A898,LEN($A898)-1)),$A$4:$A$1000))) * INDEX($B$4:$B$1000,MATCH(VALUE(LEFT($A898,LEN($A898)-1)),$A$4:$A$1000)),"")</f>
        <v/>
      </c>
      <c r="C898" s="2" t="str" cm="1">
        <f t="array" ref="C898">IFERROR(IF(INDEX($D$4:$H$1000,MATCH(VALUE(LEFT($A898,LEN($A898)-1)),$A$4:$A$1000,0),VALUE(RIGHT($A898,1)))= 0,"",INDEX($D$4:$H$1000,MATCH(VALUE(LEFT($A898,LEN($A898)-1)),$A$4:$A$1000,0),VALUE(RIGHT($A898,1)))),"")</f>
        <v/>
      </c>
      <c r="D898" s="23" t="str">
        <f>IFERROR(IF(INDEX(使用レシピ!F:F,MATCH(テンプレート!$C898,使用レシピ!$E:$E,0))&lt;&gt;0,INDEX(使用レシピ!F:F,MATCH(テンプレート!$C898,使用レシピ!$E:$E,0)),""),"")</f>
        <v/>
      </c>
      <c r="E898" t="str">
        <f>IFERROR(IF(INDEX(使用レシピ!G:G,MATCH(テンプレート!$C898,使用レシピ!$E:$E,0))&lt;&gt;0,INDEX(使用レシピ!G:G,MATCH(テンプレート!$C898,使用レシピ!$E:$E,0)),""),"")</f>
        <v/>
      </c>
      <c r="F898" t="str">
        <f>IFERROR(IF(INDEX(使用レシピ!H:H,MATCH(テンプレート!$C898,使用レシピ!$E:$E,0))&lt;&gt;0,INDEX(使用レシピ!H:H,MATCH(テンプレート!$C898,使用レシピ!$E:$E,0)),""),"")</f>
        <v/>
      </c>
      <c r="G898" t="str">
        <f>IFERROR(IF(INDEX(使用レシピ!I:I,MATCH(テンプレート!$C898,使用レシピ!$E:$E,0))&lt;&gt;0,INDEX(使用レシピ!I:I,MATCH(テンプレート!$C898,使用レシピ!$E:$E,0)),""),"")</f>
        <v/>
      </c>
      <c r="H898" s="24" t="str">
        <f>IFERROR(IF(INDEX(使用レシピ!J:J,MATCH(テンプレート!$C898,使用レシピ!$E:$E,0))&lt;&gt;0,INDEX(使用レシピ!J:J,MATCH(テンプレート!$C898,使用レシピ!$E:$E,0)),""),"")</f>
        <v/>
      </c>
      <c r="I898" s="36" t="str">
        <f>IFERROR(IF(INDEX(使用レシピ!P:P,MATCH(テンプレート!$C898,使用レシピ!$E:$E,0))&lt;&gt;0,INDEX(使用レシピ!P:P,MATCH(テンプレート!$C898,使用レシピ!$E:$E,0)),""),"")</f>
        <v/>
      </c>
      <c r="J898" t="str">
        <f>IFERROR(IF(INDEX(使用レシピ!K:K,MATCH(テンプレート!$C898,使用レシピ!$E:$E,0))&lt;&gt;0,INDEX(使用レシピ!K:K,MATCH(テンプレート!$C898,使用レシピ!$E:$E,0)),""),"")</f>
        <v/>
      </c>
      <c r="K898" t="str">
        <f>IFERROR(IF(INDEX(使用レシピ!L:L,MATCH(テンプレート!$C898,使用レシピ!$E:$E,0))&lt;&gt;0,INDEX(使用レシピ!L:L,MATCH(テンプレート!$C898,使用レシピ!$E:$E,0)),""),"")</f>
        <v/>
      </c>
      <c r="L898" t="str">
        <f>IFERROR(IF(INDEX(使用レシピ!M:M,MATCH(テンプレート!$C898,使用レシピ!$E:$E,0))&lt;&gt;0,INDEX(使用レシピ!M:M,MATCH(テンプレート!$C898,使用レシピ!$E:$E,0)),""),"")</f>
        <v/>
      </c>
      <c r="M898" t="str">
        <f>IFERROR(IF(INDEX(使用レシピ!N:N,MATCH(テンプレート!$C898,使用レシピ!$E:$E,0))&lt;&gt;0,INDEX(使用レシピ!N:N,MATCH(テンプレート!$C898,使用レシピ!$E:$E,0)),""),"")</f>
        <v/>
      </c>
      <c r="N898" s="24" t="str">
        <f>IFERROR(IF(INDEX(使用レシピ!O:O,MATCH(テンプレート!$C898,使用レシピ!$E:$E,0))&lt;&gt;0,INDEX(使用レシピ!O:O,MATCH(テンプレート!$C898,使用レシピ!$E:$E,0)),""),"")</f>
        <v/>
      </c>
      <c r="O898" s="36" t="str">
        <f>IFERROR(IF(INDEX(使用レシピ!P:P,MATCH(テンプレート!$C898,使用レシピ!$E:$E,0))&lt;&gt;0,INDEX(使用レシピ!P:P,MATCH(テンプレート!$C898,使用レシピ!$E:$E,0)),""),"")</f>
        <v/>
      </c>
      <c r="P898" t="str">
        <f t="shared" si="71"/>
        <v/>
      </c>
      <c r="Q898" t="str">
        <f t="shared" si="72"/>
        <v/>
      </c>
      <c r="R898" t="str">
        <f t="shared" si="73"/>
        <v/>
      </c>
      <c r="S898" t="str">
        <f t="shared" si="74"/>
        <v/>
      </c>
      <c r="T898" s="24" t="str">
        <f t="shared" si="75"/>
        <v/>
      </c>
    </row>
    <row r="899" spans="2:20" x14ac:dyDescent="0.4">
      <c r="B899" s="49" t="str" cm="1">
        <f t="array" ref="B899">IFERROR((INDEX($P$4:$T$1000,MATCH(VALUE(LEFT($A899,LEN($A899)-1)),$A$4:$A$1000,0),VALUE(RIGHT($A899,1)))/ INDEX($O$4:$O$1000,MATCH(VALUE(LEFT($A899,LEN($A899)-1)),$A$4:$A$1000))) * INDEX($B$4:$B$1000,MATCH(VALUE(LEFT($A899,LEN($A899)-1)),$A$4:$A$1000)),"")</f>
        <v/>
      </c>
      <c r="C899" s="2" t="str" cm="1">
        <f t="array" ref="C899">IFERROR(IF(INDEX($D$4:$H$1000,MATCH(VALUE(LEFT($A899,LEN($A899)-1)),$A$4:$A$1000,0),VALUE(RIGHT($A899,1)))= 0,"",INDEX($D$4:$H$1000,MATCH(VALUE(LEFT($A899,LEN($A899)-1)),$A$4:$A$1000,0),VALUE(RIGHT($A899,1)))),"")</f>
        <v/>
      </c>
      <c r="D899" s="23" t="str">
        <f>IFERROR(IF(INDEX(使用レシピ!F:F,MATCH(テンプレート!$C899,使用レシピ!$E:$E,0))&lt;&gt;0,INDEX(使用レシピ!F:F,MATCH(テンプレート!$C899,使用レシピ!$E:$E,0)),""),"")</f>
        <v/>
      </c>
      <c r="E899" t="str">
        <f>IFERROR(IF(INDEX(使用レシピ!G:G,MATCH(テンプレート!$C899,使用レシピ!$E:$E,0))&lt;&gt;0,INDEX(使用レシピ!G:G,MATCH(テンプレート!$C899,使用レシピ!$E:$E,0)),""),"")</f>
        <v/>
      </c>
      <c r="F899" t="str">
        <f>IFERROR(IF(INDEX(使用レシピ!H:H,MATCH(テンプレート!$C899,使用レシピ!$E:$E,0))&lt;&gt;0,INDEX(使用レシピ!H:H,MATCH(テンプレート!$C899,使用レシピ!$E:$E,0)),""),"")</f>
        <v/>
      </c>
      <c r="G899" t="str">
        <f>IFERROR(IF(INDEX(使用レシピ!I:I,MATCH(テンプレート!$C899,使用レシピ!$E:$E,0))&lt;&gt;0,INDEX(使用レシピ!I:I,MATCH(テンプレート!$C899,使用レシピ!$E:$E,0)),""),"")</f>
        <v/>
      </c>
      <c r="H899" s="24" t="str">
        <f>IFERROR(IF(INDEX(使用レシピ!J:J,MATCH(テンプレート!$C899,使用レシピ!$E:$E,0))&lt;&gt;0,INDEX(使用レシピ!J:J,MATCH(テンプレート!$C899,使用レシピ!$E:$E,0)),""),"")</f>
        <v/>
      </c>
      <c r="I899" s="36" t="str">
        <f>IFERROR(IF(INDEX(使用レシピ!P:P,MATCH(テンプレート!$C899,使用レシピ!$E:$E,0))&lt;&gt;0,INDEX(使用レシピ!P:P,MATCH(テンプレート!$C899,使用レシピ!$E:$E,0)),""),"")</f>
        <v/>
      </c>
      <c r="J899" t="str">
        <f>IFERROR(IF(INDEX(使用レシピ!K:K,MATCH(テンプレート!$C899,使用レシピ!$E:$E,0))&lt;&gt;0,INDEX(使用レシピ!K:K,MATCH(テンプレート!$C899,使用レシピ!$E:$E,0)),""),"")</f>
        <v/>
      </c>
      <c r="K899" t="str">
        <f>IFERROR(IF(INDEX(使用レシピ!L:L,MATCH(テンプレート!$C899,使用レシピ!$E:$E,0))&lt;&gt;0,INDEX(使用レシピ!L:L,MATCH(テンプレート!$C899,使用レシピ!$E:$E,0)),""),"")</f>
        <v/>
      </c>
      <c r="L899" t="str">
        <f>IFERROR(IF(INDEX(使用レシピ!M:M,MATCH(テンプレート!$C899,使用レシピ!$E:$E,0))&lt;&gt;0,INDEX(使用レシピ!M:M,MATCH(テンプレート!$C899,使用レシピ!$E:$E,0)),""),"")</f>
        <v/>
      </c>
      <c r="M899" t="str">
        <f>IFERROR(IF(INDEX(使用レシピ!N:N,MATCH(テンプレート!$C899,使用レシピ!$E:$E,0))&lt;&gt;0,INDEX(使用レシピ!N:N,MATCH(テンプレート!$C899,使用レシピ!$E:$E,0)),""),"")</f>
        <v/>
      </c>
      <c r="N899" s="24" t="str">
        <f>IFERROR(IF(INDEX(使用レシピ!O:O,MATCH(テンプレート!$C899,使用レシピ!$E:$E,0))&lt;&gt;0,INDEX(使用レシピ!O:O,MATCH(テンプレート!$C899,使用レシピ!$E:$E,0)),""),"")</f>
        <v/>
      </c>
      <c r="O899" s="36" t="str">
        <f>IFERROR(IF(INDEX(使用レシピ!P:P,MATCH(テンプレート!$C899,使用レシピ!$E:$E,0))&lt;&gt;0,INDEX(使用レシピ!P:P,MATCH(テンプレート!$C899,使用レシピ!$E:$E,0)),""),"")</f>
        <v/>
      </c>
      <c r="P899" t="str">
        <f t="shared" si="71"/>
        <v/>
      </c>
      <c r="Q899" t="str">
        <f t="shared" si="72"/>
        <v/>
      </c>
      <c r="R899" t="str">
        <f t="shared" si="73"/>
        <v/>
      </c>
      <c r="S899" t="str">
        <f t="shared" si="74"/>
        <v/>
      </c>
      <c r="T899" s="24" t="str">
        <f t="shared" si="75"/>
        <v/>
      </c>
    </row>
    <row r="900" spans="2:20" x14ac:dyDescent="0.4">
      <c r="B900" s="49" t="str" cm="1">
        <f t="array" ref="B900">IFERROR((INDEX($P$4:$T$1000,MATCH(VALUE(LEFT($A900,LEN($A900)-1)),$A$4:$A$1000,0),VALUE(RIGHT($A900,1)))/ INDEX($O$4:$O$1000,MATCH(VALUE(LEFT($A900,LEN($A900)-1)),$A$4:$A$1000))) * INDEX($B$4:$B$1000,MATCH(VALUE(LEFT($A900,LEN($A900)-1)),$A$4:$A$1000)),"")</f>
        <v/>
      </c>
      <c r="C900" s="2" t="str" cm="1">
        <f t="array" ref="C900">IFERROR(IF(INDEX($D$4:$H$1000,MATCH(VALUE(LEFT($A900,LEN($A900)-1)),$A$4:$A$1000,0),VALUE(RIGHT($A900,1)))= 0,"",INDEX($D$4:$H$1000,MATCH(VALUE(LEFT($A900,LEN($A900)-1)),$A$4:$A$1000,0),VALUE(RIGHT($A900,1)))),"")</f>
        <v/>
      </c>
      <c r="D900" s="23" t="str">
        <f>IFERROR(IF(INDEX(使用レシピ!F:F,MATCH(テンプレート!$C900,使用レシピ!$E:$E,0))&lt;&gt;0,INDEX(使用レシピ!F:F,MATCH(テンプレート!$C900,使用レシピ!$E:$E,0)),""),"")</f>
        <v/>
      </c>
      <c r="E900" t="str">
        <f>IFERROR(IF(INDEX(使用レシピ!G:G,MATCH(テンプレート!$C900,使用レシピ!$E:$E,0))&lt;&gt;0,INDEX(使用レシピ!G:G,MATCH(テンプレート!$C900,使用レシピ!$E:$E,0)),""),"")</f>
        <v/>
      </c>
      <c r="F900" t="str">
        <f>IFERROR(IF(INDEX(使用レシピ!H:H,MATCH(テンプレート!$C900,使用レシピ!$E:$E,0))&lt;&gt;0,INDEX(使用レシピ!H:H,MATCH(テンプレート!$C900,使用レシピ!$E:$E,0)),""),"")</f>
        <v/>
      </c>
      <c r="G900" t="str">
        <f>IFERROR(IF(INDEX(使用レシピ!I:I,MATCH(テンプレート!$C900,使用レシピ!$E:$E,0))&lt;&gt;0,INDEX(使用レシピ!I:I,MATCH(テンプレート!$C900,使用レシピ!$E:$E,0)),""),"")</f>
        <v/>
      </c>
      <c r="H900" s="24" t="str">
        <f>IFERROR(IF(INDEX(使用レシピ!J:J,MATCH(テンプレート!$C900,使用レシピ!$E:$E,0))&lt;&gt;0,INDEX(使用レシピ!J:J,MATCH(テンプレート!$C900,使用レシピ!$E:$E,0)),""),"")</f>
        <v/>
      </c>
      <c r="I900" s="36" t="str">
        <f>IFERROR(IF(INDEX(使用レシピ!P:P,MATCH(テンプレート!$C900,使用レシピ!$E:$E,0))&lt;&gt;0,INDEX(使用レシピ!P:P,MATCH(テンプレート!$C900,使用レシピ!$E:$E,0)),""),"")</f>
        <v/>
      </c>
      <c r="J900" t="str">
        <f>IFERROR(IF(INDEX(使用レシピ!K:K,MATCH(テンプレート!$C900,使用レシピ!$E:$E,0))&lt;&gt;0,INDEX(使用レシピ!K:K,MATCH(テンプレート!$C900,使用レシピ!$E:$E,0)),""),"")</f>
        <v/>
      </c>
      <c r="K900" t="str">
        <f>IFERROR(IF(INDEX(使用レシピ!L:L,MATCH(テンプレート!$C900,使用レシピ!$E:$E,0))&lt;&gt;0,INDEX(使用レシピ!L:L,MATCH(テンプレート!$C900,使用レシピ!$E:$E,0)),""),"")</f>
        <v/>
      </c>
      <c r="L900" t="str">
        <f>IFERROR(IF(INDEX(使用レシピ!M:M,MATCH(テンプレート!$C900,使用レシピ!$E:$E,0))&lt;&gt;0,INDEX(使用レシピ!M:M,MATCH(テンプレート!$C900,使用レシピ!$E:$E,0)),""),"")</f>
        <v/>
      </c>
      <c r="M900" t="str">
        <f>IFERROR(IF(INDEX(使用レシピ!N:N,MATCH(テンプレート!$C900,使用レシピ!$E:$E,0))&lt;&gt;0,INDEX(使用レシピ!N:N,MATCH(テンプレート!$C900,使用レシピ!$E:$E,0)),""),"")</f>
        <v/>
      </c>
      <c r="N900" s="24" t="str">
        <f>IFERROR(IF(INDEX(使用レシピ!O:O,MATCH(テンプレート!$C900,使用レシピ!$E:$E,0))&lt;&gt;0,INDEX(使用レシピ!O:O,MATCH(テンプレート!$C900,使用レシピ!$E:$E,0)),""),"")</f>
        <v/>
      </c>
      <c r="O900" s="36" t="str">
        <f>IFERROR(IF(INDEX(使用レシピ!P:P,MATCH(テンプレート!$C900,使用レシピ!$E:$E,0))&lt;&gt;0,INDEX(使用レシピ!P:P,MATCH(テンプレート!$C900,使用レシピ!$E:$E,0)),""),"")</f>
        <v/>
      </c>
      <c r="P900" t="str">
        <f t="shared" si="71"/>
        <v/>
      </c>
      <c r="Q900" t="str">
        <f t="shared" si="72"/>
        <v/>
      </c>
      <c r="R900" t="str">
        <f t="shared" si="73"/>
        <v/>
      </c>
      <c r="S900" t="str">
        <f t="shared" si="74"/>
        <v/>
      </c>
      <c r="T900" s="24" t="str">
        <f t="shared" si="75"/>
        <v/>
      </c>
    </row>
    <row r="901" spans="2:20" x14ac:dyDescent="0.4">
      <c r="B901" s="49" t="str" cm="1">
        <f t="array" ref="B901">IFERROR((INDEX($P$4:$T$1000,MATCH(VALUE(LEFT($A901,LEN($A901)-1)),$A$4:$A$1000,0),VALUE(RIGHT($A901,1)))/ INDEX($O$4:$O$1000,MATCH(VALUE(LEFT($A901,LEN($A901)-1)),$A$4:$A$1000))) * INDEX($B$4:$B$1000,MATCH(VALUE(LEFT($A901,LEN($A901)-1)),$A$4:$A$1000)),"")</f>
        <v/>
      </c>
      <c r="C901" s="2" t="str" cm="1">
        <f t="array" ref="C901">IFERROR(IF(INDEX($D$4:$H$1000,MATCH(VALUE(LEFT($A901,LEN($A901)-1)),$A$4:$A$1000,0),VALUE(RIGHT($A901,1)))= 0,"",INDEX($D$4:$H$1000,MATCH(VALUE(LEFT($A901,LEN($A901)-1)),$A$4:$A$1000,0),VALUE(RIGHT($A901,1)))),"")</f>
        <v/>
      </c>
      <c r="D901" s="23" t="str">
        <f>IFERROR(IF(INDEX(使用レシピ!F:F,MATCH(テンプレート!$C901,使用レシピ!$E:$E,0))&lt;&gt;0,INDEX(使用レシピ!F:F,MATCH(テンプレート!$C901,使用レシピ!$E:$E,0)),""),"")</f>
        <v/>
      </c>
      <c r="E901" t="str">
        <f>IFERROR(IF(INDEX(使用レシピ!G:G,MATCH(テンプレート!$C901,使用レシピ!$E:$E,0))&lt;&gt;0,INDEX(使用レシピ!G:G,MATCH(テンプレート!$C901,使用レシピ!$E:$E,0)),""),"")</f>
        <v/>
      </c>
      <c r="F901" t="str">
        <f>IFERROR(IF(INDEX(使用レシピ!H:H,MATCH(テンプレート!$C901,使用レシピ!$E:$E,0))&lt;&gt;0,INDEX(使用レシピ!H:H,MATCH(テンプレート!$C901,使用レシピ!$E:$E,0)),""),"")</f>
        <v/>
      </c>
      <c r="G901" t="str">
        <f>IFERROR(IF(INDEX(使用レシピ!I:I,MATCH(テンプレート!$C901,使用レシピ!$E:$E,0))&lt;&gt;0,INDEX(使用レシピ!I:I,MATCH(テンプレート!$C901,使用レシピ!$E:$E,0)),""),"")</f>
        <v/>
      </c>
      <c r="H901" s="24" t="str">
        <f>IFERROR(IF(INDEX(使用レシピ!J:J,MATCH(テンプレート!$C901,使用レシピ!$E:$E,0))&lt;&gt;0,INDEX(使用レシピ!J:J,MATCH(テンプレート!$C901,使用レシピ!$E:$E,0)),""),"")</f>
        <v/>
      </c>
      <c r="I901" s="36" t="str">
        <f>IFERROR(IF(INDEX(使用レシピ!P:P,MATCH(テンプレート!$C901,使用レシピ!$E:$E,0))&lt;&gt;0,INDEX(使用レシピ!P:P,MATCH(テンプレート!$C901,使用レシピ!$E:$E,0)),""),"")</f>
        <v/>
      </c>
      <c r="J901" t="str">
        <f>IFERROR(IF(INDEX(使用レシピ!K:K,MATCH(テンプレート!$C901,使用レシピ!$E:$E,0))&lt;&gt;0,INDEX(使用レシピ!K:K,MATCH(テンプレート!$C901,使用レシピ!$E:$E,0)),""),"")</f>
        <v/>
      </c>
      <c r="K901" t="str">
        <f>IFERROR(IF(INDEX(使用レシピ!L:L,MATCH(テンプレート!$C901,使用レシピ!$E:$E,0))&lt;&gt;0,INDEX(使用レシピ!L:L,MATCH(テンプレート!$C901,使用レシピ!$E:$E,0)),""),"")</f>
        <v/>
      </c>
      <c r="L901" t="str">
        <f>IFERROR(IF(INDEX(使用レシピ!M:M,MATCH(テンプレート!$C901,使用レシピ!$E:$E,0))&lt;&gt;0,INDEX(使用レシピ!M:M,MATCH(テンプレート!$C901,使用レシピ!$E:$E,0)),""),"")</f>
        <v/>
      </c>
      <c r="M901" t="str">
        <f>IFERROR(IF(INDEX(使用レシピ!N:N,MATCH(テンプレート!$C901,使用レシピ!$E:$E,0))&lt;&gt;0,INDEX(使用レシピ!N:N,MATCH(テンプレート!$C901,使用レシピ!$E:$E,0)),""),"")</f>
        <v/>
      </c>
      <c r="N901" s="24" t="str">
        <f>IFERROR(IF(INDEX(使用レシピ!O:O,MATCH(テンプレート!$C901,使用レシピ!$E:$E,0))&lt;&gt;0,INDEX(使用レシピ!O:O,MATCH(テンプレート!$C901,使用レシピ!$E:$E,0)),""),"")</f>
        <v/>
      </c>
      <c r="O901" s="36" t="str">
        <f>IFERROR(IF(INDEX(使用レシピ!P:P,MATCH(テンプレート!$C901,使用レシピ!$E:$E,0))&lt;&gt;0,INDEX(使用レシピ!P:P,MATCH(テンプレート!$C901,使用レシピ!$E:$E,0)),""),"")</f>
        <v/>
      </c>
      <c r="P901" t="str">
        <f t="shared" si="71"/>
        <v/>
      </c>
      <c r="Q901" t="str">
        <f t="shared" si="72"/>
        <v/>
      </c>
      <c r="R901" t="str">
        <f t="shared" si="73"/>
        <v/>
      </c>
      <c r="S901" t="str">
        <f t="shared" si="74"/>
        <v/>
      </c>
      <c r="T901" s="24" t="str">
        <f t="shared" si="75"/>
        <v/>
      </c>
    </row>
    <row r="902" spans="2:20" x14ac:dyDescent="0.4">
      <c r="B902" s="49" t="str" cm="1">
        <f t="array" ref="B902">IFERROR((INDEX($P$4:$T$1000,MATCH(VALUE(LEFT($A902,LEN($A902)-1)),$A$4:$A$1000,0),VALUE(RIGHT($A902,1)))/ INDEX($O$4:$O$1000,MATCH(VALUE(LEFT($A902,LEN($A902)-1)),$A$4:$A$1000))) * INDEX($B$4:$B$1000,MATCH(VALUE(LEFT($A902,LEN($A902)-1)),$A$4:$A$1000)),"")</f>
        <v/>
      </c>
      <c r="C902" s="2" t="str" cm="1">
        <f t="array" ref="C902">IFERROR(IF(INDEX($D$4:$H$1000,MATCH(VALUE(LEFT($A902,LEN($A902)-1)),$A$4:$A$1000,0),VALUE(RIGHT($A902,1)))= 0,"",INDEX($D$4:$H$1000,MATCH(VALUE(LEFT($A902,LEN($A902)-1)),$A$4:$A$1000,0),VALUE(RIGHT($A902,1)))),"")</f>
        <v/>
      </c>
      <c r="D902" s="23" t="str">
        <f>IFERROR(IF(INDEX(使用レシピ!F:F,MATCH(テンプレート!$C902,使用レシピ!$E:$E,0))&lt;&gt;0,INDEX(使用レシピ!F:F,MATCH(テンプレート!$C902,使用レシピ!$E:$E,0)),""),"")</f>
        <v/>
      </c>
      <c r="E902" t="str">
        <f>IFERROR(IF(INDEX(使用レシピ!G:G,MATCH(テンプレート!$C902,使用レシピ!$E:$E,0))&lt;&gt;0,INDEX(使用レシピ!G:G,MATCH(テンプレート!$C902,使用レシピ!$E:$E,0)),""),"")</f>
        <v/>
      </c>
      <c r="F902" t="str">
        <f>IFERROR(IF(INDEX(使用レシピ!H:H,MATCH(テンプレート!$C902,使用レシピ!$E:$E,0))&lt;&gt;0,INDEX(使用レシピ!H:H,MATCH(テンプレート!$C902,使用レシピ!$E:$E,0)),""),"")</f>
        <v/>
      </c>
      <c r="G902" t="str">
        <f>IFERROR(IF(INDEX(使用レシピ!I:I,MATCH(テンプレート!$C902,使用レシピ!$E:$E,0))&lt;&gt;0,INDEX(使用レシピ!I:I,MATCH(テンプレート!$C902,使用レシピ!$E:$E,0)),""),"")</f>
        <v/>
      </c>
      <c r="H902" s="24" t="str">
        <f>IFERROR(IF(INDEX(使用レシピ!J:J,MATCH(テンプレート!$C902,使用レシピ!$E:$E,0))&lt;&gt;0,INDEX(使用レシピ!J:J,MATCH(テンプレート!$C902,使用レシピ!$E:$E,0)),""),"")</f>
        <v/>
      </c>
      <c r="I902" s="36" t="str">
        <f>IFERROR(IF(INDEX(使用レシピ!P:P,MATCH(テンプレート!$C902,使用レシピ!$E:$E,0))&lt;&gt;0,INDEX(使用レシピ!P:P,MATCH(テンプレート!$C902,使用レシピ!$E:$E,0)),""),"")</f>
        <v/>
      </c>
      <c r="J902" t="str">
        <f>IFERROR(IF(INDEX(使用レシピ!K:K,MATCH(テンプレート!$C902,使用レシピ!$E:$E,0))&lt;&gt;0,INDEX(使用レシピ!K:K,MATCH(テンプレート!$C902,使用レシピ!$E:$E,0)),""),"")</f>
        <v/>
      </c>
      <c r="K902" t="str">
        <f>IFERROR(IF(INDEX(使用レシピ!L:L,MATCH(テンプレート!$C902,使用レシピ!$E:$E,0))&lt;&gt;0,INDEX(使用レシピ!L:L,MATCH(テンプレート!$C902,使用レシピ!$E:$E,0)),""),"")</f>
        <v/>
      </c>
      <c r="L902" t="str">
        <f>IFERROR(IF(INDEX(使用レシピ!M:M,MATCH(テンプレート!$C902,使用レシピ!$E:$E,0))&lt;&gt;0,INDEX(使用レシピ!M:M,MATCH(テンプレート!$C902,使用レシピ!$E:$E,0)),""),"")</f>
        <v/>
      </c>
      <c r="M902" t="str">
        <f>IFERROR(IF(INDEX(使用レシピ!N:N,MATCH(テンプレート!$C902,使用レシピ!$E:$E,0))&lt;&gt;0,INDEX(使用レシピ!N:N,MATCH(テンプレート!$C902,使用レシピ!$E:$E,0)),""),"")</f>
        <v/>
      </c>
      <c r="N902" s="24" t="str">
        <f>IFERROR(IF(INDEX(使用レシピ!O:O,MATCH(テンプレート!$C902,使用レシピ!$E:$E,0))&lt;&gt;0,INDEX(使用レシピ!O:O,MATCH(テンプレート!$C902,使用レシピ!$E:$E,0)),""),"")</f>
        <v/>
      </c>
      <c r="O902" s="36" t="str">
        <f>IFERROR(IF(INDEX(使用レシピ!P:P,MATCH(テンプレート!$C902,使用レシピ!$E:$E,0))&lt;&gt;0,INDEX(使用レシピ!P:P,MATCH(テンプレート!$C902,使用レシピ!$E:$E,0)),""),"")</f>
        <v/>
      </c>
      <c r="P902" t="str">
        <f t="shared" si="71"/>
        <v/>
      </c>
      <c r="Q902" t="str">
        <f t="shared" si="72"/>
        <v/>
      </c>
      <c r="R902" t="str">
        <f t="shared" si="73"/>
        <v/>
      </c>
      <c r="S902" t="str">
        <f t="shared" si="74"/>
        <v/>
      </c>
      <c r="T902" s="24" t="str">
        <f t="shared" si="75"/>
        <v/>
      </c>
    </row>
    <row r="903" spans="2:20" x14ac:dyDescent="0.4">
      <c r="B903" s="49" t="str" cm="1">
        <f t="array" ref="B903">IFERROR((INDEX($P$4:$T$1000,MATCH(VALUE(LEFT($A903,LEN($A903)-1)),$A$4:$A$1000,0),VALUE(RIGHT($A903,1)))/ INDEX($O$4:$O$1000,MATCH(VALUE(LEFT($A903,LEN($A903)-1)),$A$4:$A$1000))) * INDEX($B$4:$B$1000,MATCH(VALUE(LEFT($A903,LEN($A903)-1)),$A$4:$A$1000)),"")</f>
        <v/>
      </c>
      <c r="C903" s="2" t="str" cm="1">
        <f t="array" ref="C903">IFERROR(IF(INDEX($D$4:$H$1000,MATCH(VALUE(LEFT($A903,LEN($A903)-1)),$A$4:$A$1000,0),VALUE(RIGHT($A903,1)))= 0,"",INDEX($D$4:$H$1000,MATCH(VALUE(LEFT($A903,LEN($A903)-1)),$A$4:$A$1000,0),VALUE(RIGHT($A903,1)))),"")</f>
        <v/>
      </c>
      <c r="D903" s="23" t="str">
        <f>IFERROR(IF(INDEX(使用レシピ!F:F,MATCH(テンプレート!$C903,使用レシピ!$E:$E,0))&lt;&gt;0,INDEX(使用レシピ!F:F,MATCH(テンプレート!$C903,使用レシピ!$E:$E,0)),""),"")</f>
        <v/>
      </c>
      <c r="E903" t="str">
        <f>IFERROR(IF(INDEX(使用レシピ!G:G,MATCH(テンプレート!$C903,使用レシピ!$E:$E,0))&lt;&gt;0,INDEX(使用レシピ!G:G,MATCH(テンプレート!$C903,使用レシピ!$E:$E,0)),""),"")</f>
        <v/>
      </c>
      <c r="F903" t="str">
        <f>IFERROR(IF(INDEX(使用レシピ!H:H,MATCH(テンプレート!$C903,使用レシピ!$E:$E,0))&lt;&gt;0,INDEX(使用レシピ!H:H,MATCH(テンプレート!$C903,使用レシピ!$E:$E,0)),""),"")</f>
        <v/>
      </c>
      <c r="G903" t="str">
        <f>IFERROR(IF(INDEX(使用レシピ!I:I,MATCH(テンプレート!$C903,使用レシピ!$E:$E,0))&lt;&gt;0,INDEX(使用レシピ!I:I,MATCH(テンプレート!$C903,使用レシピ!$E:$E,0)),""),"")</f>
        <v/>
      </c>
      <c r="H903" s="24" t="str">
        <f>IFERROR(IF(INDEX(使用レシピ!J:J,MATCH(テンプレート!$C903,使用レシピ!$E:$E,0))&lt;&gt;0,INDEX(使用レシピ!J:J,MATCH(テンプレート!$C903,使用レシピ!$E:$E,0)),""),"")</f>
        <v/>
      </c>
      <c r="I903" s="36" t="str">
        <f>IFERROR(IF(INDEX(使用レシピ!P:P,MATCH(テンプレート!$C903,使用レシピ!$E:$E,0))&lt;&gt;0,INDEX(使用レシピ!P:P,MATCH(テンプレート!$C903,使用レシピ!$E:$E,0)),""),"")</f>
        <v/>
      </c>
      <c r="J903" t="str">
        <f>IFERROR(IF(INDEX(使用レシピ!K:K,MATCH(テンプレート!$C903,使用レシピ!$E:$E,0))&lt;&gt;0,INDEX(使用レシピ!K:K,MATCH(テンプレート!$C903,使用レシピ!$E:$E,0)),""),"")</f>
        <v/>
      </c>
      <c r="K903" t="str">
        <f>IFERROR(IF(INDEX(使用レシピ!L:L,MATCH(テンプレート!$C903,使用レシピ!$E:$E,0))&lt;&gt;0,INDEX(使用レシピ!L:L,MATCH(テンプレート!$C903,使用レシピ!$E:$E,0)),""),"")</f>
        <v/>
      </c>
      <c r="L903" t="str">
        <f>IFERROR(IF(INDEX(使用レシピ!M:M,MATCH(テンプレート!$C903,使用レシピ!$E:$E,0))&lt;&gt;0,INDEX(使用レシピ!M:M,MATCH(テンプレート!$C903,使用レシピ!$E:$E,0)),""),"")</f>
        <v/>
      </c>
      <c r="M903" t="str">
        <f>IFERROR(IF(INDEX(使用レシピ!N:N,MATCH(テンプレート!$C903,使用レシピ!$E:$E,0))&lt;&gt;0,INDEX(使用レシピ!N:N,MATCH(テンプレート!$C903,使用レシピ!$E:$E,0)),""),"")</f>
        <v/>
      </c>
      <c r="N903" s="24" t="str">
        <f>IFERROR(IF(INDEX(使用レシピ!O:O,MATCH(テンプレート!$C903,使用レシピ!$E:$E,0))&lt;&gt;0,INDEX(使用レシピ!O:O,MATCH(テンプレート!$C903,使用レシピ!$E:$E,0)),""),"")</f>
        <v/>
      </c>
      <c r="O903" s="36" t="str">
        <f>IFERROR(IF(INDEX(使用レシピ!P:P,MATCH(テンプレート!$C903,使用レシピ!$E:$E,0))&lt;&gt;0,INDEX(使用レシピ!P:P,MATCH(テンプレート!$C903,使用レシピ!$E:$E,0)),""),"")</f>
        <v/>
      </c>
      <c r="P903" t="str">
        <f t="shared" si="71"/>
        <v/>
      </c>
      <c r="Q903" t="str">
        <f t="shared" si="72"/>
        <v/>
      </c>
      <c r="R903" t="str">
        <f t="shared" si="73"/>
        <v/>
      </c>
      <c r="S903" t="str">
        <f t="shared" si="74"/>
        <v/>
      </c>
      <c r="T903" s="24" t="str">
        <f t="shared" si="75"/>
        <v/>
      </c>
    </row>
    <row r="904" spans="2:20" x14ac:dyDescent="0.4">
      <c r="B904" s="49" t="str" cm="1">
        <f t="array" ref="B904">IFERROR((INDEX($P$4:$T$1000,MATCH(VALUE(LEFT($A904,LEN($A904)-1)),$A$4:$A$1000,0),VALUE(RIGHT($A904,1)))/ INDEX($O$4:$O$1000,MATCH(VALUE(LEFT($A904,LEN($A904)-1)),$A$4:$A$1000))) * INDEX($B$4:$B$1000,MATCH(VALUE(LEFT($A904,LEN($A904)-1)),$A$4:$A$1000)),"")</f>
        <v/>
      </c>
      <c r="C904" s="2" t="str" cm="1">
        <f t="array" ref="C904">IFERROR(IF(INDEX($D$4:$H$1000,MATCH(VALUE(LEFT($A904,LEN($A904)-1)),$A$4:$A$1000,0),VALUE(RIGHT($A904,1)))= 0,"",INDEX($D$4:$H$1000,MATCH(VALUE(LEFT($A904,LEN($A904)-1)),$A$4:$A$1000,0),VALUE(RIGHT($A904,1)))),"")</f>
        <v/>
      </c>
      <c r="D904" s="23" t="str">
        <f>IFERROR(IF(INDEX(使用レシピ!F:F,MATCH(テンプレート!$C904,使用レシピ!$E:$E,0))&lt;&gt;0,INDEX(使用レシピ!F:F,MATCH(テンプレート!$C904,使用レシピ!$E:$E,0)),""),"")</f>
        <v/>
      </c>
      <c r="E904" t="str">
        <f>IFERROR(IF(INDEX(使用レシピ!G:G,MATCH(テンプレート!$C904,使用レシピ!$E:$E,0))&lt;&gt;0,INDEX(使用レシピ!G:G,MATCH(テンプレート!$C904,使用レシピ!$E:$E,0)),""),"")</f>
        <v/>
      </c>
      <c r="F904" t="str">
        <f>IFERROR(IF(INDEX(使用レシピ!H:H,MATCH(テンプレート!$C904,使用レシピ!$E:$E,0))&lt;&gt;0,INDEX(使用レシピ!H:H,MATCH(テンプレート!$C904,使用レシピ!$E:$E,0)),""),"")</f>
        <v/>
      </c>
      <c r="G904" t="str">
        <f>IFERROR(IF(INDEX(使用レシピ!I:I,MATCH(テンプレート!$C904,使用レシピ!$E:$E,0))&lt;&gt;0,INDEX(使用レシピ!I:I,MATCH(テンプレート!$C904,使用レシピ!$E:$E,0)),""),"")</f>
        <v/>
      </c>
      <c r="H904" s="24" t="str">
        <f>IFERROR(IF(INDEX(使用レシピ!J:J,MATCH(テンプレート!$C904,使用レシピ!$E:$E,0))&lt;&gt;0,INDEX(使用レシピ!J:J,MATCH(テンプレート!$C904,使用レシピ!$E:$E,0)),""),"")</f>
        <v/>
      </c>
      <c r="I904" s="36" t="str">
        <f>IFERROR(IF(INDEX(使用レシピ!P:P,MATCH(テンプレート!$C904,使用レシピ!$E:$E,0))&lt;&gt;0,INDEX(使用レシピ!P:P,MATCH(テンプレート!$C904,使用レシピ!$E:$E,0)),""),"")</f>
        <v/>
      </c>
      <c r="J904" t="str">
        <f>IFERROR(IF(INDEX(使用レシピ!K:K,MATCH(テンプレート!$C904,使用レシピ!$E:$E,0))&lt;&gt;0,INDEX(使用レシピ!K:K,MATCH(テンプレート!$C904,使用レシピ!$E:$E,0)),""),"")</f>
        <v/>
      </c>
      <c r="K904" t="str">
        <f>IFERROR(IF(INDEX(使用レシピ!L:L,MATCH(テンプレート!$C904,使用レシピ!$E:$E,0))&lt;&gt;0,INDEX(使用レシピ!L:L,MATCH(テンプレート!$C904,使用レシピ!$E:$E,0)),""),"")</f>
        <v/>
      </c>
      <c r="L904" t="str">
        <f>IFERROR(IF(INDEX(使用レシピ!M:M,MATCH(テンプレート!$C904,使用レシピ!$E:$E,0))&lt;&gt;0,INDEX(使用レシピ!M:M,MATCH(テンプレート!$C904,使用レシピ!$E:$E,0)),""),"")</f>
        <v/>
      </c>
      <c r="M904" t="str">
        <f>IFERROR(IF(INDEX(使用レシピ!N:N,MATCH(テンプレート!$C904,使用レシピ!$E:$E,0))&lt;&gt;0,INDEX(使用レシピ!N:N,MATCH(テンプレート!$C904,使用レシピ!$E:$E,0)),""),"")</f>
        <v/>
      </c>
      <c r="N904" s="24" t="str">
        <f>IFERROR(IF(INDEX(使用レシピ!O:O,MATCH(テンプレート!$C904,使用レシピ!$E:$E,0))&lt;&gt;0,INDEX(使用レシピ!O:O,MATCH(テンプレート!$C904,使用レシピ!$E:$E,0)),""),"")</f>
        <v/>
      </c>
      <c r="O904" s="36" t="str">
        <f>IFERROR(IF(INDEX(使用レシピ!P:P,MATCH(テンプレート!$C904,使用レシピ!$E:$E,0))&lt;&gt;0,INDEX(使用レシピ!P:P,MATCH(テンプレート!$C904,使用レシピ!$E:$E,0)),""),"")</f>
        <v/>
      </c>
      <c r="P904" t="str">
        <f t="shared" si="71"/>
        <v/>
      </c>
      <c r="Q904" t="str">
        <f t="shared" si="72"/>
        <v/>
      </c>
      <c r="R904" t="str">
        <f t="shared" si="73"/>
        <v/>
      </c>
      <c r="S904" t="str">
        <f t="shared" si="74"/>
        <v/>
      </c>
      <c r="T904" s="24" t="str">
        <f t="shared" si="75"/>
        <v/>
      </c>
    </row>
    <row r="905" spans="2:20" x14ac:dyDescent="0.4">
      <c r="B905" s="49" t="str" cm="1">
        <f t="array" ref="B905">IFERROR((INDEX($P$4:$T$1000,MATCH(VALUE(LEFT($A905,LEN($A905)-1)),$A$4:$A$1000,0),VALUE(RIGHT($A905,1)))/ INDEX($O$4:$O$1000,MATCH(VALUE(LEFT($A905,LEN($A905)-1)),$A$4:$A$1000))) * INDEX($B$4:$B$1000,MATCH(VALUE(LEFT($A905,LEN($A905)-1)),$A$4:$A$1000)),"")</f>
        <v/>
      </c>
      <c r="C905" s="2" t="str" cm="1">
        <f t="array" ref="C905">IFERROR(IF(INDEX($D$4:$H$1000,MATCH(VALUE(LEFT($A905,LEN($A905)-1)),$A$4:$A$1000,0),VALUE(RIGHT($A905,1)))= 0,"",INDEX($D$4:$H$1000,MATCH(VALUE(LEFT($A905,LEN($A905)-1)),$A$4:$A$1000,0),VALUE(RIGHT($A905,1)))),"")</f>
        <v/>
      </c>
      <c r="D905" s="23" t="str">
        <f>IFERROR(IF(INDEX(使用レシピ!F:F,MATCH(テンプレート!$C905,使用レシピ!$E:$E,0))&lt;&gt;0,INDEX(使用レシピ!F:F,MATCH(テンプレート!$C905,使用レシピ!$E:$E,0)),""),"")</f>
        <v/>
      </c>
      <c r="E905" t="str">
        <f>IFERROR(IF(INDEX(使用レシピ!G:G,MATCH(テンプレート!$C905,使用レシピ!$E:$E,0))&lt;&gt;0,INDEX(使用レシピ!G:G,MATCH(テンプレート!$C905,使用レシピ!$E:$E,0)),""),"")</f>
        <v/>
      </c>
      <c r="F905" t="str">
        <f>IFERROR(IF(INDEX(使用レシピ!H:H,MATCH(テンプレート!$C905,使用レシピ!$E:$E,0))&lt;&gt;0,INDEX(使用レシピ!H:H,MATCH(テンプレート!$C905,使用レシピ!$E:$E,0)),""),"")</f>
        <v/>
      </c>
      <c r="G905" t="str">
        <f>IFERROR(IF(INDEX(使用レシピ!I:I,MATCH(テンプレート!$C905,使用レシピ!$E:$E,0))&lt;&gt;0,INDEX(使用レシピ!I:I,MATCH(テンプレート!$C905,使用レシピ!$E:$E,0)),""),"")</f>
        <v/>
      </c>
      <c r="H905" s="24" t="str">
        <f>IFERROR(IF(INDEX(使用レシピ!J:J,MATCH(テンプレート!$C905,使用レシピ!$E:$E,0))&lt;&gt;0,INDEX(使用レシピ!J:J,MATCH(テンプレート!$C905,使用レシピ!$E:$E,0)),""),"")</f>
        <v/>
      </c>
      <c r="I905" s="36" t="str">
        <f>IFERROR(IF(INDEX(使用レシピ!P:P,MATCH(テンプレート!$C905,使用レシピ!$E:$E,0))&lt;&gt;0,INDEX(使用レシピ!P:P,MATCH(テンプレート!$C905,使用レシピ!$E:$E,0)),""),"")</f>
        <v/>
      </c>
      <c r="J905" t="str">
        <f>IFERROR(IF(INDEX(使用レシピ!K:K,MATCH(テンプレート!$C905,使用レシピ!$E:$E,0))&lt;&gt;0,INDEX(使用レシピ!K:K,MATCH(テンプレート!$C905,使用レシピ!$E:$E,0)),""),"")</f>
        <v/>
      </c>
      <c r="K905" t="str">
        <f>IFERROR(IF(INDEX(使用レシピ!L:L,MATCH(テンプレート!$C905,使用レシピ!$E:$E,0))&lt;&gt;0,INDEX(使用レシピ!L:L,MATCH(テンプレート!$C905,使用レシピ!$E:$E,0)),""),"")</f>
        <v/>
      </c>
      <c r="L905" t="str">
        <f>IFERROR(IF(INDEX(使用レシピ!M:M,MATCH(テンプレート!$C905,使用レシピ!$E:$E,0))&lt;&gt;0,INDEX(使用レシピ!M:M,MATCH(テンプレート!$C905,使用レシピ!$E:$E,0)),""),"")</f>
        <v/>
      </c>
      <c r="M905" t="str">
        <f>IFERROR(IF(INDEX(使用レシピ!N:N,MATCH(テンプレート!$C905,使用レシピ!$E:$E,0))&lt;&gt;0,INDEX(使用レシピ!N:N,MATCH(テンプレート!$C905,使用レシピ!$E:$E,0)),""),"")</f>
        <v/>
      </c>
      <c r="N905" s="24" t="str">
        <f>IFERROR(IF(INDEX(使用レシピ!O:O,MATCH(テンプレート!$C905,使用レシピ!$E:$E,0))&lt;&gt;0,INDEX(使用レシピ!O:O,MATCH(テンプレート!$C905,使用レシピ!$E:$E,0)),""),"")</f>
        <v/>
      </c>
      <c r="O905" s="36" t="str">
        <f>IFERROR(IF(INDEX(使用レシピ!P:P,MATCH(テンプレート!$C905,使用レシピ!$E:$E,0))&lt;&gt;0,INDEX(使用レシピ!P:P,MATCH(テンプレート!$C905,使用レシピ!$E:$E,0)),""),"")</f>
        <v/>
      </c>
      <c r="P905" t="str">
        <f t="shared" si="71"/>
        <v/>
      </c>
      <c r="Q905" t="str">
        <f t="shared" si="72"/>
        <v/>
      </c>
      <c r="R905" t="str">
        <f t="shared" si="73"/>
        <v/>
      </c>
      <c r="S905" t="str">
        <f t="shared" si="74"/>
        <v/>
      </c>
      <c r="T905" s="24" t="str">
        <f t="shared" si="75"/>
        <v/>
      </c>
    </row>
    <row r="906" spans="2:20" x14ac:dyDescent="0.4">
      <c r="B906" s="49" t="str" cm="1">
        <f t="array" ref="B906">IFERROR((INDEX($P$4:$T$1000,MATCH(VALUE(LEFT($A906,LEN($A906)-1)),$A$4:$A$1000,0),VALUE(RIGHT($A906,1)))/ INDEX($O$4:$O$1000,MATCH(VALUE(LEFT($A906,LEN($A906)-1)),$A$4:$A$1000))) * INDEX($B$4:$B$1000,MATCH(VALUE(LEFT($A906,LEN($A906)-1)),$A$4:$A$1000)),"")</f>
        <v/>
      </c>
      <c r="C906" s="2" t="str" cm="1">
        <f t="array" ref="C906">IFERROR(IF(INDEX($D$4:$H$1000,MATCH(VALUE(LEFT($A906,LEN($A906)-1)),$A$4:$A$1000,0),VALUE(RIGHT($A906,1)))= 0,"",INDEX($D$4:$H$1000,MATCH(VALUE(LEFT($A906,LEN($A906)-1)),$A$4:$A$1000,0),VALUE(RIGHT($A906,1)))),"")</f>
        <v/>
      </c>
      <c r="D906" s="23" t="str">
        <f>IFERROR(IF(INDEX(使用レシピ!F:F,MATCH(テンプレート!$C906,使用レシピ!$E:$E,0))&lt;&gt;0,INDEX(使用レシピ!F:F,MATCH(テンプレート!$C906,使用レシピ!$E:$E,0)),""),"")</f>
        <v/>
      </c>
      <c r="E906" t="str">
        <f>IFERROR(IF(INDEX(使用レシピ!G:G,MATCH(テンプレート!$C906,使用レシピ!$E:$E,0))&lt;&gt;0,INDEX(使用レシピ!G:G,MATCH(テンプレート!$C906,使用レシピ!$E:$E,0)),""),"")</f>
        <v/>
      </c>
      <c r="F906" t="str">
        <f>IFERROR(IF(INDEX(使用レシピ!H:H,MATCH(テンプレート!$C906,使用レシピ!$E:$E,0))&lt;&gt;0,INDEX(使用レシピ!H:H,MATCH(テンプレート!$C906,使用レシピ!$E:$E,0)),""),"")</f>
        <v/>
      </c>
      <c r="G906" t="str">
        <f>IFERROR(IF(INDEX(使用レシピ!I:I,MATCH(テンプレート!$C906,使用レシピ!$E:$E,0))&lt;&gt;0,INDEX(使用レシピ!I:I,MATCH(テンプレート!$C906,使用レシピ!$E:$E,0)),""),"")</f>
        <v/>
      </c>
      <c r="H906" s="24" t="str">
        <f>IFERROR(IF(INDEX(使用レシピ!J:J,MATCH(テンプレート!$C906,使用レシピ!$E:$E,0))&lt;&gt;0,INDEX(使用レシピ!J:J,MATCH(テンプレート!$C906,使用レシピ!$E:$E,0)),""),"")</f>
        <v/>
      </c>
      <c r="I906" s="36" t="str">
        <f>IFERROR(IF(INDEX(使用レシピ!P:P,MATCH(テンプレート!$C906,使用レシピ!$E:$E,0))&lt;&gt;0,INDEX(使用レシピ!P:P,MATCH(テンプレート!$C906,使用レシピ!$E:$E,0)),""),"")</f>
        <v/>
      </c>
      <c r="J906" t="str">
        <f>IFERROR(IF(INDEX(使用レシピ!K:K,MATCH(テンプレート!$C906,使用レシピ!$E:$E,0))&lt;&gt;0,INDEX(使用レシピ!K:K,MATCH(テンプレート!$C906,使用レシピ!$E:$E,0)),""),"")</f>
        <v/>
      </c>
      <c r="K906" t="str">
        <f>IFERROR(IF(INDEX(使用レシピ!L:L,MATCH(テンプレート!$C906,使用レシピ!$E:$E,0))&lt;&gt;0,INDEX(使用レシピ!L:L,MATCH(テンプレート!$C906,使用レシピ!$E:$E,0)),""),"")</f>
        <v/>
      </c>
      <c r="L906" t="str">
        <f>IFERROR(IF(INDEX(使用レシピ!M:M,MATCH(テンプレート!$C906,使用レシピ!$E:$E,0))&lt;&gt;0,INDEX(使用レシピ!M:M,MATCH(テンプレート!$C906,使用レシピ!$E:$E,0)),""),"")</f>
        <v/>
      </c>
      <c r="M906" t="str">
        <f>IFERROR(IF(INDEX(使用レシピ!N:N,MATCH(テンプレート!$C906,使用レシピ!$E:$E,0))&lt;&gt;0,INDEX(使用レシピ!N:N,MATCH(テンプレート!$C906,使用レシピ!$E:$E,0)),""),"")</f>
        <v/>
      </c>
      <c r="N906" s="24" t="str">
        <f>IFERROR(IF(INDEX(使用レシピ!O:O,MATCH(テンプレート!$C906,使用レシピ!$E:$E,0))&lt;&gt;0,INDEX(使用レシピ!O:O,MATCH(テンプレート!$C906,使用レシピ!$E:$E,0)),""),"")</f>
        <v/>
      </c>
      <c r="O906" s="36" t="str">
        <f>IFERROR(IF(INDEX(使用レシピ!P:P,MATCH(テンプレート!$C906,使用レシピ!$E:$E,0))&lt;&gt;0,INDEX(使用レシピ!P:P,MATCH(テンプレート!$C906,使用レシピ!$E:$E,0)),""),"")</f>
        <v/>
      </c>
      <c r="P906" t="str">
        <f t="shared" si="71"/>
        <v/>
      </c>
      <c r="Q906" t="str">
        <f t="shared" si="72"/>
        <v/>
      </c>
      <c r="R906" t="str">
        <f t="shared" si="73"/>
        <v/>
      </c>
      <c r="S906" t="str">
        <f t="shared" si="74"/>
        <v/>
      </c>
      <c r="T906" s="24" t="str">
        <f t="shared" si="75"/>
        <v/>
      </c>
    </row>
    <row r="907" spans="2:20" x14ac:dyDescent="0.4">
      <c r="B907" s="49" t="str" cm="1">
        <f t="array" ref="B907">IFERROR((INDEX($P$4:$T$1000,MATCH(VALUE(LEFT($A907,LEN($A907)-1)),$A$4:$A$1000,0),VALUE(RIGHT($A907,1)))/ INDEX($O$4:$O$1000,MATCH(VALUE(LEFT($A907,LEN($A907)-1)),$A$4:$A$1000))) * INDEX($B$4:$B$1000,MATCH(VALUE(LEFT($A907,LEN($A907)-1)),$A$4:$A$1000)),"")</f>
        <v/>
      </c>
      <c r="C907" s="2" t="str" cm="1">
        <f t="array" ref="C907">IFERROR(IF(INDEX($D$4:$H$1000,MATCH(VALUE(LEFT($A907,LEN($A907)-1)),$A$4:$A$1000,0),VALUE(RIGHT($A907,1)))= 0,"",INDEX($D$4:$H$1000,MATCH(VALUE(LEFT($A907,LEN($A907)-1)),$A$4:$A$1000,0),VALUE(RIGHT($A907,1)))),"")</f>
        <v/>
      </c>
      <c r="D907" s="23" t="str">
        <f>IFERROR(IF(INDEX(使用レシピ!F:F,MATCH(テンプレート!$C907,使用レシピ!$E:$E,0))&lt;&gt;0,INDEX(使用レシピ!F:F,MATCH(テンプレート!$C907,使用レシピ!$E:$E,0)),""),"")</f>
        <v/>
      </c>
      <c r="E907" t="str">
        <f>IFERROR(IF(INDEX(使用レシピ!G:G,MATCH(テンプレート!$C907,使用レシピ!$E:$E,0))&lt;&gt;0,INDEX(使用レシピ!G:G,MATCH(テンプレート!$C907,使用レシピ!$E:$E,0)),""),"")</f>
        <v/>
      </c>
      <c r="F907" t="str">
        <f>IFERROR(IF(INDEX(使用レシピ!H:H,MATCH(テンプレート!$C907,使用レシピ!$E:$E,0))&lt;&gt;0,INDEX(使用レシピ!H:H,MATCH(テンプレート!$C907,使用レシピ!$E:$E,0)),""),"")</f>
        <v/>
      </c>
      <c r="G907" t="str">
        <f>IFERROR(IF(INDEX(使用レシピ!I:I,MATCH(テンプレート!$C907,使用レシピ!$E:$E,0))&lt;&gt;0,INDEX(使用レシピ!I:I,MATCH(テンプレート!$C907,使用レシピ!$E:$E,0)),""),"")</f>
        <v/>
      </c>
      <c r="H907" s="24" t="str">
        <f>IFERROR(IF(INDEX(使用レシピ!J:J,MATCH(テンプレート!$C907,使用レシピ!$E:$E,0))&lt;&gt;0,INDEX(使用レシピ!J:J,MATCH(テンプレート!$C907,使用レシピ!$E:$E,0)),""),"")</f>
        <v/>
      </c>
      <c r="I907" s="36" t="str">
        <f>IFERROR(IF(INDEX(使用レシピ!P:P,MATCH(テンプレート!$C907,使用レシピ!$E:$E,0))&lt;&gt;0,INDEX(使用レシピ!P:P,MATCH(テンプレート!$C907,使用レシピ!$E:$E,0)),""),"")</f>
        <v/>
      </c>
      <c r="J907" t="str">
        <f>IFERROR(IF(INDEX(使用レシピ!K:K,MATCH(テンプレート!$C907,使用レシピ!$E:$E,0))&lt;&gt;0,INDEX(使用レシピ!K:K,MATCH(テンプレート!$C907,使用レシピ!$E:$E,0)),""),"")</f>
        <v/>
      </c>
      <c r="K907" t="str">
        <f>IFERROR(IF(INDEX(使用レシピ!L:L,MATCH(テンプレート!$C907,使用レシピ!$E:$E,0))&lt;&gt;0,INDEX(使用レシピ!L:L,MATCH(テンプレート!$C907,使用レシピ!$E:$E,0)),""),"")</f>
        <v/>
      </c>
      <c r="L907" t="str">
        <f>IFERROR(IF(INDEX(使用レシピ!M:M,MATCH(テンプレート!$C907,使用レシピ!$E:$E,0))&lt;&gt;0,INDEX(使用レシピ!M:M,MATCH(テンプレート!$C907,使用レシピ!$E:$E,0)),""),"")</f>
        <v/>
      </c>
      <c r="M907" t="str">
        <f>IFERROR(IF(INDEX(使用レシピ!N:N,MATCH(テンプレート!$C907,使用レシピ!$E:$E,0))&lt;&gt;0,INDEX(使用レシピ!N:N,MATCH(テンプレート!$C907,使用レシピ!$E:$E,0)),""),"")</f>
        <v/>
      </c>
      <c r="N907" s="24" t="str">
        <f>IFERROR(IF(INDEX(使用レシピ!O:O,MATCH(テンプレート!$C907,使用レシピ!$E:$E,0))&lt;&gt;0,INDEX(使用レシピ!O:O,MATCH(テンプレート!$C907,使用レシピ!$E:$E,0)),""),"")</f>
        <v/>
      </c>
      <c r="O907" s="36" t="str">
        <f>IFERROR(IF(INDEX(使用レシピ!P:P,MATCH(テンプレート!$C907,使用レシピ!$E:$E,0))&lt;&gt;0,INDEX(使用レシピ!P:P,MATCH(テンプレート!$C907,使用レシピ!$E:$E,0)),""),"")</f>
        <v/>
      </c>
      <c r="P907" t="str">
        <f t="shared" si="71"/>
        <v/>
      </c>
      <c r="Q907" t="str">
        <f t="shared" si="72"/>
        <v/>
      </c>
      <c r="R907" t="str">
        <f t="shared" si="73"/>
        <v/>
      </c>
      <c r="S907" t="str">
        <f t="shared" si="74"/>
        <v/>
      </c>
      <c r="T907" s="24" t="str">
        <f t="shared" si="75"/>
        <v/>
      </c>
    </row>
    <row r="908" spans="2:20" x14ac:dyDescent="0.4">
      <c r="B908" s="49" t="str" cm="1">
        <f t="array" ref="B908">IFERROR((INDEX($P$4:$T$1000,MATCH(VALUE(LEFT($A908,LEN($A908)-1)),$A$4:$A$1000,0),VALUE(RIGHT($A908,1)))/ INDEX($O$4:$O$1000,MATCH(VALUE(LEFT($A908,LEN($A908)-1)),$A$4:$A$1000))) * INDEX($B$4:$B$1000,MATCH(VALUE(LEFT($A908,LEN($A908)-1)),$A$4:$A$1000)),"")</f>
        <v/>
      </c>
      <c r="C908" s="2" t="str" cm="1">
        <f t="array" ref="C908">IFERROR(IF(INDEX($D$4:$H$1000,MATCH(VALUE(LEFT($A908,LEN($A908)-1)),$A$4:$A$1000,0),VALUE(RIGHT($A908,1)))= 0,"",INDEX($D$4:$H$1000,MATCH(VALUE(LEFT($A908,LEN($A908)-1)),$A$4:$A$1000,0),VALUE(RIGHT($A908,1)))),"")</f>
        <v/>
      </c>
      <c r="D908" s="23" t="str">
        <f>IFERROR(IF(INDEX(使用レシピ!F:F,MATCH(テンプレート!$C908,使用レシピ!$E:$E,0))&lt;&gt;0,INDEX(使用レシピ!F:F,MATCH(テンプレート!$C908,使用レシピ!$E:$E,0)),""),"")</f>
        <v/>
      </c>
      <c r="E908" t="str">
        <f>IFERROR(IF(INDEX(使用レシピ!G:G,MATCH(テンプレート!$C908,使用レシピ!$E:$E,0))&lt;&gt;0,INDEX(使用レシピ!G:G,MATCH(テンプレート!$C908,使用レシピ!$E:$E,0)),""),"")</f>
        <v/>
      </c>
      <c r="F908" t="str">
        <f>IFERROR(IF(INDEX(使用レシピ!H:H,MATCH(テンプレート!$C908,使用レシピ!$E:$E,0))&lt;&gt;0,INDEX(使用レシピ!H:H,MATCH(テンプレート!$C908,使用レシピ!$E:$E,0)),""),"")</f>
        <v/>
      </c>
      <c r="G908" t="str">
        <f>IFERROR(IF(INDEX(使用レシピ!I:I,MATCH(テンプレート!$C908,使用レシピ!$E:$E,0))&lt;&gt;0,INDEX(使用レシピ!I:I,MATCH(テンプレート!$C908,使用レシピ!$E:$E,0)),""),"")</f>
        <v/>
      </c>
      <c r="H908" s="24" t="str">
        <f>IFERROR(IF(INDEX(使用レシピ!J:J,MATCH(テンプレート!$C908,使用レシピ!$E:$E,0))&lt;&gt;0,INDEX(使用レシピ!J:J,MATCH(テンプレート!$C908,使用レシピ!$E:$E,0)),""),"")</f>
        <v/>
      </c>
      <c r="I908" s="36" t="str">
        <f>IFERROR(IF(INDEX(使用レシピ!P:P,MATCH(テンプレート!$C908,使用レシピ!$E:$E,0))&lt;&gt;0,INDEX(使用レシピ!P:P,MATCH(テンプレート!$C908,使用レシピ!$E:$E,0)),""),"")</f>
        <v/>
      </c>
      <c r="J908" t="str">
        <f>IFERROR(IF(INDEX(使用レシピ!K:K,MATCH(テンプレート!$C908,使用レシピ!$E:$E,0))&lt;&gt;0,INDEX(使用レシピ!K:K,MATCH(テンプレート!$C908,使用レシピ!$E:$E,0)),""),"")</f>
        <v/>
      </c>
      <c r="K908" t="str">
        <f>IFERROR(IF(INDEX(使用レシピ!L:L,MATCH(テンプレート!$C908,使用レシピ!$E:$E,0))&lt;&gt;0,INDEX(使用レシピ!L:L,MATCH(テンプレート!$C908,使用レシピ!$E:$E,0)),""),"")</f>
        <v/>
      </c>
      <c r="L908" t="str">
        <f>IFERROR(IF(INDEX(使用レシピ!M:M,MATCH(テンプレート!$C908,使用レシピ!$E:$E,0))&lt;&gt;0,INDEX(使用レシピ!M:M,MATCH(テンプレート!$C908,使用レシピ!$E:$E,0)),""),"")</f>
        <v/>
      </c>
      <c r="M908" t="str">
        <f>IFERROR(IF(INDEX(使用レシピ!N:N,MATCH(テンプレート!$C908,使用レシピ!$E:$E,0))&lt;&gt;0,INDEX(使用レシピ!N:N,MATCH(テンプレート!$C908,使用レシピ!$E:$E,0)),""),"")</f>
        <v/>
      </c>
      <c r="N908" s="24" t="str">
        <f>IFERROR(IF(INDEX(使用レシピ!O:O,MATCH(テンプレート!$C908,使用レシピ!$E:$E,0))&lt;&gt;0,INDEX(使用レシピ!O:O,MATCH(テンプレート!$C908,使用レシピ!$E:$E,0)),""),"")</f>
        <v/>
      </c>
      <c r="O908" s="36" t="str">
        <f>IFERROR(IF(INDEX(使用レシピ!P:P,MATCH(テンプレート!$C908,使用レシピ!$E:$E,0))&lt;&gt;0,INDEX(使用レシピ!P:P,MATCH(テンプレート!$C908,使用レシピ!$E:$E,0)),""),"")</f>
        <v/>
      </c>
      <c r="P908" t="str">
        <f t="shared" si="71"/>
        <v/>
      </c>
      <c r="Q908" t="str">
        <f t="shared" si="72"/>
        <v/>
      </c>
      <c r="R908" t="str">
        <f t="shared" si="73"/>
        <v/>
      </c>
      <c r="S908" t="str">
        <f t="shared" si="74"/>
        <v/>
      </c>
      <c r="T908" s="24" t="str">
        <f t="shared" si="75"/>
        <v/>
      </c>
    </row>
    <row r="909" spans="2:20" x14ac:dyDescent="0.4">
      <c r="B909" s="49" t="str" cm="1">
        <f t="array" ref="B909">IFERROR((INDEX($P$4:$T$1000,MATCH(VALUE(LEFT($A909,LEN($A909)-1)),$A$4:$A$1000,0),VALUE(RIGHT($A909,1)))/ INDEX($O$4:$O$1000,MATCH(VALUE(LEFT($A909,LEN($A909)-1)),$A$4:$A$1000))) * INDEX($B$4:$B$1000,MATCH(VALUE(LEFT($A909,LEN($A909)-1)),$A$4:$A$1000)),"")</f>
        <v/>
      </c>
      <c r="C909" s="2" t="str" cm="1">
        <f t="array" ref="C909">IFERROR(IF(INDEX($D$4:$H$1000,MATCH(VALUE(LEFT($A909,LEN($A909)-1)),$A$4:$A$1000,0),VALUE(RIGHT($A909,1)))= 0,"",INDEX($D$4:$H$1000,MATCH(VALUE(LEFT($A909,LEN($A909)-1)),$A$4:$A$1000,0),VALUE(RIGHT($A909,1)))),"")</f>
        <v/>
      </c>
      <c r="D909" s="23" t="str">
        <f>IFERROR(IF(INDEX(使用レシピ!F:F,MATCH(テンプレート!$C909,使用レシピ!$E:$E,0))&lt;&gt;0,INDEX(使用レシピ!F:F,MATCH(テンプレート!$C909,使用レシピ!$E:$E,0)),""),"")</f>
        <v/>
      </c>
      <c r="E909" t="str">
        <f>IFERROR(IF(INDEX(使用レシピ!G:G,MATCH(テンプレート!$C909,使用レシピ!$E:$E,0))&lt;&gt;0,INDEX(使用レシピ!G:G,MATCH(テンプレート!$C909,使用レシピ!$E:$E,0)),""),"")</f>
        <v/>
      </c>
      <c r="F909" t="str">
        <f>IFERROR(IF(INDEX(使用レシピ!H:H,MATCH(テンプレート!$C909,使用レシピ!$E:$E,0))&lt;&gt;0,INDEX(使用レシピ!H:H,MATCH(テンプレート!$C909,使用レシピ!$E:$E,0)),""),"")</f>
        <v/>
      </c>
      <c r="G909" t="str">
        <f>IFERROR(IF(INDEX(使用レシピ!I:I,MATCH(テンプレート!$C909,使用レシピ!$E:$E,0))&lt;&gt;0,INDEX(使用レシピ!I:I,MATCH(テンプレート!$C909,使用レシピ!$E:$E,0)),""),"")</f>
        <v/>
      </c>
      <c r="H909" s="24" t="str">
        <f>IFERROR(IF(INDEX(使用レシピ!J:J,MATCH(テンプレート!$C909,使用レシピ!$E:$E,0))&lt;&gt;0,INDEX(使用レシピ!J:J,MATCH(テンプレート!$C909,使用レシピ!$E:$E,0)),""),"")</f>
        <v/>
      </c>
      <c r="I909" s="36" t="str">
        <f>IFERROR(IF(INDEX(使用レシピ!P:P,MATCH(テンプレート!$C909,使用レシピ!$E:$E,0))&lt;&gt;0,INDEX(使用レシピ!P:P,MATCH(テンプレート!$C909,使用レシピ!$E:$E,0)),""),"")</f>
        <v/>
      </c>
      <c r="J909" t="str">
        <f>IFERROR(IF(INDEX(使用レシピ!K:K,MATCH(テンプレート!$C909,使用レシピ!$E:$E,0))&lt;&gt;0,INDEX(使用レシピ!K:K,MATCH(テンプレート!$C909,使用レシピ!$E:$E,0)),""),"")</f>
        <v/>
      </c>
      <c r="K909" t="str">
        <f>IFERROR(IF(INDEX(使用レシピ!L:L,MATCH(テンプレート!$C909,使用レシピ!$E:$E,0))&lt;&gt;0,INDEX(使用レシピ!L:L,MATCH(テンプレート!$C909,使用レシピ!$E:$E,0)),""),"")</f>
        <v/>
      </c>
      <c r="L909" t="str">
        <f>IFERROR(IF(INDEX(使用レシピ!M:M,MATCH(テンプレート!$C909,使用レシピ!$E:$E,0))&lt;&gt;0,INDEX(使用レシピ!M:M,MATCH(テンプレート!$C909,使用レシピ!$E:$E,0)),""),"")</f>
        <v/>
      </c>
      <c r="M909" t="str">
        <f>IFERROR(IF(INDEX(使用レシピ!N:N,MATCH(テンプレート!$C909,使用レシピ!$E:$E,0))&lt;&gt;0,INDEX(使用レシピ!N:N,MATCH(テンプレート!$C909,使用レシピ!$E:$E,0)),""),"")</f>
        <v/>
      </c>
      <c r="N909" s="24" t="str">
        <f>IFERROR(IF(INDEX(使用レシピ!O:O,MATCH(テンプレート!$C909,使用レシピ!$E:$E,0))&lt;&gt;0,INDEX(使用レシピ!O:O,MATCH(テンプレート!$C909,使用レシピ!$E:$E,0)),""),"")</f>
        <v/>
      </c>
      <c r="O909" s="36" t="str">
        <f>IFERROR(IF(INDEX(使用レシピ!P:P,MATCH(テンプレート!$C909,使用レシピ!$E:$E,0))&lt;&gt;0,INDEX(使用レシピ!P:P,MATCH(テンプレート!$C909,使用レシピ!$E:$E,0)),""),"")</f>
        <v/>
      </c>
      <c r="P909" t="str">
        <f t="shared" si="71"/>
        <v/>
      </c>
      <c r="Q909" t="str">
        <f t="shared" si="72"/>
        <v/>
      </c>
      <c r="R909" t="str">
        <f t="shared" si="73"/>
        <v/>
      </c>
      <c r="S909" t="str">
        <f t="shared" si="74"/>
        <v/>
      </c>
      <c r="T909" s="24" t="str">
        <f t="shared" si="75"/>
        <v/>
      </c>
    </row>
    <row r="910" spans="2:20" x14ac:dyDescent="0.4">
      <c r="B910" s="49" t="str" cm="1">
        <f t="array" ref="B910">IFERROR((INDEX($P$4:$T$1000,MATCH(VALUE(LEFT($A910,LEN($A910)-1)),$A$4:$A$1000,0),VALUE(RIGHT($A910,1)))/ INDEX($O$4:$O$1000,MATCH(VALUE(LEFT($A910,LEN($A910)-1)),$A$4:$A$1000))) * INDEX($B$4:$B$1000,MATCH(VALUE(LEFT($A910,LEN($A910)-1)),$A$4:$A$1000)),"")</f>
        <v/>
      </c>
      <c r="C910" s="2" t="str" cm="1">
        <f t="array" ref="C910">IFERROR(IF(INDEX($D$4:$H$1000,MATCH(VALUE(LEFT($A910,LEN($A910)-1)),$A$4:$A$1000,0),VALUE(RIGHT($A910,1)))= 0,"",INDEX($D$4:$H$1000,MATCH(VALUE(LEFT($A910,LEN($A910)-1)),$A$4:$A$1000,0),VALUE(RIGHT($A910,1)))),"")</f>
        <v/>
      </c>
      <c r="D910" s="23" t="str">
        <f>IFERROR(IF(INDEX(使用レシピ!F:F,MATCH(テンプレート!$C910,使用レシピ!$E:$E,0))&lt;&gt;0,INDEX(使用レシピ!F:F,MATCH(テンプレート!$C910,使用レシピ!$E:$E,0)),""),"")</f>
        <v/>
      </c>
      <c r="E910" t="str">
        <f>IFERROR(IF(INDEX(使用レシピ!G:G,MATCH(テンプレート!$C910,使用レシピ!$E:$E,0))&lt;&gt;0,INDEX(使用レシピ!G:G,MATCH(テンプレート!$C910,使用レシピ!$E:$E,0)),""),"")</f>
        <v/>
      </c>
      <c r="F910" t="str">
        <f>IFERROR(IF(INDEX(使用レシピ!H:H,MATCH(テンプレート!$C910,使用レシピ!$E:$E,0))&lt;&gt;0,INDEX(使用レシピ!H:H,MATCH(テンプレート!$C910,使用レシピ!$E:$E,0)),""),"")</f>
        <v/>
      </c>
      <c r="G910" t="str">
        <f>IFERROR(IF(INDEX(使用レシピ!I:I,MATCH(テンプレート!$C910,使用レシピ!$E:$E,0))&lt;&gt;0,INDEX(使用レシピ!I:I,MATCH(テンプレート!$C910,使用レシピ!$E:$E,0)),""),"")</f>
        <v/>
      </c>
      <c r="H910" s="24" t="str">
        <f>IFERROR(IF(INDEX(使用レシピ!J:J,MATCH(テンプレート!$C910,使用レシピ!$E:$E,0))&lt;&gt;0,INDEX(使用レシピ!J:J,MATCH(テンプレート!$C910,使用レシピ!$E:$E,0)),""),"")</f>
        <v/>
      </c>
      <c r="I910" s="36" t="str">
        <f>IFERROR(IF(INDEX(使用レシピ!P:P,MATCH(テンプレート!$C910,使用レシピ!$E:$E,0))&lt;&gt;0,INDEX(使用レシピ!P:P,MATCH(テンプレート!$C910,使用レシピ!$E:$E,0)),""),"")</f>
        <v/>
      </c>
      <c r="J910" t="str">
        <f>IFERROR(IF(INDEX(使用レシピ!K:K,MATCH(テンプレート!$C910,使用レシピ!$E:$E,0))&lt;&gt;0,INDEX(使用レシピ!K:K,MATCH(テンプレート!$C910,使用レシピ!$E:$E,0)),""),"")</f>
        <v/>
      </c>
      <c r="K910" t="str">
        <f>IFERROR(IF(INDEX(使用レシピ!L:L,MATCH(テンプレート!$C910,使用レシピ!$E:$E,0))&lt;&gt;0,INDEX(使用レシピ!L:L,MATCH(テンプレート!$C910,使用レシピ!$E:$E,0)),""),"")</f>
        <v/>
      </c>
      <c r="L910" t="str">
        <f>IFERROR(IF(INDEX(使用レシピ!M:M,MATCH(テンプレート!$C910,使用レシピ!$E:$E,0))&lt;&gt;0,INDEX(使用レシピ!M:M,MATCH(テンプレート!$C910,使用レシピ!$E:$E,0)),""),"")</f>
        <v/>
      </c>
      <c r="M910" t="str">
        <f>IFERROR(IF(INDEX(使用レシピ!N:N,MATCH(テンプレート!$C910,使用レシピ!$E:$E,0))&lt;&gt;0,INDEX(使用レシピ!N:N,MATCH(テンプレート!$C910,使用レシピ!$E:$E,0)),""),"")</f>
        <v/>
      </c>
      <c r="N910" s="24" t="str">
        <f>IFERROR(IF(INDEX(使用レシピ!O:O,MATCH(テンプレート!$C910,使用レシピ!$E:$E,0))&lt;&gt;0,INDEX(使用レシピ!O:O,MATCH(テンプレート!$C910,使用レシピ!$E:$E,0)),""),"")</f>
        <v/>
      </c>
      <c r="O910" s="36" t="str">
        <f>IFERROR(IF(INDEX(使用レシピ!P:P,MATCH(テンプレート!$C910,使用レシピ!$E:$E,0))&lt;&gt;0,INDEX(使用レシピ!P:P,MATCH(テンプレート!$C910,使用レシピ!$E:$E,0)),""),"")</f>
        <v/>
      </c>
      <c r="P910" t="str">
        <f t="shared" si="71"/>
        <v/>
      </c>
      <c r="Q910" t="str">
        <f t="shared" si="72"/>
        <v/>
      </c>
      <c r="R910" t="str">
        <f t="shared" si="73"/>
        <v/>
      </c>
      <c r="S910" t="str">
        <f t="shared" si="74"/>
        <v/>
      </c>
      <c r="T910" s="24" t="str">
        <f t="shared" si="75"/>
        <v/>
      </c>
    </row>
    <row r="911" spans="2:20" x14ac:dyDescent="0.4">
      <c r="B911" s="49" t="str" cm="1">
        <f t="array" ref="B911">IFERROR((INDEX($P$4:$T$1000,MATCH(VALUE(LEFT($A911,LEN($A911)-1)),$A$4:$A$1000,0),VALUE(RIGHT($A911,1)))/ INDEX($O$4:$O$1000,MATCH(VALUE(LEFT($A911,LEN($A911)-1)),$A$4:$A$1000))) * INDEX($B$4:$B$1000,MATCH(VALUE(LEFT($A911,LEN($A911)-1)),$A$4:$A$1000)),"")</f>
        <v/>
      </c>
      <c r="C911" s="2" t="str" cm="1">
        <f t="array" ref="C911">IFERROR(IF(INDEX($D$4:$H$1000,MATCH(VALUE(LEFT($A911,LEN($A911)-1)),$A$4:$A$1000,0),VALUE(RIGHT($A911,1)))= 0,"",INDEX($D$4:$H$1000,MATCH(VALUE(LEFT($A911,LEN($A911)-1)),$A$4:$A$1000,0),VALUE(RIGHT($A911,1)))),"")</f>
        <v/>
      </c>
      <c r="D911" s="23" t="str">
        <f>IFERROR(IF(INDEX(使用レシピ!F:F,MATCH(テンプレート!$C911,使用レシピ!$E:$E,0))&lt;&gt;0,INDEX(使用レシピ!F:F,MATCH(テンプレート!$C911,使用レシピ!$E:$E,0)),""),"")</f>
        <v/>
      </c>
      <c r="E911" t="str">
        <f>IFERROR(IF(INDEX(使用レシピ!G:G,MATCH(テンプレート!$C911,使用レシピ!$E:$E,0))&lt;&gt;0,INDEX(使用レシピ!G:G,MATCH(テンプレート!$C911,使用レシピ!$E:$E,0)),""),"")</f>
        <v/>
      </c>
      <c r="F911" t="str">
        <f>IFERROR(IF(INDEX(使用レシピ!H:H,MATCH(テンプレート!$C911,使用レシピ!$E:$E,0))&lt;&gt;0,INDEX(使用レシピ!H:H,MATCH(テンプレート!$C911,使用レシピ!$E:$E,0)),""),"")</f>
        <v/>
      </c>
      <c r="G911" t="str">
        <f>IFERROR(IF(INDEX(使用レシピ!I:I,MATCH(テンプレート!$C911,使用レシピ!$E:$E,0))&lt;&gt;0,INDEX(使用レシピ!I:I,MATCH(テンプレート!$C911,使用レシピ!$E:$E,0)),""),"")</f>
        <v/>
      </c>
      <c r="H911" s="24" t="str">
        <f>IFERROR(IF(INDEX(使用レシピ!J:J,MATCH(テンプレート!$C911,使用レシピ!$E:$E,0))&lt;&gt;0,INDEX(使用レシピ!J:J,MATCH(テンプレート!$C911,使用レシピ!$E:$E,0)),""),"")</f>
        <v/>
      </c>
      <c r="I911" s="36" t="str">
        <f>IFERROR(IF(INDEX(使用レシピ!P:P,MATCH(テンプレート!$C911,使用レシピ!$E:$E,0))&lt;&gt;0,INDEX(使用レシピ!P:P,MATCH(テンプレート!$C911,使用レシピ!$E:$E,0)),""),"")</f>
        <v/>
      </c>
      <c r="J911" t="str">
        <f>IFERROR(IF(INDEX(使用レシピ!K:K,MATCH(テンプレート!$C911,使用レシピ!$E:$E,0))&lt;&gt;0,INDEX(使用レシピ!K:K,MATCH(テンプレート!$C911,使用レシピ!$E:$E,0)),""),"")</f>
        <v/>
      </c>
      <c r="K911" t="str">
        <f>IFERROR(IF(INDEX(使用レシピ!L:L,MATCH(テンプレート!$C911,使用レシピ!$E:$E,0))&lt;&gt;0,INDEX(使用レシピ!L:L,MATCH(テンプレート!$C911,使用レシピ!$E:$E,0)),""),"")</f>
        <v/>
      </c>
      <c r="L911" t="str">
        <f>IFERROR(IF(INDEX(使用レシピ!M:M,MATCH(テンプレート!$C911,使用レシピ!$E:$E,0))&lt;&gt;0,INDEX(使用レシピ!M:M,MATCH(テンプレート!$C911,使用レシピ!$E:$E,0)),""),"")</f>
        <v/>
      </c>
      <c r="M911" t="str">
        <f>IFERROR(IF(INDEX(使用レシピ!N:N,MATCH(テンプレート!$C911,使用レシピ!$E:$E,0))&lt;&gt;0,INDEX(使用レシピ!N:N,MATCH(テンプレート!$C911,使用レシピ!$E:$E,0)),""),"")</f>
        <v/>
      </c>
      <c r="N911" s="24" t="str">
        <f>IFERROR(IF(INDEX(使用レシピ!O:O,MATCH(テンプレート!$C911,使用レシピ!$E:$E,0))&lt;&gt;0,INDEX(使用レシピ!O:O,MATCH(テンプレート!$C911,使用レシピ!$E:$E,0)),""),"")</f>
        <v/>
      </c>
      <c r="O911" s="36" t="str">
        <f>IFERROR(IF(INDEX(使用レシピ!P:P,MATCH(テンプレート!$C911,使用レシピ!$E:$E,0))&lt;&gt;0,INDEX(使用レシピ!P:P,MATCH(テンプレート!$C911,使用レシピ!$E:$E,0)),""),"")</f>
        <v/>
      </c>
      <c r="P911" t="str">
        <f t="shared" si="71"/>
        <v/>
      </c>
      <c r="Q911" t="str">
        <f t="shared" si="72"/>
        <v/>
      </c>
      <c r="R911" t="str">
        <f t="shared" si="73"/>
        <v/>
      </c>
      <c r="S911" t="str">
        <f t="shared" si="74"/>
        <v/>
      </c>
      <c r="T911" s="24" t="str">
        <f t="shared" si="75"/>
        <v/>
      </c>
    </row>
    <row r="912" spans="2:20" x14ac:dyDescent="0.4">
      <c r="B912" s="49" t="str" cm="1">
        <f t="array" ref="B912">IFERROR((INDEX($P$4:$T$1000,MATCH(VALUE(LEFT($A912,LEN($A912)-1)),$A$4:$A$1000,0),VALUE(RIGHT($A912,1)))/ INDEX($O$4:$O$1000,MATCH(VALUE(LEFT($A912,LEN($A912)-1)),$A$4:$A$1000))) * INDEX($B$4:$B$1000,MATCH(VALUE(LEFT($A912,LEN($A912)-1)),$A$4:$A$1000)),"")</f>
        <v/>
      </c>
      <c r="C912" s="2" t="str" cm="1">
        <f t="array" ref="C912">IFERROR(IF(INDEX($D$4:$H$1000,MATCH(VALUE(LEFT($A912,LEN($A912)-1)),$A$4:$A$1000,0),VALUE(RIGHT($A912,1)))= 0,"",INDEX($D$4:$H$1000,MATCH(VALUE(LEFT($A912,LEN($A912)-1)),$A$4:$A$1000,0),VALUE(RIGHT($A912,1)))),"")</f>
        <v/>
      </c>
      <c r="D912" s="23" t="str">
        <f>IFERROR(IF(INDEX(使用レシピ!F:F,MATCH(テンプレート!$C912,使用レシピ!$E:$E,0))&lt;&gt;0,INDEX(使用レシピ!F:F,MATCH(テンプレート!$C912,使用レシピ!$E:$E,0)),""),"")</f>
        <v/>
      </c>
      <c r="E912" t="str">
        <f>IFERROR(IF(INDEX(使用レシピ!G:G,MATCH(テンプレート!$C912,使用レシピ!$E:$E,0))&lt;&gt;0,INDEX(使用レシピ!G:G,MATCH(テンプレート!$C912,使用レシピ!$E:$E,0)),""),"")</f>
        <v/>
      </c>
      <c r="F912" t="str">
        <f>IFERROR(IF(INDEX(使用レシピ!H:H,MATCH(テンプレート!$C912,使用レシピ!$E:$E,0))&lt;&gt;0,INDEX(使用レシピ!H:H,MATCH(テンプレート!$C912,使用レシピ!$E:$E,0)),""),"")</f>
        <v/>
      </c>
      <c r="G912" t="str">
        <f>IFERROR(IF(INDEX(使用レシピ!I:I,MATCH(テンプレート!$C912,使用レシピ!$E:$E,0))&lt;&gt;0,INDEX(使用レシピ!I:I,MATCH(テンプレート!$C912,使用レシピ!$E:$E,0)),""),"")</f>
        <v/>
      </c>
      <c r="H912" s="24" t="str">
        <f>IFERROR(IF(INDEX(使用レシピ!J:J,MATCH(テンプレート!$C912,使用レシピ!$E:$E,0))&lt;&gt;0,INDEX(使用レシピ!J:J,MATCH(テンプレート!$C912,使用レシピ!$E:$E,0)),""),"")</f>
        <v/>
      </c>
      <c r="I912" s="36" t="str">
        <f>IFERROR(IF(INDEX(使用レシピ!P:P,MATCH(テンプレート!$C912,使用レシピ!$E:$E,0))&lt;&gt;0,INDEX(使用レシピ!P:P,MATCH(テンプレート!$C912,使用レシピ!$E:$E,0)),""),"")</f>
        <v/>
      </c>
      <c r="J912" t="str">
        <f>IFERROR(IF(INDEX(使用レシピ!K:K,MATCH(テンプレート!$C912,使用レシピ!$E:$E,0))&lt;&gt;0,INDEX(使用レシピ!K:K,MATCH(テンプレート!$C912,使用レシピ!$E:$E,0)),""),"")</f>
        <v/>
      </c>
      <c r="K912" t="str">
        <f>IFERROR(IF(INDEX(使用レシピ!L:L,MATCH(テンプレート!$C912,使用レシピ!$E:$E,0))&lt;&gt;0,INDEX(使用レシピ!L:L,MATCH(テンプレート!$C912,使用レシピ!$E:$E,0)),""),"")</f>
        <v/>
      </c>
      <c r="L912" t="str">
        <f>IFERROR(IF(INDEX(使用レシピ!M:M,MATCH(テンプレート!$C912,使用レシピ!$E:$E,0))&lt;&gt;0,INDEX(使用レシピ!M:M,MATCH(テンプレート!$C912,使用レシピ!$E:$E,0)),""),"")</f>
        <v/>
      </c>
      <c r="M912" t="str">
        <f>IFERROR(IF(INDEX(使用レシピ!N:N,MATCH(テンプレート!$C912,使用レシピ!$E:$E,0))&lt;&gt;0,INDEX(使用レシピ!N:N,MATCH(テンプレート!$C912,使用レシピ!$E:$E,0)),""),"")</f>
        <v/>
      </c>
      <c r="N912" s="24" t="str">
        <f>IFERROR(IF(INDEX(使用レシピ!O:O,MATCH(テンプレート!$C912,使用レシピ!$E:$E,0))&lt;&gt;0,INDEX(使用レシピ!O:O,MATCH(テンプレート!$C912,使用レシピ!$E:$E,0)),""),"")</f>
        <v/>
      </c>
      <c r="O912" s="36" t="str">
        <f>IFERROR(IF(INDEX(使用レシピ!P:P,MATCH(テンプレート!$C912,使用レシピ!$E:$E,0))&lt;&gt;0,INDEX(使用レシピ!P:P,MATCH(テンプレート!$C912,使用レシピ!$E:$E,0)),""),"")</f>
        <v/>
      </c>
      <c r="P912" t="str">
        <f t="shared" si="71"/>
        <v/>
      </c>
      <c r="Q912" t="str">
        <f t="shared" si="72"/>
        <v/>
      </c>
      <c r="R912" t="str">
        <f t="shared" si="73"/>
        <v/>
      </c>
      <c r="S912" t="str">
        <f t="shared" si="74"/>
        <v/>
      </c>
      <c r="T912" s="24" t="str">
        <f t="shared" si="75"/>
        <v/>
      </c>
    </row>
    <row r="913" spans="2:20" x14ac:dyDescent="0.4">
      <c r="B913" s="49" t="str" cm="1">
        <f t="array" ref="B913">IFERROR((INDEX($P$4:$T$1000,MATCH(VALUE(LEFT($A913,LEN($A913)-1)),$A$4:$A$1000,0),VALUE(RIGHT($A913,1)))/ INDEX($O$4:$O$1000,MATCH(VALUE(LEFT($A913,LEN($A913)-1)),$A$4:$A$1000))) * INDEX($B$4:$B$1000,MATCH(VALUE(LEFT($A913,LEN($A913)-1)),$A$4:$A$1000)),"")</f>
        <v/>
      </c>
      <c r="C913" s="2" t="str" cm="1">
        <f t="array" ref="C913">IFERROR(IF(INDEX($D$4:$H$1000,MATCH(VALUE(LEFT($A913,LEN($A913)-1)),$A$4:$A$1000,0),VALUE(RIGHT($A913,1)))= 0,"",INDEX($D$4:$H$1000,MATCH(VALUE(LEFT($A913,LEN($A913)-1)),$A$4:$A$1000,0),VALUE(RIGHT($A913,1)))),"")</f>
        <v/>
      </c>
      <c r="D913" s="23" t="str">
        <f>IFERROR(IF(INDEX(使用レシピ!F:F,MATCH(テンプレート!$C913,使用レシピ!$E:$E,0))&lt;&gt;0,INDEX(使用レシピ!F:F,MATCH(テンプレート!$C913,使用レシピ!$E:$E,0)),""),"")</f>
        <v/>
      </c>
      <c r="E913" t="str">
        <f>IFERROR(IF(INDEX(使用レシピ!G:G,MATCH(テンプレート!$C913,使用レシピ!$E:$E,0))&lt;&gt;0,INDEX(使用レシピ!G:G,MATCH(テンプレート!$C913,使用レシピ!$E:$E,0)),""),"")</f>
        <v/>
      </c>
      <c r="F913" t="str">
        <f>IFERROR(IF(INDEX(使用レシピ!H:H,MATCH(テンプレート!$C913,使用レシピ!$E:$E,0))&lt;&gt;0,INDEX(使用レシピ!H:H,MATCH(テンプレート!$C913,使用レシピ!$E:$E,0)),""),"")</f>
        <v/>
      </c>
      <c r="G913" t="str">
        <f>IFERROR(IF(INDEX(使用レシピ!I:I,MATCH(テンプレート!$C913,使用レシピ!$E:$E,0))&lt;&gt;0,INDEX(使用レシピ!I:I,MATCH(テンプレート!$C913,使用レシピ!$E:$E,0)),""),"")</f>
        <v/>
      </c>
      <c r="H913" s="24" t="str">
        <f>IFERROR(IF(INDEX(使用レシピ!J:J,MATCH(テンプレート!$C913,使用レシピ!$E:$E,0))&lt;&gt;0,INDEX(使用レシピ!J:J,MATCH(テンプレート!$C913,使用レシピ!$E:$E,0)),""),"")</f>
        <v/>
      </c>
      <c r="I913" s="36" t="str">
        <f>IFERROR(IF(INDEX(使用レシピ!P:P,MATCH(テンプレート!$C913,使用レシピ!$E:$E,0))&lt;&gt;0,INDEX(使用レシピ!P:P,MATCH(テンプレート!$C913,使用レシピ!$E:$E,0)),""),"")</f>
        <v/>
      </c>
      <c r="J913" t="str">
        <f>IFERROR(IF(INDEX(使用レシピ!K:K,MATCH(テンプレート!$C913,使用レシピ!$E:$E,0))&lt;&gt;0,INDEX(使用レシピ!K:K,MATCH(テンプレート!$C913,使用レシピ!$E:$E,0)),""),"")</f>
        <v/>
      </c>
      <c r="K913" t="str">
        <f>IFERROR(IF(INDEX(使用レシピ!L:L,MATCH(テンプレート!$C913,使用レシピ!$E:$E,0))&lt;&gt;0,INDEX(使用レシピ!L:L,MATCH(テンプレート!$C913,使用レシピ!$E:$E,0)),""),"")</f>
        <v/>
      </c>
      <c r="L913" t="str">
        <f>IFERROR(IF(INDEX(使用レシピ!M:M,MATCH(テンプレート!$C913,使用レシピ!$E:$E,0))&lt;&gt;0,INDEX(使用レシピ!M:M,MATCH(テンプレート!$C913,使用レシピ!$E:$E,0)),""),"")</f>
        <v/>
      </c>
      <c r="M913" t="str">
        <f>IFERROR(IF(INDEX(使用レシピ!N:N,MATCH(テンプレート!$C913,使用レシピ!$E:$E,0))&lt;&gt;0,INDEX(使用レシピ!N:N,MATCH(テンプレート!$C913,使用レシピ!$E:$E,0)),""),"")</f>
        <v/>
      </c>
      <c r="N913" s="24" t="str">
        <f>IFERROR(IF(INDEX(使用レシピ!O:O,MATCH(テンプレート!$C913,使用レシピ!$E:$E,0))&lt;&gt;0,INDEX(使用レシピ!O:O,MATCH(テンプレート!$C913,使用レシピ!$E:$E,0)),""),"")</f>
        <v/>
      </c>
      <c r="O913" s="36" t="str">
        <f>IFERROR(IF(INDEX(使用レシピ!P:P,MATCH(テンプレート!$C913,使用レシピ!$E:$E,0))&lt;&gt;0,INDEX(使用レシピ!P:P,MATCH(テンプレート!$C913,使用レシピ!$E:$E,0)),""),"")</f>
        <v/>
      </c>
      <c r="P913" t="str">
        <f t="shared" si="71"/>
        <v/>
      </c>
      <c r="Q913" t="str">
        <f t="shared" si="72"/>
        <v/>
      </c>
      <c r="R913" t="str">
        <f t="shared" si="73"/>
        <v/>
      </c>
      <c r="S913" t="str">
        <f t="shared" si="74"/>
        <v/>
      </c>
      <c r="T913" s="24" t="str">
        <f t="shared" si="75"/>
        <v/>
      </c>
    </row>
    <row r="914" spans="2:20" x14ac:dyDescent="0.4">
      <c r="B914" s="49" t="str" cm="1">
        <f t="array" ref="B914">IFERROR((INDEX($P$4:$T$1000,MATCH(VALUE(LEFT($A914,LEN($A914)-1)),$A$4:$A$1000,0),VALUE(RIGHT($A914,1)))/ INDEX($O$4:$O$1000,MATCH(VALUE(LEFT($A914,LEN($A914)-1)),$A$4:$A$1000))) * INDEX($B$4:$B$1000,MATCH(VALUE(LEFT($A914,LEN($A914)-1)),$A$4:$A$1000)),"")</f>
        <v/>
      </c>
      <c r="C914" s="2" t="str" cm="1">
        <f t="array" ref="C914">IFERROR(IF(INDEX($D$4:$H$1000,MATCH(VALUE(LEFT($A914,LEN($A914)-1)),$A$4:$A$1000,0),VALUE(RIGHT($A914,1)))= 0,"",INDEX($D$4:$H$1000,MATCH(VALUE(LEFT($A914,LEN($A914)-1)),$A$4:$A$1000,0),VALUE(RIGHT($A914,1)))),"")</f>
        <v/>
      </c>
      <c r="D914" s="23" t="str">
        <f>IFERROR(IF(INDEX(使用レシピ!F:F,MATCH(テンプレート!$C914,使用レシピ!$E:$E,0))&lt;&gt;0,INDEX(使用レシピ!F:F,MATCH(テンプレート!$C914,使用レシピ!$E:$E,0)),""),"")</f>
        <v/>
      </c>
      <c r="E914" t="str">
        <f>IFERROR(IF(INDEX(使用レシピ!G:G,MATCH(テンプレート!$C914,使用レシピ!$E:$E,0))&lt;&gt;0,INDEX(使用レシピ!G:G,MATCH(テンプレート!$C914,使用レシピ!$E:$E,0)),""),"")</f>
        <v/>
      </c>
      <c r="F914" t="str">
        <f>IFERROR(IF(INDEX(使用レシピ!H:H,MATCH(テンプレート!$C914,使用レシピ!$E:$E,0))&lt;&gt;0,INDEX(使用レシピ!H:H,MATCH(テンプレート!$C914,使用レシピ!$E:$E,0)),""),"")</f>
        <v/>
      </c>
      <c r="G914" t="str">
        <f>IFERROR(IF(INDEX(使用レシピ!I:I,MATCH(テンプレート!$C914,使用レシピ!$E:$E,0))&lt;&gt;0,INDEX(使用レシピ!I:I,MATCH(テンプレート!$C914,使用レシピ!$E:$E,0)),""),"")</f>
        <v/>
      </c>
      <c r="H914" s="24" t="str">
        <f>IFERROR(IF(INDEX(使用レシピ!J:J,MATCH(テンプレート!$C914,使用レシピ!$E:$E,0))&lt;&gt;0,INDEX(使用レシピ!J:J,MATCH(テンプレート!$C914,使用レシピ!$E:$E,0)),""),"")</f>
        <v/>
      </c>
      <c r="I914" s="36" t="str">
        <f>IFERROR(IF(INDEX(使用レシピ!P:P,MATCH(テンプレート!$C914,使用レシピ!$E:$E,0))&lt;&gt;0,INDEX(使用レシピ!P:P,MATCH(テンプレート!$C914,使用レシピ!$E:$E,0)),""),"")</f>
        <v/>
      </c>
      <c r="J914" t="str">
        <f>IFERROR(IF(INDEX(使用レシピ!K:K,MATCH(テンプレート!$C914,使用レシピ!$E:$E,0))&lt;&gt;0,INDEX(使用レシピ!K:K,MATCH(テンプレート!$C914,使用レシピ!$E:$E,0)),""),"")</f>
        <v/>
      </c>
      <c r="K914" t="str">
        <f>IFERROR(IF(INDEX(使用レシピ!L:L,MATCH(テンプレート!$C914,使用レシピ!$E:$E,0))&lt;&gt;0,INDEX(使用レシピ!L:L,MATCH(テンプレート!$C914,使用レシピ!$E:$E,0)),""),"")</f>
        <v/>
      </c>
      <c r="L914" t="str">
        <f>IFERROR(IF(INDEX(使用レシピ!M:M,MATCH(テンプレート!$C914,使用レシピ!$E:$E,0))&lt;&gt;0,INDEX(使用レシピ!M:M,MATCH(テンプレート!$C914,使用レシピ!$E:$E,0)),""),"")</f>
        <v/>
      </c>
      <c r="M914" t="str">
        <f>IFERROR(IF(INDEX(使用レシピ!N:N,MATCH(テンプレート!$C914,使用レシピ!$E:$E,0))&lt;&gt;0,INDEX(使用レシピ!N:N,MATCH(テンプレート!$C914,使用レシピ!$E:$E,0)),""),"")</f>
        <v/>
      </c>
      <c r="N914" s="24" t="str">
        <f>IFERROR(IF(INDEX(使用レシピ!O:O,MATCH(テンプレート!$C914,使用レシピ!$E:$E,0))&lt;&gt;0,INDEX(使用レシピ!O:O,MATCH(テンプレート!$C914,使用レシピ!$E:$E,0)),""),"")</f>
        <v/>
      </c>
      <c r="O914" s="36" t="str">
        <f>IFERROR(IF(INDEX(使用レシピ!P:P,MATCH(テンプレート!$C914,使用レシピ!$E:$E,0))&lt;&gt;0,INDEX(使用レシピ!P:P,MATCH(テンプレート!$C914,使用レシピ!$E:$E,0)),""),"")</f>
        <v/>
      </c>
      <c r="P914" t="str">
        <f t="shared" si="71"/>
        <v/>
      </c>
      <c r="Q914" t="str">
        <f t="shared" si="72"/>
        <v/>
      </c>
      <c r="R914" t="str">
        <f t="shared" si="73"/>
        <v/>
      </c>
      <c r="S914" t="str">
        <f t="shared" si="74"/>
        <v/>
      </c>
      <c r="T914" s="24" t="str">
        <f t="shared" si="75"/>
        <v/>
      </c>
    </row>
    <row r="915" spans="2:20" x14ac:dyDescent="0.4">
      <c r="B915" s="49" t="str" cm="1">
        <f t="array" ref="B915">IFERROR((INDEX($P$4:$T$1000,MATCH(VALUE(LEFT($A915,LEN($A915)-1)),$A$4:$A$1000,0),VALUE(RIGHT($A915,1)))/ INDEX($O$4:$O$1000,MATCH(VALUE(LEFT($A915,LEN($A915)-1)),$A$4:$A$1000))) * INDEX($B$4:$B$1000,MATCH(VALUE(LEFT($A915,LEN($A915)-1)),$A$4:$A$1000)),"")</f>
        <v/>
      </c>
      <c r="C915" s="2" t="str" cm="1">
        <f t="array" ref="C915">IFERROR(IF(INDEX($D$4:$H$1000,MATCH(VALUE(LEFT($A915,LEN($A915)-1)),$A$4:$A$1000,0),VALUE(RIGHT($A915,1)))= 0,"",INDEX($D$4:$H$1000,MATCH(VALUE(LEFT($A915,LEN($A915)-1)),$A$4:$A$1000,0),VALUE(RIGHT($A915,1)))),"")</f>
        <v/>
      </c>
      <c r="D915" s="23" t="str">
        <f>IFERROR(IF(INDEX(使用レシピ!F:F,MATCH(テンプレート!$C915,使用レシピ!$E:$E,0))&lt;&gt;0,INDEX(使用レシピ!F:F,MATCH(テンプレート!$C915,使用レシピ!$E:$E,0)),""),"")</f>
        <v/>
      </c>
      <c r="E915" t="str">
        <f>IFERROR(IF(INDEX(使用レシピ!G:G,MATCH(テンプレート!$C915,使用レシピ!$E:$E,0))&lt;&gt;0,INDEX(使用レシピ!G:G,MATCH(テンプレート!$C915,使用レシピ!$E:$E,0)),""),"")</f>
        <v/>
      </c>
      <c r="F915" t="str">
        <f>IFERROR(IF(INDEX(使用レシピ!H:H,MATCH(テンプレート!$C915,使用レシピ!$E:$E,0))&lt;&gt;0,INDEX(使用レシピ!H:H,MATCH(テンプレート!$C915,使用レシピ!$E:$E,0)),""),"")</f>
        <v/>
      </c>
      <c r="G915" t="str">
        <f>IFERROR(IF(INDEX(使用レシピ!I:I,MATCH(テンプレート!$C915,使用レシピ!$E:$E,0))&lt;&gt;0,INDEX(使用レシピ!I:I,MATCH(テンプレート!$C915,使用レシピ!$E:$E,0)),""),"")</f>
        <v/>
      </c>
      <c r="H915" s="24" t="str">
        <f>IFERROR(IF(INDEX(使用レシピ!J:J,MATCH(テンプレート!$C915,使用レシピ!$E:$E,0))&lt;&gt;0,INDEX(使用レシピ!J:J,MATCH(テンプレート!$C915,使用レシピ!$E:$E,0)),""),"")</f>
        <v/>
      </c>
      <c r="I915" s="36" t="str">
        <f>IFERROR(IF(INDEX(使用レシピ!P:P,MATCH(テンプレート!$C915,使用レシピ!$E:$E,0))&lt;&gt;0,INDEX(使用レシピ!P:P,MATCH(テンプレート!$C915,使用レシピ!$E:$E,0)),""),"")</f>
        <v/>
      </c>
      <c r="J915" t="str">
        <f>IFERROR(IF(INDEX(使用レシピ!K:K,MATCH(テンプレート!$C915,使用レシピ!$E:$E,0))&lt;&gt;0,INDEX(使用レシピ!K:K,MATCH(テンプレート!$C915,使用レシピ!$E:$E,0)),""),"")</f>
        <v/>
      </c>
      <c r="K915" t="str">
        <f>IFERROR(IF(INDEX(使用レシピ!L:L,MATCH(テンプレート!$C915,使用レシピ!$E:$E,0))&lt;&gt;0,INDEX(使用レシピ!L:L,MATCH(テンプレート!$C915,使用レシピ!$E:$E,0)),""),"")</f>
        <v/>
      </c>
      <c r="L915" t="str">
        <f>IFERROR(IF(INDEX(使用レシピ!M:M,MATCH(テンプレート!$C915,使用レシピ!$E:$E,0))&lt;&gt;0,INDEX(使用レシピ!M:M,MATCH(テンプレート!$C915,使用レシピ!$E:$E,0)),""),"")</f>
        <v/>
      </c>
      <c r="M915" t="str">
        <f>IFERROR(IF(INDEX(使用レシピ!N:N,MATCH(テンプレート!$C915,使用レシピ!$E:$E,0))&lt;&gt;0,INDEX(使用レシピ!N:N,MATCH(テンプレート!$C915,使用レシピ!$E:$E,0)),""),"")</f>
        <v/>
      </c>
      <c r="N915" s="24" t="str">
        <f>IFERROR(IF(INDEX(使用レシピ!O:O,MATCH(テンプレート!$C915,使用レシピ!$E:$E,0))&lt;&gt;0,INDEX(使用レシピ!O:O,MATCH(テンプレート!$C915,使用レシピ!$E:$E,0)),""),"")</f>
        <v/>
      </c>
      <c r="O915" s="36" t="str">
        <f>IFERROR(IF(INDEX(使用レシピ!P:P,MATCH(テンプレート!$C915,使用レシピ!$E:$E,0))&lt;&gt;0,INDEX(使用レシピ!P:P,MATCH(テンプレート!$C915,使用レシピ!$E:$E,0)),""),"")</f>
        <v/>
      </c>
      <c r="P915" t="str">
        <f t="shared" si="71"/>
        <v/>
      </c>
      <c r="Q915" t="str">
        <f t="shared" si="72"/>
        <v/>
      </c>
      <c r="R915" t="str">
        <f t="shared" si="73"/>
        <v/>
      </c>
      <c r="S915" t="str">
        <f t="shared" si="74"/>
        <v/>
      </c>
      <c r="T915" s="24" t="str">
        <f t="shared" si="75"/>
        <v/>
      </c>
    </row>
    <row r="916" spans="2:20" x14ac:dyDescent="0.4">
      <c r="B916" s="49" t="str" cm="1">
        <f t="array" ref="B916">IFERROR((INDEX($P$4:$T$1000,MATCH(VALUE(LEFT($A916,LEN($A916)-1)),$A$4:$A$1000,0),VALUE(RIGHT($A916,1)))/ INDEX($O$4:$O$1000,MATCH(VALUE(LEFT($A916,LEN($A916)-1)),$A$4:$A$1000))) * INDEX($B$4:$B$1000,MATCH(VALUE(LEFT($A916,LEN($A916)-1)),$A$4:$A$1000)),"")</f>
        <v/>
      </c>
      <c r="C916" s="2" t="str" cm="1">
        <f t="array" ref="C916">IFERROR(IF(INDEX($D$4:$H$1000,MATCH(VALUE(LEFT($A916,LEN($A916)-1)),$A$4:$A$1000,0),VALUE(RIGHT($A916,1)))= 0,"",INDEX($D$4:$H$1000,MATCH(VALUE(LEFT($A916,LEN($A916)-1)),$A$4:$A$1000,0),VALUE(RIGHT($A916,1)))),"")</f>
        <v/>
      </c>
      <c r="D916" s="23" t="str">
        <f>IFERROR(IF(INDEX(使用レシピ!F:F,MATCH(テンプレート!$C916,使用レシピ!$E:$E,0))&lt;&gt;0,INDEX(使用レシピ!F:F,MATCH(テンプレート!$C916,使用レシピ!$E:$E,0)),""),"")</f>
        <v/>
      </c>
      <c r="E916" t="str">
        <f>IFERROR(IF(INDEX(使用レシピ!G:G,MATCH(テンプレート!$C916,使用レシピ!$E:$E,0))&lt;&gt;0,INDEX(使用レシピ!G:G,MATCH(テンプレート!$C916,使用レシピ!$E:$E,0)),""),"")</f>
        <v/>
      </c>
      <c r="F916" t="str">
        <f>IFERROR(IF(INDEX(使用レシピ!H:H,MATCH(テンプレート!$C916,使用レシピ!$E:$E,0))&lt;&gt;0,INDEX(使用レシピ!H:H,MATCH(テンプレート!$C916,使用レシピ!$E:$E,0)),""),"")</f>
        <v/>
      </c>
      <c r="G916" t="str">
        <f>IFERROR(IF(INDEX(使用レシピ!I:I,MATCH(テンプレート!$C916,使用レシピ!$E:$E,0))&lt;&gt;0,INDEX(使用レシピ!I:I,MATCH(テンプレート!$C916,使用レシピ!$E:$E,0)),""),"")</f>
        <v/>
      </c>
      <c r="H916" s="24" t="str">
        <f>IFERROR(IF(INDEX(使用レシピ!J:J,MATCH(テンプレート!$C916,使用レシピ!$E:$E,0))&lt;&gt;0,INDEX(使用レシピ!J:J,MATCH(テンプレート!$C916,使用レシピ!$E:$E,0)),""),"")</f>
        <v/>
      </c>
      <c r="I916" s="36" t="str">
        <f>IFERROR(IF(INDEX(使用レシピ!P:P,MATCH(テンプレート!$C916,使用レシピ!$E:$E,0))&lt;&gt;0,INDEX(使用レシピ!P:P,MATCH(テンプレート!$C916,使用レシピ!$E:$E,0)),""),"")</f>
        <v/>
      </c>
      <c r="J916" t="str">
        <f>IFERROR(IF(INDEX(使用レシピ!K:K,MATCH(テンプレート!$C916,使用レシピ!$E:$E,0))&lt;&gt;0,INDEX(使用レシピ!K:K,MATCH(テンプレート!$C916,使用レシピ!$E:$E,0)),""),"")</f>
        <v/>
      </c>
      <c r="K916" t="str">
        <f>IFERROR(IF(INDEX(使用レシピ!L:L,MATCH(テンプレート!$C916,使用レシピ!$E:$E,0))&lt;&gt;0,INDEX(使用レシピ!L:L,MATCH(テンプレート!$C916,使用レシピ!$E:$E,0)),""),"")</f>
        <v/>
      </c>
      <c r="L916" t="str">
        <f>IFERROR(IF(INDEX(使用レシピ!M:M,MATCH(テンプレート!$C916,使用レシピ!$E:$E,0))&lt;&gt;0,INDEX(使用レシピ!M:M,MATCH(テンプレート!$C916,使用レシピ!$E:$E,0)),""),"")</f>
        <v/>
      </c>
      <c r="M916" t="str">
        <f>IFERROR(IF(INDEX(使用レシピ!N:N,MATCH(テンプレート!$C916,使用レシピ!$E:$E,0))&lt;&gt;0,INDEX(使用レシピ!N:N,MATCH(テンプレート!$C916,使用レシピ!$E:$E,0)),""),"")</f>
        <v/>
      </c>
      <c r="N916" s="24" t="str">
        <f>IFERROR(IF(INDEX(使用レシピ!O:O,MATCH(テンプレート!$C916,使用レシピ!$E:$E,0))&lt;&gt;0,INDEX(使用レシピ!O:O,MATCH(テンプレート!$C916,使用レシピ!$E:$E,0)),""),"")</f>
        <v/>
      </c>
      <c r="O916" s="36" t="str">
        <f>IFERROR(IF(INDEX(使用レシピ!P:P,MATCH(テンプレート!$C916,使用レシピ!$E:$E,0))&lt;&gt;0,INDEX(使用レシピ!P:P,MATCH(テンプレート!$C916,使用レシピ!$E:$E,0)),""),"")</f>
        <v/>
      </c>
      <c r="P916" t="str">
        <f t="shared" si="71"/>
        <v/>
      </c>
      <c r="Q916" t="str">
        <f t="shared" si="72"/>
        <v/>
      </c>
      <c r="R916" t="str">
        <f t="shared" si="73"/>
        <v/>
      </c>
      <c r="S916" t="str">
        <f t="shared" si="74"/>
        <v/>
      </c>
      <c r="T916" s="24" t="str">
        <f t="shared" si="75"/>
        <v/>
      </c>
    </row>
    <row r="917" spans="2:20" x14ac:dyDescent="0.4">
      <c r="B917" s="49" t="str" cm="1">
        <f t="array" ref="B917">IFERROR((INDEX($P$4:$T$1000,MATCH(VALUE(LEFT($A917,LEN($A917)-1)),$A$4:$A$1000,0),VALUE(RIGHT($A917,1)))/ INDEX($O$4:$O$1000,MATCH(VALUE(LEFT($A917,LEN($A917)-1)),$A$4:$A$1000))) * INDEX($B$4:$B$1000,MATCH(VALUE(LEFT($A917,LEN($A917)-1)),$A$4:$A$1000)),"")</f>
        <v/>
      </c>
      <c r="C917" s="2" t="str" cm="1">
        <f t="array" ref="C917">IFERROR(IF(INDEX($D$4:$H$1000,MATCH(VALUE(LEFT($A917,LEN($A917)-1)),$A$4:$A$1000,0),VALUE(RIGHT($A917,1)))= 0,"",INDEX($D$4:$H$1000,MATCH(VALUE(LEFT($A917,LEN($A917)-1)),$A$4:$A$1000,0),VALUE(RIGHT($A917,1)))),"")</f>
        <v/>
      </c>
      <c r="D917" s="23" t="str">
        <f>IFERROR(IF(INDEX(使用レシピ!F:F,MATCH(テンプレート!$C917,使用レシピ!$E:$E,0))&lt;&gt;0,INDEX(使用レシピ!F:F,MATCH(テンプレート!$C917,使用レシピ!$E:$E,0)),""),"")</f>
        <v/>
      </c>
      <c r="E917" t="str">
        <f>IFERROR(IF(INDEX(使用レシピ!G:G,MATCH(テンプレート!$C917,使用レシピ!$E:$E,0))&lt;&gt;0,INDEX(使用レシピ!G:G,MATCH(テンプレート!$C917,使用レシピ!$E:$E,0)),""),"")</f>
        <v/>
      </c>
      <c r="F917" t="str">
        <f>IFERROR(IF(INDEX(使用レシピ!H:H,MATCH(テンプレート!$C917,使用レシピ!$E:$E,0))&lt;&gt;0,INDEX(使用レシピ!H:H,MATCH(テンプレート!$C917,使用レシピ!$E:$E,0)),""),"")</f>
        <v/>
      </c>
      <c r="G917" t="str">
        <f>IFERROR(IF(INDEX(使用レシピ!I:I,MATCH(テンプレート!$C917,使用レシピ!$E:$E,0))&lt;&gt;0,INDEX(使用レシピ!I:I,MATCH(テンプレート!$C917,使用レシピ!$E:$E,0)),""),"")</f>
        <v/>
      </c>
      <c r="H917" s="24" t="str">
        <f>IFERROR(IF(INDEX(使用レシピ!J:J,MATCH(テンプレート!$C917,使用レシピ!$E:$E,0))&lt;&gt;0,INDEX(使用レシピ!J:J,MATCH(テンプレート!$C917,使用レシピ!$E:$E,0)),""),"")</f>
        <v/>
      </c>
      <c r="I917" s="36" t="str">
        <f>IFERROR(IF(INDEX(使用レシピ!P:P,MATCH(テンプレート!$C917,使用レシピ!$E:$E,0))&lt;&gt;0,INDEX(使用レシピ!P:P,MATCH(テンプレート!$C917,使用レシピ!$E:$E,0)),""),"")</f>
        <v/>
      </c>
      <c r="J917" t="str">
        <f>IFERROR(IF(INDEX(使用レシピ!K:K,MATCH(テンプレート!$C917,使用レシピ!$E:$E,0))&lt;&gt;0,INDEX(使用レシピ!K:K,MATCH(テンプレート!$C917,使用レシピ!$E:$E,0)),""),"")</f>
        <v/>
      </c>
      <c r="K917" t="str">
        <f>IFERROR(IF(INDEX(使用レシピ!L:L,MATCH(テンプレート!$C917,使用レシピ!$E:$E,0))&lt;&gt;0,INDEX(使用レシピ!L:L,MATCH(テンプレート!$C917,使用レシピ!$E:$E,0)),""),"")</f>
        <v/>
      </c>
      <c r="L917" t="str">
        <f>IFERROR(IF(INDEX(使用レシピ!M:M,MATCH(テンプレート!$C917,使用レシピ!$E:$E,0))&lt;&gt;0,INDEX(使用レシピ!M:M,MATCH(テンプレート!$C917,使用レシピ!$E:$E,0)),""),"")</f>
        <v/>
      </c>
      <c r="M917" t="str">
        <f>IFERROR(IF(INDEX(使用レシピ!N:N,MATCH(テンプレート!$C917,使用レシピ!$E:$E,0))&lt;&gt;0,INDEX(使用レシピ!N:N,MATCH(テンプレート!$C917,使用レシピ!$E:$E,0)),""),"")</f>
        <v/>
      </c>
      <c r="N917" s="24" t="str">
        <f>IFERROR(IF(INDEX(使用レシピ!O:O,MATCH(テンプレート!$C917,使用レシピ!$E:$E,0))&lt;&gt;0,INDEX(使用レシピ!O:O,MATCH(テンプレート!$C917,使用レシピ!$E:$E,0)),""),"")</f>
        <v/>
      </c>
      <c r="O917" s="36" t="str">
        <f>IFERROR(IF(INDEX(使用レシピ!P:P,MATCH(テンプレート!$C917,使用レシピ!$E:$E,0))&lt;&gt;0,INDEX(使用レシピ!P:P,MATCH(テンプレート!$C917,使用レシピ!$E:$E,0)),""),"")</f>
        <v/>
      </c>
      <c r="P917" t="str">
        <f t="shared" si="71"/>
        <v/>
      </c>
      <c r="Q917" t="str">
        <f t="shared" si="72"/>
        <v/>
      </c>
      <c r="R917" t="str">
        <f t="shared" si="73"/>
        <v/>
      </c>
      <c r="S917" t="str">
        <f t="shared" si="74"/>
        <v/>
      </c>
      <c r="T917" s="24" t="str">
        <f t="shared" si="75"/>
        <v/>
      </c>
    </row>
    <row r="918" spans="2:20" x14ac:dyDescent="0.4">
      <c r="B918" s="49" t="str" cm="1">
        <f t="array" ref="B918">IFERROR((INDEX($P$4:$T$1000,MATCH(VALUE(LEFT($A918,LEN($A918)-1)),$A$4:$A$1000,0),VALUE(RIGHT($A918,1)))/ INDEX($O$4:$O$1000,MATCH(VALUE(LEFT($A918,LEN($A918)-1)),$A$4:$A$1000))) * INDEX($B$4:$B$1000,MATCH(VALUE(LEFT($A918,LEN($A918)-1)),$A$4:$A$1000)),"")</f>
        <v/>
      </c>
      <c r="C918" s="2" t="str" cm="1">
        <f t="array" ref="C918">IFERROR(IF(INDEX($D$4:$H$1000,MATCH(VALUE(LEFT($A918,LEN($A918)-1)),$A$4:$A$1000,0),VALUE(RIGHT($A918,1)))= 0,"",INDEX($D$4:$H$1000,MATCH(VALUE(LEFT($A918,LEN($A918)-1)),$A$4:$A$1000,0),VALUE(RIGHT($A918,1)))),"")</f>
        <v/>
      </c>
      <c r="D918" s="23" t="str">
        <f>IFERROR(IF(INDEX(使用レシピ!F:F,MATCH(テンプレート!$C918,使用レシピ!$E:$E,0))&lt;&gt;0,INDEX(使用レシピ!F:F,MATCH(テンプレート!$C918,使用レシピ!$E:$E,0)),""),"")</f>
        <v/>
      </c>
      <c r="E918" t="str">
        <f>IFERROR(IF(INDEX(使用レシピ!G:G,MATCH(テンプレート!$C918,使用レシピ!$E:$E,0))&lt;&gt;0,INDEX(使用レシピ!G:G,MATCH(テンプレート!$C918,使用レシピ!$E:$E,0)),""),"")</f>
        <v/>
      </c>
      <c r="F918" t="str">
        <f>IFERROR(IF(INDEX(使用レシピ!H:H,MATCH(テンプレート!$C918,使用レシピ!$E:$E,0))&lt;&gt;0,INDEX(使用レシピ!H:H,MATCH(テンプレート!$C918,使用レシピ!$E:$E,0)),""),"")</f>
        <v/>
      </c>
      <c r="G918" t="str">
        <f>IFERROR(IF(INDEX(使用レシピ!I:I,MATCH(テンプレート!$C918,使用レシピ!$E:$E,0))&lt;&gt;0,INDEX(使用レシピ!I:I,MATCH(テンプレート!$C918,使用レシピ!$E:$E,0)),""),"")</f>
        <v/>
      </c>
      <c r="H918" s="24" t="str">
        <f>IFERROR(IF(INDEX(使用レシピ!J:J,MATCH(テンプレート!$C918,使用レシピ!$E:$E,0))&lt;&gt;0,INDEX(使用レシピ!J:J,MATCH(テンプレート!$C918,使用レシピ!$E:$E,0)),""),"")</f>
        <v/>
      </c>
      <c r="I918" s="36" t="str">
        <f>IFERROR(IF(INDEX(使用レシピ!P:P,MATCH(テンプレート!$C918,使用レシピ!$E:$E,0))&lt;&gt;0,INDEX(使用レシピ!P:P,MATCH(テンプレート!$C918,使用レシピ!$E:$E,0)),""),"")</f>
        <v/>
      </c>
      <c r="J918" t="str">
        <f>IFERROR(IF(INDEX(使用レシピ!K:K,MATCH(テンプレート!$C918,使用レシピ!$E:$E,0))&lt;&gt;0,INDEX(使用レシピ!K:K,MATCH(テンプレート!$C918,使用レシピ!$E:$E,0)),""),"")</f>
        <v/>
      </c>
      <c r="K918" t="str">
        <f>IFERROR(IF(INDEX(使用レシピ!L:L,MATCH(テンプレート!$C918,使用レシピ!$E:$E,0))&lt;&gt;0,INDEX(使用レシピ!L:L,MATCH(テンプレート!$C918,使用レシピ!$E:$E,0)),""),"")</f>
        <v/>
      </c>
      <c r="L918" t="str">
        <f>IFERROR(IF(INDEX(使用レシピ!M:M,MATCH(テンプレート!$C918,使用レシピ!$E:$E,0))&lt;&gt;0,INDEX(使用レシピ!M:M,MATCH(テンプレート!$C918,使用レシピ!$E:$E,0)),""),"")</f>
        <v/>
      </c>
      <c r="M918" t="str">
        <f>IFERROR(IF(INDEX(使用レシピ!N:N,MATCH(テンプレート!$C918,使用レシピ!$E:$E,0))&lt;&gt;0,INDEX(使用レシピ!N:N,MATCH(テンプレート!$C918,使用レシピ!$E:$E,0)),""),"")</f>
        <v/>
      </c>
      <c r="N918" s="24" t="str">
        <f>IFERROR(IF(INDEX(使用レシピ!O:O,MATCH(テンプレート!$C918,使用レシピ!$E:$E,0))&lt;&gt;0,INDEX(使用レシピ!O:O,MATCH(テンプレート!$C918,使用レシピ!$E:$E,0)),""),"")</f>
        <v/>
      </c>
      <c r="O918" s="36" t="str">
        <f>IFERROR(IF(INDEX(使用レシピ!P:P,MATCH(テンプレート!$C918,使用レシピ!$E:$E,0))&lt;&gt;0,INDEX(使用レシピ!P:P,MATCH(テンプレート!$C918,使用レシピ!$E:$E,0)),""),"")</f>
        <v/>
      </c>
      <c r="P918" t="str">
        <f t="shared" si="71"/>
        <v/>
      </c>
      <c r="Q918" t="str">
        <f t="shared" si="72"/>
        <v/>
      </c>
      <c r="R918" t="str">
        <f t="shared" si="73"/>
        <v/>
      </c>
      <c r="S918" t="str">
        <f t="shared" si="74"/>
        <v/>
      </c>
      <c r="T918" s="24" t="str">
        <f t="shared" si="75"/>
        <v/>
      </c>
    </row>
    <row r="919" spans="2:20" x14ac:dyDescent="0.4">
      <c r="B919" s="49" t="str" cm="1">
        <f t="array" ref="B919">IFERROR((INDEX($P$4:$T$1000,MATCH(VALUE(LEFT($A919,LEN($A919)-1)),$A$4:$A$1000,0),VALUE(RIGHT($A919,1)))/ INDEX($O$4:$O$1000,MATCH(VALUE(LEFT($A919,LEN($A919)-1)),$A$4:$A$1000))) * INDEX($B$4:$B$1000,MATCH(VALUE(LEFT($A919,LEN($A919)-1)),$A$4:$A$1000)),"")</f>
        <v/>
      </c>
      <c r="C919" s="2" t="str" cm="1">
        <f t="array" ref="C919">IFERROR(IF(INDEX($D$4:$H$1000,MATCH(VALUE(LEFT($A919,LEN($A919)-1)),$A$4:$A$1000,0),VALUE(RIGHT($A919,1)))= 0,"",INDEX($D$4:$H$1000,MATCH(VALUE(LEFT($A919,LEN($A919)-1)),$A$4:$A$1000,0),VALUE(RIGHT($A919,1)))),"")</f>
        <v/>
      </c>
      <c r="D919" s="23" t="str">
        <f>IFERROR(IF(INDEX(使用レシピ!F:F,MATCH(テンプレート!$C919,使用レシピ!$E:$E,0))&lt;&gt;0,INDEX(使用レシピ!F:F,MATCH(テンプレート!$C919,使用レシピ!$E:$E,0)),""),"")</f>
        <v/>
      </c>
      <c r="E919" t="str">
        <f>IFERROR(IF(INDEX(使用レシピ!G:G,MATCH(テンプレート!$C919,使用レシピ!$E:$E,0))&lt;&gt;0,INDEX(使用レシピ!G:G,MATCH(テンプレート!$C919,使用レシピ!$E:$E,0)),""),"")</f>
        <v/>
      </c>
      <c r="F919" t="str">
        <f>IFERROR(IF(INDEX(使用レシピ!H:H,MATCH(テンプレート!$C919,使用レシピ!$E:$E,0))&lt;&gt;0,INDEX(使用レシピ!H:H,MATCH(テンプレート!$C919,使用レシピ!$E:$E,0)),""),"")</f>
        <v/>
      </c>
      <c r="G919" t="str">
        <f>IFERROR(IF(INDEX(使用レシピ!I:I,MATCH(テンプレート!$C919,使用レシピ!$E:$E,0))&lt;&gt;0,INDEX(使用レシピ!I:I,MATCH(テンプレート!$C919,使用レシピ!$E:$E,0)),""),"")</f>
        <v/>
      </c>
      <c r="H919" s="24" t="str">
        <f>IFERROR(IF(INDEX(使用レシピ!J:J,MATCH(テンプレート!$C919,使用レシピ!$E:$E,0))&lt;&gt;0,INDEX(使用レシピ!J:J,MATCH(テンプレート!$C919,使用レシピ!$E:$E,0)),""),"")</f>
        <v/>
      </c>
      <c r="I919" s="36" t="str">
        <f>IFERROR(IF(INDEX(使用レシピ!P:P,MATCH(テンプレート!$C919,使用レシピ!$E:$E,0))&lt;&gt;0,INDEX(使用レシピ!P:P,MATCH(テンプレート!$C919,使用レシピ!$E:$E,0)),""),"")</f>
        <v/>
      </c>
      <c r="J919" t="str">
        <f>IFERROR(IF(INDEX(使用レシピ!K:K,MATCH(テンプレート!$C919,使用レシピ!$E:$E,0))&lt;&gt;0,INDEX(使用レシピ!K:K,MATCH(テンプレート!$C919,使用レシピ!$E:$E,0)),""),"")</f>
        <v/>
      </c>
      <c r="K919" t="str">
        <f>IFERROR(IF(INDEX(使用レシピ!L:L,MATCH(テンプレート!$C919,使用レシピ!$E:$E,0))&lt;&gt;0,INDEX(使用レシピ!L:L,MATCH(テンプレート!$C919,使用レシピ!$E:$E,0)),""),"")</f>
        <v/>
      </c>
      <c r="L919" t="str">
        <f>IFERROR(IF(INDEX(使用レシピ!M:M,MATCH(テンプレート!$C919,使用レシピ!$E:$E,0))&lt;&gt;0,INDEX(使用レシピ!M:M,MATCH(テンプレート!$C919,使用レシピ!$E:$E,0)),""),"")</f>
        <v/>
      </c>
      <c r="M919" t="str">
        <f>IFERROR(IF(INDEX(使用レシピ!N:N,MATCH(テンプレート!$C919,使用レシピ!$E:$E,0))&lt;&gt;0,INDEX(使用レシピ!N:N,MATCH(テンプレート!$C919,使用レシピ!$E:$E,0)),""),"")</f>
        <v/>
      </c>
      <c r="N919" s="24" t="str">
        <f>IFERROR(IF(INDEX(使用レシピ!O:O,MATCH(テンプレート!$C919,使用レシピ!$E:$E,0))&lt;&gt;0,INDEX(使用レシピ!O:O,MATCH(テンプレート!$C919,使用レシピ!$E:$E,0)),""),"")</f>
        <v/>
      </c>
      <c r="O919" s="36" t="str">
        <f>IFERROR(IF(INDEX(使用レシピ!P:P,MATCH(テンプレート!$C919,使用レシピ!$E:$E,0))&lt;&gt;0,INDEX(使用レシピ!P:P,MATCH(テンプレート!$C919,使用レシピ!$E:$E,0)),""),"")</f>
        <v/>
      </c>
      <c r="P919" t="str">
        <f t="shared" si="71"/>
        <v/>
      </c>
      <c r="Q919" t="str">
        <f t="shared" si="72"/>
        <v/>
      </c>
      <c r="R919" t="str">
        <f t="shared" si="73"/>
        <v/>
      </c>
      <c r="S919" t="str">
        <f t="shared" si="74"/>
        <v/>
      </c>
      <c r="T919" s="24" t="str">
        <f t="shared" si="75"/>
        <v/>
      </c>
    </row>
    <row r="920" spans="2:20" x14ac:dyDescent="0.4">
      <c r="B920" s="49" t="str" cm="1">
        <f t="array" ref="B920">IFERROR((INDEX($P$4:$T$1000,MATCH(VALUE(LEFT($A920,LEN($A920)-1)),$A$4:$A$1000,0),VALUE(RIGHT($A920,1)))/ INDEX($O$4:$O$1000,MATCH(VALUE(LEFT($A920,LEN($A920)-1)),$A$4:$A$1000))) * INDEX($B$4:$B$1000,MATCH(VALUE(LEFT($A920,LEN($A920)-1)),$A$4:$A$1000)),"")</f>
        <v/>
      </c>
      <c r="C920" s="2" t="str" cm="1">
        <f t="array" ref="C920">IFERROR(IF(INDEX($D$4:$H$1000,MATCH(VALUE(LEFT($A920,LEN($A920)-1)),$A$4:$A$1000,0),VALUE(RIGHT($A920,1)))= 0,"",INDEX($D$4:$H$1000,MATCH(VALUE(LEFT($A920,LEN($A920)-1)),$A$4:$A$1000,0),VALUE(RIGHT($A920,1)))),"")</f>
        <v/>
      </c>
      <c r="D920" s="23" t="str">
        <f>IFERROR(IF(INDEX(使用レシピ!F:F,MATCH(テンプレート!$C920,使用レシピ!$E:$E,0))&lt;&gt;0,INDEX(使用レシピ!F:F,MATCH(テンプレート!$C920,使用レシピ!$E:$E,0)),""),"")</f>
        <v/>
      </c>
      <c r="E920" t="str">
        <f>IFERROR(IF(INDEX(使用レシピ!G:G,MATCH(テンプレート!$C920,使用レシピ!$E:$E,0))&lt;&gt;0,INDEX(使用レシピ!G:G,MATCH(テンプレート!$C920,使用レシピ!$E:$E,0)),""),"")</f>
        <v/>
      </c>
      <c r="F920" t="str">
        <f>IFERROR(IF(INDEX(使用レシピ!H:H,MATCH(テンプレート!$C920,使用レシピ!$E:$E,0))&lt;&gt;0,INDEX(使用レシピ!H:H,MATCH(テンプレート!$C920,使用レシピ!$E:$E,0)),""),"")</f>
        <v/>
      </c>
      <c r="G920" t="str">
        <f>IFERROR(IF(INDEX(使用レシピ!I:I,MATCH(テンプレート!$C920,使用レシピ!$E:$E,0))&lt;&gt;0,INDEX(使用レシピ!I:I,MATCH(テンプレート!$C920,使用レシピ!$E:$E,0)),""),"")</f>
        <v/>
      </c>
      <c r="H920" s="24" t="str">
        <f>IFERROR(IF(INDEX(使用レシピ!J:J,MATCH(テンプレート!$C920,使用レシピ!$E:$E,0))&lt;&gt;0,INDEX(使用レシピ!J:J,MATCH(テンプレート!$C920,使用レシピ!$E:$E,0)),""),"")</f>
        <v/>
      </c>
      <c r="I920" s="36" t="str">
        <f>IFERROR(IF(INDEX(使用レシピ!P:P,MATCH(テンプレート!$C920,使用レシピ!$E:$E,0))&lt;&gt;0,INDEX(使用レシピ!P:P,MATCH(テンプレート!$C920,使用レシピ!$E:$E,0)),""),"")</f>
        <v/>
      </c>
      <c r="J920" t="str">
        <f>IFERROR(IF(INDEX(使用レシピ!K:K,MATCH(テンプレート!$C920,使用レシピ!$E:$E,0))&lt;&gt;0,INDEX(使用レシピ!K:K,MATCH(テンプレート!$C920,使用レシピ!$E:$E,0)),""),"")</f>
        <v/>
      </c>
      <c r="K920" t="str">
        <f>IFERROR(IF(INDEX(使用レシピ!L:L,MATCH(テンプレート!$C920,使用レシピ!$E:$E,0))&lt;&gt;0,INDEX(使用レシピ!L:L,MATCH(テンプレート!$C920,使用レシピ!$E:$E,0)),""),"")</f>
        <v/>
      </c>
      <c r="L920" t="str">
        <f>IFERROR(IF(INDEX(使用レシピ!M:M,MATCH(テンプレート!$C920,使用レシピ!$E:$E,0))&lt;&gt;0,INDEX(使用レシピ!M:M,MATCH(テンプレート!$C920,使用レシピ!$E:$E,0)),""),"")</f>
        <v/>
      </c>
      <c r="M920" t="str">
        <f>IFERROR(IF(INDEX(使用レシピ!N:N,MATCH(テンプレート!$C920,使用レシピ!$E:$E,0))&lt;&gt;0,INDEX(使用レシピ!N:N,MATCH(テンプレート!$C920,使用レシピ!$E:$E,0)),""),"")</f>
        <v/>
      </c>
      <c r="N920" s="24" t="str">
        <f>IFERROR(IF(INDEX(使用レシピ!O:O,MATCH(テンプレート!$C920,使用レシピ!$E:$E,0))&lt;&gt;0,INDEX(使用レシピ!O:O,MATCH(テンプレート!$C920,使用レシピ!$E:$E,0)),""),"")</f>
        <v/>
      </c>
      <c r="O920" s="36" t="str">
        <f>IFERROR(IF(INDEX(使用レシピ!P:P,MATCH(テンプレート!$C920,使用レシピ!$E:$E,0))&lt;&gt;0,INDEX(使用レシピ!P:P,MATCH(テンプレート!$C920,使用レシピ!$E:$E,0)),""),"")</f>
        <v/>
      </c>
      <c r="P920" t="str">
        <f t="shared" si="71"/>
        <v/>
      </c>
      <c r="Q920" t="str">
        <f t="shared" si="72"/>
        <v/>
      </c>
      <c r="R920" t="str">
        <f t="shared" si="73"/>
        <v/>
      </c>
      <c r="S920" t="str">
        <f t="shared" si="74"/>
        <v/>
      </c>
      <c r="T920" s="24" t="str">
        <f t="shared" si="75"/>
        <v/>
      </c>
    </row>
    <row r="921" spans="2:20" x14ac:dyDescent="0.4">
      <c r="B921" s="49" t="str" cm="1">
        <f t="array" ref="B921">IFERROR((INDEX($P$4:$T$1000,MATCH(VALUE(LEFT($A921,LEN($A921)-1)),$A$4:$A$1000,0),VALUE(RIGHT($A921,1)))/ INDEX($O$4:$O$1000,MATCH(VALUE(LEFT($A921,LEN($A921)-1)),$A$4:$A$1000))) * INDEX($B$4:$B$1000,MATCH(VALUE(LEFT($A921,LEN($A921)-1)),$A$4:$A$1000)),"")</f>
        <v/>
      </c>
      <c r="C921" s="2" t="str" cm="1">
        <f t="array" ref="C921">IFERROR(IF(INDEX($D$4:$H$1000,MATCH(VALUE(LEFT($A921,LEN($A921)-1)),$A$4:$A$1000,0),VALUE(RIGHT($A921,1)))= 0,"",INDEX($D$4:$H$1000,MATCH(VALUE(LEFT($A921,LEN($A921)-1)),$A$4:$A$1000,0),VALUE(RIGHT($A921,1)))),"")</f>
        <v/>
      </c>
      <c r="D921" s="23" t="str">
        <f>IFERROR(IF(INDEX(使用レシピ!F:F,MATCH(テンプレート!$C921,使用レシピ!$E:$E,0))&lt;&gt;0,INDEX(使用レシピ!F:F,MATCH(テンプレート!$C921,使用レシピ!$E:$E,0)),""),"")</f>
        <v/>
      </c>
      <c r="E921" t="str">
        <f>IFERROR(IF(INDEX(使用レシピ!G:G,MATCH(テンプレート!$C921,使用レシピ!$E:$E,0))&lt;&gt;0,INDEX(使用レシピ!G:G,MATCH(テンプレート!$C921,使用レシピ!$E:$E,0)),""),"")</f>
        <v/>
      </c>
      <c r="F921" t="str">
        <f>IFERROR(IF(INDEX(使用レシピ!H:H,MATCH(テンプレート!$C921,使用レシピ!$E:$E,0))&lt;&gt;0,INDEX(使用レシピ!H:H,MATCH(テンプレート!$C921,使用レシピ!$E:$E,0)),""),"")</f>
        <v/>
      </c>
      <c r="G921" t="str">
        <f>IFERROR(IF(INDEX(使用レシピ!I:I,MATCH(テンプレート!$C921,使用レシピ!$E:$E,0))&lt;&gt;0,INDEX(使用レシピ!I:I,MATCH(テンプレート!$C921,使用レシピ!$E:$E,0)),""),"")</f>
        <v/>
      </c>
      <c r="H921" s="24" t="str">
        <f>IFERROR(IF(INDEX(使用レシピ!J:J,MATCH(テンプレート!$C921,使用レシピ!$E:$E,0))&lt;&gt;0,INDEX(使用レシピ!J:J,MATCH(テンプレート!$C921,使用レシピ!$E:$E,0)),""),"")</f>
        <v/>
      </c>
      <c r="I921" s="36" t="str">
        <f>IFERROR(IF(INDEX(使用レシピ!P:P,MATCH(テンプレート!$C921,使用レシピ!$E:$E,0))&lt;&gt;0,INDEX(使用レシピ!P:P,MATCH(テンプレート!$C921,使用レシピ!$E:$E,0)),""),"")</f>
        <v/>
      </c>
      <c r="J921" t="str">
        <f>IFERROR(IF(INDEX(使用レシピ!K:K,MATCH(テンプレート!$C921,使用レシピ!$E:$E,0))&lt;&gt;0,INDEX(使用レシピ!K:K,MATCH(テンプレート!$C921,使用レシピ!$E:$E,0)),""),"")</f>
        <v/>
      </c>
      <c r="K921" t="str">
        <f>IFERROR(IF(INDEX(使用レシピ!L:L,MATCH(テンプレート!$C921,使用レシピ!$E:$E,0))&lt;&gt;0,INDEX(使用レシピ!L:L,MATCH(テンプレート!$C921,使用レシピ!$E:$E,0)),""),"")</f>
        <v/>
      </c>
      <c r="L921" t="str">
        <f>IFERROR(IF(INDEX(使用レシピ!M:M,MATCH(テンプレート!$C921,使用レシピ!$E:$E,0))&lt;&gt;0,INDEX(使用レシピ!M:M,MATCH(テンプレート!$C921,使用レシピ!$E:$E,0)),""),"")</f>
        <v/>
      </c>
      <c r="M921" t="str">
        <f>IFERROR(IF(INDEX(使用レシピ!N:N,MATCH(テンプレート!$C921,使用レシピ!$E:$E,0))&lt;&gt;0,INDEX(使用レシピ!N:N,MATCH(テンプレート!$C921,使用レシピ!$E:$E,0)),""),"")</f>
        <v/>
      </c>
      <c r="N921" s="24" t="str">
        <f>IFERROR(IF(INDEX(使用レシピ!O:O,MATCH(テンプレート!$C921,使用レシピ!$E:$E,0))&lt;&gt;0,INDEX(使用レシピ!O:O,MATCH(テンプレート!$C921,使用レシピ!$E:$E,0)),""),"")</f>
        <v/>
      </c>
      <c r="O921" s="36" t="str">
        <f>IFERROR(IF(INDEX(使用レシピ!P:P,MATCH(テンプレート!$C921,使用レシピ!$E:$E,0))&lt;&gt;0,INDEX(使用レシピ!P:P,MATCH(テンプレート!$C921,使用レシピ!$E:$E,0)),""),"")</f>
        <v/>
      </c>
      <c r="P921" t="str">
        <f t="shared" si="71"/>
        <v/>
      </c>
      <c r="Q921" t="str">
        <f t="shared" si="72"/>
        <v/>
      </c>
      <c r="R921" t="str">
        <f t="shared" si="73"/>
        <v/>
      </c>
      <c r="S921" t="str">
        <f t="shared" si="74"/>
        <v/>
      </c>
      <c r="T921" s="24" t="str">
        <f t="shared" si="75"/>
        <v/>
      </c>
    </row>
    <row r="922" spans="2:20" x14ac:dyDescent="0.4">
      <c r="B922" s="49" t="str" cm="1">
        <f t="array" ref="B922">IFERROR((INDEX($P$4:$T$1000,MATCH(VALUE(LEFT($A922,LEN($A922)-1)),$A$4:$A$1000,0),VALUE(RIGHT($A922,1)))/ INDEX($O$4:$O$1000,MATCH(VALUE(LEFT($A922,LEN($A922)-1)),$A$4:$A$1000))) * INDEX($B$4:$B$1000,MATCH(VALUE(LEFT($A922,LEN($A922)-1)),$A$4:$A$1000)),"")</f>
        <v/>
      </c>
      <c r="C922" s="2" t="str" cm="1">
        <f t="array" ref="C922">IFERROR(IF(INDEX($D$4:$H$1000,MATCH(VALUE(LEFT($A922,LEN($A922)-1)),$A$4:$A$1000,0),VALUE(RIGHT($A922,1)))= 0,"",INDEX($D$4:$H$1000,MATCH(VALUE(LEFT($A922,LEN($A922)-1)),$A$4:$A$1000,0),VALUE(RIGHT($A922,1)))),"")</f>
        <v/>
      </c>
      <c r="D922" s="23" t="str">
        <f>IFERROR(IF(INDEX(使用レシピ!F:F,MATCH(テンプレート!$C922,使用レシピ!$E:$E,0))&lt;&gt;0,INDEX(使用レシピ!F:F,MATCH(テンプレート!$C922,使用レシピ!$E:$E,0)),""),"")</f>
        <v/>
      </c>
      <c r="E922" t="str">
        <f>IFERROR(IF(INDEX(使用レシピ!G:G,MATCH(テンプレート!$C922,使用レシピ!$E:$E,0))&lt;&gt;0,INDEX(使用レシピ!G:G,MATCH(テンプレート!$C922,使用レシピ!$E:$E,0)),""),"")</f>
        <v/>
      </c>
      <c r="F922" t="str">
        <f>IFERROR(IF(INDEX(使用レシピ!H:H,MATCH(テンプレート!$C922,使用レシピ!$E:$E,0))&lt;&gt;0,INDEX(使用レシピ!H:H,MATCH(テンプレート!$C922,使用レシピ!$E:$E,0)),""),"")</f>
        <v/>
      </c>
      <c r="G922" t="str">
        <f>IFERROR(IF(INDEX(使用レシピ!I:I,MATCH(テンプレート!$C922,使用レシピ!$E:$E,0))&lt;&gt;0,INDEX(使用レシピ!I:I,MATCH(テンプレート!$C922,使用レシピ!$E:$E,0)),""),"")</f>
        <v/>
      </c>
      <c r="H922" s="24" t="str">
        <f>IFERROR(IF(INDEX(使用レシピ!J:J,MATCH(テンプレート!$C922,使用レシピ!$E:$E,0))&lt;&gt;0,INDEX(使用レシピ!J:J,MATCH(テンプレート!$C922,使用レシピ!$E:$E,0)),""),"")</f>
        <v/>
      </c>
      <c r="I922" s="36" t="str">
        <f>IFERROR(IF(INDEX(使用レシピ!P:P,MATCH(テンプレート!$C922,使用レシピ!$E:$E,0))&lt;&gt;0,INDEX(使用レシピ!P:P,MATCH(テンプレート!$C922,使用レシピ!$E:$E,0)),""),"")</f>
        <v/>
      </c>
      <c r="J922" t="str">
        <f>IFERROR(IF(INDEX(使用レシピ!K:K,MATCH(テンプレート!$C922,使用レシピ!$E:$E,0))&lt;&gt;0,INDEX(使用レシピ!K:K,MATCH(テンプレート!$C922,使用レシピ!$E:$E,0)),""),"")</f>
        <v/>
      </c>
      <c r="K922" t="str">
        <f>IFERROR(IF(INDEX(使用レシピ!L:L,MATCH(テンプレート!$C922,使用レシピ!$E:$E,0))&lt;&gt;0,INDEX(使用レシピ!L:L,MATCH(テンプレート!$C922,使用レシピ!$E:$E,0)),""),"")</f>
        <v/>
      </c>
      <c r="L922" t="str">
        <f>IFERROR(IF(INDEX(使用レシピ!M:M,MATCH(テンプレート!$C922,使用レシピ!$E:$E,0))&lt;&gt;0,INDEX(使用レシピ!M:M,MATCH(テンプレート!$C922,使用レシピ!$E:$E,0)),""),"")</f>
        <v/>
      </c>
      <c r="M922" t="str">
        <f>IFERROR(IF(INDEX(使用レシピ!N:N,MATCH(テンプレート!$C922,使用レシピ!$E:$E,0))&lt;&gt;0,INDEX(使用レシピ!N:N,MATCH(テンプレート!$C922,使用レシピ!$E:$E,0)),""),"")</f>
        <v/>
      </c>
      <c r="N922" s="24" t="str">
        <f>IFERROR(IF(INDEX(使用レシピ!O:O,MATCH(テンプレート!$C922,使用レシピ!$E:$E,0))&lt;&gt;0,INDEX(使用レシピ!O:O,MATCH(テンプレート!$C922,使用レシピ!$E:$E,0)),""),"")</f>
        <v/>
      </c>
      <c r="O922" s="36" t="str">
        <f>IFERROR(IF(INDEX(使用レシピ!P:P,MATCH(テンプレート!$C922,使用レシピ!$E:$E,0))&lt;&gt;0,INDEX(使用レシピ!P:P,MATCH(テンプレート!$C922,使用レシピ!$E:$E,0)),""),"")</f>
        <v/>
      </c>
      <c r="P922" t="str">
        <f t="shared" si="71"/>
        <v/>
      </c>
      <c r="Q922" t="str">
        <f t="shared" si="72"/>
        <v/>
      </c>
      <c r="R922" t="str">
        <f t="shared" si="73"/>
        <v/>
      </c>
      <c r="S922" t="str">
        <f t="shared" si="74"/>
        <v/>
      </c>
      <c r="T922" s="24" t="str">
        <f t="shared" si="75"/>
        <v/>
      </c>
    </row>
    <row r="923" spans="2:20" x14ac:dyDescent="0.4">
      <c r="B923" s="49" t="str" cm="1">
        <f t="array" ref="B923">IFERROR((INDEX($P$4:$T$1000,MATCH(VALUE(LEFT($A923,LEN($A923)-1)),$A$4:$A$1000,0),VALUE(RIGHT($A923,1)))/ INDEX($O$4:$O$1000,MATCH(VALUE(LEFT($A923,LEN($A923)-1)),$A$4:$A$1000))) * INDEX($B$4:$B$1000,MATCH(VALUE(LEFT($A923,LEN($A923)-1)),$A$4:$A$1000)),"")</f>
        <v/>
      </c>
      <c r="C923" s="2" t="str" cm="1">
        <f t="array" ref="C923">IFERROR(IF(INDEX($D$4:$H$1000,MATCH(VALUE(LEFT($A923,LEN($A923)-1)),$A$4:$A$1000,0),VALUE(RIGHT($A923,1)))= 0,"",INDEX($D$4:$H$1000,MATCH(VALUE(LEFT($A923,LEN($A923)-1)),$A$4:$A$1000,0),VALUE(RIGHT($A923,1)))),"")</f>
        <v/>
      </c>
      <c r="D923" s="23" t="str">
        <f>IFERROR(IF(INDEX(使用レシピ!F:F,MATCH(テンプレート!$C923,使用レシピ!$E:$E,0))&lt;&gt;0,INDEX(使用レシピ!F:F,MATCH(テンプレート!$C923,使用レシピ!$E:$E,0)),""),"")</f>
        <v/>
      </c>
      <c r="E923" t="str">
        <f>IFERROR(IF(INDEX(使用レシピ!G:G,MATCH(テンプレート!$C923,使用レシピ!$E:$E,0))&lt;&gt;0,INDEX(使用レシピ!G:G,MATCH(テンプレート!$C923,使用レシピ!$E:$E,0)),""),"")</f>
        <v/>
      </c>
      <c r="F923" t="str">
        <f>IFERROR(IF(INDEX(使用レシピ!H:H,MATCH(テンプレート!$C923,使用レシピ!$E:$E,0))&lt;&gt;0,INDEX(使用レシピ!H:H,MATCH(テンプレート!$C923,使用レシピ!$E:$E,0)),""),"")</f>
        <v/>
      </c>
      <c r="G923" t="str">
        <f>IFERROR(IF(INDEX(使用レシピ!I:I,MATCH(テンプレート!$C923,使用レシピ!$E:$E,0))&lt;&gt;0,INDEX(使用レシピ!I:I,MATCH(テンプレート!$C923,使用レシピ!$E:$E,0)),""),"")</f>
        <v/>
      </c>
      <c r="H923" s="24" t="str">
        <f>IFERROR(IF(INDEX(使用レシピ!J:J,MATCH(テンプレート!$C923,使用レシピ!$E:$E,0))&lt;&gt;0,INDEX(使用レシピ!J:J,MATCH(テンプレート!$C923,使用レシピ!$E:$E,0)),""),"")</f>
        <v/>
      </c>
      <c r="I923" s="36" t="str">
        <f>IFERROR(IF(INDEX(使用レシピ!P:P,MATCH(テンプレート!$C923,使用レシピ!$E:$E,0))&lt;&gt;0,INDEX(使用レシピ!P:P,MATCH(テンプレート!$C923,使用レシピ!$E:$E,0)),""),"")</f>
        <v/>
      </c>
      <c r="J923" t="str">
        <f>IFERROR(IF(INDEX(使用レシピ!K:K,MATCH(テンプレート!$C923,使用レシピ!$E:$E,0))&lt;&gt;0,INDEX(使用レシピ!K:K,MATCH(テンプレート!$C923,使用レシピ!$E:$E,0)),""),"")</f>
        <v/>
      </c>
      <c r="K923" t="str">
        <f>IFERROR(IF(INDEX(使用レシピ!L:L,MATCH(テンプレート!$C923,使用レシピ!$E:$E,0))&lt;&gt;0,INDEX(使用レシピ!L:L,MATCH(テンプレート!$C923,使用レシピ!$E:$E,0)),""),"")</f>
        <v/>
      </c>
      <c r="L923" t="str">
        <f>IFERROR(IF(INDEX(使用レシピ!M:M,MATCH(テンプレート!$C923,使用レシピ!$E:$E,0))&lt;&gt;0,INDEX(使用レシピ!M:M,MATCH(テンプレート!$C923,使用レシピ!$E:$E,0)),""),"")</f>
        <v/>
      </c>
      <c r="M923" t="str">
        <f>IFERROR(IF(INDEX(使用レシピ!N:N,MATCH(テンプレート!$C923,使用レシピ!$E:$E,0))&lt;&gt;0,INDEX(使用レシピ!N:N,MATCH(テンプレート!$C923,使用レシピ!$E:$E,0)),""),"")</f>
        <v/>
      </c>
      <c r="N923" s="24" t="str">
        <f>IFERROR(IF(INDEX(使用レシピ!O:O,MATCH(テンプレート!$C923,使用レシピ!$E:$E,0))&lt;&gt;0,INDEX(使用レシピ!O:O,MATCH(テンプレート!$C923,使用レシピ!$E:$E,0)),""),"")</f>
        <v/>
      </c>
      <c r="O923" s="36" t="str">
        <f>IFERROR(IF(INDEX(使用レシピ!P:P,MATCH(テンプレート!$C923,使用レシピ!$E:$E,0))&lt;&gt;0,INDEX(使用レシピ!P:P,MATCH(テンプレート!$C923,使用レシピ!$E:$E,0)),""),"")</f>
        <v/>
      </c>
      <c r="P923" t="str">
        <f t="shared" si="71"/>
        <v/>
      </c>
      <c r="Q923" t="str">
        <f t="shared" si="72"/>
        <v/>
      </c>
      <c r="R923" t="str">
        <f t="shared" si="73"/>
        <v/>
      </c>
      <c r="S923" t="str">
        <f t="shared" si="74"/>
        <v/>
      </c>
      <c r="T923" s="24" t="str">
        <f t="shared" si="75"/>
        <v/>
      </c>
    </row>
    <row r="924" spans="2:20" x14ac:dyDescent="0.4">
      <c r="B924" s="49" t="str" cm="1">
        <f t="array" ref="B924">IFERROR((INDEX($P$4:$T$1000,MATCH(VALUE(LEFT($A924,LEN($A924)-1)),$A$4:$A$1000,0),VALUE(RIGHT($A924,1)))/ INDEX($O$4:$O$1000,MATCH(VALUE(LEFT($A924,LEN($A924)-1)),$A$4:$A$1000))) * INDEX($B$4:$B$1000,MATCH(VALUE(LEFT($A924,LEN($A924)-1)),$A$4:$A$1000)),"")</f>
        <v/>
      </c>
      <c r="C924" s="2" t="str" cm="1">
        <f t="array" ref="C924">IFERROR(IF(INDEX($D$4:$H$1000,MATCH(VALUE(LEFT($A924,LEN($A924)-1)),$A$4:$A$1000,0),VALUE(RIGHT($A924,1)))= 0,"",INDEX($D$4:$H$1000,MATCH(VALUE(LEFT($A924,LEN($A924)-1)),$A$4:$A$1000,0),VALUE(RIGHT($A924,1)))),"")</f>
        <v/>
      </c>
      <c r="D924" s="23" t="str">
        <f>IFERROR(IF(INDEX(使用レシピ!F:F,MATCH(テンプレート!$C924,使用レシピ!$E:$E,0))&lt;&gt;0,INDEX(使用レシピ!F:F,MATCH(テンプレート!$C924,使用レシピ!$E:$E,0)),""),"")</f>
        <v/>
      </c>
      <c r="E924" t="str">
        <f>IFERROR(IF(INDEX(使用レシピ!G:G,MATCH(テンプレート!$C924,使用レシピ!$E:$E,0))&lt;&gt;0,INDEX(使用レシピ!G:G,MATCH(テンプレート!$C924,使用レシピ!$E:$E,0)),""),"")</f>
        <v/>
      </c>
      <c r="F924" t="str">
        <f>IFERROR(IF(INDEX(使用レシピ!H:H,MATCH(テンプレート!$C924,使用レシピ!$E:$E,0))&lt;&gt;0,INDEX(使用レシピ!H:H,MATCH(テンプレート!$C924,使用レシピ!$E:$E,0)),""),"")</f>
        <v/>
      </c>
      <c r="G924" t="str">
        <f>IFERROR(IF(INDEX(使用レシピ!I:I,MATCH(テンプレート!$C924,使用レシピ!$E:$E,0))&lt;&gt;0,INDEX(使用レシピ!I:I,MATCH(テンプレート!$C924,使用レシピ!$E:$E,0)),""),"")</f>
        <v/>
      </c>
      <c r="H924" s="24" t="str">
        <f>IFERROR(IF(INDEX(使用レシピ!J:J,MATCH(テンプレート!$C924,使用レシピ!$E:$E,0))&lt;&gt;0,INDEX(使用レシピ!J:J,MATCH(テンプレート!$C924,使用レシピ!$E:$E,0)),""),"")</f>
        <v/>
      </c>
      <c r="I924" s="36" t="str">
        <f>IFERROR(IF(INDEX(使用レシピ!P:P,MATCH(テンプレート!$C924,使用レシピ!$E:$E,0))&lt;&gt;0,INDEX(使用レシピ!P:P,MATCH(テンプレート!$C924,使用レシピ!$E:$E,0)),""),"")</f>
        <v/>
      </c>
      <c r="J924" t="str">
        <f>IFERROR(IF(INDEX(使用レシピ!K:K,MATCH(テンプレート!$C924,使用レシピ!$E:$E,0))&lt;&gt;0,INDEX(使用レシピ!K:K,MATCH(テンプレート!$C924,使用レシピ!$E:$E,0)),""),"")</f>
        <v/>
      </c>
      <c r="K924" t="str">
        <f>IFERROR(IF(INDEX(使用レシピ!L:L,MATCH(テンプレート!$C924,使用レシピ!$E:$E,0))&lt;&gt;0,INDEX(使用レシピ!L:L,MATCH(テンプレート!$C924,使用レシピ!$E:$E,0)),""),"")</f>
        <v/>
      </c>
      <c r="L924" t="str">
        <f>IFERROR(IF(INDEX(使用レシピ!M:M,MATCH(テンプレート!$C924,使用レシピ!$E:$E,0))&lt;&gt;0,INDEX(使用レシピ!M:M,MATCH(テンプレート!$C924,使用レシピ!$E:$E,0)),""),"")</f>
        <v/>
      </c>
      <c r="M924" t="str">
        <f>IFERROR(IF(INDEX(使用レシピ!N:N,MATCH(テンプレート!$C924,使用レシピ!$E:$E,0))&lt;&gt;0,INDEX(使用レシピ!N:N,MATCH(テンプレート!$C924,使用レシピ!$E:$E,0)),""),"")</f>
        <v/>
      </c>
      <c r="N924" s="24" t="str">
        <f>IFERROR(IF(INDEX(使用レシピ!O:O,MATCH(テンプレート!$C924,使用レシピ!$E:$E,0))&lt;&gt;0,INDEX(使用レシピ!O:O,MATCH(テンプレート!$C924,使用レシピ!$E:$E,0)),""),"")</f>
        <v/>
      </c>
      <c r="O924" s="36" t="str">
        <f>IFERROR(IF(INDEX(使用レシピ!P:P,MATCH(テンプレート!$C924,使用レシピ!$E:$E,0))&lt;&gt;0,INDEX(使用レシピ!P:P,MATCH(テンプレート!$C924,使用レシピ!$E:$E,0)),""),"")</f>
        <v/>
      </c>
      <c r="P924" t="str">
        <f t="shared" si="71"/>
        <v/>
      </c>
      <c r="Q924" t="str">
        <f t="shared" si="72"/>
        <v/>
      </c>
      <c r="R924" t="str">
        <f t="shared" si="73"/>
        <v/>
      </c>
      <c r="S924" t="str">
        <f t="shared" si="74"/>
        <v/>
      </c>
      <c r="T924" s="24" t="str">
        <f t="shared" si="75"/>
        <v/>
      </c>
    </row>
    <row r="925" spans="2:20" x14ac:dyDescent="0.4">
      <c r="B925" s="49" t="str" cm="1">
        <f t="array" ref="B925">IFERROR((INDEX($P$4:$T$1000,MATCH(VALUE(LEFT($A925,LEN($A925)-1)),$A$4:$A$1000,0),VALUE(RIGHT($A925,1)))/ INDEX($O$4:$O$1000,MATCH(VALUE(LEFT($A925,LEN($A925)-1)),$A$4:$A$1000))) * INDEX($B$4:$B$1000,MATCH(VALUE(LEFT($A925,LEN($A925)-1)),$A$4:$A$1000)),"")</f>
        <v/>
      </c>
      <c r="C925" s="2" t="str" cm="1">
        <f t="array" ref="C925">IFERROR(IF(INDEX($D$4:$H$1000,MATCH(VALUE(LEFT($A925,LEN($A925)-1)),$A$4:$A$1000,0),VALUE(RIGHT($A925,1)))= 0,"",INDEX($D$4:$H$1000,MATCH(VALUE(LEFT($A925,LEN($A925)-1)),$A$4:$A$1000,0),VALUE(RIGHT($A925,1)))),"")</f>
        <v/>
      </c>
      <c r="D925" s="23" t="str">
        <f>IFERROR(IF(INDEX(使用レシピ!F:F,MATCH(テンプレート!$C925,使用レシピ!$E:$E,0))&lt;&gt;0,INDEX(使用レシピ!F:F,MATCH(テンプレート!$C925,使用レシピ!$E:$E,0)),""),"")</f>
        <v/>
      </c>
      <c r="E925" t="str">
        <f>IFERROR(IF(INDEX(使用レシピ!G:G,MATCH(テンプレート!$C925,使用レシピ!$E:$E,0))&lt;&gt;0,INDEX(使用レシピ!G:G,MATCH(テンプレート!$C925,使用レシピ!$E:$E,0)),""),"")</f>
        <v/>
      </c>
      <c r="F925" t="str">
        <f>IFERROR(IF(INDEX(使用レシピ!H:H,MATCH(テンプレート!$C925,使用レシピ!$E:$E,0))&lt;&gt;0,INDEX(使用レシピ!H:H,MATCH(テンプレート!$C925,使用レシピ!$E:$E,0)),""),"")</f>
        <v/>
      </c>
      <c r="G925" t="str">
        <f>IFERROR(IF(INDEX(使用レシピ!I:I,MATCH(テンプレート!$C925,使用レシピ!$E:$E,0))&lt;&gt;0,INDEX(使用レシピ!I:I,MATCH(テンプレート!$C925,使用レシピ!$E:$E,0)),""),"")</f>
        <v/>
      </c>
      <c r="H925" s="24" t="str">
        <f>IFERROR(IF(INDEX(使用レシピ!J:J,MATCH(テンプレート!$C925,使用レシピ!$E:$E,0))&lt;&gt;0,INDEX(使用レシピ!J:J,MATCH(テンプレート!$C925,使用レシピ!$E:$E,0)),""),"")</f>
        <v/>
      </c>
      <c r="I925" s="36" t="str">
        <f>IFERROR(IF(INDEX(使用レシピ!P:P,MATCH(テンプレート!$C925,使用レシピ!$E:$E,0))&lt;&gt;0,INDEX(使用レシピ!P:P,MATCH(テンプレート!$C925,使用レシピ!$E:$E,0)),""),"")</f>
        <v/>
      </c>
      <c r="J925" t="str">
        <f>IFERROR(IF(INDEX(使用レシピ!K:K,MATCH(テンプレート!$C925,使用レシピ!$E:$E,0))&lt;&gt;0,INDEX(使用レシピ!K:K,MATCH(テンプレート!$C925,使用レシピ!$E:$E,0)),""),"")</f>
        <v/>
      </c>
      <c r="K925" t="str">
        <f>IFERROR(IF(INDEX(使用レシピ!L:L,MATCH(テンプレート!$C925,使用レシピ!$E:$E,0))&lt;&gt;0,INDEX(使用レシピ!L:L,MATCH(テンプレート!$C925,使用レシピ!$E:$E,0)),""),"")</f>
        <v/>
      </c>
      <c r="L925" t="str">
        <f>IFERROR(IF(INDEX(使用レシピ!M:M,MATCH(テンプレート!$C925,使用レシピ!$E:$E,0))&lt;&gt;0,INDEX(使用レシピ!M:M,MATCH(テンプレート!$C925,使用レシピ!$E:$E,0)),""),"")</f>
        <v/>
      </c>
      <c r="M925" t="str">
        <f>IFERROR(IF(INDEX(使用レシピ!N:N,MATCH(テンプレート!$C925,使用レシピ!$E:$E,0))&lt;&gt;0,INDEX(使用レシピ!N:N,MATCH(テンプレート!$C925,使用レシピ!$E:$E,0)),""),"")</f>
        <v/>
      </c>
      <c r="N925" s="24" t="str">
        <f>IFERROR(IF(INDEX(使用レシピ!O:O,MATCH(テンプレート!$C925,使用レシピ!$E:$E,0))&lt;&gt;0,INDEX(使用レシピ!O:O,MATCH(テンプレート!$C925,使用レシピ!$E:$E,0)),""),"")</f>
        <v/>
      </c>
      <c r="O925" s="36" t="str">
        <f>IFERROR(IF(INDEX(使用レシピ!P:P,MATCH(テンプレート!$C925,使用レシピ!$E:$E,0))&lt;&gt;0,INDEX(使用レシピ!P:P,MATCH(テンプレート!$C925,使用レシピ!$E:$E,0)),""),"")</f>
        <v/>
      </c>
      <c r="P925" t="str">
        <f t="shared" si="71"/>
        <v/>
      </c>
      <c r="Q925" t="str">
        <f t="shared" si="72"/>
        <v/>
      </c>
      <c r="R925" t="str">
        <f t="shared" si="73"/>
        <v/>
      </c>
      <c r="S925" t="str">
        <f t="shared" si="74"/>
        <v/>
      </c>
      <c r="T925" s="24" t="str">
        <f t="shared" si="75"/>
        <v/>
      </c>
    </row>
    <row r="926" spans="2:20" x14ac:dyDescent="0.4">
      <c r="B926" s="49" t="str" cm="1">
        <f t="array" ref="B926">IFERROR((INDEX($P$4:$T$1000,MATCH(VALUE(LEFT($A926,LEN($A926)-1)),$A$4:$A$1000,0),VALUE(RIGHT($A926,1)))/ INDEX($O$4:$O$1000,MATCH(VALUE(LEFT($A926,LEN($A926)-1)),$A$4:$A$1000))) * INDEX($B$4:$B$1000,MATCH(VALUE(LEFT($A926,LEN($A926)-1)),$A$4:$A$1000)),"")</f>
        <v/>
      </c>
      <c r="C926" s="2" t="str" cm="1">
        <f t="array" ref="C926">IFERROR(IF(INDEX($D$4:$H$1000,MATCH(VALUE(LEFT($A926,LEN($A926)-1)),$A$4:$A$1000,0),VALUE(RIGHT($A926,1)))= 0,"",INDEX($D$4:$H$1000,MATCH(VALUE(LEFT($A926,LEN($A926)-1)),$A$4:$A$1000,0),VALUE(RIGHT($A926,1)))),"")</f>
        <v/>
      </c>
      <c r="D926" s="23" t="str">
        <f>IFERROR(IF(INDEX(使用レシピ!F:F,MATCH(テンプレート!$C926,使用レシピ!$E:$E,0))&lt;&gt;0,INDEX(使用レシピ!F:F,MATCH(テンプレート!$C926,使用レシピ!$E:$E,0)),""),"")</f>
        <v/>
      </c>
      <c r="E926" t="str">
        <f>IFERROR(IF(INDEX(使用レシピ!G:G,MATCH(テンプレート!$C926,使用レシピ!$E:$E,0))&lt;&gt;0,INDEX(使用レシピ!G:G,MATCH(テンプレート!$C926,使用レシピ!$E:$E,0)),""),"")</f>
        <v/>
      </c>
      <c r="F926" t="str">
        <f>IFERROR(IF(INDEX(使用レシピ!H:H,MATCH(テンプレート!$C926,使用レシピ!$E:$E,0))&lt;&gt;0,INDEX(使用レシピ!H:H,MATCH(テンプレート!$C926,使用レシピ!$E:$E,0)),""),"")</f>
        <v/>
      </c>
      <c r="G926" t="str">
        <f>IFERROR(IF(INDEX(使用レシピ!I:I,MATCH(テンプレート!$C926,使用レシピ!$E:$E,0))&lt;&gt;0,INDEX(使用レシピ!I:I,MATCH(テンプレート!$C926,使用レシピ!$E:$E,0)),""),"")</f>
        <v/>
      </c>
      <c r="H926" s="24" t="str">
        <f>IFERROR(IF(INDEX(使用レシピ!J:J,MATCH(テンプレート!$C926,使用レシピ!$E:$E,0))&lt;&gt;0,INDEX(使用レシピ!J:J,MATCH(テンプレート!$C926,使用レシピ!$E:$E,0)),""),"")</f>
        <v/>
      </c>
      <c r="I926" s="36" t="str">
        <f>IFERROR(IF(INDEX(使用レシピ!P:P,MATCH(テンプレート!$C926,使用レシピ!$E:$E,0))&lt;&gt;0,INDEX(使用レシピ!P:P,MATCH(テンプレート!$C926,使用レシピ!$E:$E,0)),""),"")</f>
        <v/>
      </c>
      <c r="J926" t="str">
        <f>IFERROR(IF(INDEX(使用レシピ!K:K,MATCH(テンプレート!$C926,使用レシピ!$E:$E,0))&lt;&gt;0,INDEX(使用レシピ!K:K,MATCH(テンプレート!$C926,使用レシピ!$E:$E,0)),""),"")</f>
        <v/>
      </c>
      <c r="K926" t="str">
        <f>IFERROR(IF(INDEX(使用レシピ!L:L,MATCH(テンプレート!$C926,使用レシピ!$E:$E,0))&lt;&gt;0,INDEX(使用レシピ!L:L,MATCH(テンプレート!$C926,使用レシピ!$E:$E,0)),""),"")</f>
        <v/>
      </c>
      <c r="L926" t="str">
        <f>IFERROR(IF(INDEX(使用レシピ!M:M,MATCH(テンプレート!$C926,使用レシピ!$E:$E,0))&lt;&gt;0,INDEX(使用レシピ!M:M,MATCH(テンプレート!$C926,使用レシピ!$E:$E,0)),""),"")</f>
        <v/>
      </c>
      <c r="M926" t="str">
        <f>IFERROR(IF(INDEX(使用レシピ!N:N,MATCH(テンプレート!$C926,使用レシピ!$E:$E,0))&lt;&gt;0,INDEX(使用レシピ!N:N,MATCH(テンプレート!$C926,使用レシピ!$E:$E,0)),""),"")</f>
        <v/>
      </c>
      <c r="N926" s="24" t="str">
        <f>IFERROR(IF(INDEX(使用レシピ!O:O,MATCH(テンプレート!$C926,使用レシピ!$E:$E,0))&lt;&gt;0,INDEX(使用レシピ!O:O,MATCH(テンプレート!$C926,使用レシピ!$E:$E,0)),""),"")</f>
        <v/>
      </c>
      <c r="O926" s="36" t="str">
        <f>IFERROR(IF(INDEX(使用レシピ!P:P,MATCH(テンプレート!$C926,使用レシピ!$E:$E,0))&lt;&gt;0,INDEX(使用レシピ!P:P,MATCH(テンプレート!$C926,使用レシピ!$E:$E,0)),""),"")</f>
        <v/>
      </c>
      <c r="P926" t="str">
        <f t="shared" si="71"/>
        <v/>
      </c>
      <c r="Q926" t="str">
        <f t="shared" si="72"/>
        <v/>
      </c>
      <c r="R926" t="str">
        <f t="shared" si="73"/>
        <v/>
      </c>
      <c r="S926" t="str">
        <f t="shared" si="74"/>
        <v/>
      </c>
      <c r="T926" s="24" t="str">
        <f t="shared" si="75"/>
        <v/>
      </c>
    </row>
    <row r="927" spans="2:20" x14ac:dyDescent="0.4">
      <c r="B927" s="49" t="str" cm="1">
        <f t="array" ref="B927">IFERROR((INDEX($P$4:$T$1000,MATCH(VALUE(LEFT($A927,LEN($A927)-1)),$A$4:$A$1000,0),VALUE(RIGHT($A927,1)))/ INDEX($O$4:$O$1000,MATCH(VALUE(LEFT($A927,LEN($A927)-1)),$A$4:$A$1000))) * INDEX($B$4:$B$1000,MATCH(VALUE(LEFT($A927,LEN($A927)-1)),$A$4:$A$1000)),"")</f>
        <v/>
      </c>
      <c r="C927" s="2" t="str" cm="1">
        <f t="array" ref="C927">IFERROR(IF(INDEX($D$4:$H$1000,MATCH(VALUE(LEFT($A927,LEN($A927)-1)),$A$4:$A$1000,0),VALUE(RIGHT($A927,1)))= 0,"",INDEX($D$4:$H$1000,MATCH(VALUE(LEFT($A927,LEN($A927)-1)),$A$4:$A$1000,0),VALUE(RIGHT($A927,1)))),"")</f>
        <v/>
      </c>
      <c r="D927" s="23" t="str">
        <f>IFERROR(IF(INDEX(使用レシピ!F:F,MATCH(テンプレート!$C927,使用レシピ!$E:$E,0))&lt;&gt;0,INDEX(使用レシピ!F:F,MATCH(テンプレート!$C927,使用レシピ!$E:$E,0)),""),"")</f>
        <v/>
      </c>
      <c r="E927" t="str">
        <f>IFERROR(IF(INDEX(使用レシピ!G:G,MATCH(テンプレート!$C927,使用レシピ!$E:$E,0))&lt;&gt;0,INDEX(使用レシピ!G:G,MATCH(テンプレート!$C927,使用レシピ!$E:$E,0)),""),"")</f>
        <v/>
      </c>
      <c r="F927" t="str">
        <f>IFERROR(IF(INDEX(使用レシピ!H:H,MATCH(テンプレート!$C927,使用レシピ!$E:$E,0))&lt;&gt;0,INDEX(使用レシピ!H:H,MATCH(テンプレート!$C927,使用レシピ!$E:$E,0)),""),"")</f>
        <v/>
      </c>
      <c r="G927" t="str">
        <f>IFERROR(IF(INDEX(使用レシピ!I:I,MATCH(テンプレート!$C927,使用レシピ!$E:$E,0))&lt;&gt;0,INDEX(使用レシピ!I:I,MATCH(テンプレート!$C927,使用レシピ!$E:$E,0)),""),"")</f>
        <v/>
      </c>
      <c r="H927" s="24" t="str">
        <f>IFERROR(IF(INDEX(使用レシピ!J:J,MATCH(テンプレート!$C927,使用レシピ!$E:$E,0))&lt;&gt;0,INDEX(使用レシピ!J:J,MATCH(テンプレート!$C927,使用レシピ!$E:$E,0)),""),"")</f>
        <v/>
      </c>
      <c r="I927" s="36" t="str">
        <f>IFERROR(IF(INDEX(使用レシピ!P:P,MATCH(テンプレート!$C927,使用レシピ!$E:$E,0))&lt;&gt;0,INDEX(使用レシピ!P:P,MATCH(テンプレート!$C927,使用レシピ!$E:$E,0)),""),"")</f>
        <v/>
      </c>
      <c r="J927" t="str">
        <f>IFERROR(IF(INDEX(使用レシピ!K:K,MATCH(テンプレート!$C927,使用レシピ!$E:$E,0))&lt;&gt;0,INDEX(使用レシピ!K:K,MATCH(テンプレート!$C927,使用レシピ!$E:$E,0)),""),"")</f>
        <v/>
      </c>
      <c r="K927" t="str">
        <f>IFERROR(IF(INDEX(使用レシピ!L:L,MATCH(テンプレート!$C927,使用レシピ!$E:$E,0))&lt;&gt;0,INDEX(使用レシピ!L:L,MATCH(テンプレート!$C927,使用レシピ!$E:$E,0)),""),"")</f>
        <v/>
      </c>
      <c r="L927" t="str">
        <f>IFERROR(IF(INDEX(使用レシピ!M:M,MATCH(テンプレート!$C927,使用レシピ!$E:$E,0))&lt;&gt;0,INDEX(使用レシピ!M:M,MATCH(テンプレート!$C927,使用レシピ!$E:$E,0)),""),"")</f>
        <v/>
      </c>
      <c r="M927" t="str">
        <f>IFERROR(IF(INDEX(使用レシピ!N:N,MATCH(テンプレート!$C927,使用レシピ!$E:$E,0))&lt;&gt;0,INDEX(使用レシピ!N:N,MATCH(テンプレート!$C927,使用レシピ!$E:$E,0)),""),"")</f>
        <v/>
      </c>
      <c r="N927" s="24" t="str">
        <f>IFERROR(IF(INDEX(使用レシピ!O:O,MATCH(テンプレート!$C927,使用レシピ!$E:$E,0))&lt;&gt;0,INDEX(使用レシピ!O:O,MATCH(テンプレート!$C927,使用レシピ!$E:$E,0)),""),"")</f>
        <v/>
      </c>
      <c r="O927" s="36" t="str">
        <f>IFERROR(IF(INDEX(使用レシピ!P:P,MATCH(テンプレート!$C927,使用レシピ!$E:$E,0))&lt;&gt;0,INDEX(使用レシピ!P:P,MATCH(テンプレート!$C927,使用レシピ!$E:$E,0)),""),"")</f>
        <v/>
      </c>
      <c r="P927" t="str">
        <f t="shared" si="71"/>
        <v/>
      </c>
      <c r="Q927" t="str">
        <f t="shared" si="72"/>
        <v/>
      </c>
      <c r="R927" t="str">
        <f t="shared" si="73"/>
        <v/>
      </c>
      <c r="S927" t="str">
        <f t="shared" si="74"/>
        <v/>
      </c>
      <c r="T927" s="24" t="str">
        <f t="shared" si="75"/>
        <v/>
      </c>
    </row>
    <row r="928" spans="2:20" x14ac:dyDescent="0.4">
      <c r="B928" s="49" t="str" cm="1">
        <f t="array" ref="B928">IFERROR((INDEX($P$4:$T$1000,MATCH(VALUE(LEFT($A928,LEN($A928)-1)),$A$4:$A$1000,0),VALUE(RIGHT($A928,1)))/ INDEX($O$4:$O$1000,MATCH(VALUE(LEFT($A928,LEN($A928)-1)),$A$4:$A$1000))) * INDEX($B$4:$B$1000,MATCH(VALUE(LEFT($A928,LEN($A928)-1)),$A$4:$A$1000)),"")</f>
        <v/>
      </c>
      <c r="C928" s="2" t="str" cm="1">
        <f t="array" ref="C928">IFERROR(IF(INDEX($D$4:$H$1000,MATCH(VALUE(LEFT($A928,LEN($A928)-1)),$A$4:$A$1000,0),VALUE(RIGHT($A928,1)))= 0,"",INDEX($D$4:$H$1000,MATCH(VALUE(LEFT($A928,LEN($A928)-1)),$A$4:$A$1000,0),VALUE(RIGHT($A928,1)))),"")</f>
        <v/>
      </c>
      <c r="D928" s="23" t="str">
        <f>IFERROR(IF(INDEX(使用レシピ!F:F,MATCH(テンプレート!$C928,使用レシピ!$E:$E,0))&lt;&gt;0,INDEX(使用レシピ!F:F,MATCH(テンプレート!$C928,使用レシピ!$E:$E,0)),""),"")</f>
        <v/>
      </c>
      <c r="E928" t="str">
        <f>IFERROR(IF(INDEX(使用レシピ!G:G,MATCH(テンプレート!$C928,使用レシピ!$E:$E,0))&lt;&gt;0,INDEX(使用レシピ!G:G,MATCH(テンプレート!$C928,使用レシピ!$E:$E,0)),""),"")</f>
        <v/>
      </c>
      <c r="F928" t="str">
        <f>IFERROR(IF(INDEX(使用レシピ!H:H,MATCH(テンプレート!$C928,使用レシピ!$E:$E,0))&lt;&gt;0,INDEX(使用レシピ!H:H,MATCH(テンプレート!$C928,使用レシピ!$E:$E,0)),""),"")</f>
        <v/>
      </c>
      <c r="G928" t="str">
        <f>IFERROR(IF(INDEX(使用レシピ!I:I,MATCH(テンプレート!$C928,使用レシピ!$E:$E,0))&lt;&gt;0,INDEX(使用レシピ!I:I,MATCH(テンプレート!$C928,使用レシピ!$E:$E,0)),""),"")</f>
        <v/>
      </c>
      <c r="H928" s="24" t="str">
        <f>IFERROR(IF(INDEX(使用レシピ!J:J,MATCH(テンプレート!$C928,使用レシピ!$E:$E,0))&lt;&gt;0,INDEX(使用レシピ!J:J,MATCH(テンプレート!$C928,使用レシピ!$E:$E,0)),""),"")</f>
        <v/>
      </c>
      <c r="I928" s="36" t="str">
        <f>IFERROR(IF(INDEX(使用レシピ!P:P,MATCH(テンプレート!$C928,使用レシピ!$E:$E,0))&lt;&gt;0,INDEX(使用レシピ!P:P,MATCH(テンプレート!$C928,使用レシピ!$E:$E,0)),""),"")</f>
        <v/>
      </c>
      <c r="J928" t="str">
        <f>IFERROR(IF(INDEX(使用レシピ!K:K,MATCH(テンプレート!$C928,使用レシピ!$E:$E,0))&lt;&gt;0,INDEX(使用レシピ!K:K,MATCH(テンプレート!$C928,使用レシピ!$E:$E,0)),""),"")</f>
        <v/>
      </c>
      <c r="K928" t="str">
        <f>IFERROR(IF(INDEX(使用レシピ!L:L,MATCH(テンプレート!$C928,使用レシピ!$E:$E,0))&lt;&gt;0,INDEX(使用レシピ!L:L,MATCH(テンプレート!$C928,使用レシピ!$E:$E,0)),""),"")</f>
        <v/>
      </c>
      <c r="L928" t="str">
        <f>IFERROR(IF(INDEX(使用レシピ!M:M,MATCH(テンプレート!$C928,使用レシピ!$E:$E,0))&lt;&gt;0,INDEX(使用レシピ!M:M,MATCH(テンプレート!$C928,使用レシピ!$E:$E,0)),""),"")</f>
        <v/>
      </c>
      <c r="M928" t="str">
        <f>IFERROR(IF(INDEX(使用レシピ!N:N,MATCH(テンプレート!$C928,使用レシピ!$E:$E,0))&lt;&gt;0,INDEX(使用レシピ!N:N,MATCH(テンプレート!$C928,使用レシピ!$E:$E,0)),""),"")</f>
        <v/>
      </c>
      <c r="N928" s="24" t="str">
        <f>IFERROR(IF(INDEX(使用レシピ!O:O,MATCH(テンプレート!$C928,使用レシピ!$E:$E,0))&lt;&gt;0,INDEX(使用レシピ!O:O,MATCH(テンプレート!$C928,使用レシピ!$E:$E,0)),""),"")</f>
        <v/>
      </c>
      <c r="O928" s="36" t="str">
        <f>IFERROR(IF(INDEX(使用レシピ!P:P,MATCH(テンプレート!$C928,使用レシピ!$E:$E,0))&lt;&gt;0,INDEX(使用レシピ!P:P,MATCH(テンプレート!$C928,使用レシピ!$E:$E,0)),""),"")</f>
        <v/>
      </c>
      <c r="P928" t="str">
        <f t="shared" si="71"/>
        <v/>
      </c>
      <c r="Q928" t="str">
        <f t="shared" si="72"/>
        <v/>
      </c>
      <c r="R928" t="str">
        <f t="shared" si="73"/>
        <v/>
      </c>
      <c r="S928" t="str">
        <f t="shared" si="74"/>
        <v/>
      </c>
      <c r="T928" s="24" t="str">
        <f t="shared" si="75"/>
        <v/>
      </c>
    </row>
    <row r="929" spans="2:20" x14ac:dyDescent="0.4">
      <c r="B929" s="49" t="str" cm="1">
        <f t="array" ref="B929">IFERROR((INDEX($P$4:$T$1000,MATCH(VALUE(LEFT($A929,LEN($A929)-1)),$A$4:$A$1000,0),VALUE(RIGHT($A929,1)))/ INDEX($O$4:$O$1000,MATCH(VALUE(LEFT($A929,LEN($A929)-1)),$A$4:$A$1000))) * INDEX($B$4:$B$1000,MATCH(VALUE(LEFT($A929,LEN($A929)-1)),$A$4:$A$1000)),"")</f>
        <v/>
      </c>
      <c r="C929" s="2" t="str" cm="1">
        <f t="array" ref="C929">IFERROR(IF(INDEX($D$4:$H$1000,MATCH(VALUE(LEFT($A929,LEN($A929)-1)),$A$4:$A$1000,0),VALUE(RIGHT($A929,1)))= 0,"",INDEX($D$4:$H$1000,MATCH(VALUE(LEFT($A929,LEN($A929)-1)),$A$4:$A$1000,0),VALUE(RIGHT($A929,1)))),"")</f>
        <v/>
      </c>
      <c r="D929" s="23" t="str">
        <f>IFERROR(IF(INDEX(使用レシピ!F:F,MATCH(テンプレート!$C929,使用レシピ!$E:$E,0))&lt;&gt;0,INDEX(使用レシピ!F:F,MATCH(テンプレート!$C929,使用レシピ!$E:$E,0)),""),"")</f>
        <v/>
      </c>
      <c r="E929" t="str">
        <f>IFERROR(IF(INDEX(使用レシピ!G:G,MATCH(テンプレート!$C929,使用レシピ!$E:$E,0))&lt;&gt;0,INDEX(使用レシピ!G:G,MATCH(テンプレート!$C929,使用レシピ!$E:$E,0)),""),"")</f>
        <v/>
      </c>
      <c r="F929" t="str">
        <f>IFERROR(IF(INDEX(使用レシピ!H:H,MATCH(テンプレート!$C929,使用レシピ!$E:$E,0))&lt;&gt;0,INDEX(使用レシピ!H:H,MATCH(テンプレート!$C929,使用レシピ!$E:$E,0)),""),"")</f>
        <v/>
      </c>
      <c r="G929" t="str">
        <f>IFERROR(IF(INDEX(使用レシピ!I:I,MATCH(テンプレート!$C929,使用レシピ!$E:$E,0))&lt;&gt;0,INDEX(使用レシピ!I:I,MATCH(テンプレート!$C929,使用レシピ!$E:$E,0)),""),"")</f>
        <v/>
      </c>
      <c r="H929" s="24" t="str">
        <f>IFERROR(IF(INDEX(使用レシピ!J:J,MATCH(テンプレート!$C929,使用レシピ!$E:$E,0))&lt;&gt;0,INDEX(使用レシピ!J:J,MATCH(テンプレート!$C929,使用レシピ!$E:$E,0)),""),"")</f>
        <v/>
      </c>
      <c r="I929" s="36" t="str">
        <f>IFERROR(IF(INDEX(使用レシピ!P:P,MATCH(テンプレート!$C929,使用レシピ!$E:$E,0))&lt;&gt;0,INDEX(使用レシピ!P:P,MATCH(テンプレート!$C929,使用レシピ!$E:$E,0)),""),"")</f>
        <v/>
      </c>
      <c r="J929" t="str">
        <f>IFERROR(IF(INDEX(使用レシピ!K:K,MATCH(テンプレート!$C929,使用レシピ!$E:$E,0))&lt;&gt;0,INDEX(使用レシピ!K:K,MATCH(テンプレート!$C929,使用レシピ!$E:$E,0)),""),"")</f>
        <v/>
      </c>
      <c r="K929" t="str">
        <f>IFERROR(IF(INDEX(使用レシピ!L:L,MATCH(テンプレート!$C929,使用レシピ!$E:$E,0))&lt;&gt;0,INDEX(使用レシピ!L:L,MATCH(テンプレート!$C929,使用レシピ!$E:$E,0)),""),"")</f>
        <v/>
      </c>
      <c r="L929" t="str">
        <f>IFERROR(IF(INDEX(使用レシピ!M:M,MATCH(テンプレート!$C929,使用レシピ!$E:$E,0))&lt;&gt;0,INDEX(使用レシピ!M:M,MATCH(テンプレート!$C929,使用レシピ!$E:$E,0)),""),"")</f>
        <v/>
      </c>
      <c r="M929" t="str">
        <f>IFERROR(IF(INDEX(使用レシピ!N:N,MATCH(テンプレート!$C929,使用レシピ!$E:$E,0))&lt;&gt;0,INDEX(使用レシピ!N:N,MATCH(テンプレート!$C929,使用レシピ!$E:$E,0)),""),"")</f>
        <v/>
      </c>
      <c r="N929" s="24" t="str">
        <f>IFERROR(IF(INDEX(使用レシピ!O:O,MATCH(テンプレート!$C929,使用レシピ!$E:$E,0))&lt;&gt;0,INDEX(使用レシピ!O:O,MATCH(テンプレート!$C929,使用レシピ!$E:$E,0)),""),"")</f>
        <v/>
      </c>
      <c r="O929" s="36" t="str">
        <f>IFERROR(IF(INDEX(使用レシピ!P:P,MATCH(テンプレート!$C929,使用レシピ!$E:$E,0))&lt;&gt;0,INDEX(使用レシピ!P:P,MATCH(テンプレート!$C929,使用レシピ!$E:$E,0)),""),"")</f>
        <v/>
      </c>
      <c r="P929" t="str">
        <f t="shared" si="71"/>
        <v/>
      </c>
      <c r="Q929" t="str">
        <f t="shared" si="72"/>
        <v/>
      </c>
      <c r="R929" t="str">
        <f t="shared" si="73"/>
        <v/>
      </c>
      <c r="S929" t="str">
        <f t="shared" si="74"/>
        <v/>
      </c>
      <c r="T929" s="24" t="str">
        <f t="shared" si="75"/>
        <v/>
      </c>
    </row>
    <row r="930" spans="2:20" x14ac:dyDescent="0.4">
      <c r="B930" s="49" t="str" cm="1">
        <f t="array" ref="B930">IFERROR((INDEX($P$4:$T$1000,MATCH(VALUE(LEFT($A930,LEN($A930)-1)),$A$4:$A$1000,0),VALUE(RIGHT($A930,1)))/ INDEX($O$4:$O$1000,MATCH(VALUE(LEFT($A930,LEN($A930)-1)),$A$4:$A$1000))) * INDEX($B$4:$B$1000,MATCH(VALUE(LEFT($A930,LEN($A930)-1)),$A$4:$A$1000)),"")</f>
        <v/>
      </c>
      <c r="C930" s="2" t="str" cm="1">
        <f t="array" ref="C930">IFERROR(IF(INDEX($D$4:$H$1000,MATCH(VALUE(LEFT($A930,LEN($A930)-1)),$A$4:$A$1000,0),VALUE(RIGHT($A930,1)))= 0,"",INDEX($D$4:$H$1000,MATCH(VALUE(LEFT($A930,LEN($A930)-1)),$A$4:$A$1000,0),VALUE(RIGHT($A930,1)))),"")</f>
        <v/>
      </c>
      <c r="D930" s="23" t="str">
        <f>IFERROR(IF(INDEX(使用レシピ!F:F,MATCH(テンプレート!$C930,使用レシピ!$E:$E,0))&lt;&gt;0,INDEX(使用レシピ!F:F,MATCH(テンプレート!$C930,使用レシピ!$E:$E,0)),""),"")</f>
        <v/>
      </c>
      <c r="E930" t="str">
        <f>IFERROR(IF(INDEX(使用レシピ!G:G,MATCH(テンプレート!$C930,使用レシピ!$E:$E,0))&lt;&gt;0,INDEX(使用レシピ!G:G,MATCH(テンプレート!$C930,使用レシピ!$E:$E,0)),""),"")</f>
        <v/>
      </c>
      <c r="F930" t="str">
        <f>IFERROR(IF(INDEX(使用レシピ!H:H,MATCH(テンプレート!$C930,使用レシピ!$E:$E,0))&lt;&gt;0,INDEX(使用レシピ!H:H,MATCH(テンプレート!$C930,使用レシピ!$E:$E,0)),""),"")</f>
        <v/>
      </c>
      <c r="G930" t="str">
        <f>IFERROR(IF(INDEX(使用レシピ!I:I,MATCH(テンプレート!$C930,使用レシピ!$E:$E,0))&lt;&gt;0,INDEX(使用レシピ!I:I,MATCH(テンプレート!$C930,使用レシピ!$E:$E,0)),""),"")</f>
        <v/>
      </c>
      <c r="H930" s="24" t="str">
        <f>IFERROR(IF(INDEX(使用レシピ!J:J,MATCH(テンプレート!$C930,使用レシピ!$E:$E,0))&lt;&gt;0,INDEX(使用レシピ!J:J,MATCH(テンプレート!$C930,使用レシピ!$E:$E,0)),""),"")</f>
        <v/>
      </c>
      <c r="I930" s="36" t="str">
        <f>IFERROR(IF(INDEX(使用レシピ!P:P,MATCH(テンプレート!$C930,使用レシピ!$E:$E,0))&lt;&gt;0,INDEX(使用レシピ!P:P,MATCH(テンプレート!$C930,使用レシピ!$E:$E,0)),""),"")</f>
        <v/>
      </c>
      <c r="J930" t="str">
        <f>IFERROR(IF(INDEX(使用レシピ!K:K,MATCH(テンプレート!$C930,使用レシピ!$E:$E,0))&lt;&gt;0,INDEX(使用レシピ!K:K,MATCH(テンプレート!$C930,使用レシピ!$E:$E,0)),""),"")</f>
        <v/>
      </c>
      <c r="K930" t="str">
        <f>IFERROR(IF(INDEX(使用レシピ!L:L,MATCH(テンプレート!$C930,使用レシピ!$E:$E,0))&lt;&gt;0,INDEX(使用レシピ!L:L,MATCH(テンプレート!$C930,使用レシピ!$E:$E,0)),""),"")</f>
        <v/>
      </c>
      <c r="L930" t="str">
        <f>IFERROR(IF(INDEX(使用レシピ!M:M,MATCH(テンプレート!$C930,使用レシピ!$E:$E,0))&lt;&gt;0,INDEX(使用レシピ!M:M,MATCH(テンプレート!$C930,使用レシピ!$E:$E,0)),""),"")</f>
        <v/>
      </c>
      <c r="M930" t="str">
        <f>IFERROR(IF(INDEX(使用レシピ!N:N,MATCH(テンプレート!$C930,使用レシピ!$E:$E,0))&lt;&gt;0,INDEX(使用レシピ!N:N,MATCH(テンプレート!$C930,使用レシピ!$E:$E,0)),""),"")</f>
        <v/>
      </c>
      <c r="N930" s="24" t="str">
        <f>IFERROR(IF(INDEX(使用レシピ!O:O,MATCH(テンプレート!$C930,使用レシピ!$E:$E,0))&lt;&gt;0,INDEX(使用レシピ!O:O,MATCH(テンプレート!$C930,使用レシピ!$E:$E,0)),""),"")</f>
        <v/>
      </c>
      <c r="O930" s="36" t="str">
        <f>IFERROR(IF(INDEX(使用レシピ!P:P,MATCH(テンプレート!$C930,使用レシピ!$E:$E,0))&lt;&gt;0,INDEX(使用レシピ!P:P,MATCH(テンプレート!$C930,使用レシピ!$E:$E,0)),""),"")</f>
        <v/>
      </c>
      <c r="P930" t="str">
        <f t="shared" si="71"/>
        <v/>
      </c>
      <c r="Q930" t="str">
        <f t="shared" si="72"/>
        <v/>
      </c>
      <c r="R930" t="str">
        <f t="shared" si="73"/>
        <v/>
      </c>
      <c r="S930" t="str">
        <f t="shared" si="74"/>
        <v/>
      </c>
      <c r="T930" s="24" t="str">
        <f t="shared" si="75"/>
        <v/>
      </c>
    </row>
    <row r="931" spans="2:20" x14ac:dyDescent="0.4">
      <c r="B931" s="49" t="str" cm="1">
        <f t="array" ref="B931">IFERROR((INDEX($P$4:$T$1000,MATCH(VALUE(LEFT($A931,LEN($A931)-1)),$A$4:$A$1000,0),VALUE(RIGHT($A931,1)))/ INDEX($O$4:$O$1000,MATCH(VALUE(LEFT($A931,LEN($A931)-1)),$A$4:$A$1000))) * INDEX($B$4:$B$1000,MATCH(VALUE(LEFT($A931,LEN($A931)-1)),$A$4:$A$1000)),"")</f>
        <v/>
      </c>
      <c r="C931" s="2" t="str" cm="1">
        <f t="array" ref="C931">IFERROR(IF(INDEX($D$4:$H$1000,MATCH(VALUE(LEFT($A931,LEN($A931)-1)),$A$4:$A$1000,0),VALUE(RIGHT($A931,1)))= 0,"",INDEX($D$4:$H$1000,MATCH(VALUE(LEFT($A931,LEN($A931)-1)),$A$4:$A$1000,0),VALUE(RIGHT($A931,1)))),"")</f>
        <v/>
      </c>
      <c r="D931" s="23" t="str">
        <f>IFERROR(IF(INDEX(使用レシピ!F:F,MATCH(テンプレート!$C931,使用レシピ!$E:$E,0))&lt;&gt;0,INDEX(使用レシピ!F:F,MATCH(テンプレート!$C931,使用レシピ!$E:$E,0)),""),"")</f>
        <v/>
      </c>
      <c r="E931" t="str">
        <f>IFERROR(IF(INDEX(使用レシピ!G:G,MATCH(テンプレート!$C931,使用レシピ!$E:$E,0))&lt;&gt;0,INDEX(使用レシピ!G:G,MATCH(テンプレート!$C931,使用レシピ!$E:$E,0)),""),"")</f>
        <v/>
      </c>
      <c r="F931" t="str">
        <f>IFERROR(IF(INDEX(使用レシピ!H:H,MATCH(テンプレート!$C931,使用レシピ!$E:$E,0))&lt;&gt;0,INDEX(使用レシピ!H:H,MATCH(テンプレート!$C931,使用レシピ!$E:$E,0)),""),"")</f>
        <v/>
      </c>
      <c r="G931" t="str">
        <f>IFERROR(IF(INDEX(使用レシピ!I:I,MATCH(テンプレート!$C931,使用レシピ!$E:$E,0))&lt;&gt;0,INDEX(使用レシピ!I:I,MATCH(テンプレート!$C931,使用レシピ!$E:$E,0)),""),"")</f>
        <v/>
      </c>
      <c r="H931" s="24" t="str">
        <f>IFERROR(IF(INDEX(使用レシピ!J:J,MATCH(テンプレート!$C931,使用レシピ!$E:$E,0))&lt;&gt;0,INDEX(使用レシピ!J:J,MATCH(テンプレート!$C931,使用レシピ!$E:$E,0)),""),"")</f>
        <v/>
      </c>
      <c r="I931" s="36" t="str">
        <f>IFERROR(IF(INDEX(使用レシピ!P:P,MATCH(テンプレート!$C931,使用レシピ!$E:$E,0))&lt;&gt;0,INDEX(使用レシピ!P:P,MATCH(テンプレート!$C931,使用レシピ!$E:$E,0)),""),"")</f>
        <v/>
      </c>
      <c r="J931" t="str">
        <f>IFERROR(IF(INDEX(使用レシピ!K:K,MATCH(テンプレート!$C931,使用レシピ!$E:$E,0))&lt;&gt;0,INDEX(使用レシピ!K:K,MATCH(テンプレート!$C931,使用レシピ!$E:$E,0)),""),"")</f>
        <v/>
      </c>
      <c r="K931" t="str">
        <f>IFERROR(IF(INDEX(使用レシピ!L:L,MATCH(テンプレート!$C931,使用レシピ!$E:$E,0))&lt;&gt;0,INDEX(使用レシピ!L:L,MATCH(テンプレート!$C931,使用レシピ!$E:$E,0)),""),"")</f>
        <v/>
      </c>
      <c r="L931" t="str">
        <f>IFERROR(IF(INDEX(使用レシピ!M:M,MATCH(テンプレート!$C931,使用レシピ!$E:$E,0))&lt;&gt;0,INDEX(使用レシピ!M:M,MATCH(テンプレート!$C931,使用レシピ!$E:$E,0)),""),"")</f>
        <v/>
      </c>
      <c r="M931" t="str">
        <f>IFERROR(IF(INDEX(使用レシピ!N:N,MATCH(テンプレート!$C931,使用レシピ!$E:$E,0))&lt;&gt;0,INDEX(使用レシピ!N:N,MATCH(テンプレート!$C931,使用レシピ!$E:$E,0)),""),"")</f>
        <v/>
      </c>
      <c r="N931" s="24" t="str">
        <f>IFERROR(IF(INDEX(使用レシピ!O:O,MATCH(テンプレート!$C931,使用レシピ!$E:$E,0))&lt;&gt;0,INDEX(使用レシピ!O:O,MATCH(テンプレート!$C931,使用レシピ!$E:$E,0)),""),"")</f>
        <v/>
      </c>
      <c r="O931" s="36" t="str">
        <f>IFERROR(IF(INDEX(使用レシピ!P:P,MATCH(テンプレート!$C931,使用レシピ!$E:$E,0))&lt;&gt;0,INDEX(使用レシピ!P:P,MATCH(テンプレート!$C931,使用レシピ!$E:$E,0)),""),"")</f>
        <v/>
      </c>
      <c r="P931" t="str">
        <f t="shared" si="71"/>
        <v/>
      </c>
      <c r="Q931" t="str">
        <f t="shared" si="72"/>
        <v/>
      </c>
      <c r="R931" t="str">
        <f t="shared" si="73"/>
        <v/>
      </c>
      <c r="S931" t="str">
        <f t="shared" si="74"/>
        <v/>
      </c>
      <c r="T931" s="24" t="str">
        <f t="shared" si="75"/>
        <v/>
      </c>
    </row>
    <row r="932" spans="2:20" x14ac:dyDescent="0.4">
      <c r="B932" s="49" t="str" cm="1">
        <f t="array" ref="B932">IFERROR((INDEX($P$4:$T$1000,MATCH(VALUE(LEFT($A932,LEN($A932)-1)),$A$4:$A$1000,0),VALUE(RIGHT($A932,1)))/ INDEX($O$4:$O$1000,MATCH(VALUE(LEFT($A932,LEN($A932)-1)),$A$4:$A$1000))) * INDEX($B$4:$B$1000,MATCH(VALUE(LEFT($A932,LEN($A932)-1)),$A$4:$A$1000)),"")</f>
        <v/>
      </c>
      <c r="C932" s="2" t="str" cm="1">
        <f t="array" ref="C932">IFERROR(IF(INDEX($D$4:$H$1000,MATCH(VALUE(LEFT($A932,LEN($A932)-1)),$A$4:$A$1000,0),VALUE(RIGHT($A932,1)))= 0,"",INDEX($D$4:$H$1000,MATCH(VALUE(LEFT($A932,LEN($A932)-1)),$A$4:$A$1000,0),VALUE(RIGHT($A932,1)))),"")</f>
        <v/>
      </c>
      <c r="D932" s="23" t="str">
        <f>IFERROR(IF(INDEX(使用レシピ!F:F,MATCH(テンプレート!$C932,使用レシピ!$E:$E,0))&lt;&gt;0,INDEX(使用レシピ!F:F,MATCH(テンプレート!$C932,使用レシピ!$E:$E,0)),""),"")</f>
        <v/>
      </c>
      <c r="E932" t="str">
        <f>IFERROR(IF(INDEX(使用レシピ!G:G,MATCH(テンプレート!$C932,使用レシピ!$E:$E,0))&lt;&gt;0,INDEX(使用レシピ!G:G,MATCH(テンプレート!$C932,使用レシピ!$E:$E,0)),""),"")</f>
        <v/>
      </c>
      <c r="F932" t="str">
        <f>IFERROR(IF(INDEX(使用レシピ!H:H,MATCH(テンプレート!$C932,使用レシピ!$E:$E,0))&lt;&gt;0,INDEX(使用レシピ!H:H,MATCH(テンプレート!$C932,使用レシピ!$E:$E,0)),""),"")</f>
        <v/>
      </c>
      <c r="G932" t="str">
        <f>IFERROR(IF(INDEX(使用レシピ!I:I,MATCH(テンプレート!$C932,使用レシピ!$E:$E,0))&lt;&gt;0,INDEX(使用レシピ!I:I,MATCH(テンプレート!$C932,使用レシピ!$E:$E,0)),""),"")</f>
        <v/>
      </c>
      <c r="H932" s="24" t="str">
        <f>IFERROR(IF(INDEX(使用レシピ!J:J,MATCH(テンプレート!$C932,使用レシピ!$E:$E,0))&lt;&gt;0,INDEX(使用レシピ!J:J,MATCH(テンプレート!$C932,使用レシピ!$E:$E,0)),""),"")</f>
        <v/>
      </c>
      <c r="I932" s="36" t="str">
        <f>IFERROR(IF(INDEX(使用レシピ!P:P,MATCH(テンプレート!$C932,使用レシピ!$E:$E,0))&lt;&gt;0,INDEX(使用レシピ!P:P,MATCH(テンプレート!$C932,使用レシピ!$E:$E,0)),""),"")</f>
        <v/>
      </c>
      <c r="J932" t="str">
        <f>IFERROR(IF(INDEX(使用レシピ!K:K,MATCH(テンプレート!$C932,使用レシピ!$E:$E,0))&lt;&gt;0,INDEX(使用レシピ!K:K,MATCH(テンプレート!$C932,使用レシピ!$E:$E,0)),""),"")</f>
        <v/>
      </c>
      <c r="K932" t="str">
        <f>IFERROR(IF(INDEX(使用レシピ!L:L,MATCH(テンプレート!$C932,使用レシピ!$E:$E,0))&lt;&gt;0,INDEX(使用レシピ!L:L,MATCH(テンプレート!$C932,使用レシピ!$E:$E,0)),""),"")</f>
        <v/>
      </c>
      <c r="L932" t="str">
        <f>IFERROR(IF(INDEX(使用レシピ!M:M,MATCH(テンプレート!$C932,使用レシピ!$E:$E,0))&lt;&gt;0,INDEX(使用レシピ!M:M,MATCH(テンプレート!$C932,使用レシピ!$E:$E,0)),""),"")</f>
        <v/>
      </c>
      <c r="M932" t="str">
        <f>IFERROR(IF(INDEX(使用レシピ!N:N,MATCH(テンプレート!$C932,使用レシピ!$E:$E,0))&lt;&gt;0,INDEX(使用レシピ!N:N,MATCH(テンプレート!$C932,使用レシピ!$E:$E,0)),""),"")</f>
        <v/>
      </c>
      <c r="N932" s="24" t="str">
        <f>IFERROR(IF(INDEX(使用レシピ!O:O,MATCH(テンプレート!$C932,使用レシピ!$E:$E,0))&lt;&gt;0,INDEX(使用レシピ!O:O,MATCH(テンプレート!$C932,使用レシピ!$E:$E,0)),""),"")</f>
        <v/>
      </c>
      <c r="O932" s="36" t="str">
        <f>IFERROR(IF(INDEX(使用レシピ!P:P,MATCH(テンプレート!$C932,使用レシピ!$E:$E,0))&lt;&gt;0,INDEX(使用レシピ!P:P,MATCH(テンプレート!$C932,使用レシピ!$E:$E,0)),""),"")</f>
        <v/>
      </c>
      <c r="P932" t="str">
        <f t="shared" si="71"/>
        <v/>
      </c>
      <c r="Q932" t="str">
        <f t="shared" si="72"/>
        <v/>
      </c>
      <c r="R932" t="str">
        <f t="shared" si="73"/>
        <v/>
      </c>
      <c r="S932" t="str">
        <f t="shared" si="74"/>
        <v/>
      </c>
      <c r="T932" s="24" t="str">
        <f t="shared" si="75"/>
        <v/>
      </c>
    </row>
    <row r="933" spans="2:20" x14ac:dyDescent="0.4">
      <c r="B933" s="49" t="str" cm="1">
        <f t="array" ref="B933">IFERROR((INDEX($P$4:$T$1000,MATCH(VALUE(LEFT($A933,LEN($A933)-1)),$A$4:$A$1000,0),VALUE(RIGHT($A933,1)))/ INDEX($O$4:$O$1000,MATCH(VALUE(LEFT($A933,LEN($A933)-1)),$A$4:$A$1000))) * INDEX($B$4:$B$1000,MATCH(VALUE(LEFT($A933,LEN($A933)-1)),$A$4:$A$1000)),"")</f>
        <v/>
      </c>
      <c r="C933" s="2" t="str" cm="1">
        <f t="array" ref="C933">IFERROR(IF(INDEX($D$4:$H$1000,MATCH(VALUE(LEFT($A933,LEN($A933)-1)),$A$4:$A$1000,0),VALUE(RIGHT($A933,1)))= 0,"",INDEX($D$4:$H$1000,MATCH(VALUE(LEFT($A933,LEN($A933)-1)),$A$4:$A$1000,0),VALUE(RIGHT($A933,1)))),"")</f>
        <v/>
      </c>
      <c r="D933" s="23" t="str">
        <f>IFERROR(IF(INDEX(使用レシピ!F:F,MATCH(テンプレート!$C933,使用レシピ!$E:$E,0))&lt;&gt;0,INDEX(使用レシピ!F:F,MATCH(テンプレート!$C933,使用レシピ!$E:$E,0)),""),"")</f>
        <v/>
      </c>
      <c r="E933" t="str">
        <f>IFERROR(IF(INDEX(使用レシピ!G:G,MATCH(テンプレート!$C933,使用レシピ!$E:$E,0))&lt;&gt;0,INDEX(使用レシピ!G:G,MATCH(テンプレート!$C933,使用レシピ!$E:$E,0)),""),"")</f>
        <v/>
      </c>
      <c r="F933" t="str">
        <f>IFERROR(IF(INDEX(使用レシピ!H:H,MATCH(テンプレート!$C933,使用レシピ!$E:$E,0))&lt;&gt;0,INDEX(使用レシピ!H:H,MATCH(テンプレート!$C933,使用レシピ!$E:$E,0)),""),"")</f>
        <v/>
      </c>
      <c r="G933" t="str">
        <f>IFERROR(IF(INDEX(使用レシピ!I:I,MATCH(テンプレート!$C933,使用レシピ!$E:$E,0))&lt;&gt;0,INDEX(使用レシピ!I:I,MATCH(テンプレート!$C933,使用レシピ!$E:$E,0)),""),"")</f>
        <v/>
      </c>
      <c r="H933" s="24" t="str">
        <f>IFERROR(IF(INDEX(使用レシピ!J:J,MATCH(テンプレート!$C933,使用レシピ!$E:$E,0))&lt;&gt;0,INDEX(使用レシピ!J:J,MATCH(テンプレート!$C933,使用レシピ!$E:$E,0)),""),"")</f>
        <v/>
      </c>
      <c r="I933" s="36" t="str">
        <f>IFERROR(IF(INDEX(使用レシピ!P:P,MATCH(テンプレート!$C933,使用レシピ!$E:$E,0))&lt;&gt;0,INDEX(使用レシピ!P:P,MATCH(テンプレート!$C933,使用レシピ!$E:$E,0)),""),"")</f>
        <v/>
      </c>
      <c r="J933" t="str">
        <f>IFERROR(IF(INDEX(使用レシピ!K:K,MATCH(テンプレート!$C933,使用レシピ!$E:$E,0))&lt;&gt;0,INDEX(使用レシピ!K:K,MATCH(テンプレート!$C933,使用レシピ!$E:$E,0)),""),"")</f>
        <v/>
      </c>
      <c r="K933" t="str">
        <f>IFERROR(IF(INDEX(使用レシピ!L:L,MATCH(テンプレート!$C933,使用レシピ!$E:$E,0))&lt;&gt;0,INDEX(使用レシピ!L:L,MATCH(テンプレート!$C933,使用レシピ!$E:$E,0)),""),"")</f>
        <v/>
      </c>
      <c r="L933" t="str">
        <f>IFERROR(IF(INDEX(使用レシピ!M:M,MATCH(テンプレート!$C933,使用レシピ!$E:$E,0))&lt;&gt;0,INDEX(使用レシピ!M:M,MATCH(テンプレート!$C933,使用レシピ!$E:$E,0)),""),"")</f>
        <v/>
      </c>
      <c r="M933" t="str">
        <f>IFERROR(IF(INDEX(使用レシピ!N:N,MATCH(テンプレート!$C933,使用レシピ!$E:$E,0))&lt;&gt;0,INDEX(使用レシピ!N:N,MATCH(テンプレート!$C933,使用レシピ!$E:$E,0)),""),"")</f>
        <v/>
      </c>
      <c r="N933" s="24" t="str">
        <f>IFERROR(IF(INDEX(使用レシピ!O:O,MATCH(テンプレート!$C933,使用レシピ!$E:$E,0))&lt;&gt;0,INDEX(使用レシピ!O:O,MATCH(テンプレート!$C933,使用レシピ!$E:$E,0)),""),"")</f>
        <v/>
      </c>
      <c r="O933" s="36" t="str">
        <f>IFERROR(IF(INDEX(使用レシピ!P:P,MATCH(テンプレート!$C933,使用レシピ!$E:$E,0))&lt;&gt;0,INDEX(使用レシピ!P:P,MATCH(テンプレート!$C933,使用レシピ!$E:$E,0)),""),"")</f>
        <v/>
      </c>
      <c r="P933" t="str">
        <f t="shared" si="71"/>
        <v/>
      </c>
      <c r="Q933" t="str">
        <f t="shared" si="72"/>
        <v/>
      </c>
      <c r="R933" t="str">
        <f t="shared" si="73"/>
        <v/>
      </c>
      <c r="S933" t="str">
        <f t="shared" si="74"/>
        <v/>
      </c>
      <c r="T933" s="24" t="str">
        <f t="shared" si="75"/>
        <v/>
      </c>
    </row>
    <row r="934" spans="2:20" x14ac:dyDescent="0.4">
      <c r="B934" s="49" t="str" cm="1">
        <f t="array" ref="B934">IFERROR((INDEX($P$4:$T$1000,MATCH(VALUE(LEFT($A934,LEN($A934)-1)),$A$4:$A$1000,0),VALUE(RIGHT($A934,1)))/ INDEX($O$4:$O$1000,MATCH(VALUE(LEFT($A934,LEN($A934)-1)),$A$4:$A$1000))) * INDEX($B$4:$B$1000,MATCH(VALUE(LEFT($A934,LEN($A934)-1)),$A$4:$A$1000)),"")</f>
        <v/>
      </c>
      <c r="C934" s="2" t="str" cm="1">
        <f t="array" ref="C934">IFERROR(IF(INDEX($D$4:$H$1000,MATCH(VALUE(LEFT($A934,LEN($A934)-1)),$A$4:$A$1000,0),VALUE(RIGHT($A934,1)))= 0,"",INDEX($D$4:$H$1000,MATCH(VALUE(LEFT($A934,LEN($A934)-1)),$A$4:$A$1000,0),VALUE(RIGHT($A934,1)))),"")</f>
        <v/>
      </c>
      <c r="D934" s="23" t="str">
        <f>IFERROR(IF(INDEX(使用レシピ!F:F,MATCH(テンプレート!$C934,使用レシピ!$E:$E,0))&lt;&gt;0,INDEX(使用レシピ!F:F,MATCH(テンプレート!$C934,使用レシピ!$E:$E,0)),""),"")</f>
        <v/>
      </c>
      <c r="E934" t="str">
        <f>IFERROR(IF(INDEX(使用レシピ!G:G,MATCH(テンプレート!$C934,使用レシピ!$E:$E,0))&lt;&gt;0,INDEX(使用レシピ!G:G,MATCH(テンプレート!$C934,使用レシピ!$E:$E,0)),""),"")</f>
        <v/>
      </c>
      <c r="F934" t="str">
        <f>IFERROR(IF(INDEX(使用レシピ!H:H,MATCH(テンプレート!$C934,使用レシピ!$E:$E,0))&lt;&gt;0,INDEX(使用レシピ!H:H,MATCH(テンプレート!$C934,使用レシピ!$E:$E,0)),""),"")</f>
        <v/>
      </c>
      <c r="G934" t="str">
        <f>IFERROR(IF(INDEX(使用レシピ!I:I,MATCH(テンプレート!$C934,使用レシピ!$E:$E,0))&lt;&gt;0,INDEX(使用レシピ!I:I,MATCH(テンプレート!$C934,使用レシピ!$E:$E,0)),""),"")</f>
        <v/>
      </c>
      <c r="H934" s="24" t="str">
        <f>IFERROR(IF(INDEX(使用レシピ!J:J,MATCH(テンプレート!$C934,使用レシピ!$E:$E,0))&lt;&gt;0,INDEX(使用レシピ!J:J,MATCH(テンプレート!$C934,使用レシピ!$E:$E,0)),""),"")</f>
        <v/>
      </c>
      <c r="I934" s="36" t="str">
        <f>IFERROR(IF(INDEX(使用レシピ!P:P,MATCH(テンプレート!$C934,使用レシピ!$E:$E,0))&lt;&gt;0,INDEX(使用レシピ!P:P,MATCH(テンプレート!$C934,使用レシピ!$E:$E,0)),""),"")</f>
        <v/>
      </c>
      <c r="J934" t="str">
        <f>IFERROR(IF(INDEX(使用レシピ!K:K,MATCH(テンプレート!$C934,使用レシピ!$E:$E,0))&lt;&gt;0,INDEX(使用レシピ!K:K,MATCH(テンプレート!$C934,使用レシピ!$E:$E,0)),""),"")</f>
        <v/>
      </c>
      <c r="K934" t="str">
        <f>IFERROR(IF(INDEX(使用レシピ!L:L,MATCH(テンプレート!$C934,使用レシピ!$E:$E,0))&lt;&gt;0,INDEX(使用レシピ!L:L,MATCH(テンプレート!$C934,使用レシピ!$E:$E,0)),""),"")</f>
        <v/>
      </c>
      <c r="L934" t="str">
        <f>IFERROR(IF(INDEX(使用レシピ!M:M,MATCH(テンプレート!$C934,使用レシピ!$E:$E,0))&lt;&gt;0,INDEX(使用レシピ!M:M,MATCH(テンプレート!$C934,使用レシピ!$E:$E,0)),""),"")</f>
        <v/>
      </c>
      <c r="M934" t="str">
        <f>IFERROR(IF(INDEX(使用レシピ!N:N,MATCH(テンプレート!$C934,使用レシピ!$E:$E,0))&lt;&gt;0,INDEX(使用レシピ!N:N,MATCH(テンプレート!$C934,使用レシピ!$E:$E,0)),""),"")</f>
        <v/>
      </c>
      <c r="N934" s="24" t="str">
        <f>IFERROR(IF(INDEX(使用レシピ!O:O,MATCH(テンプレート!$C934,使用レシピ!$E:$E,0))&lt;&gt;0,INDEX(使用レシピ!O:O,MATCH(テンプレート!$C934,使用レシピ!$E:$E,0)),""),"")</f>
        <v/>
      </c>
      <c r="O934" s="36" t="str">
        <f>IFERROR(IF(INDEX(使用レシピ!P:P,MATCH(テンプレート!$C934,使用レシピ!$E:$E,0))&lt;&gt;0,INDEX(使用レシピ!P:P,MATCH(テンプレート!$C934,使用レシピ!$E:$E,0)),""),"")</f>
        <v/>
      </c>
      <c r="P934" t="str">
        <f t="shared" si="71"/>
        <v/>
      </c>
      <c r="Q934" t="str">
        <f t="shared" si="72"/>
        <v/>
      </c>
      <c r="R934" t="str">
        <f t="shared" si="73"/>
        <v/>
      </c>
      <c r="S934" t="str">
        <f t="shared" si="74"/>
        <v/>
      </c>
      <c r="T934" s="24" t="str">
        <f t="shared" si="75"/>
        <v/>
      </c>
    </row>
    <row r="935" spans="2:20" x14ac:dyDescent="0.4">
      <c r="B935" s="49" t="str" cm="1">
        <f t="array" ref="B935">IFERROR((INDEX($P$4:$T$1000,MATCH(VALUE(LEFT($A935,LEN($A935)-1)),$A$4:$A$1000,0),VALUE(RIGHT($A935,1)))/ INDEX($O$4:$O$1000,MATCH(VALUE(LEFT($A935,LEN($A935)-1)),$A$4:$A$1000))) * INDEX($B$4:$B$1000,MATCH(VALUE(LEFT($A935,LEN($A935)-1)),$A$4:$A$1000)),"")</f>
        <v/>
      </c>
      <c r="C935" s="2" t="str" cm="1">
        <f t="array" ref="C935">IFERROR(IF(INDEX($D$4:$H$1000,MATCH(VALUE(LEFT($A935,LEN($A935)-1)),$A$4:$A$1000,0),VALUE(RIGHT($A935,1)))= 0,"",INDEX($D$4:$H$1000,MATCH(VALUE(LEFT($A935,LEN($A935)-1)),$A$4:$A$1000,0),VALUE(RIGHT($A935,1)))),"")</f>
        <v/>
      </c>
      <c r="D935" s="23" t="str">
        <f>IFERROR(IF(INDEX(使用レシピ!F:F,MATCH(テンプレート!$C935,使用レシピ!$E:$E,0))&lt;&gt;0,INDEX(使用レシピ!F:F,MATCH(テンプレート!$C935,使用レシピ!$E:$E,0)),""),"")</f>
        <v/>
      </c>
      <c r="E935" t="str">
        <f>IFERROR(IF(INDEX(使用レシピ!G:G,MATCH(テンプレート!$C935,使用レシピ!$E:$E,0))&lt;&gt;0,INDEX(使用レシピ!G:G,MATCH(テンプレート!$C935,使用レシピ!$E:$E,0)),""),"")</f>
        <v/>
      </c>
      <c r="F935" t="str">
        <f>IFERROR(IF(INDEX(使用レシピ!H:H,MATCH(テンプレート!$C935,使用レシピ!$E:$E,0))&lt;&gt;0,INDEX(使用レシピ!H:H,MATCH(テンプレート!$C935,使用レシピ!$E:$E,0)),""),"")</f>
        <v/>
      </c>
      <c r="G935" t="str">
        <f>IFERROR(IF(INDEX(使用レシピ!I:I,MATCH(テンプレート!$C935,使用レシピ!$E:$E,0))&lt;&gt;0,INDEX(使用レシピ!I:I,MATCH(テンプレート!$C935,使用レシピ!$E:$E,0)),""),"")</f>
        <v/>
      </c>
      <c r="H935" s="24" t="str">
        <f>IFERROR(IF(INDEX(使用レシピ!J:J,MATCH(テンプレート!$C935,使用レシピ!$E:$E,0))&lt;&gt;0,INDEX(使用レシピ!J:J,MATCH(テンプレート!$C935,使用レシピ!$E:$E,0)),""),"")</f>
        <v/>
      </c>
      <c r="I935" s="36" t="str">
        <f>IFERROR(IF(INDEX(使用レシピ!P:P,MATCH(テンプレート!$C935,使用レシピ!$E:$E,0))&lt;&gt;0,INDEX(使用レシピ!P:P,MATCH(テンプレート!$C935,使用レシピ!$E:$E,0)),""),"")</f>
        <v/>
      </c>
      <c r="J935" t="str">
        <f>IFERROR(IF(INDEX(使用レシピ!K:K,MATCH(テンプレート!$C935,使用レシピ!$E:$E,0))&lt;&gt;0,INDEX(使用レシピ!K:K,MATCH(テンプレート!$C935,使用レシピ!$E:$E,0)),""),"")</f>
        <v/>
      </c>
      <c r="K935" t="str">
        <f>IFERROR(IF(INDEX(使用レシピ!L:L,MATCH(テンプレート!$C935,使用レシピ!$E:$E,0))&lt;&gt;0,INDEX(使用レシピ!L:L,MATCH(テンプレート!$C935,使用レシピ!$E:$E,0)),""),"")</f>
        <v/>
      </c>
      <c r="L935" t="str">
        <f>IFERROR(IF(INDEX(使用レシピ!M:M,MATCH(テンプレート!$C935,使用レシピ!$E:$E,0))&lt;&gt;0,INDEX(使用レシピ!M:M,MATCH(テンプレート!$C935,使用レシピ!$E:$E,0)),""),"")</f>
        <v/>
      </c>
      <c r="M935" t="str">
        <f>IFERROR(IF(INDEX(使用レシピ!N:N,MATCH(テンプレート!$C935,使用レシピ!$E:$E,0))&lt;&gt;0,INDEX(使用レシピ!N:N,MATCH(テンプレート!$C935,使用レシピ!$E:$E,0)),""),"")</f>
        <v/>
      </c>
      <c r="N935" s="24" t="str">
        <f>IFERROR(IF(INDEX(使用レシピ!O:O,MATCH(テンプレート!$C935,使用レシピ!$E:$E,0))&lt;&gt;0,INDEX(使用レシピ!O:O,MATCH(テンプレート!$C935,使用レシピ!$E:$E,0)),""),"")</f>
        <v/>
      </c>
      <c r="O935" s="36" t="str">
        <f>IFERROR(IF(INDEX(使用レシピ!P:P,MATCH(テンプレート!$C935,使用レシピ!$E:$E,0))&lt;&gt;0,INDEX(使用レシピ!P:P,MATCH(テンプレート!$C935,使用レシピ!$E:$E,0)),""),"")</f>
        <v/>
      </c>
      <c r="P935" t="str">
        <f t="shared" si="71"/>
        <v/>
      </c>
      <c r="Q935" t="str">
        <f t="shared" si="72"/>
        <v/>
      </c>
      <c r="R935" t="str">
        <f t="shared" si="73"/>
        <v/>
      </c>
      <c r="S935" t="str">
        <f t="shared" si="74"/>
        <v/>
      </c>
      <c r="T935" s="24" t="str">
        <f t="shared" si="75"/>
        <v/>
      </c>
    </row>
    <row r="936" spans="2:20" x14ac:dyDescent="0.4">
      <c r="B936" s="49" t="str" cm="1">
        <f t="array" ref="B936">IFERROR((INDEX($P$4:$T$1000,MATCH(VALUE(LEFT($A936,LEN($A936)-1)),$A$4:$A$1000,0),VALUE(RIGHT($A936,1)))/ INDEX($O$4:$O$1000,MATCH(VALUE(LEFT($A936,LEN($A936)-1)),$A$4:$A$1000))) * INDEX($B$4:$B$1000,MATCH(VALUE(LEFT($A936,LEN($A936)-1)),$A$4:$A$1000)),"")</f>
        <v/>
      </c>
      <c r="C936" s="2" t="str" cm="1">
        <f t="array" ref="C936">IFERROR(IF(INDEX($D$4:$H$1000,MATCH(VALUE(LEFT($A936,LEN($A936)-1)),$A$4:$A$1000,0),VALUE(RIGHT($A936,1)))= 0,"",INDEX($D$4:$H$1000,MATCH(VALUE(LEFT($A936,LEN($A936)-1)),$A$4:$A$1000,0),VALUE(RIGHT($A936,1)))),"")</f>
        <v/>
      </c>
      <c r="D936" s="23" t="str">
        <f>IFERROR(IF(INDEX(使用レシピ!F:F,MATCH(テンプレート!$C936,使用レシピ!$E:$E,0))&lt;&gt;0,INDEX(使用レシピ!F:F,MATCH(テンプレート!$C936,使用レシピ!$E:$E,0)),""),"")</f>
        <v/>
      </c>
      <c r="E936" t="str">
        <f>IFERROR(IF(INDEX(使用レシピ!G:G,MATCH(テンプレート!$C936,使用レシピ!$E:$E,0))&lt;&gt;0,INDEX(使用レシピ!G:G,MATCH(テンプレート!$C936,使用レシピ!$E:$E,0)),""),"")</f>
        <v/>
      </c>
      <c r="F936" t="str">
        <f>IFERROR(IF(INDEX(使用レシピ!H:H,MATCH(テンプレート!$C936,使用レシピ!$E:$E,0))&lt;&gt;0,INDEX(使用レシピ!H:H,MATCH(テンプレート!$C936,使用レシピ!$E:$E,0)),""),"")</f>
        <v/>
      </c>
      <c r="G936" t="str">
        <f>IFERROR(IF(INDEX(使用レシピ!I:I,MATCH(テンプレート!$C936,使用レシピ!$E:$E,0))&lt;&gt;0,INDEX(使用レシピ!I:I,MATCH(テンプレート!$C936,使用レシピ!$E:$E,0)),""),"")</f>
        <v/>
      </c>
      <c r="H936" s="24" t="str">
        <f>IFERROR(IF(INDEX(使用レシピ!J:J,MATCH(テンプレート!$C936,使用レシピ!$E:$E,0))&lt;&gt;0,INDEX(使用レシピ!J:J,MATCH(テンプレート!$C936,使用レシピ!$E:$E,0)),""),"")</f>
        <v/>
      </c>
      <c r="I936" s="36" t="str">
        <f>IFERROR(IF(INDEX(使用レシピ!P:P,MATCH(テンプレート!$C936,使用レシピ!$E:$E,0))&lt;&gt;0,INDEX(使用レシピ!P:P,MATCH(テンプレート!$C936,使用レシピ!$E:$E,0)),""),"")</f>
        <v/>
      </c>
      <c r="J936" t="str">
        <f>IFERROR(IF(INDEX(使用レシピ!K:K,MATCH(テンプレート!$C936,使用レシピ!$E:$E,0))&lt;&gt;0,INDEX(使用レシピ!K:K,MATCH(テンプレート!$C936,使用レシピ!$E:$E,0)),""),"")</f>
        <v/>
      </c>
      <c r="K936" t="str">
        <f>IFERROR(IF(INDEX(使用レシピ!L:L,MATCH(テンプレート!$C936,使用レシピ!$E:$E,0))&lt;&gt;0,INDEX(使用レシピ!L:L,MATCH(テンプレート!$C936,使用レシピ!$E:$E,0)),""),"")</f>
        <v/>
      </c>
      <c r="L936" t="str">
        <f>IFERROR(IF(INDEX(使用レシピ!M:M,MATCH(テンプレート!$C936,使用レシピ!$E:$E,0))&lt;&gt;0,INDEX(使用レシピ!M:M,MATCH(テンプレート!$C936,使用レシピ!$E:$E,0)),""),"")</f>
        <v/>
      </c>
      <c r="M936" t="str">
        <f>IFERROR(IF(INDEX(使用レシピ!N:N,MATCH(テンプレート!$C936,使用レシピ!$E:$E,0))&lt;&gt;0,INDEX(使用レシピ!N:N,MATCH(テンプレート!$C936,使用レシピ!$E:$E,0)),""),"")</f>
        <v/>
      </c>
      <c r="N936" s="24" t="str">
        <f>IFERROR(IF(INDEX(使用レシピ!O:O,MATCH(テンプレート!$C936,使用レシピ!$E:$E,0))&lt;&gt;0,INDEX(使用レシピ!O:O,MATCH(テンプレート!$C936,使用レシピ!$E:$E,0)),""),"")</f>
        <v/>
      </c>
      <c r="O936" s="36" t="str">
        <f>IFERROR(IF(INDEX(使用レシピ!P:P,MATCH(テンプレート!$C936,使用レシピ!$E:$E,0))&lt;&gt;0,INDEX(使用レシピ!P:P,MATCH(テンプレート!$C936,使用レシピ!$E:$E,0)),""),"")</f>
        <v/>
      </c>
      <c r="P936" t="str">
        <f t="shared" si="71"/>
        <v/>
      </c>
      <c r="Q936" t="str">
        <f t="shared" si="72"/>
        <v/>
      </c>
      <c r="R936" t="str">
        <f t="shared" si="73"/>
        <v/>
      </c>
      <c r="S936" t="str">
        <f t="shared" si="74"/>
        <v/>
      </c>
      <c r="T936" s="24" t="str">
        <f t="shared" si="75"/>
        <v/>
      </c>
    </row>
    <row r="937" spans="2:20" x14ac:dyDescent="0.4">
      <c r="B937" s="49" t="str" cm="1">
        <f t="array" ref="B937">IFERROR((INDEX($P$4:$T$1000,MATCH(VALUE(LEFT($A937,LEN($A937)-1)),$A$4:$A$1000,0),VALUE(RIGHT($A937,1)))/ INDEX($O$4:$O$1000,MATCH(VALUE(LEFT($A937,LEN($A937)-1)),$A$4:$A$1000))) * INDEX($B$4:$B$1000,MATCH(VALUE(LEFT($A937,LEN($A937)-1)),$A$4:$A$1000)),"")</f>
        <v/>
      </c>
      <c r="C937" s="2" t="str" cm="1">
        <f t="array" ref="C937">IFERROR(IF(INDEX($D$4:$H$1000,MATCH(VALUE(LEFT($A937,LEN($A937)-1)),$A$4:$A$1000,0),VALUE(RIGHT($A937,1)))= 0,"",INDEX($D$4:$H$1000,MATCH(VALUE(LEFT($A937,LEN($A937)-1)),$A$4:$A$1000,0),VALUE(RIGHT($A937,1)))),"")</f>
        <v/>
      </c>
      <c r="D937" s="23" t="str">
        <f>IFERROR(IF(INDEX(使用レシピ!F:F,MATCH(テンプレート!$C937,使用レシピ!$E:$E,0))&lt;&gt;0,INDEX(使用レシピ!F:F,MATCH(テンプレート!$C937,使用レシピ!$E:$E,0)),""),"")</f>
        <v/>
      </c>
      <c r="E937" t="str">
        <f>IFERROR(IF(INDEX(使用レシピ!G:G,MATCH(テンプレート!$C937,使用レシピ!$E:$E,0))&lt;&gt;0,INDEX(使用レシピ!G:G,MATCH(テンプレート!$C937,使用レシピ!$E:$E,0)),""),"")</f>
        <v/>
      </c>
      <c r="F937" t="str">
        <f>IFERROR(IF(INDEX(使用レシピ!H:H,MATCH(テンプレート!$C937,使用レシピ!$E:$E,0))&lt;&gt;0,INDEX(使用レシピ!H:H,MATCH(テンプレート!$C937,使用レシピ!$E:$E,0)),""),"")</f>
        <v/>
      </c>
      <c r="G937" t="str">
        <f>IFERROR(IF(INDEX(使用レシピ!I:I,MATCH(テンプレート!$C937,使用レシピ!$E:$E,0))&lt;&gt;0,INDEX(使用レシピ!I:I,MATCH(テンプレート!$C937,使用レシピ!$E:$E,0)),""),"")</f>
        <v/>
      </c>
      <c r="H937" s="24" t="str">
        <f>IFERROR(IF(INDEX(使用レシピ!J:J,MATCH(テンプレート!$C937,使用レシピ!$E:$E,0))&lt;&gt;0,INDEX(使用レシピ!J:J,MATCH(テンプレート!$C937,使用レシピ!$E:$E,0)),""),"")</f>
        <v/>
      </c>
      <c r="I937" s="36" t="str">
        <f>IFERROR(IF(INDEX(使用レシピ!P:P,MATCH(テンプレート!$C937,使用レシピ!$E:$E,0))&lt;&gt;0,INDEX(使用レシピ!P:P,MATCH(テンプレート!$C937,使用レシピ!$E:$E,0)),""),"")</f>
        <v/>
      </c>
      <c r="J937" t="str">
        <f>IFERROR(IF(INDEX(使用レシピ!K:K,MATCH(テンプレート!$C937,使用レシピ!$E:$E,0))&lt;&gt;0,INDEX(使用レシピ!K:K,MATCH(テンプレート!$C937,使用レシピ!$E:$E,0)),""),"")</f>
        <v/>
      </c>
      <c r="K937" t="str">
        <f>IFERROR(IF(INDEX(使用レシピ!L:L,MATCH(テンプレート!$C937,使用レシピ!$E:$E,0))&lt;&gt;0,INDEX(使用レシピ!L:L,MATCH(テンプレート!$C937,使用レシピ!$E:$E,0)),""),"")</f>
        <v/>
      </c>
      <c r="L937" t="str">
        <f>IFERROR(IF(INDEX(使用レシピ!M:M,MATCH(テンプレート!$C937,使用レシピ!$E:$E,0))&lt;&gt;0,INDEX(使用レシピ!M:M,MATCH(テンプレート!$C937,使用レシピ!$E:$E,0)),""),"")</f>
        <v/>
      </c>
      <c r="M937" t="str">
        <f>IFERROR(IF(INDEX(使用レシピ!N:N,MATCH(テンプレート!$C937,使用レシピ!$E:$E,0))&lt;&gt;0,INDEX(使用レシピ!N:N,MATCH(テンプレート!$C937,使用レシピ!$E:$E,0)),""),"")</f>
        <v/>
      </c>
      <c r="N937" s="24" t="str">
        <f>IFERROR(IF(INDEX(使用レシピ!O:O,MATCH(テンプレート!$C937,使用レシピ!$E:$E,0))&lt;&gt;0,INDEX(使用レシピ!O:O,MATCH(テンプレート!$C937,使用レシピ!$E:$E,0)),""),"")</f>
        <v/>
      </c>
      <c r="O937" s="36" t="str">
        <f>IFERROR(IF(INDEX(使用レシピ!P:P,MATCH(テンプレート!$C937,使用レシピ!$E:$E,0))&lt;&gt;0,INDEX(使用レシピ!P:P,MATCH(テンプレート!$C937,使用レシピ!$E:$E,0)),""),"")</f>
        <v/>
      </c>
      <c r="P937" t="str">
        <f t="shared" si="71"/>
        <v/>
      </c>
      <c r="Q937" t="str">
        <f t="shared" si="72"/>
        <v/>
      </c>
      <c r="R937" t="str">
        <f t="shared" si="73"/>
        <v/>
      </c>
      <c r="S937" t="str">
        <f t="shared" si="74"/>
        <v/>
      </c>
      <c r="T937" s="24" t="str">
        <f t="shared" si="75"/>
        <v/>
      </c>
    </row>
    <row r="938" spans="2:20" x14ac:dyDescent="0.4">
      <c r="B938" s="49" t="str" cm="1">
        <f t="array" ref="B938">IFERROR((INDEX($P$4:$T$1000,MATCH(VALUE(LEFT($A938,LEN($A938)-1)),$A$4:$A$1000,0),VALUE(RIGHT($A938,1)))/ INDEX($O$4:$O$1000,MATCH(VALUE(LEFT($A938,LEN($A938)-1)),$A$4:$A$1000))) * INDEX($B$4:$B$1000,MATCH(VALUE(LEFT($A938,LEN($A938)-1)),$A$4:$A$1000)),"")</f>
        <v/>
      </c>
      <c r="C938" s="2" t="str" cm="1">
        <f t="array" ref="C938">IFERROR(IF(INDEX($D$4:$H$1000,MATCH(VALUE(LEFT($A938,LEN($A938)-1)),$A$4:$A$1000,0),VALUE(RIGHT($A938,1)))= 0,"",INDEX($D$4:$H$1000,MATCH(VALUE(LEFT($A938,LEN($A938)-1)),$A$4:$A$1000,0),VALUE(RIGHT($A938,1)))),"")</f>
        <v/>
      </c>
      <c r="D938" s="23" t="str">
        <f>IFERROR(IF(INDEX(使用レシピ!F:F,MATCH(テンプレート!$C938,使用レシピ!$E:$E,0))&lt;&gt;0,INDEX(使用レシピ!F:F,MATCH(テンプレート!$C938,使用レシピ!$E:$E,0)),""),"")</f>
        <v/>
      </c>
      <c r="E938" t="str">
        <f>IFERROR(IF(INDEX(使用レシピ!G:G,MATCH(テンプレート!$C938,使用レシピ!$E:$E,0))&lt;&gt;0,INDEX(使用レシピ!G:G,MATCH(テンプレート!$C938,使用レシピ!$E:$E,0)),""),"")</f>
        <v/>
      </c>
      <c r="F938" t="str">
        <f>IFERROR(IF(INDEX(使用レシピ!H:H,MATCH(テンプレート!$C938,使用レシピ!$E:$E,0))&lt;&gt;0,INDEX(使用レシピ!H:H,MATCH(テンプレート!$C938,使用レシピ!$E:$E,0)),""),"")</f>
        <v/>
      </c>
      <c r="G938" t="str">
        <f>IFERROR(IF(INDEX(使用レシピ!I:I,MATCH(テンプレート!$C938,使用レシピ!$E:$E,0))&lt;&gt;0,INDEX(使用レシピ!I:I,MATCH(テンプレート!$C938,使用レシピ!$E:$E,0)),""),"")</f>
        <v/>
      </c>
      <c r="H938" s="24" t="str">
        <f>IFERROR(IF(INDEX(使用レシピ!J:J,MATCH(テンプレート!$C938,使用レシピ!$E:$E,0))&lt;&gt;0,INDEX(使用レシピ!J:J,MATCH(テンプレート!$C938,使用レシピ!$E:$E,0)),""),"")</f>
        <v/>
      </c>
      <c r="I938" s="36" t="str">
        <f>IFERROR(IF(INDEX(使用レシピ!P:P,MATCH(テンプレート!$C938,使用レシピ!$E:$E,0))&lt;&gt;0,INDEX(使用レシピ!P:P,MATCH(テンプレート!$C938,使用レシピ!$E:$E,0)),""),"")</f>
        <v/>
      </c>
      <c r="J938" t="str">
        <f>IFERROR(IF(INDEX(使用レシピ!K:K,MATCH(テンプレート!$C938,使用レシピ!$E:$E,0))&lt;&gt;0,INDEX(使用レシピ!K:K,MATCH(テンプレート!$C938,使用レシピ!$E:$E,0)),""),"")</f>
        <v/>
      </c>
      <c r="K938" t="str">
        <f>IFERROR(IF(INDEX(使用レシピ!L:L,MATCH(テンプレート!$C938,使用レシピ!$E:$E,0))&lt;&gt;0,INDEX(使用レシピ!L:L,MATCH(テンプレート!$C938,使用レシピ!$E:$E,0)),""),"")</f>
        <v/>
      </c>
      <c r="L938" t="str">
        <f>IFERROR(IF(INDEX(使用レシピ!M:M,MATCH(テンプレート!$C938,使用レシピ!$E:$E,0))&lt;&gt;0,INDEX(使用レシピ!M:M,MATCH(テンプレート!$C938,使用レシピ!$E:$E,0)),""),"")</f>
        <v/>
      </c>
      <c r="M938" t="str">
        <f>IFERROR(IF(INDEX(使用レシピ!N:N,MATCH(テンプレート!$C938,使用レシピ!$E:$E,0))&lt;&gt;0,INDEX(使用レシピ!N:N,MATCH(テンプレート!$C938,使用レシピ!$E:$E,0)),""),"")</f>
        <v/>
      </c>
      <c r="N938" s="24" t="str">
        <f>IFERROR(IF(INDEX(使用レシピ!O:O,MATCH(テンプレート!$C938,使用レシピ!$E:$E,0))&lt;&gt;0,INDEX(使用レシピ!O:O,MATCH(テンプレート!$C938,使用レシピ!$E:$E,0)),""),"")</f>
        <v/>
      </c>
      <c r="O938" s="36" t="str">
        <f>IFERROR(IF(INDEX(使用レシピ!P:P,MATCH(テンプレート!$C938,使用レシピ!$E:$E,0))&lt;&gt;0,INDEX(使用レシピ!P:P,MATCH(テンプレート!$C938,使用レシピ!$E:$E,0)),""),"")</f>
        <v/>
      </c>
      <c r="P938" t="str">
        <f t="shared" si="71"/>
        <v/>
      </c>
      <c r="Q938" t="str">
        <f t="shared" si="72"/>
        <v/>
      </c>
      <c r="R938" t="str">
        <f t="shared" si="73"/>
        <v/>
      </c>
      <c r="S938" t="str">
        <f t="shared" si="74"/>
        <v/>
      </c>
      <c r="T938" s="24" t="str">
        <f t="shared" si="75"/>
        <v/>
      </c>
    </row>
    <row r="939" spans="2:20" x14ac:dyDescent="0.4">
      <c r="B939" s="49" t="str" cm="1">
        <f t="array" ref="B939">IFERROR((INDEX($P$4:$T$1000,MATCH(VALUE(LEFT($A939,LEN($A939)-1)),$A$4:$A$1000,0),VALUE(RIGHT($A939,1)))/ INDEX($O$4:$O$1000,MATCH(VALUE(LEFT($A939,LEN($A939)-1)),$A$4:$A$1000))) * INDEX($B$4:$B$1000,MATCH(VALUE(LEFT($A939,LEN($A939)-1)),$A$4:$A$1000)),"")</f>
        <v/>
      </c>
      <c r="C939" s="2" t="str" cm="1">
        <f t="array" ref="C939">IFERROR(IF(INDEX($D$4:$H$1000,MATCH(VALUE(LEFT($A939,LEN($A939)-1)),$A$4:$A$1000,0),VALUE(RIGHT($A939,1)))= 0,"",INDEX($D$4:$H$1000,MATCH(VALUE(LEFT($A939,LEN($A939)-1)),$A$4:$A$1000,0),VALUE(RIGHT($A939,1)))),"")</f>
        <v/>
      </c>
      <c r="D939" s="23" t="str">
        <f>IFERROR(IF(INDEX(使用レシピ!F:F,MATCH(テンプレート!$C939,使用レシピ!$E:$E,0))&lt;&gt;0,INDEX(使用レシピ!F:F,MATCH(テンプレート!$C939,使用レシピ!$E:$E,0)),""),"")</f>
        <v/>
      </c>
      <c r="E939" t="str">
        <f>IFERROR(IF(INDEX(使用レシピ!G:G,MATCH(テンプレート!$C939,使用レシピ!$E:$E,0))&lt;&gt;0,INDEX(使用レシピ!G:G,MATCH(テンプレート!$C939,使用レシピ!$E:$E,0)),""),"")</f>
        <v/>
      </c>
      <c r="F939" t="str">
        <f>IFERROR(IF(INDEX(使用レシピ!H:H,MATCH(テンプレート!$C939,使用レシピ!$E:$E,0))&lt;&gt;0,INDEX(使用レシピ!H:H,MATCH(テンプレート!$C939,使用レシピ!$E:$E,0)),""),"")</f>
        <v/>
      </c>
      <c r="G939" t="str">
        <f>IFERROR(IF(INDEX(使用レシピ!I:I,MATCH(テンプレート!$C939,使用レシピ!$E:$E,0))&lt;&gt;0,INDEX(使用レシピ!I:I,MATCH(テンプレート!$C939,使用レシピ!$E:$E,0)),""),"")</f>
        <v/>
      </c>
      <c r="H939" s="24" t="str">
        <f>IFERROR(IF(INDEX(使用レシピ!J:J,MATCH(テンプレート!$C939,使用レシピ!$E:$E,0))&lt;&gt;0,INDEX(使用レシピ!J:J,MATCH(テンプレート!$C939,使用レシピ!$E:$E,0)),""),"")</f>
        <v/>
      </c>
      <c r="I939" s="36" t="str">
        <f>IFERROR(IF(INDEX(使用レシピ!P:P,MATCH(テンプレート!$C939,使用レシピ!$E:$E,0))&lt;&gt;0,INDEX(使用レシピ!P:P,MATCH(テンプレート!$C939,使用レシピ!$E:$E,0)),""),"")</f>
        <v/>
      </c>
      <c r="J939" t="str">
        <f>IFERROR(IF(INDEX(使用レシピ!K:K,MATCH(テンプレート!$C939,使用レシピ!$E:$E,0))&lt;&gt;0,INDEX(使用レシピ!K:K,MATCH(テンプレート!$C939,使用レシピ!$E:$E,0)),""),"")</f>
        <v/>
      </c>
      <c r="K939" t="str">
        <f>IFERROR(IF(INDEX(使用レシピ!L:L,MATCH(テンプレート!$C939,使用レシピ!$E:$E,0))&lt;&gt;0,INDEX(使用レシピ!L:L,MATCH(テンプレート!$C939,使用レシピ!$E:$E,0)),""),"")</f>
        <v/>
      </c>
      <c r="L939" t="str">
        <f>IFERROR(IF(INDEX(使用レシピ!M:M,MATCH(テンプレート!$C939,使用レシピ!$E:$E,0))&lt;&gt;0,INDEX(使用レシピ!M:M,MATCH(テンプレート!$C939,使用レシピ!$E:$E,0)),""),"")</f>
        <v/>
      </c>
      <c r="M939" t="str">
        <f>IFERROR(IF(INDEX(使用レシピ!N:N,MATCH(テンプレート!$C939,使用レシピ!$E:$E,0))&lt;&gt;0,INDEX(使用レシピ!N:N,MATCH(テンプレート!$C939,使用レシピ!$E:$E,0)),""),"")</f>
        <v/>
      </c>
      <c r="N939" s="24" t="str">
        <f>IFERROR(IF(INDEX(使用レシピ!O:O,MATCH(テンプレート!$C939,使用レシピ!$E:$E,0))&lt;&gt;0,INDEX(使用レシピ!O:O,MATCH(テンプレート!$C939,使用レシピ!$E:$E,0)),""),"")</f>
        <v/>
      </c>
      <c r="O939" s="36" t="str">
        <f>IFERROR(IF(INDEX(使用レシピ!P:P,MATCH(テンプレート!$C939,使用レシピ!$E:$E,0))&lt;&gt;0,INDEX(使用レシピ!P:P,MATCH(テンプレート!$C939,使用レシピ!$E:$E,0)),""),"")</f>
        <v/>
      </c>
      <c r="P939" t="str">
        <f t="shared" si="71"/>
        <v/>
      </c>
      <c r="Q939" t="str">
        <f t="shared" si="72"/>
        <v/>
      </c>
      <c r="R939" t="str">
        <f t="shared" si="73"/>
        <v/>
      </c>
      <c r="S939" t="str">
        <f t="shared" si="74"/>
        <v/>
      </c>
      <c r="T939" s="24" t="str">
        <f t="shared" si="75"/>
        <v/>
      </c>
    </row>
    <row r="940" spans="2:20" x14ac:dyDescent="0.4">
      <c r="B940" s="49" t="str" cm="1">
        <f t="array" ref="B940">IFERROR((INDEX($P$4:$T$1000,MATCH(VALUE(LEFT($A940,LEN($A940)-1)),$A$4:$A$1000,0),VALUE(RIGHT($A940,1)))/ INDEX($O$4:$O$1000,MATCH(VALUE(LEFT($A940,LEN($A940)-1)),$A$4:$A$1000))) * INDEX($B$4:$B$1000,MATCH(VALUE(LEFT($A940,LEN($A940)-1)),$A$4:$A$1000)),"")</f>
        <v/>
      </c>
      <c r="C940" s="2" t="str" cm="1">
        <f t="array" ref="C940">IFERROR(IF(INDEX($D$4:$H$1000,MATCH(VALUE(LEFT($A940,LEN($A940)-1)),$A$4:$A$1000,0),VALUE(RIGHT($A940,1)))= 0,"",INDEX($D$4:$H$1000,MATCH(VALUE(LEFT($A940,LEN($A940)-1)),$A$4:$A$1000,0),VALUE(RIGHT($A940,1)))),"")</f>
        <v/>
      </c>
      <c r="D940" s="23" t="str">
        <f>IFERROR(IF(INDEX(使用レシピ!F:F,MATCH(テンプレート!$C940,使用レシピ!$E:$E,0))&lt;&gt;0,INDEX(使用レシピ!F:F,MATCH(テンプレート!$C940,使用レシピ!$E:$E,0)),""),"")</f>
        <v/>
      </c>
      <c r="E940" t="str">
        <f>IFERROR(IF(INDEX(使用レシピ!G:G,MATCH(テンプレート!$C940,使用レシピ!$E:$E,0))&lt;&gt;0,INDEX(使用レシピ!G:G,MATCH(テンプレート!$C940,使用レシピ!$E:$E,0)),""),"")</f>
        <v/>
      </c>
      <c r="F940" t="str">
        <f>IFERROR(IF(INDEX(使用レシピ!H:H,MATCH(テンプレート!$C940,使用レシピ!$E:$E,0))&lt;&gt;0,INDEX(使用レシピ!H:H,MATCH(テンプレート!$C940,使用レシピ!$E:$E,0)),""),"")</f>
        <v/>
      </c>
      <c r="G940" t="str">
        <f>IFERROR(IF(INDEX(使用レシピ!I:I,MATCH(テンプレート!$C940,使用レシピ!$E:$E,0))&lt;&gt;0,INDEX(使用レシピ!I:I,MATCH(テンプレート!$C940,使用レシピ!$E:$E,0)),""),"")</f>
        <v/>
      </c>
      <c r="H940" s="24" t="str">
        <f>IFERROR(IF(INDEX(使用レシピ!J:J,MATCH(テンプレート!$C940,使用レシピ!$E:$E,0))&lt;&gt;0,INDEX(使用レシピ!J:J,MATCH(テンプレート!$C940,使用レシピ!$E:$E,0)),""),"")</f>
        <v/>
      </c>
      <c r="I940" s="36" t="str">
        <f>IFERROR(IF(INDEX(使用レシピ!P:P,MATCH(テンプレート!$C940,使用レシピ!$E:$E,0))&lt;&gt;0,INDEX(使用レシピ!P:P,MATCH(テンプレート!$C940,使用レシピ!$E:$E,0)),""),"")</f>
        <v/>
      </c>
      <c r="J940" t="str">
        <f>IFERROR(IF(INDEX(使用レシピ!K:K,MATCH(テンプレート!$C940,使用レシピ!$E:$E,0))&lt;&gt;0,INDEX(使用レシピ!K:K,MATCH(テンプレート!$C940,使用レシピ!$E:$E,0)),""),"")</f>
        <v/>
      </c>
      <c r="K940" t="str">
        <f>IFERROR(IF(INDEX(使用レシピ!L:L,MATCH(テンプレート!$C940,使用レシピ!$E:$E,0))&lt;&gt;0,INDEX(使用レシピ!L:L,MATCH(テンプレート!$C940,使用レシピ!$E:$E,0)),""),"")</f>
        <v/>
      </c>
      <c r="L940" t="str">
        <f>IFERROR(IF(INDEX(使用レシピ!M:M,MATCH(テンプレート!$C940,使用レシピ!$E:$E,0))&lt;&gt;0,INDEX(使用レシピ!M:M,MATCH(テンプレート!$C940,使用レシピ!$E:$E,0)),""),"")</f>
        <v/>
      </c>
      <c r="M940" t="str">
        <f>IFERROR(IF(INDEX(使用レシピ!N:N,MATCH(テンプレート!$C940,使用レシピ!$E:$E,0))&lt;&gt;0,INDEX(使用レシピ!N:N,MATCH(テンプレート!$C940,使用レシピ!$E:$E,0)),""),"")</f>
        <v/>
      </c>
      <c r="N940" s="24" t="str">
        <f>IFERROR(IF(INDEX(使用レシピ!O:O,MATCH(テンプレート!$C940,使用レシピ!$E:$E,0))&lt;&gt;0,INDEX(使用レシピ!O:O,MATCH(テンプレート!$C940,使用レシピ!$E:$E,0)),""),"")</f>
        <v/>
      </c>
      <c r="O940" s="36" t="str">
        <f>IFERROR(IF(INDEX(使用レシピ!P:P,MATCH(テンプレート!$C940,使用レシピ!$E:$E,0))&lt;&gt;0,INDEX(使用レシピ!P:P,MATCH(テンプレート!$C940,使用レシピ!$E:$E,0)),""),"")</f>
        <v/>
      </c>
      <c r="P940" t="str">
        <f t="shared" si="71"/>
        <v/>
      </c>
      <c r="Q940" t="str">
        <f t="shared" si="72"/>
        <v/>
      </c>
      <c r="R940" t="str">
        <f t="shared" si="73"/>
        <v/>
      </c>
      <c r="S940" t="str">
        <f t="shared" si="74"/>
        <v/>
      </c>
      <c r="T940" s="24" t="str">
        <f t="shared" si="75"/>
        <v/>
      </c>
    </row>
    <row r="941" spans="2:20" x14ac:dyDescent="0.4">
      <c r="B941" s="49" t="str" cm="1">
        <f t="array" ref="B941">IFERROR((INDEX($P$4:$T$1000,MATCH(VALUE(LEFT($A941,LEN($A941)-1)),$A$4:$A$1000,0),VALUE(RIGHT($A941,1)))/ INDEX($O$4:$O$1000,MATCH(VALUE(LEFT($A941,LEN($A941)-1)),$A$4:$A$1000))) * INDEX($B$4:$B$1000,MATCH(VALUE(LEFT($A941,LEN($A941)-1)),$A$4:$A$1000)),"")</f>
        <v/>
      </c>
      <c r="C941" s="2" t="str" cm="1">
        <f t="array" ref="C941">IFERROR(IF(INDEX($D$4:$H$1000,MATCH(VALUE(LEFT($A941,LEN($A941)-1)),$A$4:$A$1000,0),VALUE(RIGHT($A941,1)))= 0,"",INDEX($D$4:$H$1000,MATCH(VALUE(LEFT($A941,LEN($A941)-1)),$A$4:$A$1000,0),VALUE(RIGHT($A941,1)))),"")</f>
        <v/>
      </c>
      <c r="D941" s="23" t="str">
        <f>IFERROR(IF(INDEX(使用レシピ!F:F,MATCH(テンプレート!$C941,使用レシピ!$E:$E,0))&lt;&gt;0,INDEX(使用レシピ!F:F,MATCH(テンプレート!$C941,使用レシピ!$E:$E,0)),""),"")</f>
        <v/>
      </c>
      <c r="E941" t="str">
        <f>IFERROR(IF(INDEX(使用レシピ!G:G,MATCH(テンプレート!$C941,使用レシピ!$E:$E,0))&lt;&gt;0,INDEX(使用レシピ!G:G,MATCH(テンプレート!$C941,使用レシピ!$E:$E,0)),""),"")</f>
        <v/>
      </c>
      <c r="F941" t="str">
        <f>IFERROR(IF(INDEX(使用レシピ!H:H,MATCH(テンプレート!$C941,使用レシピ!$E:$E,0))&lt;&gt;0,INDEX(使用レシピ!H:H,MATCH(テンプレート!$C941,使用レシピ!$E:$E,0)),""),"")</f>
        <v/>
      </c>
      <c r="G941" t="str">
        <f>IFERROR(IF(INDEX(使用レシピ!I:I,MATCH(テンプレート!$C941,使用レシピ!$E:$E,0))&lt;&gt;0,INDEX(使用レシピ!I:I,MATCH(テンプレート!$C941,使用レシピ!$E:$E,0)),""),"")</f>
        <v/>
      </c>
      <c r="H941" s="24" t="str">
        <f>IFERROR(IF(INDEX(使用レシピ!J:J,MATCH(テンプレート!$C941,使用レシピ!$E:$E,0))&lt;&gt;0,INDEX(使用レシピ!J:J,MATCH(テンプレート!$C941,使用レシピ!$E:$E,0)),""),"")</f>
        <v/>
      </c>
      <c r="I941" s="36" t="str">
        <f>IFERROR(IF(INDEX(使用レシピ!P:P,MATCH(テンプレート!$C941,使用レシピ!$E:$E,0))&lt;&gt;0,INDEX(使用レシピ!P:P,MATCH(テンプレート!$C941,使用レシピ!$E:$E,0)),""),"")</f>
        <v/>
      </c>
      <c r="J941" t="str">
        <f>IFERROR(IF(INDEX(使用レシピ!K:K,MATCH(テンプレート!$C941,使用レシピ!$E:$E,0))&lt;&gt;0,INDEX(使用レシピ!K:K,MATCH(テンプレート!$C941,使用レシピ!$E:$E,0)),""),"")</f>
        <v/>
      </c>
      <c r="K941" t="str">
        <f>IFERROR(IF(INDEX(使用レシピ!L:L,MATCH(テンプレート!$C941,使用レシピ!$E:$E,0))&lt;&gt;0,INDEX(使用レシピ!L:L,MATCH(テンプレート!$C941,使用レシピ!$E:$E,0)),""),"")</f>
        <v/>
      </c>
      <c r="L941" t="str">
        <f>IFERROR(IF(INDEX(使用レシピ!M:M,MATCH(テンプレート!$C941,使用レシピ!$E:$E,0))&lt;&gt;0,INDEX(使用レシピ!M:M,MATCH(テンプレート!$C941,使用レシピ!$E:$E,0)),""),"")</f>
        <v/>
      </c>
      <c r="M941" t="str">
        <f>IFERROR(IF(INDEX(使用レシピ!N:N,MATCH(テンプレート!$C941,使用レシピ!$E:$E,0))&lt;&gt;0,INDEX(使用レシピ!N:N,MATCH(テンプレート!$C941,使用レシピ!$E:$E,0)),""),"")</f>
        <v/>
      </c>
      <c r="N941" s="24" t="str">
        <f>IFERROR(IF(INDEX(使用レシピ!O:O,MATCH(テンプレート!$C941,使用レシピ!$E:$E,0))&lt;&gt;0,INDEX(使用レシピ!O:O,MATCH(テンプレート!$C941,使用レシピ!$E:$E,0)),""),"")</f>
        <v/>
      </c>
      <c r="O941" s="36" t="str">
        <f>IFERROR(IF(INDEX(使用レシピ!P:P,MATCH(テンプレート!$C941,使用レシピ!$E:$E,0))&lt;&gt;0,INDEX(使用レシピ!P:P,MATCH(テンプレート!$C941,使用レシピ!$E:$E,0)),""),"")</f>
        <v/>
      </c>
      <c r="P941" t="str">
        <f t="shared" ref="P941:P1000" si="76">IFERROR(IF($O941/$I941*J941 &gt; 0,$O941/$I941*J941,""),"")</f>
        <v/>
      </c>
      <c r="Q941" t="str">
        <f t="shared" ref="Q941:Q1000" si="77">IFERROR(IF($O941/$I941*K941 &gt; 0,$O941/$I941*K941,""),"")</f>
        <v/>
      </c>
      <c r="R941" t="str">
        <f t="shared" ref="R941:R1000" si="78">IFERROR(IF($O941/$I941*L941 &gt; 0,$O941/$I941*L941,""),"")</f>
        <v/>
      </c>
      <c r="S941" t="str">
        <f t="shared" ref="S941:S1000" si="79">IFERROR(IF($O941/$I941*M941 &gt; 0,$O941/$I941*M941,""),"")</f>
        <v/>
      </c>
      <c r="T941" s="24" t="str">
        <f t="shared" ref="T941:T1000" si="80">IFERROR(IF($O941/$I941*N941 &gt; 0,$O941/$I941*N941,""),"")</f>
        <v/>
      </c>
    </row>
    <row r="942" spans="2:20" x14ac:dyDescent="0.4">
      <c r="B942" s="49" t="str" cm="1">
        <f t="array" ref="B942">IFERROR((INDEX($P$4:$T$1000,MATCH(VALUE(LEFT($A942,LEN($A942)-1)),$A$4:$A$1000,0),VALUE(RIGHT($A942,1)))/ INDEX($O$4:$O$1000,MATCH(VALUE(LEFT($A942,LEN($A942)-1)),$A$4:$A$1000))) * INDEX($B$4:$B$1000,MATCH(VALUE(LEFT($A942,LEN($A942)-1)),$A$4:$A$1000)),"")</f>
        <v/>
      </c>
      <c r="C942" s="2" t="str" cm="1">
        <f t="array" ref="C942">IFERROR(IF(INDEX($D$4:$H$1000,MATCH(VALUE(LEFT($A942,LEN($A942)-1)),$A$4:$A$1000,0),VALUE(RIGHT($A942,1)))= 0,"",INDEX($D$4:$H$1000,MATCH(VALUE(LEFT($A942,LEN($A942)-1)),$A$4:$A$1000,0),VALUE(RIGHT($A942,1)))),"")</f>
        <v/>
      </c>
      <c r="D942" s="23" t="str">
        <f>IFERROR(IF(INDEX(使用レシピ!F:F,MATCH(テンプレート!$C942,使用レシピ!$E:$E,0))&lt;&gt;0,INDEX(使用レシピ!F:F,MATCH(テンプレート!$C942,使用レシピ!$E:$E,0)),""),"")</f>
        <v/>
      </c>
      <c r="E942" t="str">
        <f>IFERROR(IF(INDEX(使用レシピ!G:G,MATCH(テンプレート!$C942,使用レシピ!$E:$E,0))&lt;&gt;0,INDEX(使用レシピ!G:G,MATCH(テンプレート!$C942,使用レシピ!$E:$E,0)),""),"")</f>
        <v/>
      </c>
      <c r="F942" t="str">
        <f>IFERROR(IF(INDEX(使用レシピ!H:H,MATCH(テンプレート!$C942,使用レシピ!$E:$E,0))&lt;&gt;0,INDEX(使用レシピ!H:H,MATCH(テンプレート!$C942,使用レシピ!$E:$E,0)),""),"")</f>
        <v/>
      </c>
      <c r="G942" t="str">
        <f>IFERROR(IF(INDEX(使用レシピ!I:I,MATCH(テンプレート!$C942,使用レシピ!$E:$E,0))&lt;&gt;0,INDEX(使用レシピ!I:I,MATCH(テンプレート!$C942,使用レシピ!$E:$E,0)),""),"")</f>
        <v/>
      </c>
      <c r="H942" s="24" t="str">
        <f>IFERROR(IF(INDEX(使用レシピ!J:J,MATCH(テンプレート!$C942,使用レシピ!$E:$E,0))&lt;&gt;0,INDEX(使用レシピ!J:J,MATCH(テンプレート!$C942,使用レシピ!$E:$E,0)),""),"")</f>
        <v/>
      </c>
      <c r="I942" s="36" t="str">
        <f>IFERROR(IF(INDEX(使用レシピ!P:P,MATCH(テンプレート!$C942,使用レシピ!$E:$E,0))&lt;&gt;0,INDEX(使用レシピ!P:P,MATCH(テンプレート!$C942,使用レシピ!$E:$E,0)),""),"")</f>
        <v/>
      </c>
      <c r="J942" t="str">
        <f>IFERROR(IF(INDEX(使用レシピ!K:K,MATCH(テンプレート!$C942,使用レシピ!$E:$E,0))&lt;&gt;0,INDEX(使用レシピ!K:K,MATCH(テンプレート!$C942,使用レシピ!$E:$E,0)),""),"")</f>
        <v/>
      </c>
      <c r="K942" t="str">
        <f>IFERROR(IF(INDEX(使用レシピ!L:L,MATCH(テンプレート!$C942,使用レシピ!$E:$E,0))&lt;&gt;0,INDEX(使用レシピ!L:L,MATCH(テンプレート!$C942,使用レシピ!$E:$E,0)),""),"")</f>
        <v/>
      </c>
      <c r="L942" t="str">
        <f>IFERROR(IF(INDEX(使用レシピ!M:M,MATCH(テンプレート!$C942,使用レシピ!$E:$E,0))&lt;&gt;0,INDEX(使用レシピ!M:M,MATCH(テンプレート!$C942,使用レシピ!$E:$E,0)),""),"")</f>
        <v/>
      </c>
      <c r="M942" t="str">
        <f>IFERROR(IF(INDEX(使用レシピ!N:N,MATCH(テンプレート!$C942,使用レシピ!$E:$E,0))&lt;&gt;0,INDEX(使用レシピ!N:N,MATCH(テンプレート!$C942,使用レシピ!$E:$E,0)),""),"")</f>
        <v/>
      </c>
      <c r="N942" s="24" t="str">
        <f>IFERROR(IF(INDEX(使用レシピ!O:O,MATCH(テンプレート!$C942,使用レシピ!$E:$E,0))&lt;&gt;0,INDEX(使用レシピ!O:O,MATCH(テンプレート!$C942,使用レシピ!$E:$E,0)),""),"")</f>
        <v/>
      </c>
      <c r="O942" s="36" t="str">
        <f>IFERROR(IF(INDEX(使用レシピ!P:P,MATCH(テンプレート!$C942,使用レシピ!$E:$E,0))&lt;&gt;0,INDEX(使用レシピ!P:P,MATCH(テンプレート!$C942,使用レシピ!$E:$E,0)),""),"")</f>
        <v/>
      </c>
      <c r="P942" t="str">
        <f t="shared" si="76"/>
        <v/>
      </c>
      <c r="Q942" t="str">
        <f t="shared" si="77"/>
        <v/>
      </c>
      <c r="R942" t="str">
        <f t="shared" si="78"/>
        <v/>
      </c>
      <c r="S942" t="str">
        <f t="shared" si="79"/>
        <v/>
      </c>
      <c r="T942" s="24" t="str">
        <f t="shared" si="80"/>
        <v/>
      </c>
    </row>
    <row r="943" spans="2:20" x14ac:dyDescent="0.4">
      <c r="B943" s="49" t="str" cm="1">
        <f t="array" ref="B943">IFERROR((INDEX($P$4:$T$1000,MATCH(VALUE(LEFT($A943,LEN($A943)-1)),$A$4:$A$1000,0),VALUE(RIGHT($A943,1)))/ INDEX($O$4:$O$1000,MATCH(VALUE(LEFT($A943,LEN($A943)-1)),$A$4:$A$1000))) * INDEX($B$4:$B$1000,MATCH(VALUE(LEFT($A943,LEN($A943)-1)),$A$4:$A$1000)),"")</f>
        <v/>
      </c>
      <c r="C943" s="2" t="str" cm="1">
        <f t="array" ref="C943">IFERROR(IF(INDEX($D$4:$H$1000,MATCH(VALUE(LEFT($A943,LEN($A943)-1)),$A$4:$A$1000,0),VALUE(RIGHT($A943,1)))= 0,"",INDEX($D$4:$H$1000,MATCH(VALUE(LEFT($A943,LEN($A943)-1)),$A$4:$A$1000,0),VALUE(RIGHT($A943,1)))),"")</f>
        <v/>
      </c>
      <c r="D943" s="23" t="str">
        <f>IFERROR(IF(INDEX(使用レシピ!F:F,MATCH(テンプレート!$C943,使用レシピ!$E:$E,0))&lt;&gt;0,INDEX(使用レシピ!F:F,MATCH(テンプレート!$C943,使用レシピ!$E:$E,0)),""),"")</f>
        <v/>
      </c>
      <c r="E943" t="str">
        <f>IFERROR(IF(INDEX(使用レシピ!G:G,MATCH(テンプレート!$C943,使用レシピ!$E:$E,0))&lt;&gt;0,INDEX(使用レシピ!G:G,MATCH(テンプレート!$C943,使用レシピ!$E:$E,0)),""),"")</f>
        <v/>
      </c>
      <c r="F943" t="str">
        <f>IFERROR(IF(INDEX(使用レシピ!H:H,MATCH(テンプレート!$C943,使用レシピ!$E:$E,0))&lt;&gt;0,INDEX(使用レシピ!H:H,MATCH(テンプレート!$C943,使用レシピ!$E:$E,0)),""),"")</f>
        <v/>
      </c>
      <c r="G943" t="str">
        <f>IFERROR(IF(INDEX(使用レシピ!I:I,MATCH(テンプレート!$C943,使用レシピ!$E:$E,0))&lt;&gt;0,INDEX(使用レシピ!I:I,MATCH(テンプレート!$C943,使用レシピ!$E:$E,0)),""),"")</f>
        <v/>
      </c>
      <c r="H943" s="24" t="str">
        <f>IFERROR(IF(INDEX(使用レシピ!J:J,MATCH(テンプレート!$C943,使用レシピ!$E:$E,0))&lt;&gt;0,INDEX(使用レシピ!J:J,MATCH(テンプレート!$C943,使用レシピ!$E:$E,0)),""),"")</f>
        <v/>
      </c>
      <c r="I943" s="36" t="str">
        <f>IFERROR(IF(INDEX(使用レシピ!P:P,MATCH(テンプレート!$C943,使用レシピ!$E:$E,0))&lt;&gt;0,INDEX(使用レシピ!P:P,MATCH(テンプレート!$C943,使用レシピ!$E:$E,0)),""),"")</f>
        <v/>
      </c>
      <c r="J943" t="str">
        <f>IFERROR(IF(INDEX(使用レシピ!K:K,MATCH(テンプレート!$C943,使用レシピ!$E:$E,0))&lt;&gt;0,INDEX(使用レシピ!K:K,MATCH(テンプレート!$C943,使用レシピ!$E:$E,0)),""),"")</f>
        <v/>
      </c>
      <c r="K943" t="str">
        <f>IFERROR(IF(INDEX(使用レシピ!L:L,MATCH(テンプレート!$C943,使用レシピ!$E:$E,0))&lt;&gt;0,INDEX(使用レシピ!L:L,MATCH(テンプレート!$C943,使用レシピ!$E:$E,0)),""),"")</f>
        <v/>
      </c>
      <c r="L943" t="str">
        <f>IFERROR(IF(INDEX(使用レシピ!M:M,MATCH(テンプレート!$C943,使用レシピ!$E:$E,0))&lt;&gt;0,INDEX(使用レシピ!M:M,MATCH(テンプレート!$C943,使用レシピ!$E:$E,0)),""),"")</f>
        <v/>
      </c>
      <c r="M943" t="str">
        <f>IFERROR(IF(INDEX(使用レシピ!N:N,MATCH(テンプレート!$C943,使用レシピ!$E:$E,0))&lt;&gt;0,INDEX(使用レシピ!N:N,MATCH(テンプレート!$C943,使用レシピ!$E:$E,0)),""),"")</f>
        <v/>
      </c>
      <c r="N943" s="24" t="str">
        <f>IFERROR(IF(INDEX(使用レシピ!O:O,MATCH(テンプレート!$C943,使用レシピ!$E:$E,0))&lt;&gt;0,INDEX(使用レシピ!O:O,MATCH(テンプレート!$C943,使用レシピ!$E:$E,0)),""),"")</f>
        <v/>
      </c>
      <c r="O943" s="36" t="str">
        <f>IFERROR(IF(INDEX(使用レシピ!P:P,MATCH(テンプレート!$C943,使用レシピ!$E:$E,0))&lt;&gt;0,INDEX(使用レシピ!P:P,MATCH(テンプレート!$C943,使用レシピ!$E:$E,0)),""),"")</f>
        <v/>
      </c>
      <c r="P943" t="str">
        <f t="shared" si="76"/>
        <v/>
      </c>
      <c r="Q943" t="str">
        <f t="shared" si="77"/>
        <v/>
      </c>
      <c r="R943" t="str">
        <f t="shared" si="78"/>
        <v/>
      </c>
      <c r="S943" t="str">
        <f t="shared" si="79"/>
        <v/>
      </c>
      <c r="T943" s="24" t="str">
        <f t="shared" si="80"/>
        <v/>
      </c>
    </row>
    <row r="944" spans="2:20" x14ac:dyDescent="0.4">
      <c r="B944" s="49" t="str" cm="1">
        <f t="array" ref="B944">IFERROR((INDEX($P$4:$T$1000,MATCH(VALUE(LEFT($A944,LEN($A944)-1)),$A$4:$A$1000,0),VALUE(RIGHT($A944,1)))/ INDEX($O$4:$O$1000,MATCH(VALUE(LEFT($A944,LEN($A944)-1)),$A$4:$A$1000))) * INDEX($B$4:$B$1000,MATCH(VALUE(LEFT($A944,LEN($A944)-1)),$A$4:$A$1000)),"")</f>
        <v/>
      </c>
      <c r="C944" s="2" t="str" cm="1">
        <f t="array" ref="C944">IFERROR(IF(INDEX($D$4:$H$1000,MATCH(VALUE(LEFT($A944,LEN($A944)-1)),$A$4:$A$1000,0),VALUE(RIGHT($A944,1)))= 0,"",INDEX($D$4:$H$1000,MATCH(VALUE(LEFT($A944,LEN($A944)-1)),$A$4:$A$1000,0),VALUE(RIGHT($A944,1)))),"")</f>
        <v/>
      </c>
      <c r="D944" s="23" t="str">
        <f>IFERROR(IF(INDEX(使用レシピ!F:F,MATCH(テンプレート!$C944,使用レシピ!$E:$E,0))&lt;&gt;0,INDEX(使用レシピ!F:F,MATCH(テンプレート!$C944,使用レシピ!$E:$E,0)),""),"")</f>
        <v/>
      </c>
      <c r="E944" t="str">
        <f>IFERROR(IF(INDEX(使用レシピ!G:G,MATCH(テンプレート!$C944,使用レシピ!$E:$E,0))&lt;&gt;0,INDEX(使用レシピ!G:G,MATCH(テンプレート!$C944,使用レシピ!$E:$E,0)),""),"")</f>
        <v/>
      </c>
      <c r="F944" t="str">
        <f>IFERROR(IF(INDEX(使用レシピ!H:H,MATCH(テンプレート!$C944,使用レシピ!$E:$E,0))&lt;&gt;0,INDEX(使用レシピ!H:H,MATCH(テンプレート!$C944,使用レシピ!$E:$E,0)),""),"")</f>
        <v/>
      </c>
      <c r="G944" t="str">
        <f>IFERROR(IF(INDEX(使用レシピ!I:I,MATCH(テンプレート!$C944,使用レシピ!$E:$E,0))&lt;&gt;0,INDEX(使用レシピ!I:I,MATCH(テンプレート!$C944,使用レシピ!$E:$E,0)),""),"")</f>
        <v/>
      </c>
      <c r="H944" s="24" t="str">
        <f>IFERROR(IF(INDEX(使用レシピ!J:J,MATCH(テンプレート!$C944,使用レシピ!$E:$E,0))&lt;&gt;0,INDEX(使用レシピ!J:J,MATCH(テンプレート!$C944,使用レシピ!$E:$E,0)),""),"")</f>
        <v/>
      </c>
      <c r="I944" s="36" t="str">
        <f>IFERROR(IF(INDEX(使用レシピ!P:P,MATCH(テンプレート!$C944,使用レシピ!$E:$E,0))&lt;&gt;0,INDEX(使用レシピ!P:P,MATCH(テンプレート!$C944,使用レシピ!$E:$E,0)),""),"")</f>
        <v/>
      </c>
      <c r="J944" t="str">
        <f>IFERROR(IF(INDEX(使用レシピ!K:K,MATCH(テンプレート!$C944,使用レシピ!$E:$E,0))&lt;&gt;0,INDEX(使用レシピ!K:K,MATCH(テンプレート!$C944,使用レシピ!$E:$E,0)),""),"")</f>
        <v/>
      </c>
      <c r="K944" t="str">
        <f>IFERROR(IF(INDEX(使用レシピ!L:L,MATCH(テンプレート!$C944,使用レシピ!$E:$E,0))&lt;&gt;0,INDEX(使用レシピ!L:L,MATCH(テンプレート!$C944,使用レシピ!$E:$E,0)),""),"")</f>
        <v/>
      </c>
      <c r="L944" t="str">
        <f>IFERROR(IF(INDEX(使用レシピ!M:M,MATCH(テンプレート!$C944,使用レシピ!$E:$E,0))&lt;&gt;0,INDEX(使用レシピ!M:M,MATCH(テンプレート!$C944,使用レシピ!$E:$E,0)),""),"")</f>
        <v/>
      </c>
      <c r="M944" t="str">
        <f>IFERROR(IF(INDEX(使用レシピ!N:N,MATCH(テンプレート!$C944,使用レシピ!$E:$E,0))&lt;&gt;0,INDEX(使用レシピ!N:N,MATCH(テンプレート!$C944,使用レシピ!$E:$E,0)),""),"")</f>
        <v/>
      </c>
      <c r="N944" s="24" t="str">
        <f>IFERROR(IF(INDEX(使用レシピ!O:O,MATCH(テンプレート!$C944,使用レシピ!$E:$E,0))&lt;&gt;0,INDEX(使用レシピ!O:O,MATCH(テンプレート!$C944,使用レシピ!$E:$E,0)),""),"")</f>
        <v/>
      </c>
      <c r="O944" s="36" t="str">
        <f>IFERROR(IF(INDEX(使用レシピ!P:P,MATCH(テンプレート!$C944,使用レシピ!$E:$E,0))&lt;&gt;0,INDEX(使用レシピ!P:P,MATCH(テンプレート!$C944,使用レシピ!$E:$E,0)),""),"")</f>
        <v/>
      </c>
      <c r="P944" t="str">
        <f t="shared" si="76"/>
        <v/>
      </c>
      <c r="Q944" t="str">
        <f t="shared" si="77"/>
        <v/>
      </c>
      <c r="R944" t="str">
        <f t="shared" si="78"/>
        <v/>
      </c>
      <c r="S944" t="str">
        <f t="shared" si="79"/>
        <v/>
      </c>
      <c r="T944" s="24" t="str">
        <f t="shared" si="80"/>
        <v/>
      </c>
    </row>
    <row r="945" spans="2:20" x14ac:dyDescent="0.4">
      <c r="B945" s="49" t="str" cm="1">
        <f t="array" ref="B945">IFERROR((INDEX($P$4:$T$1000,MATCH(VALUE(LEFT($A945,LEN($A945)-1)),$A$4:$A$1000,0),VALUE(RIGHT($A945,1)))/ INDEX($O$4:$O$1000,MATCH(VALUE(LEFT($A945,LEN($A945)-1)),$A$4:$A$1000))) * INDEX($B$4:$B$1000,MATCH(VALUE(LEFT($A945,LEN($A945)-1)),$A$4:$A$1000)),"")</f>
        <v/>
      </c>
      <c r="C945" s="2" t="str" cm="1">
        <f t="array" ref="C945">IFERROR(IF(INDEX($D$4:$H$1000,MATCH(VALUE(LEFT($A945,LEN($A945)-1)),$A$4:$A$1000,0),VALUE(RIGHT($A945,1)))= 0,"",INDEX($D$4:$H$1000,MATCH(VALUE(LEFT($A945,LEN($A945)-1)),$A$4:$A$1000,0),VALUE(RIGHT($A945,1)))),"")</f>
        <v/>
      </c>
      <c r="D945" s="23" t="str">
        <f>IFERROR(IF(INDEX(使用レシピ!F:F,MATCH(テンプレート!$C945,使用レシピ!$E:$E,0))&lt;&gt;0,INDEX(使用レシピ!F:F,MATCH(テンプレート!$C945,使用レシピ!$E:$E,0)),""),"")</f>
        <v/>
      </c>
      <c r="E945" t="str">
        <f>IFERROR(IF(INDEX(使用レシピ!G:G,MATCH(テンプレート!$C945,使用レシピ!$E:$E,0))&lt;&gt;0,INDEX(使用レシピ!G:G,MATCH(テンプレート!$C945,使用レシピ!$E:$E,0)),""),"")</f>
        <v/>
      </c>
      <c r="F945" t="str">
        <f>IFERROR(IF(INDEX(使用レシピ!H:H,MATCH(テンプレート!$C945,使用レシピ!$E:$E,0))&lt;&gt;0,INDEX(使用レシピ!H:H,MATCH(テンプレート!$C945,使用レシピ!$E:$E,0)),""),"")</f>
        <v/>
      </c>
      <c r="G945" t="str">
        <f>IFERROR(IF(INDEX(使用レシピ!I:I,MATCH(テンプレート!$C945,使用レシピ!$E:$E,0))&lt;&gt;0,INDEX(使用レシピ!I:I,MATCH(テンプレート!$C945,使用レシピ!$E:$E,0)),""),"")</f>
        <v/>
      </c>
      <c r="H945" s="24" t="str">
        <f>IFERROR(IF(INDEX(使用レシピ!J:J,MATCH(テンプレート!$C945,使用レシピ!$E:$E,0))&lt;&gt;0,INDEX(使用レシピ!J:J,MATCH(テンプレート!$C945,使用レシピ!$E:$E,0)),""),"")</f>
        <v/>
      </c>
      <c r="I945" s="36" t="str">
        <f>IFERROR(IF(INDEX(使用レシピ!P:P,MATCH(テンプレート!$C945,使用レシピ!$E:$E,0))&lt;&gt;0,INDEX(使用レシピ!P:P,MATCH(テンプレート!$C945,使用レシピ!$E:$E,0)),""),"")</f>
        <v/>
      </c>
      <c r="J945" t="str">
        <f>IFERROR(IF(INDEX(使用レシピ!K:K,MATCH(テンプレート!$C945,使用レシピ!$E:$E,0))&lt;&gt;0,INDEX(使用レシピ!K:K,MATCH(テンプレート!$C945,使用レシピ!$E:$E,0)),""),"")</f>
        <v/>
      </c>
      <c r="K945" t="str">
        <f>IFERROR(IF(INDEX(使用レシピ!L:L,MATCH(テンプレート!$C945,使用レシピ!$E:$E,0))&lt;&gt;0,INDEX(使用レシピ!L:L,MATCH(テンプレート!$C945,使用レシピ!$E:$E,0)),""),"")</f>
        <v/>
      </c>
      <c r="L945" t="str">
        <f>IFERROR(IF(INDEX(使用レシピ!M:M,MATCH(テンプレート!$C945,使用レシピ!$E:$E,0))&lt;&gt;0,INDEX(使用レシピ!M:M,MATCH(テンプレート!$C945,使用レシピ!$E:$E,0)),""),"")</f>
        <v/>
      </c>
      <c r="M945" t="str">
        <f>IFERROR(IF(INDEX(使用レシピ!N:N,MATCH(テンプレート!$C945,使用レシピ!$E:$E,0))&lt;&gt;0,INDEX(使用レシピ!N:N,MATCH(テンプレート!$C945,使用レシピ!$E:$E,0)),""),"")</f>
        <v/>
      </c>
      <c r="N945" s="24" t="str">
        <f>IFERROR(IF(INDEX(使用レシピ!O:O,MATCH(テンプレート!$C945,使用レシピ!$E:$E,0))&lt;&gt;0,INDEX(使用レシピ!O:O,MATCH(テンプレート!$C945,使用レシピ!$E:$E,0)),""),"")</f>
        <v/>
      </c>
      <c r="O945" s="36" t="str">
        <f>IFERROR(IF(INDEX(使用レシピ!P:P,MATCH(テンプレート!$C945,使用レシピ!$E:$E,0))&lt;&gt;0,INDEX(使用レシピ!P:P,MATCH(テンプレート!$C945,使用レシピ!$E:$E,0)),""),"")</f>
        <v/>
      </c>
      <c r="P945" t="str">
        <f t="shared" si="76"/>
        <v/>
      </c>
      <c r="Q945" t="str">
        <f t="shared" si="77"/>
        <v/>
      </c>
      <c r="R945" t="str">
        <f t="shared" si="78"/>
        <v/>
      </c>
      <c r="S945" t="str">
        <f t="shared" si="79"/>
        <v/>
      </c>
      <c r="T945" s="24" t="str">
        <f t="shared" si="80"/>
        <v/>
      </c>
    </row>
    <row r="946" spans="2:20" x14ac:dyDescent="0.4">
      <c r="B946" s="49" t="str" cm="1">
        <f t="array" ref="B946">IFERROR((INDEX($P$4:$T$1000,MATCH(VALUE(LEFT($A946,LEN($A946)-1)),$A$4:$A$1000,0),VALUE(RIGHT($A946,1)))/ INDEX($O$4:$O$1000,MATCH(VALUE(LEFT($A946,LEN($A946)-1)),$A$4:$A$1000))) * INDEX($B$4:$B$1000,MATCH(VALUE(LEFT($A946,LEN($A946)-1)),$A$4:$A$1000)),"")</f>
        <v/>
      </c>
      <c r="C946" s="2" t="str" cm="1">
        <f t="array" ref="C946">IFERROR(IF(INDEX($D$4:$H$1000,MATCH(VALUE(LEFT($A946,LEN($A946)-1)),$A$4:$A$1000,0),VALUE(RIGHT($A946,1)))= 0,"",INDEX($D$4:$H$1000,MATCH(VALUE(LEFT($A946,LEN($A946)-1)),$A$4:$A$1000,0),VALUE(RIGHT($A946,1)))),"")</f>
        <v/>
      </c>
      <c r="D946" s="23" t="str">
        <f>IFERROR(IF(INDEX(使用レシピ!F:F,MATCH(テンプレート!$C946,使用レシピ!$E:$E,0))&lt;&gt;0,INDEX(使用レシピ!F:F,MATCH(テンプレート!$C946,使用レシピ!$E:$E,0)),""),"")</f>
        <v/>
      </c>
      <c r="E946" t="str">
        <f>IFERROR(IF(INDEX(使用レシピ!G:G,MATCH(テンプレート!$C946,使用レシピ!$E:$E,0))&lt;&gt;0,INDEX(使用レシピ!G:G,MATCH(テンプレート!$C946,使用レシピ!$E:$E,0)),""),"")</f>
        <v/>
      </c>
      <c r="F946" t="str">
        <f>IFERROR(IF(INDEX(使用レシピ!H:H,MATCH(テンプレート!$C946,使用レシピ!$E:$E,0))&lt;&gt;0,INDEX(使用レシピ!H:H,MATCH(テンプレート!$C946,使用レシピ!$E:$E,0)),""),"")</f>
        <v/>
      </c>
      <c r="G946" t="str">
        <f>IFERROR(IF(INDEX(使用レシピ!I:I,MATCH(テンプレート!$C946,使用レシピ!$E:$E,0))&lt;&gt;0,INDEX(使用レシピ!I:I,MATCH(テンプレート!$C946,使用レシピ!$E:$E,0)),""),"")</f>
        <v/>
      </c>
      <c r="H946" s="24" t="str">
        <f>IFERROR(IF(INDEX(使用レシピ!J:J,MATCH(テンプレート!$C946,使用レシピ!$E:$E,0))&lt;&gt;0,INDEX(使用レシピ!J:J,MATCH(テンプレート!$C946,使用レシピ!$E:$E,0)),""),"")</f>
        <v/>
      </c>
      <c r="I946" s="36" t="str">
        <f>IFERROR(IF(INDEX(使用レシピ!P:P,MATCH(テンプレート!$C946,使用レシピ!$E:$E,0))&lt;&gt;0,INDEX(使用レシピ!P:P,MATCH(テンプレート!$C946,使用レシピ!$E:$E,0)),""),"")</f>
        <v/>
      </c>
      <c r="J946" t="str">
        <f>IFERROR(IF(INDEX(使用レシピ!K:K,MATCH(テンプレート!$C946,使用レシピ!$E:$E,0))&lt;&gt;0,INDEX(使用レシピ!K:K,MATCH(テンプレート!$C946,使用レシピ!$E:$E,0)),""),"")</f>
        <v/>
      </c>
      <c r="K946" t="str">
        <f>IFERROR(IF(INDEX(使用レシピ!L:L,MATCH(テンプレート!$C946,使用レシピ!$E:$E,0))&lt;&gt;0,INDEX(使用レシピ!L:L,MATCH(テンプレート!$C946,使用レシピ!$E:$E,0)),""),"")</f>
        <v/>
      </c>
      <c r="L946" t="str">
        <f>IFERROR(IF(INDEX(使用レシピ!M:M,MATCH(テンプレート!$C946,使用レシピ!$E:$E,0))&lt;&gt;0,INDEX(使用レシピ!M:M,MATCH(テンプレート!$C946,使用レシピ!$E:$E,0)),""),"")</f>
        <v/>
      </c>
      <c r="M946" t="str">
        <f>IFERROR(IF(INDEX(使用レシピ!N:N,MATCH(テンプレート!$C946,使用レシピ!$E:$E,0))&lt;&gt;0,INDEX(使用レシピ!N:N,MATCH(テンプレート!$C946,使用レシピ!$E:$E,0)),""),"")</f>
        <v/>
      </c>
      <c r="N946" s="24" t="str">
        <f>IFERROR(IF(INDEX(使用レシピ!O:O,MATCH(テンプレート!$C946,使用レシピ!$E:$E,0))&lt;&gt;0,INDEX(使用レシピ!O:O,MATCH(テンプレート!$C946,使用レシピ!$E:$E,0)),""),"")</f>
        <v/>
      </c>
      <c r="O946" s="36" t="str">
        <f>IFERROR(IF(INDEX(使用レシピ!P:P,MATCH(テンプレート!$C946,使用レシピ!$E:$E,0))&lt;&gt;0,INDEX(使用レシピ!P:P,MATCH(テンプレート!$C946,使用レシピ!$E:$E,0)),""),"")</f>
        <v/>
      </c>
      <c r="P946" t="str">
        <f t="shared" si="76"/>
        <v/>
      </c>
      <c r="Q946" t="str">
        <f t="shared" si="77"/>
        <v/>
      </c>
      <c r="R946" t="str">
        <f t="shared" si="78"/>
        <v/>
      </c>
      <c r="S946" t="str">
        <f t="shared" si="79"/>
        <v/>
      </c>
      <c r="T946" s="24" t="str">
        <f t="shared" si="80"/>
        <v/>
      </c>
    </row>
    <row r="947" spans="2:20" x14ac:dyDescent="0.4">
      <c r="B947" s="49" t="str" cm="1">
        <f t="array" ref="B947">IFERROR((INDEX($P$4:$T$1000,MATCH(VALUE(LEFT($A947,LEN($A947)-1)),$A$4:$A$1000,0),VALUE(RIGHT($A947,1)))/ INDEX($O$4:$O$1000,MATCH(VALUE(LEFT($A947,LEN($A947)-1)),$A$4:$A$1000))) * INDEX($B$4:$B$1000,MATCH(VALUE(LEFT($A947,LEN($A947)-1)),$A$4:$A$1000)),"")</f>
        <v/>
      </c>
      <c r="C947" s="2" t="str" cm="1">
        <f t="array" ref="C947">IFERROR(IF(INDEX($D$4:$H$1000,MATCH(VALUE(LEFT($A947,LEN($A947)-1)),$A$4:$A$1000,0),VALUE(RIGHT($A947,1)))= 0,"",INDEX($D$4:$H$1000,MATCH(VALUE(LEFT($A947,LEN($A947)-1)),$A$4:$A$1000,0),VALUE(RIGHT($A947,1)))),"")</f>
        <v/>
      </c>
      <c r="D947" s="23" t="str">
        <f>IFERROR(IF(INDEX(使用レシピ!F:F,MATCH(テンプレート!$C947,使用レシピ!$E:$E,0))&lt;&gt;0,INDEX(使用レシピ!F:F,MATCH(テンプレート!$C947,使用レシピ!$E:$E,0)),""),"")</f>
        <v/>
      </c>
      <c r="E947" t="str">
        <f>IFERROR(IF(INDEX(使用レシピ!G:G,MATCH(テンプレート!$C947,使用レシピ!$E:$E,0))&lt;&gt;0,INDEX(使用レシピ!G:G,MATCH(テンプレート!$C947,使用レシピ!$E:$E,0)),""),"")</f>
        <v/>
      </c>
      <c r="F947" t="str">
        <f>IFERROR(IF(INDEX(使用レシピ!H:H,MATCH(テンプレート!$C947,使用レシピ!$E:$E,0))&lt;&gt;0,INDEX(使用レシピ!H:H,MATCH(テンプレート!$C947,使用レシピ!$E:$E,0)),""),"")</f>
        <v/>
      </c>
      <c r="G947" t="str">
        <f>IFERROR(IF(INDEX(使用レシピ!I:I,MATCH(テンプレート!$C947,使用レシピ!$E:$E,0))&lt;&gt;0,INDEX(使用レシピ!I:I,MATCH(テンプレート!$C947,使用レシピ!$E:$E,0)),""),"")</f>
        <v/>
      </c>
      <c r="H947" s="24" t="str">
        <f>IFERROR(IF(INDEX(使用レシピ!J:J,MATCH(テンプレート!$C947,使用レシピ!$E:$E,0))&lt;&gt;0,INDEX(使用レシピ!J:J,MATCH(テンプレート!$C947,使用レシピ!$E:$E,0)),""),"")</f>
        <v/>
      </c>
      <c r="I947" s="36" t="str">
        <f>IFERROR(IF(INDEX(使用レシピ!P:P,MATCH(テンプレート!$C947,使用レシピ!$E:$E,0))&lt;&gt;0,INDEX(使用レシピ!P:P,MATCH(テンプレート!$C947,使用レシピ!$E:$E,0)),""),"")</f>
        <v/>
      </c>
      <c r="J947" t="str">
        <f>IFERROR(IF(INDEX(使用レシピ!K:K,MATCH(テンプレート!$C947,使用レシピ!$E:$E,0))&lt;&gt;0,INDEX(使用レシピ!K:K,MATCH(テンプレート!$C947,使用レシピ!$E:$E,0)),""),"")</f>
        <v/>
      </c>
      <c r="K947" t="str">
        <f>IFERROR(IF(INDEX(使用レシピ!L:L,MATCH(テンプレート!$C947,使用レシピ!$E:$E,0))&lt;&gt;0,INDEX(使用レシピ!L:L,MATCH(テンプレート!$C947,使用レシピ!$E:$E,0)),""),"")</f>
        <v/>
      </c>
      <c r="L947" t="str">
        <f>IFERROR(IF(INDEX(使用レシピ!M:M,MATCH(テンプレート!$C947,使用レシピ!$E:$E,0))&lt;&gt;0,INDEX(使用レシピ!M:M,MATCH(テンプレート!$C947,使用レシピ!$E:$E,0)),""),"")</f>
        <v/>
      </c>
      <c r="M947" t="str">
        <f>IFERROR(IF(INDEX(使用レシピ!N:N,MATCH(テンプレート!$C947,使用レシピ!$E:$E,0))&lt;&gt;0,INDEX(使用レシピ!N:N,MATCH(テンプレート!$C947,使用レシピ!$E:$E,0)),""),"")</f>
        <v/>
      </c>
      <c r="N947" s="24" t="str">
        <f>IFERROR(IF(INDEX(使用レシピ!O:O,MATCH(テンプレート!$C947,使用レシピ!$E:$E,0))&lt;&gt;0,INDEX(使用レシピ!O:O,MATCH(テンプレート!$C947,使用レシピ!$E:$E,0)),""),"")</f>
        <v/>
      </c>
      <c r="O947" s="36" t="str">
        <f>IFERROR(IF(INDEX(使用レシピ!P:P,MATCH(テンプレート!$C947,使用レシピ!$E:$E,0))&lt;&gt;0,INDEX(使用レシピ!P:P,MATCH(テンプレート!$C947,使用レシピ!$E:$E,0)),""),"")</f>
        <v/>
      </c>
      <c r="P947" t="str">
        <f t="shared" si="76"/>
        <v/>
      </c>
      <c r="Q947" t="str">
        <f t="shared" si="77"/>
        <v/>
      </c>
      <c r="R947" t="str">
        <f t="shared" si="78"/>
        <v/>
      </c>
      <c r="S947" t="str">
        <f t="shared" si="79"/>
        <v/>
      </c>
      <c r="T947" s="24" t="str">
        <f t="shared" si="80"/>
        <v/>
      </c>
    </row>
    <row r="948" spans="2:20" x14ac:dyDescent="0.4">
      <c r="B948" s="49" t="str" cm="1">
        <f t="array" ref="B948">IFERROR((INDEX($P$4:$T$1000,MATCH(VALUE(LEFT($A948,LEN($A948)-1)),$A$4:$A$1000,0),VALUE(RIGHT($A948,1)))/ INDEX($O$4:$O$1000,MATCH(VALUE(LEFT($A948,LEN($A948)-1)),$A$4:$A$1000))) * INDEX($B$4:$B$1000,MATCH(VALUE(LEFT($A948,LEN($A948)-1)),$A$4:$A$1000)),"")</f>
        <v/>
      </c>
      <c r="C948" s="2" t="str" cm="1">
        <f t="array" ref="C948">IFERROR(IF(INDEX($D$4:$H$1000,MATCH(VALUE(LEFT($A948,LEN($A948)-1)),$A$4:$A$1000,0),VALUE(RIGHT($A948,1)))= 0,"",INDEX($D$4:$H$1000,MATCH(VALUE(LEFT($A948,LEN($A948)-1)),$A$4:$A$1000,0),VALUE(RIGHT($A948,1)))),"")</f>
        <v/>
      </c>
      <c r="D948" s="23" t="str">
        <f>IFERROR(IF(INDEX(使用レシピ!F:F,MATCH(テンプレート!$C948,使用レシピ!$E:$E,0))&lt;&gt;0,INDEX(使用レシピ!F:F,MATCH(テンプレート!$C948,使用レシピ!$E:$E,0)),""),"")</f>
        <v/>
      </c>
      <c r="E948" t="str">
        <f>IFERROR(IF(INDEX(使用レシピ!G:G,MATCH(テンプレート!$C948,使用レシピ!$E:$E,0))&lt;&gt;0,INDEX(使用レシピ!G:G,MATCH(テンプレート!$C948,使用レシピ!$E:$E,0)),""),"")</f>
        <v/>
      </c>
      <c r="F948" t="str">
        <f>IFERROR(IF(INDEX(使用レシピ!H:H,MATCH(テンプレート!$C948,使用レシピ!$E:$E,0))&lt;&gt;0,INDEX(使用レシピ!H:H,MATCH(テンプレート!$C948,使用レシピ!$E:$E,0)),""),"")</f>
        <v/>
      </c>
      <c r="G948" t="str">
        <f>IFERROR(IF(INDEX(使用レシピ!I:I,MATCH(テンプレート!$C948,使用レシピ!$E:$E,0))&lt;&gt;0,INDEX(使用レシピ!I:I,MATCH(テンプレート!$C948,使用レシピ!$E:$E,0)),""),"")</f>
        <v/>
      </c>
      <c r="H948" s="24" t="str">
        <f>IFERROR(IF(INDEX(使用レシピ!J:J,MATCH(テンプレート!$C948,使用レシピ!$E:$E,0))&lt;&gt;0,INDEX(使用レシピ!J:J,MATCH(テンプレート!$C948,使用レシピ!$E:$E,0)),""),"")</f>
        <v/>
      </c>
      <c r="I948" s="36" t="str">
        <f>IFERROR(IF(INDEX(使用レシピ!P:P,MATCH(テンプレート!$C948,使用レシピ!$E:$E,0))&lt;&gt;0,INDEX(使用レシピ!P:P,MATCH(テンプレート!$C948,使用レシピ!$E:$E,0)),""),"")</f>
        <v/>
      </c>
      <c r="J948" t="str">
        <f>IFERROR(IF(INDEX(使用レシピ!K:K,MATCH(テンプレート!$C948,使用レシピ!$E:$E,0))&lt;&gt;0,INDEX(使用レシピ!K:K,MATCH(テンプレート!$C948,使用レシピ!$E:$E,0)),""),"")</f>
        <v/>
      </c>
      <c r="K948" t="str">
        <f>IFERROR(IF(INDEX(使用レシピ!L:L,MATCH(テンプレート!$C948,使用レシピ!$E:$E,0))&lt;&gt;0,INDEX(使用レシピ!L:L,MATCH(テンプレート!$C948,使用レシピ!$E:$E,0)),""),"")</f>
        <v/>
      </c>
      <c r="L948" t="str">
        <f>IFERROR(IF(INDEX(使用レシピ!M:M,MATCH(テンプレート!$C948,使用レシピ!$E:$E,0))&lt;&gt;0,INDEX(使用レシピ!M:M,MATCH(テンプレート!$C948,使用レシピ!$E:$E,0)),""),"")</f>
        <v/>
      </c>
      <c r="M948" t="str">
        <f>IFERROR(IF(INDEX(使用レシピ!N:N,MATCH(テンプレート!$C948,使用レシピ!$E:$E,0))&lt;&gt;0,INDEX(使用レシピ!N:N,MATCH(テンプレート!$C948,使用レシピ!$E:$E,0)),""),"")</f>
        <v/>
      </c>
      <c r="N948" s="24" t="str">
        <f>IFERROR(IF(INDEX(使用レシピ!O:O,MATCH(テンプレート!$C948,使用レシピ!$E:$E,0))&lt;&gt;0,INDEX(使用レシピ!O:O,MATCH(テンプレート!$C948,使用レシピ!$E:$E,0)),""),"")</f>
        <v/>
      </c>
      <c r="O948" s="36" t="str">
        <f>IFERROR(IF(INDEX(使用レシピ!P:P,MATCH(テンプレート!$C948,使用レシピ!$E:$E,0))&lt;&gt;0,INDEX(使用レシピ!P:P,MATCH(テンプレート!$C948,使用レシピ!$E:$E,0)),""),"")</f>
        <v/>
      </c>
      <c r="P948" t="str">
        <f t="shared" si="76"/>
        <v/>
      </c>
      <c r="Q948" t="str">
        <f t="shared" si="77"/>
        <v/>
      </c>
      <c r="R948" t="str">
        <f t="shared" si="78"/>
        <v/>
      </c>
      <c r="S948" t="str">
        <f t="shared" si="79"/>
        <v/>
      </c>
      <c r="T948" s="24" t="str">
        <f t="shared" si="80"/>
        <v/>
      </c>
    </row>
    <row r="949" spans="2:20" x14ac:dyDescent="0.4">
      <c r="B949" s="49" t="str" cm="1">
        <f t="array" ref="B949">IFERROR((INDEX($P$4:$T$1000,MATCH(VALUE(LEFT($A949,LEN($A949)-1)),$A$4:$A$1000,0),VALUE(RIGHT($A949,1)))/ INDEX($O$4:$O$1000,MATCH(VALUE(LEFT($A949,LEN($A949)-1)),$A$4:$A$1000))) * INDEX($B$4:$B$1000,MATCH(VALUE(LEFT($A949,LEN($A949)-1)),$A$4:$A$1000)),"")</f>
        <v/>
      </c>
      <c r="C949" s="2" t="str" cm="1">
        <f t="array" ref="C949">IFERROR(IF(INDEX($D$4:$H$1000,MATCH(VALUE(LEFT($A949,LEN($A949)-1)),$A$4:$A$1000,0),VALUE(RIGHT($A949,1)))= 0,"",INDEX($D$4:$H$1000,MATCH(VALUE(LEFT($A949,LEN($A949)-1)),$A$4:$A$1000,0),VALUE(RIGHT($A949,1)))),"")</f>
        <v/>
      </c>
      <c r="D949" s="23" t="str">
        <f>IFERROR(IF(INDEX(使用レシピ!F:F,MATCH(テンプレート!$C949,使用レシピ!$E:$E,0))&lt;&gt;0,INDEX(使用レシピ!F:F,MATCH(テンプレート!$C949,使用レシピ!$E:$E,0)),""),"")</f>
        <v/>
      </c>
      <c r="E949" t="str">
        <f>IFERROR(IF(INDEX(使用レシピ!G:G,MATCH(テンプレート!$C949,使用レシピ!$E:$E,0))&lt;&gt;0,INDEX(使用レシピ!G:G,MATCH(テンプレート!$C949,使用レシピ!$E:$E,0)),""),"")</f>
        <v/>
      </c>
      <c r="F949" t="str">
        <f>IFERROR(IF(INDEX(使用レシピ!H:H,MATCH(テンプレート!$C949,使用レシピ!$E:$E,0))&lt;&gt;0,INDEX(使用レシピ!H:H,MATCH(テンプレート!$C949,使用レシピ!$E:$E,0)),""),"")</f>
        <v/>
      </c>
      <c r="G949" t="str">
        <f>IFERROR(IF(INDEX(使用レシピ!I:I,MATCH(テンプレート!$C949,使用レシピ!$E:$E,0))&lt;&gt;0,INDEX(使用レシピ!I:I,MATCH(テンプレート!$C949,使用レシピ!$E:$E,0)),""),"")</f>
        <v/>
      </c>
      <c r="H949" s="24" t="str">
        <f>IFERROR(IF(INDEX(使用レシピ!J:J,MATCH(テンプレート!$C949,使用レシピ!$E:$E,0))&lt;&gt;0,INDEX(使用レシピ!J:J,MATCH(テンプレート!$C949,使用レシピ!$E:$E,0)),""),"")</f>
        <v/>
      </c>
      <c r="I949" s="36" t="str">
        <f>IFERROR(IF(INDEX(使用レシピ!P:P,MATCH(テンプレート!$C949,使用レシピ!$E:$E,0))&lt;&gt;0,INDEX(使用レシピ!P:P,MATCH(テンプレート!$C949,使用レシピ!$E:$E,0)),""),"")</f>
        <v/>
      </c>
      <c r="J949" t="str">
        <f>IFERROR(IF(INDEX(使用レシピ!K:K,MATCH(テンプレート!$C949,使用レシピ!$E:$E,0))&lt;&gt;0,INDEX(使用レシピ!K:K,MATCH(テンプレート!$C949,使用レシピ!$E:$E,0)),""),"")</f>
        <v/>
      </c>
      <c r="K949" t="str">
        <f>IFERROR(IF(INDEX(使用レシピ!L:L,MATCH(テンプレート!$C949,使用レシピ!$E:$E,0))&lt;&gt;0,INDEX(使用レシピ!L:L,MATCH(テンプレート!$C949,使用レシピ!$E:$E,0)),""),"")</f>
        <v/>
      </c>
      <c r="L949" t="str">
        <f>IFERROR(IF(INDEX(使用レシピ!M:M,MATCH(テンプレート!$C949,使用レシピ!$E:$E,0))&lt;&gt;0,INDEX(使用レシピ!M:M,MATCH(テンプレート!$C949,使用レシピ!$E:$E,0)),""),"")</f>
        <v/>
      </c>
      <c r="M949" t="str">
        <f>IFERROR(IF(INDEX(使用レシピ!N:N,MATCH(テンプレート!$C949,使用レシピ!$E:$E,0))&lt;&gt;0,INDEX(使用レシピ!N:N,MATCH(テンプレート!$C949,使用レシピ!$E:$E,0)),""),"")</f>
        <v/>
      </c>
      <c r="N949" s="24" t="str">
        <f>IFERROR(IF(INDEX(使用レシピ!O:O,MATCH(テンプレート!$C949,使用レシピ!$E:$E,0))&lt;&gt;0,INDEX(使用レシピ!O:O,MATCH(テンプレート!$C949,使用レシピ!$E:$E,0)),""),"")</f>
        <v/>
      </c>
      <c r="O949" s="36" t="str">
        <f>IFERROR(IF(INDEX(使用レシピ!P:P,MATCH(テンプレート!$C949,使用レシピ!$E:$E,0))&lt;&gt;0,INDEX(使用レシピ!P:P,MATCH(テンプレート!$C949,使用レシピ!$E:$E,0)),""),"")</f>
        <v/>
      </c>
      <c r="P949" t="str">
        <f t="shared" si="76"/>
        <v/>
      </c>
      <c r="Q949" t="str">
        <f t="shared" si="77"/>
        <v/>
      </c>
      <c r="R949" t="str">
        <f t="shared" si="78"/>
        <v/>
      </c>
      <c r="S949" t="str">
        <f t="shared" si="79"/>
        <v/>
      </c>
      <c r="T949" s="24" t="str">
        <f t="shared" si="80"/>
        <v/>
      </c>
    </row>
    <row r="950" spans="2:20" x14ac:dyDescent="0.4">
      <c r="B950" s="49" t="str" cm="1">
        <f t="array" ref="B950">IFERROR((INDEX($P$4:$T$1000,MATCH(VALUE(LEFT($A950,LEN($A950)-1)),$A$4:$A$1000,0),VALUE(RIGHT($A950,1)))/ INDEX($O$4:$O$1000,MATCH(VALUE(LEFT($A950,LEN($A950)-1)),$A$4:$A$1000))) * INDEX($B$4:$B$1000,MATCH(VALUE(LEFT($A950,LEN($A950)-1)),$A$4:$A$1000)),"")</f>
        <v/>
      </c>
      <c r="C950" s="2" t="str" cm="1">
        <f t="array" ref="C950">IFERROR(IF(INDEX($D$4:$H$1000,MATCH(VALUE(LEFT($A950,LEN($A950)-1)),$A$4:$A$1000,0),VALUE(RIGHT($A950,1)))= 0,"",INDEX($D$4:$H$1000,MATCH(VALUE(LEFT($A950,LEN($A950)-1)),$A$4:$A$1000,0),VALUE(RIGHT($A950,1)))),"")</f>
        <v/>
      </c>
      <c r="D950" s="23" t="str">
        <f>IFERROR(IF(INDEX(使用レシピ!F:F,MATCH(テンプレート!$C950,使用レシピ!$E:$E,0))&lt;&gt;0,INDEX(使用レシピ!F:F,MATCH(テンプレート!$C950,使用レシピ!$E:$E,0)),""),"")</f>
        <v/>
      </c>
      <c r="E950" t="str">
        <f>IFERROR(IF(INDEX(使用レシピ!G:G,MATCH(テンプレート!$C950,使用レシピ!$E:$E,0))&lt;&gt;0,INDEX(使用レシピ!G:G,MATCH(テンプレート!$C950,使用レシピ!$E:$E,0)),""),"")</f>
        <v/>
      </c>
      <c r="F950" t="str">
        <f>IFERROR(IF(INDEX(使用レシピ!H:H,MATCH(テンプレート!$C950,使用レシピ!$E:$E,0))&lt;&gt;0,INDEX(使用レシピ!H:H,MATCH(テンプレート!$C950,使用レシピ!$E:$E,0)),""),"")</f>
        <v/>
      </c>
      <c r="G950" t="str">
        <f>IFERROR(IF(INDEX(使用レシピ!I:I,MATCH(テンプレート!$C950,使用レシピ!$E:$E,0))&lt;&gt;0,INDEX(使用レシピ!I:I,MATCH(テンプレート!$C950,使用レシピ!$E:$E,0)),""),"")</f>
        <v/>
      </c>
      <c r="H950" s="24" t="str">
        <f>IFERROR(IF(INDEX(使用レシピ!J:J,MATCH(テンプレート!$C950,使用レシピ!$E:$E,0))&lt;&gt;0,INDEX(使用レシピ!J:J,MATCH(テンプレート!$C950,使用レシピ!$E:$E,0)),""),"")</f>
        <v/>
      </c>
      <c r="I950" s="36" t="str">
        <f>IFERROR(IF(INDEX(使用レシピ!P:P,MATCH(テンプレート!$C950,使用レシピ!$E:$E,0))&lt;&gt;0,INDEX(使用レシピ!P:P,MATCH(テンプレート!$C950,使用レシピ!$E:$E,0)),""),"")</f>
        <v/>
      </c>
      <c r="J950" t="str">
        <f>IFERROR(IF(INDEX(使用レシピ!K:K,MATCH(テンプレート!$C950,使用レシピ!$E:$E,0))&lt;&gt;0,INDEX(使用レシピ!K:K,MATCH(テンプレート!$C950,使用レシピ!$E:$E,0)),""),"")</f>
        <v/>
      </c>
      <c r="K950" t="str">
        <f>IFERROR(IF(INDEX(使用レシピ!L:L,MATCH(テンプレート!$C950,使用レシピ!$E:$E,0))&lt;&gt;0,INDEX(使用レシピ!L:L,MATCH(テンプレート!$C950,使用レシピ!$E:$E,0)),""),"")</f>
        <v/>
      </c>
      <c r="L950" t="str">
        <f>IFERROR(IF(INDEX(使用レシピ!M:M,MATCH(テンプレート!$C950,使用レシピ!$E:$E,0))&lt;&gt;0,INDEX(使用レシピ!M:M,MATCH(テンプレート!$C950,使用レシピ!$E:$E,0)),""),"")</f>
        <v/>
      </c>
      <c r="M950" t="str">
        <f>IFERROR(IF(INDEX(使用レシピ!N:N,MATCH(テンプレート!$C950,使用レシピ!$E:$E,0))&lt;&gt;0,INDEX(使用レシピ!N:N,MATCH(テンプレート!$C950,使用レシピ!$E:$E,0)),""),"")</f>
        <v/>
      </c>
      <c r="N950" s="24" t="str">
        <f>IFERROR(IF(INDEX(使用レシピ!O:O,MATCH(テンプレート!$C950,使用レシピ!$E:$E,0))&lt;&gt;0,INDEX(使用レシピ!O:O,MATCH(テンプレート!$C950,使用レシピ!$E:$E,0)),""),"")</f>
        <v/>
      </c>
      <c r="O950" s="36" t="str">
        <f>IFERROR(IF(INDEX(使用レシピ!P:P,MATCH(テンプレート!$C950,使用レシピ!$E:$E,0))&lt;&gt;0,INDEX(使用レシピ!P:P,MATCH(テンプレート!$C950,使用レシピ!$E:$E,0)),""),"")</f>
        <v/>
      </c>
      <c r="P950" t="str">
        <f t="shared" si="76"/>
        <v/>
      </c>
      <c r="Q950" t="str">
        <f t="shared" si="77"/>
        <v/>
      </c>
      <c r="R950" t="str">
        <f t="shared" si="78"/>
        <v/>
      </c>
      <c r="S950" t="str">
        <f t="shared" si="79"/>
        <v/>
      </c>
      <c r="T950" s="24" t="str">
        <f t="shared" si="80"/>
        <v/>
      </c>
    </row>
    <row r="951" spans="2:20" x14ac:dyDescent="0.4">
      <c r="B951" s="49" t="str" cm="1">
        <f t="array" ref="B951">IFERROR((INDEX($P$4:$T$1000,MATCH(VALUE(LEFT($A951,LEN($A951)-1)),$A$4:$A$1000,0),VALUE(RIGHT($A951,1)))/ INDEX($O$4:$O$1000,MATCH(VALUE(LEFT($A951,LEN($A951)-1)),$A$4:$A$1000))) * INDEX($B$4:$B$1000,MATCH(VALUE(LEFT($A951,LEN($A951)-1)),$A$4:$A$1000)),"")</f>
        <v/>
      </c>
      <c r="C951" s="2" t="str" cm="1">
        <f t="array" ref="C951">IFERROR(IF(INDEX($D$4:$H$1000,MATCH(VALUE(LEFT($A951,LEN($A951)-1)),$A$4:$A$1000,0),VALUE(RIGHT($A951,1)))= 0,"",INDEX($D$4:$H$1000,MATCH(VALUE(LEFT($A951,LEN($A951)-1)),$A$4:$A$1000,0),VALUE(RIGHT($A951,1)))),"")</f>
        <v/>
      </c>
      <c r="D951" s="23" t="str">
        <f>IFERROR(IF(INDEX(使用レシピ!F:F,MATCH(テンプレート!$C951,使用レシピ!$E:$E,0))&lt;&gt;0,INDEX(使用レシピ!F:F,MATCH(テンプレート!$C951,使用レシピ!$E:$E,0)),""),"")</f>
        <v/>
      </c>
      <c r="E951" t="str">
        <f>IFERROR(IF(INDEX(使用レシピ!G:G,MATCH(テンプレート!$C951,使用レシピ!$E:$E,0))&lt;&gt;0,INDEX(使用レシピ!G:G,MATCH(テンプレート!$C951,使用レシピ!$E:$E,0)),""),"")</f>
        <v/>
      </c>
      <c r="F951" t="str">
        <f>IFERROR(IF(INDEX(使用レシピ!H:H,MATCH(テンプレート!$C951,使用レシピ!$E:$E,0))&lt;&gt;0,INDEX(使用レシピ!H:H,MATCH(テンプレート!$C951,使用レシピ!$E:$E,0)),""),"")</f>
        <v/>
      </c>
      <c r="G951" t="str">
        <f>IFERROR(IF(INDEX(使用レシピ!I:I,MATCH(テンプレート!$C951,使用レシピ!$E:$E,0))&lt;&gt;0,INDEX(使用レシピ!I:I,MATCH(テンプレート!$C951,使用レシピ!$E:$E,0)),""),"")</f>
        <v/>
      </c>
      <c r="H951" s="24" t="str">
        <f>IFERROR(IF(INDEX(使用レシピ!J:J,MATCH(テンプレート!$C951,使用レシピ!$E:$E,0))&lt;&gt;0,INDEX(使用レシピ!J:J,MATCH(テンプレート!$C951,使用レシピ!$E:$E,0)),""),"")</f>
        <v/>
      </c>
      <c r="I951" s="36" t="str">
        <f>IFERROR(IF(INDEX(使用レシピ!P:P,MATCH(テンプレート!$C951,使用レシピ!$E:$E,0))&lt;&gt;0,INDEX(使用レシピ!P:P,MATCH(テンプレート!$C951,使用レシピ!$E:$E,0)),""),"")</f>
        <v/>
      </c>
      <c r="J951" t="str">
        <f>IFERROR(IF(INDEX(使用レシピ!K:K,MATCH(テンプレート!$C951,使用レシピ!$E:$E,0))&lt;&gt;0,INDEX(使用レシピ!K:K,MATCH(テンプレート!$C951,使用レシピ!$E:$E,0)),""),"")</f>
        <v/>
      </c>
      <c r="K951" t="str">
        <f>IFERROR(IF(INDEX(使用レシピ!L:L,MATCH(テンプレート!$C951,使用レシピ!$E:$E,0))&lt;&gt;0,INDEX(使用レシピ!L:L,MATCH(テンプレート!$C951,使用レシピ!$E:$E,0)),""),"")</f>
        <v/>
      </c>
      <c r="L951" t="str">
        <f>IFERROR(IF(INDEX(使用レシピ!M:M,MATCH(テンプレート!$C951,使用レシピ!$E:$E,0))&lt;&gt;0,INDEX(使用レシピ!M:M,MATCH(テンプレート!$C951,使用レシピ!$E:$E,0)),""),"")</f>
        <v/>
      </c>
      <c r="M951" t="str">
        <f>IFERROR(IF(INDEX(使用レシピ!N:N,MATCH(テンプレート!$C951,使用レシピ!$E:$E,0))&lt;&gt;0,INDEX(使用レシピ!N:N,MATCH(テンプレート!$C951,使用レシピ!$E:$E,0)),""),"")</f>
        <v/>
      </c>
      <c r="N951" s="24" t="str">
        <f>IFERROR(IF(INDEX(使用レシピ!O:O,MATCH(テンプレート!$C951,使用レシピ!$E:$E,0))&lt;&gt;0,INDEX(使用レシピ!O:O,MATCH(テンプレート!$C951,使用レシピ!$E:$E,0)),""),"")</f>
        <v/>
      </c>
      <c r="O951" s="36" t="str">
        <f>IFERROR(IF(INDEX(使用レシピ!P:P,MATCH(テンプレート!$C951,使用レシピ!$E:$E,0))&lt;&gt;0,INDEX(使用レシピ!P:P,MATCH(テンプレート!$C951,使用レシピ!$E:$E,0)),""),"")</f>
        <v/>
      </c>
      <c r="P951" t="str">
        <f t="shared" si="76"/>
        <v/>
      </c>
      <c r="Q951" t="str">
        <f t="shared" si="77"/>
        <v/>
      </c>
      <c r="R951" t="str">
        <f t="shared" si="78"/>
        <v/>
      </c>
      <c r="S951" t="str">
        <f t="shared" si="79"/>
        <v/>
      </c>
      <c r="T951" s="24" t="str">
        <f t="shared" si="80"/>
        <v/>
      </c>
    </row>
    <row r="952" spans="2:20" x14ac:dyDescent="0.4">
      <c r="B952" s="49" t="str" cm="1">
        <f t="array" ref="B952">IFERROR((INDEX($P$4:$T$1000,MATCH(VALUE(LEFT($A952,LEN($A952)-1)),$A$4:$A$1000,0),VALUE(RIGHT($A952,1)))/ INDEX($O$4:$O$1000,MATCH(VALUE(LEFT($A952,LEN($A952)-1)),$A$4:$A$1000))) * INDEX($B$4:$B$1000,MATCH(VALUE(LEFT($A952,LEN($A952)-1)),$A$4:$A$1000)),"")</f>
        <v/>
      </c>
      <c r="C952" s="2" t="str" cm="1">
        <f t="array" ref="C952">IFERROR(IF(INDEX($D$4:$H$1000,MATCH(VALUE(LEFT($A952,LEN($A952)-1)),$A$4:$A$1000,0),VALUE(RIGHT($A952,1)))= 0,"",INDEX($D$4:$H$1000,MATCH(VALUE(LEFT($A952,LEN($A952)-1)),$A$4:$A$1000,0),VALUE(RIGHT($A952,1)))),"")</f>
        <v/>
      </c>
      <c r="D952" s="23" t="str">
        <f>IFERROR(IF(INDEX(使用レシピ!F:F,MATCH(テンプレート!$C952,使用レシピ!$E:$E,0))&lt;&gt;0,INDEX(使用レシピ!F:F,MATCH(テンプレート!$C952,使用レシピ!$E:$E,0)),""),"")</f>
        <v/>
      </c>
      <c r="E952" t="str">
        <f>IFERROR(IF(INDEX(使用レシピ!G:G,MATCH(テンプレート!$C952,使用レシピ!$E:$E,0))&lt;&gt;0,INDEX(使用レシピ!G:G,MATCH(テンプレート!$C952,使用レシピ!$E:$E,0)),""),"")</f>
        <v/>
      </c>
      <c r="F952" t="str">
        <f>IFERROR(IF(INDEX(使用レシピ!H:H,MATCH(テンプレート!$C952,使用レシピ!$E:$E,0))&lt;&gt;0,INDEX(使用レシピ!H:H,MATCH(テンプレート!$C952,使用レシピ!$E:$E,0)),""),"")</f>
        <v/>
      </c>
      <c r="G952" t="str">
        <f>IFERROR(IF(INDEX(使用レシピ!I:I,MATCH(テンプレート!$C952,使用レシピ!$E:$E,0))&lt;&gt;0,INDEX(使用レシピ!I:I,MATCH(テンプレート!$C952,使用レシピ!$E:$E,0)),""),"")</f>
        <v/>
      </c>
      <c r="H952" s="24" t="str">
        <f>IFERROR(IF(INDEX(使用レシピ!J:J,MATCH(テンプレート!$C952,使用レシピ!$E:$E,0))&lt;&gt;0,INDEX(使用レシピ!J:J,MATCH(テンプレート!$C952,使用レシピ!$E:$E,0)),""),"")</f>
        <v/>
      </c>
      <c r="I952" s="36" t="str">
        <f>IFERROR(IF(INDEX(使用レシピ!P:P,MATCH(テンプレート!$C952,使用レシピ!$E:$E,0))&lt;&gt;0,INDEX(使用レシピ!P:P,MATCH(テンプレート!$C952,使用レシピ!$E:$E,0)),""),"")</f>
        <v/>
      </c>
      <c r="J952" t="str">
        <f>IFERROR(IF(INDEX(使用レシピ!K:K,MATCH(テンプレート!$C952,使用レシピ!$E:$E,0))&lt;&gt;0,INDEX(使用レシピ!K:K,MATCH(テンプレート!$C952,使用レシピ!$E:$E,0)),""),"")</f>
        <v/>
      </c>
      <c r="K952" t="str">
        <f>IFERROR(IF(INDEX(使用レシピ!L:L,MATCH(テンプレート!$C952,使用レシピ!$E:$E,0))&lt;&gt;0,INDEX(使用レシピ!L:L,MATCH(テンプレート!$C952,使用レシピ!$E:$E,0)),""),"")</f>
        <v/>
      </c>
      <c r="L952" t="str">
        <f>IFERROR(IF(INDEX(使用レシピ!M:M,MATCH(テンプレート!$C952,使用レシピ!$E:$E,0))&lt;&gt;0,INDEX(使用レシピ!M:M,MATCH(テンプレート!$C952,使用レシピ!$E:$E,0)),""),"")</f>
        <v/>
      </c>
      <c r="M952" t="str">
        <f>IFERROR(IF(INDEX(使用レシピ!N:N,MATCH(テンプレート!$C952,使用レシピ!$E:$E,0))&lt;&gt;0,INDEX(使用レシピ!N:N,MATCH(テンプレート!$C952,使用レシピ!$E:$E,0)),""),"")</f>
        <v/>
      </c>
      <c r="N952" s="24" t="str">
        <f>IFERROR(IF(INDEX(使用レシピ!O:O,MATCH(テンプレート!$C952,使用レシピ!$E:$E,0))&lt;&gt;0,INDEX(使用レシピ!O:O,MATCH(テンプレート!$C952,使用レシピ!$E:$E,0)),""),"")</f>
        <v/>
      </c>
      <c r="O952" s="36" t="str">
        <f>IFERROR(IF(INDEX(使用レシピ!P:P,MATCH(テンプレート!$C952,使用レシピ!$E:$E,0))&lt;&gt;0,INDEX(使用レシピ!P:P,MATCH(テンプレート!$C952,使用レシピ!$E:$E,0)),""),"")</f>
        <v/>
      </c>
      <c r="P952" t="str">
        <f t="shared" si="76"/>
        <v/>
      </c>
      <c r="Q952" t="str">
        <f t="shared" si="77"/>
        <v/>
      </c>
      <c r="R952" t="str">
        <f t="shared" si="78"/>
        <v/>
      </c>
      <c r="S952" t="str">
        <f t="shared" si="79"/>
        <v/>
      </c>
      <c r="T952" s="24" t="str">
        <f t="shared" si="80"/>
        <v/>
      </c>
    </row>
    <row r="953" spans="2:20" x14ac:dyDescent="0.4">
      <c r="B953" s="49" t="str" cm="1">
        <f t="array" ref="B953">IFERROR((INDEX($P$4:$T$1000,MATCH(VALUE(LEFT($A953,LEN($A953)-1)),$A$4:$A$1000,0),VALUE(RIGHT($A953,1)))/ INDEX($O$4:$O$1000,MATCH(VALUE(LEFT($A953,LEN($A953)-1)),$A$4:$A$1000))) * INDEX($B$4:$B$1000,MATCH(VALUE(LEFT($A953,LEN($A953)-1)),$A$4:$A$1000)),"")</f>
        <v/>
      </c>
      <c r="C953" s="2" t="str" cm="1">
        <f t="array" ref="C953">IFERROR(IF(INDEX($D$4:$H$1000,MATCH(VALUE(LEFT($A953,LEN($A953)-1)),$A$4:$A$1000,0),VALUE(RIGHT($A953,1)))= 0,"",INDEX($D$4:$H$1000,MATCH(VALUE(LEFT($A953,LEN($A953)-1)),$A$4:$A$1000,0),VALUE(RIGHT($A953,1)))),"")</f>
        <v/>
      </c>
      <c r="D953" s="23" t="str">
        <f>IFERROR(IF(INDEX(使用レシピ!F:F,MATCH(テンプレート!$C953,使用レシピ!$E:$E,0))&lt;&gt;0,INDEX(使用レシピ!F:F,MATCH(テンプレート!$C953,使用レシピ!$E:$E,0)),""),"")</f>
        <v/>
      </c>
      <c r="E953" t="str">
        <f>IFERROR(IF(INDEX(使用レシピ!G:G,MATCH(テンプレート!$C953,使用レシピ!$E:$E,0))&lt;&gt;0,INDEX(使用レシピ!G:G,MATCH(テンプレート!$C953,使用レシピ!$E:$E,0)),""),"")</f>
        <v/>
      </c>
      <c r="F953" t="str">
        <f>IFERROR(IF(INDEX(使用レシピ!H:H,MATCH(テンプレート!$C953,使用レシピ!$E:$E,0))&lt;&gt;0,INDEX(使用レシピ!H:H,MATCH(テンプレート!$C953,使用レシピ!$E:$E,0)),""),"")</f>
        <v/>
      </c>
      <c r="G953" t="str">
        <f>IFERROR(IF(INDEX(使用レシピ!I:I,MATCH(テンプレート!$C953,使用レシピ!$E:$E,0))&lt;&gt;0,INDEX(使用レシピ!I:I,MATCH(テンプレート!$C953,使用レシピ!$E:$E,0)),""),"")</f>
        <v/>
      </c>
      <c r="H953" s="24" t="str">
        <f>IFERROR(IF(INDEX(使用レシピ!J:J,MATCH(テンプレート!$C953,使用レシピ!$E:$E,0))&lt;&gt;0,INDEX(使用レシピ!J:J,MATCH(テンプレート!$C953,使用レシピ!$E:$E,0)),""),"")</f>
        <v/>
      </c>
      <c r="I953" s="36" t="str">
        <f>IFERROR(IF(INDEX(使用レシピ!P:P,MATCH(テンプレート!$C953,使用レシピ!$E:$E,0))&lt;&gt;0,INDEX(使用レシピ!P:P,MATCH(テンプレート!$C953,使用レシピ!$E:$E,0)),""),"")</f>
        <v/>
      </c>
      <c r="J953" t="str">
        <f>IFERROR(IF(INDEX(使用レシピ!K:K,MATCH(テンプレート!$C953,使用レシピ!$E:$E,0))&lt;&gt;0,INDEX(使用レシピ!K:K,MATCH(テンプレート!$C953,使用レシピ!$E:$E,0)),""),"")</f>
        <v/>
      </c>
      <c r="K953" t="str">
        <f>IFERROR(IF(INDEX(使用レシピ!L:L,MATCH(テンプレート!$C953,使用レシピ!$E:$E,0))&lt;&gt;0,INDEX(使用レシピ!L:L,MATCH(テンプレート!$C953,使用レシピ!$E:$E,0)),""),"")</f>
        <v/>
      </c>
      <c r="L953" t="str">
        <f>IFERROR(IF(INDEX(使用レシピ!M:M,MATCH(テンプレート!$C953,使用レシピ!$E:$E,0))&lt;&gt;0,INDEX(使用レシピ!M:M,MATCH(テンプレート!$C953,使用レシピ!$E:$E,0)),""),"")</f>
        <v/>
      </c>
      <c r="M953" t="str">
        <f>IFERROR(IF(INDEX(使用レシピ!N:N,MATCH(テンプレート!$C953,使用レシピ!$E:$E,0))&lt;&gt;0,INDEX(使用レシピ!N:N,MATCH(テンプレート!$C953,使用レシピ!$E:$E,0)),""),"")</f>
        <v/>
      </c>
      <c r="N953" s="24" t="str">
        <f>IFERROR(IF(INDEX(使用レシピ!O:O,MATCH(テンプレート!$C953,使用レシピ!$E:$E,0))&lt;&gt;0,INDEX(使用レシピ!O:O,MATCH(テンプレート!$C953,使用レシピ!$E:$E,0)),""),"")</f>
        <v/>
      </c>
      <c r="O953" s="36" t="str">
        <f>IFERROR(IF(INDEX(使用レシピ!P:P,MATCH(テンプレート!$C953,使用レシピ!$E:$E,0))&lt;&gt;0,INDEX(使用レシピ!P:P,MATCH(テンプレート!$C953,使用レシピ!$E:$E,0)),""),"")</f>
        <v/>
      </c>
      <c r="P953" t="str">
        <f t="shared" si="76"/>
        <v/>
      </c>
      <c r="Q953" t="str">
        <f t="shared" si="77"/>
        <v/>
      </c>
      <c r="R953" t="str">
        <f t="shared" si="78"/>
        <v/>
      </c>
      <c r="S953" t="str">
        <f t="shared" si="79"/>
        <v/>
      </c>
      <c r="T953" s="24" t="str">
        <f t="shared" si="80"/>
        <v/>
      </c>
    </row>
    <row r="954" spans="2:20" x14ac:dyDescent="0.4">
      <c r="B954" s="49" t="str" cm="1">
        <f t="array" ref="B954">IFERROR((INDEX($P$4:$T$1000,MATCH(VALUE(LEFT($A954,LEN($A954)-1)),$A$4:$A$1000,0),VALUE(RIGHT($A954,1)))/ INDEX($O$4:$O$1000,MATCH(VALUE(LEFT($A954,LEN($A954)-1)),$A$4:$A$1000))) * INDEX($B$4:$B$1000,MATCH(VALUE(LEFT($A954,LEN($A954)-1)),$A$4:$A$1000)),"")</f>
        <v/>
      </c>
      <c r="C954" s="2" t="str" cm="1">
        <f t="array" ref="C954">IFERROR(IF(INDEX($D$4:$H$1000,MATCH(VALUE(LEFT($A954,LEN($A954)-1)),$A$4:$A$1000,0),VALUE(RIGHT($A954,1)))= 0,"",INDEX($D$4:$H$1000,MATCH(VALUE(LEFT($A954,LEN($A954)-1)),$A$4:$A$1000,0),VALUE(RIGHT($A954,1)))),"")</f>
        <v/>
      </c>
      <c r="D954" s="23" t="str">
        <f>IFERROR(IF(INDEX(使用レシピ!F:F,MATCH(テンプレート!$C954,使用レシピ!$E:$E,0))&lt;&gt;0,INDEX(使用レシピ!F:F,MATCH(テンプレート!$C954,使用レシピ!$E:$E,0)),""),"")</f>
        <v/>
      </c>
      <c r="E954" t="str">
        <f>IFERROR(IF(INDEX(使用レシピ!G:G,MATCH(テンプレート!$C954,使用レシピ!$E:$E,0))&lt;&gt;0,INDEX(使用レシピ!G:G,MATCH(テンプレート!$C954,使用レシピ!$E:$E,0)),""),"")</f>
        <v/>
      </c>
      <c r="F954" t="str">
        <f>IFERROR(IF(INDEX(使用レシピ!H:H,MATCH(テンプレート!$C954,使用レシピ!$E:$E,0))&lt;&gt;0,INDEX(使用レシピ!H:H,MATCH(テンプレート!$C954,使用レシピ!$E:$E,0)),""),"")</f>
        <v/>
      </c>
      <c r="G954" t="str">
        <f>IFERROR(IF(INDEX(使用レシピ!I:I,MATCH(テンプレート!$C954,使用レシピ!$E:$E,0))&lt;&gt;0,INDEX(使用レシピ!I:I,MATCH(テンプレート!$C954,使用レシピ!$E:$E,0)),""),"")</f>
        <v/>
      </c>
      <c r="H954" s="24" t="str">
        <f>IFERROR(IF(INDEX(使用レシピ!J:J,MATCH(テンプレート!$C954,使用レシピ!$E:$E,0))&lt;&gt;0,INDEX(使用レシピ!J:J,MATCH(テンプレート!$C954,使用レシピ!$E:$E,0)),""),"")</f>
        <v/>
      </c>
      <c r="I954" s="36" t="str">
        <f>IFERROR(IF(INDEX(使用レシピ!P:P,MATCH(テンプレート!$C954,使用レシピ!$E:$E,0))&lt;&gt;0,INDEX(使用レシピ!P:P,MATCH(テンプレート!$C954,使用レシピ!$E:$E,0)),""),"")</f>
        <v/>
      </c>
      <c r="J954" t="str">
        <f>IFERROR(IF(INDEX(使用レシピ!K:K,MATCH(テンプレート!$C954,使用レシピ!$E:$E,0))&lt;&gt;0,INDEX(使用レシピ!K:K,MATCH(テンプレート!$C954,使用レシピ!$E:$E,0)),""),"")</f>
        <v/>
      </c>
      <c r="K954" t="str">
        <f>IFERROR(IF(INDEX(使用レシピ!L:L,MATCH(テンプレート!$C954,使用レシピ!$E:$E,0))&lt;&gt;0,INDEX(使用レシピ!L:L,MATCH(テンプレート!$C954,使用レシピ!$E:$E,0)),""),"")</f>
        <v/>
      </c>
      <c r="L954" t="str">
        <f>IFERROR(IF(INDEX(使用レシピ!M:M,MATCH(テンプレート!$C954,使用レシピ!$E:$E,0))&lt;&gt;0,INDEX(使用レシピ!M:M,MATCH(テンプレート!$C954,使用レシピ!$E:$E,0)),""),"")</f>
        <v/>
      </c>
      <c r="M954" t="str">
        <f>IFERROR(IF(INDEX(使用レシピ!N:N,MATCH(テンプレート!$C954,使用レシピ!$E:$E,0))&lt;&gt;0,INDEX(使用レシピ!N:N,MATCH(テンプレート!$C954,使用レシピ!$E:$E,0)),""),"")</f>
        <v/>
      </c>
      <c r="N954" s="24" t="str">
        <f>IFERROR(IF(INDEX(使用レシピ!O:O,MATCH(テンプレート!$C954,使用レシピ!$E:$E,0))&lt;&gt;0,INDEX(使用レシピ!O:O,MATCH(テンプレート!$C954,使用レシピ!$E:$E,0)),""),"")</f>
        <v/>
      </c>
      <c r="O954" s="36" t="str">
        <f>IFERROR(IF(INDEX(使用レシピ!P:P,MATCH(テンプレート!$C954,使用レシピ!$E:$E,0))&lt;&gt;0,INDEX(使用レシピ!P:P,MATCH(テンプレート!$C954,使用レシピ!$E:$E,0)),""),"")</f>
        <v/>
      </c>
      <c r="P954" t="str">
        <f t="shared" si="76"/>
        <v/>
      </c>
      <c r="Q954" t="str">
        <f t="shared" si="77"/>
        <v/>
      </c>
      <c r="R954" t="str">
        <f t="shared" si="78"/>
        <v/>
      </c>
      <c r="S954" t="str">
        <f t="shared" si="79"/>
        <v/>
      </c>
      <c r="T954" s="24" t="str">
        <f t="shared" si="80"/>
        <v/>
      </c>
    </row>
    <row r="955" spans="2:20" x14ac:dyDescent="0.4">
      <c r="B955" s="49" t="str" cm="1">
        <f t="array" ref="B955">IFERROR((INDEX($P$4:$T$1000,MATCH(VALUE(LEFT($A955,LEN($A955)-1)),$A$4:$A$1000,0),VALUE(RIGHT($A955,1)))/ INDEX($O$4:$O$1000,MATCH(VALUE(LEFT($A955,LEN($A955)-1)),$A$4:$A$1000))) * INDEX($B$4:$B$1000,MATCH(VALUE(LEFT($A955,LEN($A955)-1)),$A$4:$A$1000)),"")</f>
        <v/>
      </c>
      <c r="C955" s="2" t="str" cm="1">
        <f t="array" ref="C955">IFERROR(IF(INDEX($D$4:$H$1000,MATCH(VALUE(LEFT($A955,LEN($A955)-1)),$A$4:$A$1000,0),VALUE(RIGHT($A955,1)))= 0,"",INDEX($D$4:$H$1000,MATCH(VALUE(LEFT($A955,LEN($A955)-1)),$A$4:$A$1000,0),VALUE(RIGHT($A955,1)))),"")</f>
        <v/>
      </c>
      <c r="D955" s="23" t="str">
        <f>IFERROR(IF(INDEX(使用レシピ!F:F,MATCH(テンプレート!$C955,使用レシピ!$E:$E,0))&lt;&gt;0,INDEX(使用レシピ!F:F,MATCH(テンプレート!$C955,使用レシピ!$E:$E,0)),""),"")</f>
        <v/>
      </c>
      <c r="E955" t="str">
        <f>IFERROR(IF(INDEX(使用レシピ!G:G,MATCH(テンプレート!$C955,使用レシピ!$E:$E,0))&lt;&gt;0,INDEX(使用レシピ!G:G,MATCH(テンプレート!$C955,使用レシピ!$E:$E,0)),""),"")</f>
        <v/>
      </c>
      <c r="F955" t="str">
        <f>IFERROR(IF(INDEX(使用レシピ!H:H,MATCH(テンプレート!$C955,使用レシピ!$E:$E,0))&lt;&gt;0,INDEX(使用レシピ!H:H,MATCH(テンプレート!$C955,使用レシピ!$E:$E,0)),""),"")</f>
        <v/>
      </c>
      <c r="G955" t="str">
        <f>IFERROR(IF(INDEX(使用レシピ!I:I,MATCH(テンプレート!$C955,使用レシピ!$E:$E,0))&lt;&gt;0,INDEX(使用レシピ!I:I,MATCH(テンプレート!$C955,使用レシピ!$E:$E,0)),""),"")</f>
        <v/>
      </c>
      <c r="H955" s="24" t="str">
        <f>IFERROR(IF(INDEX(使用レシピ!J:J,MATCH(テンプレート!$C955,使用レシピ!$E:$E,0))&lt;&gt;0,INDEX(使用レシピ!J:J,MATCH(テンプレート!$C955,使用レシピ!$E:$E,0)),""),"")</f>
        <v/>
      </c>
      <c r="I955" s="36" t="str">
        <f>IFERROR(IF(INDEX(使用レシピ!P:P,MATCH(テンプレート!$C955,使用レシピ!$E:$E,0))&lt;&gt;0,INDEX(使用レシピ!P:P,MATCH(テンプレート!$C955,使用レシピ!$E:$E,0)),""),"")</f>
        <v/>
      </c>
      <c r="J955" t="str">
        <f>IFERROR(IF(INDEX(使用レシピ!K:K,MATCH(テンプレート!$C955,使用レシピ!$E:$E,0))&lt;&gt;0,INDEX(使用レシピ!K:K,MATCH(テンプレート!$C955,使用レシピ!$E:$E,0)),""),"")</f>
        <v/>
      </c>
      <c r="K955" t="str">
        <f>IFERROR(IF(INDEX(使用レシピ!L:L,MATCH(テンプレート!$C955,使用レシピ!$E:$E,0))&lt;&gt;0,INDEX(使用レシピ!L:L,MATCH(テンプレート!$C955,使用レシピ!$E:$E,0)),""),"")</f>
        <v/>
      </c>
      <c r="L955" t="str">
        <f>IFERROR(IF(INDEX(使用レシピ!M:M,MATCH(テンプレート!$C955,使用レシピ!$E:$E,0))&lt;&gt;0,INDEX(使用レシピ!M:M,MATCH(テンプレート!$C955,使用レシピ!$E:$E,0)),""),"")</f>
        <v/>
      </c>
      <c r="M955" t="str">
        <f>IFERROR(IF(INDEX(使用レシピ!N:N,MATCH(テンプレート!$C955,使用レシピ!$E:$E,0))&lt;&gt;0,INDEX(使用レシピ!N:N,MATCH(テンプレート!$C955,使用レシピ!$E:$E,0)),""),"")</f>
        <v/>
      </c>
      <c r="N955" s="24" t="str">
        <f>IFERROR(IF(INDEX(使用レシピ!O:O,MATCH(テンプレート!$C955,使用レシピ!$E:$E,0))&lt;&gt;0,INDEX(使用レシピ!O:O,MATCH(テンプレート!$C955,使用レシピ!$E:$E,0)),""),"")</f>
        <v/>
      </c>
      <c r="O955" s="36" t="str">
        <f>IFERROR(IF(INDEX(使用レシピ!P:P,MATCH(テンプレート!$C955,使用レシピ!$E:$E,0))&lt;&gt;0,INDEX(使用レシピ!P:P,MATCH(テンプレート!$C955,使用レシピ!$E:$E,0)),""),"")</f>
        <v/>
      </c>
      <c r="P955" t="str">
        <f t="shared" si="76"/>
        <v/>
      </c>
      <c r="Q955" t="str">
        <f t="shared" si="77"/>
        <v/>
      </c>
      <c r="R955" t="str">
        <f t="shared" si="78"/>
        <v/>
      </c>
      <c r="S955" t="str">
        <f t="shared" si="79"/>
        <v/>
      </c>
      <c r="T955" s="24" t="str">
        <f t="shared" si="80"/>
        <v/>
      </c>
    </row>
    <row r="956" spans="2:20" x14ac:dyDescent="0.4">
      <c r="B956" s="49" t="str" cm="1">
        <f t="array" ref="B956">IFERROR((INDEX($P$4:$T$1000,MATCH(VALUE(LEFT($A956,LEN($A956)-1)),$A$4:$A$1000,0),VALUE(RIGHT($A956,1)))/ INDEX($O$4:$O$1000,MATCH(VALUE(LEFT($A956,LEN($A956)-1)),$A$4:$A$1000))) * INDEX($B$4:$B$1000,MATCH(VALUE(LEFT($A956,LEN($A956)-1)),$A$4:$A$1000)),"")</f>
        <v/>
      </c>
      <c r="C956" s="2" t="str" cm="1">
        <f t="array" ref="C956">IFERROR(IF(INDEX($D$4:$H$1000,MATCH(VALUE(LEFT($A956,LEN($A956)-1)),$A$4:$A$1000,0),VALUE(RIGHT($A956,1)))= 0,"",INDEX($D$4:$H$1000,MATCH(VALUE(LEFT($A956,LEN($A956)-1)),$A$4:$A$1000,0),VALUE(RIGHT($A956,1)))),"")</f>
        <v/>
      </c>
      <c r="D956" s="23" t="str">
        <f>IFERROR(IF(INDEX(使用レシピ!F:F,MATCH(テンプレート!$C956,使用レシピ!$E:$E,0))&lt;&gt;0,INDEX(使用レシピ!F:F,MATCH(テンプレート!$C956,使用レシピ!$E:$E,0)),""),"")</f>
        <v/>
      </c>
      <c r="E956" t="str">
        <f>IFERROR(IF(INDEX(使用レシピ!G:G,MATCH(テンプレート!$C956,使用レシピ!$E:$E,0))&lt;&gt;0,INDEX(使用レシピ!G:G,MATCH(テンプレート!$C956,使用レシピ!$E:$E,0)),""),"")</f>
        <v/>
      </c>
      <c r="F956" t="str">
        <f>IFERROR(IF(INDEX(使用レシピ!H:H,MATCH(テンプレート!$C956,使用レシピ!$E:$E,0))&lt;&gt;0,INDEX(使用レシピ!H:H,MATCH(テンプレート!$C956,使用レシピ!$E:$E,0)),""),"")</f>
        <v/>
      </c>
      <c r="G956" t="str">
        <f>IFERROR(IF(INDEX(使用レシピ!I:I,MATCH(テンプレート!$C956,使用レシピ!$E:$E,0))&lt;&gt;0,INDEX(使用レシピ!I:I,MATCH(テンプレート!$C956,使用レシピ!$E:$E,0)),""),"")</f>
        <v/>
      </c>
      <c r="H956" s="24" t="str">
        <f>IFERROR(IF(INDEX(使用レシピ!J:J,MATCH(テンプレート!$C956,使用レシピ!$E:$E,0))&lt;&gt;0,INDEX(使用レシピ!J:J,MATCH(テンプレート!$C956,使用レシピ!$E:$E,0)),""),"")</f>
        <v/>
      </c>
      <c r="I956" s="36" t="str">
        <f>IFERROR(IF(INDEX(使用レシピ!P:P,MATCH(テンプレート!$C956,使用レシピ!$E:$E,0))&lt;&gt;0,INDEX(使用レシピ!P:P,MATCH(テンプレート!$C956,使用レシピ!$E:$E,0)),""),"")</f>
        <v/>
      </c>
      <c r="J956" t="str">
        <f>IFERROR(IF(INDEX(使用レシピ!K:K,MATCH(テンプレート!$C956,使用レシピ!$E:$E,0))&lt;&gt;0,INDEX(使用レシピ!K:K,MATCH(テンプレート!$C956,使用レシピ!$E:$E,0)),""),"")</f>
        <v/>
      </c>
      <c r="K956" t="str">
        <f>IFERROR(IF(INDEX(使用レシピ!L:L,MATCH(テンプレート!$C956,使用レシピ!$E:$E,0))&lt;&gt;0,INDEX(使用レシピ!L:L,MATCH(テンプレート!$C956,使用レシピ!$E:$E,0)),""),"")</f>
        <v/>
      </c>
      <c r="L956" t="str">
        <f>IFERROR(IF(INDEX(使用レシピ!M:M,MATCH(テンプレート!$C956,使用レシピ!$E:$E,0))&lt;&gt;0,INDEX(使用レシピ!M:M,MATCH(テンプレート!$C956,使用レシピ!$E:$E,0)),""),"")</f>
        <v/>
      </c>
      <c r="M956" t="str">
        <f>IFERROR(IF(INDEX(使用レシピ!N:N,MATCH(テンプレート!$C956,使用レシピ!$E:$E,0))&lt;&gt;0,INDEX(使用レシピ!N:N,MATCH(テンプレート!$C956,使用レシピ!$E:$E,0)),""),"")</f>
        <v/>
      </c>
      <c r="N956" s="24" t="str">
        <f>IFERROR(IF(INDEX(使用レシピ!O:O,MATCH(テンプレート!$C956,使用レシピ!$E:$E,0))&lt;&gt;0,INDEX(使用レシピ!O:O,MATCH(テンプレート!$C956,使用レシピ!$E:$E,0)),""),"")</f>
        <v/>
      </c>
      <c r="O956" s="36" t="str">
        <f>IFERROR(IF(INDEX(使用レシピ!P:P,MATCH(テンプレート!$C956,使用レシピ!$E:$E,0))&lt;&gt;0,INDEX(使用レシピ!P:P,MATCH(テンプレート!$C956,使用レシピ!$E:$E,0)),""),"")</f>
        <v/>
      </c>
      <c r="P956" t="str">
        <f t="shared" si="76"/>
        <v/>
      </c>
      <c r="Q956" t="str">
        <f t="shared" si="77"/>
        <v/>
      </c>
      <c r="R956" t="str">
        <f t="shared" si="78"/>
        <v/>
      </c>
      <c r="S956" t="str">
        <f t="shared" si="79"/>
        <v/>
      </c>
      <c r="T956" s="24" t="str">
        <f t="shared" si="80"/>
        <v/>
      </c>
    </row>
    <row r="957" spans="2:20" x14ac:dyDescent="0.4">
      <c r="B957" s="49" t="str" cm="1">
        <f t="array" ref="B957">IFERROR((INDEX($P$4:$T$1000,MATCH(VALUE(LEFT($A957,LEN($A957)-1)),$A$4:$A$1000,0),VALUE(RIGHT($A957,1)))/ INDEX($O$4:$O$1000,MATCH(VALUE(LEFT($A957,LEN($A957)-1)),$A$4:$A$1000))) * INDEX($B$4:$B$1000,MATCH(VALUE(LEFT($A957,LEN($A957)-1)),$A$4:$A$1000)),"")</f>
        <v/>
      </c>
      <c r="C957" s="2" t="str" cm="1">
        <f t="array" ref="C957">IFERROR(IF(INDEX($D$4:$H$1000,MATCH(VALUE(LEFT($A957,LEN($A957)-1)),$A$4:$A$1000,0),VALUE(RIGHT($A957,1)))= 0,"",INDEX($D$4:$H$1000,MATCH(VALUE(LEFT($A957,LEN($A957)-1)),$A$4:$A$1000,0),VALUE(RIGHT($A957,1)))),"")</f>
        <v/>
      </c>
      <c r="D957" s="23" t="str">
        <f>IFERROR(IF(INDEX(使用レシピ!F:F,MATCH(テンプレート!$C957,使用レシピ!$E:$E,0))&lt;&gt;0,INDEX(使用レシピ!F:F,MATCH(テンプレート!$C957,使用レシピ!$E:$E,0)),""),"")</f>
        <v/>
      </c>
      <c r="E957" t="str">
        <f>IFERROR(IF(INDEX(使用レシピ!G:G,MATCH(テンプレート!$C957,使用レシピ!$E:$E,0))&lt;&gt;0,INDEX(使用レシピ!G:G,MATCH(テンプレート!$C957,使用レシピ!$E:$E,0)),""),"")</f>
        <v/>
      </c>
      <c r="F957" t="str">
        <f>IFERROR(IF(INDEX(使用レシピ!H:H,MATCH(テンプレート!$C957,使用レシピ!$E:$E,0))&lt;&gt;0,INDEX(使用レシピ!H:H,MATCH(テンプレート!$C957,使用レシピ!$E:$E,0)),""),"")</f>
        <v/>
      </c>
      <c r="G957" t="str">
        <f>IFERROR(IF(INDEX(使用レシピ!I:I,MATCH(テンプレート!$C957,使用レシピ!$E:$E,0))&lt;&gt;0,INDEX(使用レシピ!I:I,MATCH(テンプレート!$C957,使用レシピ!$E:$E,0)),""),"")</f>
        <v/>
      </c>
      <c r="H957" s="24" t="str">
        <f>IFERROR(IF(INDEX(使用レシピ!J:J,MATCH(テンプレート!$C957,使用レシピ!$E:$E,0))&lt;&gt;0,INDEX(使用レシピ!J:J,MATCH(テンプレート!$C957,使用レシピ!$E:$E,0)),""),"")</f>
        <v/>
      </c>
      <c r="I957" s="36" t="str">
        <f>IFERROR(IF(INDEX(使用レシピ!P:P,MATCH(テンプレート!$C957,使用レシピ!$E:$E,0))&lt;&gt;0,INDEX(使用レシピ!P:P,MATCH(テンプレート!$C957,使用レシピ!$E:$E,0)),""),"")</f>
        <v/>
      </c>
      <c r="J957" t="str">
        <f>IFERROR(IF(INDEX(使用レシピ!K:K,MATCH(テンプレート!$C957,使用レシピ!$E:$E,0))&lt;&gt;0,INDEX(使用レシピ!K:K,MATCH(テンプレート!$C957,使用レシピ!$E:$E,0)),""),"")</f>
        <v/>
      </c>
      <c r="K957" t="str">
        <f>IFERROR(IF(INDEX(使用レシピ!L:L,MATCH(テンプレート!$C957,使用レシピ!$E:$E,0))&lt;&gt;0,INDEX(使用レシピ!L:L,MATCH(テンプレート!$C957,使用レシピ!$E:$E,0)),""),"")</f>
        <v/>
      </c>
      <c r="L957" t="str">
        <f>IFERROR(IF(INDEX(使用レシピ!M:M,MATCH(テンプレート!$C957,使用レシピ!$E:$E,0))&lt;&gt;0,INDEX(使用レシピ!M:M,MATCH(テンプレート!$C957,使用レシピ!$E:$E,0)),""),"")</f>
        <v/>
      </c>
      <c r="M957" t="str">
        <f>IFERROR(IF(INDEX(使用レシピ!N:N,MATCH(テンプレート!$C957,使用レシピ!$E:$E,0))&lt;&gt;0,INDEX(使用レシピ!N:N,MATCH(テンプレート!$C957,使用レシピ!$E:$E,0)),""),"")</f>
        <v/>
      </c>
      <c r="N957" s="24" t="str">
        <f>IFERROR(IF(INDEX(使用レシピ!O:O,MATCH(テンプレート!$C957,使用レシピ!$E:$E,0))&lt;&gt;0,INDEX(使用レシピ!O:O,MATCH(テンプレート!$C957,使用レシピ!$E:$E,0)),""),"")</f>
        <v/>
      </c>
      <c r="O957" s="36" t="str">
        <f>IFERROR(IF(INDEX(使用レシピ!P:P,MATCH(テンプレート!$C957,使用レシピ!$E:$E,0))&lt;&gt;0,INDEX(使用レシピ!P:P,MATCH(テンプレート!$C957,使用レシピ!$E:$E,0)),""),"")</f>
        <v/>
      </c>
      <c r="P957" t="str">
        <f t="shared" si="76"/>
        <v/>
      </c>
      <c r="Q957" t="str">
        <f t="shared" si="77"/>
        <v/>
      </c>
      <c r="R957" t="str">
        <f t="shared" si="78"/>
        <v/>
      </c>
      <c r="S957" t="str">
        <f t="shared" si="79"/>
        <v/>
      </c>
      <c r="T957" s="24" t="str">
        <f t="shared" si="80"/>
        <v/>
      </c>
    </row>
    <row r="958" spans="2:20" x14ac:dyDescent="0.4">
      <c r="B958" s="49" t="str" cm="1">
        <f t="array" ref="B958">IFERROR((INDEX($P$4:$T$1000,MATCH(VALUE(LEFT($A958,LEN($A958)-1)),$A$4:$A$1000,0),VALUE(RIGHT($A958,1)))/ INDEX($O$4:$O$1000,MATCH(VALUE(LEFT($A958,LEN($A958)-1)),$A$4:$A$1000))) * INDEX($B$4:$B$1000,MATCH(VALUE(LEFT($A958,LEN($A958)-1)),$A$4:$A$1000)),"")</f>
        <v/>
      </c>
      <c r="C958" s="2" t="str" cm="1">
        <f t="array" ref="C958">IFERROR(IF(INDEX($D$4:$H$1000,MATCH(VALUE(LEFT($A958,LEN($A958)-1)),$A$4:$A$1000,0),VALUE(RIGHT($A958,1)))= 0,"",INDEX($D$4:$H$1000,MATCH(VALUE(LEFT($A958,LEN($A958)-1)),$A$4:$A$1000,0),VALUE(RIGHT($A958,1)))),"")</f>
        <v/>
      </c>
      <c r="D958" s="23" t="str">
        <f>IFERROR(IF(INDEX(使用レシピ!F:F,MATCH(テンプレート!$C958,使用レシピ!$E:$E,0))&lt;&gt;0,INDEX(使用レシピ!F:F,MATCH(テンプレート!$C958,使用レシピ!$E:$E,0)),""),"")</f>
        <v/>
      </c>
      <c r="E958" t="str">
        <f>IFERROR(IF(INDEX(使用レシピ!G:G,MATCH(テンプレート!$C958,使用レシピ!$E:$E,0))&lt;&gt;0,INDEX(使用レシピ!G:G,MATCH(テンプレート!$C958,使用レシピ!$E:$E,0)),""),"")</f>
        <v/>
      </c>
      <c r="F958" t="str">
        <f>IFERROR(IF(INDEX(使用レシピ!H:H,MATCH(テンプレート!$C958,使用レシピ!$E:$E,0))&lt;&gt;0,INDEX(使用レシピ!H:H,MATCH(テンプレート!$C958,使用レシピ!$E:$E,0)),""),"")</f>
        <v/>
      </c>
      <c r="G958" t="str">
        <f>IFERROR(IF(INDEX(使用レシピ!I:I,MATCH(テンプレート!$C958,使用レシピ!$E:$E,0))&lt;&gt;0,INDEX(使用レシピ!I:I,MATCH(テンプレート!$C958,使用レシピ!$E:$E,0)),""),"")</f>
        <v/>
      </c>
      <c r="H958" s="24" t="str">
        <f>IFERROR(IF(INDEX(使用レシピ!J:J,MATCH(テンプレート!$C958,使用レシピ!$E:$E,0))&lt;&gt;0,INDEX(使用レシピ!J:J,MATCH(テンプレート!$C958,使用レシピ!$E:$E,0)),""),"")</f>
        <v/>
      </c>
      <c r="I958" s="36" t="str">
        <f>IFERROR(IF(INDEX(使用レシピ!P:P,MATCH(テンプレート!$C958,使用レシピ!$E:$E,0))&lt;&gt;0,INDEX(使用レシピ!P:P,MATCH(テンプレート!$C958,使用レシピ!$E:$E,0)),""),"")</f>
        <v/>
      </c>
      <c r="J958" t="str">
        <f>IFERROR(IF(INDEX(使用レシピ!K:K,MATCH(テンプレート!$C958,使用レシピ!$E:$E,0))&lt;&gt;0,INDEX(使用レシピ!K:K,MATCH(テンプレート!$C958,使用レシピ!$E:$E,0)),""),"")</f>
        <v/>
      </c>
      <c r="K958" t="str">
        <f>IFERROR(IF(INDEX(使用レシピ!L:L,MATCH(テンプレート!$C958,使用レシピ!$E:$E,0))&lt;&gt;0,INDEX(使用レシピ!L:L,MATCH(テンプレート!$C958,使用レシピ!$E:$E,0)),""),"")</f>
        <v/>
      </c>
      <c r="L958" t="str">
        <f>IFERROR(IF(INDEX(使用レシピ!M:M,MATCH(テンプレート!$C958,使用レシピ!$E:$E,0))&lt;&gt;0,INDEX(使用レシピ!M:M,MATCH(テンプレート!$C958,使用レシピ!$E:$E,0)),""),"")</f>
        <v/>
      </c>
      <c r="M958" t="str">
        <f>IFERROR(IF(INDEX(使用レシピ!N:N,MATCH(テンプレート!$C958,使用レシピ!$E:$E,0))&lt;&gt;0,INDEX(使用レシピ!N:N,MATCH(テンプレート!$C958,使用レシピ!$E:$E,0)),""),"")</f>
        <v/>
      </c>
      <c r="N958" s="24" t="str">
        <f>IFERROR(IF(INDEX(使用レシピ!O:O,MATCH(テンプレート!$C958,使用レシピ!$E:$E,0))&lt;&gt;0,INDEX(使用レシピ!O:O,MATCH(テンプレート!$C958,使用レシピ!$E:$E,0)),""),"")</f>
        <v/>
      </c>
      <c r="O958" s="36" t="str">
        <f>IFERROR(IF(INDEX(使用レシピ!P:P,MATCH(テンプレート!$C958,使用レシピ!$E:$E,0))&lt;&gt;0,INDEX(使用レシピ!P:P,MATCH(テンプレート!$C958,使用レシピ!$E:$E,0)),""),"")</f>
        <v/>
      </c>
      <c r="P958" t="str">
        <f t="shared" si="76"/>
        <v/>
      </c>
      <c r="Q958" t="str">
        <f t="shared" si="77"/>
        <v/>
      </c>
      <c r="R958" t="str">
        <f t="shared" si="78"/>
        <v/>
      </c>
      <c r="S958" t="str">
        <f t="shared" si="79"/>
        <v/>
      </c>
      <c r="T958" s="24" t="str">
        <f t="shared" si="80"/>
        <v/>
      </c>
    </row>
    <row r="959" spans="2:20" x14ac:dyDescent="0.4">
      <c r="B959" s="49" t="str" cm="1">
        <f t="array" ref="B959">IFERROR((INDEX($P$4:$T$1000,MATCH(VALUE(LEFT($A959,LEN($A959)-1)),$A$4:$A$1000,0),VALUE(RIGHT($A959,1)))/ INDEX($O$4:$O$1000,MATCH(VALUE(LEFT($A959,LEN($A959)-1)),$A$4:$A$1000))) * INDEX($B$4:$B$1000,MATCH(VALUE(LEFT($A959,LEN($A959)-1)),$A$4:$A$1000)),"")</f>
        <v/>
      </c>
      <c r="C959" s="2" t="str" cm="1">
        <f t="array" ref="C959">IFERROR(IF(INDEX($D$4:$H$1000,MATCH(VALUE(LEFT($A959,LEN($A959)-1)),$A$4:$A$1000,0),VALUE(RIGHT($A959,1)))= 0,"",INDEX($D$4:$H$1000,MATCH(VALUE(LEFT($A959,LEN($A959)-1)),$A$4:$A$1000,0),VALUE(RIGHT($A959,1)))),"")</f>
        <v/>
      </c>
      <c r="D959" s="23" t="str">
        <f>IFERROR(IF(INDEX(使用レシピ!F:F,MATCH(テンプレート!$C959,使用レシピ!$E:$E,0))&lt;&gt;0,INDEX(使用レシピ!F:F,MATCH(テンプレート!$C959,使用レシピ!$E:$E,0)),""),"")</f>
        <v/>
      </c>
      <c r="E959" t="str">
        <f>IFERROR(IF(INDEX(使用レシピ!G:G,MATCH(テンプレート!$C959,使用レシピ!$E:$E,0))&lt;&gt;0,INDEX(使用レシピ!G:G,MATCH(テンプレート!$C959,使用レシピ!$E:$E,0)),""),"")</f>
        <v/>
      </c>
      <c r="F959" t="str">
        <f>IFERROR(IF(INDEX(使用レシピ!H:H,MATCH(テンプレート!$C959,使用レシピ!$E:$E,0))&lt;&gt;0,INDEX(使用レシピ!H:H,MATCH(テンプレート!$C959,使用レシピ!$E:$E,0)),""),"")</f>
        <v/>
      </c>
      <c r="G959" t="str">
        <f>IFERROR(IF(INDEX(使用レシピ!I:I,MATCH(テンプレート!$C959,使用レシピ!$E:$E,0))&lt;&gt;0,INDEX(使用レシピ!I:I,MATCH(テンプレート!$C959,使用レシピ!$E:$E,0)),""),"")</f>
        <v/>
      </c>
      <c r="H959" s="24" t="str">
        <f>IFERROR(IF(INDEX(使用レシピ!J:J,MATCH(テンプレート!$C959,使用レシピ!$E:$E,0))&lt;&gt;0,INDEX(使用レシピ!J:J,MATCH(テンプレート!$C959,使用レシピ!$E:$E,0)),""),"")</f>
        <v/>
      </c>
      <c r="I959" s="36" t="str">
        <f>IFERROR(IF(INDEX(使用レシピ!P:P,MATCH(テンプレート!$C959,使用レシピ!$E:$E,0))&lt;&gt;0,INDEX(使用レシピ!P:P,MATCH(テンプレート!$C959,使用レシピ!$E:$E,0)),""),"")</f>
        <v/>
      </c>
      <c r="J959" t="str">
        <f>IFERROR(IF(INDEX(使用レシピ!K:K,MATCH(テンプレート!$C959,使用レシピ!$E:$E,0))&lt;&gt;0,INDEX(使用レシピ!K:K,MATCH(テンプレート!$C959,使用レシピ!$E:$E,0)),""),"")</f>
        <v/>
      </c>
      <c r="K959" t="str">
        <f>IFERROR(IF(INDEX(使用レシピ!L:L,MATCH(テンプレート!$C959,使用レシピ!$E:$E,0))&lt;&gt;0,INDEX(使用レシピ!L:L,MATCH(テンプレート!$C959,使用レシピ!$E:$E,0)),""),"")</f>
        <v/>
      </c>
      <c r="L959" t="str">
        <f>IFERROR(IF(INDEX(使用レシピ!M:M,MATCH(テンプレート!$C959,使用レシピ!$E:$E,0))&lt;&gt;0,INDEX(使用レシピ!M:M,MATCH(テンプレート!$C959,使用レシピ!$E:$E,0)),""),"")</f>
        <v/>
      </c>
      <c r="M959" t="str">
        <f>IFERROR(IF(INDEX(使用レシピ!N:N,MATCH(テンプレート!$C959,使用レシピ!$E:$E,0))&lt;&gt;0,INDEX(使用レシピ!N:N,MATCH(テンプレート!$C959,使用レシピ!$E:$E,0)),""),"")</f>
        <v/>
      </c>
      <c r="N959" s="24" t="str">
        <f>IFERROR(IF(INDEX(使用レシピ!O:O,MATCH(テンプレート!$C959,使用レシピ!$E:$E,0))&lt;&gt;0,INDEX(使用レシピ!O:O,MATCH(テンプレート!$C959,使用レシピ!$E:$E,0)),""),"")</f>
        <v/>
      </c>
      <c r="O959" s="36" t="str">
        <f>IFERROR(IF(INDEX(使用レシピ!P:P,MATCH(テンプレート!$C959,使用レシピ!$E:$E,0))&lt;&gt;0,INDEX(使用レシピ!P:P,MATCH(テンプレート!$C959,使用レシピ!$E:$E,0)),""),"")</f>
        <v/>
      </c>
      <c r="P959" t="str">
        <f t="shared" si="76"/>
        <v/>
      </c>
      <c r="Q959" t="str">
        <f t="shared" si="77"/>
        <v/>
      </c>
      <c r="R959" t="str">
        <f t="shared" si="78"/>
        <v/>
      </c>
      <c r="S959" t="str">
        <f t="shared" si="79"/>
        <v/>
      </c>
      <c r="T959" s="24" t="str">
        <f t="shared" si="80"/>
        <v/>
      </c>
    </row>
    <row r="960" spans="2:20" x14ac:dyDescent="0.4">
      <c r="B960" s="49" t="str" cm="1">
        <f t="array" ref="B960">IFERROR((INDEX($P$4:$T$1000,MATCH(VALUE(LEFT($A960,LEN($A960)-1)),$A$4:$A$1000,0),VALUE(RIGHT($A960,1)))/ INDEX($O$4:$O$1000,MATCH(VALUE(LEFT($A960,LEN($A960)-1)),$A$4:$A$1000))) * INDEX($B$4:$B$1000,MATCH(VALUE(LEFT($A960,LEN($A960)-1)),$A$4:$A$1000)),"")</f>
        <v/>
      </c>
      <c r="C960" s="2" t="str" cm="1">
        <f t="array" ref="C960">IFERROR(IF(INDEX($D$4:$H$1000,MATCH(VALUE(LEFT($A960,LEN($A960)-1)),$A$4:$A$1000,0),VALUE(RIGHT($A960,1)))= 0,"",INDEX($D$4:$H$1000,MATCH(VALUE(LEFT($A960,LEN($A960)-1)),$A$4:$A$1000,0),VALUE(RIGHT($A960,1)))),"")</f>
        <v/>
      </c>
      <c r="D960" s="23" t="str">
        <f>IFERROR(IF(INDEX(使用レシピ!F:F,MATCH(テンプレート!$C960,使用レシピ!$E:$E,0))&lt;&gt;0,INDEX(使用レシピ!F:F,MATCH(テンプレート!$C960,使用レシピ!$E:$E,0)),""),"")</f>
        <v/>
      </c>
      <c r="E960" t="str">
        <f>IFERROR(IF(INDEX(使用レシピ!G:G,MATCH(テンプレート!$C960,使用レシピ!$E:$E,0))&lt;&gt;0,INDEX(使用レシピ!G:G,MATCH(テンプレート!$C960,使用レシピ!$E:$E,0)),""),"")</f>
        <v/>
      </c>
      <c r="F960" t="str">
        <f>IFERROR(IF(INDEX(使用レシピ!H:H,MATCH(テンプレート!$C960,使用レシピ!$E:$E,0))&lt;&gt;0,INDEX(使用レシピ!H:H,MATCH(テンプレート!$C960,使用レシピ!$E:$E,0)),""),"")</f>
        <v/>
      </c>
      <c r="G960" t="str">
        <f>IFERROR(IF(INDEX(使用レシピ!I:I,MATCH(テンプレート!$C960,使用レシピ!$E:$E,0))&lt;&gt;0,INDEX(使用レシピ!I:I,MATCH(テンプレート!$C960,使用レシピ!$E:$E,0)),""),"")</f>
        <v/>
      </c>
      <c r="H960" s="24" t="str">
        <f>IFERROR(IF(INDEX(使用レシピ!J:J,MATCH(テンプレート!$C960,使用レシピ!$E:$E,0))&lt;&gt;0,INDEX(使用レシピ!J:J,MATCH(テンプレート!$C960,使用レシピ!$E:$E,0)),""),"")</f>
        <v/>
      </c>
      <c r="I960" s="36" t="str">
        <f>IFERROR(IF(INDEX(使用レシピ!P:P,MATCH(テンプレート!$C960,使用レシピ!$E:$E,0))&lt;&gt;0,INDEX(使用レシピ!P:P,MATCH(テンプレート!$C960,使用レシピ!$E:$E,0)),""),"")</f>
        <v/>
      </c>
      <c r="J960" t="str">
        <f>IFERROR(IF(INDEX(使用レシピ!K:K,MATCH(テンプレート!$C960,使用レシピ!$E:$E,0))&lt;&gt;0,INDEX(使用レシピ!K:K,MATCH(テンプレート!$C960,使用レシピ!$E:$E,0)),""),"")</f>
        <v/>
      </c>
      <c r="K960" t="str">
        <f>IFERROR(IF(INDEX(使用レシピ!L:L,MATCH(テンプレート!$C960,使用レシピ!$E:$E,0))&lt;&gt;0,INDEX(使用レシピ!L:L,MATCH(テンプレート!$C960,使用レシピ!$E:$E,0)),""),"")</f>
        <v/>
      </c>
      <c r="L960" t="str">
        <f>IFERROR(IF(INDEX(使用レシピ!M:M,MATCH(テンプレート!$C960,使用レシピ!$E:$E,0))&lt;&gt;0,INDEX(使用レシピ!M:M,MATCH(テンプレート!$C960,使用レシピ!$E:$E,0)),""),"")</f>
        <v/>
      </c>
      <c r="M960" t="str">
        <f>IFERROR(IF(INDEX(使用レシピ!N:N,MATCH(テンプレート!$C960,使用レシピ!$E:$E,0))&lt;&gt;0,INDEX(使用レシピ!N:N,MATCH(テンプレート!$C960,使用レシピ!$E:$E,0)),""),"")</f>
        <v/>
      </c>
      <c r="N960" s="24" t="str">
        <f>IFERROR(IF(INDEX(使用レシピ!O:O,MATCH(テンプレート!$C960,使用レシピ!$E:$E,0))&lt;&gt;0,INDEX(使用レシピ!O:O,MATCH(テンプレート!$C960,使用レシピ!$E:$E,0)),""),"")</f>
        <v/>
      </c>
      <c r="O960" s="36" t="str">
        <f>IFERROR(IF(INDEX(使用レシピ!P:P,MATCH(テンプレート!$C960,使用レシピ!$E:$E,0))&lt;&gt;0,INDEX(使用レシピ!P:P,MATCH(テンプレート!$C960,使用レシピ!$E:$E,0)),""),"")</f>
        <v/>
      </c>
      <c r="P960" t="str">
        <f t="shared" si="76"/>
        <v/>
      </c>
      <c r="Q960" t="str">
        <f t="shared" si="77"/>
        <v/>
      </c>
      <c r="R960" t="str">
        <f t="shared" si="78"/>
        <v/>
      </c>
      <c r="S960" t="str">
        <f t="shared" si="79"/>
        <v/>
      </c>
      <c r="T960" s="24" t="str">
        <f t="shared" si="80"/>
        <v/>
      </c>
    </row>
    <row r="961" spans="2:20" x14ac:dyDescent="0.4">
      <c r="B961" s="49" t="str" cm="1">
        <f t="array" ref="B961">IFERROR((INDEX($P$4:$T$1000,MATCH(VALUE(LEFT($A961,LEN($A961)-1)),$A$4:$A$1000,0),VALUE(RIGHT($A961,1)))/ INDEX($O$4:$O$1000,MATCH(VALUE(LEFT($A961,LEN($A961)-1)),$A$4:$A$1000))) * INDEX($B$4:$B$1000,MATCH(VALUE(LEFT($A961,LEN($A961)-1)),$A$4:$A$1000)),"")</f>
        <v/>
      </c>
      <c r="C961" s="2" t="str" cm="1">
        <f t="array" ref="C961">IFERROR(IF(INDEX($D$4:$H$1000,MATCH(VALUE(LEFT($A961,LEN($A961)-1)),$A$4:$A$1000,0),VALUE(RIGHT($A961,1)))= 0,"",INDEX($D$4:$H$1000,MATCH(VALUE(LEFT($A961,LEN($A961)-1)),$A$4:$A$1000,0),VALUE(RIGHT($A961,1)))),"")</f>
        <v/>
      </c>
      <c r="D961" s="23" t="str">
        <f>IFERROR(IF(INDEX(使用レシピ!F:F,MATCH(テンプレート!$C961,使用レシピ!$E:$E,0))&lt;&gt;0,INDEX(使用レシピ!F:F,MATCH(テンプレート!$C961,使用レシピ!$E:$E,0)),""),"")</f>
        <v/>
      </c>
      <c r="E961" t="str">
        <f>IFERROR(IF(INDEX(使用レシピ!G:G,MATCH(テンプレート!$C961,使用レシピ!$E:$E,0))&lt;&gt;0,INDEX(使用レシピ!G:G,MATCH(テンプレート!$C961,使用レシピ!$E:$E,0)),""),"")</f>
        <v/>
      </c>
      <c r="F961" t="str">
        <f>IFERROR(IF(INDEX(使用レシピ!H:H,MATCH(テンプレート!$C961,使用レシピ!$E:$E,0))&lt;&gt;0,INDEX(使用レシピ!H:H,MATCH(テンプレート!$C961,使用レシピ!$E:$E,0)),""),"")</f>
        <v/>
      </c>
      <c r="G961" t="str">
        <f>IFERROR(IF(INDEX(使用レシピ!I:I,MATCH(テンプレート!$C961,使用レシピ!$E:$E,0))&lt;&gt;0,INDEX(使用レシピ!I:I,MATCH(テンプレート!$C961,使用レシピ!$E:$E,0)),""),"")</f>
        <v/>
      </c>
      <c r="H961" s="24" t="str">
        <f>IFERROR(IF(INDEX(使用レシピ!J:J,MATCH(テンプレート!$C961,使用レシピ!$E:$E,0))&lt;&gt;0,INDEX(使用レシピ!J:J,MATCH(テンプレート!$C961,使用レシピ!$E:$E,0)),""),"")</f>
        <v/>
      </c>
      <c r="I961" s="36" t="str">
        <f>IFERROR(IF(INDEX(使用レシピ!P:P,MATCH(テンプレート!$C961,使用レシピ!$E:$E,0))&lt;&gt;0,INDEX(使用レシピ!P:P,MATCH(テンプレート!$C961,使用レシピ!$E:$E,0)),""),"")</f>
        <v/>
      </c>
      <c r="J961" t="str">
        <f>IFERROR(IF(INDEX(使用レシピ!K:K,MATCH(テンプレート!$C961,使用レシピ!$E:$E,0))&lt;&gt;0,INDEX(使用レシピ!K:K,MATCH(テンプレート!$C961,使用レシピ!$E:$E,0)),""),"")</f>
        <v/>
      </c>
      <c r="K961" t="str">
        <f>IFERROR(IF(INDEX(使用レシピ!L:L,MATCH(テンプレート!$C961,使用レシピ!$E:$E,0))&lt;&gt;0,INDEX(使用レシピ!L:L,MATCH(テンプレート!$C961,使用レシピ!$E:$E,0)),""),"")</f>
        <v/>
      </c>
      <c r="L961" t="str">
        <f>IFERROR(IF(INDEX(使用レシピ!M:M,MATCH(テンプレート!$C961,使用レシピ!$E:$E,0))&lt;&gt;0,INDEX(使用レシピ!M:M,MATCH(テンプレート!$C961,使用レシピ!$E:$E,0)),""),"")</f>
        <v/>
      </c>
      <c r="M961" t="str">
        <f>IFERROR(IF(INDEX(使用レシピ!N:N,MATCH(テンプレート!$C961,使用レシピ!$E:$E,0))&lt;&gt;0,INDEX(使用レシピ!N:N,MATCH(テンプレート!$C961,使用レシピ!$E:$E,0)),""),"")</f>
        <v/>
      </c>
      <c r="N961" s="24" t="str">
        <f>IFERROR(IF(INDEX(使用レシピ!O:O,MATCH(テンプレート!$C961,使用レシピ!$E:$E,0))&lt;&gt;0,INDEX(使用レシピ!O:O,MATCH(テンプレート!$C961,使用レシピ!$E:$E,0)),""),"")</f>
        <v/>
      </c>
      <c r="O961" s="36" t="str">
        <f>IFERROR(IF(INDEX(使用レシピ!P:P,MATCH(テンプレート!$C961,使用レシピ!$E:$E,0))&lt;&gt;0,INDEX(使用レシピ!P:P,MATCH(テンプレート!$C961,使用レシピ!$E:$E,0)),""),"")</f>
        <v/>
      </c>
      <c r="P961" t="str">
        <f t="shared" si="76"/>
        <v/>
      </c>
      <c r="Q961" t="str">
        <f t="shared" si="77"/>
        <v/>
      </c>
      <c r="R961" t="str">
        <f t="shared" si="78"/>
        <v/>
      </c>
      <c r="S961" t="str">
        <f t="shared" si="79"/>
        <v/>
      </c>
      <c r="T961" s="24" t="str">
        <f t="shared" si="80"/>
        <v/>
      </c>
    </row>
    <row r="962" spans="2:20" x14ac:dyDescent="0.4">
      <c r="B962" s="49" t="str" cm="1">
        <f t="array" ref="B962">IFERROR((INDEX($P$4:$T$1000,MATCH(VALUE(LEFT($A962,LEN($A962)-1)),$A$4:$A$1000,0),VALUE(RIGHT($A962,1)))/ INDEX($O$4:$O$1000,MATCH(VALUE(LEFT($A962,LEN($A962)-1)),$A$4:$A$1000))) * INDEX($B$4:$B$1000,MATCH(VALUE(LEFT($A962,LEN($A962)-1)),$A$4:$A$1000)),"")</f>
        <v/>
      </c>
      <c r="C962" s="2" t="str" cm="1">
        <f t="array" ref="C962">IFERROR(IF(INDEX($D$4:$H$1000,MATCH(VALUE(LEFT($A962,LEN($A962)-1)),$A$4:$A$1000,0),VALUE(RIGHT($A962,1)))= 0,"",INDEX($D$4:$H$1000,MATCH(VALUE(LEFT($A962,LEN($A962)-1)),$A$4:$A$1000,0),VALUE(RIGHT($A962,1)))),"")</f>
        <v/>
      </c>
      <c r="D962" s="23" t="str">
        <f>IFERROR(IF(INDEX(使用レシピ!F:F,MATCH(テンプレート!$C962,使用レシピ!$E:$E,0))&lt;&gt;0,INDEX(使用レシピ!F:F,MATCH(テンプレート!$C962,使用レシピ!$E:$E,0)),""),"")</f>
        <v/>
      </c>
      <c r="E962" t="str">
        <f>IFERROR(IF(INDEX(使用レシピ!G:G,MATCH(テンプレート!$C962,使用レシピ!$E:$E,0))&lt;&gt;0,INDEX(使用レシピ!G:G,MATCH(テンプレート!$C962,使用レシピ!$E:$E,0)),""),"")</f>
        <v/>
      </c>
      <c r="F962" t="str">
        <f>IFERROR(IF(INDEX(使用レシピ!H:H,MATCH(テンプレート!$C962,使用レシピ!$E:$E,0))&lt;&gt;0,INDEX(使用レシピ!H:H,MATCH(テンプレート!$C962,使用レシピ!$E:$E,0)),""),"")</f>
        <v/>
      </c>
      <c r="G962" t="str">
        <f>IFERROR(IF(INDEX(使用レシピ!I:I,MATCH(テンプレート!$C962,使用レシピ!$E:$E,0))&lt;&gt;0,INDEX(使用レシピ!I:I,MATCH(テンプレート!$C962,使用レシピ!$E:$E,0)),""),"")</f>
        <v/>
      </c>
      <c r="H962" s="24" t="str">
        <f>IFERROR(IF(INDEX(使用レシピ!J:J,MATCH(テンプレート!$C962,使用レシピ!$E:$E,0))&lt;&gt;0,INDEX(使用レシピ!J:J,MATCH(テンプレート!$C962,使用レシピ!$E:$E,0)),""),"")</f>
        <v/>
      </c>
      <c r="I962" s="36" t="str">
        <f>IFERROR(IF(INDEX(使用レシピ!P:P,MATCH(テンプレート!$C962,使用レシピ!$E:$E,0))&lt;&gt;0,INDEX(使用レシピ!P:P,MATCH(テンプレート!$C962,使用レシピ!$E:$E,0)),""),"")</f>
        <v/>
      </c>
      <c r="J962" t="str">
        <f>IFERROR(IF(INDEX(使用レシピ!K:K,MATCH(テンプレート!$C962,使用レシピ!$E:$E,0))&lt;&gt;0,INDEX(使用レシピ!K:K,MATCH(テンプレート!$C962,使用レシピ!$E:$E,0)),""),"")</f>
        <v/>
      </c>
      <c r="K962" t="str">
        <f>IFERROR(IF(INDEX(使用レシピ!L:L,MATCH(テンプレート!$C962,使用レシピ!$E:$E,0))&lt;&gt;0,INDEX(使用レシピ!L:L,MATCH(テンプレート!$C962,使用レシピ!$E:$E,0)),""),"")</f>
        <v/>
      </c>
      <c r="L962" t="str">
        <f>IFERROR(IF(INDEX(使用レシピ!M:M,MATCH(テンプレート!$C962,使用レシピ!$E:$E,0))&lt;&gt;0,INDEX(使用レシピ!M:M,MATCH(テンプレート!$C962,使用レシピ!$E:$E,0)),""),"")</f>
        <v/>
      </c>
      <c r="M962" t="str">
        <f>IFERROR(IF(INDEX(使用レシピ!N:N,MATCH(テンプレート!$C962,使用レシピ!$E:$E,0))&lt;&gt;0,INDEX(使用レシピ!N:N,MATCH(テンプレート!$C962,使用レシピ!$E:$E,0)),""),"")</f>
        <v/>
      </c>
      <c r="N962" s="24" t="str">
        <f>IFERROR(IF(INDEX(使用レシピ!O:O,MATCH(テンプレート!$C962,使用レシピ!$E:$E,0))&lt;&gt;0,INDEX(使用レシピ!O:O,MATCH(テンプレート!$C962,使用レシピ!$E:$E,0)),""),"")</f>
        <v/>
      </c>
      <c r="O962" s="36" t="str">
        <f>IFERROR(IF(INDEX(使用レシピ!P:P,MATCH(テンプレート!$C962,使用レシピ!$E:$E,0))&lt;&gt;0,INDEX(使用レシピ!P:P,MATCH(テンプレート!$C962,使用レシピ!$E:$E,0)),""),"")</f>
        <v/>
      </c>
      <c r="P962" t="str">
        <f t="shared" si="76"/>
        <v/>
      </c>
      <c r="Q962" t="str">
        <f t="shared" si="77"/>
        <v/>
      </c>
      <c r="R962" t="str">
        <f t="shared" si="78"/>
        <v/>
      </c>
      <c r="S962" t="str">
        <f t="shared" si="79"/>
        <v/>
      </c>
      <c r="T962" s="24" t="str">
        <f t="shared" si="80"/>
        <v/>
      </c>
    </row>
    <row r="963" spans="2:20" x14ac:dyDescent="0.4">
      <c r="B963" s="49" t="str" cm="1">
        <f t="array" ref="B963">IFERROR((INDEX($P$4:$T$1000,MATCH(VALUE(LEFT($A963,LEN($A963)-1)),$A$4:$A$1000,0),VALUE(RIGHT($A963,1)))/ INDEX($O$4:$O$1000,MATCH(VALUE(LEFT($A963,LEN($A963)-1)),$A$4:$A$1000))) * INDEX($B$4:$B$1000,MATCH(VALUE(LEFT($A963,LEN($A963)-1)),$A$4:$A$1000)),"")</f>
        <v/>
      </c>
      <c r="C963" s="2" t="str" cm="1">
        <f t="array" ref="C963">IFERROR(IF(INDEX($D$4:$H$1000,MATCH(VALUE(LEFT($A963,LEN($A963)-1)),$A$4:$A$1000,0),VALUE(RIGHT($A963,1)))= 0,"",INDEX($D$4:$H$1000,MATCH(VALUE(LEFT($A963,LEN($A963)-1)),$A$4:$A$1000,0),VALUE(RIGHT($A963,1)))),"")</f>
        <v/>
      </c>
      <c r="D963" s="23" t="str">
        <f>IFERROR(IF(INDEX(使用レシピ!F:F,MATCH(テンプレート!$C963,使用レシピ!$E:$E,0))&lt;&gt;0,INDEX(使用レシピ!F:F,MATCH(テンプレート!$C963,使用レシピ!$E:$E,0)),""),"")</f>
        <v/>
      </c>
      <c r="E963" t="str">
        <f>IFERROR(IF(INDEX(使用レシピ!G:G,MATCH(テンプレート!$C963,使用レシピ!$E:$E,0))&lt;&gt;0,INDEX(使用レシピ!G:G,MATCH(テンプレート!$C963,使用レシピ!$E:$E,0)),""),"")</f>
        <v/>
      </c>
      <c r="F963" t="str">
        <f>IFERROR(IF(INDEX(使用レシピ!H:H,MATCH(テンプレート!$C963,使用レシピ!$E:$E,0))&lt;&gt;0,INDEX(使用レシピ!H:H,MATCH(テンプレート!$C963,使用レシピ!$E:$E,0)),""),"")</f>
        <v/>
      </c>
      <c r="G963" t="str">
        <f>IFERROR(IF(INDEX(使用レシピ!I:I,MATCH(テンプレート!$C963,使用レシピ!$E:$E,0))&lt;&gt;0,INDEX(使用レシピ!I:I,MATCH(テンプレート!$C963,使用レシピ!$E:$E,0)),""),"")</f>
        <v/>
      </c>
      <c r="H963" s="24" t="str">
        <f>IFERROR(IF(INDEX(使用レシピ!J:J,MATCH(テンプレート!$C963,使用レシピ!$E:$E,0))&lt;&gt;0,INDEX(使用レシピ!J:J,MATCH(テンプレート!$C963,使用レシピ!$E:$E,0)),""),"")</f>
        <v/>
      </c>
      <c r="I963" s="36" t="str">
        <f>IFERROR(IF(INDEX(使用レシピ!P:P,MATCH(テンプレート!$C963,使用レシピ!$E:$E,0))&lt;&gt;0,INDEX(使用レシピ!P:P,MATCH(テンプレート!$C963,使用レシピ!$E:$E,0)),""),"")</f>
        <v/>
      </c>
      <c r="J963" t="str">
        <f>IFERROR(IF(INDEX(使用レシピ!K:K,MATCH(テンプレート!$C963,使用レシピ!$E:$E,0))&lt;&gt;0,INDEX(使用レシピ!K:K,MATCH(テンプレート!$C963,使用レシピ!$E:$E,0)),""),"")</f>
        <v/>
      </c>
      <c r="K963" t="str">
        <f>IFERROR(IF(INDEX(使用レシピ!L:L,MATCH(テンプレート!$C963,使用レシピ!$E:$E,0))&lt;&gt;0,INDEX(使用レシピ!L:L,MATCH(テンプレート!$C963,使用レシピ!$E:$E,0)),""),"")</f>
        <v/>
      </c>
      <c r="L963" t="str">
        <f>IFERROR(IF(INDEX(使用レシピ!M:M,MATCH(テンプレート!$C963,使用レシピ!$E:$E,0))&lt;&gt;0,INDEX(使用レシピ!M:M,MATCH(テンプレート!$C963,使用レシピ!$E:$E,0)),""),"")</f>
        <v/>
      </c>
      <c r="M963" t="str">
        <f>IFERROR(IF(INDEX(使用レシピ!N:N,MATCH(テンプレート!$C963,使用レシピ!$E:$E,0))&lt;&gt;0,INDEX(使用レシピ!N:N,MATCH(テンプレート!$C963,使用レシピ!$E:$E,0)),""),"")</f>
        <v/>
      </c>
      <c r="N963" s="24" t="str">
        <f>IFERROR(IF(INDEX(使用レシピ!O:O,MATCH(テンプレート!$C963,使用レシピ!$E:$E,0))&lt;&gt;0,INDEX(使用レシピ!O:O,MATCH(テンプレート!$C963,使用レシピ!$E:$E,0)),""),"")</f>
        <v/>
      </c>
      <c r="O963" s="36" t="str">
        <f>IFERROR(IF(INDEX(使用レシピ!P:P,MATCH(テンプレート!$C963,使用レシピ!$E:$E,0))&lt;&gt;0,INDEX(使用レシピ!P:P,MATCH(テンプレート!$C963,使用レシピ!$E:$E,0)),""),"")</f>
        <v/>
      </c>
      <c r="P963" t="str">
        <f t="shared" si="76"/>
        <v/>
      </c>
      <c r="Q963" t="str">
        <f t="shared" si="77"/>
        <v/>
      </c>
      <c r="R963" t="str">
        <f t="shared" si="78"/>
        <v/>
      </c>
      <c r="S963" t="str">
        <f t="shared" si="79"/>
        <v/>
      </c>
      <c r="T963" s="24" t="str">
        <f t="shared" si="80"/>
        <v/>
      </c>
    </row>
    <row r="964" spans="2:20" x14ac:dyDescent="0.4">
      <c r="B964" s="49" t="str" cm="1">
        <f t="array" ref="B964">IFERROR((INDEX($P$4:$T$1000,MATCH(VALUE(LEFT($A964,LEN($A964)-1)),$A$4:$A$1000,0),VALUE(RIGHT($A964,1)))/ INDEX($O$4:$O$1000,MATCH(VALUE(LEFT($A964,LEN($A964)-1)),$A$4:$A$1000))) * INDEX($B$4:$B$1000,MATCH(VALUE(LEFT($A964,LEN($A964)-1)),$A$4:$A$1000)),"")</f>
        <v/>
      </c>
      <c r="C964" s="2" t="str" cm="1">
        <f t="array" ref="C964">IFERROR(IF(INDEX($D$4:$H$1000,MATCH(VALUE(LEFT($A964,LEN($A964)-1)),$A$4:$A$1000,0),VALUE(RIGHT($A964,1)))= 0,"",INDEX($D$4:$H$1000,MATCH(VALUE(LEFT($A964,LEN($A964)-1)),$A$4:$A$1000,0),VALUE(RIGHT($A964,1)))),"")</f>
        <v/>
      </c>
      <c r="D964" s="23" t="str">
        <f>IFERROR(IF(INDEX(使用レシピ!F:F,MATCH(テンプレート!$C964,使用レシピ!$E:$E,0))&lt;&gt;0,INDEX(使用レシピ!F:F,MATCH(テンプレート!$C964,使用レシピ!$E:$E,0)),""),"")</f>
        <v/>
      </c>
      <c r="E964" t="str">
        <f>IFERROR(IF(INDEX(使用レシピ!G:G,MATCH(テンプレート!$C964,使用レシピ!$E:$E,0))&lt;&gt;0,INDEX(使用レシピ!G:G,MATCH(テンプレート!$C964,使用レシピ!$E:$E,0)),""),"")</f>
        <v/>
      </c>
      <c r="F964" t="str">
        <f>IFERROR(IF(INDEX(使用レシピ!H:H,MATCH(テンプレート!$C964,使用レシピ!$E:$E,0))&lt;&gt;0,INDEX(使用レシピ!H:H,MATCH(テンプレート!$C964,使用レシピ!$E:$E,0)),""),"")</f>
        <v/>
      </c>
      <c r="G964" t="str">
        <f>IFERROR(IF(INDEX(使用レシピ!I:I,MATCH(テンプレート!$C964,使用レシピ!$E:$E,0))&lt;&gt;0,INDEX(使用レシピ!I:I,MATCH(テンプレート!$C964,使用レシピ!$E:$E,0)),""),"")</f>
        <v/>
      </c>
      <c r="H964" s="24" t="str">
        <f>IFERROR(IF(INDEX(使用レシピ!J:J,MATCH(テンプレート!$C964,使用レシピ!$E:$E,0))&lt;&gt;0,INDEX(使用レシピ!J:J,MATCH(テンプレート!$C964,使用レシピ!$E:$E,0)),""),"")</f>
        <v/>
      </c>
      <c r="I964" s="36" t="str">
        <f>IFERROR(IF(INDEX(使用レシピ!P:P,MATCH(テンプレート!$C964,使用レシピ!$E:$E,0))&lt;&gt;0,INDEX(使用レシピ!P:P,MATCH(テンプレート!$C964,使用レシピ!$E:$E,0)),""),"")</f>
        <v/>
      </c>
      <c r="J964" t="str">
        <f>IFERROR(IF(INDEX(使用レシピ!K:K,MATCH(テンプレート!$C964,使用レシピ!$E:$E,0))&lt;&gt;0,INDEX(使用レシピ!K:K,MATCH(テンプレート!$C964,使用レシピ!$E:$E,0)),""),"")</f>
        <v/>
      </c>
      <c r="K964" t="str">
        <f>IFERROR(IF(INDEX(使用レシピ!L:L,MATCH(テンプレート!$C964,使用レシピ!$E:$E,0))&lt;&gt;0,INDEX(使用レシピ!L:L,MATCH(テンプレート!$C964,使用レシピ!$E:$E,0)),""),"")</f>
        <v/>
      </c>
      <c r="L964" t="str">
        <f>IFERROR(IF(INDEX(使用レシピ!M:M,MATCH(テンプレート!$C964,使用レシピ!$E:$E,0))&lt;&gt;0,INDEX(使用レシピ!M:M,MATCH(テンプレート!$C964,使用レシピ!$E:$E,0)),""),"")</f>
        <v/>
      </c>
      <c r="M964" t="str">
        <f>IFERROR(IF(INDEX(使用レシピ!N:N,MATCH(テンプレート!$C964,使用レシピ!$E:$E,0))&lt;&gt;0,INDEX(使用レシピ!N:N,MATCH(テンプレート!$C964,使用レシピ!$E:$E,0)),""),"")</f>
        <v/>
      </c>
      <c r="N964" s="24" t="str">
        <f>IFERROR(IF(INDEX(使用レシピ!O:O,MATCH(テンプレート!$C964,使用レシピ!$E:$E,0))&lt;&gt;0,INDEX(使用レシピ!O:O,MATCH(テンプレート!$C964,使用レシピ!$E:$E,0)),""),"")</f>
        <v/>
      </c>
      <c r="O964" s="36" t="str">
        <f>IFERROR(IF(INDEX(使用レシピ!P:P,MATCH(テンプレート!$C964,使用レシピ!$E:$E,0))&lt;&gt;0,INDEX(使用レシピ!P:P,MATCH(テンプレート!$C964,使用レシピ!$E:$E,0)),""),"")</f>
        <v/>
      </c>
      <c r="P964" t="str">
        <f t="shared" si="76"/>
        <v/>
      </c>
      <c r="Q964" t="str">
        <f t="shared" si="77"/>
        <v/>
      </c>
      <c r="R964" t="str">
        <f t="shared" si="78"/>
        <v/>
      </c>
      <c r="S964" t="str">
        <f t="shared" si="79"/>
        <v/>
      </c>
      <c r="T964" s="24" t="str">
        <f t="shared" si="80"/>
        <v/>
      </c>
    </row>
    <row r="965" spans="2:20" x14ac:dyDescent="0.4">
      <c r="B965" s="49" t="str" cm="1">
        <f t="array" ref="B965">IFERROR((INDEX($P$4:$T$1000,MATCH(VALUE(LEFT($A965,LEN($A965)-1)),$A$4:$A$1000,0),VALUE(RIGHT($A965,1)))/ INDEX($O$4:$O$1000,MATCH(VALUE(LEFT($A965,LEN($A965)-1)),$A$4:$A$1000))) * INDEX($B$4:$B$1000,MATCH(VALUE(LEFT($A965,LEN($A965)-1)),$A$4:$A$1000)),"")</f>
        <v/>
      </c>
      <c r="C965" s="2" t="str" cm="1">
        <f t="array" ref="C965">IFERROR(IF(INDEX($D$4:$H$1000,MATCH(VALUE(LEFT($A965,LEN($A965)-1)),$A$4:$A$1000,0),VALUE(RIGHT($A965,1)))= 0,"",INDEX($D$4:$H$1000,MATCH(VALUE(LEFT($A965,LEN($A965)-1)),$A$4:$A$1000,0),VALUE(RIGHT($A965,1)))),"")</f>
        <v/>
      </c>
      <c r="D965" s="23" t="str">
        <f>IFERROR(IF(INDEX(使用レシピ!F:F,MATCH(テンプレート!$C965,使用レシピ!$E:$E,0))&lt;&gt;0,INDEX(使用レシピ!F:F,MATCH(テンプレート!$C965,使用レシピ!$E:$E,0)),""),"")</f>
        <v/>
      </c>
      <c r="E965" t="str">
        <f>IFERROR(IF(INDEX(使用レシピ!G:G,MATCH(テンプレート!$C965,使用レシピ!$E:$E,0))&lt;&gt;0,INDEX(使用レシピ!G:G,MATCH(テンプレート!$C965,使用レシピ!$E:$E,0)),""),"")</f>
        <v/>
      </c>
      <c r="F965" t="str">
        <f>IFERROR(IF(INDEX(使用レシピ!H:H,MATCH(テンプレート!$C965,使用レシピ!$E:$E,0))&lt;&gt;0,INDEX(使用レシピ!H:H,MATCH(テンプレート!$C965,使用レシピ!$E:$E,0)),""),"")</f>
        <v/>
      </c>
      <c r="G965" t="str">
        <f>IFERROR(IF(INDEX(使用レシピ!I:I,MATCH(テンプレート!$C965,使用レシピ!$E:$E,0))&lt;&gt;0,INDEX(使用レシピ!I:I,MATCH(テンプレート!$C965,使用レシピ!$E:$E,0)),""),"")</f>
        <v/>
      </c>
      <c r="H965" s="24" t="str">
        <f>IFERROR(IF(INDEX(使用レシピ!J:J,MATCH(テンプレート!$C965,使用レシピ!$E:$E,0))&lt;&gt;0,INDEX(使用レシピ!J:J,MATCH(テンプレート!$C965,使用レシピ!$E:$E,0)),""),"")</f>
        <v/>
      </c>
      <c r="I965" s="36" t="str">
        <f>IFERROR(IF(INDEX(使用レシピ!P:P,MATCH(テンプレート!$C965,使用レシピ!$E:$E,0))&lt;&gt;0,INDEX(使用レシピ!P:P,MATCH(テンプレート!$C965,使用レシピ!$E:$E,0)),""),"")</f>
        <v/>
      </c>
      <c r="J965" t="str">
        <f>IFERROR(IF(INDEX(使用レシピ!K:K,MATCH(テンプレート!$C965,使用レシピ!$E:$E,0))&lt;&gt;0,INDEX(使用レシピ!K:K,MATCH(テンプレート!$C965,使用レシピ!$E:$E,0)),""),"")</f>
        <v/>
      </c>
      <c r="K965" t="str">
        <f>IFERROR(IF(INDEX(使用レシピ!L:L,MATCH(テンプレート!$C965,使用レシピ!$E:$E,0))&lt;&gt;0,INDEX(使用レシピ!L:L,MATCH(テンプレート!$C965,使用レシピ!$E:$E,0)),""),"")</f>
        <v/>
      </c>
      <c r="L965" t="str">
        <f>IFERROR(IF(INDEX(使用レシピ!M:M,MATCH(テンプレート!$C965,使用レシピ!$E:$E,0))&lt;&gt;0,INDEX(使用レシピ!M:M,MATCH(テンプレート!$C965,使用レシピ!$E:$E,0)),""),"")</f>
        <v/>
      </c>
      <c r="M965" t="str">
        <f>IFERROR(IF(INDEX(使用レシピ!N:N,MATCH(テンプレート!$C965,使用レシピ!$E:$E,0))&lt;&gt;0,INDEX(使用レシピ!N:N,MATCH(テンプレート!$C965,使用レシピ!$E:$E,0)),""),"")</f>
        <v/>
      </c>
      <c r="N965" s="24" t="str">
        <f>IFERROR(IF(INDEX(使用レシピ!O:O,MATCH(テンプレート!$C965,使用レシピ!$E:$E,0))&lt;&gt;0,INDEX(使用レシピ!O:O,MATCH(テンプレート!$C965,使用レシピ!$E:$E,0)),""),"")</f>
        <v/>
      </c>
      <c r="O965" s="36" t="str">
        <f>IFERROR(IF(INDEX(使用レシピ!P:P,MATCH(テンプレート!$C965,使用レシピ!$E:$E,0))&lt;&gt;0,INDEX(使用レシピ!P:P,MATCH(テンプレート!$C965,使用レシピ!$E:$E,0)),""),"")</f>
        <v/>
      </c>
      <c r="P965" t="str">
        <f t="shared" si="76"/>
        <v/>
      </c>
      <c r="Q965" t="str">
        <f t="shared" si="77"/>
        <v/>
      </c>
      <c r="R965" t="str">
        <f t="shared" si="78"/>
        <v/>
      </c>
      <c r="S965" t="str">
        <f t="shared" si="79"/>
        <v/>
      </c>
      <c r="T965" s="24" t="str">
        <f t="shared" si="80"/>
        <v/>
      </c>
    </row>
    <row r="966" spans="2:20" x14ac:dyDescent="0.4">
      <c r="B966" s="49" t="str" cm="1">
        <f t="array" ref="B966">IFERROR((INDEX($P$4:$T$1000,MATCH(VALUE(LEFT($A966,LEN($A966)-1)),$A$4:$A$1000,0),VALUE(RIGHT($A966,1)))/ INDEX($O$4:$O$1000,MATCH(VALUE(LEFT($A966,LEN($A966)-1)),$A$4:$A$1000))) * INDEX($B$4:$B$1000,MATCH(VALUE(LEFT($A966,LEN($A966)-1)),$A$4:$A$1000)),"")</f>
        <v/>
      </c>
      <c r="C966" s="2" t="str" cm="1">
        <f t="array" ref="C966">IFERROR(IF(INDEX($D$4:$H$1000,MATCH(VALUE(LEFT($A966,LEN($A966)-1)),$A$4:$A$1000,0),VALUE(RIGHT($A966,1)))= 0,"",INDEX($D$4:$H$1000,MATCH(VALUE(LEFT($A966,LEN($A966)-1)),$A$4:$A$1000,0),VALUE(RIGHT($A966,1)))),"")</f>
        <v/>
      </c>
      <c r="D966" s="23" t="str">
        <f>IFERROR(IF(INDEX(使用レシピ!F:F,MATCH(テンプレート!$C966,使用レシピ!$E:$E,0))&lt;&gt;0,INDEX(使用レシピ!F:F,MATCH(テンプレート!$C966,使用レシピ!$E:$E,0)),""),"")</f>
        <v/>
      </c>
      <c r="E966" t="str">
        <f>IFERROR(IF(INDEX(使用レシピ!G:G,MATCH(テンプレート!$C966,使用レシピ!$E:$E,0))&lt;&gt;0,INDEX(使用レシピ!G:G,MATCH(テンプレート!$C966,使用レシピ!$E:$E,0)),""),"")</f>
        <v/>
      </c>
      <c r="F966" t="str">
        <f>IFERROR(IF(INDEX(使用レシピ!H:H,MATCH(テンプレート!$C966,使用レシピ!$E:$E,0))&lt;&gt;0,INDEX(使用レシピ!H:H,MATCH(テンプレート!$C966,使用レシピ!$E:$E,0)),""),"")</f>
        <v/>
      </c>
      <c r="G966" t="str">
        <f>IFERROR(IF(INDEX(使用レシピ!I:I,MATCH(テンプレート!$C966,使用レシピ!$E:$E,0))&lt;&gt;0,INDEX(使用レシピ!I:I,MATCH(テンプレート!$C966,使用レシピ!$E:$E,0)),""),"")</f>
        <v/>
      </c>
      <c r="H966" s="24" t="str">
        <f>IFERROR(IF(INDEX(使用レシピ!J:J,MATCH(テンプレート!$C966,使用レシピ!$E:$E,0))&lt;&gt;0,INDEX(使用レシピ!J:J,MATCH(テンプレート!$C966,使用レシピ!$E:$E,0)),""),"")</f>
        <v/>
      </c>
      <c r="I966" s="36" t="str">
        <f>IFERROR(IF(INDEX(使用レシピ!P:P,MATCH(テンプレート!$C966,使用レシピ!$E:$E,0))&lt;&gt;0,INDEX(使用レシピ!P:P,MATCH(テンプレート!$C966,使用レシピ!$E:$E,0)),""),"")</f>
        <v/>
      </c>
      <c r="J966" t="str">
        <f>IFERROR(IF(INDEX(使用レシピ!K:K,MATCH(テンプレート!$C966,使用レシピ!$E:$E,0))&lt;&gt;0,INDEX(使用レシピ!K:K,MATCH(テンプレート!$C966,使用レシピ!$E:$E,0)),""),"")</f>
        <v/>
      </c>
      <c r="K966" t="str">
        <f>IFERROR(IF(INDEX(使用レシピ!L:L,MATCH(テンプレート!$C966,使用レシピ!$E:$E,0))&lt;&gt;0,INDEX(使用レシピ!L:L,MATCH(テンプレート!$C966,使用レシピ!$E:$E,0)),""),"")</f>
        <v/>
      </c>
      <c r="L966" t="str">
        <f>IFERROR(IF(INDEX(使用レシピ!M:M,MATCH(テンプレート!$C966,使用レシピ!$E:$E,0))&lt;&gt;0,INDEX(使用レシピ!M:M,MATCH(テンプレート!$C966,使用レシピ!$E:$E,0)),""),"")</f>
        <v/>
      </c>
      <c r="M966" t="str">
        <f>IFERROR(IF(INDEX(使用レシピ!N:N,MATCH(テンプレート!$C966,使用レシピ!$E:$E,0))&lt;&gt;0,INDEX(使用レシピ!N:N,MATCH(テンプレート!$C966,使用レシピ!$E:$E,0)),""),"")</f>
        <v/>
      </c>
      <c r="N966" s="24" t="str">
        <f>IFERROR(IF(INDEX(使用レシピ!O:O,MATCH(テンプレート!$C966,使用レシピ!$E:$E,0))&lt;&gt;0,INDEX(使用レシピ!O:O,MATCH(テンプレート!$C966,使用レシピ!$E:$E,0)),""),"")</f>
        <v/>
      </c>
      <c r="O966" s="36" t="str">
        <f>IFERROR(IF(INDEX(使用レシピ!P:P,MATCH(テンプレート!$C966,使用レシピ!$E:$E,0))&lt;&gt;0,INDEX(使用レシピ!P:P,MATCH(テンプレート!$C966,使用レシピ!$E:$E,0)),""),"")</f>
        <v/>
      </c>
      <c r="P966" t="str">
        <f t="shared" si="76"/>
        <v/>
      </c>
      <c r="Q966" t="str">
        <f t="shared" si="77"/>
        <v/>
      </c>
      <c r="R966" t="str">
        <f t="shared" si="78"/>
        <v/>
      </c>
      <c r="S966" t="str">
        <f t="shared" si="79"/>
        <v/>
      </c>
      <c r="T966" s="24" t="str">
        <f t="shared" si="80"/>
        <v/>
      </c>
    </row>
    <row r="967" spans="2:20" x14ac:dyDescent="0.4">
      <c r="B967" s="49" t="str" cm="1">
        <f t="array" ref="B967">IFERROR((INDEX($P$4:$T$1000,MATCH(VALUE(LEFT($A967,LEN($A967)-1)),$A$4:$A$1000,0),VALUE(RIGHT($A967,1)))/ INDEX($O$4:$O$1000,MATCH(VALUE(LEFT($A967,LEN($A967)-1)),$A$4:$A$1000))) * INDEX($B$4:$B$1000,MATCH(VALUE(LEFT($A967,LEN($A967)-1)),$A$4:$A$1000)),"")</f>
        <v/>
      </c>
      <c r="C967" s="2" t="str" cm="1">
        <f t="array" ref="C967">IFERROR(IF(INDEX($D$4:$H$1000,MATCH(VALUE(LEFT($A967,LEN($A967)-1)),$A$4:$A$1000,0),VALUE(RIGHT($A967,1)))= 0,"",INDEX($D$4:$H$1000,MATCH(VALUE(LEFT($A967,LEN($A967)-1)),$A$4:$A$1000,0),VALUE(RIGHT($A967,1)))),"")</f>
        <v/>
      </c>
      <c r="D967" s="23" t="str">
        <f>IFERROR(IF(INDEX(使用レシピ!F:F,MATCH(テンプレート!$C967,使用レシピ!$E:$E,0))&lt;&gt;0,INDEX(使用レシピ!F:F,MATCH(テンプレート!$C967,使用レシピ!$E:$E,0)),""),"")</f>
        <v/>
      </c>
      <c r="E967" t="str">
        <f>IFERROR(IF(INDEX(使用レシピ!G:G,MATCH(テンプレート!$C967,使用レシピ!$E:$E,0))&lt;&gt;0,INDEX(使用レシピ!G:G,MATCH(テンプレート!$C967,使用レシピ!$E:$E,0)),""),"")</f>
        <v/>
      </c>
      <c r="F967" t="str">
        <f>IFERROR(IF(INDEX(使用レシピ!H:H,MATCH(テンプレート!$C967,使用レシピ!$E:$E,0))&lt;&gt;0,INDEX(使用レシピ!H:H,MATCH(テンプレート!$C967,使用レシピ!$E:$E,0)),""),"")</f>
        <v/>
      </c>
      <c r="G967" t="str">
        <f>IFERROR(IF(INDEX(使用レシピ!I:I,MATCH(テンプレート!$C967,使用レシピ!$E:$E,0))&lt;&gt;0,INDEX(使用レシピ!I:I,MATCH(テンプレート!$C967,使用レシピ!$E:$E,0)),""),"")</f>
        <v/>
      </c>
      <c r="H967" s="24" t="str">
        <f>IFERROR(IF(INDEX(使用レシピ!J:J,MATCH(テンプレート!$C967,使用レシピ!$E:$E,0))&lt;&gt;0,INDEX(使用レシピ!J:J,MATCH(テンプレート!$C967,使用レシピ!$E:$E,0)),""),"")</f>
        <v/>
      </c>
      <c r="I967" s="36" t="str">
        <f>IFERROR(IF(INDEX(使用レシピ!P:P,MATCH(テンプレート!$C967,使用レシピ!$E:$E,0))&lt;&gt;0,INDEX(使用レシピ!P:P,MATCH(テンプレート!$C967,使用レシピ!$E:$E,0)),""),"")</f>
        <v/>
      </c>
      <c r="J967" t="str">
        <f>IFERROR(IF(INDEX(使用レシピ!K:K,MATCH(テンプレート!$C967,使用レシピ!$E:$E,0))&lt;&gt;0,INDEX(使用レシピ!K:K,MATCH(テンプレート!$C967,使用レシピ!$E:$E,0)),""),"")</f>
        <v/>
      </c>
      <c r="K967" t="str">
        <f>IFERROR(IF(INDEX(使用レシピ!L:L,MATCH(テンプレート!$C967,使用レシピ!$E:$E,0))&lt;&gt;0,INDEX(使用レシピ!L:L,MATCH(テンプレート!$C967,使用レシピ!$E:$E,0)),""),"")</f>
        <v/>
      </c>
      <c r="L967" t="str">
        <f>IFERROR(IF(INDEX(使用レシピ!M:M,MATCH(テンプレート!$C967,使用レシピ!$E:$E,0))&lt;&gt;0,INDEX(使用レシピ!M:M,MATCH(テンプレート!$C967,使用レシピ!$E:$E,0)),""),"")</f>
        <v/>
      </c>
      <c r="M967" t="str">
        <f>IFERROR(IF(INDEX(使用レシピ!N:N,MATCH(テンプレート!$C967,使用レシピ!$E:$E,0))&lt;&gt;0,INDEX(使用レシピ!N:N,MATCH(テンプレート!$C967,使用レシピ!$E:$E,0)),""),"")</f>
        <v/>
      </c>
      <c r="N967" s="24" t="str">
        <f>IFERROR(IF(INDEX(使用レシピ!O:O,MATCH(テンプレート!$C967,使用レシピ!$E:$E,0))&lt;&gt;0,INDEX(使用レシピ!O:O,MATCH(テンプレート!$C967,使用レシピ!$E:$E,0)),""),"")</f>
        <v/>
      </c>
      <c r="O967" s="36" t="str">
        <f>IFERROR(IF(INDEX(使用レシピ!P:P,MATCH(テンプレート!$C967,使用レシピ!$E:$E,0))&lt;&gt;0,INDEX(使用レシピ!P:P,MATCH(テンプレート!$C967,使用レシピ!$E:$E,0)),""),"")</f>
        <v/>
      </c>
      <c r="P967" t="str">
        <f t="shared" si="76"/>
        <v/>
      </c>
      <c r="Q967" t="str">
        <f t="shared" si="77"/>
        <v/>
      </c>
      <c r="R967" t="str">
        <f t="shared" si="78"/>
        <v/>
      </c>
      <c r="S967" t="str">
        <f t="shared" si="79"/>
        <v/>
      </c>
      <c r="T967" s="24" t="str">
        <f t="shared" si="80"/>
        <v/>
      </c>
    </row>
    <row r="968" spans="2:20" x14ac:dyDescent="0.4">
      <c r="B968" s="49" t="str" cm="1">
        <f t="array" ref="B968">IFERROR((INDEX($P$4:$T$1000,MATCH(VALUE(LEFT($A968,LEN($A968)-1)),$A$4:$A$1000,0),VALUE(RIGHT($A968,1)))/ INDEX($O$4:$O$1000,MATCH(VALUE(LEFT($A968,LEN($A968)-1)),$A$4:$A$1000))) * INDEX($B$4:$B$1000,MATCH(VALUE(LEFT($A968,LEN($A968)-1)),$A$4:$A$1000)),"")</f>
        <v/>
      </c>
      <c r="C968" s="2" t="str" cm="1">
        <f t="array" ref="C968">IFERROR(IF(INDEX($D$4:$H$1000,MATCH(VALUE(LEFT($A968,LEN($A968)-1)),$A$4:$A$1000,0),VALUE(RIGHT($A968,1)))= 0,"",INDEX($D$4:$H$1000,MATCH(VALUE(LEFT($A968,LEN($A968)-1)),$A$4:$A$1000,0),VALUE(RIGHT($A968,1)))),"")</f>
        <v/>
      </c>
      <c r="D968" s="23" t="str">
        <f>IFERROR(IF(INDEX(使用レシピ!F:F,MATCH(テンプレート!$C968,使用レシピ!$E:$E,0))&lt;&gt;0,INDEX(使用レシピ!F:F,MATCH(テンプレート!$C968,使用レシピ!$E:$E,0)),""),"")</f>
        <v/>
      </c>
      <c r="E968" t="str">
        <f>IFERROR(IF(INDEX(使用レシピ!G:G,MATCH(テンプレート!$C968,使用レシピ!$E:$E,0))&lt;&gt;0,INDEX(使用レシピ!G:G,MATCH(テンプレート!$C968,使用レシピ!$E:$E,0)),""),"")</f>
        <v/>
      </c>
      <c r="F968" t="str">
        <f>IFERROR(IF(INDEX(使用レシピ!H:H,MATCH(テンプレート!$C968,使用レシピ!$E:$E,0))&lt;&gt;0,INDEX(使用レシピ!H:H,MATCH(テンプレート!$C968,使用レシピ!$E:$E,0)),""),"")</f>
        <v/>
      </c>
      <c r="G968" t="str">
        <f>IFERROR(IF(INDEX(使用レシピ!I:I,MATCH(テンプレート!$C968,使用レシピ!$E:$E,0))&lt;&gt;0,INDEX(使用レシピ!I:I,MATCH(テンプレート!$C968,使用レシピ!$E:$E,0)),""),"")</f>
        <v/>
      </c>
      <c r="H968" s="24" t="str">
        <f>IFERROR(IF(INDEX(使用レシピ!J:J,MATCH(テンプレート!$C968,使用レシピ!$E:$E,0))&lt;&gt;0,INDEX(使用レシピ!J:J,MATCH(テンプレート!$C968,使用レシピ!$E:$E,0)),""),"")</f>
        <v/>
      </c>
      <c r="I968" s="36" t="str">
        <f>IFERROR(IF(INDEX(使用レシピ!P:P,MATCH(テンプレート!$C968,使用レシピ!$E:$E,0))&lt;&gt;0,INDEX(使用レシピ!P:P,MATCH(テンプレート!$C968,使用レシピ!$E:$E,0)),""),"")</f>
        <v/>
      </c>
      <c r="J968" t="str">
        <f>IFERROR(IF(INDEX(使用レシピ!K:K,MATCH(テンプレート!$C968,使用レシピ!$E:$E,0))&lt;&gt;0,INDEX(使用レシピ!K:K,MATCH(テンプレート!$C968,使用レシピ!$E:$E,0)),""),"")</f>
        <v/>
      </c>
      <c r="K968" t="str">
        <f>IFERROR(IF(INDEX(使用レシピ!L:L,MATCH(テンプレート!$C968,使用レシピ!$E:$E,0))&lt;&gt;0,INDEX(使用レシピ!L:L,MATCH(テンプレート!$C968,使用レシピ!$E:$E,0)),""),"")</f>
        <v/>
      </c>
      <c r="L968" t="str">
        <f>IFERROR(IF(INDEX(使用レシピ!M:M,MATCH(テンプレート!$C968,使用レシピ!$E:$E,0))&lt;&gt;0,INDEX(使用レシピ!M:M,MATCH(テンプレート!$C968,使用レシピ!$E:$E,0)),""),"")</f>
        <v/>
      </c>
      <c r="M968" t="str">
        <f>IFERROR(IF(INDEX(使用レシピ!N:N,MATCH(テンプレート!$C968,使用レシピ!$E:$E,0))&lt;&gt;0,INDEX(使用レシピ!N:N,MATCH(テンプレート!$C968,使用レシピ!$E:$E,0)),""),"")</f>
        <v/>
      </c>
      <c r="N968" s="24" t="str">
        <f>IFERROR(IF(INDEX(使用レシピ!O:O,MATCH(テンプレート!$C968,使用レシピ!$E:$E,0))&lt;&gt;0,INDEX(使用レシピ!O:O,MATCH(テンプレート!$C968,使用レシピ!$E:$E,0)),""),"")</f>
        <v/>
      </c>
      <c r="O968" s="36" t="str">
        <f>IFERROR(IF(INDEX(使用レシピ!P:P,MATCH(テンプレート!$C968,使用レシピ!$E:$E,0))&lt;&gt;0,INDEX(使用レシピ!P:P,MATCH(テンプレート!$C968,使用レシピ!$E:$E,0)),""),"")</f>
        <v/>
      </c>
      <c r="P968" t="str">
        <f t="shared" si="76"/>
        <v/>
      </c>
      <c r="Q968" t="str">
        <f t="shared" si="77"/>
        <v/>
      </c>
      <c r="R968" t="str">
        <f t="shared" si="78"/>
        <v/>
      </c>
      <c r="S968" t="str">
        <f t="shared" si="79"/>
        <v/>
      </c>
      <c r="T968" s="24" t="str">
        <f t="shared" si="80"/>
        <v/>
      </c>
    </row>
    <row r="969" spans="2:20" x14ac:dyDescent="0.4">
      <c r="B969" s="49" t="str" cm="1">
        <f t="array" ref="B969">IFERROR((INDEX($P$4:$T$1000,MATCH(VALUE(LEFT($A969,LEN($A969)-1)),$A$4:$A$1000,0),VALUE(RIGHT($A969,1)))/ INDEX($O$4:$O$1000,MATCH(VALUE(LEFT($A969,LEN($A969)-1)),$A$4:$A$1000))) * INDEX($B$4:$B$1000,MATCH(VALUE(LEFT($A969,LEN($A969)-1)),$A$4:$A$1000)),"")</f>
        <v/>
      </c>
      <c r="C969" s="2" t="str" cm="1">
        <f t="array" ref="C969">IFERROR(IF(INDEX($D$4:$H$1000,MATCH(VALUE(LEFT($A969,LEN($A969)-1)),$A$4:$A$1000,0),VALUE(RIGHT($A969,1)))= 0,"",INDEX($D$4:$H$1000,MATCH(VALUE(LEFT($A969,LEN($A969)-1)),$A$4:$A$1000,0),VALUE(RIGHT($A969,1)))),"")</f>
        <v/>
      </c>
      <c r="D969" s="23" t="str">
        <f>IFERROR(IF(INDEX(使用レシピ!F:F,MATCH(テンプレート!$C969,使用レシピ!$E:$E,0))&lt;&gt;0,INDEX(使用レシピ!F:F,MATCH(テンプレート!$C969,使用レシピ!$E:$E,0)),""),"")</f>
        <v/>
      </c>
      <c r="E969" t="str">
        <f>IFERROR(IF(INDEX(使用レシピ!G:G,MATCH(テンプレート!$C969,使用レシピ!$E:$E,0))&lt;&gt;0,INDEX(使用レシピ!G:G,MATCH(テンプレート!$C969,使用レシピ!$E:$E,0)),""),"")</f>
        <v/>
      </c>
      <c r="F969" t="str">
        <f>IFERROR(IF(INDEX(使用レシピ!H:H,MATCH(テンプレート!$C969,使用レシピ!$E:$E,0))&lt;&gt;0,INDEX(使用レシピ!H:H,MATCH(テンプレート!$C969,使用レシピ!$E:$E,0)),""),"")</f>
        <v/>
      </c>
      <c r="G969" t="str">
        <f>IFERROR(IF(INDEX(使用レシピ!I:I,MATCH(テンプレート!$C969,使用レシピ!$E:$E,0))&lt;&gt;0,INDEX(使用レシピ!I:I,MATCH(テンプレート!$C969,使用レシピ!$E:$E,0)),""),"")</f>
        <v/>
      </c>
      <c r="H969" s="24" t="str">
        <f>IFERROR(IF(INDEX(使用レシピ!J:J,MATCH(テンプレート!$C969,使用レシピ!$E:$E,0))&lt;&gt;0,INDEX(使用レシピ!J:J,MATCH(テンプレート!$C969,使用レシピ!$E:$E,0)),""),"")</f>
        <v/>
      </c>
      <c r="I969" s="36" t="str">
        <f>IFERROR(IF(INDEX(使用レシピ!P:P,MATCH(テンプレート!$C969,使用レシピ!$E:$E,0))&lt;&gt;0,INDEX(使用レシピ!P:P,MATCH(テンプレート!$C969,使用レシピ!$E:$E,0)),""),"")</f>
        <v/>
      </c>
      <c r="J969" t="str">
        <f>IFERROR(IF(INDEX(使用レシピ!K:K,MATCH(テンプレート!$C969,使用レシピ!$E:$E,0))&lt;&gt;0,INDEX(使用レシピ!K:K,MATCH(テンプレート!$C969,使用レシピ!$E:$E,0)),""),"")</f>
        <v/>
      </c>
      <c r="K969" t="str">
        <f>IFERROR(IF(INDEX(使用レシピ!L:L,MATCH(テンプレート!$C969,使用レシピ!$E:$E,0))&lt;&gt;0,INDEX(使用レシピ!L:L,MATCH(テンプレート!$C969,使用レシピ!$E:$E,0)),""),"")</f>
        <v/>
      </c>
      <c r="L969" t="str">
        <f>IFERROR(IF(INDEX(使用レシピ!M:M,MATCH(テンプレート!$C969,使用レシピ!$E:$E,0))&lt;&gt;0,INDEX(使用レシピ!M:M,MATCH(テンプレート!$C969,使用レシピ!$E:$E,0)),""),"")</f>
        <v/>
      </c>
      <c r="M969" t="str">
        <f>IFERROR(IF(INDEX(使用レシピ!N:N,MATCH(テンプレート!$C969,使用レシピ!$E:$E,0))&lt;&gt;0,INDEX(使用レシピ!N:N,MATCH(テンプレート!$C969,使用レシピ!$E:$E,0)),""),"")</f>
        <v/>
      </c>
      <c r="N969" s="24" t="str">
        <f>IFERROR(IF(INDEX(使用レシピ!O:O,MATCH(テンプレート!$C969,使用レシピ!$E:$E,0))&lt;&gt;0,INDEX(使用レシピ!O:O,MATCH(テンプレート!$C969,使用レシピ!$E:$E,0)),""),"")</f>
        <v/>
      </c>
      <c r="O969" s="36" t="str">
        <f>IFERROR(IF(INDEX(使用レシピ!P:P,MATCH(テンプレート!$C969,使用レシピ!$E:$E,0))&lt;&gt;0,INDEX(使用レシピ!P:P,MATCH(テンプレート!$C969,使用レシピ!$E:$E,0)),""),"")</f>
        <v/>
      </c>
      <c r="P969" t="str">
        <f t="shared" si="76"/>
        <v/>
      </c>
      <c r="Q969" t="str">
        <f t="shared" si="77"/>
        <v/>
      </c>
      <c r="R969" t="str">
        <f t="shared" si="78"/>
        <v/>
      </c>
      <c r="S969" t="str">
        <f t="shared" si="79"/>
        <v/>
      </c>
      <c r="T969" s="24" t="str">
        <f t="shared" si="80"/>
        <v/>
      </c>
    </row>
    <row r="970" spans="2:20" x14ac:dyDescent="0.4">
      <c r="B970" s="49" t="str" cm="1">
        <f t="array" ref="B970">IFERROR((INDEX($P$4:$T$1000,MATCH(VALUE(LEFT($A970,LEN($A970)-1)),$A$4:$A$1000,0),VALUE(RIGHT($A970,1)))/ INDEX($O$4:$O$1000,MATCH(VALUE(LEFT($A970,LEN($A970)-1)),$A$4:$A$1000))) * INDEX($B$4:$B$1000,MATCH(VALUE(LEFT($A970,LEN($A970)-1)),$A$4:$A$1000)),"")</f>
        <v/>
      </c>
      <c r="C970" s="2" t="str" cm="1">
        <f t="array" ref="C970">IFERROR(IF(INDEX($D$4:$H$1000,MATCH(VALUE(LEFT($A970,LEN($A970)-1)),$A$4:$A$1000,0),VALUE(RIGHT($A970,1)))= 0,"",INDEX($D$4:$H$1000,MATCH(VALUE(LEFT($A970,LEN($A970)-1)),$A$4:$A$1000,0),VALUE(RIGHT($A970,1)))),"")</f>
        <v/>
      </c>
      <c r="D970" s="23" t="str">
        <f>IFERROR(IF(INDEX(使用レシピ!F:F,MATCH(テンプレート!$C970,使用レシピ!$E:$E,0))&lt;&gt;0,INDEX(使用レシピ!F:F,MATCH(テンプレート!$C970,使用レシピ!$E:$E,0)),""),"")</f>
        <v/>
      </c>
      <c r="E970" t="str">
        <f>IFERROR(IF(INDEX(使用レシピ!G:G,MATCH(テンプレート!$C970,使用レシピ!$E:$E,0))&lt;&gt;0,INDEX(使用レシピ!G:G,MATCH(テンプレート!$C970,使用レシピ!$E:$E,0)),""),"")</f>
        <v/>
      </c>
      <c r="F970" t="str">
        <f>IFERROR(IF(INDEX(使用レシピ!H:H,MATCH(テンプレート!$C970,使用レシピ!$E:$E,0))&lt;&gt;0,INDEX(使用レシピ!H:H,MATCH(テンプレート!$C970,使用レシピ!$E:$E,0)),""),"")</f>
        <v/>
      </c>
      <c r="G970" t="str">
        <f>IFERROR(IF(INDEX(使用レシピ!I:I,MATCH(テンプレート!$C970,使用レシピ!$E:$E,0))&lt;&gt;0,INDEX(使用レシピ!I:I,MATCH(テンプレート!$C970,使用レシピ!$E:$E,0)),""),"")</f>
        <v/>
      </c>
      <c r="H970" s="24" t="str">
        <f>IFERROR(IF(INDEX(使用レシピ!J:J,MATCH(テンプレート!$C970,使用レシピ!$E:$E,0))&lt;&gt;0,INDEX(使用レシピ!J:J,MATCH(テンプレート!$C970,使用レシピ!$E:$E,0)),""),"")</f>
        <v/>
      </c>
      <c r="I970" s="36" t="str">
        <f>IFERROR(IF(INDEX(使用レシピ!P:P,MATCH(テンプレート!$C970,使用レシピ!$E:$E,0))&lt;&gt;0,INDEX(使用レシピ!P:P,MATCH(テンプレート!$C970,使用レシピ!$E:$E,0)),""),"")</f>
        <v/>
      </c>
      <c r="J970" t="str">
        <f>IFERROR(IF(INDEX(使用レシピ!K:K,MATCH(テンプレート!$C970,使用レシピ!$E:$E,0))&lt;&gt;0,INDEX(使用レシピ!K:K,MATCH(テンプレート!$C970,使用レシピ!$E:$E,0)),""),"")</f>
        <v/>
      </c>
      <c r="K970" t="str">
        <f>IFERROR(IF(INDEX(使用レシピ!L:L,MATCH(テンプレート!$C970,使用レシピ!$E:$E,0))&lt;&gt;0,INDEX(使用レシピ!L:L,MATCH(テンプレート!$C970,使用レシピ!$E:$E,0)),""),"")</f>
        <v/>
      </c>
      <c r="L970" t="str">
        <f>IFERROR(IF(INDEX(使用レシピ!M:M,MATCH(テンプレート!$C970,使用レシピ!$E:$E,0))&lt;&gt;0,INDEX(使用レシピ!M:M,MATCH(テンプレート!$C970,使用レシピ!$E:$E,0)),""),"")</f>
        <v/>
      </c>
      <c r="M970" t="str">
        <f>IFERROR(IF(INDEX(使用レシピ!N:N,MATCH(テンプレート!$C970,使用レシピ!$E:$E,0))&lt;&gt;0,INDEX(使用レシピ!N:N,MATCH(テンプレート!$C970,使用レシピ!$E:$E,0)),""),"")</f>
        <v/>
      </c>
      <c r="N970" s="24" t="str">
        <f>IFERROR(IF(INDEX(使用レシピ!O:O,MATCH(テンプレート!$C970,使用レシピ!$E:$E,0))&lt;&gt;0,INDEX(使用レシピ!O:O,MATCH(テンプレート!$C970,使用レシピ!$E:$E,0)),""),"")</f>
        <v/>
      </c>
      <c r="O970" s="36" t="str">
        <f>IFERROR(IF(INDEX(使用レシピ!P:P,MATCH(テンプレート!$C970,使用レシピ!$E:$E,0))&lt;&gt;0,INDEX(使用レシピ!P:P,MATCH(テンプレート!$C970,使用レシピ!$E:$E,0)),""),"")</f>
        <v/>
      </c>
      <c r="P970" t="str">
        <f t="shared" si="76"/>
        <v/>
      </c>
      <c r="Q970" t="str">
        <f t="shared" si="77"/>
        <v/>
      </c>
      <c r="R970" t="str">
        <f t="shared" si="78"/>
        <v/>
      </c>
      <c r="S970" t="str">
        <f t="shared" si="79"/>
        <v/>
      </c>
      <c r="T970" s="24" t="str">
        <f t="shared" si="80"/>
        <v/>
      </c>
    </row>
    <row r="971" spans="2:20" x14ac:dyDescent="0.4">
      <c r="B971" s="49" t="str" cm="1">
        <f t="array" ref="B971">IFERROR((INDEX($P$4:$T$1000,MATCH(VALUE(LEFT($A971,LEN($A971)-1)),$A$4:$A$1000,0),VALUE(RIGHT($A971,1)))/ INDEX($O$4:$O$1000,MATCH(VALUE(LEFT($A971,LEN($A971)-1)),$A$4:$A$1000))) * INDEX($B$4:$B$1000,MATCH(VALUE(LEFT($A971,LEN($A971)-1)),$A$4:$A$1000)),"")</f>
        <v/>
      </c>
      <c r="C971" s="2" t="str" cm="1">
        <f t="array" ref="C971">IFERROR(IF(INDEX($D$4:$H$1000,MATCH(VALUE(LEFT($A971,LEN($A971)-1)),$A$4:$A$1000,0),VALUE(RIGHT($A971,1)))= 0,"",INDEX($D$4:$H$1000,MATCH(VALUE(LEFT($A971,LEN($A971)-1)),$A$4:$A$1000,0),VALUE(RIGHT($A971,1)))),"")</f>
        <v/>
      </c>
      <c r="D971" s="23" t="str">
        <f>IFERROR(IF(INDEX(使用レシピ!F:F,MATCH(テンプレート!$C971,使用レシピ!$E:$E,0))&lt;&gt;0,INDEX(使用レシピ!F:F,MATCH(テンプレート!$C971,使用レシピ!$E:$E,0)),""),"")</f>
        <v/>
      </c>
      <c r="E971" t="str">
        <f>IFERROR(IF(INDEX(使用レシピ!G:G,MATCH(テンプレート!$C971,使用レシピ!$E:$E,0))&lt;&gt;0,INDEX(使用レシピ!G:G,MATCH(テンプレート!$C971,使用レシピ!$E:$E,0)),""),"")</f>
        <v/>
      </c>
      <c r="F971" t="str">
        <f>IFERROR(IF(INDEX(使用レシピ!H:H,MATCH(テンプレート!$C971,使用レシピ!$E:$E,0))&lt;&gt;0,INDEX(使用レシピ!H:H,MATCH(テンプレート!$C971,使用レシピ!$E:$E,0)),""),"")</f>
        <v/>
      </c>
      <c r="G971" t="str">
        <f>IFERROR(IF(INDEX(使用レシピ!I:I,MATCH(テンプレート!$C971,使用レシピ!$E:$E,0))&lt;&gt;0,INDEX(使用レシピ!I:I,MATCH(テンプレート!$C971,使用レシピ!$E:$E,0)),""),"")</f>
        <v/>
      </c>
      <c r="H971" s="24" t="str">
        <f>IFERROR(IF(INDEX(使用レシピ!J:J,MATCH(テンプレート!$C971,使用レシピ!$E:$E,0))&lt;&gt;0,INDEX(使用レシピ!J:J,MATCH(テンプレート!$C971,使用レシピ!$E:$E,0)),""),"")</f>
        <v/>
      </c>
      <c r="I971" s="36" t="str">
        <f>IFERROR(IF(INDEX(使用レシピ!P:P,MATCH(テンプレート!$C971,使用レシピ!$E:$E,0))&lt;&gt;0,INDEX(使用レシピ!P:P,MATCH(テンプレート!$C971,使用レシピ!$E:$E,0)),""),"")</f>
        <v/>
      </c>
      <c r="J971" t="str">
        <f>IFERROR(IF(INDEX(使用レシピ!K:K,MATCH(テンプレート!$C971,使用レシピ!$E:$E,0))&lt;&gt;0,INDEX(使用レシピ!K:K,MATCH(テンプレート!$C971,使用レシピ!$E:$E,0)),""),"")</f>
        <v/>
      </c>
      <c r="K971" t="str">
        <f>IFERROR(IF(INDEX(使用レシピ!L:L,MATCH(テンプレート!$C971,使用レシピ!$E:$E,0))&lt;&gt;0,INDEX(使用レシピ!L:L,MATCH(テンプレート!$C971,使用レシピ!$E:$E,0)),""),"")</f>
        <v/>
      </c>
      <c r="L971" t="str">
        <f>IFERROR(IF(INDEX(使用レシピ!M:M,MATCH(テンプレート!$C971,使用レシピ!$E:$E,0))&lt;&gt;0,INDEX(使用レシピ!M:M,MATCH(テンプレート!$C971,使用レシピ!$E:$E,0)),""),"")</f>
        <v/>
      </c>
      <c r="M971" t="str">
        <f>IFERROR(IF(INDEX(使用レシピ!N:N,MATCH(テンプレート!$C971,使用レシピ!$E:$E,0))&lt;&gt;0,INDEX(使用レシピ!N:N,MATCH(テンプレート!$C971,使用レシピ!$E:$E,0)),""),"")</f>
        <v/>
      </c>
      <c r="N971" s="24" t="str">
        <f>IFERROR(IF(INDEX(使用レシピ!O:O,MATCH(テンプレート!$C971,使用レシピ!$E:$E,0))&lt;&gt;0,INDEX(使用レシピ!O:O,MATCH(テンプレート!$C971,使用レシピ!$E:$E,0)),""),"")</f>
        <v/>
      </c>
      <c r="O971" s="36" t="str">
        <f>IFERROR(IF(INDEX(使用レシピ!P:P,MATCH(テンプレート!$C971,使用レシピ!$E:$E,0))&lt;&gt;0,INDEX(使用レシピ!P:P,MATCH(テンプレート!$C971,使用レシピ!$E:$E,0)),""),"")</f>
        <v/>
      </c>
      <c r="P971" t="str">
        <f t="shared" si="76"/>
        <v/>
      </c>
      <c r="Q971" t="str">
        <f t="shared" si="77"/>
        <v/>
      </c>
      <c r="R971" t="str">
        <f t="shared" si="78"/>
        <v/>
      </c>
      <c r="S971" t="str">
        <f t="shared" si="79"/>
        <v/>
      </c>
      <c r="T971" s="24" t="str">
        <f t="shared" si="80"/>
        <v/>
      </c>
    </row>
    <row r="972" spans="2:20" x14ac:dyDescent="0.4">
      <c r="B972" s="49" t="str" cm="1">
        <f t="array" ref="B972">IFERROR((INDEX($P$4:$T$1000,MATCH(VALUE(LEFT($A972,LEN($A972)-1)),$A$4:$A$1000,0),VALUE(RIGHT($A972,1)))/ INDEX($O$4:$O$1000,MATCH(VALUE(LEFT($A972,LEN($A972)-1)),$A$4:$A$1000))) * INDEX($B$4:$B$1000,MATCH(VALUE(LEFT($A972,LEN($A972)-1)),$A$4:$A$1000)),"")</f>
        <v/>
      </c>
      <c r="C972" s="2" t="str" cm="1">
        <f t="array" ref="C972">IFERROR(IF(INDEX($D$4:$H$1000,MATCH(VALUE(LEFT($A972,LEN($A972)-1)),$A$4:$A$1000,0),VALUE(RIGHT($A972,1)))= 0,"",INDEX($D$4:$H$1000,MATCH(VALUE(LEFT($A972,LEN($A972)-1)),$A$4:$A$1000,0),VALUE(RIGHT($A972,1)))),"")</f>
        <v/>
      </c>
      <c r="D972" s="23" t="str">
        <f>IFERROR(IF(INDEX(使用レシピ!F:F,MATCH(テンプレート!$C972,使用レシピ!$E:$E,0))&lt;&gt;0,INDEX(使用レシピ!F:F,MATCH(テンプレート!$C972,使用レシピ!$E:$E,0)),""),"")</f>
        <v/>
      </c>
      <c r="E972" t="str">
        <f>IFERROR(IF(INDEX(使用レシピ!G:G,MATCH(テンプレート!$C972,使用レシピ!$E:$E,0))&lt;&gt;0,INDEX(使用レシピ!G:G,MATCH(テンプレート!$C972,使用レシピ!$E:$E,0)),""),"")</f>
        <v/>
      </c>
      <c r="F972" t="str">
        <f>IFERROR(IF(INDEX(使用レシピ!H:H,MATCH(テンプレート!$C972,使用レシピ!$E:$E,0))&lt;&gt;0,INDEX(使用レシピ!H:H,MATCH(テンプレート!$C972,使用レシピ!$E:$E,0)),""),"")</f>
        <v/>
      </c>
      <c r="G972" t="str">
        <f>IFERROR(IF(INDEX(使用レシピ!I:I,MATCH(テンプレート!$C972,使用レシピ!$E:$E,0))&lt;&gt;0,INDEX(使用レシピ!I:I,MATCH(テンプレート!$C972,使用レシピ!$E:$E,0)),""),"")</f>
        <v/>
      </c>
      <c r="H972" s="24" t="str">
        <f>IFERROR(IF(INDEX(使用レシピ!J:J,MATCH(テンプレート!$C972,使用レシピ!$E:$E,0))&lt;&gt;0,INDEX(使用レシピ!J:J,MATCH(テンプレート!$C972,使用レシピ!$E:$E,0)),""),"")</f>
        <v/>
      </c>
      <c r="I972" s="36" t="str">
        <f>IFERROR(IF(INDEX(使用レシピ!P:P,MATCH(テンプレート!$C972,使用レシピ!$E:$E,0))&lt;&gt;0,INDEX(使用レシピ!P:P,MATCH(テンプレート!$C972,使用レシピ!$E:$E,0)),""),"")</f>
        <v/>
      </c>
      <c r="J972" t="str">
        <f>IFERROR(IF(INDEX(使用レシピ!K:K,MATCH(テンプレート!$C972,使用レシピ!$E:$E,0))&lt;&gt;0,INDEX(使用レシピ!K:K,MATCH(テンプレート!$C972,使用レシピ!$E:$E,0)),""),"")</f>
        <v/>
      </c>
      <c r="K972" t="str">
        <f>IFERROR(IF(INDEX(使用レシピ!L:L,MATCH(テンプレート!$C972,使用レシピ!$E:$E,0))&lt;&gt;0,INDEX(使用レシピ!L:L,MATCH(テンプレート!$C972,使用レシピ!$E:$E,0)),""),"")</f>
        <v/>
      </c>
      <c r="L972" t="str">
        <f>IFERROR(IF(INDEX(使用レシピ!M:M,MATCH(テンプレート!$C972,使用レシピ!$E:$E,0))&lt;&gt;0,INDEX(使用レシピ!M:M,MATCH(テンプレート!$C972,使用レシピ!$E:$E,0)),""),"")</f>
        <v/>
      </c>
      <c r="M972" t="str">
        <f>IFERROR(IF(INDEX(使用レシピ!N:N,MATCH(テンプレート!$C972,使用レシピ!$E:$E,0))&lt;&gt;0,INDEX(使用レシピ!N:N,MATCH(テンプレート!$C972,使用レシピ!$E:$E,0)),""),"")</f>
        <v/>
      </c>
      <c r="N972" s="24" t="str">
        <f>IFERROR(IF(INDEX(使用レシピ!O:O,MATCH(テンプレート!$C972,使用レシピ!$E:$E,0))&lt;&gt;0,INDEX(使用レシピ!O:O,MATCH(テンプレート!$C972,使用レシピ!$E:$E,0)),""),"")</f>
        <v/>
      </c>
      <c r="O972" s="36" t="str">
        <f>IFERROR(IF(INDEX(使用レシピ!P:P,MATCH(テンプレート!$C972,使用レシピ!$E:$E,0))&lt;&gt;0,INDEX(使用レシピ!P:P,MATCH(テンプレート!$C972,使用レシピ!$E:$E,0)),""),"")</f>
        <v/>
      </c>
      <c r="P972" t="str">
        <f t="shared" si="76"/>
        <v/>
      </c>
      <c r="Q972" t="str">
        <f t="shared" si="77"/>
        <v/>
      </c>
      <c r="R972" t="str">
        <f t="shared" si="78"/>
        <v/>
      </c>
      <c r="S972" t="str">
        <f t="shared" si="79"/>
        <v/>
      </c>
      <c r="T972" s="24" t="str">
        <f t="shared" si="80"/>
        <v/>
      </c>
    </row>
    <row r="973" spans="2:20" x14ac:dyDescent="0.4">
      <c r="B973" s="49" t="str" cm="1">
        <f t="array" ref="B973">IFERROR((INDEX($P$4:$T$1000,MATCH(VALUE(LEFT($A973,LEN($A973)-1)),$A$4:$A$1000,0),VALUE(RIGHT($A973,1)))/ INDEX($O$4:$O$1000,MATCH(VALUE(LEFT($A973,LEN($A973)-1)),$A$4:$A$1000))) * INDEX($B$4:$B$1000,MATCH(VALUE(LEFT($A973,LEN($A973)-1)),$A$4:$A$1000)),"")</f>
        <v/>
      </c>
      <c r="C973" s="2" t="str" cm="1">
        <f t="array" ref="C973">IFERROR(IF(INDEX($D$4:$H$1000,MATCH(VALUE(LEFT($A973,LEN($A973)-1)),$A$4:$A$1000,0),VALUE(RIGHT($A973,1)))= 0,"",INDEX($D$4:$H$1000,MATCH(VALUE(LEFT($A973,LEN($A973)-1)),$A$4:$A$1000,0),VALUE(RIGHT($A973,1)))),"")</f>
        <v/>
      </c>
      <c r="D973" s="23" t="str">
        <f>IFERROR(IF(INDEX(使用レシピ!F:F,MATCH(テンプレート!$C973,使用レシピ!$E:$E,0))&lt;&gt;0,INDEX(使用レシピ!F:F,MATCH(テンプレート!$C973,使用レシピ!$E:$E,0)),""),"")</f>
        <v/>
      </c>
      <c r="E973" t="str">
        <f>IFERROR(IF(INDEX(使用レシピ!G:G,MATCH(テンプレート!$C973,使用レシピ!$E:$E,0))&lt;&gt;0,INDEX(使用レシピ!G:G,MATCH(テンプレート!$C973,使用レシピ!$E:$E,0)),""),"")</f>
        <v/>
      </c>
      <c r="F973" t="str">
        <f>IFERROR(IF(INDEX(使用レシピ!H:H,MATCH(テンプレート!$C973,使用レシピ!$E:$E,0))&lt;&gt;0,INDEX(使用レシピ!H:H,MATCH(テンプレート!$C973,使用レシピ!$E:$E,0)),""),"")</f>
        <v/>
      </c>
      <c r="G973" t="str">
        <f>IFERROR(IF(INDEX(使用レシピ!I:I,MATCH(テンプレート!$C973,使用レシピ!$E:$E,0))&lt;&gt;0,INDEX(使用レシピ!I:I,MATCH(テンプレート!$C973,使用レシピ!$E:$E,0)),""),"")</f>
        <v/>
      </c>
      <c r="H973" s="24" t="str">
        <f>IFERROR(IF(INDEX(使用レシピ!J:J,MATCH(テンプレート!$C973,使用レシピ!$E:$E,0))&lt;&gt;0,INDEX(使用レシピ!J:J,MATCH(テンプレート!$C973,使用レシピ!$E:$E,0)),""),"")</f>
        <v/>
      </c>
      <c r="I973" s="36" t="str">
        <f>IFERROR(IF(INDEX(使用レシピ!P:P,MATCH(テンプレート!$C973,使用レシピ!$E:$E,0))&lt;&gt;0,INDEX(使用レシピ!P:P,MATCH(テンプレート!$C973,使用レシピ!$E:$E,0)),""),"")</f>
        <v/>
      </c>
      <c r="J973" t="str">
        <f>IFERROR(IF(INDEX(使用レシピ!K:K,MATCH(テンプレート!$C973,使用レシピ!$E:$E,0))&lt;&gt;0,INDEX(使用レシピ!K:K,MATCH(テンプレート!$C973,使用レシピ!$E:$E,0)),""),"")</f>
        <v/>
      </c>
      <c r="K973" t="str">
        <f>IFERROR(IF(INDEX(使用レシピ!L:L,MATCH(テンプレート!$C973,使用レシピ!$E:$E,0))&lt;&gt;0,INDEX(使用レシピ!L:L,MATCH(テンプレート!$C973,使用レシピ!$E:$E,0)),""),"")</f>
        <v/>
      </c>
      <c r="L973" t="str">
        <f>IFERROR(IF(INDEX(使用レシピ!M:M,MATCH(テンプレート!$C973,使用レシピ!$E:$E,0))&lt;&gt;0,INDEX(使用レシピ!M:M,MATCH(テンプレート!$C973,使用レシピ!$E:$E,0)),""),"")</f>
        <v/>
      </c>
      <c r="M973" t="str">
        <f>IFERROR(IF(INDEX(使用レシピ!N:N,MATCH(テンプレート!$C973,使用レシピ!$E:$E,0))&lt;&gt;0,INDEX(使用レシピ!N:N,MATCH(テンプレート!$C973,使用レシピ!$E:$E,0)),""),"")</f>
        <v/>
      </c>
      <c r="N973" s="24" t="str">
        <f>IFERROR(IF(INDEX(使用レシピ!O:O,MATCH(テンプレート!$C973,使用レシピ!$E:$E,0))&lt;&gt;0,INDEX(使用レシピ!O:O,MATCH(テンプレート!$C973,使用レシピ!$E:$E,0)),""),"")</f>
        <v/>
      </c>
      <c r="O973" s="36" t="str">
        <f>IFERROR(IF(INDEX(使用レシピ!P:P,MATCH(テンプレート!$C973,使用レシピ!$E:$E,0))&lt;&gt;0,INDEX(使用レシピ!P:P,MATCH(テンプレート!$C973,使用レシピ!$E:$E,0)),""),"")</f>
        <v/>
      </c>
      <c r="P973" t="str">
        <f t="shared" si="76"/>
        <v/>
      </c>
      <c r="Q973" t="str">
        <f t="shared" si="77"/>
        <v/>
      </c>
      <c r="R973" t="str">
        <f t="shared" si="78"/>
        <v/>
      </c>
      <c r="S973" t="str">
        <f t="shared" si="79"/>
        <v/>
      </c>
      <c r="T973" s="24" t="str">
        <f t="shared" si="80"/>
        <v/>
      </c>
    </row>
    <row r="974" spans="2:20" x14ac:dyDescent="0.4">
      <c r="B974" s="49" t="str" cm="1">
        <f t="array" ref="B974">IFERROR((INDEX($P$4:$T$1000,MATCH(VALUE(LEFT($A974,LEN($A974)-1)),$A$4:$A$1000,0),VALUE(RIGHT($A974,1)))/ INDEX($O$4:$O$1000,MATCH(VALUE(LEFT($A974,LEN($A974)-1)),$A$4:$A$1000))) * INDEX($B$4:$B$1000,MATCH(VALUE(LEFT($A974,LEN($A974)-1)),$A$4:$A$1000)),"")</f>
        <v/>
      </c>
      <c r="C974" s="2" t="str" cm="1">
        <f t="array" ref="C974">IFERROR(IF(INDEX($D$4:$H$1000,MATCH(VALUE(LEFT($A974,LEN($A974)-1)),$A$4:$A$1000,0),VALUE(RIGHT($A974,1)))= 0,"",INDEX($D$4:$H$1000,MATCH(VALUE(LEFT($A974,LEN($A974)-1)),$A$4:$A$1000,0),VALUE(RIGHT($A974,1)))),"")</f>
        <v/>
      </c>
      <c r="D974" s="23" t="str">
        <f>IFERROR(IF(INDEX(使用レシピ!F:F,MATCH(テンプレート!$C974,使用レシピ!$E:$E,0))&lt;&gt;0,INDEX(使用レシピ!F:F,MATCH(テンプレート!$C974,使用レシピ!$E:$E,0)),""),"")</f>
        <v/>
      </c>
      <c r="E974" t="str">
        <f>IFERROR(IF(INDEX(使用レシピ!G:G,MATCH(テンプレート!$C974,使用レシピ!$E:$E,0))&lt;&gt;0,INDEX(使用レシピ!G:G,MATCH(テンプレート!$C974,使用レシピ!$E:$E,0)),""),"")</f>
        <v/>
      </c>
      <c r="F974" t="str">
        <f>IFERROR(IF(INDEX(使用レシピ!H:H,MATCH(テンプレート!$C974,使用レシピ!$E:$E,0))&lt;&gt;0,INDEX(使用レシピ!H:H,MATCH(テンプレート!$C974,使用レシピ!$E:$E,0)),""),"")</f>
        <v/>
      </c>
      <c r="G974" t="str">
        <f>IFERROR(IF(INDEX(使用レシピ!I:I,MATCH(テンプレート!$C974,使用レシピ!$E:$E,0))&lt;&gt;0,INDEX(使用レシピ!I:I,MATCH(テンプレート!$C974,使用レシピ!$E:$E,0)),""),"")</f>
        <v/>
      </c>
      <c r="H974" s="24" t="str">
        <f>IFERROR(IF(INDEX(使用レシピ!J:J,MATCH(テンプレート!$C974,使用レシピ!$E:$E,0))&lt;&gt;0,INDEX(使用レシピ!J:J,MATCH(テンプレート!$C974,使用レシピ!$E:$E,0)),""),"")</f>
        <v/>
      </c>
      <c r="I974" s="36" t="str">
        <f>IFERROR(IF(INDEX(使用レシピ!P:P,MATCH(テンプレート!$C974,使用レシピ!$E:$E,0))&lt;&gt;0,INDEX(使用レシピ!P:P,MATCH(テンプレート!$C974,使用レシピ!$E:$E,0)),""),"")</f>
        <v/>
      </c>
      <c r="J974" t="str">
        <f>IFERROR(IF(INDEX(使用レシピ!K:K,MATCH(テンプレート!$C974,使用レシピ!$E:$E,0))&lt;&gt;0,INDEX(使用レシピ!K:K,MATCH(テンプレート!$C974,使用レシピ!$E:$E,0)),""),"")</f>
        <v/>
      </c>
      <c r="K974" t="str">
        <f>IFERROR(IF(INDEX(使用レシピ!L:L,MATCH(テンプレート!$C974,使用レシピ!$E:$E,0))&lt;&gt;0,INDEX(使用レシピ!L:L,MATCH(テンプレート!$C974,使用レシピ!$E:$E,0)),""),"")</f>
        <v/>
      </c>
      <c r="L974" t="str">
        <f>IFERROR(IF(INDEX(使用レシピ!M:M,MATCH(テンプレート!$C974,使用レシピ!$E:$E,0))&lt;&gt;0,INDEX(使用レシピ!M:M,MATCH(テンプレート!$C974,使用レシピ!$E:$E,0)),""),"")</f>
        <v/>
      </c>
      <c r="M974" t="str">
        <f>IFERROR(IF(INDEX(使用レシピ!N:N,MATCH(テンプレート!$C974,使用レシピ!$E:$E,0))&lt;&gt;0,INDEX(使用レシピ!N:N,MATCH(テンプレート!$C974,使用レシピ!$E:$E,0)),""),"")</f>
        <v/>
      </c>
      <c r="N974" s="24" t="str">
        <f>IFERROR(IF(INDEX(使用レシピ!O:O,MATCH(テンプレート!$C974,使用レシピ!$E:$E,0))&lt;&gt;0,INDEX(使用レシピ!O:O,MATCH(テンプレート!$C974,使用レシピ!$E:$E,0)),""),"")</f>
        <v/>
      </c>
      <c r="O974" s="36" t="str">
        <f>IFERROR(IF(INDEX(使用レシピ!P:P,MATCH(テンプレート!$C974,使用レシピ!$E:$E,0))&lt;&gt;0,INDEX(使用レシピ!P:P,MATCH(テンプレート!$C974,使用レシピ!$E:$E,0)),""),"")</f>
        <v/>
      </c>
      <c r="P974" t="str">
        <f t="shared" si="76"/>
        <v/>
      </c>
      <c r="Q974" t="str">
        <f t="shared" si="77"/>
        <v/>
      </c>
      <c r="R974" t="str">
        <f t="shared" si="78"/>
        <v/>
      </c>
      <c r="S974" t="str">
        <f t="shared" si="79"/>
        <v/>
      </c>
      <c r="T974" s="24" t="str">
        <f t="shared" si="80"/>
        <v/>
      </c>
    </row>
    <row r="975" spans="2:20" x14ac:dyDescent="0.4">
      <c r="B975" s="49" t="str" cm="1">
        <f t="array" ref="B975">IFERROR((INDEX($P$4:$T$1000,MATCH(VALUE(LEFT($A975,LEN($A975)-1)),$A$4:$A$1000,0),VALUE(RIGHT($A975,1)))/ INDEX($O$4:$O$1000,MATCH(VALUE(LEFT($A975,LEN($A975)-1)),$A$4:$A$1000))) * INDEX($B$4:$B$1000,MATCH(VALUE(LEFT($A975,LEN($A975)-1)),$A$4:$A$1000)),"")</f>
        <v/>
      </c>
      <c r="C975" s="2" t="str" cm="1">
        <f t="array" ref="C975">IFERROR(IF(INDEX($D$4:$H$1000,MATCH(VALUE(LEFT($A975,LEN($A975)-1)),$A$4:$A$1000,0),VALUE(RIGHT($A975,1)))= 0,"",INDEX($D$4:$H$1000,MATCH(VALUE(LEFT($A975,LEN($A975)-1)),$A$4:$A$1000,0),VALUE(RIGHT($A975,1)))),"")</f>
        <v/>
      </c>
      <c r="D975" s="23" t="str">
        <f>IFERROR(IF(INDEX(使用レシピ!F:F,MATCH(テンプレート!$C975,使用レシピ!$E:$E,0))&lt;&gt;0,INDEX(使用レシピ!F:F,MATCH(テンプレート!$C975,使用レシピ!$E:$E,0)),""),"")</f>
        <v/>
      </c>
      <c r="E975" t="str">
        <f>IFERROR(IF(INDEX(使用レシピ!G:G,MATCH(テンプレート!$C975,使用レシピ!$E:$E,0))&lt;&gt;0,INDEX(使用レシピ!G:G,MATCH(テンプレート!$C975,使用レシピ!$E:$E,0)),""),"")</f>
        <v/>
      </c>
      <c r="F975" t="str">
        <f>IFERROR(IF(INDEX(使用レシピ!H:H,MATCH(テンプレート!$C975,使用レシピ!$E:$E,0))&lt;&gt;0,INDEX(使用レシピ!H:H,MATCH(テンプレート!$C975,使用レシピ!$E:$E,0)),""),"")</f>
        <v/>
      </c>
      <c r="G975" t="str">
        <f>IFERROR(IF(INDEX(使用レシピ!I:I,MATCH(テンプレート!$C975,使用レシピ!$E:$E,0))&lt;&gt;0,INDEX(使用レシピ!I:I,MATCH(テンプレート!$C975,使用レシピ!$E:$E,0)),""),"")</f>
        <v/>
      </c>
      <c r="H975" s="24" t="str">
        <f>IFERROR(IF(INDEX(使用レシピ!J:J,MATCH(テンプレート!$C975,使用レシピ!$E:$E,0))&lt;&gt;0,INDEX(使用レシピ!J:J,MATCH(テンプレート!$C975,使用レシピ!$E:$E,0)),""),"")</f>
        <v/>
      </c>
      <c r="I975" s="36" t="str">
        <f>IFERROR(IF(INDEX(使用レシピ!P:P,MATCH(テンプレート!$C975,使用レシピ!$E:$E,0))&lt;&gt;0,INDEX(使用レシピ!P:P,MATCH(テンプレート!$C975,使用レシピ!$E:$E,0)),""),"")</f>
        <v/>
      </c>
      <c r="J975" t="str">
        <f>IFERROR(IF(INDEX(使用レシピ!K:K,MATCH(テンプレート!$C975,使用レシピ!$E:$E,0))&lt;&gt;0,INDEX(使用レシピ!K:K,MATCH(テンプレート!$C975,使用レシピ!$E:$E,0)),""),"")</f>
        <v/>
      </c>
      <c r="K975" t="str">
        <f>IFERROR(IF(INDEX(使用レシピ!L:L,MATCH(テンプレート!$C975,使用レシピ!$E:$E,0))&lt;&gt;0,INDEX(使用レシピ!L:L,MATCH(テンプレート!$C975,使用レシピ!$E:$E,0)),""),"")</f>
        <v/>
      </c>
      <c r="L975" t="str">
        <f>IFERROR(IF(INDEX(使用レシピ!M:M,MATCH(テンプレート!$C975,使用レシピ!$E:$E,0))&lt;&gt;0,INDEX(使用レシピ!M:M,MATCH(テンプレート!$C975,使用レシピ!$E:$E,0)),""),"")</f>
        <v/>
      </c>
      <c r="M975" t="str">
        <f>IFERROR(IF(INDEX(使用レシピ!N:N,MATCH(テンプレート!$C975,使用レシピ!$E:$E,0))&lt;&gt;0,INDEX(使用レシピ!N:N,MATCH(テンプレート!$C975,使用レシピ!$E:$E,0)),""),"")</f>
        <v/>
      </c>
      <c r="N975" s="24" t="str">
        <f>IFERROR(IF(INDEX(使用レシピ!O:O,MATCH(テンプレート!$C975,使用レシピ!$E:$E,0))&lt;&gt;0,INDEX(使用レシピ!O:O,MATCH(テンプレート!$C975,使用レシピ!$E:$E,0)),""),"")</f>
        <v/>
      </c>
      <c r="O975" s="36" t="str">
        <f>IFERROR(IF(INDEX(使用レシピ!P:P,MATCH(テンプレート!$C975,使用レシピ!$E:$E,0))&lt;&gt;0,INDEX(使用レシピ!P:P,MATCH(テンプレート!$C975,使用レシピ!$E:$E,0)),""),"")</f>
        <v/>
      </c>
      <c r="P975" t="str">
        <f t="shared" si="76"/>
        <v/>
      </c>
      <c r="Q975" t="str">
        <f t="shared" si="77"/>
        <v/>
      </c>
      <c r="R975" t="str">
        <f t="shared" si="78"/>
        <v/>
      </c>
      <c r="S975" t="str">
        <f t="shared" si="79"/>
        <v/>
      </c>
      <c r="T975" s="24" t="str">
        <f t="shared" si="80"/>
        <v/>
      </c>
    </row>
    <row r="976" spans="2:20" x14ac:dyDescent="0.4">
      <c r="B976" s="49" t="str" cm="1">
        <f t="array" ref="B976">IFERROR((INDEX($P$4:$T$1000,MATCH(VALUE(LEFT($A976,LEN($A976)-1)),$A$4:$A$1000,0),VALUE(RIGHT($A976,1)))/ INDEX($O$4:$O$1000,MATCH(VALUE(LEFT($A976,LEN($A976)-1)),$A$4:$A$1000))) * INDEX($B$4:$B$1000,MATCH(VALUE(LEFT($A976,LEN($A976)-1)),$A$4:$A$1000)),"")</f>
        <v/>
      </c>
      <c r="C976" s="2" t="str" cm="1">
        <f t="array" ref="C976">IFERROR(IF(INDEX($D$4:$H$1000,MATCH(VALUE(LEFT($A976,LEN($A976)-1)),$A$4:$A$1000,0),VALUE(RIGHT($A976,1)))= 0,"",INDEX($D$4:$H$1000,MATCH(VALUE(LEFT($A976,LEN($A976)-1)),$A$4:$A$1000,0),VALUE(RIGHT($A976,1)))),"")</f>
        <v/>
      </c>
      <c r="D976" s="23" t="str">
        <f>IFERROR(IF(INDEX(使用レシピ!F:F,MATCH(テンプレート!$C976,使用レシピ!$E:$E,0))&lt;&gt;0,INDEX(使用レシピ!F:F,MATCH(テンプレート!$C976,使用レシピ!$E:$E,0)),""),"")</f>
        <v/>
      </c>
      <c r="E976" t="str">
        <f>IFERROR(IF(INDEX(使用レシピ!G:G,MATCH(テンプレート!$C976,使用レシピ!$E:$E,0))&lt;&gt;0,INDEX(使用レシピ!G:G,MATCH(テンプレート!$C976,使用レシピ!$E:$E,0)),""),"")</f>
        <v/>
      </c>
      <c r="F976" t="str">
        <f>IFERROR(IF(INDEX(使用レシピ!H:H,MATCH(テンプレート!$C976,使用レシピ!$E:$E,0))&lt;&gt;0,INDEX(使用レシピ!H:H,MATCH(テンプレート!$C976,使用レシピ!$E:$E,0)),""),"")</f>
        <v/>
      </c>
      <c r="G976" t="str">
        <f>IFERROR(IF(INDEX(使用レシピ!I:I,MATCH(テンプレート!$C976,使用レシピ!$E:$E,0))&lt;&gt;0,INDEX(使用レシピ!I:I,MATCH(テンプレート!$C976,使用レシピ!$E:$E,0)),""),"")</f>
        <v/>
      </c>
      <c r="H976" s="24" t="str">
        <f>IFERROR(IF(INDEX(使用レシピ!J:J,MATCH(テンプレート!$C976,使用レシピ!$E:$E,0))&lt;&gt;0,INDEX(使用レシピ!J:J,MATCH(テンプレート!$C976,使用レシピ!$E:$E,0)),""),"")</f>
        <v/>
      </c>
      <c r="I976" s="36" t="str">
        <f>IFERROR(IF(INDEX(使用レシピ!P:P,MATCH(テンプレート!$C976,使用レシピ!$E:$E,0))&lt;&gt;0,INDEX(使用レシピ!P:P,MATCH(テンプレート!$C976,使用レシピ!$E:$E,0)),""),"")</f>
        <v/>
      </c>
      <c r="J976" t="str">
        <f>IFERROR(IF(INDEX(使用レシピ!K:K,MATCH(テンプレート!$C976,使用レシピ!$E:$E,0))&lt;&gt;0,INDEX(使用レシピ!K:K,MATCH(テンプレート!$C976,使用レシピ!$E:$E,0)),""),"")</f>
        <v/>
      </c>
      <c r="K976" t="str">
        <f>IFERROR(IF(INDEX(使用レシピ!L:L,MATCH(テンプレート!$C976,使用レシピ!$E:$E,0))&lt;&gt;0,INDEX(使用レシピ!L:L,MATCH(テンプレート!$C976,使用レシピ!$E:$E,0)),""),"")</f>
        <v/>
      </c>
      <c r="L976" t="str">
        <f>IFERROR(IF(INDEX(使用レシピ!M:M,MATCH(テンプレート!$C976,使用レシピ!$E:$E,0))&lt;&gt;0,INDEX(使用レシピ!M:M,MATCH(テンプレート!$C976,使用レシピ!$E:$E,0)),""),"")</f>
        <v/>
      </c>
      <c r="M976" t="str">
        <f>IFERROR(IF(INDEX(使用レシピ!N:N,MATCH(テンプレート!$C976,使用レシピ!$E:$E,0))&lt;&gt;0,INDEX(使用レシピ!N:N,MATCH(テンプレート!$C976,使用レシピ!$E:$E,0)),""),"")</f>
        <v/>
      </c>
      <c r="N976" s="24" t="str">
        <f>IFERROR(IF(INDEX(使用レシピ!O:O,MATCH(テンプレート!$C976,使用レシピ!$E:$E,0))&lt;&gt;0,INDEX(使用レシピ!O:O,MATCH(テンプレート!$C976,使用レシピ!$E:$E,0)),""),"")</f>
        <v/>
      </c>
      <c r="O976" s="36" t="str">
        <f>IFERROR(IF(INDEX(使用レシピ!P:P,MATCH(テンプレート!$C976,使用レシピ!$E:$E,0))&lt;&gt;0,INDEX(使用レシピ!P:P,MATCH(テンプレート!$C976,使用レシピ!$E:$E,0)),""),"")</f>
        <v/>
      </c>
      <c r="P976" t="str">
        <f t="shared" si="76"/>
        <v/>
      </c>
      <c r="Q976" t="str">
        <f t="shared" si="77"/>
        <v/>
      </c>
      <c r="R976" t="str">
        <f t="shared" si="78"/>
        <v/>
      </c>
      <c r="S976" t="str">
        <f t="shared" si="79"/>
        <v/>
      </c>
      <c r="T976" s="24" t="str">
        <f t="shared" si="80"/>
        <v/>
      </c>
    </row>
    <row r="977" spans="2:20" x14ac:dyDescent="0.4">
      <c r="B977" s="49" t="str" cm="1">
        <f t="array" ref="B977">IFERROR((INDEX($P$4:$T$1000,MATCH(VALUE(LEFT($A977,LEN($A977)-1)),$A$4:$A$1000,0),VALUE(RIGHT($A977,1)))/ INDEX($O$4:$O$1000,MATCH(VALUE(LEFT($A977,LEN($A977)-1)),$A$4:$A$1000))) * INDEX($B$4:$B$1000,MATCH(VALUE(LEFT($A977,LEN($A977)-1)),$A$4:$A$1000)),"")</f>
        <v/>
      </c>
      <c r="C977" s="2" t="str" cm="1">
        <f t="array" ref="C977">IFERROR(IF(INDEX($D$4:$H$1000,MATCH(VALUE(LEFT($A977,LEN($A977)-1)),$A$4:$A$1000,0),VALUE(RIGHT($A977,1)))= 0,"",INDEX($D$4:$H$1000,MATCH(VALUE(LEFT($A977,LEN($A977)-1)),$A$4:$A$1000,0),VALUE(RIGHT($A977,1)))),"")</f>
        <v/>
      </c>
      <c r="D977" s="23" t="str">
        <f>IFERROR(IF(INDEX(使用レシピ!F:F,MATCH(テンプレート!$C977,使用レシピ!$E:$E,0))&lt;&gt;0,INDEX(使用レシピ!F:F,MATCH(テンプレート!$C977,使用レシピ!$E:$E,0)),""),"")</f>
        <v/>
      </c>
      <c r="E977" t="str">
        <f>IFERROR(IF(INDEX(使用レシピ!G:G,MATCH(テンプレート!$C977,使用レシピ!$E:$E,0))&lt;&gt;0,INDEX(使用レシピ!G:G,MATCH(テンプレート!$C977,使用レシピ!$E:$E,0)),""),"")</f>
        <v/>
      </c>
      <c r="F977" t="str">
        <f>IFERROR(IF(INDEX(使用レシピ!H:H,MATCH(テンプレート!$C977,使用レシピ!$E:$E,0))&lt;&gt;0,INDEX(使用レシピ!H:H,MATCH(テンプレート!$C977,使用レシピ!$E:$E,0)),""),"")</f>
        <v/>
      </c>
      <c r="G977" t="str">
        <f>IFERROR(IF(INDEX(使用レシピ!I:I,MATCH(テンプレート!$C977,使用レシピ!$E:$E,0))&lt;&gt;0,INDEX(使用レシピ!I:I,MATCH(テンプレート!$C977,使用レシピ!$E:$E,0)),""),"")</f>
        <v/>
      </c>
      <c r="H977" s="24" t="str">
        <f>IFERROR(IF(INDEX(使用レシピ!J:J,MATCH(テンプレート!$C977,使用レシピ!$E:$E,0))&lt;&gt;0,INDEX(使用レシピ!J:J,MATCH(テンプレート!$C977,使用レシピ!$E:$E,0)),""),"")</f>
        <v/>
      </c>
      <c r="I977" s="36" t="str">
        <f>IFERROR(IF(INDEX(使用レシピ!P:P,MATCH(テンプレート!$C977,使用レシピ!$E:$E,0))&lt;&gt;0,INDEX(使用レシピ!P:P,MATCH(テンプレート!$C977,使用レシピ!$E:$E,0)),""),"")</f>
        <v/>
      </c>
      <c r="J977" t="str">
        <f>IFERROR(IF(INDEX(使用レシピ!K:K,MATCH(テンプレート!$C977,使用レシピ!$E:$E,0))&lt;&gt;0,INDEX(使用レシピ!K:K,MATCH(テンプレート!$C977,使用レシピ!$E:$E,0)),""),"")</f>
        <v/>
      </c>
      <c r="K977" t="str">
        <f>IFERROR(IF(INDEX(使用レシピ!L:L,MATCH(テンプレート!$C977,使用レシピ!$E:$E,0))&lt;&gt;0,INDEX(使用レシピ!L:L,MATCH(テンプレート!$C977,使用レシピ!$E:$E,0)),""),"")</f>
        <v/>
      </c>
      <c r="L977" t="str">
        <f>IFERROR(IF(INDEX(使用レシピ!M:M,MATCH(テンプレート!$C977,使用レシピ!$E:$E,0))&lt;&gt;0,INDEX(使用レシピ!M:M,MATCH(テンプレート!$C977,使用レシピ!$E:$E,0)),""),"")</f>
        <v/>
      </c>
      <c r="M977" t="str">
        <f>IFERROR(IF(INDEX(使用レシピ!N:N,MATCH(テンプレート!$C977,使用レシピ!$E:$E,0))&lt;&gt;0,INDEX(使用レシピ!N:N,MATCH(テンプレート!$C977,使用レシピ!$E:$E,0)),""),"")</f>
        <v/>
      </c>
      <c r="N977" s="24" t="str">
        <f>IFERROR(IF(INDEX(使用レシピ!O:O,MATCH(テンプレート!$C977,使用レシピ!$E:$E,0))&lt;&gt;0,INDEX(使用レシピ!O:O,MATCH(テンプレート!$C977,使用レシピ!$E:$E,0)),""),"")</f>
        <v/>
      </c>
      <c r="O977" s="36" t="str">
        <f>IFERROR(IF(INDEX(使用レシピ!P:P,MATCH(テンプレート!$C977,使用レシピ!$E:$E,0))&lt;&gt;0,INDEX(使用レシピ!P:P,MATCH(テンプレート!$C977,使用レシピ!$E:$E,0)),""),"")</f>
        <v/>
      </c>
      <c r="P977" t="str">
        <f t="shared" si="76"/>
        <v/>
      </c>
      <c r="Q977" t="str">
        <f t="shared" si="77"/>
        <v/>
      </c>
      <c r="R977" t="str">
        <f t="shared" si="78"/>
        <v/>
      </c>
      <c r="S977" t="str">
        <f t="shared" si="79"/>
        <v/>
      </c>
      <c r="T977" s="24" t="str">
        <f t="shared" si="80"/>
        <v/>
      </c>
    </row>
    <row r="978" spans="2:20" x14ac:dyDescent="0.4">
      <c r="B978" s="49" t="str" cm="1">
        <f t="array" ref="B978">IFERROR((INDEX($P$4:$T$1000,MATCH(VALUE(LEFT($A978,LEN($A978)-1)),$A$4:$A$1000,0),VALUE(RIGHT($A978,1)))/ INDEX($O$4:$O$1000,MATCH(VALUE(LEFT($A978,LEN($A978)-1)),$A$4:$A$1000))) * INDEX($B$4:$B$1000,MATCH(VALUE(LEFT($A978,LEN($A978)-1)),$A$4:$A$1000)),"")</f>
        <v/>
      </c>
      <c r="C978" s="2" t="str" cm="1">
        <f t="array" ref="C978">IFERROR(IF(INDEX($D$4:$H$1000,MATCH(VALUE(LEFT($A978,LEN($A978)-1)),$A$4:$A$1000,0),VALUE(RIGHT($A978,1)))= 0,"",INDEX($D$4:$H$1000,MATCH(VALUE(LEFT($A978,LEN($A978)-1)),$A$4:$A$1000,0),VALUE(RIGHT($A978,1)))),"")</f>
        <v/>
      </c>
      <c r="D978" s="23" t="str">
        <f>IFERROR(IF(INDEX(使用レシピ!F:F,MATCH(テンプレート!$C978,使用レシピ!$E:$E,0))&lt;&gt;0,INDEX(使用レシピ!F:F,MATCH(テンプレート!$C978,使用レシピ!$E:$E,0)),""),"")</f>
        <v/>
      </c>
      <c r="E978" t="str">
        <f>IFERROR(IF(INDEX(使用レシピ!G:G,MATCH(テンプレート!$C978,使用レシピ!$E:$E,0))&lt;&gt;0,INDEX(使用レシピ!G:G,MATCH(テンプレート!$C978,使用レシピ!$E:$E,0)),""),"")</f>
        <v/>
      </c>
      <c r="F978" t="str">
        <f>IFERROR(IF(INDEX(使用レシピ!H:H,MATCH(テンプレート!$C978,使用レシピ!$E:$E,0))&lt;&gt;0,INDEX(使用レシピ!H:H,MATCH(テンプレート!$C978,使用レシピ!$E:$E,0)),""),"")</f>
        <v/>
      </c>
      <c r="G978" t="str">
        <f>IFERROR(IF(INDEX(使用レシピ!I:I,MATCH(テンプレート!$C978,使用レシピ!$E:$E,0))&lt;&gt;0,INDEX(使用レシピ!I:I,MATCH(テンプレート!$C978,使用レシピ!$E:$E,0)),""),"")</f>
        <v/>
      </c>
      <c r="H978" s="24" t="str">
        <f>IFERROR(IF(INDEX(使用レシピ!J:J,MATCH(テンプレート!$C978,使用レシピ!$E:$E,0))&lt;&gt;0,INDEX(使用レシピ!J:J,MATCH(テンプレート!$C978,使用レシピ!$E:$E,0)),""),"")</f>
        <v/>
      </c>
      <c r="I978" s="36" t="str">
        <f>IFERROR(IF(INDEX(使用レシピ!P:P,MATCH(テンプレート!$C978,使用レシピ!$E:$E,0))&lt;&gt;0,INDEX(使用レシピ!P:P,MATCH(テンプレート!$C978,使用レシピ!$E:$E,0)),""),"")</f>
        <v/>
      </c>
      <c r="J978" t="str">
        <f>IFERROR(IF(INDEX(使用レシピ!K:K,MATCH(テンプレート!$C978,使用レシピ!$E:$E,0))&lt;&gt;0,INDEX(使用レシピ!K:K,MATCH(テンプレート!$C978,使用レシピ!$E:$E,0)),""),"")</f>
        <v/>
      </c>
      <c r="K978" t="str">
        <f>IFERROR(IF(INDEX(使用レシピ!L:L,MATCH(テンプレート!$C978,使用レシピ!$E:$E,0))&lt;&gt;0,INDEX(使用レシピ!L:L,MATCH(テンプレート!$C978,使用レシピ!$E:$E,0)),""),"")</f>
        <v/>
      </c>
      <c r="L978" t="str">
        <f>IFERROR(IF(INDEX(使用レシピ!M:M,MATCH(テンプレート!$C978,使用レシピ!$E:$E,0))&lt;&gt;0,INDEX(使用レシピ!M:M,MATCH(テンプレート!$C978,使用レシピ!$E:$E,0)),""),"")</f>
        <v/>
      </c>
      <c r="M978" t="str">
        <f>IFERROR(IF(INDEX(使用レシピ!N:N,MATCH(テンプレート!$C978,使用レシピ!$E:$E,0))&lt;&gt;0,INDEX(使用レシピ!N:N,MATCH(テンプレート!$C978,使用レシピ!$E:$E,0)),""),"")</f>
        <v/>
      </c>
      <c r="N978" s="24" t="str">
        <f>IFERROR(IF(INDEX(使用レシピ!O:O,MATCH(テンプレート!$C978,使用レシピ!$E:$E,0))&lt;&gt;0,INDEX(使用レシピ!O:O,MATCH(テンプレート!$C978,使用レシピ!$E:$E,0)),""),"")</f>
        <v/>
      </c>
      <c r="O978" s="36" t="str">
        <f>IFERROR(IF(INDEX(使用レシピ!P:P,MATCH(テンプレート!$C978,使用レシピ!$E:$E,0))&lt;&gt;0,INDEX(使用レシピ!P:P,MATCH(テンプレート!$C978,使用レシピ!$E:$E,0)),""),"")</f>
        <v/>
      </c>
      <c r="P978" t="str">
        <f t="shared" si="76"/>
        <v/>
      </c>
      <c r="Q978" t="str">
        <f t="shared" si="77"/>
        <v/>
      </c>
      <c r="R978" t="str">
        <f t="shared" si="78"/>
        <v/>
      </c>
      <c r="S978" t="str">
        <f t="shared" si="79"/>
        <v/>
      </c>
      <c r="T978" s="24" t="str">
        <f t="shared" si="80"/>
        <v/>
      </c>
    </row>
    <row r="979" spans="2:20" x14ac:dyDescent="0.4">
      <c r="B979" s="49" t="str" cm="1">
        <f t="array" ref="B979">IFERROR((INDEX($P$4:$T$1000,MATCH(VALUE(LEFT($A979,LEN($A979)-1)),$A$4:$A$1000,0),VALUE(RIGHT($A979,1)))/ INDEX($O$4:$O$1000,MATCH(VALUE(LEFT($A979,LEN($A979)-1)),$A$4:$A$1000))) * INDEX($B$4:$B$1000,MATCH(VALUE(LEFT($A979,LEN($A979)-1)),$A$4:$A$1000)),"")</f>
        <v/>
      </c>
      <c r="C979" s="2" t="str" cm="1">
        <f t="array" ref="C979">IFERROR(IF(INDEX($D$4:$H$1000,MATCH(VALUE(LEFT($A979,LEN($A979)-1)),$A$4:$A$1000,0),VALUE(RIGHT($A979,1)))= 0,"",INDEX($D$4:$H$1000,MATCH(VALUE(LEFT($A979,LEN($A979)-1)),$A$4:$A$1000,0),VALUE(RIGHT($A979,1)))),"")</f>
        <v/>
      </c>
      <c r="D979" s="23" t="str">
        <f>IFERROR(IF(INDEX(使用レシピ!F:F,MATCH(テンプレート!$C979,使用レシピ!$E:$E,0))&lt;&gt;0,INDEX(使用レシピ!F:F,MATCH(テンプレート!$C979,使用レシピ!$E:$E,0)),""),"")</f>
        <v/>
      </c>
      <c r="E979" t="str">
        <f>IFERROR(IF(INDEX(使用レシピ!G:G,MATCH(テンプレート!$C979,使用レシピ!$E:$E,0))&lt;&gt;0,INDEX(使用レシピ!G:G,MATCH(テンプレート!$C979,使用レシピ!$E:$E,0)),""),"")</f>
        <v/>
      </c>
      <c r="F979" t="str">
        <f>IFERROR(IF(INDEX(使用レシピ!H:H,MATCH(テンプレート!$C979,使用レシピ!$E:$E,0))&lt;&gt;0,INDEX(使用レシピ!H:H,MATCH(テンプレート!$C979,使用レシピ!$E:$E,0)),""),"")</f>
        <v/>
      </c>
      <c r="G979" t="str">
        <f>IFERROR(IF(INDEX(使用レシピ!I:I,MATCH(テンプレート!$C979,使用レシピ!$E:$E,0))&lt;&gt;0,INDEX(使用レシピ!I:I,MATCH(テンプレート!$C979,使用レシピ!$E:$E,0)),""),"")</f>
        <v/>
      </c>
      <c r="H979" s="24" t="str">
        <f>IFERROR(IF(INDEX(使用レシピ!J:J,MATCH(テンプレート!$C979,使用レシピ!$E:$E,0))&lt;&gt;0,INDEX(使用レシピ!J:J,MATCH(テンプレート!$C979,使用レシピ!$E:$E,0)),""),"")</f>
        <v/>
      </c>
      <c r="I979" s="36" t="str">
        <f>IFERROR(IF(INDEX(使用レシピ!P:P,MATCH(テンプレート!$C979,使用レシピ!$E:$E,0))&lt;&gt;0,INDEX(使用レシピ!P:P,MATCH(テンプレート!$C979,使用レシピ!$E:$E,0)),""),"")</f>
        <v/>
      </c>
      <c r="J979" t="str">
        <f>IFERROR(IF(INDEX(使用レシピ!K:K,MATCH(テンプレート!$C979,使用レシピ!$E:$E,0))&lt;&gt;0,INDEX(使用レシピ!K:K,MATCH(テンプレート!$C979,使用レシピ!$E:$E,0)),""),"")</f>
        <v/>
      </c>
      <c r="K979" t="str">
        <f>IFERROR(IF(INDEX(使用レシピ!L:L,MATCH(テンプレート!$C979,使用レシピ!$E:$E,0))&lt;&gt;0,INDEX(使用レシピ!L:L,MATCH(テンプレート!$C979,使用レシピ!$E:$E,0)),""),"")</f>
        <v/>
      </c>
      <c r="L979" t="str">
        <f>IFERROR(IF(INDEX(使用レシピ!M:M,MATCH(テンプレート!$C979,使用レシピ!$E:$E,0))&lt;&gt;0,INDEX(使用レシピ!M:M,MATCH(テンプレート!$C979,使用レシピ!$E:$E,0)),""),"")</f>
        <v/>
      </c>
      <c r="M979" t="str">
        <f>IFERROR(IF(INDEX(使用レシピ!N:N,MATCH(テンプレート!$C979,使用レシピ!$E:$E,0))&lt;&gt;0,INDEX(使用レシピ!N:N,MATCH(テンプレート!$C979,使用レシピ!$E:$E,0)),""),"")</f>
        <v/>
      </c>
      <c r="N979" s="24" t="str">
        <f>IFERROR(IF(INDEX(使用レシピ!O:O,MATCH(テンプレート!$C979,使用レシピ!$E:$E,0))&lt;&gt;0,INDEX(使用レシピ!O:O,MATCH(テンプレート!$C979,使用レシピ!$E:$E,0)),""),"")</f>
        <v/>
      </c>
      <c r="O979" s="36" t="str">
        <f>IFERROR(IF(INDEX(使用レシピ!P:P,MATCH(テンプレート!$C979,使用レシピ!$E:$E,0))&lt;&gt;0,INDEX(使用レシピ!P:P,MATCH(テンプレート!$C979,使用レシピ!$E:$E,0)),""),"")</f>
        <v/>
      </c>
      <c r="P979" t="str">
        <f t="shared" si="76"/>
        <v/>
      </c>
      <c r="Q979" t="str">
        <f t="shared" si="77"/>
        <v/>
      </c>
      <c r="R979" t="str">
        <f t="shared" si="78"/>
        <v/>
      </c>
      <c r="S979" t="str">
        <f t="shared" si="79"/>
        <v/>
      </c>
      <c r="T979" s="24" t="str">
        <f t="shared" si="80"/>
        <v/>
      </c>
    </row>
    <row r="980" spans="2:20" x14ac:dyDescent="0.4">
      <c r="B980" s="49" t="str" cm="1">
        <f t="array" ref="B980">IFERROR((INDEX($P$4:$T$1000,MATCH(VALUE(LEFT($A980,LEN($A980)-1)),$A$4:$A$1000,0),VALUE(RIGHT($A980,1)))/ INDEX($O$4:$O$1000,MATCH(VALUE(LEFT($A980,LEN($A980)-1)),$A$4:$A$1000))) * INDEX($B$4:$B$1000,MATCH(VALUE(LEFT($A980,LEN($A980)-1)),$A$4:$A$1000)),"")</f>
        <v/>
      </c>
      <c r="C980" s="2" t="str" cm="1">
        <f t="array" ref="C980">IFERROR(IF(INDEX($D$4:$H$1000,MATCH(VALUE(LEFT($A980,LEN($A980)-1)),$A$4:$A$1000,0),VALUE(RIGHT($A980,1)))= 0,"",INDEX($D$4:$H$1000,MATCH(VALUE(LEFT($A980,LEN($A980)-1)),$A$4:$A$1000,0),VALUE(RIGHT($A980,1)))),"")</f>
        <v/>
      </c>
      <c r="D980" s="23" t="str">
        <f>IFERROR(IF(INDEX(使用レシピ!F:F,MATCH(テンプレート!$C980,使用レシピ!$E:$E,0))&lt;&gt;0,INDEX(使用レシピ!F:F,MATCH(テンプレート!$C980,使用レシピ!$E:$E,0)),""),"")</f>
        <v/>
      </c>
      <c r="E980" t="str">
        <f>IFERROR(IF(INDEX(使用レシピ!G:G,MATCH(テンプレート!$C980,使用レシピ!$E:$E,0))&lt;&gt;0,INDEX(使用レシピ!G:G,MATCH(テンプレート!$C980,使用レシピ!$E:$E,0)),""),"")</f>
        <v/>
      </c>
      <c r="F980" t="str">
        <f>IFERROR(IF(INDEX(使用レシピ!H:H,MATCH(テンプレート!$C980,使用レシピ!$E:$E,0))&lt;&gt;0,INDEX(使用レシピ!H:H,MATCH(テンプレート!$C980,使用レシピ!$E:$E,0)),""),"")</f>
        <v/>
      </c>
      <c r="G980" t="str">
        <f>IFERROR(IF(INDEX(使用レシピ!I:I,MATCH(テンプレート!$C980,使用レシピ!$E:$E,0))&lt;&gt;0,INDEX(使用レシピ!I:I,MATCH(テンプレート!$C980,使用レシピ!$E:$E,0)),""),"")</f>
        <v/>
      </c>
      <c r="H980" s="24" t="str">
        <f>IFERROR(IF(INDEX(使用レシピ!J:J,MATCH(テンプレート!$C980,使用レシピ!$E:$E,0))&lt;&gt;0,INDEX(使用レシピ!J:J,MATCH(テンプレート!$C980,使用レシピ!$E:$E,0)),""),"")</f>
        <v/>
      </c>
      <c r="I980" s="36" t="str">
        <f>IFERROR(IF(INDEX(使用レシピ!P:P,MATCH(テンプレート!$C980,使用レシピ!$E:$E,0))&lt;&gt;0,INDEX(使用レシピ!P:P,MATCH(テンプレート!$C980,使用レシピ!$E:$E,0)),""),"")</f>
        <v/>
      </c>
      <c r="J980" t="str">
        <f>IFERROR(IF(INDEX(使用レシピ!K:K,MATCH(テンプレート!$C980,使用レシピ!$E:$E,0))&lt;&gt;0,INDEX(使用レシピ!K:K,MATCH(テンプレート!$C980,使用レシピ!$E:$E,0)),""),"")</f>
        <v/>
      </c>
      <c r="K980" t="str">
        <f>IFERROR(IF(INDEX(使用レシピ!L:L,MATCH(テンプレート!$C980,使用レシピ!$E:$E,0))&lt;&gt;0,INDEX(使用レシピ!L:L,MATCH(テンプレート!$C980,使用レシピ!$E:$E,0)),""),"")</f>
        <v/>
      </c>
      <c r="L980" t="str">
        <f>IFERROR(IF(INDEX(使用レシピ!M:M,MATCH(テンプレート!$C980,使用レシピ!$E:$E,0))&lt;&gt;0,INDEX(使用レシピ!M:M,MATCH(テンプレート!$C980,使用レシピ!$E:$E,0)),""),"")</f>
        <v/>
      </c>
      <c r="M980" t="str">
        <f>IFERROR(IF(INDEX(使用レシピ!N:N,MATCH(テンプレート!$C980,使用レシピ!$E:$E,0))&lt;&gt;0,INDEX(使用レシピ!N:N,MATCH(テンプレート!$C980,使用レシピ!$E:$E,0)),""),"")</f>
        <v/>
      </c>
      <c r="N980" s="24" t="str">
        <f>IFERROR(IF(INDEX(使用レシピ!O:O,MATCH(テンプレート!$C980,使用レシピ!$E:$E,0))&lt;&gt;0,INDEX(使用レシピ!O:O,MATCH(テンプレート!$C980,使用レシピ!$E:$E,0)),""),"")</f>
        <v/>
      </c>
      <c r="O980" s="36" t="str">
        <f>IFERROR(IF(INDEX(使用レシピ!P:P,MATCH(テンプレート!$C980,使用レシピ!$E:$E,0))&lt;&gt;0,INDEX(使用レシピ!P:P,MATCH(テンプレート!$C980,使用レシピ!$E:$E,0)),""),"")</f>
        <v/>
      </c>
      <c r="P980" t="str">
        <f t="shared" si="76"/>
        <v/>
      </c>
      <c r="Q980" t="str">
        <f t="shared" si="77"/>
        <v/>
      </c>
      <c r="R980" t="str">
        <f t="shared" si="78"/>
        <v/>
      </c>
      <c r="S980" t="str">
        <f t="shared" si="79"/>
        <v/>
      </c>
      <c r="T980" s="24" t="str">
        <f t="shared" si="80"/>
        <v/>
      </c>
    </row>
    <row r="981" spans="2:20" x14ac:dyDescent="0.4">
      <c r="B981" s="49" t="str" cm="1">
        <f t="array" ref="B981">IFERROR((INDEX($P$4:$T$1000,MATCH(VALUE(LEFT($A981,LEN($A981)-1)),$A$4:$A$1000,0),VALUE(RIGHT($A981,1)))/ INDEX($O$4:$O$1000,MATCH(VALUE(LEFT($A981,LEN($A981)-1)),$A$4:$A$1000))) * INDEX($B$4:$B$1000,MATCH(VALUE(LEFT($A981,LEN($A981)-1)),$A$4:$A$1000)),"")</f>
        <v/>
      </c>
      <c r="C981" s="2" t="str" cm="1">
        <f t="array" ref="C981">IFERROR(IF(INDEX($D$4:$H$1000,MATCH(VALUE(LEFT($A981,LEN($A981)-1)),$A$4:$A$1000,0),VALUE(RIGHT($A981,1)))= 0,"",INDEX($D$4:$H$1000,MATCH(VALUE(LEFT($A981,LEN($A981)-1)),$A$4:$A$1000,0),VALUE(RIGHT($A981,1)))),"")</f>
        <v/>
      </c>
      <c r="D981" s="23" t="str">
        <f>IFERROR(IF(INDEX(使用レシピ!F:F,MATCH(テンプレート!$C981,使用レシピ!$E:$E,0))&lt;&gt;0,INDEX(使用レシピ!F:F,MATCH(テンプレート!$C981,使用レシピ!$E:$E,0)),""),"")</f>
        <v/>
      </c>
      <c r="E981" t="str">
        <f>IFERROR(IF(INDEX(使用レシピ!G:G,MATCH(テンプレート!$C981,使用レシピ!$E:$E,0))&lt;&gt;0,INDEX(使用レシピ!G:G,MATCH(テンプレート!$C981,使用レシピ!$E:$E,0)),""),"")</f>
        <v/>
      </c>
      <c r="F981" t="str">
        <f>IFERROR(IF(INDEX(使用レシピ!H:H,MATCH(テンプレート!$C981,使用レシピ!$E:$E,0))&lt;&gt;0,INDEX(使用レシピ!H:H,MATCH(テンプレート!$C981,使用レシピ!$E:$E,0)),""),"")</f>
        <v/>
      </c>
      <c r="G981" t="str">
        <f>IFERROR(IF(INDEX(使用レシピ!I:I,MATCH(テンプレート!$C981,使用レシピ!$E:$E,0))&lt;&gt;0,INDEX(使用レシピ!I:I,MATCH(テンプレート!$C981,使用レシピ!$E:$E,0)),""),"")</f>
        <v/>
      </c>
      <c r="H981" s="24" t="str">
        <f>IFERROR(IF(INDEX(使用レシピ!J:J,MATCH(テンプレート!$C981,使用レシピ!$E:$E,0))&lt;&gt;0,INDEX(使用レシピ!J:J,MATCH(テンプレート!$C981,使用レシピ!$E:$E,0)),""),"")</f>
        <v/>
      </c>
      <c r="I981" s="36" t="str">
        <f>IFERROR(IF(INDEX(使用レシピ!P:P,MATCH(テンプレート!$C981,使用レシピ!$E:$E,0))&lt;&gt;0,INDEX(使用レシピ!P:P,MATCH(テンプレート!$C981,使用レシピ!$E:$E,0)),""),"")</f>
        <v/>
      </c>
      <c r="J981" t="str">
        <f>IFERROR(IF(INDEX(使用レシピ!K:K,MATCH(テンプレート!$C981,使用レシピ!$E:$E,0))&lt;&gt;0,INDEX(使用レシピ!K:K,MATCH(テンプレート!$C981,使用レシピ!$E:$E,0)),""),"")</f>
        <v/>
      </c>
      <c r="K981" t="str">
        <f>IFERROR(IF(INDEX(使用レシピ!L:L,MATCH(テンプレート!$C981,使用レシピ!$E:$E,0))&lt;&gt;0,INDEX(使用レシピ!L:L,MATCH(テンプレート!$C981,使用レシピ!$E:$E,0)),""),"")</f>
        <v/>
      </c>
      <c r="L981" t="str">
        <f>IFERROR(IF(INDEX(使用レシピ!M:M,MATCH(テンプレート!$C981,使用レシピ!$E:$E,0))&lt;&gt;0,INDEX(使用レシピ!M:M,MATCH(テンプレート!$C981,使用レシピ!$E:$E,0)),""),"")</f>
        <v/>
      </c>
      <c r="M981" t="str">
        <f>IFERROR(IF(INDEX(使用レシピ!N:N,MATCH(テンプレート!$C981,使用レシピ!$E:$E,0))&lt;&gt;0,INDEX(使用レシピ!N:N,MATCH(テンプレート!$C981,使用レシピ!$E:$E,0)),""),"")</f>
        <v/>
      </c>
      <c r="N981" s="24" t="str">
        <f>IFERROR(IF(INDEX(使用レシピ!O:O,MATCH(テンプレート!$C981,使用レシピ!$E:$E,0))&lt;&gt;0,INDEX(使用レシピ!O:O,MATCH(テンプレート!$C981,使用レシピ!$E:$E,0)),""),"")</f>
        <v/>
      </c>
      <c r="O981" s="36" t="str">
        <f>IFERROR(IF(INDEX(使用レシピ!P:P,MATCH(テンプレート!$C981,使用レシピ!$E:$E,0))&lt;&gt;0,INDEX(使用レシピ!P:P,MATCH(テンプレート!$C981,使用レシピ!$E:$E,0)),""),"")</f>
        <v/>
      </c>
      <c r="P981" t="str">
        <f t="shared" si="76"/>
        <v/>
      </c>
      <c r="Q981" t="str">
        <f t="shared" si="77"/>
        <v/>
      </c>
      <c r="R981" t="str">
        <f t="shared" si="78"/>
        <v/>
      </c>
      <c r="S981" t="str">
        <f t="shared" si="79"/>
        <v/>
      </c>
      <c r="T981" s="24" t="str">
        <f t="shared" si="80"/>
        <v/>
      </c>
    </row>
    <row r="982" spans="2:20" x14ac:dyDescent="0.4">
      <c r="B982" s="49" t="str" cm="1">
        <f t="array" ref="B982">IFERROR((INDEX($P$4:$T$1000,MATCH(VALUE(LEFT($A982,LEN($A982)-1)),$A$4:$A$1000,0),VALUE(RIGHT($A982,1)))/ INDEX($O$4:$O$1000,MATCH(VALUE(LEFT($A982,LEN($A982)-1)),$A$4:$A$1000))) * INDEX($B$4:$B$1000,MATCH(VALUE(LEFT($A982,LEN($A982)-1)),$A$4:$A$1000)),"")</f>
        <v/>
      </c>
      <c r="C982" s="2" t="str" cm="1">
        <f t="array" ref="C982">IFERROR(IF(INDEX($D$4:$H$1000,MATCH(VALUE(LEFT($A982,LEN($A982)-1)),$A$4:$A$1000,0),VALUE(RIGHT($A982,1)))= 0,"",INDEX($D$4:$H$1000,MATCH(VALUE(LEFT($A982,LEN($A982)-1)),$A$4:$A$1000,0),VALUE(RIGHT($A982,1)))),"")</f>
        <v/>
      </c>
      <c r="D982" s="23" t="str">
        <f>IFERROR(IF(INDEX(使用レシピ!F:F,MATCH(テンプレート!$C982,使用レシピ!$E:$E,0))&lt;&gt;0,INDEX(使用レシピ!F:F,MATCH(テンプレート!$C982,使用レシピ!$E:$E,0)),""),"")</f>
        <v/>
      </c>
      <c r="E982" t="str">
        <f>IFERROR(IF(INDEX(使用レシピ!G:G,MATCH(テンプレート!$C982,使用レシピ!$E:$E,0))&lt;&gt;0,INDEX(使用レシピ!G:G,MATCH(テンプレート!$C982,使用レシピ!$E:$E,0)),""),"")</f>
        <v/>
      </c>
      <c r="F982" t="str">
        <f>IFERROR(IF(INDEX(使用レシピ!H:H,MATCH(テンプレート!$C982,使用レシピ!$E:$E,0))&lt;&gt;0,INDEX(使用レシピ!H:H,MATCH(テンプレート!$C982,使用レシピ!$E:$E,0)),""),"")</f>
        <v/>
      </c>
      <c r="G982" t="str">
        <f>IFERROR(IF(INDEX(使用レシピ!I:I,MATCH(テンプレート!$C982,使用レシピ!$E:$E,0))&lt;&gt;0,INDEX(使用レシピ!I:I,MATCH(テンプレート!$C982,使用レシピ!$E:$E,0)),""),"")</f>
        <v/>
      </c>
      <c r="H982" s="24" t="str">
        <f>IFERROR(IF(INDEX(使用レシピ!J:J,MATCH(テンプレート!$C982,使用レシピ!$E:$E,0))&lt;&gt;0,INDEX(使用レシピ!J:J,MATCH(テンプレート!$C982,使用レシピ!$E:$E,0)),""),"")</f>
        <v/>
      </c>
      <c r="I982" s="36" t="str">
        <f>IFERROR(IF(INDEX(使用レシピ!P:P,MATCH(テンプレート!$C982,使用レシピ!$E:$E,0))&lt;&gt;0,INDEX(使用レシピ!P:P,MATCH(テンプレート!$C982,使用レシピ!$E:$E,0)),""),"")</f>
        <v/>
      </c>
      <c r="J982" t="str">
        <f>IFERROR(IF(INDEX(使用レシピ!K:K,MATCH(テンプレート!$C982,使用レシピ!$E:$E,0))&lt;&gt;0,INDEX(使用レシピ!K:K,MATCH(テンプレート!$C982,使用レシピ!$E:$E,0)),""),"")</f>
        <v/>
      </c>
      <c r="K982" t="str">
        <f>IFERROR(IF(INDEX(使用レシピ!L:L,MATCH(テンプレート!$C982,使用レシピ!$E:$E,0))&lt;&gt;0,INDEX(使用レシピ!L:L,MATCH(テンプレート!$C982,使用レシピ!$E:$E,0)),""),"")</f>
        <v/>
      </c>
      <c r="L982" t="str">
        <f>IFERROR(IF(INDEX(使用レシピ!M:M,MATCH(テンプレート!$C982,使用レシピ!$E:$E,0))&lt;&gt;0,INDEX(使用レシピ!M:M,MATCH(テンプレート!$C982,使用レシピ!$E:$E,0)),""),"")</f>
        <v/>
      </c>
      <c r="M982" t="str">
        <f>IFERROR(IF(INDEX(使用レシピ!N:N,MATCH(テンプレート!$C982,使用レシピ!$E:$E,0))&lt;&gt;0,INDEX(使用レシピ!N:N,MATCH(テンプレート!$C982,使用レシピ!$E:$E,0)),""),"")</f>
        <v/>
      </c>
      <c r="N982" s="24" t="str">
        <f>IFERROR(IF(INDEX(使用レシピ!O:O,MATCH(テンプレート!$C982,使用レシピ!$E:$E,0))&lt;&gt;0,INDEX(使用レシピ!O:O,MATCH(テンプレート!$C982,使用レシピ!$E:$E,0)),""),"")</f>
        <v/>
      </c>
      <c r="O982" s="36" t="str">
        <f>IFERROR(IF(INDEX(使用レシピ!P:P,MATCH(テンプレート!$C982,使用レシピ!$E:$E,0))&lt;&gt;0,INDEX(使用レシピ!P:P,MATCH(テンプレート!$C982,使用レシピ!$E:$E,0)),""),"")</f>
        <v/>
      </c>
      <c r="P982" t="str">
        <f t="shared" si="76"/>
        <v/>
      </c>
      <c r="Q982" t="str">
        <f t="shared" si="77"/>
        <v/>
      </c>
      <c r="R982" t="str">
        <f t="shared" si="78"/>
        <v/>
      </c>
      <c r="S982" t="str">
        <f t="shared" si="79"/>
        <v/>
      </c>
      <c r="T982" s="24" t="str">
        <f t="shared" si="80"/>
        <v/>
      </c>
    </row>
    <row r="983" spans="2:20" x14ac:dyDescent="0.4">
      <c r="B983" s="49" t="str" cm="1">
        <f t="array" ref="B983">IFERROR((INDEX($P$4:$T$1000,MATCH(VALUE(LEFT($A983,LEN($A983)-1)),$A$4:$A$1000,0),VALUE(RIGHT($A983,1)))/ INDEX($O$4:$O$1000,MATCH(VALUE(LEFT($A983,LEN($A983)-1)),$A$4:$A$1000))) * INDEX($B$4:$B$1000,MATCH(VALUE(LEFT($A983,LEN($A983)-1)),$A$4:$A$1000)),"")</f>
        <v/>
      </c>
      <c r="C983" s="2" t="str" cm="1">
        <f t="array" ref="C983">IFERROR(IF(INDEX($D$4:$H$1000,MATCH(VALUE(LEFT($A983,LEN($A983)-1)),$A$4:$A$1000,0),VALUE(RIGHT($A983,1)))= 0,"",INDEX($D$4:$H$1000,MATCH(VALUE(LEFT($A983,LEN($A983)-1)),$A$4:$A$1000,0),VALUE(RIGHT($A983,1)))),"")</f>
        <v/>
      </c>
      <c r="D983" s="23" t="str">
        <f>IFERROR(IF(INDEX(使用レシピ!F:F,MATCH(テンプレート!$C983,使用レシピ!$E:$E,0))&lt;&gt;0,INDEX(使用レシピ!F:F,MATCH(テンプレート!$C983,使用レシピ!$E:$E,0)),""),"")</f>
        <v/>
      </c>
      <c r="E983" t="str">
        <f>IFERROR(IF(INDEX(使用レシピ!G:G,MATCH(テンプレート!$C983,使用レシピ!$E:$E,0))&lt;&gt;0,INDEX(使用レシピ!G:G,MATCH(テンプレート!$C983,使用レシピ!$E:$E,0)),""),"")</f>
        <v/>
      </c>
      <c r="F983" t="str">
        <f>IFERROR(IF(INDEX(使用レシピ!H:H,MATCH(テンプレート!$C983,使用レシピ!$E:$E,0))&lt;&gt;0,INDEX(使用レシピ!H:H,MATCH(テンプレート!$C983,使用レシピ!$E:$E,0)),""),"")</f>
        <v/>
      </c>
      <c r="G983" t="str">
        <f>IFERROR(IF(INDEX(使用レシピ!I:I,MATCH(テンプレート!$C983,使用レシピ!$E:$E,0))&lt;&gt;0,INDEX(使用レシピ!I:I,MATCH(テンプレート!$C983,使用レシピ!$E:$E,0)),""),"")</f>
        <v/>
      </c>
      <c r="H983" s="24" t="str">
        <f>IFERROR(IF(INDEX(使用レシピ!J:J,MATCH(テンプレート!$C983,使用レシピ!$E:$E,0))&lt;&gt;0,INDEX(使用レシピ!J:J,MATCH(テンプレート!$C983,使用レシピ!$E:$E,0)),""),"")</f>
        <v/>
      </c>
      <c r="I983" s="36" t="str">
        <f>IFERROR(IF(INDEX(使用レシピ!P:P,MATCH(テンプレート!$C983,使用レシピ!$E:$E,0))&lt;&gt;0,INDEX(使用レシピ!P:P,MATCH(テンプレート!$C983,使用レシピ!$E:$E,0)),""),"")</f>
        <v/>
      </c>
      <c r="J983" t="str">
        <f>IFERROR(IF(INDEX(使用レシピ!K:K,MATCH(テンプレート!$C983,使用レシピ!$E:$E,0))&lt;&gt;0,INDEX(使用レシピ!K:K,MATCH(テンプレート!$C983,使用レシピ!$E:$E,0)),""),"")</f>
        <v/>
      </c>
      <c r="K983" t="str">
        <f>IFERROR(IF(INDEX(使用レシピ!L:L,MATCH(テンプレート!$C983,使用レシピ!$E:$E,0))&lt;&gt;0,INDEX(使用レシピ!L:L,MATCH(テンプレート!$C983,使用レシピ!$E:$E,0)),""),"")</f>
        <v/>
      </c>
      <c r="L983" t="str">
        <f>IFERROR(IF(INDEX(使用レシピ!M:M,MATCH(テンプレート!$C983,使用レシピ!$E:$E,0))&lt;&gt;0,INDEX(使用レシピ!M:M,MATCH(テンプレート!$C983,使用レシピ!$E:$E,0)),""),"")</f>
        <v/>
      </c>
      <c r="M983" t="str">
        <f>IFERROR(IF(INDEX(使用レシピ!N:N,MATCH(テンプレート!$C983,使用レシピ!$E:$E,0))&lt;&gt;0,INDEX(使用レシピ!N:N,MATCH(テンプレート!$C983,使用レシピ!$E:$E,0)),""),"")</f>
        <v/>
      </c>
      <c r="N983" s="24" t="str">
        <f>IFERROR(IF(INDEX(使用レシピ!O:O,MATCH(テンプレート!$C983,使用レシピ!$E:$E,0))&lt;&gt;0,INDEX(使用レシピ!O:O,MATCH(テンプレート!$C983,使用レシピ!$E:$E,0)),""),"")</f>
        <v/>
      </c>
      <c r="O983" s="36" t="str">
        <f>IFERROR(IF(INDEX(使用レシピ!P:P,MATCH(テンプレート!$C983,使用レシピ!$E:$E,0))&lt;&gt;0,INDEX(使用レシピ!P:P,MATCH(テンプレート!$C983,使用レシピ!$E:$E,0)),""),"")</f>
        <v/>
      </c>
      <c r="P983" t="str">
        <f t="shared" si="76"/>
        <v/>
      </c>
      <c r="Q983" t="str">
        <f t="shared" si="77"/>
        <v/>
      </c>
      <c r="R983" t="str">
        <f t="shared" si="78"/>
        <v/>
      </c>
      <c r="S983" t="str">
        <f t="shared" si="79"/>
        <v/>
      </c>
      <c r="T983" s="24" t="str">
        <f t="shared" si="80"/>
        <v/>
      </c>
    </row>
    <row r="984" spans="2:20" x14ac:dyDescent="0.4">
      <c r="B984" s="49" t="str" cm="1">
        <f t="array" ref="B984">IFERROR((INDEX($P$4:$T$1000,MATCH(VALUE(LEFT($A984,LEN($A984)-1)),$A$4:$A$1000,0),VALUE(RIGHT($A984,1)))/ INDEX($O$4:$O$1000,MATCH(VALUE(LEFT($A984,LEN($A984)-1)),$A$4:$A$1000))) * INDEX($B$4:$B$1000,MATCH(VALUE(LEFT($A984,LEN($A984)-1)),$A$4:$A$1000)),"")</f>
        <v/>
      </c>
      <c r="C984" s="2" t="str" cm="1">
        <f t="array" ref="C984">IFERROR(IF(INDEX($D$4:$H$1000,MATCH(VALUE(LEFT($A984,LEN($A984)-1)),$A$4:$A$1000,0),VALUE(RIGHT($A984,1)))= 0,"",INDEX($D$4:$H$1000,MATCH(VALUE(LEFT($A984,LEN($A984)-1)),$A$4:$A$1000,0),VALUE(RIGHT($A984,1)))),"")</f>
        <v/>
      </c>
      <c r="D984" s="23" t="str">
        <f>IFERROR(IF(INDEX(使用レシピ!F:F,MATCH(テンプレート!$C984,使用レシピ!$E:$E,0))&lt;&gt;0,INDEX(使用レシピ!F:F,MATCH(テンプレート!$C984,使用レシピ!$E:$E,0)),""),"")</f>
        <v/>
      </c>
      <c r="E984" t="str">
        <f>IFERROR(IF(INDEX(使用レシピ!G:G,MATCH(テンプレート!$C984,使用レシピ!$E:$E,0))&lt;&gt;0,INDEX(使用レシピ!G:G,MATCH(テンプレート!$C984,使用レシピ!$E:$E,0)),""),"")</f>
        <v/>
      </c>
      <c r="F984" t="str">
        <f>IFERROR(IF(INDEX(使用レシピ!H:H,MATCH(テンプレート!$C984,使用レシピ!$E:$E,0))&lt;&gt;0,INDEX(使用レシピ!H:H,MATCH(テンプレート!$C984,使用レシピ!$E:$E,0)),""),"")</f>
        <v/>
      </c>
      <c r="G984" t="str">
        <f>IFERROR(IF(INDEX(使用レシピ!I:I,MATCH(テンプレート!$C984,使用レシピ!$E:$E,0))&lt;&gt;0,INDEX(使用レシピ!I:I,MATCH(テンプレート!$C984,使用レシピ!$E:$E,0)),""),"")</f>
        <v/>
      </c>
      <c r="H984" s="24" t="str">
        <f>IFERROR(IF(INDEX(使用レシピ!J:J,MATCH(テンプレート!$C984,使用レシピ!$E:$E,0))&lt;&gt;0,INDEX(使用レシピ!J:J,MATCH(テンプレート!$C984,使用レシピ!$E:$E,0)),""),"")</f>
        <v/>
      </c>
      <c r="I984" s="36" t="str">
        <f>IFERROR(IF(INDEX(使用レシピ!P:P,MATCH(テンプレート!$C984,使用レシピ!$E:$E,0))&lt;&gt;0,INDEX(使用レシピ!P:P,MATCH(テンプレート!$C984,使用レシピ!$E:$E,0)),""),"")</f>
        <v/>
      </c>
      <c r="J984" t="str">
        <f>IFERROR(IF(INDEX(使用レシピ!K:K,MATCH(テンプレート!$C984,使用レシピ!$E:$E,0))&lt;&gt;0,INDEX(使用レシピ!K:K,MATCH(テンプレート!$C984,使用レシピ!$E:$E,0)),""),"")</f>
        <v/>
      </c>
      <c r="K984" t="str">
        <f>IFERROR(IF(INDEX(使用レシピ!L:L,MATCH(テンプレート!$C984,使用レシピ!$E:$E,0))&lt;&gt;0,INDEX(使用レシピ!L:L,MATCH(テンプレート!$C984,使用レシピ!$E:$E,0)),""),"")</f>
        <v/>
      </c>
      <c r="L984" t="str">
        <f>IFERROR(IF(INDEX(使用レシピ!M:M,MATCH(テンプレート!$C984,使用レシピ!$E:$E,0))&lt;&gt;0,INDEX(使用レシピ!M:M,MATCH(テンプレート!$C984,使用レシピ!$E:$E,0)),""),"")</f>
        <v/>
      </c>
      <c r="M984" t="str">
        <f>IFERROR(IF(INDEX(使用レシピ!N:N,MATCH(テンプレート!$C984,使用レシピ!$E:$E,0))&lt;&gt;0,INDEX(使用レシピ!N:N,MATCH(テンプレート!$C984,使用レシピ!$E:$E,0)),""),"")</f>
        <v/>
      </c>
      <c r="N984" s="24" t="str">
        <f>IFERROR(IF(INDEX(使用レシピ!O:O,MATCH(テンプレート!$C984,使用レシピ!$E:$E,0))&lt;&gt;0,INDEX(使用レシピ!O:O,MATCH(テンプレート!$C984,使用レシピ!$E:$E,0)),""),"")</f>
        <v/>
      </c>
      <c r="O984" s="36" t="str">
        <f>IFERROR(IF(INDEX(使用レシピ!P:P,MATCH(テンプレート!$C984,使用レシピ!$E:$E,0))&lt;&gt;0,INDEX(使用レシピ!P:P,MATCH(テンプレート!$C984,使用レシピ!$E:$E,0)),""),"")</f>
        <v/>
      </c>
      <c r="P984" t="str">
        <f t="shared" si="76"/>
        <v/>
      </c>
      <c r="Q984" t="str">
        <f t="shared" si="77"/>
        <v/>
      </c>
      <c r="R984" t="str">
        <f t="shared" si="78"/>
        <v/>
      </c>
      <c r="S984" t="str">
        <f t="shared" si="79"/>
        <v/>
      </c>
      <c r="T984" s="24" t="str">
        <f t="shared" si="80"/>
        <v/>
      </c>
    </row>
    <row r="985" spans="2:20" x14ac:dyDescent="0.4">
      <c r="B985" s="49" t="str" cm="1">
        <f t="array" ref="B985">IFERROR((INDEX($P$4:$T$1000,MATCH(VALUE(LEFT($A985,LEN($A985)-1)),$A$4:$A$1000,0),VALUE(RIGHT($A985,1)))/ INDEX($O$4:$O$1000,MATCH(VALUE(LEFT($A985,LEN($A985)-1)),$A$4:$A$1000))) * INDEX($B$4:$B$1000,MATCH(VALUE(LEFT($A985,LEN($A985)-1)),$A$4:$A$1000)),"")</f>
        <v/>
      </c>
      <c r="C985" s="2" t="str" cm="1">
        <f t="array" ref="C985">IFERROR(IF(INDEX($D$4:$H$1000,MATCH(VALUE(LEFT($A985,LEN($A985)-1)),$A$4:$A$1000,0),VALUE(RIGHT($A985,1)))= 0,"",INDEX($D$4:$H$1000,MATCH(VALUE(LEFT($A985,LEN($A985)-1)),$A$4:$A$1000,0),VALUE(RIGHT($A985,1)))),"")</f>
        <v/>
      </c>
      <c r="D985" s="23" t="str">
        <f>IFERROR(IF(INDEX(使用レシピ!F:F,MATCH(テンプレート!$C985,使用レシピ!$E:$E,0))&lt;&gt;0,INDEX(使用レシピ!F:F,MATCH(テンプレート!$C985,使用レシピ!$E:$E,0)),""),"")</f>
        <v/>
      </c>
      <c r="E985" t="str">
        <f>IFERROR(IF(INDEX(使用レシピ!G:G,MATCH(テンプレート!$C985,使用レシピ!$E:$E,0))&lt;&gt;0,INDEX(使用レシピ!G:G,MATCH(テンプレート!$C985,使用レシピ!$E:$E,0)),""),"")</f>
        <v/>
      </c>
      <c r="F985" t="str">
        <f>IFERROR(IF(INDEX(使用レシピ!H:H,MATCH(テンプレート!$C985,使用レシピ!$E:$E,0))&lt;&gt;0,INDEX(使用レシピ!H:H,MATCH(テンプレート!$C985,使用レシピ!$E:$E,0)),""),"")</f>
        <v/>
      </c>
      <c r="G985" t="str">
        <f>IFERROR(IF(INDEX(使用レシピ!I:I,MATCH(テンプレート!$C985,使用レシピ!$E:$E,0))&lt;&gt;0,INDEX(使用レシピ!I:I,MATCH(テンプレート!$C985,使用レシピ!$E:$E,0)),""),"")</f>
        <v/>
      </c>
      <c r="H985" s="24" t="str">
        <f>IFERROR(IF(INDEX(使用レシピ!J:J,MATCH(テンプレート!$C985,使用レシピ!$E:$E,0))&lt;&gt;0,INDEX(使用レシピ!J:J,MATCH(テンプレート!$C985,使用レシピ!$E:$E,0)),""),"")</f>
        <v/>
      </c>
      <c r="I985" s="36" t="str">
        <f>IFERROR(IF(INDEX(使用レシピ!P:P,MATCH(テンプレート!$C985,使用レシピ!$E:$E,0))&lt;&gt;0,INDEX(使用レシピ!P:P,MATCH(テンプレート!$C985,使用レシピ!$E:$E,0)),""),"")</f>
        <v/>
      </c>
      <c r="J985" t="str">
        <f>IFERROR(IF(INDEX(使用レシピ!K:K,MATCH(テンプレート!$C985,使用レシピ!$E:$E,0))&lt;&gt;0,INDEX(使用レシピ!K:K,MATCH(テンプレート!$C985,使用レシピ!$E:$E,0)),""),"")</f>
        <v/>
      </c>
      <c r="K985" t="str">
        <f>IFERROR(IF(INDEX(使用レシピ!L:L,MATCH(テンプレート!$C985,使用レシピ!$E:$E,0))&lt;&gt;0,INDEX(使用レシピ!L:L,MATCH(テンプレート!$C985,使用レシピ!$E:$E,0)),""),"")</f>
        <v/>
      </c>
      <c r="L985" t="str">
        <f>IFERROR(IF(INDEX(使用レシピ!M:M,MATCH(テンプレート!$C985,使用レシピ!$E:$E,0))&lt;&gt;0,INDEX(使用レシピ!M:M,MATCH(テンプレート!$C985,使用レシピ!$E:$E,0)),""),"")</f>
        <v/>
      </c>
      <c r="M985" t="str">
        <f>IFERROR(IF(INDEX(使用レシピ!N:N,MATCH(テンプレート!$C985,使用レシピ!$E:$E,0))&lt;&gt;0,INDEX(使用レシピ!N:N,MATCH(テンプレート!$C985,使用レシピ!$E:$E,0)),""),"")</f>
        <v/>
      </c>
      <c r="N985" s="24" t="str">
        <f>IFERROR(IF(INDEX(使用レシピ!O:O,MATCH(テンプレート!$C985,使用レシピ!$E:$E,0))&lt;&gt;0,INDEX(使用レシピ!O:O,MATCH(テンプレート!$C985,使用レシピ!$E:$E,0)),""),"")</f>
        <v/>
      </c>
      <c r="O985" s="36" t="str">
        <f>IFERROR(IF(INDEX(使用レシピ!P:P,MATCH(テンプレート!$C985,使用レシピ!$E:$E,0))&lt;&gt;0,INDEX(使用レシピ!P:P,MATCH(テンプレート!$C985,使用レシピ!$E:$E,0)),""),"")</f>
        <v/>
      </c>
      <c r="P985" t="str">
        <f t="shared" si="76"/>
        <v/>
      </c>
      <c r="Q985" t="str">
        <f t="shared" si="77"/>
        <v/>
      </c>
      <c r="R985" t="str">
        <f t="shared" si="78"/>
        <v/>
      </c>
      <c r="S985" t="str">
        <f t="shared" si="79"/>
        <v/>
      </c>
      <c r="T985" s="24" t="str">
        <f t="shared" si="80"/>
        <v/>
      </c>
    </row>
    <row r="986" spans="2:20" x14ac:dyDescent="0.4">
      <c r="B986" s="49" t="str" cm="1">
        <f t="array" ref="B986">IFERROR((INDEX($P$4:$T$1000,MATCH(VALUE(LEFT($A986,LEN($A986)-1)),$A$4:$A$1000,0),VALUE(RIGHT($A986,1)))/ INDEX($O$4:$O$1000,MATCH(VALUE(LEFT($A986,LEN($A986)-1)),$A$4:$A$1000))) * INDEX($B$4:$B$1000,MATCH(VALUE(LEFT($A986,LEN($A986)-1)),$A$4:$A$1000)),"")</f>
        <v/>
      </c>
      <c r="C986" s="2" t="str" cm="1">
        <f t="array" ref="C986">IFERROR(IF(INDEX($D$4:$H$1000,MATCH(VALUE(LEFT($A986,LEN($A986)-1)),$A$4:$A$1000,0),VALUE(RIGHT($A986,1)))= 0,"",INDEX($D$4:$H$1000,MATCH(VALUE(LEFT($A986,LEN($A986)-1)),$A$4:$A$1000,0),VALUE(RIGHT($A986,1)))),"")</f>
        <v/>
      </c>
      <c r="D986" s="23" t="str">
        <f>IFERROR(IF(INDEX(使用レシピ!F:F,MATCH(テンプレート!$C986,使用レシピ!$E:$E,0))&lt;&gt;0,INDEX(使用レシピ!F:F,MATCH(テンプレート!$C986,使用レシピ!$E:$E,0)),""),"")</f>
        <v/>
      </c>
      <c r="E986" t="str">
        <f>IFERROR(IF(INDEX(使用レシピ!G:G,MATCH(テンプレート!$C986,使用レシピ!$E:$E,0))&lt;&gt;0,INDEX(使用レシピ!G:G,MATCH(テンプレート!$C986,使用レシピ!$E:$E,0)),""),"")</f>
        <v/>
      </c>
      <c r="F986" t="str">
        <f>IFERROR(IF(INDEX(使用レシピ!H:H,MATCH(テンプレート!$C986,使用レシピ!$E:$E,0))&lt;&gt;0,INDEX(使用レシピ!H:H,MATCH(テンプレート!$C986,使用レシピ!$E:$E,0)),""),"")</f>
        <v/>
      </c>
      <c r="G986" t="str">
        <f>IFERROR(IF(INDEX(使用レシピ!I:I,MATCH(テンプレート!$C986,使用レシピ!$E:$E,0))&lt;&gt;0,INDEX(使用レシピ!I:I,MATCH(テンプレート!$C986,使用レシピ!$E:$E,0)),""),"")</f>
        <v/>
      </c>
      <c r="H986" s="24" t="str">
        <f>IFERROR(IF(INDEX(使用レシピ!J:J,MATCH(テンプレート!$C986,使用レシピ!$E:$E,0))&lt;&gt;0,INDEX(使用レシピ!J:J,MATCH(テンプレート!$C986,使用レシピ!$E:$E,0)),""),"")</f>
        <v/>
      </c>
      <c r="I986" s="36" t="str">
        <f>IFERROR(IF(INDEX(使用レシピ!P:P,MATCH(テンプレート!$C986,使用レシピ!$E:$E,0))&lt;&gt;0,INDEX(使用レシピ!P:P,MATCH(テンプレート!$C986,使用レシピ!$E:$E,0)),""),"")</f>
        <v/>
      </c>
      <c r="J986" t="str">
        <f>IFERROR(IF(INDEX(使用レシピ!K:K,MATCH(テンプレート!$C986,使用レシピ!$E:$E,0))&lt;&gt;0,INDEX(使用レシピ!K:K,MATCH(テンプレート!$C986,使用レシピ!$E:$E,0)),""),"")</f>
        <v/>
      </c>
      <c r="K986" t="str">
        <f>IFERROR(IF(INDEX(使用レシピ!L:L,MATCH(テンプレート!$C986,使用レシピ!$E:$E,0))&lt;&gt;0,INDEX(使用レシピ!L:L,MATCH(テンプレート!$C986,使用レシピ!$E:$E,0)),""),"")</f>
        <v/>
      </c>
      <c r="L986" t="str">
        <f>IFERROR(IF(INDEX(使用レシピ!M:M,MATCH(テンプレート!$C986,使用レシピ!$E:$E,0))&lt;&gt;0,INDEX(使用レシピ!M:M,MATCH(テンプレート!$C986,使用レシピ!$E:$E,0)),""),"")</f>
        <v/>
      </c>
      <c r="M986" t="str">
        <f>IFERROR(IF(INDEX(使用レシピ!N:N,MATCH(テンプレート!$C986,使用レシピ!$E:$E,0))&lt;&gt;0,INDEX(使用レシピ!N:N,MATCH(テンプレート!$C986,使用レシピ!$E:$E,0)),""),"")</f>
        <v/>
      </c>
      <c r="N986" s="24" t="str">
        <f>IFERROR(IF(INDEX(使用レシピ!O:O,MATCH(テンプレート!$C986,使用レシピ!$E:$E,0))&lt;&gt;0,INDEX(使用レシピ!O:O,MATCH(テンプレート!$C986,使用レシピ!$E:$E,0)),""),"")</f>
        <v/>
      </c>
      <c r="O986" s="36" t="str">
        <f>IFERROR(IF(INDEX(使用レシピ!P:P,MATCH(テンプレート!$C986,使用レシピ!$E:$E,0))&lt;&gt;0,INDEX(使用レシピ!P:P,MATCH(テンプレート!$C986,使用レシピ!$E:$E,0)),""),"")</f>
        <v/>
      </c>
      <c r="P986" t="str">
        <f t="shared" si="76"/>
        <v/>
      </c>
      <c r="Q986" t="str">
        <f t="shared" si="77"/>
        <v/>
      </c>
      <c r="R986" t="str">
        <f t="shared" si="78"/>
        <v/>
      </c>
      <c r="S986" t="str">
        <f t="shared" si="79"/>
        <v/>
      </c>
      <c r="T986" s="24" t="str">
        <f t="shared" si="80"/>
        <v/>
      </c>
    </row>
    <row r="987" spans="2:20" x14ac:dyDescent="0.4">
      <c r="B987" s="49" t="str" cm="1">
        <f t="array" ref="B987">IFERROR((INDEX($P$4:$T$1000,MATCH(VALUE(LEFT($A987,LEN($A987)-1)),$A$4:$A$1000,0),VALUE(RIGHT($A987,1)))/ INDEX($O$4:$O$1000,MATCH(VALUE(LEFT($A987,LEN($A987)-1)),$A$4:$A$1000))) * INDEX($B$4:$B$1000,MATCH(VALUE(LEFT($A987,LEN($A987)-1)),$A$4:$A$1000)),"")</f>
        <v/>
      </c>
      <c r="C987" s="2" t="str" cm="1">
        <f t="array" ref="C987">IFERROR(IF(INDEX($D$4:$H$1000,MATCH(VALUE(LEFT($A987,LEN($A987)-1)),$A$4:$A$1000,0),VALUE(RIGHT($A987,1)))= 0,"",INDEX($D$4:$H$1000,MATCH(VALUE(LEFT($A987,LEN($A987)-1)),$A$4:$A$1000,0),VALUE(RIGHT($A987,1)))),"")</f>
        <v/>
      </c>
      <c r="D987" s="23" t="str">
        <f>IFERROR(IF(INDEX(使用レシピ!F:F,MATCH(テンプレート!$C987,使用レシピ!$E:$E,0))&lt;&gt;0,INDEX(使用レシピ!F:F,MATCH(テンプレート!$C987,使用レシピ!$E:$E,0)),""),"")</f>
        <v/>
      </c>
      <c r="E987" t="str">
        <f>IFERROR(IF(INDEX(使用レシピ!G:G,MATCH(テンプレート!$C987,使用レシピ!$E:$E,0))&lt;&gt;0,INDEX(使用レシピ!G:G,MATCH(テンプレート!$C987,使用レシピ!$E:$E,0)),""),"")</f>
        <v/>
      </c>
      <c r="F987" t="str">
        <f>IFERROR(IF(INDEX(使用レシピ!H:H,MATCH(テンプレート!$C987,使用レシピ!$E:$E,0))&lt;&gt;0,INDEX(使用レシピ!H:H,MATCH(テンプレート!$C987,使用レシピ!$E:$E,0)),""),"")</f>
        <v/>
      </c>
      <c r="G987" t="str">
        <f>IFERROR(IF(INDEX(使用レシピ!I:I,MATCH(テンプレート!$C987,使用レシピ!$E:$E,0))&lt;&gt;0,INDEX(使用レシピ!I:I,MATCH(テンプレート!$C987,使用レシピ!$E:$E,0)),""),"")</f>
        <v/>
      </c>
      <c r="H987" s="24" t="str">
        <f>IFERROR(IF(INDEX(使用レシピ!J:J,MATCH(テンプレート!$C987,使用レシピ!$E:$E,0))&lt;&gt;0,INDEX(使用レシピ!J:J,MATCH(テンプレート!$C987,使用レシピ!$E:$E,0)),""),"")</f>
        <v/>
      </c>
      <c r="I987" s="36" t="str">
        <f>IFERROR(IF(INDEX(使用レシピ!P:P,MATCH(テンプレート!$C987,使用レシピ!$E:$E,0))&lt;&gt;0,INDEX(使用レシピ!P:P,MATCH(テンプレート!$C987,使用レシピ!$E:$E,0)),""),"")</f>
        <v/>
      </c>
      <c r="J987" t="str">
        <f>IFERROR(IF(INDEX(使用レシピ!K:K,MATCH(テンプレート!$C987,使用レシピ!$E:$E,0))&lt;&gt;0,INDEX(使用レシピ!K:K,MATCH(テンプレート!$C987,使用レシピ!$E:$E,0)),""),"")</f>
        <v/>
      </c>
      <c r="K987" t="str">
        <f>IFERROR(IF(INDEX(使用レシピ!L:L,MATCH(テンプレート!$C987,使用レシピ!$E:$E,0))&lt;&gt;0,INDEX(使用レシピ!L:L,MATCH(テンプレート!$C987,使用レシピ!$E:$E,0)),""),"")</f>
        <v/>
      </c>
      <c r="L987" t="str">
        <f>IFERROR(IF(INDEX(使用レシピ!M:M,MATCH(テンプレート!$C987,使用レシピ!$E:$E,0))&lt;&gt;0,INDEX(使用レシピ!M:M,MATCH(テンプレート!$C987,使用レシピ!$E:$E,0)),""),"")</f>
        <v/>
      </c>
      <c r="M987" t="str">
        <f>IFERROR(IF(INDEX(使用レシピ!N:N,MATCH(テンプレート!$C987,使用レシピ!$E:$E,0))&lt;&gt;0,INDEX(使用レシピ!N:N,MATCH(テンプレート!$C987,使用レシピ!$E:$E,0)),""),"")</f>
        <v/>
      </c>
      <c r="N987" s="24" t="str">
        <f>IFERROR(IF(INDEX(使用レシピ!O:O,MATCH(テンプレート!$C987,使用レシピ!$E:$E,0))&lt;&gt;0,INDEX(使用レシピ!O:O,MATCH(テンプレート!$C987,使用レシピ!$E:$E,0)),""),"")</f>
        <v/>
      </c>
      <c r="O987" s="36" t="str">
        <f>IFERROR(IF(INDEX(使用レシピ!P:P,MATCH(テンプレート!$C987,使用レシピ!$E:$E,0))&lt;&gt;0,INDEX(使用レシピ!P:P,MATCH(テンプレート!$C987,使用レシピ!$E:$E,0)),""),"")</f>
        <v/>
      </c>
      <c r="P987" t="str">
        <f t="shared" si="76"/>
        <v/>
      </c>
      <c r="Q987" t="str">
        <f t="shared" si="77"/>
        <v/>
      </c>
      <c r="R987" t="str">
        <f t="shared" si="78"/>
        <v/>
      </c>
      <c r="S987" t="str">
        <f t="shared" si="79"/>
        <v/>
      </c>
      <c r="T987" s="24" t="str">
        <f t="shared" si="80"/>
        <v/>
      </c>
    </row>
    <row r="988" spans="2:20" x14ac:dyDescent="0.4">
      <c r="B988" s="49" t="str" cm="1">
        <f t="array" ref="B988">IFERROR((INDEX($P$4:$T$1000,MATCH(VALUE(LEFT($A988,LEN($A988)-1)),$A$4:$A$1000,0),VALUE(RIGHT($A988,1)))/ INDEX($O$4:$O$1000,MATCH(VALUE(LEFT($A988,LEN($A988)-1)),$A$4:$A$1000))) * INDEX($B$4:$B$1000,MATCH(VALUE(LEFT($A988,LEN($A988)-1)),$A$4:$A$1000)),"")</f>
        <v/>
      </c>
      <c r="C988" s="2" t="str" cm="1">
        <f t="array" ref="C988">IFERROR(IF(INDEX($D$4:$H$1000,MATCH(VALUE(LEFT($A988,LEN($A988)-1)),$A$4:$A$1000,0),VALUE(RIGHT($A988,1)))= 0,"",INDEX($D$4:$H$1000,MATCH(VALUE(LEFT($A988,LEN($A988)-1)),$A$4:$A$1000,0),VALUE(RIGHT($A988,1)))),"")</f>
        <v/>
      </c>
      <c r="D988" s="23" t="str">
        <f>IFERROR(IF(INDEX(使用レシピ!F:F,MATCH(テンプレート!$C988,使用レシピ!$E:$E,0))&lt;&gt;0,INDEX(使用レシピ!F:F,MATCH(テンプレート!$C988,使用レシピ!$E:$E,0)),""),"")</f>
        <v/>
      </c>
      <c r="E988" t="str">
        <f>IFERROR(IF(INDEX(使用レシピ!G:G,MATCH(テンプレート!$C988,使用レシピ!$E:$E,0))&lt;&gt;0,INDEX(使用レシピ!G:G,MATCH(テンプレート!$C988,使用レシピ!$E:$E,0)),""),"")</f>
        <v/>
      </c>
      <c r="F988" t="str">
        <f>IFERROR(IF(INDEX(使用レシピ!H:H,MATCH(テンプレート!$C988,使用レシピ!$E:$E,0))&lt;&gt;0,INDEX(使用レシピ!H:H,MATCH(テンプレート!$C988,使用レシピ!$E:$E,0)),""),"")</f>
        <v/>
      </c>
      <c r="G988" t="str">
        <f>IFERROR(IF(INDEX(使用レシピ!I:I,MATCH(テンプレート!$C988,使用レシピ!$E:$E,0))&lt;&gt;0,INDEX(使用レシピ!I:I,MATCH(テンプレート!$C988,使用レシピ!$E:$E,0)),""),"")</f>
        <v/>
      </c>
      <c r="H988" s="24" t="str">
        <f>IFERROR(IF(INDEX(使用レシピ!J:J,MATCH(テンプレート!$C988,使用レシピ!$E:$E,0))&lt;&gt;0,INDEX(使用レシピ!J:J,MATCH(テンプレート!$C988,使用レシピ!$E:$E,0)),""),"")</f>
        <v/>
      </c>
      <c r="I988" s="36" t="str">
        <f>IFERROR(IF(INDEX(使用レシピ!P:P,MATCH(テンプレート!$C988,使用レシピ!$E:$E,0))&lt;&gt;0,INDEX(使用レシピ!P:P,MATCH(テンプレート!$C988,使用レシピ!$E:$E,0)),""),"")</f>
        <v/>
      </c>
      <c r="J988" t="str">
        <f>IFERROR(IF(INDEX(使用レシピ!K:K,MATCH(テンプレート!$C988,使用レシピ!$E:$E,0))&lt;&gt;0,INDEX(使用レシピ!K:K,MATCH(テンプレート!$C988,使用レシピ!$E:$E,0)),""),"")</f>
        <v/>
      </c>
      <c r="K988" t="str">
        <f>IFERROR(IF(INDEX(使用レシピ!L:L,MATCH(テンプレート!$C988,使用レシピ!$E:$E,0))&lt;&gt;0,INDEX(使用レシピ!L:L,MATCH(テンプレート!$C988,使用レシピ!$E:$E,0)),""),"")</f>
        <v/>
      </c>
      <c r="L988" t="str">
        <f>IFERROR(IF(INDEX(使用レシピ!M:M,MATCH(テンプレート!$C988,使用レシピ!$E:$E,0))&lt;&gt;0,INDEX(使用レシピ!M:M,MATCH(テンプレート!$C988,使用レシピ!$E:$E,0)),""),"")</f>
        <v/>
      </c>
      <c r="M988" t="str">
        <f>IFERROR(IF(INDEX(使用レシピ!N:N,MATCH(テンプレート!$C988,使用レシピ!$E:$E,0))&lt;&gt;0,INDEX(使用レシピ!N:N,MATCH(テンプレート!$C988,使用レシピ!$E:$E,0)),""),"")</f>
        <v/>
      </c>
      <c r="N988" s="24" t="str">
        <f>IFERROR(IF(INDEX(使用レシピ!O:O,MATCH(テンプレート!$C988,使用レシピ!$E:$E,0))&lt;&gt;0,INDEX(使用レシピ!O:O,MATCH(テンプレート!$C988,使用レシピ!$E:$E,0)),""),"")</f>
        <v/>
      </c>
      <c r="O988" s="36" t="str">
        <f>IFERROR(IF(INDEX(使用レシピ!P:P,MATCH(テンプレート!$C988,使用レシピ!$E:$E,0))&lt;&gt;0,INDEX(使用レシピ!P:P,MATCH(テンプレート!$C988,使用レシピ!$E:$E,0)),""),"")</f>
        <v/>
      </c>
      <c r="P988" t="str">
        <f t="shared" si="76"/>
        <v/>
      </c>
      <c r="Q988" t="str">
        <f t="shared" si="77"/>
        <v/>
      </c>
      <c r="R988" t="str">
        <f t="shared" si="78"/>
        <v/>
      </c>
      <c r="S988" t="str">
        <f t="shared" si="79"/>
        <v/>
      </c>
      <c r="T988" s="24" t="str">
        <f t="shared" si="80"/>
        <v/>
      </c>
    </row>
    <row r="989" spans="2:20" x14ac:dyDescent="0.4">
      <c r="B989" s="49" t="str" cm="1">
        <f t="array" ref="B989">IFERROR((INDEX($P$4:$T$1000,MATCH(VALUE(LEFT($A989,LEN($A989)-1)),$A$4:$A$1000,0),VALUE(RIGHT($A989,1)))/ INDEX($O$4:$O$1000,MATCH(VALUE(LEFT($A989,LEN($A989)-1)),$A$4:$A$1000))) * INDEX($B$4:$B$1000,MATCH(VALUE(LEFT($A989,LEN($A989)-1)),$A$4:$A$1000)),"")</f>
        <v/>
      </c>
      <c r="C989" s="2" t="str" cm="1">
        <f t="array" ref="C989">IFERROR(IF(INDEX($D$4:$H$1000,MATCH(VALUE(LEFT($A989,LEN($A989)-1)),$A$4:$A$1000,0),VALUE(RIGHT($A989,1)))= 0,"",INDEX($D$4:$H$1000,MATCH(VALUE(LEFT($A989,LEN($A989)-1)),$A$4:$A$1000,0),VALUE(RIGHT($A989,1)))),"")</f>
        <v/>
      </c>
      <c r="D989" s="23" t="str">
        <f>IFERROR(IF(INDEX(使用レシピ!F:F,MATCH(テンプレート!$C989,使用レシピ!$E:$E,0))&lt;&gt;0,INDEX(使用レシピ!F:F,MATCH(テンプレート!$C989,使用レシピ!$E:$E,0)),""),"")</f>
        <v/>
      </c>
      <c r="E989" t="str">
        <f>IFERROR(IF(INDEX(使用レシピ!G:G,MATCH(テンプレート!$C989,使用レシピ!$E:$E,0))&lt;&gt;0,INDEX(使用レシピ!G:G,MATCH(テンプレート!$C989,使用レシピ!$E:$E,0)),""),"")</f>
        <v/>
      </c>
      <c r="F989" t="str">
        <f>IFERROR(IF(INDEX(使用レシピ!H:H,MATCH(テンプレート!$C989,使用レシピ!$E:$E,0))&lt;&gt;0,INDEX(使用レシピ!H:H,MATCH(テンプレート!$C989,使用レシピ!$E:$E,0)),""),"")</f>
        <v/>
      </c>
      <c r="G989" t="str">
        <f>IFERROR(IF(INDEX(使用レシピ!I:I,MATCH(テンプレート!$C989,使用レシピ!$E:$E,0))&lt;&gt;0,INDEX(使用レシピ!I:I,MATCH(テンプレート!$C989,使用レシピ!$E:$E,0)),""),"")</f>
        <v/>
      </c>
      <c r="H989" s="24" t="str">
        <f>IFERROR(IF(INDEX(使用レシピ!J:J,MATCH(テンプレート!$C989,使用レシピ!$E:$E,0))&lt;&gt;0,INDEX(使用レシピ!J:J,MATCH(テンプレート!$C989,使用レシピ!$E:$E,0)),""),"")</f>
        <v/>
      </c>
      <c r="I989" s="36" t="str">
        <f>IFERROR(IF(INDEX(使用レシピ!P:P,MATCH(テンプレート!$C989,使用レシピ!$E:$E,0))&lt;&gt;0,INDEX(使用レシピ!P:P,MATCH(テンプレート!$C989,使用レシピ!$E:$E,0)),""),"")</f>
        <v/>
      </c>
      <c r="J989" t="str">
        <f>IFERROR(IF(INDEX(使用レシピ!K:K,MATCH(テンプレート!$C989,使用レシピ!$E:$E,0))&lt;&gt;0,INDEX(使用レシピ!K:K,MATCH(テンプレート!$C989,使用レシピ!$E:$E,0)),""),"")</f>
        <v/>
      </c>
      <c r="K989" t="str">
        <f>IFERROR(IF(INDEX(使用レシピ!L:L,MATCH(テンプレート!$C989,使用レシピ!$E:$E,0))&lt;&gt;0,INDEX(使用レシピ!L:L,MATCH(テンプレート!$C989,使用レシピ!$E:$E,0)),""),"")</f>
        <v/>
      </c>
      <c r="L989" t="str">
        <f>IFERROR(IF(INDEX(使用レシピ!M:M,MATCH(テンプレート!$C989,使用レシピ!$E:$E,0))&lt;&gt;0,INDEX(使用レシピ!M:M,MATCH(テンプレート!$C989,使用レシピ!$E:$E,0)),""),"")</f>
        <v/>
      </c>
      <c r="M989" t="str">
        <f>IFERROR(IF(INDEX(使用レシピ!N:N,MATCH(テンプレート!$C989,使用レシピ!$E:$E,0))&lt;&gt;0,INDEX(使用レシピ!N:N,MATCH(テンプレート!$C989,使用レシピ!$E:$E,0)),""),"")</f>
        <v/>
      </c>
      <c r="N989" s="24" t="str">
        <f>IFERROR(IF(INDEX(使用レシピ!O:O,MATCH(テンプレート!$C989,使用レシピ!$E:$E,0))&lt;&gt;0,INDEX(使用レシピ!O:O,MATCH(テンプレート!$C989,使用レシピ!$E:$E,0)),""),"")</f>
        <v/>
      </c>
      <c r="O989" s="36" t="str">
        <f>IFERROR(IF(INDEX(使用レシピ!P:P,MATCH(テンプレート!$C989,使用レシピ!$E:$E,0))&lt;&gt;0,INDEX(使用レシピ!P:P,MATCH(テンプレート!$C989,使用レシピ!$E:$E,0)),""),"")</f>
        <v/>
      </c>
      <c r="P989" t="str">
        <f t="shared" si="76"/>
        <v/>
      </c>
      <c r="Q989" t="str">
        <f t="shared" si="77"/>
        <v/>
      </c>
      <c r="R989" t="str">
        <f t="shared" si="78"/>
        <v/>
      </c>
      <c r="S989" t="str">
        <f t="shared" si="79"/>
        <v/>
      </c>
      <c r="T989" s="24" t="str">
        <f t="shared" si="80"/>
        <v/>
      </c>
    </row>
    <row r="990" spans="2:20" x14ac:dyDescent="0.4">
      <c r="B990" s="49" t="str" cm="1">
        <f t="array" ref="B990">IFERROR((INDEX($P$4:$T$1000,MATCH(VALUE(LEFT($A990,LEN($A990)-1)),$A$4:$A$1000,0),VALUE(RIGHT($A990,1)))/ INDEX($O$4:$O$1000,MATCH(VALUE(LEFT($A990,LEN($A990)-1)),$A$4:$A$1000))) * INDEX($B$4:$B$1000,MATCH(VALUE(LEFT($A990,LEN($A990)-1)),$A$4:$A$1000)),"")</f>
        <v/>
      </c>
      <c r="C990" s="2" t="str" cm="1">
        <f t="array" ref="C990">IFERROR(IF(INDEX($D$4:$H$1000,MATCH(VALUE(LEFT($A990,LEN($A990)-1)),$A$4:$A$1000,0),VALUE(RIGHT($A990,1)))= 0,"",INDEX($D$4:$H$1000,MATCH(VALUE(LEFT($A990,LEN($A990)-1)),$A$4:$A$1000,0),VALUE(RIGHT($A990,1)))),"")</f>
        <v/>
      </c>
      <c r="D990" s="23" t="str">
        <f>IFERROR(IF(INDEX(使用レシピ!F:F,MATCH(テンプレート!$C990,使用レシピ!$E:$E,0))&lt;&gt;0,INDEX(使用レシピ!F:F,MATCH(テンプレート!$C990,使用レシピ!$E:$E,0)),""),"")</f>
        <v/>
      </c>
      <c r="E990" t="str">
        <f>IFERROR(IF(INDEX(使用レシピ!G:G,MATCH(テンプレート!$C990,使用レシピ!$E:$E,0))&lt;&gt;0,INDEX(使用レシピ!G:G,MATCH(テンプレート!$C990,使用レシピ!$E:$E,0)),""),"")</f>
        <v/>
      </c>
      <c r="F990" t="str">
        <f>IFERROR(IF(INDEX(使用レシピ!H:H,MATCH(テンプレート!$C990,使用レシピ!$E:$E,0))&lt;&gt;0,INDEX(使用レシピ!H:H,MATCH(テンプレート!$C990,使用レシピ!$E:$E,0)),""),"")</f>
        <v/>
      </c>
      <c r="G990" t="str">
        <f>IFERROR(IF(INDEX(使用レシピ!I:I,MATCH(テンプレート!$C990,使用レシピ!$E:$E,0))&lt;&gt;0,INDEX(使用レシピ!I:I,MATCH(テンプレート!$C990,使用レシピ!$E:$E,0)),""),"")</f>
        <v/>
      </c>
      <c r="H990" s="24" t="str">
        <f>IFERROR(IF(INDEX(使用レシピ!J:J,MATCH(テンプレート!$C990,使用レシピ!$E:$E,0))&lt;&gt;0,INDEX(使用レシピ!J:J,MATCH(テンプレート!$C990,使用レシピ!$E:$E,0)),""),"")</f>
        <v/>
      </c>
      <c r="I990" s="36" t="str">
        <f>IFERROR(IF(INDEX(使用レシピ!P:P,MATCH(テンプレート!$C990,使用レシピ!$E:$E,0))&lt;&gt;0,INDEX(使用レシピ!P:P,MATCH(テンプレート!$C990,使用レシピ!$E:$E,0)),""),"")</f>
        <v/>
      </c>
      <c r="J990" t="str">
        <f>IFERROR(IF(INDEX(使用レシピ!K:K,MATCH(テンプレート!$C990,使用レシピ!$E:$E,0))&lt;&gt;0,INDEX(使用レシピ!K:K,MATCH(テンプレート!$C990,使用レシピ!$E:$E,0)),""),"")</f>
        <v/>
      </c>
      <c r="K990" t="str">
        <f>IFERROR(IF(INDEX(使用レシピ!L:L,MATCH(テンプレート!$C990,使用レシピ!$E:$E,0))&lt;&gt;0,INDEX(使用レシピ!L:L,MATCH(テンプレート!$C990,使用レシピ!$E:$E,0)),""),"")</f>
        <v/>
      </c>
      <c r="L990" t="str">
        <f>IFERROR(IF(INDEX(使用レシピ!M:M,MATCH(テンプレート!$C990,使用レシピ!$E:$E,0))&lt;&gt;0,INDEX(使用レシピ!M:M,MATCH(テンプレート!$C990,使用レシピ!$E:$E,0)),""),"")</f>
        <v/>
      </c>
      <c r="M990" t="str">
        <f>IFERROR(IF(INDEX(使用レシピ!N:N,MATCH(テンプレート!$C990,使用レシピ!$E:$E,0))&lt;&gt;0,INDEX(使用レシピ!N:N,MATCH(テンプレート!$C990,使用レシピ!$E:$E,0)),""),"")</f>
        <v/>
      </c>
      <c r="N990" s="24" t="str">
        <f>IFERROR(IF(INDEX(使用レシピ!O:O,MATCH(テンプレート!$C990,使用レシピ!$E:$E,0))&lt;&gt;0,INDEX(使用レシピ!O:O,MATCH(テンプレート!$C990,使用レシピ!$E:$E,0)),""),"")</f>
        <v/>
      </c>
      <c r="O990" s="36" t="str">
        <f>IFERROR(IF(INDEX(使用レシピ!P:P,MATCH(テンプレート!$C990,使用レシピ!$E:$E,0))&lt;&gt;0,INDEX(使用レシピ!P:P,MATCH(テンプレート!$C990,使用レシピ!$E:$E,0)),""),"")</f>
        <v/>
      </c>
      <c r="P990" t="str">
        <f t="shared" si="76"/>
        <v/>
      </c>
      <c r="Q990" t="str">
        <f t="shared" si="77"/>
        <v/>
      </c>
      <c r="R990" t="str">
        <f t="shared" si="78"/>
        <v/>
      </c>
      <c r="S990" t="str">
        <f t="shared" si="79"/>
        <v/>
      </c>
      <c r="T990" s="24" t="str">
        <f t="shared" si="80"/>
        <v/>
      </c>
    </row>
    <row r="991" spans="2:20" x14ac:dyDescent="0.4">
      <c r="B991" s="49" t="str" cm="1">
        <f t="array" ref="B991">IFERROR((INDEX($P$4:$T$1000,MATCH(VALUE(LEFT($A991,LEN($A991)-1)),$A$4:$A$1000,0),VALUE(RIGHT($A991,1)))/ INDEX($O$4:$O$1000,MATCH(VALUE(LEFT($A991,LEN($A991)-1)),$A$4:$A$1000))) * INDEX($B$4:$B$1000,MATCH(VALUE(LEFT($A991,LEN($A991)-1)),$A$4:$A$1000)),"")</f>
        <v/>
      </c>
      <c r="C991" s="2" t="str" cm="1">
        <f t="array" ref="C991">IFERROR(IF(INDEX($D$4:$H$1000,MATCH(VALUE(LEFT($A991,LEN($A991)-1)),$A$4:$A$1000,0),VALUE(RIGHT($A991,1)))= 0,"",INDEX($D$4:$H$1000,MATCH(VALUE(LEFT($A991,LEN($A991)-1)),$A$4:$A$1000,0),VALUE(RIGHT($A991,1)))),"")</f>
        <v/>
      </c>
      <c r="D991" s="23" t="str">
        <f>IFERROR(IF(INDEX(使用レシピ!F:F,MATCH(テンプレート!$C991,使用レシピ!$E:$E,0))&lt;&gt;0,INDEX(使用レシピ!F:F,MATCH(テンプレート!$C991,使用レシピ!$E:$E,0)),""),"")</f>
        <v/>
      </c>
      <c r="E991" t="str">
        <f>IFERROR(IF(INDEX(使用レシピ!G:G,MATCH(テンプレート!$C991,使用レシピ!$E:$E,0))&lt;&gt;0,INDEX(使用レシピ!G:G,MATCH(テンプレート!$C991,使用レシピ!$E:$E,0)),""),"")</f>
        <v/>
      </c>
      <c r="F991" t="str">
        <f>IFERROR(IF(INDEX(使用レシピ!H:H,MATCH(テンプレート!$C991,使用レシピ!$E:$E,0))&lt;&gt;0,INDEX(使用レシピ!H:H,MATCH(テンプレート!$C991,使用レシピ!$E:$E,0)),""),"")</f>
        <v/>
      </c>
      <c r="G991" t="str">
        <f>IFERROR(IF(INDEX(使用レシピ!I:I,MATCH(テンプレート!$C991,使用レシピ!$E:$E,0))&lt;&gt;0,INDEX(使用レシピ!I:I,MATCH(テンプレート!$C991,使用レシピ!$E:$E,0)),""),"")</f>
        <v/>
      </c>
      <c r="H991" s="24" t="str">
        <f>IFERROR(IF(INDEX(使用レシピ!J:J,MATCH(テンプレート!$C991,使用レシピ!$E:$E,0))&lt;&gt;0,INDEX(使用レシピ!J:J,MATCH(テンプレート!$C991,使用レシピ!$E:$E,0)),""),"")</f>
        <v/>
      </c>
      <c r="I991" s="36" t="str">
        <f>IFERROR(IF(INDEX(使用レシピ!P:P,MATCH(テンプレート!$C991,使用レシピ!$E:$E,0))&lt;&gt;0,INDEX(使用レシピ!P:P,MATCH(テンプレート!$C991,使用レシピ!$E:$E,0)),""),"")</f>
        <v/>
      </c>
      <c r="J991" t="str">
        <f>IFERROR(IF(INDEX(使用レシピ!K:K,MATCH(テンプレート!$C991,使用レシピ!$E:$E,0))&lt;&gt;0,INDEX(使用レシピ!K:K,MATCH(テンプレート!$C991,使用レシピ!$E:$E,0)),""),"")</f>
        <v/>
      </c>
      <c r="K991" t="str">
        <f>IFERROR(IF(INDEX(使用レシピ!L:L,MATCH(テンプレート!$C991,使用レシピ!$E:$E,0))&lt;&gt;0,INDEX(使用レシピ!L:L,MATCH(テンプレート!$C991,使用レシピ!$E:$E,0)),""),"")</f>
        <v/>
      </c>
      <c r="L991" t="str">
        <f>IFERROR(IF(INDEX(使用レシピ!M:M,MATCH(テンプレート!$C991,使用レシピ!$E:$E,0))&lt;&gt;0,INDEX(使用レシピ!M:M,MATCH(テンプレート!$C991,使用レシピ!$E:$E,0)),""),"")</f>
        <v/>
      </c>
      <c r="M991" t="str">
        <f>IFERROR(IF(INDEX(使用レシピ!N:N,MATCH(テンプレート!$C991,使用レシピ!$E:$E,0))&lt;&gt;0,INDEX(使用レシピ!N:N,MATCH(テンプレート!$C991,使用レシピ!$E:$E,0)),""),"")</f>
        <v/>
      </c>
      <c r="N991" s="24" t="str">
        <f>IFERROR(IF(INDEX(使用レシピ!O:O,MATCH(テンプレート!$C991,使用レシピ!$E:$E,0))&lt;&gt;0,INDEX(使用レシピ!O:O,MATCH(テンプレート!$C991,使用レシピ!$E:$E,0)),""),"")</f>
        <v/>
      </c>
      <c r="O991" s="36" t="str">
        <f>IFERROR(IF(INDEX(使用レシピ!P:P,MATCH(テンプレート!$C991,使用レシピ!$E:$E,0))&lt;&gt;0,INDEX(使用レシピ!P:P,MATCH(テンプレート!$C991,使用レシピ!$E:$E,0)),""),"")</f>
        <v/>
      </c>
      <c r="P991" t="str">
        <f t="shared" si="76"/>
        <v/>
      </c>
      <c r="Q991" t="str">
        <f t="shared" si="77"/>
        <v/>
      </c>
      <c r="R991" t="str">
        <f t="shared" si="78"/>
        <v/>
      </c>
      <c r="S991" t="str">
        <f t="shared" si="79"/>
        <v/>
      </c>
      <c r="T991" s="24" t="str">
        <f t="shared" si="80"/>
        <v/>
      </c>
    </row>
    <row r="992" spans="2:20" x14ac:dyDescent="0.4">
      <c r="B992" s="49" t="str" cm="1">
        <f t="array" ref="B992">IFERROR((INDEX($P$4:$T$1000,MATCH(VALUE(LEFT($A992,LEN($A992)-1)),$A$4:$A$1000,0),VALUE(RIGHT($A992,1)))/ INDEX($O$4:$O$1000,MATCH(VALUE(LEFT($A992,LEN($A992)-1)),$A$4:$A$1000))) * INDEX($B$4:$B$1000,MATCH(VALUE(LEFT($A992,LEN($A992)-1)),$A$4:$A$1000)),"")</f>
        <v/>
      </c>
      <c r="C992" s="2" t="str" cm="1">
        <f t="array" ref="C992">IFERROR(IF(INDEX($D$4:$H$1000,MATCH(VALUE(LEFT($A992,LEN($A992)-1)),$A$4:$A$1000,0),VALUE(RIGHT($A992,1)))= 0,"",INDEX($D$4:$H$1000,MATCH(VALUE(LEFT($A992,LEN($A992)-1)),$A$4:$A$1000,0),VALUE(RIGHT($A992,1)))),"")</f>
        <v/>
      </c>
      <c r="D992" s="23" t="str">
        <f>IFERROR(IF(INDEX(使用レシピ!F:F,MATCH(テンプレート!$C992,使用レシピ!$E:$E,0))&lt;&gt;0,INDEX(使用レシピ!F:F,MATCH(テンプレート!$C992,使用レシピ!$E:$E,0)),""),"")</f>
        <v/>
      </c>
      <c r="E992" t="str">
        <f>IFERROR(IF(INDEX(使用レシピ!G:G,MATCH(テンプレート!$C992,使用レシピ!$E:$E,0))&lt;&gt;0,INDEX(使用レシピ!G:G,MATCH(テンプレート!$C992,使用レシピ!$E:$E,0)),""),"")</f>
        <v/>
      </c>
      <c r="F992" t="str">
        <f>IFERROR(IF(INDEX(使用レシピ!H:H,MATCH(テンプレート!$C992,使用レシピ!$E:$E,0))&lt;&gt;0,INDEX(使用レシピ!H:H,MATCH(テンプレート!$C992,使用レシピ!$E:$E,0)),""),"")</f>
        <v/>
      </c>
      <c r="G992" t="str">
        <f>IFERROR(IF(INDEX(使用レシピ!I:I,MATCH(テンプレート!$C992,使用レシピ!$E:$E,0))&lt;&gt;0,INDEX(使用レシピ!I:I,MATCH(テンプレート!$C992,使用レシピ!$E:$E,0)),""),"")</f>
        <v/>
      </c>
      <c r="H992" s="24" t="str">
        <f>IFERROR(IF(INDEX(使用レシピ!J:J,MATCH(テンプレート!$C992,使用レシピ!$E:$E,0))&lt;&gt;0,INDEX(使用レシピ!J:J,MATCH(テンプレート!$C992,使用レシピ!$E:$E,0)),""),"")</f>
        <v/>
      </c>
      <c r="I992" s="36" t="str">
        <f>IFERROR(IF(INDEX(使用レシピ!P:P,MATCH(テンプレート!$C992,使用レシピ!$E:$E,0))&lt;&gt;0,INDEX(使用レシピ!P:P,MATCH(テンプレート!$C992,使用レシピ!$E:$E,0)),""),"")</f>
        <v/>
      </c>
      <c r="J992" t="str">
        <f>IFERROR(IF(INDEX(使用レシピ!K:K,MATCH(テンプレート!$C992,使用レシピ!$E:$E,0))&lt;&gt;0,INDEX(使用レシピ!K:K,MATCH(テンプレート!$C992,使用レシピ!$E:$E,0)),""),"")</f>
        <v/>
      </c>
      <c r="K992" t="str">
        <f>IFERROR(IF(INDEX(使用レシピ!L:L,MATCH(テンプレート!$C992,使用レシピ!$E:$E,0))&lt;&gt;0,INDEX(使用レシピ!L:L,MATCH(テンプレート!$C992,使用レシピ!$E:$E,0)),""),"")</f>
        <v/>
      </c>
      <c r="L992" t="str">
        <f>IFERROR(IF(INDEX(使用レシピ!M:M,MATCH(テンプレート!$C992,使用レシピ!$E:$E,0))&lt;&gt;0,INDEX(使用レシピ!M:M,MATCH(テンプレート!$C992,使用レシピ!$E:$E,0)),""),"")</f>
        <v/>
      </c>
      <c r="M992" t="str">
        <f>IFERROR(IF(INDEX(使用レシピ!N:N,MATCH(テンプレート!$C992,使用レシピ!$E:$E,0))&lt;&gt;0,INDEX(使用レシピ!N:N,MATCH(テンプレート!$C992,使用レシピ!$E:$E,0)),""),"")</f>
        <v/>
      </c>
      <c r="N992" s="24" t="str">
        <f>IFERROR(IF(INDEX(使用レシピ!O:O,MATCH(テンプレート!$C992,使用レシピ!$E:$E,0))&lt;&gt;0,INDEX(使用レシピ!O:O,MATCH(テンプレート!$C992,使用レシピ!$E:$E,0)),""),"")</f>
        <v/>
      </c>
      <c r="O992" s="36" t="str">
        <f>IFERROR(IF(INDEX(使用レシピ!P:P,MATCH(テンプレート!$C992,使用レシピ!$E:$E,0))&lt;&gt;0,INDEX(使用レシピ!P:P,MATCH(テンプレート!$C992,使用レシピ!$E:$E,0)),""),"")</f>
        <v/>
      </c>
      <c r="P992" t="str">
        <f t="shared" si="76"/>
        <v/>
      </c>
      <c r="Q992" t="str">
        <f t="shared" si="77"/>
        <v/>
      </c>
      <c r="R992" t="str">
        <f t="shared" si="78"/>
        <v/>
      </c>
      <c r="S992" t="str">
        <f t="shared" si="79"/>
        <v/>
      </c>
      <c r="T992" s="24" t="str">
        <f t="shared" si="80"/>
        <v/>
      </c>
    </row>
    <row r="993" spans="1:20" x14ac:dyDescent="0.4">
      <c r="B993" s="49" t="str" cm="1">
        <f t="array" ref="B993">IFERROR((INDEX($P$4:$T$1000,MATCH(VALUE(LEFT($A993,LEN($A993)-1)),$A$4:$A$1000,0),VALUE(RIGHT($A993,1)))/ INDEX($O$4:$O$1000,MATCH(VALUE(LEFT($A993,LEN($A993)-1)),$A$4:$A$1000))) * INDEX($B$4:$B$1000,MATCH(VALUE(LEFT($A993,LEN($A993)-1)),$A$4:$A$1000)),"")</f>
        <v/>
      </c>
      <c r="C993" s="2" t="str" cm="1">
        <f t="array" ref="C993">IFERROR(IF(INDEX($D$4:$H$1000,MATCH(VALUE(LEFT($A993,LEN($A993)-1)),$A$4:$A$1000,0),VALUE(RIGHT($A993,1)))= 0,"",INDEX($D$4:$H$1000,MATCH(VALUE(LEFT($A993,LEN($A993)-1)),$A$4:$A$1000,0),VALUE(RIGHT($A993,1)))),"")</f>
        <v/>
      </c>
      <c r="D993" s="23" t="str">
        <f>IFERROR(IF(INDEX(使用レシピ!F:F,MATCH(テンプレート!$C993,使用レシピ!$E:$E,0))&lt;&gt;0,INDEX(使用レシピ!F:F,MATCH(テンプレート!$C993,使用レシピ!$E:$E,0)),""),"")</f>
        <v/>
      </c>
      <c r="E993" t="str">
        <f>IFERROR(IF(INDEX(使用レシピ!G:G,MATCH(テンプレート!$C993,使用レシピ!$E:$E,0))&lt;&gt;0,INDEX(使用レシピ!G:G,MATCH(テンプレート!$C993,使用レシピ!$E:$E,0)),""),"")</f>
        <v/>
      </c>
      <c r="F993" t="str">
        <f>IFERROR(IF(INDEX(使用レシピ!H:H,MATCH(テンプレート!$C993,使用レシピ!$E:$E,0))&lt;&gt;0,INDEX(使用レシピ!H:H,MATCH(テンプレート!$C993,使用レシピ!$E:$E,0)),""),"")</f>
        <v/>
      </c>
      <c r="G993" t="str">
        <f>IFERROR(IF(INDEX(使用レシピ!I:I,MATCH(テンプレート!$C993,使用レシピ!$E:$E,0))&lt;&gt;0,INDEX(使用レシピ!I:I,MATCH(テンプレート!$C993,使用レシピ!$E:$E,0)),""),"")</f>
        <v/>
      </c>
      <c r="H993" s="24" t="str">
        <f>IFERROR(IF(INDEX(使用レシピ!J:J,MATCH(テンプレート!$C993,使用レシピ!$E:$E,0))&lt;&gt;0,INDEX(使用レシピ!J:J,MATCH(テンプレート!$C993,使用レシピ!$E:$E,0)),""),"")</f>
        <v/>
      </c>
      <c r="I993" s="36" t="str">
        <f>IFERROR(IF(INDEX(使用レシピ!P:P,MATCH(テンプレート!$C993,使用レシピ!$E:$E,0))&lt;&gt;0,INDEX(使用レシピ!P:P,MATCH(テンプレート!$C993,使用レシピ!$E:$E,0)),""),"")</f>
        <v/>
      </c>
      <c r="J993" t="str">
        <f>IFERROR(IF(INDEX(使用レシピ!K:K,MATCH(テンプレート!$C993,使用レシピ!$E:$E,0))&lt;&gt;0,INDEX(使用レシピ!K:K,MATCH(テンプレート!$C993,使用レシピ!$E:$E,0)),""),"")</f>
        <v/>
      </c>
      <c r="K993" t="str">
        <f>IFERROR(IF(INDEX(使用レシピ!L:L,MATCH(テンプレート!$C993,使用レシピ!$E:$E,0))&lt;&gt;0,INDEX(使用レシピ!L:L,MATCH(テンプレート!$C993,使用レシピ!$E:$E,0)),""),"")</f>
        <v/>
      </c>
      <c r="L993" t="str">
        <f>IFERROR(IF(INDEX(使用レシピ!M:M,MATCH(テンプレート!$C993,使用レシピ!$E:$E,0))&lt;&gt;0,INDEX(使用レシピ!M:M,MATCH(テンプレート!$C993,使用レシピ!$E:$E,0)),""),"")</f>
        <v/>
      </c>
      <c r="M993" t="str">
        <f>IFERROR(IF(INDEX(使用レシピ!N:N,MATCH(テンプレート!$C993,使用レシピ!$E:$E,0))&lt;&gt;0,INDEX(使用レシピ!N:N,MATCH(テンプレート!$C993,使用レシピ!$E:$E,0)),""),"")</f>
        <v/>
      </c>
      <c r="N993" s="24" t="str">
        <f>IFERROR(IF(INDEX(使用レシピ!O:O,MATCH(テンプレート!$C993,使用レシピ!$E:$E,0))&lt;&gt;0,INDEX(使用レシピ!O:O,MATCH(テンプレート!$C993,使用レシピ!$E:$E,0)),""),"")</f>
        <v/>
      </c>
      <c r="O993" s="36" t="str">
        <f>IFERROR(IF(INDEX(使用レシピ!P:P,MATCH(テンプレート!$C993,使用レシピ!$E:$E,0))&lt;&gt;0,INDEX(使用レシピ!P:P,MATCH(テンプレート!$C993,使用レシピ!$E:$E,0)),""),"")</f>
        <v/>
      </c>
      <c r="P993" t="str">
        <f t="shared" si="76"/>
        <v/>
      </c>
      <c r="Q993" t="str">
        <f t="shared" si="77"/>
        <v/>
      </c>
      <c r="R993" t="str">
        <f t="shared" si="78"/>
        <v/>
      </c>
      <c r="S993" t="str">
        <f t="shared" si="79"/>
        <v/>
      </c>
      <c r="T993" s="24" t="str">
        <f t="shared" si="80"/>
        <v/>
      </c>
    </row>
    <row r="994" spans="1:20" x14ac:dyDescent="0.4">
      <c r="B994" s="49" t="str" cm="1">
        <f t="array" ref="B994">IFERROR((INDEX($P$4:$T$1000,MATCH(VALUE(LEFT($A994,LEN($A994)-1)),$A$4:$A$1000,0),VALUE(RIGHT($A994,1)))/ INDEX($O$4:$O$1000,MATCH(VALUE(LEFT($A994,LEN($A994)-1)),$A$4:$A$1000))) * INDEX($B$4:$B$1000,MATCH(VALUE(LEFT($A994,LEN($A994)-1)),$A$4:$A$1000)),"")</f>
        <v/>
      </c>
      <c r="C994" s="2" t="str" cm="1">
        <f t="array" ref="C994">IFERROR(IF(INDEX($D$4:$H$1000,MATCH(VALUE(LEFT($A994,LEN($A994)-1)),$A$4:$A$1000,0),VALUE(RIGHT($A994,1)))= 0,"",INDEX($D$4:$H$1000,MATCH(VALUE(LEFT($A994,LEN($A994)-1)),$A$4:$A$1000,0),VALUE(RIGHT($A994,1)))),"")</f>
        <v/>
      </c>
      <c r="D994" s="23" t="str">
        <f>IFERROR(IF(INDEX(使用レシピ!F:F,MATCH(テンプレート!$C994,使用レシピ!$E:$E,0))&lt;&gt;0,INDEX(使用レシピ!F:F,MATCH(テンプレート!$C994,使用レシピ!$E:$E,0)),""),"")</f>
        <v/>
      </c>
      <c r="E994" t="str">
        <f>IFERROR(IF(INDEX(使用レシピ!G:G,MATCH(テンプレート!$C994,使用レシピ!$E:$E,0))&lt;&gt;0,INDEX(使用レシピ!G:G,MATCH(テンプレート!$C994,使用レシピ!$E:$E,0)),""),"")</f>
        <v/>
      </c>
      <c r="F994" t="str">
        <f>IFERROR(IF(INDEX(使用レシピ!H:H,MATCH(テンプレート!$C994,使用レシピ!$E:$E,0))&lt;&gt;0,INDEX(使用レシピ!H:H,MATCH(テンプレート!$C994,使用レシピ!$E:$E,0)),""),"")</f>
        <v/>
      </c>
      <c r="G994" t="str">
        <f>IFERROR(IF(INDEX(使用レシピ!I:I,MATCH(テンプレート!$C994,使用レシピ!$E:$E,0))&lt;&gt;0,INDEX(使用レシピ!I:I,MATCH(テンプレート!$C994,使用レシピ!$E:$E,0)),""),"")</f>
        <v/>
      </c>
      <c r="H994" s="24" t="str">
        <f>IFERROR(IF(INDEX(使用レシピ!J:J,MATCH(テンプレート!$C994,使用レシピ!$E:$E,0))&lt;&gt;0,INDEX(使用レシピ!J:J,MATCH(テンプレート!$C994,使用レシピ!$E:$E,0)),""),"")</f>
        <v/>
      </c>
      <c r="I994" s="36" t="str">
        <f>IFERROR(IF(INDEX(使用レシピ!P:P,MATCH(テンプレート!$C994,使用レシピ!$E:$E,0))&lt;&gt;0,INDEX(使用レシピ!P:P,MATCH(テンプレート!$C994,使用レシピ!$E:$E,0)),""),"")</f>
        <v/>
      </c>
      <c r="J994" t="str">
        <f>IFERROR(IF(INDEX(使用レシピ!K:K,MATCH(テンプレート!$C994,使用レシピ!$E:$E,0))&lt;&gt;0,INDEX(使用レシピ!K:K,MATCH(テンプレート!$C994,使用レシピ!$E:$E,0)),""),"")</f>
        <v/>
      </c>
      <c r="K994" t="str">
        <f>IFERROR(IF(INDEX(使用レシピ!L:L,MATCH(テンプレート!$C994,使用レシピ!$E:$E,0))&lt;&gt;0,INDEX(使用レシピ!L:L,MATCH(テンプレート!$C994,使用レシピ!$E:$E,0)),""),"")</f>
        <v/>
      </c>
      <c r="L994" t="str">
        <f>IFERROR(IF(INDEX(使用レシピ!M:M,MATCH(テンプレート!$C994,使用レシピ!$E:$E,0))&lt;&gt;0,INDEX(使用レシピ!M:M,MATCH(テンプレート!$C994,使用レシピ!$E:$E,0)),""),"")</f>
        <v/>
      </c>
      <c r="M994" t="str">
        <f>IFERROR(IF(INDEX(使用レシピ!N:N,MATCH(テンプレート!$C994,使用レシピ!$E:$E,0))&lt;&gt;0,INDEX(使用レシピ!N:N,MATCH(テンプレート!$C994,使用レシピ!$E:$E,0)),""),"")</f>
        <v/>
      </c>
      <c r="N994" s="24" t="str">
        <f>IFERROR(IF(INDEX(使用レシピ!O:O,MATCH(テンプレート!$C994,使用レシピ!$E:$E,0))&lt;&gt;0,INDEX(使用レシピ!O:O,MATCH(テンプレート!$C994,使用レシピ!$E:$E,0)),""),"")</f>
        <v/>
      </c>
      <c r="O994" s="36" t="str">
        <f>IFERROR(IF(INDEX(使用レシピ!P:P,MATCH(テンプレート!$C994,使用レシピ!$E:$E,0))&lt;&gt;0,INDEX(使用レシピ!P:P,MATCH(テンプレート!$C994,使用レシピ!$E:$E,0)),""),"")</f>
        <v/>
      </c>
      <c r="P994" t="str">
        <f t="shared" si="76"/>
        <v/>
      </c>
      <c r="Q994" t="str">
        <f t="shared" si="77"/>
        <v/>
      </c>
      <c r="R994" t="str">
        <f t="shared" si="78"/>
        <v/>
      </c>
      <c r="S994" t="str">
        <f t="shared" si="79"/>
        <v/>
      </c>
      <c r="T994" s="24" t="str">
        <f t="shared" si="80"/>
        <v/>
      </c>
    </row>
    <row r="995" spans="1:20" x14ac:dyDescent="0.4">
      <c r="B995" s="49" t="str" cm="1">
        <f t="array" ref="B995">IFERROR((INDEX($P$4:$T$1000,MATCH(VALUE(LEFT($A995,LEN($A995)-1)),$A$4:$A$1000,0),VALUE(RIGHT($A995,1)))/ INDEX($O$4:$O$1000,MATCH(VALUE(LEFT($A995,LEN($A995)-1)),$A$4:$A$1000))) * INDEX($B$4:$B$1000,MATCH(VALUE(LEFT($A995,LEN($A995)-1)),$A$4:$A$1000)),"")</f>
        <v/>
      </c>
      <c r="C995" s="2" t="str" cm="1">
        <f t="array" ref="C995">IFERROR(IF(INDEX($D$4:$H$1000,MATCH(VALUE(LEFT($A995,LEN($A995)-1)),$A$4:$A$1000,0),VALUE(RIGHT($A995,1)))= 0,"",INDEX($D$4:$H$1000,MATCH(VALUE(LEFT($A995,LEN($A995)-1)),$A$4:$A$1000,0),VALUE(RIGHT($A995,1)))),"")</f>
        <v/>
      </c>
      <c r="D995" s="23" t="str">
        <f>IFERROR(IF(INDEX(使用レシピ!F:F,MATCH(テンプレート!$C995,使用レシピ!$E:$E,0))&lt;&gt;0,INDEX(使用レシピ!F:F,MATCH(テンプレート!$C995,使用レシピ!$E:$E,0)),""),"")</f>
        <v/>
      </c>
      <c r="E995" t="str">
        <f>IFERROR(IF(INDEX(使用レシピ!G:G,MATCH(テンプレート!$C995,使用レシピ!$E:$E,0))&lt;&gt;0,INDEX(使用レシピ!G:G,MATCH(テンプレート!$C995,使用レシピ!$E:$E,0)),""),"")</f>
        <v/>
      </c>
      <c r="F995" t="str">
        <f>IFERROR(IF(INDEX(使用レシピ!H:H,MATCH(テンプレート!$C995,使用レシピ!$E:$E,0))&lt;&gt;0,INDEX(使用レシピ!H:H,MATCH(テンプレート!$C995,使用レシピ!$E:$E,0)),""),"")</f>
        <v/>
      </c>
      <c r="G995" t="str">
        <f>IFERROR(IF(INDEX(使用レシピ!I:I,MATCH(テンプレート!$C995,使用レシピ!$E:$E,0))&lt;&gt;0,INDEX(使用レシピ!I:I,MATCH(テンプレート!$C995,使用レシピ!$E:$E,0)),""),"")</f>
        <v/>
      </c>
      <c r="H995" s="24" t="str">
        <f>IFERROR(IF(INDEX(使用レシピ!J:J,MATCH(テンプレート!$C995,使用レシピ!$E:$E,0))&lt;&gt;0,INDEX(使用レシピ!J:J,MATCH(テンプレート!$C995,使用レシピ!$E:$E,0)),""),"")</f>
        <v/>
      </c>
      <c r="I995" s="36" t="str">
        <f>IFERROR(IF(INDEX(使用レシピ!P:P,MATCH(テンプレート!$C995,使用レシピ!$E:$E,0))&lt;&gt;0,INDEX(使用レシピ!P:P,MATCH(テンプレート!$C995,使用レシピ!$E:$E,0)),""),"")</f>
        <v/>
      </c>
      <c r="J995" t="str">
        <f>IFERROR(IF(INDEX(使用レシピ!K:K,MATCH(テンプレート!$C995,使用レシピ!$E:$E,0))&lt;&gt;0,INDEX(使用レシピ!K:K,MATCH(テンプレート!$C995,使用レシピ!$E:$E,0)),""),"")</f>
        <v/>
      </c>
      <c r="K995" t="str">
        <f>IFERROR(IF(INDEX(使用レシピ!L:L,MATCH(テンプレート!$C995,使用レシピ!$E:$E,0))&lt;&gt;0,INDEX(使用レシピ!L:L,MATCH(テンプレート!$C995,使用レシピ!$E:$E,0)),""),"")</f>
        <v/>
      </c>
      <c r="L995" t="str">
        <f>IFERROR(IF(INDEX(使用レシピ!M:M,MATCH(テンプレート!$C995,使用レシピ!$E:$E,0))&lt;&gt;0,INDEX(使用レシピ!M:M,MATCH(テンプレート!$C995,使用レシピ!$E:$E,0)),""),"")</f>
        <v/>
      </c>
      <c r="M995" t="str">
        <f>IFERROR(IF(INDEX(使用レシピ!N:N,MATCH(テンプレート!$C995,使用レシピ!$E:$E,0))&lt;&gt;0,INDEX(使用レシピ!N:N,MATCH(テンプレート!$C995,使用レシピ!$E:$E,0)),""),"")</f>
        <v/>
      </c>
      <c r="N995" s="24" t="str">
        <f>IFERROR(IF(INDEX(使用レシピ!O:O,MATCH(テンプレート!$C995,使用レシピ!$E:$E,0))&lt;&gt;0,INDEX(使用レシピ!O:O,MATCH(テンプレート!$C995,使用レシピ!$E:$E,0)),""),"")</f>
        <v/>
      </c>
      <c r="O995" s="36" t="str">
        <f>IFERROR(IF(INDEX(使用レシピ!P:P,MATCH(テンプレート!$C995,使用レシピ!$E:$E,0))&lt;&gt;0,INDEX(使用レシピ!P:P,MATCH(テンプレート!$C995,使用レシピ!$E:$E,0)),""),"")</f>
        <v/>
      </c>
      <c r="P995" t="str">
        <f t="shared" si="76"/>
        <v/>
      </c>
      <c r="Q995" t="str">
        <f t="shared" si="77"/>
        <v/>
      </c>
      <c r="R995" t="str">
        <f t="shared" si="78"/>
        <v/>
      </c>
      <c r="S995" t="str">
        <f t="shared" si="79"/>
        <v/>
      </c>
      <c r="T995" s="24" t="str">
        <f t="shared" si="80"/>
        <v/>
      </c>
    </row>
    <row r="996" spans="1:20" x14ac:dyDescent="0.4">
      <c r="B996" s="49" t="str" cm="1">
        <f t="array" ref="B996">IFERROR((INDEX($P$4:$T$1000,MATCH(VALUE(LEFT($A996,LEN($A996)-1)),$A$4:$A$1000,0),VALUE(RIGHT($A996,1)))/ INDEX($O$4:$O$1000,MATCH(VALUE(LEFT($A996,LEN($A996)-1)),$A$4:$A$1000))) * INDEX($B$4:$B$1000,MATCH(VALUE(LEFT($A996,LEN($A996)-1)),$A$4:$A$1000)),"")</f>
        <v/>
      </c>
      <c r="C996" s="2" t="str" cm="1">
        <f t="array" ref="C996">IFERROR(IF(INDEX($D$4:$H$1000,MATCH(VALUE(LEFT($A996,LEN($A996)-1)),$A$4:$A$1000,0),VALUE(RIGHT($A996,1)))= 0,"",INDEX($D$4:$H$1000,MATCH(VALUE(LEFT($A996,LEN($A996)-1)),$A$4:$A$1000,0),VALUE(RIGHT($A996,1)))),"")</f>
        <v/>
      </c>
      <c r="D996" s="23" t="str">
        <f>IFERROR(IF(INDEX(使用レシピ!F:F,MATCH(テンプレート!$C996,使用レシピ!$E:$E,0))&lt;&gt;0,INDEX(使用レシピ!F:F,MATCH(テンプレート!$C996,使用レシピ!$E:$E,0)),""),"")</f>
        <v/>
      </c>
      <c r="E996" t="str">
        <f>IFERROR(IF(INDEX(使用レシピ!G:G,MATCH(テンプレート!$C996,使用レシピ!$E:$E,0))&lt;&gt;0,INDEX(使用レシピ!G:G,MATCH(テンプレート!$C996,使用レシピ!$E:$E,0)),""),"")</f>
        <v/>
      </c>
      <c r="F996" t="str">
        <f>IFERROR(IF(INDEX(使用レシピ!H:H,MATCH(テンプレート!$C996,使用レシピ!$E:$E,0))&lt;&gt;0,INDEX(使用レシピ!H:H,MATCH(テンプレート!$C996,使用レシピ!$E:$E,0)),""),"")</f>
        <v/>
      </c>
      <c r="G996" t="str">
        <f>IFERROR(IF(INDEX(使用レシピ!I:I,MATCH(テンプレート!$C996,使用レシピ!$E:$E,0))&lt;&gt;0,INDEX(使用レシピ!I:I,MATCH(テンプレート!$C996,使用レシピ!$E:$E,0)),""),"")</f>
        <v/>
      </c>
      <c r="H996" s="24" t="str">
        <f>IFERROR(IF(INDEX(使用レシピ!J:J,MATCH(テンプレート!$C996,使用レシピ!$E:$E,0))&lt;&gt;0,INDEX(使用レシピ!J:J,MATCH(テンプレート!$C996,使用レシピ!$E:$E,0)),""),"")</f>
        <v/>
      </c>
      <c r="I996" s="36" t="str">
        <f>IFERROR(IF(INDEX(使用レシピ!P:P,MATCH(テンプレート!$C996,使用レシピ!$E:$E,0))&lt;&gt;0,INDEX(使用レシピ!P:P,MATCH(テンプレート!$C996,使用レシピ!$E:$E,0)),""),"")</f>
        <v/>
      </c>
      <c r="J996" t="str">
        <f>IFERROR(IF(INDEX(使用レシピ!K:K,MATCH(テンプレート!$C996,使用レシピ!$E:$E,0))&lt;&gt;0,INDEX(使用レシピ!K:K,MATCH(テンプレート!$C996,使用レシピ!$E:$E,0)),""),"")</f>
        <v/>
      </c>
      <c r="K996" t="str">
        <f>IFERROR(IF(INDEX(使用レシピ!L:L,MATCH(テンプレート!$C996,使用レシピ!$E:$E,0))&lt;&gt;0,INDEX(使用レシピ!L:L,MATCH(テンプレート!$C996,使用レシピ!$E:$E,0)),""),"")</f>
        <v/>
      </c>
      <c r="L996" t="str">
        <f>IFERROR(IF(INDEX(使用レシピ!M:M,MATCH(テンプレート!$C996,使用レシピ!$E:$E,0))&lt;&gt;0,INDEX(使用レシピ!M:M,MATCH(テンプレート!$C996,使用レシピ!$E:$E,0)),""),"")</f>
        <v/>
      </c>
      <c r="M996" t="str">
        <f>IFERROR(IF(INDEX(使用レシピ!N:N,MATCH(テンプレート!$C996,使用レシピ!$E:$E,0))&lt;&gt;0,INDEX(使用レシピ!N:N,MATCH(テンプレート!$C996,使用レシピ!$E:$E,0)),""),"")</f>
        <v/>
      </c>
      <c r="N996" s="24" t="str">
        <f>IFERROR(IF(INDEX(使用レシピ!O:O,MATCH(テンプレート!$C996,使用レシピ!$E:$E,0))&lt;&gt;0,INDEX(使用レシピ!O:O,MATCH(テンプレート!$C996,使用レシピ!$E:$E,0)),""),"")</f>
        <v/>
      </c>
      <c r="O996" s="36" t="str">
        <f>IFERROR(IF(INDEX(使用レシピ!P:P,MATCH(テンプレート!$C996,使用レシピ!$E:$E,0))&lt;&gt;0,INDEX(使用レシピ!P:P,MATCH(テンプレート!$C996,使用レシピ!$E:$E,0)),""),"")</f>
        <v/>
      </c>
      <c r="P996" t="str">
        <f t="shared" si="76"/>
        <v/>
      </c>
      <c r="Q996" t="str">
        <f t="shared" si="77"/>
        <v/>
      </c>
      <c r="R996" t="str">
        <f t="shared" si="78"/>
        <v/>
      </c>
      <c r="S996" t="str">
        <f t="shared" si="79"/>
        <v/>
      </c>
      <c r="T996" s="24" t="str">
        <f t="shared" si="80"/>
        <v/>
      </c>
    </row>
    <row r="997" spans="1:20" x14ac:dyDescent="0.4">
      <c r="B997" s="49" t="str" cm="1">
        <f t="array" ref="B997">IFERROR((INDEX($P$4:$T$1000,MATCH(VALUE(LEFT($A997,LEN($A997)-1)),$A$4:$A$1000,0),VALUE(RIGHT($A997,1)))/ INDEX($O$4:$O$1000,MATCH(VALUE(LEFT($A997,LEN($A997)-1)),$A$4:$A$1000))) * INDEX($B$4:$B$1000,MATCH(VALUE(LEFT($A997,LEN($A997)-1)),$A$4:$A$1000)),"")</f>
        <v/>
      </c>
      <c r="C997" s="2" t="str" cm="1">
        <f t="array" ref="C997">IFERROR(IF(INDEX($D$4:$H$1000,MATCH(VALUE(LEFT($A997,LEN($A997)-1)),$A$4:$A$1000,0),VALUE(RIGHT($A997,1)))= 0,"",INDEX($D$4:$H$1000,MATCH(VALUE(LEFT($A997,LEN($A997)-1)),$A$4:$A$1000,0),VALUE(RIGHT($A997,1)))),"")</f>
        <v/>
      </c>
      <c r="D997" s="23" t="str">
        <f>IFERROR(IF(INDEX(使用レシピ!F:F,MATCH(テンプレート!$C997,使用レシピ!$E:$E,0))&lt;&gt;0,INDEX(使用レシピ!F:F,MATCH(テンプレート!$C997,使用レシピ!$E:$E,0)),""),"")</f>
        <v/>
      </c>
      <c r="E997" t="str">
        <f>IFERROR(IF(INDEX(使用レシピ!G:G,MATCH(テンプレート!$C997,使用レシピ!$E:$E,0))&lt;&gt;0,INDEX(使用レシピ!G:G,MATCH(テンプレート!$C997,使用レシピ!$E:$E,0)),""),"")</f>
        <v/>
      </c>
      <c r="F997" t="str">
        <f>IFERROR(IF(INDEX(使用レシピ!H:H,MATCH(テンプレート!$C997,使用レシピ!$E:$E,0))&lt;&gt;0,INDEX(使用レシピ!H:H,MATCH(テンプレート!$C997,使用レシピ!$E:$E,0)),""),"")</f>
        <v/>
      </c>
      <c r="G997" t="str">
        <f>IFERROR(IF(INDEX(使用レシピ!I:I,MATCH(テンプレート!$C997,使用レシピ!$E:$E,0))&lt;&gt;0,INDEX(使用レシピ!I:I,MATCH(テンプレート!$C997,使用レシピ!$E:$E,0)),""),"")</f>
        <v/>
      </c>
      <c r="H997" s="24" t="str">
        <f>IFERROR(IF(INDEX(使用レシピ!J:J,MATCH(テンプレート!$C997,使用レシピ!$E:$E,0))&lt;&gt;0,INDEX(使用レシピ!J:J,MATCH(テンプレート!$C997,使用レシピ!$E:$E,0)),""),"")</f>
        <v/>
      </c>
      <c r="I997" s="36" t="str">
        <f>IFERROR(IF(INDEX(使用レシピ!P:P,MATCH(テンプレート!$C997,使用レシピ!$E:$E,0))&lt;&gt;0,INDEX(使用レシピ!P:P,MATCH(テンプレート!$C997,使用レシピ!$E:$E,0)),""),"")</f>
        <v/>
      </c>
      <c r="J997" t="str">
        <f>IFERROR(IF(INDEX(使用レシピ!K:K,MATCH(テンプレート!$C997,使用レシピ!$E:$E,0))&lt;&gt;0,INDEX(使用レシピ!K:K,MATCH(テンプレート!$C997,使用レシピ!$E:$E,0)),""),"")</f>
        <v/>
      </c>
      <c r="K997" t="str">
        <f>IFERROR(IF(INDEX(使用レシピ!L:L,MATCH(テンプレート!$C997,使用レシピ!$E:$E,0))&lt;&gt;0,INDEX(使用レシピ!L:L,MATCH(テンプレート!$C997,使用レシピ!$E:$E,0)),""),"")</f>
        <v/>
      </c>
      <c r="L997" t="str">
        <f>IFERROR(IF(INDEX(使用レシピ!M:M,MATCH(テンプレート!$C997,使用レシピ!$E:$E,0))&lt;&gt;0,INDEX(使用レシピ!M:M,MATCH(テンプレート!$C997,使用レシピ!$E:$E,0)),""),"")</f>
        <v/>
      </c>
      <c r="M997" t="str">
        <f>IFERROR(IF(INDEX(使用レシピ!N:N,MATCH(テンプレート!$C997,使用レシピ!$E:$E,0))&lt;&gt;0,INDEX(使用レシピ!N:N,MATCH(テンプレート!$C997,使用レシピ!$E:$E,0)),""),"")</f>
        <v/>
      </c>
      <c r="N997" s="24" t="str">
        <f>IFERROR(IF(INDEX(使用レシピ!O:O,MATCH(テンプレート!$C997,使用レシピ!$E:$E,0))&lt;&gt;0,INDEX(使用レシピ!O:O,MATCH(テンプレート!$C997,使用レシピ!$E:$E,0)),""),"")</f>
        <v/>
      </c>
      <c r="O997" s="36" t="str">
        <f>IFERROR(IF(INDEX(使用レシピ!P:P,MATCH(テンプレート!$C997,使用レシピ!$E:$E,0))&lt;&gt;0,INDEX(使用レシピ!P:P,MATCH(テンプレート!$C997,使用レシピ!$E:$E,0)),""),"")</f>
        <v/>
      </c>
      <c r="P997" t="str">
        <f t="shared" si="76"/>
        <v/>
      </c>
      <c r="Q997" t="str">
        <f t="shared" si="77"/>
        <v/>
      </c>
      <c r="R997" t="str">
        <f t="shared" si="78"/>
        <v/>
      </c>
      <c r="S997" t="str">
        <f t="shared" si="79"/>
        <v/>
      </c>
      <c r="T997" s="24" t="str">
        <f t="shared" si="80"/>
        <v/>
      </c>
    </row>
    <row r="998" spans="1:20" x14ac:dyDescent="0.4">
      <c r="B998" s="49" t="str" cm="1">
        <f t="array" ref="B998">IFERROR((INDEX($P$4:$T$1000,MATCH(VALUE(LEFT($A998,LEN($A998)-1)),$A$4:$A$1000,0),VALUE(RIGHT($A998,1)))/ INDEX($O$4:$O$1000,MATCH(VALUE(LEFT($A998,LEN($A998)-1)),$A$4:$A$1000))) * INDEX($B$4:$B$1000,MATCH(VALUE(LEFT($A998,LEN($A998)-1)),$A$4:$A$1000)),"")</f>
        <v/>
      </c>
      <c r="C998" s="2" t="str" cm="1">
        <f t="array" ref="C998">IFERROR(IF(INDEX($D$4:$H$1000,MATCH(VALUE(LEFT($A998,LEN($A998)-1)),$A$4:$A$1000,0),VALUE(RIGHT($A998,1)))= 0,"",INDEX($D$4:$H$1000,MATCH(VALUE(LEFT($A998,LEN($A998)-1)),$A$4:$A$1000,0),VALUE(RIGHT($A998,1)))),"")</f>
        <v/>
      </c>
      <c r="D998" s="23" t="str">
        <f>IFERROR(IF(INDEX(使用レシピ!F:F,MATCH(テンプレート!$C998,使用レシピ!$E:$E,0))&lt;&gt;0,INDEX(使用レシピ!F:F,MATCH(テンプレート!$C998,使用レシピ!$E:$E,0)),""),"")</f>
        <v/>
      </c>
      <c r="E998" t="str">
        <f>IFERROR(IF(INDEX(使用レシピ!G:G,MATCH(テンプレート!$C998,使用レシピ!$E:$E,0))&lt;&gt;0,INDEX(使用レシピ!G:G,MATCH(テンプレート!$C998,使用レシピ!$E:$E,0)),""),"")</f>
        <v/>
      </c>
      <c r="F998" t="str">
        <f>IFERROR(IF(INDEX(使用レシピ!H:H,MATCH(テンプレート!$C998,使用レシピ!$E:$E,0))&lt;&gt;0,INDEX(使用レシピ!H:H,MATCH(テンプレート!$C998,使用レシピ!$E:$E,0)),""),"")</f>
        <v/>
      </c>
      <c r="G998" t="str">
        <f>IFERROR(IF(INDEX(使用レシピ!I:I,MATCH(テンプレート!$C998,使用レシピ!$E:$E,0))&lt;&gt;0,INDEX(使用レシピ!I:I,MATCH(テンプレート!$C998,使用レシピ!$E:$E,0)),""),"")</f>
        <v/>
      </c>
      <c r="H998" s="24" t="str">
        <f>IFERROR(IF(INDEX(使用レシピ!J:J,MATCH(テンプレート!$C998,使用レシピ!$E:$E,0))&lt;&gt;0,INDEX(使用レシピ!J:J,MATCH(テンプレート!$C998,使用レシピ!$E:$E,0)),""),"")</f>
        <v/>
      </c>
      <c r="I998" s="36" t="str">
        <f>IFERROR(IF(INDEX(使用レシピ!P:P,MATCH(テンプレート!$C998,使用レシピ!$E:$E,0))&lt;&gt;0,INDEX(使用レシピ!P:P,MATCH(テンプレート!$C998,使用レシピ!$E:$E,0)),""),"")</f>
        <v/>
      </c>
      <c r="J998" t="str">
        <f>IFERROR(IF(INDEX(使用レシピ!K:K,MATCH(テンプレート!$C998,使用レシピ!$E:$E,0))&lt;&gt;0,INDEX(使用レシピ!K:K,MATCH(テンプレート!$C998,使用レシピ!$E:$E,0)),""),"")</f>
        <v/>
      </c>
      <c r="K998" t="str">
        <f>IFERROR(IF(INDEX(使用レシピ!L:L,MATCH(テンプレート!$C998,使用レシピ!$E:$E,0))&lt;&gt;0,INDEX(使用レシピ!L:L,MATCH(テンプレート!$C998,使用レシピ!$E:$E,0)),""),"")</f>
        <v/>
      </c>
      <c r="L998" t="str">
        <f>IFERROR(IF(INDEX(使用レシピ!M:M,MATCH(テンプレート!$C998,使用レシピ!$E:$E,0))&lt;&gt;0,INDEX(使用レシピ!M:M,MATCH(テンプレート!$C998,使用レシピ!$E:$E,0)),""),"")</f>
        <v/>
      </c>
      <c r="M998" t="str">
        <f>IFERROR(IF(INDEX(使用レシピ!N:N,MATCH(テンプレート!$C998,使用レシピ!$E:$E,0))&lt;&gt;0,INDEX(使用レシピ!N:N,MATCH(テンプレート!$C998,使用レシピ!$E:$E,0)),""),"")</f>
        <v/>
      </c>
      <c r="N998" s="24" t="str">
        <f>IFERROR(IF(INDEX(使用レシピ!O:O,MATCH(テンプレート!$C998,使用レシピ!$E:$E,0))&lt;&gt;0,INDEX(使用レシピ!O:O,MATCH(テンプレート!$C998,使用レシピ!$E:$E,0)),""),"")</f>
        <v/>
      </c>
      <c r="O998" s="36" t="str">
        <f>IFERROR(IF(INDEX(使用レシピ!P:P,MATCH(テンプレート!$C998,使用レシピ!$E:$E,0))&lt;&gt;0,INDEX(使用レシピ!P:P,MATCH(テンプレート!$C998,使用レシピ!$E:$E,0)),""),"")</f>
        <v/>
      </c>
      <c r="P998" t="str">
        <f t="shared" si="76"/>
        <v/>
      </c>
      <c r="Q998" t="str">
        <f t="shared" si="77"/>
        <v/>
      </c>
      <c r="R998" t="str">
        <f t="shared" si="78"/>
        <v/>
      </c>
      <c r="S998" t="str">
        <f t="shared" si="79"/>
        <v/>
      </c>
      <c r="T998" s="24" t="str">
        <f t="shared" si="80"/>
        <v/>
      </c>
    </row>
    <row r="999" spans="1:20" x14ac:dyDescent="0.4">
      <c r="B999" s="49" t="str" cm="1">
        <f t="array" ref="B999">IFERROR((INDEX($P$4:$T$1000,MATCH(VALUE(LEFT($A999,LEN($A999)-1)),$A$4:$A$1000,0),VALUE(RIGHT($A999,1)))/ INDEX($O$4:$O$1000,MATCH(VALUE(LEFT($A999,LEN($A999)-1)),$A$4:$A$1000))) * INDEX($B$4:$B$1000,MATCH(VALUE(LEFT($A999,LEN($A999)-1)),$A$4:$A$1000)),"")</f>
        <v/>
      </c>
      <c r="C999" s="2" t="str" cm="1">
        <f t="array" ref="C999">IFERROR(IF(INDEX($D$4:$H$1000,MATCH(VALUE(LEFT($A999,LEN($A999)-1)),$A$4:$A$1000,0),VALUE(RIGHT($A999,1)))= 0,"",INDEX($D$4:$H$1000,MATCH(VALUE(LEFT($A999,LEN($A999)-1)),$A$4:$A$1000,0),VALUE(RIGHT($A999,1)))),"")</f>
        <v/>
      </c>
      <c r="D999" s="23" t="str">
        <f>IFERROR(IF(INDEX(使用レシピ!F:F,MATCH(テンプレート!$C999,使用レシピ!$E:$E,0))&lt;&gt;0,INDEX(使用レシピ!F:F,MATCH(テンプレート!$C999,使用レシピ!$E:$E,0)),""),"")</f>
        <v/>
      </c>
      <c r="E999" t="str">
        <f>IFERROR(IF(INDEX(使用レシピ!G:G,MATCH(テンプレート!$C999,使用レシピ!$E:$E,0))&lt;&gt;0,INDEX(使用レシピ!G:G,MATCH(テンプレート!$C999,使用レシピ!$E:$E,0)),""),"")</f>
        <v/>
      </c>
      <c r="F999" t="str">
        <f>IFERROR(IF(INDEX(使用レシピ!H:H,MATCH(テンプレート!$C999,使用レシピ!$E:$E,0))&lt;&gt;0,INDEX(使用レシピ!H:H,MATCH(テンプレート!$C999,使用レシピ!$E:$E,0)),""),"")</f>
        <v/>
      </c>
      <c r="G999" t="str">
        <f>IFERROR(IF(INDEX(使用レシピ!I:I,MATCH(テンプレート!$C999,使用レシピ!$E:$E,0))&lt;&gt;0,INDEX(使用レシピ!I:I,MATCH(テンプレート!$C999,使用レシピ!$E:$E,0)),""),"")</f>
        <v/>
      </c>
      <c r="H999" s="24" t="str">
        <f>IFERROR(IF(INDEX(使用レシピ!J:J,MATCH(テンプレート!$C999,使用レシピ!$E:$E,0))&lt;&gt;0,INDEX(使用レシピ!J:J,MATCH(テンプレート!$C999,使用レシピ!$E:$E,0)),""),"")</f>
        <v/>
      </c>
      <c r="I999" s="36" t="str">
        <f>IFERROR(IF(INDEX(使用レシピ!P:P,MATCH(テンプレート!$C999,使用レシピ!$E:$E,0))&lt;&gt;0,INDEX(使用レシピ!P:P,MATCH(テンプレート!$C999,使用レシピ!$E:$E,0)),""),"")</f>
        <v/>
      </c>
      <c r="J999" t="str">
        <f>IFERROR(IF(INDEX(使用レシピ!K:K,MATCH(テンプレート!$C999,使用レシピ!$E:$E,0))&lt;&gt;0,INDEX(使用レシピ!K:K,MATCH(テンプレート!$C999,使用レシピ!$E:$E,0)),""),"")</f>
        <v/>
      </c>
      <c r="K999" t="str">
        <f>IFERROR(IF(INDEX(使用レシピ!L:L,MATCH(テンプレート!$C999,使用レシピ!$E:$E,0))&lt;&gt;0,INDEX(使用レシピ!L:L,MATCH(テンプレート!$C999,使用レシピ!$E:$E,0)),""),"")</f>
        <v/>
      </c>
      <c r="L999" t="str">
        <f>IFERROR(IF(INDEX(使用レシピ!M:M,MATCH(テンプレート!$C999,使用レシピ!$E:$E,0))&lt;&gt;0,INDEX(使用レシピ!M:M,MATCH(テンプレート!$C999,使用レシピ!$E:$E,0)),""),"")</f>
        <v/>
      </c>
      <c r="M999" t="str">
        <f>IFERROR(IF(INDEX(使用レシピ!N:N,MATCH(テンプレート!$C999,使用レシピ!$E:$E,0))&lt;&gt;0,INDEX(使用レシピ!N:N,MATCH(テンプレート!$C999,使用レシピ!$E:$E,0)),""),"")</f>
        <v/>
      </c>
      <c r="N999" s="24" t="str">
        <f>IFERROR(IF(INDEX(使用レシピ!O:O,MATCH(テンプレート!$C999,使用レシピ!$E:$E,0))&lt;&gt;0,INDEX(使用レシピ!O:O,MATCH(テンプレート!$C999,使用レシピ!$E:$E,0)),""),"")</f>
        <v/>
      </c>
      <c r="O999" s="36" t="str">
        <f>IFERROR(IF(INDEX(使用レシピ!P:P,MATCH(テンプレート!$C999,使用レシピ!$E:$E,0))&lt;&gt;0,INDEX(使用レシピ!P:P,MATCH(テンプレート!$C999,使用レシピ!$E:$E,0)),""),"")</f>
        <v/>
      </c>
      <c r="P999" t="str">
        <f t="shared" si="76"/>
        <v/>
      </c>
      <c r="Q999" t="str">
        <f t="shared" si="77"/>
        <v/>
      </c>
      <c r="R999" t="str">
        <f t="shared" si="78"/>
        <v/>
      </c>
      <c r="S999" t="str">
        <f t="shared" si="79"/>
        <v/>
      </c>
      <c r="T999" s="24" t="str">
        <f t="shared" si="80"/>
        <v/>
      </c>
    </row>
    <row r="1000" spans="1:20" ht="19.5" thickBot="1" x14ac:dyDescent="0.45">
      <c r="B1000" s="50" t="str" cm="1">
        <f t="array" ref="B1000">IFERROR((INDEX($P$4:$T$1000,MATCH(VALUE(LEFT($A1000,LEN($A1000)-1)),$A$4:$A$1000,0),VALUE(RIGHT($A1000,1)))/ INDEX($O$4:$O$1000,MATCH(VALUE(LEFT($A1000,LEN($A1000)-1)),$A$4:$A$1000))) * INDEX($B$4:$B$1000,MATCH(VALUE(LEFT($A1000,LEN($A1000)-1)),$A$4:$A$1000)),"")</f>
        <v/>
      </c>
      <c r="C1000" s="40" t="str" cm="1">
        <f t="array" ref="C1000">IFERROR(IF(INDEX($D$4:$H$1000,MATCH(VALUE(LEFT($A1000,LEN($A1000)-1)),$A$4:$A$1000,0),VALUE(RIGHT($A1000,1)))= 0,"",INDEX($D$4:$H$1000,MATCH(VALUE(LEFT($A1000,LEN($A1000)-1)),$A$4:$A$1000,0),VALUE(RIGHT($A1000,1)))),"")</f>
        <v/>
      </c>
      <c r="D1000" s="27" t="str">
        <f>IFERROR(IF(INDEX(使用レシピ!F:F,MATCH(テンプレート!$C1000,使用レシピ!$E:$E,0))&lt;&gt;0,INDEX(使用レシピ!F:F,MATCH(テンプレート!$C1000,使用レシピ!$E:$E,0)),""),"")</f>
        <v/>
      </c>
      <c r="E1000" s="28" t="str">
        <f>IFERROR(IF(INDEX(使用レシピ!G:G,MATCH(テンプレート!$C1000,使用レシピ!$E:$E,0))&lt;&gt;0,INDEX(使用レシピ!G:G,MATCH(テンプレート!$C1000,使用レシピ!$E:$E,0)),""),"")</f>
        <v/>
      </c>
      <c r="F1000" s="28" t="str">
        <f>IFERROR(IF(INDEX(使用レシピ!H:H,MATCH(テンプレート!$C1000,使用レシピ!$E:$E,0))&lt;&gt;0,INDEX(使用レシピ!H:H,MATCH(テンプレート!$C1000,使用レシピ!$E:$E,0)),""),"")</f>
        <v/>
      </c>
      <c r="G1000" s="28" t="str">
        <f>IFERROR(IF(INDEX(使用レシピ!I:I,MATCH(テンプレート!$C1000,使用レシピ!$E:$E,0))&lt;&gt;0,INDEX(使用レシピ!I:I,MATCH(テンプレート!$C1000,使用レシピ!$E:$E,0)),""),"")</f>
        <v/>
      </c>
      <c r="H1000" s="29" t="str">
        <f>IFERROR(IF(INDEX(使用レシピ!J:J,MATCH(テンプレート!$C1000,使用レシピ!$E:$E,0))&lt;&gt;0,INDEX(使用レシピ!J:J,MATCH(テンプレート!$C1000,使用レシピ!$E:$E,0)),""),"")</f>
        <v/>
      </c>
      <c r="I1000" s="37" t="str">
        <f>IFERROR(IF(INDEX(使用レシピ!P:P,MATCH(テンプレート!$C1000,使用レシピ!$E:$E,0))&lt;&gt;0,INDEX(使用レシピ!P:P,MATCH(テンプレート!$C1000,使用レシピ!$E:$E,0)),""),"")</f>
        <v/>
      </c>
      <c r="J1000" s="28" t="str">
        <f>IFERROR(IF(INDEX(使用レシピ!K:K,MATCH(テンプレート!$C1000,使用レシピ!$E:$E,0))&lt;&gt;0,INDEX(使用レシピ!K:K,MATCH(テンプレート!$C1000,使用レシピ!$E:$E,0)),""),"")</f>
        <v/>
      </c>
      <c r="K1000" s="28" t="str">
        <f>IFERROR(IF(INDEX(使用レシピ!L:L,MATCH(テンプレート!$C1000,使用レシピ!$E:$E,0))&lt;&gt;0,INDEX(使用レシピ!L:L,MATCH(テンプレート!$C1000,使用レシピ!$E:$E,0)),""),"")</f>
        <v/>
      </c>
      <c r="L1000" s="28" t="str">
        <f>IFERROR(IF(INDEX(使用レシピ!M:M,MATCH(テンプレート!$C1000,使用レシピ!$E:$E,0))&lt;&gt;0,INDEX(使用レシピ!M:M,MATCH(テンプレート!$C1000,使用レシピ!$E:$E,0)),""),"")</f>
        <v/>
      </c>
      <c r="M1000" s="28" t="str">
        <f>IFERROR(IF(INDEX(使用レシピ!N:N,MATCH(テンプレート!$C1000,使用レシピ!$E:$E,0))&lt;&gt;0,INDEX(使用レシピ!N:N,MATCH(テンプレート!$C1000,使用レシピ!$E:$E,0)),""),"")</f>
        <v/>
      </c>
      <c r="N1000" s="29" t="str">
        <f>IFERROR(IF(INDEX(使用レシピ!O:O,MATCH(テンプレート!$C1000,使用レシピ!$E:$E,0))&lt;&gt;0,INDEX(使用レシピ!O:O,MATCH(テンプレート!$C1000,使用レシピ!$E:$E,0)),""),"")</f>
        <v/>
      </c>
      <c r="O1000" s="37" t="str">
        <f>IFERROR(IF(INDEX(使用レシピ!P:P,MATCH(テンプレート!$C1000,使用レシピ!$E:$E,0))&lt;&gt;0,INDEX(使用レシピ!P:P,MATCH(テンプレート!$C1000,使用レシピ!$E:$E,0)),""),"")</f>
        <v/>
      </c>
      <c r="P1000" s="28" t="str">
        <f t="shared" si="76"/>
        <v/>
      </c>
      <c r="Q1000" s="28" t="str">
        <f t="shared" si="77"/>
        <v/>
      </c>
      <c r="R1000" s="28" t="str">
        <f t="shared" si="78"/>
        <v/>
      </c>
      <c r="S1000" s="28" t="str">
        <f t="shared" si="79"/>
        <v/>
      </c>
      <c r="T1000" s="29" t="str">
        <f t="shared" si="80"/>
        <v/>
      </c>
    </row>
    <row r="1001" spans="1:20" x14ac:dyDescent="0.4">
      <c r="A1001" s="34" t="s">
        <v>13</v>
      </c>
      <c r="B1001" s="35" t="s">
        <v>13</v>
      </c>
      <c r="C1001" s="34" t="s">
        <v>13</v>
      </c>
      <c r="D1001" s="34" t="s">
        <v>13</v>
      </c>
      <c r="E1001" s="34" t="s">
        <v>13</v>
      </c>
      <c r="F1001" s="34" t="s">
        <v>13</v>
      </c>
      <c r="G1001" s="34" t="s">
        <v>13</v>
      </c>
      <c r="H1001" s="34" t="s">
        <v>13</v>
      </c>
      <c r="I1001" s="34" t="s">
        <v>13</v>
      </c>
      <c r="J1001" s="34" t="s">
        <v>13</v>
      </c>
      <c r="K1001" s="34" t="s">
        <v>13</v>
      </c>
      <c r="L1001" s="34" t="s">
        <v>13</v>
      </c>
      <c r="M1001" s="34" t="s">
        <v>13</v>
      </c>
      <c r="N1001" s="34" t="s">
        <v>13</v>
      </c>
      <c r="O1001" s="34" t="s">
        <v>13</v>
      </c>
      <c r="P1001" s="34" t="s">
        <v>13</v>
      </c>
      <c r="Q1001" s="34" t="s">
        <v>13</v>
      </c>
      <c r="R1001" s="34" t="s">
        <v>13</v>
      </c>
      <c r="S1001" s="34" t="s">
        <v>13</v>
      </c>
      <c r="T1001" s="34" t="s">
        <v>13</v>
      </c>
    </row>
  </sheetData>
  <mergeCells count="14">
    <mergeCell ref="B1:B3"/>
    <mergeCell ref="A1:A3"/>
    <mergeCell ref="O1:T1"/>
    <mergeCell ref="C1:H1"/>
    <mergeCell ref="I1:N1"/>
    <mergeCell ref="D2:G2"/>
    <mergeCell ref="P2:S2"/>
    <mergeCell ref="J2:M2"/>
    <mergeCell ref="C2:C3"/>
    <mergeCell ref="H2:H3"/>
    <mergeCell ref="I2:I3"/>
    <mergeCell ref="N2:N3"/>
    <mergeCell ref="O2:O3"/>
    <mergeCell ref="T2:T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Q200"/>
  <sheetViews>
    <sheetView workbookViewId="0">
      <pane ySplit="1" topLeftCell="A2" activePane="bottomLeft" state="frozen"/>
      <selection pane="bottomLeft" activeCell="F144" sqref="F144"/>
    </sheetView>
  </sheetViews>
  <sheetFormatPr defaultRowHeight="18.75" x14ac:dyDescent="0.4"/>
  <cols>
    <col min="1" max="1" width="10" style="84" customWidth="1"/>
    <col min="2" max="2" width="5.375" style="14" bestFit="1" customWidth="1"/>
    <col min="3" max="3" width="5.375" style="15" customWidth="1"/>
    <col min="4" max="4" width="8" style="15" customWidth="1"/>
    <col min="5" max="5" width="29.375" style="15" bestFit="1" customWidth="1"/>
    <col min="6" max="10" width="13.875" style="15" customWidth="1"/>
    <col min="11" max="16" width="5.75" style="15" customWidth="1"/>
    <col min="17" max="17" width="5.75" style="87" customWidth="1"/>
  </cols>
  <sheetData>
    <row r="1" spans="1:17" ht="19.5" thickBot="1" x14ac:dyDescent="0.45">
      <c r="A1" s="83" t="s">
        <v>20</v>
      </c>
      <c r="B1" s="82" t="s">
        <v>21</v>
      </c>
      <c r="C1" s="78" t="s">
        <v>302</v>
      </c>
      <c r="D1" s="78" t="s">
        <v>19</v>
      </c>
      <c r="E1" s="79" t="s">
        <v>22</v>
      </c>
      <c r="F1" s="12" t="s">
        <v>23</v>
      </c>
      <c r="G1" s="12" t="s">
        <v>24</v>
      </c>
      <c r="H1" s="12" t="s">
        <v>25</v>
      </c>
      <c r="I1" s="12" t="s">
        <v>26</v>
      </c>
      <c r="J1" s="12" t="s">
        <v>27</v>
      </c>
      <c r="K1" s="12" t="s">
        <v>86</v>
      </c>
      <c r="L1" s="12" t="s">
        <v>87</v>
      </c>
      <c r="M1" s="12" t="s">
        <v>88</v>
      </c>
      <c r="N1" s="12" t="s">
        <v>89</v>
      </c>
      <c r="O1" s="12" t="s">
        <v>90</v>
      </c>
      <c r="P1" s="12" t="s">
        <v>91</v>
      </c>
      <c r="Q1" s="80" t="s">
        <v>69</v>
      </c>
    </row>
    <row r="2" spans="1:17" x14ac:dyDescent="0.4">
      <c r="A2" s="84">
        <v>2</v>
      </c>
      <c r="B2" s="21" t="str">
        <f>IF(ISNUMBER(C2),C2 &amp; RIGHT("00"&amp;A2,2),"")</f>
        <v>102</v>
      </c>
      <c r="C2" s="81">
        <f>IF(COUNTIF(レシピ一覧!$B:$B,ROW()-1),ROW()-1,"")</f>
        <v>1</v>
      </c>
      <c r="D2" s="15">
        <f>IF(E2="","",COUNTIF(レシピ一覧!$D$2:$D$500,使用レシピ!E2))</f>
        <v>5</v>
      </c>
      <c r="E2" s="57" t="str">
        <f>IFERROR( INDEX(レシピ一覧!$D:$D,MATCH(使用レシピ!$C2,レシピ一覧!$B:$B,0))&amp;"","")</f>
        <v>鉄のインゴット</v>
      </c>
      <c r="F2" s="85" t="str">
        <f>IF($B2 = "","",INDEX(レシピ一覧!E:E,MATCH(使用レシピ!$B2,レシピ一覧!$A:$A,0))) &amp;""</f>
        <v>鉄鉱石</v>
      </c>
      <c r="G2" s="85" t="str">
        <f>IF($B2 = "","",INDEX(レシピ一覧!F:F,MATCH(使用レシピ!$B2,レシピ一覧!$A:$A,0))) &amp;""</f>
        <v>水</v>
      </c>
      <c r="H2" s="85" t="str">
        <f>IF($B2 = "","",INDEX(レシピ一覧!G:G,MATCH(使用レシピ!$B2,レシピ一覧!$A:$A,0))) &amp;""</f>
        <v/>
      </c>
      <c r="I2" s="85" t="str">
        <f>IF($B2 = "","",INDEX(レシピ一覧!H:H,MATCH(使用レシピ!$B2,レシピ一覧!$A:$A,0))) &amp;""</f>
        <v/>
      </c>
      <c r="J2" s="85" t="str">
        <f>IF($B2 = "","",INDEX(レシピ一覧!I:I,MATCH(使用レシピ!$B2,レシピ一覧!$A:$A,0))) &amp;""</f>
        <v/>
      </c>
      <c r="K2" s="85">
        <f>IFERROR((IF($B2 = "","",INDEX(レシピ一覧!J:J,MATCH(使用レシピ!$B2,レシピ一覧!$A:$A,0)))&amp;"")*1,"")</f>
        <v>7</v>
      </c>
      <c r="L2" s="85">
        <f>IFERROR((IF($B2 = "","",INDEX(レシピ一覧!K:K,MATCH(使用レシピ!$B2,レシピ一覧!$A:$A,0)))&amp;"")*1,"")</f>
        <v>4</v>
      </c>
      <c r="M2" s="85" t="str">
        <f>IFERROR((IF($B2 = "","",INDEX(レシピ一覧!L:L,MATCH(使用レシピ!$B2,レシピ一覧!$A:$A,0)))&amp;"")*1,"")</f>
        <v/>
      </c>
      <c r="N2" s="85" t="str">
        <f>IFERROR((IF($B2 = "","",INDEX(レシピ一覧!M:M,MATCH(使用レシピ!$B2,レシピ一覧!$A:$A,0)))&amp;"")*1,"")</f>
        <v/>
      </c>
      <c r="O2" s="85" t="str">
        <f>IFERROR((IF($B2 = "","",INDEX(レシピ一覧!N:N,MATCH(使用レシピ!$B2,レシピ一覧!$A:$A,0)))&amp;"")*1,"")</f>
        <v/>
      </c>
      <c r="P2" s="85">
        <f>IFERROR((IF($B2 = "","",INDEX(レシピ一覧!O:O,MATCH(使用レシピ!$B2,レシピ一覧!$A:$A,0)))&amp;"")*1,"")</f>
        <v>13</v>
      </c>
      <c r="Q2" s="86">
        <f>IFERROR((IF($B2 = "","",INDEX(レシピ一覧!P:P,MATCH(使用レシピ!$B2,レシピ一覧!$A:$A,0)))&amp;"")*1,"")</f>
        <v>65</v>
      </c>
    </row>
    <row r="3" spans="1:17" x14ac:dyDescent="0.4">
      <c r="A3" s="84">
        <v>1</v>
      </c>
      <c r="B3" s="21" t="str">
        <f t="shared" ref="B3:B66" si="0">IF(ISNUMBER(C3),C3 &amp; RIGHT("00"&amp;A3,2),"")</f>
        <v>201</v>
      </c>
      <c r="C3" s="81">
        <f>IF(COUNTIF(レシピ一覧!$B:$B,ROW()-1),ROW()-1,"")</f>
        <v>2</v>
      </c>
      <c r="D3" s="15">
        <f>IF(E3="","",COUNTIF(レシピ一覧!$D$2:$D$500,使用レシピ!E3))</f>
        <v>2</v>
      </c>
      <c r="E3" s="57" t="str">
        <f>IFERROR( INDEX(レシピ一覧!$D:$D,MATCH(使用レシピ!$C3,レシピ一覧!$B:$B,0))&amp;"","")</f>
        <v>鉄鉱石</v>
      </c>
      <c r="F3" s="85" t="str">
        <f>IF($B3 = "","",INDEX(レシピ一覧!E:E,MATCH(使用レシピ!$B3,レシピ一覧!$A:$A,0))) &amp;""</f>
        <v/>
      </c>
      <c r="G3" s="85" t="str">
        <f>IF($B3 = "","",INDEX(レシピ一覧!F:F,MATCH(使用レシピ!$B3,レシピ一覧!$A:$A,0))) &amp;""</f>
        <v/>
      </c>
      <c r="H3" s="85" t="str">
        <f>IF($B3 = "","",INDEX(レシピ一覧!G:G,MATCH(使用レシピ!$B3,レシピ一覧!$A:$A,0))) &amp;""</f>
        <v/>
      </c>
      <c r="I3" s="85" t="str">
        <f>IF($B3 = "","",INDEX(レシピ一覧!H:H,MATCH(使用レシピ!$B3,レシピ一覧!$A:$A,0))) &amp;""</f>
        <v/>
      </c>
      <c r="J3" s="85" t="str">
        <f>IF($B3 = "","",INDEX(レシピ一覧!I:I,MATCH(使用レシピ!$B3,レシピ一覧!$A:$A,0))) &amp;""</f>
        <v/>
      </c>
      <c r="K3" s="85" t="str">
        <f>IFERROR((IF($B3 = "","",INDEX(レシピ一覧!J:J,MATCH(使用レシピ!$B3,レシピ一覧!$A:$A,0)))&amp;"")*1,"")</f>
        <v/>
      </c>
      <c r="L3" s="85" t="str">
        <f>IFERROR((IF($B3 = "","",INDEX(レシピ一覧!K:K,MATCH(使用レシピ!$B3,レシピ一覧!$A:$A,0)))&amp;"")*1,"")</f>
        <v/>
      </c>
      <c r="M3" s="85" t="str">
        <f>IFERROR((IF($B3 = "","",INDEX(レシピ一覧!L:L,MATCH(使用レシピ!$B3,レシピ一覧!$A:$A,0)))&amp;"")*1,"")</f>
        <v/>
      </c>
      <c r="N3" s="85" t="str">
        <f>IFERROR((IF($B3 = "","",INDEX(レシピ一覧!M:M,MATCH(使用レシピ!$B3,レシピ一覧!$A:$A,0)))&amp;"")*1,"")</f>
        <v/>
      </c>
      <c r="O3" s="85" t="str">
        <f>IFERROR((IF($B3 = "","",INDEX(レシピ一覧!N:N,MATCH(使用レシピ!$B3,レシピ一覧!$A:$A,0)))&amp;"")*1,"")</f>
        <v/>
      </c>
      <c r="P3" s="85">
        <f>IFERROR((IF($B3 = "","",INDEX(レシピ一覧!O:O,MATCH(使用レシピ!$B3,レシピ一覧!$A:$A,0)))&amp;"")*1,"")</f>
        <v>1</v>
      </c>
      <c r="Q3" s="86">
        <f>IFERROR((IF($B3 = "","",INDEX(レシピ一覧!P:P,MATCH(使用レシピ!$B3,レシピ一覧!$A:$A,0)))&amp;"")*1,"")</f>
        <v>1200</v>
      </c>
    </row>
    <row r="4" spans="1:17" x14ac:dyDescent="0.4">
      <c r="A4" s="84">
        <v>1</v>
      </c>
      <c r="B4" s="21" t="str">
        <f t="shared" si="0"/>
        <v>301</v>
      </c>
      <c r="C4" s="81">
        <f>IF(COUNTIF(レシピ一覧!$B:$B,ROW()-1),ROW()-1,"")</f>
        <v>3</v>
      </c>
      <c r="D4" s="15">
        <f>IF(E4="","",COUNTIF(レシピ一覧!$D$2:$D$500,使用レシピ!E4))</f>
        <v>3</v>
      </c>
      <c r="E4" s="57" t="str">
        <f>IFERROR( INDEX(レシピ一覧!$D:$D,MATCH(使用レシピ!$C4,レシピ一覧!$B:$B,0))&amp;"","")</f>
        <v>鉄板</v>
      </c>
      <c r="F4" s="85" t="str">
        <f>IF($B4 = "","",INDEX(レシピ一覧!E:E,MATCH(使用レシピ!$B4,レシピ一覧!$A:$A,0))) &amp;""</f>
        <v>鉄のインゴット</v>
      </c>
      <c r="G4" s="85" t="str">
        <f>IF($B4 = "","",INDEX(レシピ一覧!F:F,MATCH(使用レシピ!$B4,レシピ一覧!$A:$A,0))) &amp;""</f>
        <v/>
      </c>
      <c r="H4" s="85" t="str">
        <f>IF($B4 = "","",INDEX(レシピ一覧!G:G,MATCH(使用レシピ!$B4,レシピ一覧!$A:$A,0))) &amp;""</f>
        <v/>
      </c>
      <c r="I4" s="85" t="str">
        <f>IF($B4 = "","",INDEX(レシピ一覧!H:H,MATCH(使用レシピ!$B4,レシピ一覧!$A:$A,0))) &amp;""</f>
        <v/>
      </c>
      <c r="J4" s="85" t="str">
        <f>IF($B4 = "","",INDEX(レシピ一覧!I:I,MATCH(使用レシピ!$B4,レシピ一覧!$A:$A,0))) &amp;""</f>
        <v/>
      </c>
      <c r="K4" s="85">
        <f>IFERROR((IF($B4 = "","",INDEX(レシピ一覧!J:J,MATCH(使用レシピ!$B4,レシピ一覧!$A:$A,0)))&amp;"")*1,"")</f>
        <v>3</v>
      </c>
      <c r="L4" s="85" t="str">
        <f>IFERROR((IF($B4 = "","",INDEX(レシピ一覧!K:K,MATCH(使用レシピ!$B4,レシピ一覧!$A:$A,0)))&amp;"")*1,"")</f>
        <v/>
      </c>
      <c r="M4" s="85" t="str">
        <f>IFERROR((IF($B4 = "","",INDEX(レシピ一覧!L:L,MATCH(使用レシピ!$B4,レシピ一覧!$A:$A,0)))&amp;"")*1,"")</f>
        <v/>
      </c>
      <c r="N4" s="85" t="str">
        <f>IFERROR((IF($B4 = "","",INDEX(レシピ一覧!M:M,MATCH(使用レシピ!$B4,レシピ一覧!$A:$A,0)))&amp;"")*1,"")</f>
        <v/>
      </c>
      <c r="O4" s="85" t="str">
        <f>IFERROR((IF($B4 = "","",INDEX(レシピ一覧!N:N,MATCH(使用レシピ!$B4,レシピ一覧!$A:$A,0)))&amp;"")*1,"")</f>
        <v/>
      </c>
      <c r="P4" s="85">
        <f>IFERROR((IF($B4 = "","",INDEX(レシピ一覧!O:O,MATCH(使用レシピ!$B4,レシピ一覧!$A:$A,0)))&amp;"")*1,"")</f>
        <v>2</v>
      </c>
      <c r="Q4" s="86">
        <f>IFERROR((IF($B4 = "","",INDEX(レシピ一覧!P:P,MATCH(使用レシピ!$B4,レシピ一覧!$A:$A,0)))&amp;"")*1,"")</f>
        <v>20</v>
      </c>
    </row>
    <row r="5" spans="1:17" x14ac:dyDescent="0.4">
      <c r="A5" s="84">
        <v>1</v>
      </c>
      <c r="B5" s="21" t="str">
        <f t="shared" si="0"/>
        <v>401</v>
      </c>
      <c r="C5" s="81">
        <f>IF(COUNTIF(レシピ一覧!$B:$B,ROW()-1),ROW()-1,"")</f>
        <v>4</v>
      </c>
      <c r="D5" s="15">
        <f>IF(E5="","",COUNTIF(レシピ一覧!$D$2:$D$500,使用レシピ!E5))</f>
        <v>3</v>
      </c>
      <c r="E5" s="57" t="str">
        <f>IFERROR( INDEX(レシピ一覧!$D:$D,MATCH(使用レシピ!$C5,レシピ一覧!$B:$B,0))&amp;"","")</f>
        <v>鉄のロッド</v>
      </c>
      <c r="F5" s="85" t="str">
        <f>IF($B5 = "","",INDEX(レシピ一覧!E:E,MATCH(使用レシピ!$B5,レシピ一覧!$A:$A,0))) &amp;""</f>
        <v>鉄のインゴット</v>
      </c>
      <c r="G5" s="85" t="str">
        <f>IF($B5 = "","",INDEX(レシピ一覧!F:F,MATCH(使用レシピ!$B5,レシピ一覧!$A:$A,0))) &amp;""</f>
        <v/>
      </c>
      <c r="H5" s="85" t="str">
        <f>IF($B5 = "","",INDEX(レシピ一覧!G:G,MATCH(使用レシピ!$B5,レシピ一覧!$A:$A,0))) &amp;""</f>
        <v/>
      </c>
      <c r="I5" s="85" t="str">
        <f>IF($B5 = "","",INDEX(レシピ一覧!H:H,MATCH(使用レシピ!$B5,レシピ一覧!$A:$A,0))) &amp;""</f>
        <v/>
      </c>
      <c r="J5" s="85" t="str">
        <f>IF($B5 = "","",INDEX(レシピ一覧!I:I,MATCH(使用レシピ!$B5,レシピ一覧!$A:$A,0))) &amp;""</f>
        <v/>
      </c>
      <c r="K5" s="85">
        <f>IFERROR((IF($B5 = "","",INDEX(レシピ一覧!J:J,MATCH(使用レシピ!$B5,レシピ一覧!$A:$A,0)))&amp;"")*1,"")</f>
        <v>1</v>
      </c>
      <c r="L5" s="85" t="str">
        <f>IFERROR((IF($B5 = "","",INDEX(レシピ一覧!K:K,MATCH(使用レシピ!$B5,レシピ一覧!$A:$A,0)))&amp;"")*1,"")</f>
        <v/>
      </c>
      <c r="M5" s="85" t="str">
        <f>IFERROR((IF($B5 = "","",INDEX(レシピ一覧!L:L,MATCH(使用レシピ!$B5,レシピ一覧!$A:$A,0)))&amp;"")*1,"")</f>
        <v/>
      </c>
      <c r="N5" s="85" t="str">
        <f>IFERROR((IF($B5 = "","",INDEX(レシピ一覧!M:M,MATCH(使用レシピ!$B5,レシピ一覧!$A:$A,0)))&amp;"")*1,"")</f>
        <v/>
      </c>
      <c r="O5" s="85" t="str">
        <f>IFERROR((IF($B5 = "","",INDEX(レシピ一覧!N:N,MATCH(使用レシピ!$B5,レシピ一覧!$A:$A,0)))&amp;"")*1,"")</f>
        <v/>
      </c>
      <c r="P5" s="85">
        <f>IFERROR((IF($B5 = "","",INDEX(レシピ一覧!O:O,MATCH(使用レシピ!$B5,レシピ一覧!$A:$A,0)))&amp;"")*1,"")</f>
        <v>1</v>
      </c>
      <c r="Q5" s="86">
        <f>IFERROR((IF($B5 = "","",INDEX(レシピ一覧!P:P,MATCH(使用レシピ!$B5,レシピ一覧!$A:$A,0)))&amp;"")*1,"")</f>
        <v>15</v>
      </c>
    </row>
    <row r="6" spans="1:17" x14ac:dyDescent="0.4">
      <c r="A6" s="84">
        <v>2</v>
      </c>
      <c r="B6" s="21" t="str">
        <f t="shared" si="0"/>
        <v>502</v>
      </c>
      <c r="C6" s="81">
        <f>IF(COUNTIF(レシピ一覧!$B:$B,ROW()-1),ROW()-1,"")</f>
        <v>5</v>
      </c>
      <c r="D6" s="15">
        <f>IF(E6="","",COUNTIF(レシピ一覧!$D$2:$D$500,使用レシピ!E6))</f>
        <v>4</v>
      </c>
      <c r="E6" s="57" t="str">
        <f>IFERROR( INDEX(レシピ一覧!$D:$D,MATCH(使用レシピ!$C6,レシピ一覧!$B:$B,0))&amp;"","")</f>
        <v>強化鉄板</v>
      </c>
      <c r="F6" s="85" t="str">
        <f>IF($B6 = "","",INDEX(レシピ一覧!E:E,MATCH(使用レシピ!$B6,レシピ一覧!$A:$A,0))) &amp;""</f>
        <v>鉄板</v>
      </c>
      <c r="G6" s="85" t="str">
        <f>IF($B6 = "","",INDEX(レシピ一覧!F:F,MATCH(使用レシピ!$B6,レシピ一覧!$A:$A,0))) &amp;""</f>
        <v>ネジ</v>
      </c>
      <c r="H6" s="85" t="str">
        <f>IF($B6 = "","",INDEX(レシピ一覧!G:G,MATCH(使用レシピ!$B6,レシピ一覧!$A:$A,0))) &amp;""</f>
        <v/>
      </c>
      <c r="I6" s="85" t="str">
        <f>IF($B6 = "","",INDEX(レシピ一覧!H:H,MATCH(使用レシピ!$B6,レシピ一覧!$A:$A,0))) &amp;""</f>
        <v/>
      </c>
      <c r="J6" s="85" t="str">
        <f>IF($B6 = "","",INDEX(レシピ一覧!I:I,MATCH(使用レシピ!$B6,レシピ一覧!$A:$A,0))) &amp;""</f>
        <v/>
      </c>
      <c r="K6" s="85">
        <f>IFERROR((IF($B6 = "","",INDEX(レシピ一覧!J:J,MATCH(使用レシピ!$B6,レシピ一覧!$A:$A,0)))&amp;"")*1,"")</f>
        <v>18</v>
      </c>
      <c r="L6" s="85">
        <f>IFERROR((IF($B6 = "","",INDEX(レシピ一覧!K:K,MATCH(使用レシピ!$B6,レシピ一覧!$A:$A,0)))&amp;"")*1,"")</f>
        <v>50</v>
      </c>
      <c r="M6" s="85" t="str">
        <f>IFERROR((IF($B6 = "","",INDEX(レシピ一覧!L:L,MATCH(使用レシピ!$B6,レシピ一覧!$A:$A,0)))&amp;"")*1,"")</f>
        <v/>
      </c>
      <c r="N6" s="85" t="str">
        <f>IFERROR((IF($B6 = "","",INDEX(レシピ一覧!M:M,MATCH(使用レシピ!$B6,レシピ一覧!$A:$A,0)))&amp;"")*1,"")</f>
        <v/>
      </c>
      <c r="O6" s="85" t="str">
        <f>IFERROR((IF($B6 = "","",INDEX(レシピ一覧!N:N,MATCH(使用レシピ!$B6,レシピ一覧!$A:$A,0)))&amp;"")*1,"")</f>
        <v/>
      </c>
      <c r="P6" s="85">
        <f>IFERROR((IF($B6 = "","",INDEX(レシピ一覧!O:O,MATCH(使用レシピ!$B6,レシピ一覧!$A:$A,0)))&amp;"")*1,"")</f>
        <v>3</v>
      </c>
      <c r="Q6" s="86">
        <f>IFERROR((IF($B6 = "","",INDEX(レシピ一覧!P:P,MATCH(使用レシピ!$B6,レシピ一覧!$A:$A,0)))&amp;"")*1,"")</f>
        <v>15</v>
      </c>
    </row>
    <row r="7" spans="1:17" x14ac:dyDescent="0.4">
      <c r="A7" s="84">
        <v>1</v>
      </c>
      <c r="B7" s="21" t="str">
        <f t="shared" si="0"/>
        <v>601</v>
      </c>
      <c r="C7" s="81">
        <f>IF(COUNTIF(レシピ一覧!$B:$B,ROW()-1),ROW()-1,"")</f>
        <v>6</v>
      </c>
      <c r="D7" s="15">
        <f>IF(E7="","",COUNTIF(レシピ一覧!$D$2:$D$500,使用レシピ!E7))</f>
        <v>4</v>
      </c>
      <c r="E7" s="57" t="str">
        <f>IFERROR( INDEX(レシピ一覧!$D:$D,MATCH(使用レシピ!$C7,レシピ一覧!$B:$B,0))&amp;"","")</f>
        <v>ケーブル</v>
      </c>
      <c r="F7" s="85" t="str">
        <f>IF($B7 = "","",INDEX(レシピ一覧!E:E,MATCH(使用レシピ!$B7,レシピ一覧!$A:$A,0))) &amp;""</f>
        <v>ワイヤー</v>
      </c>
      <c r="G7" s="85" t="str">
        <f>IF($B7 = "","",INDEX(レシピ一覧!F:F,MATCH(使用レシピ!$B7,レシピ一覧!$A:$A,0))) &amp;""</f>
        <v/>
      </c>
      <c r="H7" s="85" t="str">
        <f>IF($B7 = "","",INDEX(レシピ一覧!G:G,MATCH(使用レシピ!$B7,レシピ一覧!$A:$A,0))) &amp;""</f>
        <v/>
      </c>
      <c r="I7" s="85" t="str">
        <f>IF($B7 = "","",INDEX(レシピ一覧!H:H,MATCH(使用レシピ!$B7,レシピ一覧!$A:$A,0))) &amp;""</f>
        <v/>
      </c>
      <c r="J7" s="85" t="str">
        <f>IF($B7 = "","",INDEX(レシピ一覧!I:I,MATCH(使用レシピ!$B7,レシピ一覧!$A:$A,0))) &amp;""</f>
        <v/>
      </c>
      <c r="K7" s="85">
        <f>IFERROR((IF($B7 = "","",INDEX(レシピ一覧!J:J,MATCH(使用レシピ!$B7,レシピ一覧!$A:$A,0)))&amp;"")*1,"")</f>
        <v>2</v>
      </c>
      <c r="L7" s="85" t="str">
        <f>IFERROR((IF($B7 = "","",INDEX(レシピ一覧!K:K,MATCH(使用レシピ!$B7,レシピ一覧!$A:$A,0)))&amp;"")*1,"")</f>
        <v/>
      </c>
      <c r="M7" s="85" t="str">
        <f>IFERROR((IF($B7 = "","",INDEX(レシピ一覧!L:L,MATCH(使用レシピ!$B7,レシピ一覧!$A:$A,0)))&amp;"")*1,"")</f>
        <v/>
      </c>
      <c r="N7" s="85" t="str">
        <f>IFERROR((IF($B7 = "","",INDEX(レシピ一覧!M:M,MATCH(使用レシピ!$B7,レシピ一覧!$A:$A,0)))&amp;"")*1,"")</f>
        <v/>
      </c>
      <c r="O7" s="85" t="str">
        <f>IFERROR((IF($B7 = "","",INDEX(レシピ一覧!N:N,MATCH(使用レシピ!$B7,レシピ一覧!$A:$A,0)))&amp;"")*1,"")</f>
        <v/>
      </c>
      <c r="P7" s="85">
        <f>IFERROR((IF($B7 = "","",INDEX(レシピ一覧!O:O,MATCH(使用レシピ!$B7,レシピ一覧!$A:$A,0)))&amp;"")*1,"")</f>
        <v>1</v>
      </c>
      <c r="Q7" s="86">
        <f>IFERROR((IF($B7 = "","",INDEX(レシピ一覧!P:P,MATCH(使用レシピ!$B7,レシピ一覧!$A:$A,0)))&amp;"")*1,"")</f>
        <v>30</v>
      </c>
    </row>
    <row r="8" spans="1:17" x14ac:dyDescent="0.4">
      <c r="A8" s="84">
        <v>1</v>
      </c>
      <c r="B8" s="21" t="str">
        <f t="shared" si="0"/>
        <v>701</v>
      </c>
      <c r="C8" s="81">
        <f>IF(COUNTIF(レシピ一覧!$B:$B,ROW()-1),ROW()-1,"")</f>
        <v>7</v>
      </c>
      <c r="D8" s="15">
        <f>IF(E8="","",COUNTIF(レシピ一覧!$D$2:$D$500,使用レシピ!E8))</f>
        <v>4</v>
      </c>
      <c r="E8" s="57" t="str">
        <f>IFERROR( INDEX(レシピ一覧!$D:$D,MATCH(使用レシピ!$C8,レシピ一覧!$B:$B,0))&amp;"","")</f>
        <v>ワイヤー</v>
      </c>
      <c r="F8" s="85" t="str">
        <f>IF($B8 = "","",INDEX(レシピ一覧!E:E,MATCH(使用レシピ!$B8,レシピ一覧!$A:$A,0))) &amp;""</f>
        <v>銅のインゴット</v>
      </c>
      <c r="G8" s="85" t="str">
        <f>IF($B8 = "","",INDEX(レシピ一覧!F:F,MATCH(使用レシピ!$B8,レシピ一覧!$A:$A,0))) &amp;""</f>
        <v/>
      </c>
      <c r="H8" s="85" t="str">
        <f>IF($B8 = "","",INDEX(レシピ一覧!G:G,MATCH(使用レシピ!$B8,レシピ一覧!$A:$A,0))) &amp;""</f>
        <v/>
      </c>
      <c r="I8" s="85" t="str">
        <f>IF($B8 = "","",INDEX(レシピ一覧!H:H,MATCH(使用レシピ!$B8,レシピ一覧!$A:$A,0))) &amp;""</f>
        <v/>
      </c>
      <c r="J8" s="85" t="str">
        <f>IF($B8 = "","",INDEX(レシピ一覧!I:I,MATCH(使用レシピ!$B8,レシピ一覧!$A:$A,0))) &amp;""</f>
        <v/>
      </c>
      <c r="K8" s="85">
        <f>IFERROR((IF($B8 = "","",INDEX(レシピ一覧!J:J,MATCH(使用レシピ!$B8,レシピ一覧!$A:$A,0)))&amp;"")*1,"")</f>
        <v>1</v>
      </c>
      <c r="L8" s="85" t="str">
        <f>IFERROR((IF($B8 = "","",INDEX(レシピ一覧!K:K,MATCH(使用レシピ!$B8,レシピ一覧!$A:$A,0)))&amp;"")*1,"")</f>
        <v/>
      </c>
      <c r="M8" s="85" t="str">
        <f>IFERROR((IF($B8 = "","",INDEX(レシピ一覧!L:L,MATCH(使用レシピ!$B8,レシピ一覧!$A:$A,0)))&amp;"")*1,"")</f>
        <v/>
      </c>
      <c r="N8" s="85" t="str">
        <f>IFERROR((IF($B8 = "","",INDEX(レシピ一覧!M:M,MATCH(使用レシピ!$B8,レシピ一覧!$A:$A,0)))&amp;"")*1,"")</f>
        <v/>
      </c>
      <c r="O8" s="85" t="str">
        <f>IFERROR((IF($B8 = "","",INDEX(レシピ一覧!N:N,MATCH(使用レシピ!$B8,レシピ一覧!$A:$A,0)))&amp;"")*1,"")</f>
        <v/>
      </c>
      <c r="P8" s="85">
        <f>IFERROR((IF($B8 = "","",INDEX(レシピ一覧!O:O,MATCH(使用レシピ!$B8,レシピ一覧!$A:$A,0)))&amp;"")*1,"")</f>
        <v>2</v>
      </c>
      <c r="Q8" s="86">
        <f>IFERROR((IF($B8 = "","",INDEX(レシピ一覧!P:P,MATCH(使用レシピ!$B8,レシピ一覧!$A:$A,0)))&amp;"")*1,"")</f>
        <v>30</v>
      </c>
    </row>
    <row r="9" spans="1:17" x14ac:dyDescent="0.4">
      <c r="A9" s="84">
        <v>4</v>
      </c>
      <c r="B9" s="21" t="str">
        <f t="shared" si="0"/>
        <v>804</v>
      </c>
      <c r="C9" s="81">
        <f>IF(COUNTIF(レシピ一覧!$B:$B,ROW()-1),ROW()-1,"")</f>
        <v>8</v>
      </c>
      <c r="D9" s="15">
        <f>IF(E9="","",COUNTIF(レシピ一覧!$D$2:$D$500,使用レシピ!E9))</f>
        <v>5</v>
      </c>
      <c r="E9" s="57" t="str">
        <f>IFERROR( INDEX(レシピ一覧!$D:$D,MATCH(使用レシピ!$C9,レシピ一覧!$B:$B,0))&amp;"","")</f>
        <v>銅のインゴット</v>
      </c>
      <c r="F9" s="85" t="str">
        <f>IF($B9 = "","",INDEX(レシピ一覧!E:E,MATCH(使用レシピ!$B9,レシピ一覧!$A:$A,0))) &amp;""</f>
        <v>銅鉱石</v>
      </c>
      <c r="G9" s="85" t="str">
        <f>IF($B9 = "","",INDEX(レシピ一覧!F:F,MATCH(使用レシピ!$B9,レシピ一覧!$A:$A,0))) &amp;""</f>
        <v>水</v>
      </c>
      <c r="H9" s="85" t="str">
        <f>IF($B9 = "","",INDEX(レシピ一覧!G:G,MATCH(使用レシピ!$B9,レシピ一覧!$A:$A,0))) &amp;""</f>
        <v/>
      </c>
      <c r="I9" s="85" t="str">
        <f>IF($B9 = "","",INDEX(レシピ一覧!H:H,MATCH(使用レシピ!$B9,レシピ一覧!$A:$A,0))) &amp;""</f>
        <v/>
      </c>
      <c r="J9" s="85" t="str">
        <f>IF($B9 = "","",INDEX(レシピ一覧!I:I,MATCH(使用レシピ!$B9,レシピ一覧!$A:$A,0))) &amp;""</f>
        <v/>
      </c>
      <c r="K9" s="85">
        <f>IFERROR((IF($B9 = "","",INDEX(レシピ一覧!J:J,MATCH(使用レシピ!$B9,レシピ一覧!$A:$A,0)))&amp;"")*1,"")</f>
        <v>6</v>
      </c>
      <c r="L9" s="85">
        <f>IFERROR((IF($B9 = "","",INDEX(レシピ一覧!K:K,MATCH(使用レシピ!$B9,レシピ一覧!$A:$A,0)))&amp;"")*1,"")</f>
        <v>4</v>
      </c>
      <c r="M9" s="85" t="str">
        <f>IFERROR((IF($B9 = "","",INDEX(レシピ一覧!L:L,MATCH(使用レシピ!$B9,レシピ一覧!$A:$A,0)))&amp;"")*1,"")</f>
        <v/>
      </c>
      <c r="N9" s="85" t="str">
        <f>IFERROR((IF($B9 = "","",INDEX(レシピ一覧!M:M,MATCH(使用レシピ!$B9,レシピ一覧!$A:$A,0)))&amp;"")*1,"")</f>
        <v/>
      </c>
      <c r="O9" s="85" t="str">
        <f>IFERROR((IF($B9 = "","",INDEX(レシピ一覧!N:N,MATCH(使用レシピ!$B9,レシピ一覧!$A:$A,0)))&amp;"")*1,"")</f>
        <v/>
      </c>
      <c r="P9" s="85">
        <f>IFERROR((IF($B9 = "","",INDEX(レシピ一覧!O:O,MATCH(使用レシピ!$B9,レシピ一覧!$A:$A,0)))&amp;"")*1,"")</f>
        <v>15</v>
      </c>
      <c r="Q9" s="86">
        <f>IFERROR((IF($B9 = "","",INDEX(レシピ一覧!P:P,MATCH(使用レシピ!$B9,レシピ一覧!$A:$A,0)))&amp;"")*1,"")</f>
        <v>37.5</v>
      </c>
    </row>
    <row r="10" spans="1:17" x14ac:dyDescent="0.4">
      <c r="A10" s="84">
        <v>1</v>
      </c>
      <c r="B10" s="21" t="str">
        <f t="shared" si="0"/>
        <v>901</v>
      </c>
      <c r="C10" s="81">
        <f>IF(COUNTIF(レシピ一覧!$B:$B,ROW()-1),ROW()-1,"")</f>
        <v>9</v>
      </c>
      <c r="D10" s="15">
        <f>IF(E10="","",COUNTIF(レシピ一覧!$D$2:$D$500,使用レシピ!E10))</f>
        <v>3</v>
      </c>
      <c r="E10" s="57" t="str">
        <f>IFERROR( INDEX(レシピ一覧!$D:$D,MATCH(使用レシピ!$C10,レシピ一覧!$B:$B,0))&amp;"","")</f>
        <v>銅鉱石</v>
      </c>
      <c r="F10" s="85" t="str">
        <f>IF($B10 = "","",INDEX(レシピ一覧!E:E,MATCH(使用レシピ!$B10,レシピ一覧!$A:$A,0))) &amp;""</f>
        <v/>
      </c>
      <c r="G10" s="85" t="str">
        <f>IF($B10 = "","",INDEX(レシピ一覧!F:F,MATCH(使用レシピ!$B10,レシピ一覧!$A:$A,0))) &amp;""</f>
        <v/>
      </c>
      <c r="H10" s="85" t="str">
        <f>IF($B10 = "","",INDEX(レシピ一覧!G:G,MATCH(使用レシピ!$B10,レシピ一覧!$A:$A,0))) &amp;""</f>
        <v/>
      </c>
      <c r="I10" s="85" t="str">
        <f>IF($B10 = "","",INDEX(レシピ一覧!H:H,MATCH(使用レシピ!$B10,レシピ一覧!$A:$A,0))) &amp;""</f>
        <v/>
      </c>
      <c r="J10" s="85" t="str">
        <f>IF($B10 = "","",INDEX(レシピ一覧!I:I,MATCH(使用レシピ!$B10,レシピ一覧!$A:$A,0))) &amp;""</f>
        <v/>
      </c>
      <c r="K10" s="85" t="str">
        <f>IFERROR((IF($B10 = "","",INDEX(レシピ一覧!J:J,MATCH(使用レシピ!$B10,レシピ一覧!$A:$A,0)))&amp;"")*1,"")</f>
        <v/>
      </c>
      <c r="L10" s="85" t="str">
        <f>IFERROR((IF($B10 = "","",INDEX(レシピ一覧!K:K,MATCH(使用レシピ!$B10,レシピ一覧!$A:$A,0)))&amp;"")*1,"")</f>
        <v/>
      </c>
      <c r="M10" s="85" t="str">
        <f>IFERROR((IF($B10 = "","",INDEX(レシピ一覧!L:L,MATCH(使用レシピ!$B10,レシピ一覧!$A:$A,0)))&amp;"")*1,"")</f>
        <v/>
      </c>
      <c r="N10" s="85" t="str">
        <f>IFERROR((IF($B10 = "","",INDEX(レシピ一覧!M:M,MATCH(使用レシピ!$B10,レシピ一覧!$A:$A,0)))&amp;"")*1,"")</f>
        <v/>
      </c>
      <c r="O10" s="85" t="str">
        <f>IFERROR((IF($B10 = "","",INDEX(レシピ一覧!N:N,MATCH(使用レシピ!$B10,レシピ一覧!$A:$A,0)))&amp;"")*1,"")</f>
        <v/>
      </c>
      <c r="P10" s="85">
        <f>IFERROR((IF($B10 = "","",INDEX(レシピ一覧!O:O,MATCH(使用レシピ!$B10,レシピ一覧!$A:$A,0)))&amp;"")*1,"")</f>
        <v>1</v>
      </c>
      <c r="Q10" s="86">
        <f>IFERROR((IF($B10 = "","",INDEX(レシピ一覧!P:P,MATCH(使用レシピ!$B10,レシピ一覧!$A:$A,0)))&amp;"")*1,"")</f>
        <v>1200</v>
      </c>
    </row>
    <row r="11" spans="1:17" x14ac:dyDescent="0.4">
      <c r="A11" s="84">
        <v>3</v>
      </c>
      <c r="B11" s="21" t="str">
        <f t="shared" si="0"/>
        <v>1003</v>
      </c>
      <c r="C11" s="81">
        <f>IF(COUNTIF(レシピ一覧!$B:$B,ROW()-1),ROW()-1,"")</f>
        <v>10</v>
      </c>
      <c r="D11" s="15">
        <f>IF(E11="","",COUNTIF(レシピ一覧!$D$2:$D$500,使用レシピ!E11))</f>
        <v>4</v>
      </c>
      <c r="E11" s="57" t="str">
        <f>IFERROR( INDEX(レシピ一覧!$D:$D,MATCH(使用レシピ!$C11,レシピ一覧!$B:$B,0))&amp;"","")</f>
        <v>コンクリート</v>
      </c>
      <c r="F11" s="85" t="str">
        <f>IF($B11 = "","",INDEX(レシピ一覧!E:E,MATCH(使用レシピ!$B11,レシピ一覧!$A:$A,0))) &amp;""</f>
        <v>石灰岩</v>
      </c>
      <c r="G11" s="85" t="str">
        <f>IF($B11 = "","",INDEX(レシピ一覧!F:F,MATCH(使用レシピ!$B11,レシピ一覧!$A:$A,0))) &amp;""</f>
        <v>水</v>
      </c>
      <c r="H11" s="85" t="str">
        <f>IF($B11 = "","",INDEX(レシピ一覧!G:G,MATCH(使用レシピ!$B11,レシピ一覧!$A:$A,0))) &amp;""</f>
        <v/>
      </c>
      <c r="I11" s="85" t="str">
        <f>IF($B11 = "","",INDEX(レシピ一覧!H:H,MATCH(使用レシピ!$B11,レシピ一覧!$A:$A,0))) &amp;""</f>
        <v/>
      </c>
      <c r="J11" s="85" t="str">
        <f>IF($B11 = "","",INDEX(レシピ一覧!I:I,MATCH(使用レシピ!$B11,レシピ一覧!$A:$A,0))) &amp;""</f>
        <v/>
      </c>
      <c r="K11" s="85">
        <f>IFERROR((IF($B11 = "","",INDEX(レシピ一覧!J:J,MATCH(使用レシピ!$B11,レシピ一覧!$A:$A,0)))&amp;"")*1,"")</f>
        <v>6</v>
      </c>
      <c r="L11" s="85">
        <f>IFERROR((IF($B11 = "","",INDEX(レシピ一覧!K:K,MATCH(使用レシピ!$B11,レシピ一覧!$A:$A,0)))&amp;"")*1,"")</f>
        <v>5</v>
      </c>
      <c r="M11" s="85" t="str">
        <f>IFERROR((IF($B11 = "","",INDEX(レシピ一覧!L:L,MATCH(使用レシピ!$B11,レシピ一覧!$A:$A,0)))&amp;"")*1,"")</f>
        <v/>
      </c>
      <c r="N11" s="85" t="str">
        <f>IFERROR((IF($B11 = "","",INDEX(レシピ一覧!M:M,MATCH(使用レシピ!$B11,レシピ一覧!$A:$A,0)))&amp;"")*1,"")</f>
        <v/>
      </c>
      <c r="O11" s="85" t="str">
        <f>IFERROR((IF($B11 = "","",INDEX(レシピ一覧!N:N,MATCH(使用レシピ!$B11,レシピ一覧!$A:$A,0)))&amp;"")*1,"")</f>
        <v/>
      </c>
      <c r="P11" s="85">
        <f>IFERROR((IF($B11 = "","",INDEX(レシピ一覧!O:O,MATCH(使用レシピ!$B11,レシピ一覧!$A:$A,0)))&amp;"")*1,"")</f>
        <v>4</v>
      </c>
      <c r="Q11" s="86">
        <f>IFERROR((IF($B11 = "","",INDEX(レシピ一覧!P:P,MATCH(使用レシピ!$B11,レシピ一覧!$A:$A,0)))&amp;"")*1,"")</f>
        <v>80</v>
      </c>
    </row>
    <row r="12" spans="1:17" x14ac:dyDescent="0.4">
      <c r="A12" s="84">
        <v>1</v>
      </c>
      <c r="B12" s="21" t="str">
        <f t="shared" si="0"/>
        <v>1101</v>
      </c>
      <c r="C12" s="81">
        <f>IF(COUNTIF(レシピ一覧!$B:$B,ROW()-1),ROW()-1,"")</f>
        <v>11</v>
      </c>
      <c r="D12" s="15">
        <f>IF(E12="","",COUNTIF(レシピ一覧!$D$2:$D$500,使用レシピ!E12))</f>
        <v>2</v>
      </c>
      <c r="E12" s="57" t="str">
        <f>IFERROR( INDEX(レシピ一覧!$D:$D,MATCH(使用レシピ!$C12,レシピ一覧!$B:$B,0))&amp;"","")</f>
        <v>石灰岩</v>
      </c>
      <c r="F12" s="85" t="str">
        <f>IF($B12 = "","",INDEX(レシピ一覧!E:E,MATCH(使用レシピ!$B12,レシピ一覧!$A:$A,0))) &amp;""</f>
        <v/>
      </c>
      <c r="G12" s="85" t="str">
        <f>IF($B12 = "","",INDEX(レシピ一覧!F:F,MATCH(使用レシピ!$B12,レシピ一覧!$A:$A,0))) &amp;""</f>
        <v/>
      </c>
      <c r="H12" s="85" t="str">
        <f>IF($B12 = "","",INDEX(レシピ一覧!G:G,MATCH(使用レシピ!$B12,レシピ一覧!$A:$A,0))) &amp;""</f>
        <v/>
      </c>
      <c r="I12" s="85" t="str">
        <f>IF($B12 = "","",INDEX(レシピ一覧!H:H,MATCH(使用レシピ!$B12,レシピ一覧!$A:$A,0))) &amp;""</f>
        <v/>
      </c>
      <c r="J12" s="85" t="str">
        <f>IF($B12 = "","",INDEX(レシピ一覧!I:I,MATCH(使用レシピ!$B12,レシピ一覧!$A:$A,0))) &amp;""</f>
        <v/>
      </c>
      <c r="K12" s="85" t="str">
        <f>IFERROR((IF($B12 = "","",INDEX(レシピ一覧!J:J,MATCH(使用レシピ!$B12,レシピ一覧!$A:$A,0)))&amp;"")*1,"")</f>
        <v/>
      </c>
      <c r="L12" s="85" t="str">
        <f>IFERROR((IF($B12 = "","",INDEX(レシピ一覧!K:K,MATCH(使用レシピ!$B12,レシピ一覧!$A:$A,0)))&amp;"")*1,"")</f>
        <v/>
      </c>
      <c r="M12" s="85" t="str">
        <f>IFERROR((IF($B12 = "","",INDEX(レシピ一覧!L:L,MATCH(使用レシピ!$B12,レシピ一覧!$A:$A,0)))&amp;"")*1,"")</f>
        <v/>
      </c>
      <c r="N12" s="85" t="str">
        <f>IFERROR((IF($B12 = "","",INDEX(レシピ一覧!M:M,MATCH(使用レシピ!$B12,レシピ一覧!$A:$A,0)))&amp;"")*1,"")</f>
        <v/>
      </c>
      <c r="O12" s="85" t="str">
        <f>IFERROR((IF($B12 = "","",INDEX(レシピ一覧!N:N,MATCH(使用レシピ!$B12,レシピ一覧!$A:$A,0)))&amp;"")*1,"")</f>
        <v/>
      </c>
      <c r="P12" s="85">
        <f>IFERROR((IF($B12 = "","",INDEX(レシピ一覧!O:O,MATCH(使用レシピ!$B12,レシピ一覧!$A:$A,0)))&amp;"")*1,"")</f>
        <v>1</v>
      </c>
      <c r="Q12" s="86">
        <f>IFERROR((IF($B12 = "","",INDEX(レシピ一覧!P:P,MATCH(使用レシピ!$B12,レシピ一覧!$A:$A,0)))&amp;"")*1,"")</f>
        <v>1200</v>
      </c>
    </row>
    <row r="13" spans="1:17" x14ac:dyDescent="0.4">
      <c r="A13" s="84">
        <v>3</v>
      </c>
      <c r="B13" s="21" t="str">
        <f t="shared" si="0"/>
        <v>1203</v>
      </c>
      <c r="C13" s="81">
        <f>IF(COUNTIF(レシピ一覧!$B:$B,ROW()-1),ROW()-1,"")</f>
        <v>12</v>
      </c>
      <c r="D13" s="15">
        <f>IF(E13="","",COUNTIF(レシピ一覧!$D$2:$D$500,使用レシピ!E13))</f>
        <v>3</v>
      </c>
      <c r="E13" s="57" t="str">
        <f>IFERROR( INDEX(レシピ一覧!$D:$D,MATCH(使用レシピ!$C13,レシピ一覧!$B:$B,0))&amp;"","")</f>
        <v>ネジ</v>
      </c>
      <c r="F13" s="85" t="str">
        <f>IF($B13 = "","",INDEX(レシピ一覧!E:E,MATCH(使用レシピ!$B13,レシピ一覧!$A:$A,0))) &amp;""</f>
        <v>鉄のインゴット</v>
      </c>
      <c r="G13" s="85" t="str">
        <f>IF($B13 = "","",INDEX(レシピ一覧!F:F,MATCH(使用レシピ!$B13,レシピ一覧!$A:$A,0))) &amp;""</f>
        <v/>
      </c>
      <c r="H13" s="85" t="str">
        <f>IF($B13 = "","",INDEX(レシピ一覧!G:G,MATCH(使用レシピ!$B13,レシピ一覧!$A:$A,0))) &amp;""</f>
        <v/>
      </c>
      <c r="I13" s="85" t="str">
        <f>IF($B13 = "","",INDEX(レシピ一覧!H:H,MATCH(使用レシピ!$B13,レシピ一覧!$A:$A,0))) &amp;""</f>
        <v/>
      </c>
      <c r="J13" s="85" t="str">
        <f>IF($B13 = "","",INDEX(レシピ一覧!I:I,MATCH(使用レシピ!$B13,レシピ一覧!$A:$A,0))) &amp;""</f>
        <v/>
      </c>
      <c r="K13" s="85">
        <f>IFERROR((IF($B13 = "","",INDEX(レシピ一覧!J:J,MATCH(使用レシピ!$B13,レシピ一覧!$A:$A,0)))&amp;"")*1,"")</f>
        <v>5</v>
      </c>
      <c r="L13" s="85" t="str">
        <f>IFERROR((IF($B13 = "","",INDEX(レシピ一覧!K:K,MATCH(使用レシピ!$B13,レシピ一覧!$A:$A,0)))&amp;"")*1,"")</f>
        <v/>
      </c>
      <c r="M13" s="85" t="str">
        <f>IFERROR((IF($B13 = "","",INDEX(レシピ一覧!L:L,MATCH(使用レシピ!$B13,レシピ一覧!$A:$A,0)))&amp;"")*1,"")</f>
        <v/>
      </c>
      <c r="N13" s="85" t="str">
        <f>IFERROR((IF($B13 = "","",INDEX(レシピ一覧!M:M,MATCH(使用レシピ!$B13,レシピ一覧!$A:$A,0)))&amp;"")*1,"")</f>
        <v/>
      </c>
      <c r="O13" s="85" t="str">
        <f>IFERROR((IF($B13 = "","",INDEX(レシピ一覧!N:N,MATCH(使用レシピ!$B13,レシピ一覧!$A:$A,0)))&amp;"")*1,"")</f>
        <v/>
      </c>
      <c r="P13" s="85">
        <f>IFERROR((IF($B13 = "","",INDEX(レシピ一覧!O:O,MATCH(使用レシピ!$B13,レシピ一覧!$A:$A,0)))&amp;"")*1,"")</f>
        <v>20</v>
      </c>
      <c r="Q13" s="86">
        <f>IFERROR((IF($B13 = "","",INDEX(レシピ一覧!P:P,MATCH(使用レシピ!$B13,レシピ一覧!$A:$A,0)))&amp;"")*1,"")</f>
        <v>50</v>
      </c>
    </row>
    <row r="14" spans="1:17" x14ac:dyDescent="0.4">
      <c r="A14" s="84">
        <v>1</v>
      </c>
      <c r="B14" s="21" t="str">
        <f t="shared" si="0"/>
        <v>1301</v>
      </c>
      <c r="C14" s="81">
        <f>IF(COUNTIF(レシピ一覧!$B:$B,ROW()-1),ROW()-1,"")</f>
        <v>13</v>
      </c>
      <c r="D14" s="15">
        <f>IF(E14="","",COUNTIF(レシピ一覧!$D$2:$D$500,使用レシピ!E14))</f>
        <v>4</v>
      </c>
      <c r="E14" s="57" t="str">
        <f>IFERROR( INDEX(レシピ一覧!$D:$D,MATCH(使用レシピ!$C14,レシピ一覧!$B:$B,0))&amp;"","")</f>
        <v>バイオマス</v>
      </c>
      <c r="F14" s="85" t="str">
        <f>IF($B14 = "","",INDEX(レシピ一覧!E:E,MATCH(使用レシピ!$B14,レシピ一覧!$A:$A,0))) &amp;""</f>
        <v>木</v>
      </c>
      <c r="G14" s="85" t="str">
        <f>IF($B14 = "","",INDEX(レシピ一覧!F:F,MATCH(使用レシピ!$B14,レシピ一覧!$A:$A,0))) &amp;""</f>
        <v/>
      </c>
      <c r="H14" s="85" t="str">
        <f>IF($B14 = "","",INDEX(レシピ一覧!G:G,MATCH(使用レシピ!$B14,レシピ一覧!$A:$A,0))) &amp;""</f>
        <v/>
      </c>
      <c r="I14" s="85" t="str">
        <f>IF($B14 = "","",INDEX(レシピ一覧!H:H,MATCH(使用レシピ!$B14,レシピ一覧!$A:$A,0))) &amp;""</f>
        <v/>
      </c>
      <c r="J14" s="85" t="str">
        <f>IF($B14 = "","",INDEX(レシピ一覧!I:I,MATCH(使用レシピ!$B14,レシピ一覧!$A:$A,0))) &amp;""</f>
        <v/>
      </c>
      <c r="K14" s="85">
        <f>IFERROR((IF($B14 = "","",INDEX(レシピ一覧!J:J,MATCH(使用レシピ!$B14,レシピ一覧!$A:$A,0)))&amp;"")*1,"")</f>
        <v>4</v>
      </c>
      <c r="L14" s="85" t="str">
        <f>IFERROR((IF($B14 = "","",INDEX(レシピ一覧!K:K,MATCH(使用レシピ!$B14,レシピ一覧!$A:$A,0)))&amp;"")*1,"")</f>
        <v/>
      </c>
      <c r="M14" s="85" t="str">
        <f>IFERROR((IF($B14 = "","",INDEX(レシピ一覧!L:L,MATCH(使用レシピ!$B14,レシピ一覧!$A:$A,0)))&amp;"")*1,"")</f>
        <v/>
      </c>
      <c r="N14" s="85" t="str">
        <f>IFERROR((IF($B14 = "","",INDEX(レシピ一覧!M:M,MATCH(使用レシピ!$B14,レシピ一覧!$A:$A,0)))&amp;"")*1,"")</f>
        <v/>
      </c>
      <c r="O14" s="85" t="str">
        <f>IFERROR((IF($B14 = "","",INDEX(レシピ一覧!N:N,MATCH(使用レシピ!$B14,レシピ一覧!$A:$A,0)))&amp;"")*1,"")</f>
        <v/>
      </c>
      <c r="P14" s="85">
        <f>IFERROR((IF($B14 = "","",INDEX(レシピ一覧!O:O,MATCH(使用レシピ!$B14,レシピ一覧!$A:$A,0)))&amp;"")*1,"")</f>
        <v>20</v>
      </c>
      <c r="Q14" s="86">
        <f>IFERROR((IF($B14 = "","",INDEX(レシピ一覧!P:P,MATCH(使用レシピ!$B14,レシピ一覧!$A:$A,0)))&amp;"")*1,"")</f>
        <v>300</v>
      </c>
    </row>
    <row r="15" spans="1:17" x14ac:dyDescent="0.4">
      <c r="A15" s="84">
        <v>1</v>
      </c>
      <c r="B15" s="21" t="str">
        <f t="shared" si="0"/>
        <v>1401</v>
      </c>
      <c r="C15" s="81">
        <f>IF(COUNTIF(レシピ一覧!$B:$B,ROW()-1),ROW()-1,"")</f>
        <v>14</v>
      </c>
      <c r="D15" s="15">
        <f>IF(E15="","",COUNTIF(レシピ一覧!$D$2:$D$500,使用レシピ!E15))</f>
        <v>1</v>
      </c>
      <c r="E15" s="57" t="str">
        <f>IFERROR( INDEX(レシピ一覧!$D:$D,MATCH(使用レシピ!$C15,レシピ一覧!$B:$B,0))&amp;"","")</f>
        <v>木</v>
      </c>
      <c r="F15" s="85" t="str">
        <f>IF($B15 = "","",INDEX(レシピ一覧!E:E,MATCH(使用レシピ!$B15,レシピ一覧!$A:$A,0))) &amp;""</f>
        <v/>
      </c>
      <c r="G15" s="85" t="str">
        <f>IF($B15 = "","",INDEX(レシピ一覧!F:F,MATCH(使用レシピ!$B15,レシピ一覧!$A:$A,0))) &amp;""</f>
        <v/>
      </c>
      <c r="H15" s="85" t="str">
        <f>IF($B15 = "","",INDEX(レシピ一覧!G:G,MATCH(使用レシピ!$B15,レシピ一覧!$A:$A,0))) &amp;""</f>
        <v/>
      </c>
      <c r="I15" s="85" t="str">
        <f>IF($B15 = "","",INDEX(レシピ一覧!H:H,MATCH(使用レシピ!$B15,レシピ一覧!$A:$A,0))) &amp;""</f>
        <v/>
      </c>
      <c r="J15" s="85" t="str">
        <f>IF($B15 = "","",INDEX(レシピ一覧!I:I,MATCH(使用レシピ!$B15,レシピ一覧!$A:$A,0))) &amp;""</f>
        <v/>
      </c>
      <c r="K15" s="85" t="str">
        <f>IFERROR((IF($B15 = "","",INDEX(レシピ一覧!J:J,MATCH(使用レシピ!$B15,レシピ一覧!$A:$A,0)))&amp;"")*1,"")</f>
        <v/>
      </c>
      <c r="L15" s="85" t="str">
        <f>IFERROR((IF($B15 = "","",INDEX(レシピ一覧!K:K,MATCH(使用レシピ!$B15,レシピ一覧!$A:$A,0)))&amp;"")*1,"")</f>
        <v/>
      </c>
      <c r="M15" s="85" t="str">
        <f>IFERROR((IF($B15 = "","",INDEX(レシピ一覧!L:L,MATCH(使用レシピ!$B15,レシピ一覧!$A:$A,0)))&amp;"")*1,"")</f>
        <v/>
      </c>
      <c r="N15" s="85" t="str">
        <f>IFERROR((IF($B15 = "","",INDEX(レシピ一覧!M:M,MATCH(使用レシピ!$B15,レシピ一覧!$A:$A,0)))&amp;"")*1,"")</f>
        <v/>
      </c>
      <c r="O15" s="85" t="str">
        <f>IFERROR((IF($B15 = "","",INDEX(レシピ一覧!N:N,MATCH(使用レシピ!$B15,レシピ一覧!$A:$A,0)))&amp;"")*1,"")</f>
        <v/>
      </c>
      <c r="P15" s="85">
        <f>IFERROR((IF($B15 = "","",INDEX(レシピ一覧!O:O,MATCH(使用レシピ!$B15,レシピ一覧!$A:$A,0)))&amp;"")*1,"")</f>
        <v>1</v>
      </c>
      <c r="Q15" s="86">
        <f>IFERROR((IF($B15 = "","",INDEX(レシピ一覧!P:P,MATCH(使用レシピ!$B15,レシピ一覧!$A:$A,0)))&amp;"")*1,"")</f>
        <v>1</v>
      </c>
    </row>
    <row r="16" spans="1:17" x14ac:dyDescent="0.4">
      <c r="A16" s="84">
        <v>1</v>
      </c>
      <c r="B16" s="21" t="str">
        <f t="shared" si="0"/>
        <v>1501</v>
      </c>
      <c r="C16" s="81">
        <f>IF(COUNTIF(レシピ一覧!$B:$B,ROW()-1),ROW()-1,"")</f>
        <v>15</v>
      </c>
      <c r="D16" s="15">
        <f>IF(E16="","",COUNTIF(レシピ一覧!$D$2:$D$500,使用レシピ!E16))</f>
        <v>1</v>
      </c>
      <c r="E16" s="57" t="str">
        <f>IFERROR( INDEX(レシピ一覧!$D:$D,MATCH(使用レシピ!$C16,レシピ一覧!$B:$B,0))&amp;"","")</f>
        <v>葉</v>
      </c>
      <c r="F16" s="85" t="str">
        <f>IF($B16 = "","",INDEX(レシピ一覧!E:E,MATCH(使用レシピ!$B16,レシピ一覧!$A:$A,0))) &amp;""</f>
        <v/>
      </c>
      <c r="G16" s="85" t="str">
        <f>IF($B16 = "","",INDEX(レシピ一覧!F:F,MATCH(使用レシピ!$B16,レシピ一覧!$A:$A,0))) &amp;""</f>
        <v/>
      </c>
      <c r="H16" s="85" t="str">
        <f>IF($B16 = "","",INDEX(レシピ一覧!G:G,MATCH(使用レシピ!$B16,レシピ一覧!$A:$A,0))) &amp;""</f>
        <v/>
      </c>
      <c r="I16" s="85" t="str">
        <f>IF($B16 = "","",INDEX(レシピ一覧!H:H,MATCH(使用レシピ!$B16,レシピ一覧!$A:$A,0))) &amp;""</f>
        <v/>
      </c>
      <c r="J16" s="85" t="str">
        <f>IF($B16 = "","",INDEX(レシピ一覧!I:I,MATCH(使用レシピ!$B16,レシピ一覧!$A:$A,0))) &amp;""</f>
        <v/>
      </c>
      <c r="K16" s="85" t="str">
        <f>IFERROR((IF($B16 = "","",INDEX(レシピ一覧!J:J,MATCH(使用レシピ!$B16,レシピ一覧!$A:$A,0)))&amp;"")*1,"")</f>
        <v/>
      </c>
      <c r="L16" s="85" t="str">
        <f>IFERROR((IF($B16 = "","",INDEX(レシピ一覧!K:K,MATCH(使用レシピ!$B16,レシピ一覧!$A:$A,0)))&amp;"")*1,"")</f>
        <v/>
      </c>
      <c r="M16" s="85" t="str">
        <f>IFERROR((IF($B16 = "","",INDEX(レシピ一覧!L:L,MATCH(使用レシピ!$B16,レシピ一覧!$A:$A,0)))&amp;"")*1,"")</f>
        <v/>
      </c>
      <c r="N16" s="85" t="str">
        <f>IFERROR((IF($B16 = "","",INDEX(レシピ一覧!M:M,MATCH(使用レシピ!$B16,レシピ一覧!$A:$A,0)))&amp;"")*1,"")</f>
        <v/>
      </c>
      <c r="O16" s="85" t="str">
        <f>IFERROR((IF($B16 = "","",INDEX(レシピ一覧!N:N,MATCH(使用レシピ!$B16,レシピ一覧!$A:$A,0)))&amp;"")*1,"")</f>
        <v/>
      </c>
      <c r="P16" s="85">
        <f>IFERROR((IF($B16 = "","",INDEX(レシピ一覧!O:O,MATCH(使用レシピ!$B16,レシピ一覧!$A:$A,0)))&amp;"")*1,"")</f>
        <v>1</v>
      </c>
      <c r="Q16" s="86">
        <f>IFERROR((IF($B16 = "","",INDEX(レシピ一覧!P:P,MATCH(使用レシピ!$B16,レシピ一覧!$A:$A,0)))&amp;"")*1,"")</f>
        <v>1</v>
      </c>
    </row>
    <row r="17" spans="1:17" x14ac:dyDescent="0.4">
      <c r="A17" s="84">
        <v>1</v>
      </c>
      <c r="B17" s="21" t="str">
        <f t="shared" si="0"/>
        <v>1601</v>
      </c>
      <c r="C17" s="81">
        <f>IF(COUNTIF(レシピ一覧!$B:$B,ROW()-1),ROW()-1,"")</f>
        <v>16</v>
      </c>
      <c r="D17" s="15">
        <f>IF(E17="","",COUNTIF(レシピ一覧!$D$2:$D$500,使用レシピ!E17))</f>
        <v>4</v>
      </c>
      <c r="E17" s="57" t="str">
        <f>IFERROR( INDEX(レシピ一覧!$D:$D,MATCH(使用レシピ!$C17,レシピ一覧!$B:$B,0))&amp;"","")</f>
        <v>エイリアンのタンパク質</v>
      </c>
      <c r="F17" s="85" t="str">
        <f>IF($B17 = "","",INDEX(レシピ一覧!E:E,MATCH(使用レシピ!$B17,レシピ一覧!$A:$A,0))) &amp;""</f>
        <v>ホッグの遺骸</v>
      </c>
      <c r="G17" s="85" t="str">
        <f>IF($B17 = "","",INDEX(レシピ一覧!F:F,MATCH(使用レシピ!$B17,レシピ一覧!$A:$A,0))) &amp;""</f>
        <v/>
      </c>
      <c r="H17" s="85" t="str">
        <f>IF($B17 = "","",INDEX(レシピ一覧!G:G,MATCH(使用レシピ!$B17,レシピ一覧!$A:$A,0))) &amp;""</f>
        <v/>
      </c>
      <c r="I17" s="85" t="str">
        <f>IF($B17 = "","",INDEX(レシピ一覧!H:H,MATCH(使用レシピ!$B17,レシピ一覧!$A:$A,0))) &amp;""</f>
        <v/>
      </c>
      <c r="J17" s="85" t="str">
        <f>IF($B17 = "","",INDEX(レシピ一覧!I:I,MATCH(使用レシピ!$B17,レシピ一覧!$A:$A,0))) &amp;""</f>
        <v/>
      </c>
      <c r="K17" s="85">
        <f>IFERROR((IF($B17 = "","",INDEX(レシピ一覧!J:J,MATCH(使用レシピ!$B17,レシピ一覧!$A:$A,0)))&amp;"")*1,"")</f>
        <v>1</v>
      </c>
      <c r="L17" s="85" t="str">
        <f>IFERROR((IF($B17 = "","",INDEX(レシピ一覧!K:K,MATCH(使用レシピ!$B17,レシピ一覧!$A:$A,0)))&amp;"")*1,"")</f>
        <v/>
      </c>
      <c r="M17" s="85" t="str">
        <f>IFERROR((IF($B17 = "","",INDEX(レシピ一覧!L:L,MATCH(使用レシピ!$B17,レシピ一覧!$A:$A,0)))&amp;"")*1,"")</f>
        <v/>
      </c>
      <c r="N17" s="85" t="str">
        <f>IFERROR((IF($B17 = "","",INDEX(レシピ一覧!M:M,MATCH(使用レシピ!$B17,レシピ一覧!$A:$A,0)))&amp;"")*1,"")</f>
        <v/>
      </c>
      <c r="O17" s="85" t="str">
        <f>IFERROR((IF($B17 = "","",INDEX(レシピ一覧!N:N,MATCH(使用レシピ!$B17,レシピ一覧!$A:$A,0)))&amp;"")*1,"")</f>
        <v/>
      </c>
      <c r="P17" s="85">
        <f>IFERROR((IF($B17 = "","",INDEX(レシピ一覧!O:O,MATCH(使用レシピ!$B17,レシピ一覧!$A:$A,0)))&amp;"")*1,"")</f>
        <v>1</v>
      </c>
      <c r="Q17" s="86">
        <f>IFERROR((IF($B17 = "","",INDEX(レシピ一覧!P:P,MATCH(使用レシピ!$B17,レシピ一覧!$A:$A,0)))&amp;"")*1,"")</f>
        <v>20</v>
      </c>
    </row>
    <row r="18" spans="1:17" x14ac:dyDescent="0.4">
      <c r="A18" s="84">
        <v>1</v>
      </c>
      <c r="B18" s="21" t="str">
        <f t="shared" si="0"/>
        <v>1701</v>
      </c>
      <c r="C18" s="81">
        <f>IF(COUNTIF(レシピ一覧!$B:$B,ROW()-1),ROW()-1,"")</f>
        <v>17</v>
      </c>
      <c r="D18" s="15">
        <f>IF(E18="","",COUNTIF(レシピ一覧!$D$2:$D$500,使用レシピ!E18))</f>
        <v>1</v>
      </c>
      <c r="E18" s="57" t="str">
        <f>IFERROR( INDEX(レシピ一覧!$D:$D,MATCH(使用レシピ!$C18,レシピ一覧!$B:$B,0))&amp;"","")</f>
        <v>ホッグの遺骸</v>
      </c>
      <c r="F18" s="85" t="str">
        <f>IF($B18 = "","",INDEX(レシピ一覧!E:E,MATCH(使用レシピ!$B18,レシピ一覧!$A:$A,0))) &amp;""</f>
        <v/>
      </c>
      <c r="G18" s="85" t="str">
        <f>IF($B18 = "","",INDEX(レシピ一覧!F:F,MATCH(使用レシピ!$B18,レシピ一覧!$A:$A,0))) &amp;""</f>
        <v/>
      </c>
      <c r="H18" s="85" t="str">
        <f>IF($B18 = "","",INDEX(レシピ一覧!G:G,MATCH(使用レシピ!$B18,レシピ一覧!$A:$A,0))) &amp;""</f>
        <v/>
      </c>
      <c r="I18" s="85" t="str">
        <f>IF($B18 = "","",INDEX(レシピ一覧!H:H,MATCH(使用レシピ!$B18,レシピ一覧!$A:$A,0))) &amp;""</f>
        <v/>
      </c>
      <c r="J18" s="85" t="str">
        <f>IF($B18 = "","",INDEX(レシピ一覧!I:I,MATCH(使用レシピ!$B18,レシピ一覧!$A:$A,0))) &amp;""</f>
        <v/>
      </c>
      <c r="K18" s="85" t="str">
        <f>IFERROR((IF($B18 = "","",INDEX(レシピ一覧!J:J,MATCH(使用レシピ!$B18,レシピ一覧!$A:$A,0)))&amp;"")*1,"")</f>
        <v/>
      </c>
      <c r="L18" s="85" t="str">
        <f>IFERROR((IF($B18 = "","",INDEX(レシピ一覧!K:K,MATCH(使用レシピ!$B18,レシピ一覧!$A:$A,0)))&amp;"")*1,"")</f>
        <v/>
      </c>
      <c r="M18" s="85" t="str">
        <f>IFERROR((IF($B18 = "","",INDEX(レシピ一覧!L:L,MATCH(使用レシピ!$B18,レシピ一覧!$A:$A,0)))&amp;"")*1,"")</f>
        <v/>
      </c>
      <c r="N18" s="85" t="str">
        <f>IFERROR((IF($B18 = "","",INDEX(レシピ一覧!M:M,MATCH(使用レシピ!$B18,レシピ一覧!$A:$A,0)))&amp;"")*1,"")</f>
        <v/>
      </c>
      <c r="O18" s="85" t="str">
        <f>IFERROR((IF($B18 = "","",INDEX(レシピ一覧!N:N,MATCH(使用レシピ!$B18,レシピ一覧!$A:$A,0)))&amp;"")*1,"")</f>
        <v/>
      </c>
      <c r="P18" s="85">
        <f>IFERROR((IF($B18 = "","",INDEX(レシピ一覧!O:O,MATCH(使用レシピ!$B18,レシピ一覧!$A:$A,0)))&amp;"")*1,"")</f>
        <v>1</v>
      </c>
      <c r="Q18" s="86">
        <f>IFERROR((IF($B18 = "","",INDEX(レシピ一覧!P:P,MATCH(使用レシピ!$B18,レシピ一覧!$A:$A,0)))&amp;"")*1,"")</f>
        <v>1</v>
      </c>
    </row>
    <row r="19" spans="1:17" x14ac:dyDescent="0.4">
      <c r="A19" s="84">
        <v>1</v>
      </c>
      <c r="B19" s="21" t="str">
        <f t="shared" si="0"/>
        <v>1801</v>
      </c>
      <c r="C19" s="81">
        <f>IF(COUNTIF(レシピ一覧!$B:$B,ROW()-1),ROW()-1,"")</f>
        <v>18</v>
      </c>
      <c r="D19" s="15">
        <f>IF(E19="","",COUNTIF(レシピ一覧!$D$2:$D$500,使用レシピ!E19))</f>
        <v>1</v>
      </c>
      <c r="E19" s="57" t="str">
        <f>IFERROR( INDEX(レシピ一覧!$D:$D,MATCH(使用レシピ!$C19,レシピ一覧!$B:$B,0))&amp;"","")</f>
        <v>スピッターの遺骸</v>
      </c>
      <c r="F19" s="85" t="str">
        <f>IF($B19 = "","",INDEX(レシピ一覧!E:E,MATCH(使用レシピ!$B19,レシピ一覧!$A:$A,0))) &amp;""</f>
        <v/>
      </c>
      <c r="G19" s="85" t="str">
        <f>IF($B19 = "","",INDEX(レシピ一覧!F:F,MATCH(使用レシピ!$B19,レシピ一覧!$A:$A,0))) &amp;""</f>
        <v/>
      </c>
      <c r="H19" s="85" t="str">
        <f>IF($B19 = "","",INDEX(レシピ一覧!G:G,MATCH(使用レシピ!$B19,レシピ一覧!$A:$A,0))) &amp;""</f>
        <v/>
      </c>
      <c r="I19" s="85" t="str">
        <f>IF($B19 = "","",INDEX(レシピ一覧!H:H,MATCH(使用レシピ!$B19,レシピ一覧!$A:$A,0))) &amp;""</f>
        <v/>
      </c>
      <c r="J19" s="85" t="str">
        <f>IF($B19 = "","",INDEX(レシピ一覧!I:I,MATCH(使用レシピ!$B19,レシピ一覧!$A:$A,0))) &amp;""</f>
        <v/>
      </c>
      <c r="K19" s="85" t="str">
        <f>IFERROR((IF($B19 = "","",INDEX(レシピ一覧!J:J,MATCH(使用レシピ!$B19,レシピ一覧!$A:$A,0)))&amp;"")*1,"")</f>
        <v/>
      </c>
      <c r="L19" s="85" t="str">
        <f>IFERROR((IF($B19 = "","",INDEX(レシピ一覧!K:K,MATCH(使用レシピ!$B19,レシピ一覧!$A:$A,0)))&amp;"")*1,"")</f>
        <v/>
      </c>
      <c r="M19" s="85" t="str">
        <f>IFERROR((IF($B19 = "","",INDEX(レシピ一覧!L:L,MATCH(使用レシピ!$B19,レシピ一覧!$A:$A,0)))&amp;"")*1,"")</f>
        <v/>
      </c>
      <c r="N19" s="85" t="str">
        <f>IFERROR((IF($B19 = "","",INDEX(レシピ一覧!M:M,MATCH(使用レシピ!$B19,レシピ一覧!$A:$A,0)))&amp;"")*1,"")</f>
        <v/>
      </c>
      <c r="O19" s="85" t="str">
        <f>IFERROR((IF($B19 = "","",INDEX(レシピ一覧!N:N,MATCH(使用レシピ!$B19,レシピ一覧!$A:$A,0)))&amp;"")*1,"")</f>
        <v/>
      </c>
      <c r="P19" s="85">
        <f>IFERROR((IF($B19 = "","",INDEX(レシピ一覧!O:O,MATCH(使用レシピ!$B19,レシピ一覧!$A:$A,0)))&amp;"")*1,"")</f>
        <v>1</v>
      </c>
      <c r="Q19" s="86">
        <f>IFERROR((IF($B19 = "","",INDEX(レシピ一覧!P:P,MATCH(使用レシピ!$B19,レシピ一覧!$A:$A,0)))&amp;"")*1,"")</f>
        <v>1</v>
      </c>
    </row>
    <row r="20" spans="1:17" x14ac:dyDescent="0.4">
      <c r="A20" s="84">
        <v>1</v>
      </c>
      <c r="B20" s="21" t="str">
        <f t="shared" si="0"/>
        <v>1901</v>
      </c>
      <c r="C20" s="81">
        <f>IF(COUNTIF(レシピ一覧!$B:$B,ROW()-1),ROW()-1,"")</f>
        <v>19</v>
      </c>
      <c r="D20" s="15">
        <f>IF(E20="","",COUNTIF(レシピ一覧!$D$2:$D$500,使用レシピ!E20))</f>
        <v>1</v>
      </c>
      <c r="E20" s="57" t="str">
        <f>IFERROR( INDEX(レシピ一覧!$D:$D,MATCH(使用レシピ!$C20,レシピ一覧!$B:$B,0))&amp;"","")</f>
        <v>ハッチャーの遺骸</v>
      </c>
      <c r="F20" s="85" t="str">
        <f>IF($B20 = "","",INDEX(レシピ一覧!E:E,MATCH(使用レシピ!$B20,レシピ一覧!$A:$A,0))) &amp;""</f>
        <v/>
      </c>
      <c r="G20" s="85" t="str">
        <f>IF($B20 = "","",INDEX(レシピ一覧!F:F,MATCH(使用レシピ!$B20,レシピ一覧!$A:$A,0))) &amp;""</f>
        <v/>
      </c>
      <c r="H20" s="85" t="str">
        <f>IF($B20 = "","",INDEX(レシピ一覧!G:G,MATCH(使用レシピ!$B20,レシピ一覧!$A:$A,0))) &amp;""</f>
        <v/>
      </c>
      <c r="I20" s="85" t="str">
        <f>IF($B20 = "","",INDEX(レシピ一覧!H:H,MATCH(使用レシピ!$B20,レシピ一覧!$A:$A,0))) &amp;""</f>
        <v/>
      </c>
      <c r="J20" s="85" t="str">
        <f>IF($B20 = "","",INDEX(レシピ一覧!I:I,MATCH(使用レシピ!$B20,レシピ一覧!$A:$A,0))) &amp;""</f>
        <v/>
      </c>
      <c r="K20" s="85" t="str">
        <f>IFERROR((IF($B20 = "","",INDEX(レシピ一覧!J:J,MATCH(使用レシピ!$B20,レシピ一覧!$A:$A,0)))&amp;"")*1,"")</f>
        <v/>
      </c>
      <c r="L20" s="85" t="str">
        <f>IFERROR((IF($B20 = "","",INDEX(レシピ一覧!K:K,MATCH(使用レシピ!$B20,レシピ一覧!$A:$A,0)))&amp;"")*1,"")</f>
        <v/>
      </c>
      <c r="M20" s="85" t="str">
        <f>IFERROR((IF($B20 = "","",INDEX(レシピ一覧!L:L,MATCH(使用レシピ!$B20,レシピ一覧!$A:$A,0)))&amp;"")*1,"")</f>
        <v/>
      </c>
      <c r="N20" s="85" t="str">
        <f>IFERROR((IF($B20 = "","",INDEX(レシピ一覧!M:M,MATCH(使用レシピ!$B20,レシピ一覧!$A:$A,0)))&amp;"")*1,"")</f>
        <v/>
      </c>
      <c r="O20" s="85" t="str">
        <f>IFERROR((IF($B20 = "","",INDEX(レシピ一覧!N:N,MATCH(使用レシピ!$B20,レシピ一覧!$A:$A,0)))&amp;"")*1,"")</f>
        <v/>
      </c>
      <c r="P20" s="85">
        <f>IFERROR((IF($B20 = "","",INDEX(レシピ一覧!O:O,MATCH(使用レシピ!$B20,レシピ一覧!$A:$A,0)))&amp;"")*1,"")</f>
        <v>1</v>
      </c>
      <c r="Q20" s="86">
        <f>IFERROR((IF($B20 = "","",INDEX(レシピ一覧!P:P,MATCH(使用レシピ!$B20,レシピ一覧!$A:$A,0)))&amp;"")*1,"")</f>
        <v>1</v>
      </c>
    </row>
    <row r="21" spans="1:17" x14ac:dyDescent="0.4">
      <c r="A21" s="84">
        <v>1</v>
      </c>
      <c r="B21" s="21" t="str">
        <f t="shared" si="0"/>
        <v>2001</v>
      </c>
      <c r="C21" s="81">
        <f>IF(COUNTIF(レシピ一覧!$B:$B,ROW()-1),ROW()-1,"")</f>
        <v>20</v>
      </c>
      <c r="D21" s="15">
        <f>IF(E21="","",COUNTIF(レシピ一覧!$D$2:$D$500,使用レシピ!E21))</f>
        <v>1</v>
      </c>
      <c r="E21" s="57" t="str">
        <f>IFERROR( INDEX(レシピ一覧!$D:$D,MATCH(使用レシピ!$C21,レシピ一覧!$B:$B,0))&amp;"","")</f>
        <v>スティンガーの遺骸</v>
      </c>
      <c r="F21" s="85" t="str">
        <f>IF($B21 = "","",INDEX(レシピ一覧!E:E,MATCH(使用レシピ!$B21,レシピ一覧!$A:$A,0))) &amp;""</f>
        <v/>
      </c>
      <c r="G21" s="85" t="str">
        <f>IF($B21 = "","",INDEX(レシピ一覧!F:F,MATCH(使用レシピ!$B21,レシピ一覧!$A:$A,0))) &amp;""</f>
        <v/>
      </c>
      <c r="H21" s="85" t="str">
        <f>IF($B21 = "","",INDEX(レシピ一覧!G:G,MATCH(使用レシピ!$B21,レシピ一覧!$A:$A,0))) &amp;""</f>
        <v/>
      </c>
      <c r="I21" s="85" t="str">
        <f>IF($B21 = "","",INDEX(レシピ一覧!H:H,MATCH(使用レシピ!$B21,レシピ一覧!$A:$A,0))) &amp;""</f>
        <v/>
      </c>
      <c r="J21" s="85" t="str">
        <f>IF($B21 = "","",INDEX(レシピ一覧!I:I,MATCH(使用レシピ!$B21,レシピ一覧!$A:$A,0))) &amp;""</f>
        <v/>
      </c>
      <c r="K21" s="85" t="str">
        <f>IFERROR((IF($B21 = "","",INDEX(レシピ一覧!J:J,MATCH(使用レシピ!$B21,レシピ一覧!$A:$A,0)))&amp;"")*1,"")</f>
        <v/>
      </c>
      <c r="L21" s="85" t="str">
        <f>IFERROR((IF($B21 = "","",INDEX(レシピ一覧!K:K,MATCH(使用レシピ!$B21,レシピ一覧!$A:$A,0)))&amp;"")*1,"")</f>
        <v/>
      </c>
      <c r="M21" s="85" t="str">
        <f>IFERROR((IF($B21 = "","",INDEX(レシピ一覧!L:L,MATCH(使用レシピ!$B21,レシピ一覧!$A:$A,0)))&amp;"")*1,"")</f>
        <v/>
      </c>
      <c r="N21" s="85" t="str">
        <f>IFERROR((IF($B21 = "","",INDEX(レシピ一覧!M:M,MATCH(使用レシピ!$B21,レシピ一覧!$A:$A,0)))&amp;"")*1,"")</f>
        <v/>
      </c>
      <c r="O21" s="85" t="str">
        <f>IFERROR((IF($B21 = "","",INDEX(レシピ一覧!N:N,MATCH(使用レシピ!$B21,レシピ一覧!$A:$A,0)))&amp;"")*1,"")</f>
        <v/>
      </c>
      <c r="P21" s="85">
        <f>IFERROR((IF($B21 = "","",INDEX(レシピ一覧!O:O,MATCH(使用レシピ!$B21,レシピ一覧!$A:$A,0)))&amp;"")*1,"")</f>
        <v>1</v>
      </c>
      <c r="Q21" s="86">
        <f>IFERROR((IF($B21 = "","",INDEX(レシピ一覧!P:P,MATCH(使用レシピ!$B21,レシピ一覧!$A:$A,0)))&amp;"")*1,"")</f>
        <v>1</v>
      </c>
    </row>
    <row r="22" spans="1:17" x14ac:dyDescent="0.4">
      <c r="A22" s="84">
        <v>4</v>
      </c>
      <c r="B22" s="21" t="str">
        <f t="shared" si="0"/>
        <v>2104</v>
      </c>
      <c r="C22" s="81">
        <f>IF(COUNTIF(レシピ一覧!$B:$B,ROW()-1),ROW()-1,"")</f>
        <v>21</v>
      </c>
      <c r="D22" s="15">
        <f>IF(E22="","",COUNTIF(レシピ一覧!$D$2:$D$500,使用レシピ!E22))</f>
        <v>4</v>
      </c>
      <c r="E22" s="57" t="str">
        <f>IFERROR( INDEX(レシピ一覧!$D:$D,MATCH(使用レシピ!$C22,レシピ一覧!$B:$B,0))&amp;"","")</f>
        <v>パワー・シャード</v>
      </c>
      <c r="F22" s="85" t="str">
        <f>IF($B22 = "","",INDEX(レシピ一覧!E:E,MATCH(使用レシピ!$B22,レシピ一覧!$A:$A,0))) &amp;""</f>
        <v>時の結晶</v>
      </c>
      <c r="G22" s="85" t="str">
        <f>IF($B22 = "","",INDEX(レシピ一覧!F:F,MATCH(使用レシピ!$B22,レシピ一覧!$A:$A,0))) &amp;""</f>
        <v>ダークマターの結晶</v>
      </c>
      <c r="H22" s="85" t="str">
        <f>IF($B22 = "","",INDEX(レシピ一覧!G:G,MATCH(使用レシピ!$B22,レシピ一覧!$A:$A,0))) &amp;""</f>
        <v>石英結晶</v>
      </c>
      <c r="I22" s="85" t="str">
        <f>IF($B22 = "","",INDEX(レシピ一覧!H:H,MATCH(使用レシピ!$B22,レシピ一覧!$A:$A,0))) &amp;""</f>
        <v>励起フォトニック物質</v>
      </c>
      <c r="J22" s="85" t="str">
        <f>IF($B22 = "","",INDEX(レシピ一覧!I:I,MATCH(使用レシピ!$B22,レシピ一覧!$A:$A,0))) &amp;""</f>
        <v>ダークマターの残留物</v>
      </c>
      <c r="K22" s="85">
        <f>IFERROR((IF($B22 = "","",INDEX(レシピ一覧!J:J,MATCH(使用レシピ!$B22,レシピ一覧!$A:$A,0)))&amp;"")*1,"")</f>
        <v>2</v>
      </c>
      <c r="L22" s="85">
        <f>IFERROR((IF($B22 = "","",INDEX(レシピ一覧!K:K,MATCH(使用レシピ!$B22,レシピ一覧!$A:$A,0)))&amp;"")*1,"")</f>
        <v>2</v>
      </c>
      <c r="M22" s="85">
        <f>IFERROR((IF($B22 = "","",INDEX(レシピ一覧!L:L,MATCH(使用レシピ!$B22,レシピ一覧!$A:$A,0)))&amp;"")*1,"")</f>
        <v>12</v>
      </c>
      <c r="N22" s="85">
        <f>IFERROR((IF($B22 = "","",INDEX(レシピ一覧!M:M,MATCH(使用レシピ!$B22,レシピ一覧!$A:$A,0)))&amp;"")*1,"")</f>
        <v>12</v>
      </c>
      <c r="O22" s="85">
        <f>IFERROR((IF($B22 = "","",INDEX(レシピ一覧!N:N,MATCH(使用レシピ!$B22,レシピ一覧!$A:$A,0)))&amp;"")*1,"")</f>
        <v>12</v>
      </c>
      <c r="P22" s="85">
        <f>IFERROR((IF($B22 = "","",INDEX(レシピ一覧!O:O,MATCH(使用レシピ!$B22,レシピ一覧!$A:$A,0)))&amp;"")*1,"")</f>
        <v>1</v>
      </c>
      <c r="Q22" s="86">
        <f>IFERROR((IF($B22 = "","",INDEX(レシピ一覧!P:P,MATCH(使用レシピ!$B22,レシピ一覧!$A:$A,0)))&amp;"")*1,"")</f>
        <v>5</v>
      </c>
    </row>
    <row r="23" spans="1:17" x14ac:dyDescent="0.4">
      <c r="A23" s="84">
        <v>1</v>
      </c>
      <c r="B23" s="21" t="str">
        <f t="shared" si="0"/>
        <v>2201</v>
      </c>
      <c r="C23" s="81">
        <f>IF(COUNTIF(レシピ一覧!$B:$B,ROW()-1),ROW()-1,"")</f>
        <v>22</v>
      </c>
      <c r="D23" s="15">
        <f>IF(E23="","",COUNTIF(レシピ一覧!$D$2:$D$500,使用レシピ!E23))</f>
        <v>1</v>
      </c>
      <c r="E23" s="57" t="str">
        <f>IFERROR( INDEX(レシピ一覧!$D:$D,MATCH(使用レシピ!$C23,レシピ一覧!$B:$B,0))&amp;"","")</f>
        <v>青のパワー・スラッグ</v>
      </c>
      <c r="F23" s="85" t="str">
        <f>IF($B23 = "","",INDEX(レシピ一覧!E:E,MATCH(使用レシピ!$B23,レシピ一覧!$A:$A,0))) &amp;""</f>
        <v/>
      </c>
      <c r="G23" s="85" t="str">
        <f>IF($B23 = "","",INDEX(レシピ一覧!F:F,MATCH(使用レシピ!$B23,レシピ一覧!$A:$A,0))) &amp;""</f>
        <v/>
      </c>
      <c r="H23" s="85" t="str">
        <f>IF($B23 = "","",INDEX(レシピ一覧!G:G,MATCH(使用レシピ!$B23,レシピ一覧!$A:$A,0))) &amp;""</f>
        <v/>
      </c>
      <c r="I23" s="85" t="str">
        <f>IF($B23 = "","",INDEX(レシピ一覧!H:H,MATCH(使用レシピ!$B23,レシピ一覧!$A:$A,0))) &amp;""</f>
        <v/>
      </c>
      <c r="J23" s="85" t="str">
        <f>IF($B23 = "","",INDEX(レシピ一覧!I:I,MATCH(使用レシピ!$B23,レシピ一覧!$A:$A,0))) &amp;""</f>
        <v/>
      </c>
      <c r="K23" s="85" t="str">
        <f>IFERROR((IF($B23 = "","",INDEX(レシピ一覧!J:J,MATCH(使用レシピ!$B23,レシピ一覧!$A:$A,0)))&amp;"")*1,"")</f>
        <v/>
      </c>
      <c r="L23" s="85" t="str">
        <f>IFERROR((IF($B23 = "","",INDEX(レシピ一覧!K:K,MATCH(使用レシピ!$B23,レシピ一覧!$A:$A,0)))&amp;"")*1,"")</f>
        <v/>
      </c>
      <c r="M23" s="85" t="str">
        <f>IFERROR((IF($B23 = "","",INDEX(レシピ一覧!L:L,MATCH(使用レシピ!$B23,レシピ一覧!$A:$A,0)))&amp;"")*1,"")</f>
        <v/>
      </c>
      <c r="N23" s="85" t="str">
        <f>IFERROR((IF($B23 = "","",INDEX(レシピ一覧!M:M,MATCH(使用レシピ!$B23,レシピ一覧!$A:$A,0)))&amp;"")*1,"")</f>
        <v/>
      </c>
      <c r="O23" s="85" t="str">
        <f>IFERROR((IF($B23 = "","",INDEX(レシピ一覧!N:N,MATCH(使用レシピ!$B23,レシピ一覧!$A:$A,0)))&amp;"")*1,"")</f>
        <v/>
      </c>
      <c r="P23" s="85">
        <f>IFERROR((IF($B23 = "","",INDEX(レシピ一覧!O:O,MATCH(使用レシピ!$B23,レシピ一覧!$A:$A,0)))&amp;"")*1,"")</f>
        <v>1</v>
      </c>
      <c r="Q23" s="86">
        <f>IFERROR((IF($B23 = "","",INDEX(レシピ一覧!P:P,MATCH(使用レシピ!$B23,レシピ一覧!$A:$A,0)))&amp;"")*1,"")</f>
        <v>1</v>
      </c>
    </row>
    <row r="24" spans="1:17" x14ac:dyDescent="0.4">
      <c r="A24" s="84">
        <v>1</v>
      </c>
      <c r="B24" s="21" t="str">
        <f t="shared" si="0"/>
        <v>2301</v>
      </c>
      <c r="C24" s="81">
        <f>IF(COUNTIF(レシピ一覧!$B:$B,ROW()-1),ROW()-1,"")</f>
        <v>23</v>
      </c>
      <c r="D24" s="15">
        <f>IF(E24="","",COUNTIF(レシピ一覧!$D$2:$D$500,使用レシピ!E24))</f>
        <v>1</v>
      </c>
      <c r="E24" s="57" t="str">
        <f>IFERROR( INDEX(レシピ一覧!$D:$D,MATCH(使用レシピ!$C24,レシピ一覧!$B:$B,0))&amp;"","")</f>
        <v>黄のパワー・スラッグ</v>
      </c>
      <c r="F24" s="85" t="str">
        <f>IF($B24 = "","",INDEX(レシピ一覧!E:E,MATCH(使用レシピ!$B24,レシピ一覧!$A:$A,0))) &amp;""</f>
        <v/>
      </c>
      <c r="G24" s="85" t="str">
        <f>IF($B24 = "","",INDEX(レシピ一覧!F:F,MATCH(使用レシピ!$B24,レシピ一覧!$A:$A,0))) &amp;""</f>
        <v/>
      </c>
      <c r="H24" s="85" t="str">
        <f>IF($B24 = "","",INDEX(レシピ一覧!G:G,MATCH(使用レシピ!$B24,レシピ一覧!$A:$A,0))) &amp;""</f>
        <v/>
      </c>
      <c r="I24" s="85" t="str">
        <f>IF($B24 = "","",INDEX(レシピ一覧!H:H,MATCH(使用レシピ!$B24,レシピ一覧!$A:$A,0))) &amp;""</f>
        <v/>
      </c>
      <c r="J24" s="85" t="str">
        <f>IF($B24 = "","",INDEX(レシピ一覧!I:I,MATCH(使用レシピ!$B24,レシピ一覧!$A:$A,0))) &amp;""</f>
        <v/>
      </c>
      <c r="K24" s="85" t="str">
        <f>IFERROR((IF($B24 = "","",INDEX(レシピ一覧!J:J,MATCH(使用レシピ!$B24,レシピ一覧!$A:$A,0)))&amp;"")*1,"")</f>
        <v/>
      </c>
      <c r="L24" s="85" t="str">
        <f>IFERROR((IF($B24 = "","",INDEX(レシピ一覧!K:K,MATCH(使用レシピ!$B24,レシピ一覧!$A:$A,0)))&amp;"")*1,"")</f>
        <v/>
      </c>
      <c r="M24" s="85" t="str">
        <f>IFERROR((IF($B24 = "","",INDEX(レシピ一覧!L:L,MATCH(使用レシピ!$B24,レシピ一覧!$A:$A,0)))&amp;"")*1,"")</f>
        <v/>
      </c>
      <c r="N24" s="85" t="str">
        <f>IFERROR((IF($B24 = "","",INDEX(レシピ一覧!M:M,MATCH(使用レシピ!$B24,レシピ一覧!$A:$A,0)))&amp;"")*1,"")</f>
        <v/>
      </c>
      <c r="O24" s="85" t="str">
        <f>IFERROR((IF($B24 = "","",INDEX(レシピ一覧!N:N,MATCH(使用レシピ!$B24,レシピ一覧!$A:$A,0)))&amp;"")*1,"")</f>
        <v/>
      </c>
      <c r="P24" s="85">
        <f>IFERROR((IF($B24 = "","",INDEX(レシピ一覧!O:O,MATCH(使用レシピ!$B24,レシピ一覧!$A:$A,0)))&amp;"")*1,"")</f>
        <v>1</v>
      </c>
      <c r="Q24" s="86">
        <f>IFERROR((IF($B24 = "","",INDEX(レシピ一覧!P:P,MATCH(使用レシピ!$B24,レシピ一覧!$A:$A,0)))&amp;"")*1,"")</f>
        <v>1</v>
      </c>
    </row>
    <row r="25" spans="1:17" x14ac:dyDescent="0.4">
      <c r="A25" s="84">
        <v>1</v>
      </c>
      <c r="B25" s="21" t="str">
        <f t="shared" si="0"/>
        <v>2401</v>
      </c>
      <c r="C25" s="81">
        <f>IF(COUNTIF(レシピ一覧!$B:$B,ROW()-1),ROW()-1,"")</f>
        <v>24</v>
      </c>
      <c r="D25" s="15">
        <f>IF(E25="","",COUNTIF(レシピ一覧!$D$2:$D$500,使用レシピ!E25))</f>
        <v>1</v>
      </c>
      <c r="E25" s="57" t="str">
        <f>IFERROR( INDEX(レシピ一覧!$D:$D,MATCH(使用レシピ!$C25,レシピ一覧!$B:$B,0))&amp;"","")</f>
        <v>紫のパワー・スラッグ</v>
      </c>
      <c r="F25" s="85" t="str">
        <f>IF($B25 = "","",INDEX(レシピ一覧!E:E,MATCH(使用レシピ!$B25,レシピ一覧!$A:$A,0))) &amp;""</f>
        <v/>
      </c>
      <c r="G25" s="85" t="str">
        <f>IF($B25 = "","",INDEX(レシピ一覧!F:F,MATCH(使用レシピ!$B25,レシピ一覧!$A:$A,0))) &amp;""</f>
        <v/>
      </c>
      <c r="H25" s="85" t="str">
        <f>IF($B25 = "","",INDEX(レシピ一覧!G:G,MATCH(使用レシピ!$B25,レシピ一覧!$A:$A,0))) &amp;""</f>
        <v/>
      </c>
      <c r="I25" s="85" t="str">
        <f>IF($B25 = "","",INDEX(レシピ一覧!H:H,MATCH(使用レシピ!$B25,レシピ一覧!$A:$A,0))) &amp;""</f>
        <v/>
      </c>
      <c r="J25" s="85" t="str">
        <f>IF($B25 = "","",INDEX(レシピ一覧!I:I,MATCH(使用レシピ!$B25,レシピ一覧!$A:$A,0))) &amp;""</f>
        <v/>
      </c>
      <c r="K25" s="85" t="str">
        <f>IFERROR((IF($B25 = "","",INDEX(レシピ一覧!J:J,MATCH(使用レシピ!$B25,レシピ一覧!$A:$A,0)))&amp;"")*1,"")</f>
        <v/>
      </c>
      <c r="L25" s="85" t="str">
        <f>IFERROR((IF($B25 = "","",INDEX(レシピ一覧!K:K,MATCH(使用レシピ!$B25,レシピ一覧!$A:$A,0)))&amp;"")*1,"")</f>
        <v/>
      </c>
      <c r="M25" s="85" t="str">
        <f>IFERROR((IF($B25 = "","",INDEX(レシピ一覧!L:L,MATCH(使用レシピ!$B25,レシピ一覧!$A:$A,0)))&amp;"")*1,"")</f>
        <v/>
      </c>
      <c r="N25" s="85" t="str">
        <f>IFERROR((IF($B25 = "","",INDEX(レシピ一覧!M:M,MATCH(使用レシピ!$B25,レシピ一覧!$A:$A,0)))&amp;"")*1,"")</f>
        <v/>
      </c>
      <c r="O25" s="85" t="str">
        <f>IFERROR((IF($B25 = "","",INDEX(レシピ一覧!N:N,MATCH(使用レシピ!$B25,レシピ一覧!$A:$A,0)))&amp;"")*1,"")</f>
        <v/>
      </c>
      <c r="P25" s="85">
        <f>IFERROR((IF($B25 = "","",INDEX(レシピ一覧!O:O,MATCH(使用レシピ!$B25,レシピ一覧!$A:$A,0)))&amp;"")*1,"")</f>
        <v>1</v>
      </c>
      <c r="Q25" s="86">
        <f>IFERROR((IF($B25 = "","",INDEX(レシピ一覧!P:P,MATCH(使用レシピ!$B25,レシピ一覧!$A:$A,0)))&amp;"")*1,"")</f>
        <v>1</v>
      </c>
    </row>
    <row r="26" spans="1:17" x14ac:dyDescent="0.4">
      <c r="A26" s="84">
        <v>1</v>
      </c>
      <c r="B26" s="21" t="str">
        <f t="shared" si="0"/>
        <v>2501</v>
      </c>
      <c r="C26" s="81">
        <f>IF(COUNTIF(レシピ一覧!$B:$B,ROW()-1),ROW()-1,"")</f>
        <v>25</v>
      </c>
      <c r="D26" s="15">
        <f>IF(E26="","",COUNTIF(レシピ一覧!$D$2:$D$500,使用レシピ!E26))</f>
        <v>1</v>
      </c>
      <c r="E26" s="57" t="str">
        <f>IFERROR( INDEX(レシピ一覧!$D:$D,MATCH(使用レシピ!$C26,レシピ一覧!$B:$B,0))&amp;"","")</f>
        <v>固体バイオ燃料</v>
      </c>
      <c r="F26" s="85" t="str">
        <f>IF($B26 = "","",INDEX(レシピ一覧!E:E,MATCH(使用レシピ!$B26,レシピ一覧!$A:$A,0))) &amp;""</f>
        <v>バイオマス</v>
      </c>
      <c r="G26" s="85" t="str">
        <f>IF($B26 = "","",INDEX(レシピ一覧!F:F,MATCH(使用レシピ!$B26,レシピ一覧!$A:$A,0))) &amp;""</f>
        <v/>
      </c>
      <c r="H26" s="85" t="str">
        <f>IF($B26 = "","",INDEX(レシピ一覧!G:G,MATCH(使用レシピ!$B26,レシピ一覧!$A:$A,0))) &amp;""</f>
        <v/>
      </c>
      <c r="I26" s="85" t="str">
        <f>IF($B26 = "","",INDEX(レシピ一覧!H:H,MATCH(使用レシピ!$B26,レシピ一覧!$A:$A,0))) &amp;""</f>
        <v/>
      </c>
      <c r="J26" s="85" t="str">
        <f>IF($B26 = "","",INDEX(レシピ一覧!I:I,MATCH(使用レシピ!$B26,レシピ一覧!$A:$A,0))) &amp;""</f>
        <v/>
      </c>
      <c r="K26" s="85">
        <f>IFERROR((IF($B26 = "","",INDEX(レシピ一覧!J:J,MATCH(使用レシピ!$B26,レシピ一覧!$A:$A,0)))&amp;"")*1,"")</f>
        <v>8</v>
      </c>
      <c r="L26" s="85" t="str">
        <f>IFERROR((IF($B26 = "","",INDEX(レシピ一覧!K:K,MATCH(使用レシピ!$B26,レシピ一覧!$A:$A,0)))&amp;"")*1,"")</f>
        <v/>
      </c>
      <c r="M26" s="85" t="str">
        <f>IFERROR((IF($B26 = "","",INDEX(レシピ一覧!L:L,MATCH(使用レシピ!$B26,レシピ一覧!$A:$A,0)))&amp;"")*1,"")</f>
        <v/>
      </c>
      <c r="N26" s="85" t="str">
        <f>IFERROR((IF($B26 = "","",INDEX(レシピ一覧!M:M,MATCH(使用レシピ!$B26,レシピ一覧!$A:$A,0)))&amp;"")*1,"")</f>
        <v/>
      </c>
      <c r="O26" s="85" t="str">
        <f>IFERROR((IF($B26 = "","",INDEX(レシピ一覧!N:N,MATCH(使用レシピ!$B26,レシピ一覧!$A:$A,0)))&amp;"")*1,"")</f>
        <v/>
      </c>
      <c r="P26" s="85">
        <f>IFERROR((IF($B26 = "","",INDEX(レシピ一覧!O:O,MATCH(使用レシピ!$B26,レシピ一覧!$A:$A,0)))&amp;"")*1,"")</f>
        <v>4</v>
      </c>
      <c r="Q26" s="86">
        <f>IFERROR((IF($B26 = "","",INDEX(レシピ一覧!P:P,MATCH(使用レシピ!$B26,レシピ一覧!$A:$A,0)))&amp;"")*1,"")</f>
        <v>60</v>
      </c>
    </row>
    <row r="27" spans="1:17" x14ac:dyDescent="0.4">
      <c r="A27" s="84">
        <v>1</v>
      </c>
      <c r="B27" s="21" t="str">
        <f t="shared" si="0"/>
        <v>2601</v>
      </c>
      <c r="C27" s="81">
        <f>IF(COUNTIF(レシピ一覧!$B:$B,ROW()-1),ROW()-1,"")</f>
        <v>26</v>
      </c>
      <c r="D27" s="15">
        <f>IF(E27="","",COUNTIF(レシピ一覧!$D$2:$D$500,使用レシピ!E27))</f>
        <v>3</v>
      </c>
      <c r="E27" s="57" t="str">
        <f>IFERROR( INDEX(レシピ一覧!$D:$D,MATCH(使用レシピ!$C27,レシピ一覧!$B:$B,0))&amp;"","")</f>
        <v>ローター</v>
      </c>
      <c r="F27" s="85" t="str">
        <f>IF($B27 = "","",INDEX(レシピ一覧!E:E,MATCH(使用レシピ!$B27,レシピ一覧!$A:$A,0))) &amp;""</f>
        <v>鉄のロッド</v>
      </c>
      <c r="G27" s="85" t="str">
        <f>IF($B27 = "","",INDEX(レシピ一覧!F:F,MATCH(使用レシピ!$B27,レシピ一覧!$A:$A,0))) &amp;""</f>
        <v>ネジ</v>
      </c>
      <c r="H27" s="85" t="str">
        <f>IF($B27 = "","",INDEX(レシピ一覧!G:G,MATCH(使用レシピ!$B27,レシピ一覧!$A:$A,0))) &amp;""</f>
        <v/>
      </c>
      <c r="I27" s="85" t="str">
        <f>IF($B27 = "","",INDEX(レシピ一覧!H:H,MATCH(使用レシピ!$B27,レシピ一覧!$A:$A,0))) &amp;""</f>
        <v/>
      </c>
      <c r="J27" s="85" t="str">
        <f>IF($B27 = "","",INDEX(レシピ一覧!I:I,MATCH(使用レシピ!$B27,レシピ一覧!$A:$A,0))) &amp;""</f>
        <v/>
      </c>
      <c r="K27" s="85">
        <f>IFERROR((IF($B27 = "","",INDEX(レシピ一覧!J:J,MATCH(使用レシピ!$B27,レシピ一覧!$A:$A,0)))&amp;"")*1,"")</f>
        <v>5</v>
      </c>
      <c r="L27" s="85">
        <f>IFERROR((IF($B27 = "","",INDEX(レシピ一覧!K:K,MATCH(使用レシピ!$B27,レシピ一覧!$A:$A,0)))&amp;"")*1,"")</f>
        <v>25</v>
      </c>
      <c r="M27" s="85" t="str">
        <f>IFERROR((IF($B27 = "","",INDEX(レシピ一覧!L:L,MATCH(使用レシピ!$B27,レシピ一覧!$A:$A,0)))&amp;"")*1,"")</f>
        <v/>
      </c>
      <c r="N27" s="85" t="str">
        <f>IFERROR((IF($B27 = "","",INDEX(レシピ一覧!M:M,MATCH(使用レシピ!$B27,レシピ一覧!$A:$A,0)))&amp;"")*1,"")</f>
        <v/>
      </c>
      <c r="O27" s="85" t="str">
        <f>IFERROR((IF($B27 = "","",INDEX(レシピ一覧!N:N,MATCH(使用レシピ!$B27,レシピ一覧!$A:$A,0)))&amp;"")*1,"")</f>
        <v/>
      </c>
      <c r="P27" s="85">
        <f>IFERROR((IF($B27 = "","",INDEX(レシピ一覧!O:O,MATCH(使用レシピ!$B27,レシピ一覧!$A:$A,0)))&amp;"")*1,"")</f>
        <v>1</v>
      </c>
      <c r="Q27" s="86">
        <f>IFERROR((IF($B27 = "","",INDEX(レシピ一覧!P:P,MATCH(使用レシピ!$B27,レシピ一覧!$A:$A,0)))&amp;"")*1,"")</f>
        <v>4</v>
      </c>
    </row>
    <row r="28" spans="1:17" x14ac:dyDescent="0.4">
      <c r="A28" s="84">
        <v>2</v>
      </c>
      <c r="B28" s="21" t="str">
        <f t="shared" si="0"/>
        <v>2702</v>
      </c>
      <c r="C28" s="81">
        <f>IF(COUNTIF(レシピ一覧!$B:$B,ROW()-1),ROW()-1,"")</f>
        <v>27</v>
      </c>
      <c r="D28" s="15">
        <f>IF(E28="","",COUNTIF(レシピ一覧!$D$2:$D$500,使用レシピ!E28))</f>
        <v>2</v>
      </c>
      <c r="E28" s="57" t="str">
        <f>IFERROR( INDEX(レシピ一覧!$D:$D,MATCH(使用レシピ!$C28,レシピ一覧!$B:$B,0))&amp;"","")</f>
        <v>銅板</v>
      </c>
      <c r="F28" s="85" t="str">
        <f>IF($B28 = "","",INDEX(レシピ一覧!E:E,MATCH(使用レシピ!$B28,レシピ一覧!$A:$A,0))) &amp;""</f>
        <v>銅のインゴット</v>
      </c>
      <c r="G28" s="85" t="str">
        <f>IF($B28 = "","",INDEX(レシピ一覧!F:F,MATCH(使用レシピ!$B28,レシピ一覧!$A:$A,0))) &amp;""</f>
        <v>水</v>
      </c>
      <c r="H28" s="85" t="str">
        <f>IF($B28 = "","",INDEX(レシピ一覧!G:G,MATCH(使用レシピ!$B28,レシピ一覧!$A:$A,0))) &amp;""</f>
        <v/>
      </c>
      <c r="I28" s="85" t="str">
        <f>IF($B28 = "","",INDEX(レシピ一覧!H:H,MATCH(使用レシピ!$B28,レシピ一覧!$A:$A,0))) &amp;""</f>
        <v/>
      </c>
      <c r="J28" s="85" t="str">
        <f>IF($B28 = "","",INDEX(レシピ一覧!I:I,MATCH(使用レシピ!$B28,レシピ一覧!$A:$A,0))) &amp;""</f>
        <v/>
      </c>
      <c r="K28" s="85">
        <f>IFERROR((IF($B28 = "","",INDEX(レシピ一覧!J:J,MATCH(使用レシピ!$B28,レシピ一覧!$A:$A,0)))&amp;"")*1,"")</f>
        <v>3</v>
      </c>
      <c r="L28" s="85">
        <f>IFERROR((IF($B28 = "","",INDEX(レシピ一覧!K:K,MATCH(使用レシピ!$B28,レシピ一覧!$A:$A,0)))&amp;"")*1,"")</f>
        <v>3</v>
      </c>
      <c r="M28" s="85" t="str">
        <f>IFERROR((IF($B28 = "","",INDEX(レシピ一覧!L:L,MATCH(使用レシピ!$B28,レシピ一覧!$A:$A,0)))&amp;"")*1,"")</f>
        <v/>
      </c>
      <c r="N28" s="85" t="str">
        <f>IFERROR((IF($B28 = "","",INDEX(レシピ一覧!M:M,MATCH(使用レシピ!$B28,レシピ一覧!$A:$A,0)))&amp;"")*1,"")</f>
        <v/>
      </c>
      <c r="O28" s="85" t="str">
        <f>IFERROR((IF($B28 = "","",INDEX(レシピ一覧!N:N,MATCH(使用レシピ!$B28,レシピ一覧!$A:$A,0)))&amp;"")*1,"")</f>
        <v/>
      </c>
      <c r="P28" s="85">
        <f>IFERROR((IF($B28 = "","",INDEX(レシピ一覧!O:O,MATCH(使用レシピ!$B28,レシピ一覧!$A:$A,0)))&amp;"")*1,"")</f>
        <v>3</v>
      </c>
      <c r="Q28" s="86">
        <f>IFERROR((IF($B28 = "","",INDEX(レシピ一覧!P:P,MATCH(使用レシピ!$B28,レシピ一覧!$A:$A,0)))&amp;"")*1,"")</f>
        <v>22.5</v>
      </c>
    </row>
    <row r="29" spans="1:17" x14ac:dyDescent="0.4">
      <c r="A29" s="84">
        <v>2</v>
      </c>
      <c r="B29" s="21" t="str">
        <f t="shared" si="0"/>
        <v>2802</v>
      </c>
      <c r="C29" s="81">
        <f>IF(COUNTIF(レシピ一覧!$B:$B,ROW()-1),ROW()-1,"")</f>
        <v>28</v>
      </c>
      <c r="D29" s="15">
        <f>IF(E29="","",COUNTIF(レシピ一覧!$D$2:$D$500,使用レシピ!E29))</f>
        <v>3</v>
      </c>
      <c r="E29" s="57" t="str">
        <f>IFERROR( INDEX(レシピ一覧!$D:$D,MATCH(使用レシピ!$C29,レシピ一覧!$B:$B,0))&amp;"","")</f>
        <v>モジュラー・フレーム</v>
      </c>
      <c r="F29" s="85" t="str">
        <f>IF($B29 = "","",INDEX(レシピ一覧!E:E,MATCH(使用レシピ!$B29,レシピ一覧!$A:$A,0))) &amp;""</f>
        <v>強化鉄板</v>
      </c>
      <c r="G29" s="85" t="str">
        <f>IF($B29 = "","",INDEX(レシピ一覧!F:F,MATCH(使用レシピ!$B29,レシピ一覧!$A:$A,0))) &amp;""</f>
        <v>ネジ</v>
      </c>
      <c r="H29" s="85" t="str">
        <f>IF($B29 = "","",INDEX(レシピ一覧!G:G,MATCH(使用レシピ!$B29,レシピ一覧!$A:$A,0))) &amp;""</f>
        <v/>
      </c>
      <c r="I29" s="85" t="str">
        <f>IF($B29 = "","",INDEX(レシピ一覧!H:H,MATCH(使用レシピ!$B29,レシピ一覧!$A:$A,0))) &amp;""</f>
        <v/>
      </c>
      <c r="J29" s="85" t="str">
        <f>IF($B29 = "","",INDEX(レシピ一覧!I:I,MATCH(使用レシピ!$B29,レシピ一覧!$A:$A,0))) &amp;""</f>
        <v/>
      </c>
      <c r="K29" s="85">
        <f>IFERROR((IF($B29 = "","",INDEX(レシピ一覧!J:J,MATCH(使用レシピ!$B29,レシピ一覧!$A:$A,0)))&amp;"")*1,"")</f>
        <v>3</v>
      </c>
      <c r="L29" s="85">
        <f>IFERROR((IF($B29 = "","",INDEX(レシピ一覧!K:K,MATCH(使用レシピ!$B29,レシピ一覧!$A:$A,0)))&amp;"")*1,"")</f>
        <v>56</v>
      </c>
      <c r="M29" s="85" t="str">
        <f>IFERROR((IF($B29 = "","",INDEX(レシピ一覧!L:L,MATCH(使用レシピ!$B29,レシピ一覧!$A:$A,0)))&amp;"")*1,"")</f>
        <v/>
      </c>
      <c r="N29" s="85" t="str">
        <f>IFERROR((IF($B29 = "","",INDEX(レシピ一覧!M:M,MATCH(使用レシピ!$B29,レシピ一覧!$A:$A,0)))&amp;"")*1,"")</f>
        <v/>
      </c>
      <c r="O29" s="85" t="str">
        <f>IFERROR((IF($B29 = "","",INDEX(レシピ一覧!N:N,MATCH(使用レシピ!$B29,レシピ一覧!$A:$A,0)))&amp;"")*1,"")</f>
        <v/>
      </c>
      <c r="P29" s="85">
        <f>IFERROR((IF($B29 = "","",INDEX(レシピ一覧!O:O,MATCH(使用レシピ!$B29,レシピ一覧!$A:$A,0)))&amp;"")*1,"")</f>
        <v>2</v>
      </c>
      <c r="Q29" s="86">
        <f>IFERROR((IF($B29 = "","",INDEX(レシピ一覧!P:P,MATCH(使用レシピ!$B29,レシピ一覧!$A:$A,0)))&amp;"")*1,"")</f>
        <v>5</v>
      </c>
    </row>
    <row r="30" spans="1:17" x14ac:dyDescent="0.4">
      <c r="A30" s="84">
        <v>1</v>
      </c>
      <c r="B30" s="21" t="str">
        <f t="shared" si="0"/>
        <v>2901</v>
      </c>
      <c r="C30" s="81">
        <f>IF(COUNTIF(レシピ一覧!$B:$B,ROW()-1),ROW()-1,"")</f>
        <v>29</v>
      </c>
      <c r="D30" s="15">
        <f>IF(E30="","",COUNTIF(レシピ一覧!$D$2:$D$500,使用レシピ!E30))</f>
        <v>2</v>
      </c>
      <c r="E30" s="57" t="str">
        <f>IFERROR( INDEX(レシピ一覧!$D:$D,MATCH(使用レシピ!$C30,レシピ一覧!$B:$B,0))&amp;"","")</f>
        <v>スマート・プレート</v>
      </c>
      <c r="F30" s="85" t="str">
        <f>IF($B30 = "","",INDEX(レシピ一覧!E:E,MATCH(使用レシピ!$B30,レシピ一覧!$A:$A,0))) &amp;""</f>
        <v>強化鉄板</v>
      </c>
      <c r="G30" s="85" t="str">
        <f>IF($B30 = "","",INDEX(レシピ一覧!F:F,MATCH(使用レシピ!$B30,レシピ一覧!$A:$A,0))) &amp;""</f>
        <v>ローター</v>
      </c>
      <c r="H30" s="85" t="str">
        <f>IF($B30 = "","",INDEX(レシピ一覧!G:G,MATCH(使用レシピ!$B30,レシピ一覧!$A:$A,0))) &amp;""</f>
        <v/>
      </c>
      <c r="I30" s="85" t="str">
        <f>IF($B30 = "","",INDEX(レシピ一覧!H:H,MATCH(使用レシピ!$B30,レシピ一覧!$A:$A,0))) &amp;""</f>
        <v/>
      </c>
      <c r="J30" s="85" t="str">
        <f>IF($B30 = "","",INDEX(レシピ一覧!I:I,MATCH(使用レシピ!$B30,レシピ一覧!$A:$A,0))) &amp;""</f>
        <v/>
      </c>
      <c r="K30" s="85">
        <f>IFERROR((IF($B30 = "","",INDEX(レシピ一覧!J:J,MATCH(使用レシピ!$B30,レシピ一覧!$A:$A,0)))&amp;"")*1,"")</f>
        <v>1</v>
      </c>
      <c r="L30" s="85">
        <f>IFERROR((IF($B30 = "","",INDEX(レシピ一覧!K:K,MATCH(使用レシピ!$B30,レシピ一覧!$A:$A,0)))&amp;"")*1,"")</f>
        <v>1</v>
      </c>
      <c r="M30" s="85" t="str">
        <f>IFERROR((IF($B30 = "","",INDEX(レシピ一覧!L:L,MATCH(使用レシピ!$B30,レシピ一覧!$A:$A,0)))&amp;"")*1,"")</f>
        <v/>
      </c>
      <c r="N30" s="85" t="str">
        <f>IFERROR((IF($B30 = "","",INDEX(レシピ一覧!M:M,MATCH(使用レシピ!$B30,レシピ一覧!$A:$A,0)))&amp;"")*1,"")</f>
        <v/>
      </c>
      <c r="O30" s="85" t="str">
        <f>IFERROR((IF($B30 = "","",INDEX(レシピ一覧!N:N,MATCH(使用レシピ!$B30,レシピ一覧!$A:$A,0)))&amp;"")*1,"")</f>
        <v/>
      </c>
      <c r="P30" s="85">
        <f>IFERROR((IF($B30 = "","",INDEX(レシピ一覧!O:O,MATCH(使用レシピ!$B30,レシピ一覧!$A:$A,0)))&amp;"")*1,"")</f>
        <v>1</v>
      </c>
      <c r="Q30" s="86">
        <f>IFERROR((IF($B30 = "","",INDEX(レシピ一覧!P:P,MATCH(使用レシピ!$B30,レシピ一覧!$A:$A,0)))&amp;"")*1,"")</f>
        <v>2</v>
      </c>
    </row>
    <row r="31" spans="1:17" x14ac:dyDescent="0.4">
      <c r="A31" s="84">
        <v>1</v>
      </c>
      <c r="B31" s="21" t="str">
        <f t="shared" si="0"/>
        <v>3001</v>
      </c>
      <c r="C31" s="81">
        <f>IF(COUNTIF(レシピ一覧!$B:$B,ROW()-1),ROW()-1,"")</f>
        <v>30</v>
      </c>
      <c r="D31" s="15">
        <f>IF(E31="","",COUNTIF(レシピ一覧!$D$2:$D$500,使用レシピ!E31))</f>
        <v>2</v>
      </c>
      <c r="E31" s="57" t="str">
        <f>IFERROR( INDEX(レシピ一覧!$D:$D,MATCH(使用レシピ!$C31,レシピ一覧!$B:$B,0))&amp;"","")</f>
        <v>黒色火薬</v>
      </c>
      <c r="F31" s="85" t="str">
        <f>IF($B31 = "","",INDEX(レシピ一覧!E:E,MATCH(使用レシピ!$B31,レシピ一覧!$A:$A,0))) &amp;""</f>
        <v>石炭</v>
      </c>
      <c r="G31" s="85" t="str">
        <f>IF($B31 = "","",INDEX(レシピ一覧!F:F,MATCH(使用レシピ!$B31,レシピ一覧!$A:$A,0))) &amp;""</f>
        <v>硫黄</v>
      </c>
      <c r="H31" s="85" t="str">
        <f>IF($B31 = "","",INDEX(レシピ一覧!G:G,MATCH(使用レシピ!$B31,レシピ一覧!$A:$A,0))) &amp;""</f>
        <v/>
      </c>
      <c r="I31" s="85" t="str">
        <f>IF($B31 = "","",INDEX(レシピ一覧!H:H,MATCH(使用レシピ!$B31,レシピ一覧!$A:$A,0))) &amp;""</f>
        <v/>
      </c>
      <c r="J31" s="85" t="str">
        <f>IF($B31 = "","",INDEX(レシピ一覧!I:I,MATCH(使用レシピ!$B31,レシピ一覧!$A:$A,0))) &amp;""</f>
        <v/>
      </c>
      <c r="K31" s="85">
        <f>IFERROR((IF($B31 = "","",INDEX(レシピ一覧!J:J,MATCH(使用レシピ!$B31,レシピ一覧!$A:$A,0)))&amp;"")*1,"")</f>
        <v>1</v>
      </c>
      <c r="L31" s="85">
        <f>IFERROR((IF($B31 = "","",INDEX(レシピ一覧!K:K,MATCH(使用レシピ!$B31,レシピ一覧!$A:$A,0)))&amp;"")*1,"")</f>
        <v>1</v>
      </c>
      <c r="M31" s="85" t="str">
        <f>IFERROR((IF($B31 = "","",INDEX(レシピ一覧!L:L,MATCH(使用レシピ!$B31,レシピ一覧!$A:$A,0)))&amp;"")*1,"")</f>
        <v/>
      </c>
      <c r="N31" s="85" t="str">
        <f>IFERROR((IF($B31 = "","",INDEX(レシピ一覧!M:M,MATCH(使用レシピ!$B31,レシピ一覧!$A:$A,0)))&amp;"")*1,"")</f>
        <v/>
      </c>
      <c r="O31" s="85" t="str">
        <f>IFERROR((IF($B31 = "","",INDEX(レシピ一覧!N:N,MATCH(使用レシピ!$B31,レシピ一覧!$A:$A,0)))&amp;"")*1,"")</f>
        <v/>
      </c>
      <c r="P31" s="85">
        <f>IFERROR((IF($B31 = "","",INDEX(レシピ一覧!O:O,MATCH(使用レシピ!$B31,レシピ一覧!$A:$A,0)))&amp;"")*1,"")</f>
        <v>2</v>
      </c>
      <c r="Q31" s="86">
        <f>IFERROR((IF($B31 = "","",INDEX(レシピ一覧!P:P,MATCH(使用レシピ!$B31,レシピ一覧!$A:$A,0)))&amp;"")*1,"")</f>
        <v>30</v>
      </c>
    </row>
    <row r="32" spans="1:17" x14ac:dyDescent="0.4">
      <c r="A32" s="84">
        <v>1</v>
      </c>
      <c r="B32" s="21" t="str">
        <f t="shared" si="0"/>
        <v>3101</v>
      </c>
      <c r="C32" s="81">
        <f>IF(COUNTIF(レシピ一覧!$B:$B,ROW()-1),ROW()-1,"")</f>
        <v>31</v>
      </c>
      <c r="D32" s="15">
        <f>IF(E32="","",COUNTIF(レシピ一覧!$D$2:$D$500,使用レシピ!E32))</f>
        <v>5</v>
      </c>
      <c r="E32" s="57" t="str">
        <f>IFERROR( INDEX(レシピ一覧!$D:$D,MATCH(使用レシピ!$C32,レシピ一覧!$B:$B,0))&amp;"","")</f>
        <v>石炭</v>
      </c>
      <c r="F32" s="85" t="str">
        <f>IF($B32 = "","",INDEX(レシピ一覧!E:E,MATCH(使用レシピ!$B32,レシピ一覧!$A:$A,0))) &amp;""</f>
        <v/>
      </c>
      <c r="G32" s="85" t="str">
        <f>IF($B32 = "","",INDEX(レシピ一覧!F:F,MATCH(使用レシピ!$B32,レシピ一覧!$A:$A,0))) &amp;""</f>
        <v/>
      </c>
      <c r="H32" s="85" t="str">
        <f>IF($B32 = "","",INDEX(レシピ一覧!G:G,MATCH(使用レシピ!$B32,レシピ一覧!$A:$A,0))) &amp;""</f>
        <v/>
      </c>
      <c r="I32" s="85" t="str">
        <f>IF($B32 = "","",INDEX(レシピ一覧!H:H,MATCH(使用レシピ!$B32,レシピ一覧!$A:$A,0))) &amp;""</f>
        <v/>
      </c>
      <c r="J32" s="85" t="str">
        <f>IF($B32 = "","",INDEX(レシピ一覧!I:I,MATCH(使用レシピ!$B32,レシピ一覧!$A:$A,0))) &amp;""</f>
        <v/>
      </c>
      <c r="K32" s="85" t="str">
        <f>IFERROR((IF($B32 = "","",INDEX(レシピ一覧!J:J,MATCH(使用レシピ!$B32,レシピ一覧!$A:$A,0)))&amp;"")*1,"")</f>
        <v/>
      </c>
      <c r="L32" s="85" t="str">
        <f>IFERROR((IF($B32 = "","",INDEX(レシピ一覧!K:K,MATCH(使用レシピ!$B32,レシピ一覧!$A:$A,0)))&amp;"")*1,"")</f>
        <v/>
      </c>
      <c r="M32" s="85" t="str">
        <f>IFERROR((IF($B32 = "","",INDEX(レシピ一覧!L:L,MATCH(使用レシピ!$B32,レシピ一覧!$A:$A,0)))&amp;"")*1,"")</f>
        <v/>
      </c>
      <c r="N32" s="85" t="str">
        <f>IFERROR((IF($B32 = "","",INDEX(レシピ一覧!M:M,MATCH(使用レシピ!$B32,レシピ一覧!$A:$A,0)))&amp;"")*1,"")</f>
        <v/>
      </c>
      <c r="O32" s="85" t="str">
        <f>IFERROR((IF($B32 = "","",INDEX(レシピ一覧!N:N,MATCH(使用レシピ!$B32,レシピ一覧!$A:$A,0)))&amp;"")*1,"")</f>
        <v/>
      </c>
      <c r="P32" s="85">
        <f>IFERROR((IF($B32 = "","",INDEX(レシピ一覧!O:O,MATCH(使用レシピ!$B32,レシピ一覧!$A:$A,0)))&amp;"")*1,"")</f>
        <v>1</v>
      </c>
      <c r="Q32" s="86">
        <f>IFERROR((IF($B32 = "","",INDEX(レシピ一覧!P:P,MATCH(使用レシピ!$B32,レシピ一覧!$A:$A,0)))&amp;"")*1,"")</f>
        <v>1200</v>
      </c>
    </row>
    <row r="33" spans="1:17" x14ac:dyDescent="0.4">
      <c r="A33" s="84">
        <v>1</v>
      </c>
      <c r="B33" s="21" t="str">
        <f t="shared" si="0"/>
        <v>3201</v>
      </c>
      <c r="C33" s="81">
        <f>IF(COUNTIF(レシピ一覧!$B:$B,ROW()-1),ROW()-1,"")</f>
        <v>32</v>
      </c>
      <c r="D33" s="15">
        <f>IF(E33="","",COUNTIF(レシピ一覧!$D$2:$D$500,使用レシピ!E33))</f>
        <v>3</v>
      </c>
      <c r="E33" s="57" t="str">
        <f>IFERROR( INDEX(レシピ一覧!$D:$D,MATCH(使用レシピ!$C33,レシピ一覧!$B:$B,0))&amp;"","")</f>
        <v>硫黄</v>
      </c>
      <c r="F33" s="85" t="str">
        <f>IF($B33 = "","",INDEX(レシピ一覧!E:E,MATCH(使用レシピ!$B33,レシピ一覧!$A:$A,0))) &amp;""</f>
        <v/>
      </c>
      <c r="G33" s="85" t="str">
        <f>IF($B33 = "","",INDEX(レシピ一覧!F:F,MATCH(使用レシピ!$B33,レシピ一覧!$A:$A,0))) &amp;""</f>
        <v/>
      </c>
      <c r="H33" s="85" t="str">
        <f>IF($B33 = "","",INDEX(レシピ一覧!G:G,MATCH(使用レシピ!$B33,レシピ一覧!$A:$A,0))) &amp;""</f>
        <v/>
      </c>
      <c r="I33" s="85" t="str">
        <f>IF($B33 = "","",INDEX(レシピ一覧!H:H,MATCH(使用レシピ!$B33,レシピ一覧!$A:$A,0))) &amp;""</f>
        <v/>
      </c>
      <c r="J33" s="85" t="str">
        <f>IF($B33 = "","",INDEX(レシピ一覧!I:I,MATCH(使用レシピ!$B33,レシピ一覧!$A:$A,0))) &amp;""</f>
        <v/>
      </c>
      <c r="K33" s="85" t="str">
        <f>IFERROR((IF($B33 = "","",INDEX(レシピ一覧!J:J,MATCH(使用レシピ!$B33,レシピ一覧!$A:$A,0)))&amp;"")*1,"")</f>
        <v/>
      </c>
      <c r="L33" s="85" t="str">
        <f>IFERROR((IF($B33 = "","",INDEX(レシピ一覧!K:K,MATCH(使用レシピ!$B33,レシピ一覧!$A:$A,0)))&amp;"")*1,"")</f>
        <v/>
      </c>
      <c r="M33" s="85" t="str">
        <f>IFERROR((IF($B33 = "","",INDEX(レシピ一覧!L:L,MATCH(使用レシピ!$B33,レシピ一覧!$A:$A,0)))&amp;"")*1,"")</f>
        <v/>
      </c>
      <c r="N33" s="85" t="str">
        <f>IFERROR((IF($B33 = "","",INDEX(レシピ一覧!M:M,MATCH(使用レシピ!$B33,レシピ一覧!$A:$A,0)))&amp;"")*1,"")</f>
        <v/>
      </c>
      <c r="O33" s="85" t="str">
        <f>IFERROR((IF($B33 = "","",INDEX(レシピ一覧!N:N,MATCH(使用レシピ!$B33,レシピ一覧!$A:$A,0)))&amp;"")*1,"")</f>
        <v/>
      </c>
      <c r="P33" s="85">
        <f>IFERROR((IF($B33 = "","",INDEX(レシピ一覧!O:O,MATCH(使用レシピ!$B33,レシピ一覧!$A:$A,0)))&amp;"")*1,"")</f>
        <v>1</v>
      </c>
      <c r="Q33" s="86">
        <f>IFERROR((IF($B33 = "","",INDEX(レシピ一覧!P:P,MATCH(使用レシピ!$B33,レシピ一覧!$A:$A,0)))&amp;"")*1,"")</f>
        <v>1200</v>
      </c>
    </row>
    <row r="34" spans="1:17" x14ac:dyDescent="0.4">
      <c r="A34" s="84">
        <v>2</v>
      </c>
      <c r="B34" s="21" t="str">
        <f t="shared" si="0"/>
        <v>3302</v>
      </c>
      <c r="C34" s="81">
        <f>IF(COUNTIF(レシピ一覧!$B:$B,ROW()-1),ROW()-1,"")</f>
        <v>33</v>
      </c>
      <c r="D34" s="15">
        <f>IF(E34="","",COUNTIF(レシピ一覧!$D$2:$D$500,使用レシピ!E34))</f>
        <v>4</v>
      </c>
      <c r="E34" s="57" t="str">
        <f>IFERROR( INDEX(レシピ一覧!$D:$D,MATCH(使用レシピ!$C34,レシピ一覧!$B:$B,0))&amp;"","")</f>
        <v>カテリウムのインゴット</v>
      </c>
      <c r="F34" s="85" t="str">
        <f>IF($B34 = "","",INDEX(レシピ一覧!E:E,MATCH(使用レシピ!$B34,レシピ一覧!$A:$A,0))) &amp;""</f>
        <v>カテリウム鉱石</v>
      </c>
      <c r="G34" s="85" t="str">
        <f>IF($B34 = "","",INDEX(レシピ一覧!F:F,MATCH(使用レシピ!$B34,レシピ一覧!$A:$A,0))) &amp;""</f>
        <v>水</v>
      </c>
      <c r="H34" s="85" t="str">
        <f>IF($B34 = "","",INDEX(レシピ一覧!G:G,MATCH(使用レシピ!$B34,レシピ一覧!$A:$A,0))) &amp;""</f>
        <v/>
      </c>
      <c r="I34" s="85" t="str">
        <f>IF($B34 = "","",INDEX(レシピ一覧!H:H,MATCH(使用レシピ!$B34,レシピ一覧!$A:$A,0))) &amp;""</f>
        <v/>
      </c>
      <c r="J34" s="85" t="str">
        <f>IF($B34 = "","",INDEX(レシピ一覧!I:I,MATCH(使用レシピ!$B34,レシピ一覧!$A:$A,0))) &amp;""</f>
        <v/>
      </c>
      <c r="K34" s="85">
        <f>IFERROR((IF($B34 = "","",INDEX(レシピ一覧!J:J,MATCH(使用レシピ!$B34,レシピ一覧!$A:$A,0)))&amp;"")*1,"")</f>
        <v>2</v>
      </c>
      <c r="L34" s="85">
        <f>IFERROR((IF($B34 = "","",INDEX(レシピ一覧!K:K,MATCH(使用レシピ!$B34,レシピ一覧!$A:$A,0)))&amp;"")*1,"")</f>
        <v>2</v>
      </c>
      <c r="M34" s="85" t="str">
        <f>IFERROR((IF($B34 = "","",INDEX(レシピ一覧!L:L,MATCH(使用レシピ!$B34,レシピ一覧!$A:$A,0)))&amp;"")*1,"")</f>
        <v/>
      </c>
      <c r="N34" s="85" t="str">
        <f>IFERROR((IF($B34 = "","",INDEX(レシピ一覧!M:M,MATCH(使用レシピ!$B34,レシピ一覧!$A:$A,0)))&amp;"")*1,"")</f>
        <v/>
      </c>
      <c r="O34" s="85" t="str">
        <f>IFERROR((IF($B34 = "","",INDEX(レシピ一覧!N:N,MATCH(使用レシピ!$B34,レシピ一覧!$A:$A,0)))&amp;"")*1,"")</f>
        <v/>
      </c>
      <c r="P34" s="85">
        <f>IFERROR((IF($B34 = "","",INDEX(レシピ一覧!O:O,MATCH(使用レシピ!$B34,レシピ一覧!$A:$A,0)))&amp;"")*1,"")</f>
        <v>1</v>
      </c>
      <c r="Q34" s="86">
        <f>IFERROR((IF($B34 = "","",INDEX(レシピ一覧!P:P,MATCH(使用レシピ!$B34,レシピ一覧!$A:$A,0)))&amp;"")*1,"")</f>
        <v>12</v>
      </c>
    </row>
    <row r="35" spans="1:17" x14ac:dyDescent="0.4">
      <c r="A35" s="84">
        <v>1</v>
      </c>
      <c r="B35" s="21" t="str">
        <f t="shared" si="0"/>
        <v>3401</v>
      </c>
      <c r="C35" s="81">
        <f>IF(COUNTIF(レシピ一覧!$B:$B,ROW()-1),ROW()-1,"")</f>
        <v>34</v>
      </c>
      <c r="D35" s="15">
        <f>IF(E35="","",COUNTIF(レシピ一覧!$D$2:$D$500,使用レシピ!E35))</f>
        <v>3</v>
      </c>
      <c r="E35" s="57" t="str">
        <f>IFERROR( INDEX(レシピ一覧!$D:$D,MATCH(使用レシピ!$C35,レシピ一覧!$B:$B,0))&amp;"","")</f>
        <v>カテリウム鉱石</v>
      </c>
      <c r="F35" s="85" t="str">
        <f>IF($B35 = "","",INDEX(レシピ一覧!E:E,MATCH(使用レシピ!$B35,レシピ一覧!$A:$A,0))) &amp;""</f>
        <v/>
      </c>
      <c r="G35" s="85" t="str">
        <f>IF($B35 = "","",INDEX(レシピ一覧!F:F,MATCH(使用レシピ!$B35,レシピ一覧!$A:$A,0))) &amp;""</f>
        <v/>
      </c>
      <c r="H35" s="85" t="str">
        <f>IF($B35 = "","",INDEX(レシピ一覧!G:G,MATCH(使用レシピ!$B35,レシピ一覧!$A:$A,0))) &amp;""</f>
        <v/>
      </c>
      <c r="I35" s="85" t="str">
        <f>IF($B35 = "","",INDEX(レシピ一覧!H:H,MATCH(使用レシピ!$B35,レシピ一覧!$A:$A,0))) &amp;""</f>
        <v/>
      </c>
      <c r="J35" s="85" t="str">
        <f>IF($B35 = "","",INDEX(レシピ一覧!I:I,MATCH(使用レシピ!$B35,レシピ一覧!$A:$A,0))) &amp;""</f>
        <v/>
      </c>
      <c r="K35" s="85" t="str">
        <f>IFERROR((IF($B35 = "","",INDEX(レシピ一覧!J:J,MATCH(使用レシピ!$B35,レシピ一覧!$A:$A,0)))&amp;"")*1,"")</f>
        <v/>
      </c>
      <c r="L35" s="85" t="str">
        <f>IFERROR((IF($B35 = "","",INDEX(レシピ一覧!K:K,MATCH(使用レシピ!$B35,レシピ一覧!$A:$A,0)))&amp;"")*1,"")</f>
        <v/>
      </c>
      <c r="M35" s="85" t="str">
        <f>IFERROR((IF($B35 = "","",INDEX(レシピ一覧!L:L,MATCH(使用レシピ!$B35,レシピ一覧!$A:$A,0)))&amp;"")*1,"")</f>
        <v/>
      </c>
      <c r="N35" s="85" t="str">
        <f>IFERROR((IF($B35 = "","",INDEX(レシピ一覧!M:M,MATCH(使用レシピ!$B35,レシピ一覧!$A:$A,0)))&amp;"")*1,"")</f>
        <v/>
      </c>
      <c r="O35" s="85" t="str">
        <f>IFERROR((IF($B35 = "","",INDEX(レシピ一覧!N:N,MATCH(使用レシピ!$B35,レシピ一覧!$A:$A,0)))&amp;"")*1,"")</f>
        <v/>
      </c>
      <c r="P35" s="85">
        <f>IFERROR((IF($B35 = "","",INDEX(レシピ一覧!O:O,MATCH(使用レシピ!$B35,レシピ一覧!$A:$A,0)))&amp;"")*1,"")</f>
        <v>1</v>
      </c>
      <c r="Q35" s="86">
        <f>IFERROR((IF($B35 = "","",INDEX(レシピ一覧!P:P,MATCH(使用レシピ!$B35,レシピ一覧!$A:$A,0)))&amp;"")*1,"")</f>
        <v>1200</v>
      </c>
    </row>
    <row r="36" spans="1:17" x14ac:dyDescent="0.4">
      <c r="A36" s="84">
        <v>2</v>
      </c>
      <c r="B36" s="21" t="str">
        <f t="shared" si="0"/>
        <v>3502</v>
      </c>
      <c r="C36" s="81">
        <f>IF(COUNTIF(レシピ一覧!$B:$B,ROW()-1),ROW()-1,"")</f>
        <v>35</v>
      </c>
      <c r="D36" s="15">
        <f>IF(E36="","",COUNTIF(レシピ一覧!$D$2:$D$500,使用レシピ!E36))</f>
        <v>2</v>
      </c>
      <c r="E36" s="57" t="str">
        <f>IFERROR( INDEX(レシピ一覧!$D:$D,MATCH(使用レシピ!$C36,レシピ一覧!$B:$B,0))&amp;"","")</f>
        <v>クイックワイヤー</v>
      </c>
      <c r="F36" s="85" t="str">
        <f>IF($B36 = "","",INDEX(レシピ一覧!E:E,MATCH(使用レシピ!$B36,レシピ一覧!$A:$A,0))) &amp;""</f>
        <v>カテリウムのインゴット</v>
      </c>
      <c r="G36" s="85" t="str">
        <f>IF($B36 = "","",INDEX(レシピ一覧!F:F,MATCH(使用レシピ!$B36,レシピ一覧!$A:$A,0))) &amp;""</f>
        <v>銅のインゴット</v>
      </c>
      <c r="H36" s="85" t="str">
        <f>IF($B36 = "","",INDEX(レシピ一覧!G:G,MATCH(使用レシピ!$B36,レシピ一覧!$A:$A,0))) &amp;""</f>
        <v/>
      </c>
      <c r="I36" s="85" t="str">
        <f>IF($B36 = "","",INDEX(レシピ一覧!H:H,MATCH(使用レシピ!$B36,レシピ一覧!$A:$A,0))) &amp;""</f>
        <v/>
      </c>
      <c r="J36" s="85" t="str">
        <f>IF($B36 = "","",INDEX(レシピ一覧!I:I,MATCH(使用レシピ!$B36,レシピ一覧!$A:$A,0))) &amp;""</f>
        <v/>
      </c>
      <c r="K36" s="85">
        <f>IFERROR((IF($B36 = "","",INDEX(レシピ一覧!J:J,MATCH(使用レシピ!$B36,レシピ一覧!$A:$A,0)))&amp;"")*1,"")</f>
        <v>1</v>
      </c>
      <c r="L36" s="85">
        <f>IFERROR((IF($B36 = "","",INDEX(レシピ一覧!K:K,MATCH(使用レシピ!$B36,レシピ一覧!$A:$A,0)))&amp;"")*1,"")</f>
        <v>5</v>
      </c>
      <c r="M36" s="85" t="str">
        <f>IFERROR((IF($B36 = "","",INDEX(レシピ一覧!L:L,MATCH(使用レシピ!$B36,レシピ一覧!$A:$A,0)))&amp;"")*1,"")</f>
        <v/>
      </c>
      <c r="N36" s="85" t="str">
        <f>IFERROR((IF($B36 = "","",INDEX(レシピ一覧!M:M,MATCH(使用レシピ!$B36,レシピ一覧!$A:$A,0)))&amp;"")*1,"")</f>
        <v/>
      </c>
      <c r="O36" s="85" t="str">
        <f>IFERROR((IF($B36 = "","",INDEX(レシピ一覧!N:N,MATCH(使用レシピ!$B36,レシピ一覧!$A:$A,0)))&amp;"")*1,"")</f>
        <v/>
      </c>
      <c r="P36" s="85">
        <f>IFERROR((IF($B36 = "","",INDEX(レシピ一覧!O:O,MATCH(使用レシピ!$B36,レシピ一覧!$A:$A,0)))&amp;"")*1,"")</f>
        <v>12</v>
      </c>
      <c r="Q36" s="86">
        <f>IFERROR((IF($B36 = "","",INDEX(レシピ一覧!P:P,MATCH(使用レシピ!$B36,レシピ一覧!$A:$A,0)))&amp;"")*1,"")</f>
        <v>90</v>
      </c>
    </row>
    <row r="37" spans="1:17" x14ac:dyDescent="0.4">
      <c r="A37" s="84">
        <v>4</v>
      </c>
      <c r="B37" s="21" t="str">
        <f t="shared" si="0"/>
        <v>3604</v>
      </c>
      <c r="C37" s="81">
        <f>IF(COUNTIF(レシピ一覧!$B:$B,ROW()-1),ROW()-1,"")</f>
        <v>36</v>
      </c>
      <c r="D37" s="15">
        <f>IF(E37="","",COUNTIF(レシピ一覧!$D$2:$D$500,使用レシピ!E37))</f>
        <v>4</v>
      </c>
      <c r="E37" s="57" t="str">
        <f>IFERROR( INDEX(レシピ一覧!$D:$D,MATCH(使用レシピ!$C37,レシピ一覧!$B:$B,0))&amp;"","")</f>
        <v>鋼鉄のインゴット</v>
      </c>
      <c r="F37" s="85" t="str">
        <f>IF($B37 = "","",INDEX(レシピ一覧!E:E,MATCH(使用レシピ!$B37,レシピ一覧!$A:$A,0))) &amp;""</f>
        <v>鉄のインゴット</v>
      </c>
      <c r="G37" s="85" t="str">
        <f>IF($B37 = "","",INDEX(レシピ一覧!F:F,MATCH(使用レシピ!$B37,レシピ一覧!$A:$A,0))) &amp;""</f>
        <v>石炭</v>
      </c>
      <c r="H37" s="85" t="str">
        <f>IF($B37 = "","",INDEX(レシピ一覧!G:G,MATCH(使用レシピ!$B37,レシピ一覧!$A:$A,0))) &amp;""</f>
        <v/>
      </c>
      <c r="I37" s="85" t="str">
        <f>IF($B37 = "","",INDEX(レシピ一覧!H:H,MATCH(使用レシピ!$B37,レシピ一覧!$A:$A,0))) &amp;""</f>
        <v/>
      </c>
      <c r="J37" s="85" t="str">
        <f>IF($B37 = "","",INDEX(レシピ一覧!I:I,MATCH(使用レシピ!$B37,レシピ一覧!$A:$A,0))) &amp;""</f>
        <v/>
      </c>
      <c r="K37" s="85">
        <f>IFERROR((IF($B37 = "","",INDEX(レシピ一覧!J:J,MATCH(使用レシピ!$B37,レシピ一覧!$A:$A,0)))&amp;"")*1,"")</f>
        <v>2</v>
      </c>
      <c r="L37" s="85">
        <f>IFERROR((IF($B37 = "","",INDEX(レシピ一覧!K:K,MATCH(使用レシピ!$B37,レシピ一覧!$A:$A,0)))&amp;"")*1,"")</f>
        <v>2</v>
      </c>
      <c r="M37" s="85" t="str">
        <f>IFERROR((IF($B37 = "","",INDEX(レシピ一覧!L:L,MATCH(使用レシピ!$B37,レシピ一覧!$A:$A,0)))&amp;"")*1,"")</f>
        <v/>
      </c>
      <c r="N37" s="85" t="str">
        <f>IFERROR((IF($B37 = "","",INDEX(レシピ一覧!M:M,MATCH(使用レシピ!$B37,レシピ一覧!$A:$A,0)))&amp;"")*1,"")</f>
        <v/>
      </c>
      <c r="O37" s="85" t="str">
        <f>IFERROR((IF($B37 = "","",INDEX(レシピ一覧!N:N,MATCH(使用レシピ!$B37,レシピ一覧!$A:$A,0)))&amp;"")*1,"")</f>
        <v/>
      </c>
      <c r="P37" s="85">
        <f>IFERROR((IF($B37 = "","",INDEX(レシピ一覧!O:O,MATCH(使用レシピ!$B37,レシピ一覧!$A:$A,0)))&amp;"")*1,"")</f>
        <v>3</v>
      </c>
      <c r="Q37" s="86">
        <f>IFERROR((IF($B37 = "","",INDEX(レシピ一覧!P:P,MATCH(使用レシピ!$B37,レシピ一覧!$A:$A,0)))&amp;"")*1,"")</f>
        <v>60</v>
      </c>
    </row>
    <row r="38" spans="1:17" x14ac:dyDescent="0.4">
      <c r="A38" s="84">
        <v>2</v>
      </c>
      <c r="B38" s="21" t="str">
        <f t="shared" si="0"/>
        <v>3702</v>
      </c>
      <c r="C38" s="81">
        <f>IF(COUNTIF(レシピ一覧!$B:$B,ROW()-1),ROW()-1,"")</f>
        <v>37</v>
      </c>
      <c r="D38" s="15">
        <f>IF(E38="","",COUNTIF(レシピ一覧!$D$2:$D$500,使用レシピ!E38))</f>
        <v>3</v>
      </c>
      <c r="E38" s="57" t="str">
        <f>IFERROR( INDEX(レシピ一覧!$D:$D,MATCH(使用レシピ!$C38,レシピ一覧!$B:$B,0))&amp;"","")</f>
        <v>鋼梁</v>
      </c>
      <c r="F38" s="85" t="str">
        <f>IF($B38 = "","",INDEX(レシピ一覧!E:E,MATCH(使用レシピ!$B38,レシピ一覧!$A:$A,0))) &amp;""</f>
        <v>鋼鉄のインゴット</v>
      </c>
      <c r="G38" s="85" t="str">
        <f>IF($B38 = "","",INDEX(レシピ一覧!F:F,MATCH(使用レシピ!$B38,レシピ一覧!$A:$A,0))) &amp;""</f>
        <v>コンクリート</v>
      </c>
      <c r="H38" s="85" t="str">
        <f>IF($B38 = "","",INDEX(レシピ一覧!G:G,MATCH(使用レシピ!$B38,レシピ一覧!$A:$A,0))) &amp;""</f>
        <v/>
      </c>
      <c r="I38" s="85" t="str">
        <f>IF($B38 = "","",INDEX(レシピ一覧!H:H,MATCH(使用レシピ!$B38,レシピ一覧!$A:$A,0))) &amp;""</f>
        <v/>
      </c>
      <c r="J38" s="85" t="str">
        <f>IF($B38 = "","",INDEX(レシピ一覧!I:I,MATCH(使用レシピ!$B38,レシピ一覧!$A:$A,0))) &amp;""</f>
        <v/>
      </c>
      <c r="K38" s="85">
        <f>IFERROR((IF($B38 = "","",INDEX(レシピ一覧!J:J,MATCH(使用レシピ!$B38,レシピ一覧!$A:$A,0)))&amp;"")*1,"")</f>
        <v>24</v>
      </c>
      <c r="L38" s="85">
        <f>IFERROR((IF($B38 = "","",INDEX(レシピ一覧!K:K,MATCH(使用レシピ!$B38,レシピ一覧!$A:$A,0)))&amp;"")*1,"")</f>
        <v>16</v>
      </c>
      <c r="M38" s="85" t="str">
        <f>IFERROR((IF($B38 = "","",INDEX(レシピ一覧!L:L,MATCH(使用レシピ!$B38,レシピ一覧!$A:$A,0)))&amp;"")*1,"")</f>
        <v/>
      </c>
      <c r="N38" s="85" t="str">
        <f>IFERROR((IF($B38 = "","",INDEX(レシピ一覧!M:M,MATCH(使用レシピ!$B38,レシピ一覧!$A:$A,0)))&amp;"")*1,"")</f>
        <v/>
      </c>
      <c r="O38" s="85" t="str">
        <f>IFERROR((IF($B38 = "","",INDEX(レシピ一覧!N:N,MATCH(使用レシピ!$B38,レシピ一覧!$A:$A,0)))&amp;"")*1,"")</f>
        <v/>
      </c>
      <c r="P38" s="85">
        <f>IFERROR((IF($B38 = "","",INDEX(レシピ一覧!O:O,MATCH(使用レシピ!$B38,レシピ一覧!$A:$A,0)))&amp;"")*1,"")</f>
        <v>9</v>
      </c>
      <c r="Q38" s="86">
        <f>IFERROR((IF($B38 = "","",INDEX(レシピ一覧!P:P,MATCH(使用レシピ!$B38,レシピ一覧!$A:$A,0)))&amp;"")*1,"")</f>
        <v>45</v>
      </c>
    </row>
    <row r="39" spans="1:17" x14ac:dyDescent="0.4">
      <c r="A39" s="84">
        <v>3</v>
      </c>
      <c r="B39" s="21" t="str">
        <f t="shared" si="0"/>
        <v>3803</v>
      </c>
      <c r="C39" s="81">
        <f>IF(COUNTIF(レシピ一覧!$B:$B,ROW()-1),ROW()-1,"")</f>
        <v>38</v>
      </c>
      <c r="D39" s="15">
        <f>IF(E39="","",COUNTIF(レシピ一覧!$D$2:$D$500,使用レシピ!E39))</f>
        <v>3</v>
      </c>
      <c r="E39" s="57" t="str">
        <f>IFERROR( INDEX(レシピ一覧!$D:$D,MATCH(使用レシピ!$C39,レシピ一覧!$B:$B,0))&amp;"","")</f>
        <v>鋼管</v>
      </c>
      <c r="F39" s="85" t="str">
        <f>IF($B39 = "","",INDEX(レシピ一覧!E:E,MATCH(使用レシピ!$B39,レシピ一覧!$A:$A,0))) &amp;""</f>
        <v>鋼鉄のインゴット</v>
      </c>
      <c r="G39" s="85" t="str">
        <f>IF($B39 = "","",INDEX(レシピ一覧!F:F,MATCH(使用レシピ!$B39,レシピ一覧!$A:$A,0))) &amp;""</f>
        <v>コンクリート</v>
      </c>
      <c r="H39" s="85" t="str">
        <f>IF($B39 = "","",INDEX(レシピ一覧!G:G,MATCH(使用レシピ!$B39,レシピ一覧!$A:$A,0))) &amp;""</f>
        <v/>
      </c>
      <c r="I39" s="85" t="str">
        <f>IF($B39 = "","",INDEX(レシピ一覧!H:H,MATCH(使用レシピ!$B39,レシピ一覧!$A:$A,0))) &amp;""</f>
        <v/>
      </c>
      <c r="J39" s="85" t="str">
        <f>IF($B39 = "","",INDEX(レシピ一覧!I:I,MATCH(使用レシピ!$B39,レシピ一覧!$A:$A,0))) &amp;""</f>
        <v/>
      </c>
      <c r="K39" s="85">
        <f>IFERROR((IF($B39 = "","",INDEX(レシピ一覧!J:J,MATCH(使用レシピ!$B39,レシピ一覧!$A:$A,0)))&amp;"")*1,"")</f>
        <v>5</v>
      </c>
      <c r="L39" s="85">
        <f>IFERROR((IF($B39 = "","",INDEX(レシピ一覧!K:K,MATCH(使用レシピ!$B39,レシピ一覧!$A:$A,0)))&amp;"")*1,"")</f>
        <v>3</v>
      </c>
      <c r="M39" s="85" t="str">
        <f>IFERROR((IF($B39 = "","",INDEX(レシピ一覧!L:L,MATCH(使用レシピ!$B39,レシピ一覧!$A:$A,0)))&amp;"")*1,"")</f>
        <v/>
      </c>
      <c r="N39" s="85" t="str">
        <f>IFERROR((IF($B39 = "","",INDEX(レシピ一覧!M:M,MATCH(使用レシピ!$B39,レシピ一覧!$A:$A,0)))&amp;"")*1,"")</f>
        <v/>
      </c>
      <c r="O39" s="85" t="str">
        <f>IFERROR((IF($B39 = "","",INDEX(レシピ一覧!N:N,MATCH(使用レシピ!$B39,レシピ一覧!$A:$A,0)))&amp;"")*1,"")</f>
        <v/>
      </c>
      <c r="P39" s="85">
        <f>IFERROR((IF($B39 = "","",INDEX(レシピ一覧!O:O,MATCH(使用レシピ!$B39,レシピ一覧!$A:$A,0)))&amp;"")*1,"")</f>
        <v>5</v>
      </c>
      <c r="Q39" s="86">
        <f>IFERROR((IF($B39 = "","",INDEX(レシピ一覧!P:P,MATCH(使用レシピ!$B39,レシピ一覧!$A:$A,0)))&amp;"")*1,"")</f>
        <v>50</v>
      </c>
    </row>
    <row r="40" spans="1:17" x14ac:dyDescent="0.4">
      <c r="A40" s="84">
        <v>1</v>
      </c>
      <c r="B40" s="21" t="str">
        <f t="shared" si="0"/>
        <v>3901</v>
      </c>
      <c r="C40" s="81">
        <f>IF(COUNTIF(レシピ一覧!$B:$B,ROW()-1),ROW()-1,"")</f>
        <v>39</v>
      </c>
      <c r="D40" s="15">
        <f>IF(E40="","",COUNTIF(レシピ一覧!$D$2:$D$500,使用レシピ!E40))</f>
        <v>2</v>
      </c>
      <c r="E40" s="57" t="str">
        <f>IFERROR( INDEX(レシピ一覧!$D:$D,MATCH(使用レシピ!$C40,レシピ一覧!$B:$B,0))&amp;"","")</f>
        <v>多目的フレームワーク</v>
      </c>
      <c r="F40" s="85" t="str">
        <f>IF($B40 = "","",INDEX(レシピ一覧!E:E,MATCH(使用レシピ!$B40,レシピ一覧!$A:$A,0))) &amp;""</f>
        <v>モジュラー・フレーム</v>
      </c>
      <c r="G40" s="85" t="str">
        <f>IF($B40 = "","",INDEX(レシピ一覧!F:F,MATCH(使用レシピ!$B40,レシピ一覧!$A:$A,0))) &amp;""</f>
        <v>鋼梁</v>
      </c>
      <c r="H40" s="85" t="str">
        <f>IF($B40 = "","",INDEX(レシピ一覧!G:G,MATCH(使用レシピ!$B40,レシピ一覧!$A:$A,0))) &amp;""</f>
        <v/>
      </c>
      <c r="I40" s="85" t="str">
        <f>IF($B40 = "","",INDEX(レシピ一覧!H:H,MATCH(使用レシピ!$B40,レシピ一覧!$A:$A,0))) &amp;""</f>
        <v/>
      </c>
      <c r="J40" s="85" t="str">
        <f>IF($B40 = "","",INDEX(レシピ一覧!I:I,MATCH(使用レシピ!$B40,レシピ一覧!$A:$A,0))) &amp;""</f>
        <v/>
      </c>
      <c r="K40" s="85">
        <f>IFERROR((IF($B40 = "","",INDEX(レシピ一覧!J:J,MATCH(使用レシピ!$B40,レシピ一覧!$A:$A,0)))&amp;"")*1,"")</f>
        <v>1</v>
      </c>
      <c r="L40" s="85">
        <f>IFERROR((IF($B40 = "","",INDEX(レシピ一覧!K:K,MATCH(使用レシピ!$B40,レシピ一覧!$A:$A,0)))&amp;"")*1,"")</f>
        <v>12</v>
      </c>
      <c r="M40" s="85" t="str">
        <f>IFERROR((IF($B40 = "","",INDEX(レシピ一覧!L:L,MATCH(使用レシピ!$B40,レシピ一覧!$A:$A,0)))&amp;"")*1,"")</f>
        <v/>
      </c>
      <c r="N40" s="85" t="str">
        <f>IFERROR((IF($B40 = "","",INDEX(レシピ一覧!M:M,MATCH(使用レシピ!$B40,レシピ一覧!$A:$A,0)))&amp;"")*1,"")</f>
        <v/>
      </c>
      <c r="O40" s="85" t="str">
        <f>IFERROR((IF($B40 = "","",INDEX(レシピ一覧!N:N,MATCH(使用レシピ!$B40,レシピ一覧!$A:$A,0)))&amp;"")*1,"")</f>
        <v/>
      </c>
      <c r="P40" s="85">
        <f>IFERROR((IF($B40 = "","",INDEX(レシピ一覧!O:O,MATCH(使用レシピ!$B40,レシピ一覧!$A:$A,0)))&amp;"")*1,"")</f>
        <v>2</v>
      </c>
      <c r="Q40" s="86">
        <f>IFERROR((IF($B40 = "","",INDEX(レシピ一覧!P:P,MATCH(使用レシピ!$B40,レシピ一覧!$A:$A,0)))&amp;"")*1,"")</f>
        <v>5</v>
      </c>
    </row>
    <row r="41" spans="1:17" x14ac:dyDescent="0.4">
      <c r="A41" s="84">
        <v>1</v>
      </c>
      <c r="B41" s="21" t="str">
        <f t="shared" si="0"/>
        <v>4001</v>
      </c>
      <c r="C41" s="81">
        <f>IF(COUNTIF(レシピ一覧!$B:$B,ROW()-1),ROW()-1,"")</f>
        <v>40</v>
      </c>
      <c r="D41" s="15">
        <f>IF(E41="","",COUNTIF(レシピ一覧!$D$2:$D$500,使用レシピ!E41))</f>
        <v>1</v>
      </c>
      <c r="E41" s="57" t="str">
        <f>IFERROR( INDEX(レシピ一覧!$D:$D,MATCH(使用レシピ!$C41,レシピ一覧!$B:$B,0))&amp;"","")</f>
        <v>活性SAM</v>
      </c>
      <c r="F41" s="85" t="str">
        <f>IF($B41 = "","",INDEX(レシピ一覧!E:E,MATCH(使用レシピ!$B41,レシピ一覧!$A:$A,0))) &amp;""</f>
        <v>SAM</v>
      </c>
      <c r="G41" s="85" t="str">
        <f>IF($B41 = "","",INDEX(レシピ一覧!F:F,MATCH(使用レシピ!$B41,レシピ一覧!$A:$A,0))) &amp;""</f>
        <v/>
      </c>
      <c r="H41" s="85" t="str">
        <f>IF($B41 = "","",INDEX(レシピ一覧!G:G,MATCH(使用レシピ!$B41,レシピ一覧!$A:$A,0))) &amp;""</f>
        <v/>
      </c>
      <c r="I41" s="85" t="str">
        <f>IF($B41 = "","",INDEX(レシピ一覧!H:H,MATCH(使用レシピ!$B41,レシピ一覧!$A:$A,0))) &amp;""</f>
        <v/>
      </c>
      <c r="J41" s="85" t="str">
        <f>IF($B41 = "","",INDEX(レシピ一覧!I:I,MATCH(使用レシピ!$B41,レシピ一覧!$A:$A,0))) &amp;""</f>
        <v/>
      </c>
      <c r="K41" s="85">
        <f>IFERROR((IF($B41 = "","",INDEX(レシピ一覧!J:J,MATCH(使用レシピ!$B41,レシピ一覧!$A:$A,0)))&amp;"")*1,"")</f>
        <v>4</v>
      </c>
      <c r="L41" s="85" t="str">
        <f>IFERROR((IF($B41 = "","",INDEX(レシピ一覧!K:K,MATCH(使用レシピ!$B41,レシピ一覧!$A:$A,0)))&amp;"")*1,"")</f>
        <v/>
      </c>
      <c r="M41" s="85" t="str">
        <f>IFERROR((IF($B41 = "","",INDEX(レシピ一覧!L:L,MATCH(使用レシピ!$B41,レシピ一覧!$A:$A,0)))&amp;"")*1,"")</f>
        <v/>
      </c>
      <c r="N41" s="85" t="str">
        <f>IFERROR((IF($B41 = "","",INDEX(レシピ一覧!M:M,MATCH(使用レシピ!$B41,レシピ一覧!$A:$A,0)))&amp;"")*1,"")</f>
        <v/>
      </c>
      <c r="O41" s="85" t="str">
        <f>IFERROR((IF($B41 = "","",INDEX(レシピ一覧!N:N,MATCH(使用レシピ!$B41,レシピ一覧!$A:$A,0)))&amp;"")*1,"")</f>
        <v/>
      </c>
      <c r="P41" s="85">
        <f>IFERROR((IF($B41 = "","",INDEX(レシピ一覧!O:O,MATCH(使用レシピ!$B41,レシピ一覧!$A:$A,0)))&amp;"")*1,"")</f>
        <v>1</v>
      </c>
      <c r="Q41" s="86">
        <f>IFERROR((IF($B41 = "","",INDEX(レシピ一覧!P:P,MATCH(使用レシピ!$B41,レシピ一覧!$A:$A,0)))&amp;"")*1,"")</f>
        <v>30</v>
      </c>
    </row>
    <row r="42" spans="1:17" x14ac:dyDescent="0.4">
      <c r="A42" s="84">
        <v>1</v>
      </c>
      <c r="B42" s="21" t="str">
        <f t="shared" si="0"/>
        <v>4101</v>
      </c>
      <c r="C42" s="81">
        <f>IF(COUNTIF(レシピ一覧!$B:$B,ROW()-1),ROW()-1,"")</f>
        <v>41</v>
      </c>
      <c r="D42" s="15">
        <f>IF(E42="","",COUNTIF(レシピ一覧!$D$2:$D$500,使用レシピ!E42))</f>
        <v>1</v>
      </c>
      <c r="E42" s="57" t="str">
        <f>IFERROR( INDEX(レシピ一覧!$D:$D,MATCH(使用レシピ!$C42,レシピ一覧!$B:$B,0))&amp;"","")</f>
        <v>SAM</v>
      </c>
      <c r="F42" s="85" t="str">
        <f>IF($B42 = "","",INDEX(レシピ一覧!E:E,MATCH(使用レシピ!$B42,レシピ一覧!$A:$A,0))) &amp;""</f>
        <v/>
      </c>
      <c r="G42" s="85" t="str">
        <f>IF($B42 = "","",INDEX(レシピ一覧!F:F,MATCH(使用レシピ!$B42,レシピ一覧!$A:$A,0))) &amp;""</f>
        <v/>
      </c>
      <c r="H42" s="85" t="str">
        <f>IF($B42 = "","",INDEX(レシピ一覧!G:G,MATCH(使用レシピ!$B42,レシピ一覧!$A:$A,0))) &amp;""</f>
        <v/>
      </c>
      <c r="I42" s="85" t="str">
        <f>IF($B42 = "","",INDEX(レシピ一覧!H:H,MATCH(使用レシピ!$B42,レシピ一覧!$A:$A,0))) &amp;""</f>
        <v/>
      </c>
      <c r="J42" s="85" t="str">
        <f>IF($B42 = "","",INDEX(レシピ一覧!I:I,MATCH(使用レシピ!$B42,レシピ一覧!$A:$A,0))) &amp;""</f>
        <v/>
      </c>
      <c r="K42" s="85" t="str">
        <f>IFERROR((IF($B42 = "","",INDEX(レシピ一覧!J:J,MATCH(使用レシピ!$B42,レシピ一覧!$A:$A,0)))&amp;"")*1,"")</f>
        <v/>
      </c>
      <c r="L42" s="85" t="str">
        <f>IFERROR((IF($B42 = "","",INDEX(レシピ一覧!K:K,MATCH(使用レシピ!$B42,レシピ一覧!$A:$A,0)))&amp;"")*1,"")</f>
        <v/>
      </c>
      <c r="M42" s="85" t="str">
        <f>IFERROR((IF($B42 = "","",INDEX(レシピ一覧!L:L,MATCH(使用レシピ!$B42,レシピ一覧!$A:$A,0)))&amp;"")*1,"")</f>
        <v/>
      </c>
      <c r="N42" s="85" t="str">
        <f>IFERROR((IF($B42 = "","",INDEX(レシピ一覧!M:M,MATCH(使用レシピ!$B42,レシピ一覧!$A:$A,0)))&amp;"")*1,"")</f>
        <v/>
      </c>
      <c r="O42" s="85" t="str">
        <f>IFERROR((IF($B42 = "","",INDEX(レシピ一覧!N:N,MATCH(使用レシピ!$B42,レシピ一覧!$A:$A,0)))&amp;"")*1,"")</f>
        <v/>
      </c>
      <c r="P42" s="85">
        <f>IFERROR((IF($B42 = "","",INDEX(レシピ一覧!O:O,MATCH(使用レシピ!$B42,レシピ一覧!$A:$A,0)))&amp;"")*1,"")</f>
        <v>1</v>
      </c>
      <c r="Q42" s="86">
        <f>IFERROR((IF($B42 = "","",INDEX(レシピ一覧!P:P,MATCH(使用レシピ!$B42,レシピ一覧!$A:$A,0)))&amp;"")*1,"")</f>
        <v>1200</v>
      </c>
    </row>
    <row r="43" spans="1:17" x14ac:dyDescent="0.4">
      <c r="A43" s="84">
        <v>2</v>
      </c>
      <c r="B43" s="21" t="str">
        <f t="shared" si="0"/>
        <v>4202</v>
      </c>
      <c r="C43" s="81">
        <f>IF(COUNTIF(レシピ一覧!$B:$B,ROW()-1),ROW()-1,"")</f>
        <v>42</v>
      </c>
      <c r="D43" s="15">
        <f>IF(E43="","",COUNTIF(レシピ一覧!$D$2:$D$500,使用レシピ!E43))</f>
        <v>2</v>
      </c>
      <c r="E43" s="57" t="str">
        <f>IFERROR( INDEX(レシピ一覧!$D:$D,MATCH(使用レシピ!$C43,レシピ一覧!$B:$B,0))&amp;"","")</f>
        <v>コンクリート被覆型鋼梁</v>
      </c>
      <c r="F43" s="85" t="str">
        <f>IF($B43 = "","",INDEX(レシピ一覧!E:E,MATCH(使用レシピ!$B43,レシピ一覧!$A:$A,0))) &amp;""</f>
        <v>鋼管</v>
      </c>
      <c r="G43" s="85" t="str">
        <f>IF($B43 = "","",INDEX(レシピ一覧!F:F,MATCH(使用レシピ!$B43,レシピ一覧!$A:$A,0))) &amp;""</f>
        <v>コンクリート</v>
      </c>
      <c r="H43" s="85" t="str">
        <f>IF($B43 = "","",INDEX(レシピ一覧!G:G,MATCH(使用レシピ!$B43,レシピ一覧!$A:$A,0))) &amp;""</f>
        <v/>
      </c>
      <c r="I43" s="85" t="str">
        <f>IF($B43 = "","",INDEX(レシピ一覧!H:H,MATCH(使用レシピ!$B43,レシピ一覧!$A:$A,0))) &amp;""</f>
        <v/>
      </c>
      <c r="J43" s="85" t="str">
        <f>IF($B43 = "","",INDEX(レシピ一覧!I:I,MATCH(使用レシピ!$B43,レシピ一覧!$A:$A,0))) &amp;""</f>
        <v/>
      </c>
      <c r="K43" s="85">
        <f>IFERROR((IF($B43 = "","",INDEX(レシピ一覧!J:J,MATCH(使用レシピ!$B43,レシピ一覧!$A:$A,0)))&amp;"")*1,"")</f>
        <v>6</v>
      </c>
      <c r="L43" s="85">
        <f>IFERROR((IF($B43 = "","",INDEX(レシピ一覧!K:K,MATCH(使用レシピ!$B43,レシピ一覧!$A:$A,0)))&amp;"")*1,"")</f>
        <v>5</v>
      </c>
      <c r="M43" s="85" t="str">
        <f>IFERROR((IF($B43 = "","",INDEX(レシピ一覧!L:L,MATCH(使用レシピ!$B43,レシピ一覧!$A:$A,0)))&amp;"")*1,"")</f>
        <v/>
      </c>
      <c r="N43" s="85" t="str">
        <f>IFERROR((IF($B43 = "","",INDEX(レシピ一覧!M:M,MATCH(使用レシピ!$B43,レシピ一覧!$A:$A,0)))&amp;"")*1,"")</f>
        <v/>
      </c>
      <c r="O43" s="85" t="str">
        <f>IFERROR((IF($B43 = "","",INDEX(レシピ一覧!N:N,MATCH(使用レシピ!$B43,レシピ一覧!$A:$A,0)))&amp;"")*1,"")</f>
        <v/>
      </c>
      <c r="P43" s="85">
        <f>IFERROR((IF($B43 = "","",INDEX(レシピ一覧!O:O,MATCH(使用レシピ!$B43,レシピ一覧!$A:$A,0)))&amp;"")*1,"")</f>
        <v>1</v>
      </c>
      <c r="Q43" s="86">
        <f>IFERROR((IF($B43 = "","",INDEX(レシピ一覧!P:P,MATCH(使用レシピ!$B43,レシピ一覧!$A:$A,0)))&amp;"")*1,"")</f>
        <v>4</v>
      </c>
    </row>
    <row r="44" spans="1:17" x14ac:dyDescent="0.4">
      <c r="A44" s="84">
        <v>1</v>
      </c>
      <c r="B44" s="21" t="str">
        <f t="shared" si="0"/>
        <v>4301</v>
      </c>
      <c r="C44" s="81">
        <f>IF(COUNTIF(レシピ一覧!$B:$B,ROW()-1),ROW()-1,"")</f>
        <v>43</v>
      </c>
      <c r="D44" s="15">
        <f>IF(E44="","",COUNTIF(レシピ一覧!$D$2:$D$500,使用レシピ!E44))</f>
        <v>2</v>
      </c>
      <c r="E44" s="57" t="str">
        <f>IFERROR( INDEX(レシピ一覧!$D:$D,MATCH(使用レシピ!$C44,レシピ一覧!$B:$B,0))&amp;"","")</f>
        <v>固定子</v>
      </c>
      <c r="F44" s="85" t="str">
        <f>IF($B44 = "","",INDEX(レシピ一覧!E:E,MATCH(使用レシピ!$B44,レシピ一覧!$A:$A,0))) &amp;""</f>
        <v>鋼管</v>
      </c>
      <c r="G44" s="85" t="str">
        <f>IF($B44 = "","",INDEX(レシピ一覧!F:F,MATCH(使用レシピ!$B44,レシピ一覧!$A:$A,0))) &amp;""</f>
        <v>ワイヤー</v>
      </c>
      <c r="H44" s="85" t="str">
        <f>IF($B44 = "","",INDEX(レシピ一覧!G:G,MATCH(使用レシピ!$B44,レシピ一覧!$A:$A,0))) &amp;""</f>
        <v/>
      </c>
      <c r="I44" s="85" t="str">
        <f>IF($B44 = "","",INDEX(レシピ一覧!H:H,MATCH(使用レシピ!$B44,レシピ一覧!$A:$A,0))) &amp;""</f>
        <v/>
      </c>
      <c r="J44" s="85" t="str">
        <f>IF($B44 = "","",INDEX(レシピ一覧!I:I,MATCH(使用レシピ!$B44,レシピ一覧!$A:$A,0))) &amp;""</f>
        <v/>
      </c>
      <c r="K44" s="85">
        <f>IFERROR((IF($B44 = "","",INDEX(レシピ一覧!J:J,MATCH(使用レシピ!$B44,レシピ一覧!$A:$A,0)))&amp;"")*1,"")</f>
        <v>3</v>
      </c>
      <c r="L44" s="85">
        <f>IFERROR((IF($B44 = "","",INDEX(レシピ一覧!K:K,MATCH(使用レシピ!$B44,レシピ一覧!$A:$A,0)))&amp;"")*1,"")</f>
        <v>8</v>
      </c>
      <c r="M44" s="85" t="str">
        <f>IFERROR((IF($B44 = "","",INDEX(レシピ一覧!L:L,MATCH(使用レシピ!$B44,レシピ一覧!$A:$A,0)))&amp;"")*1,"")</f>
        <v/>
      </c>
      <c r="N44" s="85" t="str">
        <f>IFERROR((IF($B44 = "","",INDEX(レシピ一覧!M:M,MATCH(使用レシピ!$B44,レシピ一覧!$A:$A,0)))&amp;"")*1,"")</f>
        <v/>
      </c>
      <c r="O44" s="85" t="str">
        <f>IFERROR((IF($B44 = "","",INDEX(レシピ一覧!N:N,MATCH(使用レシピ!$B44,レシピ一覧!$A:$A,0)))&amp;"")*1,"")</f>
        <v/>
      </c>
      <c r="P44" s="85">
        <f>IFERROR((IF($B44 = "","",INDEX(レシピ一覧!O:O,MATCH(使用レシピ!$B44,レシピ一覧!$A:$A,0)))&amp;"")*1,"")</f>
        <v>1</v>
      </c>
      <c r="Q44" s="86">
        <f>IFERROR((IF($B44 = "","",INDEX(レシピ一覧!P:P,MATCH(使用レシピ!$B44,レシピ一覧!$A:$A,0)))&amp;"")*1,"")</f>
        <v>5</v>
      </c>
    </row>
    <row r="45" spans="1:17" x14ac:dyDescent="0.4">
      <c r="A45" s="84">
        <v>1</v>
      </c>
      <c r="B45" s="21" t="str">
        <f t="shared" si="0"/>
        <v>4401</v>
      </c>
      <c r="C45" s="81">
        <f>IF(COUNTIF(レシピ一覧!$B:$B,ROW()-1),ROW()-1,"")</f>
        <v>44</v>
      </c>
      <c r="D45" s="15">
        <f>IF(E45="","",COUNTIF(レシピ一覧!$D$2:$D$500,使用レシピ!E45))</f>
        <v>3</v>
      </c>
      <c r="E45" s="57" t="str">
        <f>IFERROR( INDEX(レシピ一覧!$D:$D,MATCH(使用レシピ!$C45,レシピ一覧!$B:$B,0))&amp;"","")</f>
        <v>モーター</v>
      </c>
      <c r="F45" s="85" t="str">
        <f>IF($B45 = "","",INDEX(レシピ一覧!E:E,MATCH(使用レシピ!$B45,レシピ一覧!$A:$A,0))) &amp;""</f>
        <v>ローター</v>
      </c>
      <c r="G45" s="85" t="str">
        <f>IF($B45 = "","",INDEX(レシピ一覧!F:F,MATCH(使用レシピ!$B45,レシピ一覧!$A:$A,0))) &amp;""</f>
        <v>固定子</v>
      </c>
      <c r="H45" s="85" t="str">
        <f>IF($B45 = "","",INDEX(レシピ一覧!G:G,MATCH(使用レシピ!$B45,レシピ一覧!$A:$A,0))) &amp;""</f>
        <v/>
      </c>
      <c r="I45" s="85" t="str">
        <f>IF($B45 = "","",INDEX(レシピ一覧!H:H,MATCH(使用レシピ!$B45,レシピ一覧!$A:$A,0))) &amp;""</f>
        <v/>
      </c>
      <c r="J45" s="85" t="str">
        <f>IF($B45 = "","",INDEX(レシピ一覧!I:I,MATCH(使用レシピ!$B45,レシピ一覧!$A:$A,0))) &amp;""</f>
        <v/>
      </c>
      <c r="K45" s="85">
        <f>IFERROR((IF($B45 = "","",INDEX(レシピ一覧!J:J,MATCH(使用レシピ!$B45,レシピ一覧!$A:$A,0)))&amp;"")*1,"")</f>
        <v>2</v>
      </c>
      <c r="L45" s="85">
        <f>IFERROR((IF($B45 = "","",INDEX(レシピ一覧!K:K,MATCH(使用レシピ!$B45,レシピ一覧!$A:$A,0)))&amp;"")*1,"")</f>
        <v>2</v>
      </c>
      <c r="M45" s="85" t="str">
        <f>IFERROR((IF($B45 = "","",INDEX(レシピ一覧!L:L,MATCH(使用レシピ!$B45,レシピ一覧!$A:$A,0)))&amp;"")*1,"")</f>
        <v/>
      </c>
      <c r="N45" s="85" t="str">
        <f>IFERROR((IF($B45 = "","",INDEX(レシピ一覧!M:M,MATCH(使用レシピ!$B45,レシピ一覧!$A:$A,0)))&amp;"")*1,"")</f>
        <v/>
      </c>
      <c r="O45" s="85" t="str">
        <f>IFERROR((IF($B45 = "","",INDEX(レシピ一覧!N:N,MATCH(使用レシピ!$B45,レシピ一覧!$A:$A,0)))&amp;"")*1,"")</f>
        <v/>
      </c>
      <c r="P45" s="85">
        <f>IFERROR((IF($B45 = "","",INDEX(レシピ一覧!O:O,MATCH(使用レシピ!$B45,レシピ一覧!$A:$A,0)))&amp;"")*1,"")</f>
        <v>1</v>
      </c>
      <c r="Q45" s="86">
        <f>IFERROR((IF($B45 = "","",INDEX(レシピ一覧!P:P,MATCH(使用レシピ!$B45,レシピ一覧!$A:$A,0)))&amp;"")*1,"")</f>
        <v>5</v>
      </c>
    </row>
    <row r="46" spans="1:17" x14ac:dyDescent="0.4">
      <c r="A46" s="84">
        <v>1</v>
      </c>
      <c r="B46" s="21" t="str">
        <f t="shared" si="0"/>
        <v>4501</v>
      </c>
      <c r="C46" s="81">
        <f>IF(COUNTIF(レシピ一覧!$B:$B,ROW()-1),ROW()-1,"")</f>
        <v>45</v>
      </c>
      <c r="D46" s="15">
        <f>IF(E46="","",COUNTIF(レシピ一覧!$D$2:$D$500,使用レシピ!E46))</f>
        <v>2</v>
      </c>
      <c r="E46" s="57" t="str">
        <f>IFERROR( INDEX(レシピ一覧!$D:$D,MATCH(使用レシピ!$C46,レシピ一覧!$B:$B,0))&amp;"","")</f>
        <v>自動ワイヤー</v>
      </c>
      <c r="F46" s="85" t="str">
        <f>IF($B46 = "","",INDEX(レシピ一覧!E:E,MATCH(使用レシピ!$B46,レシピ一覧!$A:$A,0))) &amp;""</f>
        <v>固定子</v>
      </c>
      <c r="G46" s="85" t="str">
        <f>IF($B46 = "","",INDEX(レシピ一覧!F:F,MATCH(使用レシピ!$B46,レシピ一覧!$A:$A,0))) &amp;""</f>
        <v>ケーブル</v>
      </c>
      <c r="H46" s="85" t="str">
        <f>IF($B46 = "","",INDEX(レシピ一覧!G:G,MATCH(使用レシピ!$B46,レシピ一覧!$A:$A,0))) &amp;""</f>
        <v/>
      </c>
      <c r="I46" s="85" t="str">
        <f>IF($B46 = "","",INDEX(レシピ一覧!H:H,MATCH(使用レシピ!$B46,レシピ一覧!$A:$A,0))) &amp;""</f>
        <v/>
      </c>
      <c r="J46" s="85" t="str">
        <f>IF($B46 = "","",INDEX(レシピ一覧!I:I,MATCH(使用レシピ!$B46,レシピ一覧!$A:$A,0))) &amp;""</f>
        <v/>
      </c>
      <c r="K46" s="85">
        <f>IFERROR((IF($B46 = "","",INDEX(レシピ一覧!J:J,MATCH(使用レシピ!$B46,レシピ一覧!$A:$A,0)))&amp;"")*1,"")</f>
        <v>1</v>
      </c>
      <c r="L46" s="85">
        <f>IFERROR((IF($B46 = "","",INDEX(レシピ一覧!K:K,MATCH(使用レシピ!$B46,レシピ一覧!$A:$A,0)))&amp;"")*1,"")</f>
        <v>20</v>
      </c>
      <c r="M46" s="85" t="str">
        <f>IFERROR((IF($B46 = "","",INDEX(レシピ一覧!L:L,MATCH(使用レシピ!$B46,レシピ一覧!$A:$A,0)))&amp;"")*1,"")</f>
        <v/>
      </c>
      <c r="N46" s="85" t="str">
        <f>IFERROR((IF($B46 = "","",INDEX(レシピ一覧!M:M,MATCH(使用レシピ!$B46,レシピ一覧!$A:$A,0)))&amp;"")*1,"")</f>
        <v/>
      </c>
      <c r="O46" s="85" t="str">
        <f>IFERROR((IF($B46 = "","",INDEX(レシピ一覧!N:N,MATCH(使用レシピ!$B46,レシピ一覧!$A:$A,0)))&amp;"")*1,"")</f>
        <v/>
      </c>
      <c r="P46" s="85">
        <f>IFERROR((IF($B46 = "","",INDEX(レシピ一覧!O:O,MATCH(使用レシピ!$B46,レシピ一覧!$A:$A,0)))&amp;"")*1,"")</f>
        <v>1</v>
      </c>
      <c r="Q46" s="86">
        <f>IFERROR((IF($B46 = "","",INDEX(レシピ一覧!P:P,MATCH(使用レシピ!$B46,レシピ一覧!$A:$A,0)))&amp;"")*1,"")</f>
        <v>2.5</v>
      </c>
    </row>
    <row r="47" spans="1:17" x14ac:dyDescent="0.4">
      <c r="A47" s="84">
        <v>1</v>
      </c>
      <c r="B47" s="21" t="str">
        <f t="shared" si="0"/>
        <v>4601</v>
      </c>
      <c r="C47" s="81">
        <f>IF(COUNTIF(レシピ一覧!$B:$B,ROW()-1),ROW()-1,"")</f>
        <v>46</v>
      </c>
      <c r="D47" s="15">
        <f>IF(E47="","",COUNTIF(レシピ一覧!$D$2:$D$500,使用レシピ!E47))</f>
        <v>1</v>
      </c>
      <c r="E47" s="57" t="str">
        <f>IFERROR( INDEX(レシピ一覧!$D:$D,MATCH(使用レシピ!$C47,レシピ一覧!$B:$B,0))&amp;"","")</f>
        <v>SAM変動機</v>
      </c>
      <c r="F47" s="85" t="str">
        <f>IF($B47 = "","",INDEX(レシピ一覧!E:E,MATCH(使用レシピ!$B47,レシピ一覧!$A:$A,0))) &amp;""</f>
        <v>活性SAM</v>
      </c>
      <c r="G47" s="85" t="str">
        <f>IF($B47 = "","",INDEX(レシピ一覧!F:F,MATCH(使用レシピ!$B47,レシピ一覧!$A:$A,0))) &amp;""</f>
        <v>ワイヤー</v>
      </c>
      <c r="H47" s="85" t="str">
        <f>IF($B47 = "","",INDEX(レシピ一覧!G:G,MATCH(使用レシピ!$B47,レシピ一覧!$A:$A,0))) &amp;""</f>
        <v>鋼管</v>
      </c>
      <c r="I47" s="85" t="str">
        <f>IF($B47 = "","",INDEX(レシピ一覧!H:H,MATCH(使用レシピ!$B47,レシピ一覧!$A:$A,0))) &amp;""</f>
        <v/>
      </c>
      <c r="J47" s="85" t="str">
        <f>IF($B47 = "","",INDEX(レシピ一覧!I:I,MATCH(使用レシピ!$B47,レシピ一覧!$A:$A,0))) &amp;""</f>
        <v/>
      </c>
      <c r="K47" s="85">
        <f>IFERROR((IF($B47 = "","",INDEX(レシピ一覧!J:J,MATCH(使用レシピ!$B47,レシピ一覧!$A:$A,0)))&amp;"")*1,"")</f>
        <v>6</v>
      </c>
      <c r="L47" s="85">
        <f>IFERROR((IF($B47 = "","",INDEX(レシピ一覧!K:K,MATCH(使用レシピ!$B47,レシピ一覧!$A:$A,0)))&amp;"")*1,"")</f>
        <v>5</v>
      </c>
      <c r="M47" s="85">
        <f>IFERROR((IF($B47 = "","",INDEX(レシピ一覧!L:L,MATCH(使用レシピ!$B47,レシピ一覧!$A:$A,0)))&amp;"")*1,"")</f>
        <v>3</v>
      </c>
      <c r="N47" s="85" t="str">
        <f>IFERROR((IF($B47 = "","",INDEX(レシピ一覧!M:M,MATCH(使用レシピ!$B47,レシピ一覧!$A:$A,0)))&amp;"")*1,"")</f>
        <v/>
      </c>
      <c r="O47" s="85" t="str">
        <f>IFERROR((IF($B47 = "","",INDEX(レシピ一覧!N:N,MATCH(使用レシピ!$B47,レシピ一覧!$A:$A,0)))&amp;"")*1,"")</f>
        <v/>
      </c>
      <c r="P47" s="85">
        <f>IFERROR((IF($B47 = "","",INDEX(レシピ一覧!O:O,MATCH(使用レシピ!$B47,レシピ一覧!$A:$A,0)))&amp;"")*1,"")</f>
        <v>1</v>
      </c>
      <c r="Q47" s="86">
        <f>IFERROR((IF($B47 = "","",INDEX(レシピ一覧!P:P,MATCH(使用レシピ!$B47,レシピ一覧!$A:$A,0)))&amp;"")*1,"")</f>
        <v>10</v>
      </c>
    </row>
    <row r="48" spans="1:17" x14ac:dyDescent="0.4">
      <c r="A48" s="84">
        <v>2</v>
      </c>
      <c r="B48" s="21" t="str">
        <f t="shared" si="0"/>
        <v>4702</v>
      </c>
      <c r="C48" s="81">
        <f>IF(COUNTIF(レシピ一覧!$B:$B,ROW()-1),ROW()-1,"")</f>
        <v>47</v>
      </c>
      <c r="D48" s="15">
        <f>IF(E48="","",COUNTIF(レシピ一覧!$D$2:$D$500,使用レシピ!E48))</f>
        <v>4</v>
      </c>
      <c r="E48" s="57" t="str">
        <f>IFERROR( INDEX(レシピ一覧!$D:$D,MATCH(使用レシピ!$C48,レシピ一覧!$B:$B,0))&amp;"","")</f>
        <v>石英結晶</v>
      </c>
      <c r="F48" s="85" t="str">
        <f>IF($B48 = "","",INDEX(レシピ一覧!E:E,MATCH(使用レシピ!$B48,レシピ一覧!$A:$A,0))) &amp;""</f>
        <v>未加工石英</v>
      </c>
      <c r="G48" s="85" t="str">
        <f>IF($B48 = "","",INDEX(レシピ一覧!F:F,MATCH(使用レシピ!$B48,レシピ一覧!$A:$A,0))) &amp;""</f>
        <v>水</v>
      </c>
      <c r="H48" s="85" t="str">
        <f>IF($B48 = "","",INDEX(レシピ一覧!G:G,MATCH(使用レシピ!$B48,レシピ一覧!$A:$A,0))) &amp;""</f>
        <v/>
      </c>
      <c r="I48" s="85" t="str">
        <f>IF($B48 = "","",INDEX(レシピ一覧!H:H,MATCH(使用レシピ!$B48,レシピ一覧!$A:$A,0))) &amp;""</f>
        <v/>
      </c>
      <c r="J48" s="85" t="str">
        <f>IF($B48 = "","",INDEX(レシピ一覧!I:I,MATCH(使用レシピ!$B48,レシピ一覧!$A:$A,0))) &amp;""</f>
        <v/>
      </c>
      <c r="K48" s="85">
        <f>IFERROR((IF($B48 = "","",INDEX(レシピ一覧!J:J,MATCH(使用レシピ!$B48,レシピ一覧!$A:$A,0)))&amp;"")*1,"")</f>
        <v>9</v>
      </c>
      <c r="L48" s="85">
        <f>IFERROR((IF($B48 = "","",INDEX(レシピ一覧!K:K,MATCH(使用レシピ!$B48,レシピ一覧!$A:$A,0)))&amp;"")*1,"")</f>
        <v>5</v>
      </c>
      <c r="M48" s="85" t="str">
        <f>IFERROR((IF($B48 = "","",INDEX(レシピ一覧!L:L,MATCH(使用レシピ!$B48,レシピ一覧!$A:$A,0)))&amp;"")*1,"")</f>
        <v/>
      </c>
      <c r="N48" s="85" t="str">
        <f>IFERROR((IF($B48 = "","",INDEX(レシピ一覧!M:M,MATCH(使用レシピ!$B48,レシピ一覧!$A:$A,0)))&amp;"")*1,"")</f>
        <v/>
      </c>
      <c r="O48" s="85" t="str">
        <f>IFERROR((IF($B48 = "","",INDEX(レシピ一覧!N:N,MATCH(使用レシピ!$B48,レシピ一覧!$A:$A,0)))&amp;"")*1,"")</f>
        <v/>
      </c>
      <c r="P48" s="85">
        <f>IFERROR((IF($B48 = "","",INDEX(レシピ一覧!O:O,MATCH(使用レシピ!$B48,レシピ一覧!$A:$A,0)))&amp;"")*1,"")</f>
        <v>7</v>
      </c>
      <c r="Q48" s="86">
        <f>IFERROR((IF($B48 = "","",INDEX(レシピ一覧!P:P,MATCH(使用レシピ!$B48,レシピ一覧!$A:$A,0)))&amp;"")*1,"")</f>
        <v>52.5</v>
      </c>
    </row>
    <row r="49" spans="1:17" x14ac:dyDescent="0.4">
      <c r="A49" s="84">
        <v>1</v>
      </c>
      <c r="B49" s="21" t="str">
        <f t="shared" si="0"/>
        <v>4801</v>
      </c>
      <c r="C49" s="81">
        <f>IF(COUNTIF(レシピ一覧!$B:$B,ROW()-1),ROW()-1,"")</f>
        <v>48</v>
      </c>
      <c r="D49" s="15">
        <f>IF(E49="","",COUNTIF(レシピ一覧!$D$2:$D$500,使用レシピ!E49))</f>
        <v>3</v>
      </c>
      <c r="E49" s="57" t="str">
        <f>IFERROR( INDEX(レシピ一覧!$D:$D,MATCH(使用レシピ!$C49,レシピ一覧!$B:$B,0))&amp;"","")</f>
        <v>未加工石英</v>
      </c>
      <c r="F49" s="85" t="str">
        <f>IF($B49 = "","",INDEX(レシピ一覧!E:E,MATCH(使用レシピ!$B49,レシピ一覧!$A:$A,0))) &amp;""</f>
        <v/>
      </c>
      <c r="G49" s="85" t="str">
        <f>IF($B49 = "","",INDEX(レシピ一覧!F:F,MATCH(使用レシピ!$B49,レシピ一覧!$A:$A,0))) &amp;""</f>
        <v/>
      </c>
      <c r="H49" s="85" t="str">
        <f>IF($B49 = "","",INDEX(レシピ一覧!G:G,MATCH(使用レシピ!$B49,レシピ一覧!$A:$A,0))) &amp;""</f>
        <v/>
      </c>
      <c r="I49" s="85" t="str">
        <f>IF($B49 = "","",INDEX(レシピ一覧!H:H,MATCH(使用レシピ!$B49,レシピ一覧!$A:$A,0))) &amp;""</f>
        <v/>
      </c>
      <c r="J49" s="85" t="str">
        <f>IF($B49 = "","",INDEX(レシピ一覧!I:I,MATCH(使用レシピ!$B49,レシピ一覧!$A:$A,0))) &amp;""</f>
        <v/>
      </c>
      <c r="K49" s="85" t="str">
        <f>IFERROR((IF($B49 = "","",INDEX(レシピ一覧!J:J,MATCH(使用レシピ!$B49,レシピ一覧!$A:$A,0)))&amp;"")*1,"")</f>
        <v/>
      </c>
      <c r="L49" s="85" t="str">
        <f>IFERROR((IF($B49 = "","",INDEX(レシピ一覧!K:K,MATCH(使用レシピ!$B49,レシピ一覧!$A:$A,0)))&amp;"")*1,"")</f>
        <v/>
      </c>
      <c r="M49" s="85" t="str">
        <f>IFERROR((IF($B49 = "","",INDEX(レシピ一覧!L:L,MATCH(使用レシピ!$B49,レシピ一覧!$A:$A,0)))&amp;"")*1,"")</f>
        <v/>
      </c>
      <c r="N49" s="85" t="str">
        <f>IFERROR((IF($B49 = "","",INDEX(レシピ一覧!M:M,MATCH(使用レシピ!$B49,レシピ一覧!$A:$A,0)))&amp;"")*1,"")</f>
        <v/>
      </c>
      <c r="O49" s="85" t="str">
        <f>IFERROR((IF($B49 = "","",INDEX(レシピ一覧!N:N,MATCH(使用レシピ!$B49,レシピ一覧!$A:$A,0)))&amp;"")*1,"")</f>
        <v/>
      </c>
      <c r="P49" s="85">
        <f>IFERROR((IF($B49 = "","",INDEX(レシピ一覧!O:O,MATCH(使用レシピ!$B49,レシピ一覧!$A:$A,0)))&amp;"")*1,"")</f>
        <v>1</v>
      </c>
      <c r="Q49" s="86">
        <f>IFERROR((IF($B49 = "","",INDEX(レシピ一覧!P:P,MATCH(使用レシピ!$B49,レシピ一覧!$A:$A,0)))&amp;"")*1,"")</f>
        <v>1200</v>
      </c>
    </row>
    <row r="50" spans="1:17" x14ac:dyDescent="0.4">
      <c r="A50" s="84">
        <v>1</v>
      </c>
      <c r="B50" s="21" t="str">
        <f t="shared" si="0"/>
        <v>4901</v>
      </c>
      <c r="C50" s="81">
        <f>IF(COUNTIF(レシピ一覧!$B:$B,ROW()-1),ROW()-1,"")</f>
        <v>49</v>
      </c>
      <c r="D50" s="15">
        <f>IF(E50="","",COUNTIF(レシピ一覧!$D$2:$D$500,使用レシピ!E50))</f>
        <v>1</v>
      </c>
      <c r="E50" s="57" t="str">
        <f>IFERROR( INDEX(レシピ一覧!$D:$D,MATCH(使用レシピ!$C50,レシピ一覧!$B:$B,0))&amp;"","")</f>
        <v>ノーベリスク</v>
      </c>
      <c r="F50" s="85" t="str">
        <f>IF($B50 = "","",INDEX(レシピ一覧!E:E,MATCH(使用レシピ!$B50,レシピ一覧!$A:$A,0))) &amp;""</f>
        <v>黒色火薬</v>
      </c>
      <c r="G50" s="85" t="str">
        <f>IF($B50 = "","",INDEX(レシピ一覧!F:F,MATCH(使用レシピ!$B50,レシピ一覧!$A:$A,0))) &amp;""</f>
        <v>鋼管</v>
      </c>
      <c r="H50" s="85" t="str">
        <f>IF($B50 = "","",INDEX(レシピ一覧!G:G,MATCH(使用レシピ!$B50,レシピ一覧!$A:$A,0))) &amp;""</f>
        <v/>
      </c>
      <c r="I50" s="85" t="str">
        <f>IF($B50 = "","",INDEX(レシピ一覧!H:H,MATCH(使用レシピ!$B50,レシピ一覧!$A:$A,0))) &amp;""</f>
        <v/>
      </c>
      <c r="J50" s="85" t="str">
        <f>IF($B50 = "","",INDEX(レシピ一覧!I:I,MATCH(使用レシピ!$B50,レシピ一覧!$A:$A,0))) &amp;""</f>
        <v/>
      </c>
      <c r="K50" s="85">
        <f>IFERROR((IF($B50 = "","",INDEX(レシピ一覧!J:J,MATCH(使用レシピ!$B50,レシピ一覧!$A:$A,0)))&amp;"")*1,"")</f>
        <v>2</v>
      </c>
      <c r="L50" s="85">
        <f>IFERROR((IF($B50 = "","",INDEX(レシピ一覧!K:K,MATCH(使用レシピ!$B50,レシピ一覧!$A:$A,0)))&amp;"")*1,"")</f>
        <v>2</v>
      </c>
      <c r="M50" s="85" t="str">
        <f>IFERROR((IF($B50 = "","",INDEX(レシピ一覧!L:L,MATCH(使用レシピ!$B50,レシピ一覧!$A:$A,0)))&amp;"")*1,"")</f>
        <v/>
      </c>
      <c r="N50" s="85" t="str">
        <f>IFERROR((IF($B50 = "","",INDEX(レシピ一覧!M:M,MATCH(使用レシピ!$B50,レシピ一覧!$A:$A,0)))&amp;"")*1,"")</f>
        <v/>
      </c>
      <c r="O50" s="85" t="str">
        <f>IFERROR((IF($B50 = "","",INDEX(レシピ一覧!N:N,MATCH(使用レシピ!$B50,レシピ一覧!$A:$A,0)))&amp;"")*1,"")</f>
        <v/>
      </c>
      <c r="P50" s="85">
        <f>IFERROR((IF($B50 = "","",INDEX(レシピ一覧!O:O,MATCH(使用レシピ!$B50,レシピ一覧!$A:$A,0)))&amp;"")*1,"")</f>
        <v>1</v>
      </c>
      <c r="Q50" s="86">
        <f>IFERROR((IF($B50 = "","",INDEX(レシピ一覧!P:P,MATCH(使用レシピ!$B50,レシピ一覧!$A:$A,0)))&amp;"")*1,"")</f>
        <v>10</v>
      </c>
    </row>
    <row r="51" spans="1:17" x14ac:dyDescent="0.4">
      <c r="A51" s="84">
        <v>1</v>
      </c>
      <c r="B51" s="21" t="str">
        <f t="shared" si="0"/>
        <v>5001</v>
      </c>
      <c r="C51" s="81">
        <f>IF(COUNTIF(レシピ一覧!$B:$B,ROW()-1),ROW()-1,"")</f>
        <v>50</v>
      </c>
      <c r="D51" s="15">
        <f>IF(E51="","",COUNTIF(レシピ一覧!$D$2:$D$500,使用レシピ!E51))</f>
        <v>2</v>
      </c>
      <c r="E51" s="57" t="str">
        <f>IFERROR( INDEX(レシピ一覧!$D:$D,MATCH(使用レシピ!$C51,レシピ一覧!$B:$B,0))&amp;"","")</f>
        <v>AIリミッター</v>
      </c>
      <c r="F51" s="85" t="str">
        <f>IF($B51 = "","",INDEX(レシピ一覧!E:E,MATCH(使用レシピ!$B51,レシピ一覧!$A:$A,0))) &amp;""</f>
        <v>銅板</v>
      </c>
      <c r="G51" s="85" t="str">
        <f>IF($B51 = "","",INDEX(レシピ一覧!F:F,MATCH(使用レシピ!$B51,レシピ一覧!$A:$A,0))) &amp;""</f>
        <v>クイックワイヤー</v>
      </c>
      <c r="H51" s="85" t="str">
        <f>IF($B51 = "","",INDEX(レシピ一覧!G:G,MATCH(使用レシピ!$B51,レシピ一覧!$A:$A,0))) &amp;""</f>
        <v/>
      </c>
      <c r="I51" s="85" t="str">
        <f>IF($B51 = "","",INDEX(レシピ一覧!H:H,MATCH(使用レシピ!$B51,レシピ一覧!$A:$A,0))) &amp;""</f>
        <v/>
      </c>
      <c r="J51" s="85" t="str">
        <f>IF($B51 = "","",INDEX(レシピ一覧!I:I,MATCH(使用レシピ!$B51,レシピ一覧!$A:$A,0))) &amp;""</f>
        <v/>
      </c>
      <c r="K51" s="85">
        <f>IFERROR((IF($B51 = "","",INDEX(レシピ一覧!J:J,MATCH(使用レシピ!$B51,レシピ一覧!$A:$A,0)))&amp;"")*1,"")</f>
        <v>5</v>
      </c>
      <c r="L51" s="85">
        <f>IFERROR((IF($B51 = "","",INDEX(レシピ一覧!K:K,MATCH(使用レシピ!$B51,レシピ一覧!$A:$A,0)))&amp;"")*1,"")</f>
        <v>20</v>
      </c>
      <c r="M51" s="85" t="str">
        <f>IFERROR((IF($B51 = "","",INDEX(レシピ一覧!L:L,MATCH(使用レシピ!$B51,レシピ一覧!$A:$A,0)))&amp;"")*1,"")</f>
        <v/>
      </c>
      <c r="N51" s="85" t="str">
        <f>IFERROR((IF($B51 = "","",INDEX(レシピ一覧!M:M,MATCH(使用レシピ!$B51,レシピ一覧!$A:$A,0)))&amp;"")*1,"")</f>
        <v/>
      </c>
      <c r="O51" s="85" t="str">
        <f>IFERROR((IF($B51 = "","",INDEX(レシピ一覧!N:N,MATCH(使用レシピ!$B51,レシピ一覧!$A:$A,0)))&amp;"")*1,"")</f>
        <v/>
      </c>
      <c r="P51" s="85">
        <f>IFERROR((IF($B51 = "","",INDEX(レシピ一覧!O:O,MATCH(使用レシピ!$B51,レシピ一覧!$A:$A,0)))&amp;"")*1,"")</f>
        <v>1</v>
      </c>
      <c r="Q51" s="86">
        <f>IFERROR((IF($B51 = "","",INDEX(レシピ一覧!P:P,MATCH(使用レシピ!$B51,レシピ一覧!$A:$A,0)))&amp;"")*1,"")</f>
        <v>5</v>
      </c>
    </row>
    <row r="52" spans="1:17" x14ac:dyDescent="0.4">
      <c r="A52" s="84">
        <v>1</v>
      </c>
      <c r="B52" s="21" t="str">
        <f t="shared" si="0"/>
        <v>5101</v>
      </c>
      <c r="C52" s="81">
        <f>IF(COUNTIF(レシピ一覧!$B:$B,ROW()-1),ROW()-1,"")</f>
        <v>51</v>
      </c>
      <c r="D52" s="15">
        <f>IF(E52="","",COUNTIF(レシピ一覧!$D$2:$D$500,使用レシピ!E52))</f>
        <v>1</v>
      </c>
      <c r="E52" s="57" t="str">
        <f>IFERROR( INDEX(レシピ一覧!$D:$D,MATCH(使用レシピ!$C52,レシピ一覧!$B:$B,0))&amp;"","")</f>
        <v>石油コークス</v>
      </c>
      <c r="F52" s="85" t="str">
        <f>IF($B52 = "","",INDEX(レシピ一覧!E:E,MATCH(使用レシピ!$B52,レシピ一覧!$A:$A,0))) &amp;""</f>
        <v>廃重油</v>
      </c>
      <c r="G52" s="85" t="str">
        <f>IF($B52 = "","",INDEX(レシピ一覧!F:F,MATCH(使用レシピ!$B52,レシピ一覧!$A:$A,0))) &amp;""</f>
        <v/>
      </c>
      <c r="H52" s="85" t="str">
        <f>IF($B52 = "","",INDEX(レシピ一覧!G:G,MATCH(使用レシピ!$B52,レシピ一覧!$A:$A,0))) &amp;""</f>
        <v/>
      </c>
      <c r="I52" s="85" t="str">
        <f>IF($B52 = "","",INDEX(レシピ一覧!H:H,MATCH(使用レシピ!$B52,レシピ一覧!$A:$A,0))) &amp;""</f>
        <v/>
      </c>
      <c r="J52" s="85" t="str">
        <f>IF($B52 = "","",INDEX(レシピ一覧!I:I,MATCH(使用レシピ!$B52,レシピ一覧!$A:$A,0))) &amp;""</f>
        <v/>
      </c>
      <c r="K52" s="85">
        <f>IFERROR((IF($B52 = "","",INDEX(レシピ一覧!J:J,MATCH(使用レシピ!$B52,レシピ一覧!$A:$A,0)))&amp;"")*1,"")</f>
        <v>4</v>
      </c>
      <c r="L52" s="85" t="str">
        <f>IFERROR((IF($B52 = "","",INDEX(レシピ一覧!K:K,MATCH(使用レシピ!$B52,レシピ一覧!$A:$A,0)))&amp;"")*1,"")</f>
        <v/>
      </c>
      <c r="M52" s="85" t="str">
        <f>IFERROR((IF($B52 = "","",INDEX(レシピ一覧!L:L,MATCH(使用レシピ!$B52,レシピ一覧!$A:$A,0)))&amp;"")*1,"")</f>
        <v/>
      </c>
      <c r="N52" s="85" t="str">
        <f>IFERROR((IF($B52 = "","",INDEX(レシピ一覧!M:M,MATCH(使用レシピ!$B52,レシピ一覧!$A:$A,0)))&amp;"")*1,"")</f>
        <v/>
      </c>
      <c r="O52" s="85" t="str">
        <f>IFERROR((IF($B52 = "","",INDEX(レシピ一覧!N:N,MATCH(使用レシピ!$B52,レシピ一覧!$A:$A,0)))&amp;"")*1,"")</f>
        <v/>
      </c>
      <c r="P52" s="85">
        <f>IFERROR((IF($B52 = "","",INDEX(レシピ一覧!O:O,MATCH(使用レシピ!$B52,レシピ一覧!$A:$A,0)))&amp;"")*1,"")</f>
        <v>12</v>
      </c>
      <c r="Q52" s="86">
        <f>IFERROR((IF($B52 = "","",INDEX(レシピ一覧!P:P,MATCH(使用レシピ!$B52,レシピ一覧!$A:$A,0)))&amp;"")*1,"")</f>
        <v>120</v>
      </c>
    </row>
    <row r="53" spans="1:17" x14ac:dyDescent="0.4">
      <c r="A53" s="84">
        <v>1</v>
      </c>
      <c r="B53" s="21" t="str">
        <f t="shared" si="0"/>
        <v>5201</v>
      </c>
      <c r="C53" s="81">
        <f>IF(COUNTIF(レシピ一覧!$B:$B,ROW()-1),ROW()-1,"")</f>
        <v>52</v>
      </c>
      <c r="D53" s="15">
        <f>IF(E53="","",COUNTIF(レシピ一覧!$D$2:$D$500,使用レシピ!E53))</f>
        <v>5</v>
      </c>
      <c r="E53" s="57" t="str">
        <f>IFERROR( INDEX(レシピ一覧!$D:$D,MATCH(使用レシピ!$C53,レシピ一覧!$B:$B,0))&amp;"","")</f>
        <v>廃重油</v>
      </c>
      <c r="F53" s="85" t="str">
        <f>IF($B53 = "","",INDEX(レシピ一覧!E:E,MATCH(使用レシピ!$B53,レシピ一覧!$A:$A,0))) &amp;""</f>
        <v>原油</v>
      </c>
      <c r="G53" s="85" t="str">
        <f>IF($B53 = "","",INDEX(レシピ一覧!F:F,MATCH(使用レシピ!$B53,レシピ一覧!$A:$A,0))) &amp;""</f>
        <v/>
      </c>
      <c r="H53" s="85" t="str">
        <f>IF($B53 = "","",INDEX(レシピ一覧!G:G,MATCH(使用レシピ!$B53,レシピ一覧!$A:$A,0))) &amp;""</f>
        <v/>
      </c>
      <c r="I53" s="85" t="str">
        <f>IF($B53 = "","",INDEX(レシピ一覧!H:H,MATCH(使用レシピ!$B53,レシピ一覧!$A:$A,0))) &amp;""</f>
        <v/>
      </c>
      <c r="J53" s="85" t="str">
        <f>IF($B53 = "","",INDEX(レシピ一覧!I:I,MATCH(使用レシピ!$B53,レシピ一覧!$A:$A,0))) &amp;""</f>
        <v>合成樹脂</v>
      </c>
      <c r="K53" s="85">
        <f>IFERROR((IF($B53 = "","",INDEX(レシピ一覧!J:J,MATCH(使用レシピ!$B53,レシピ一覧!$A:$A,0)))&amp;"")*1,"")</f>
        <v>3</v>
      </c>
      <c r="L53" s="85" t="str">
        <f>IFERROR((IF($B53 = "","",INDEX(レシピ一覧!K:K,MATCH(使用レシピ!$B53,レシピ一覧!$A:$A,0)))&amp;"")*1,"")</f>
        <v/>
      </c>
      <c r="M53" s="85" t="str">
        <f>IFERROR((IF($B53 = "","",INDEX(レシピ一覧!L:L,MATCH(使用レシピ!$B53,レシピ一覧!$A:$A,0)))&amp;"")*1,"")</f>
        <v/>
      </c>
      <c r="N53" s="85" t="str">
        <f>IFERROR((IF($B53 = "","",INDEX(レシピ一覧!M:M,MATCH(使用レシピ!$B53,レシピ一覧!$A:$A,0)))&amp;"")*1,"")</f>
        <v/>
      </c>
      <c r="O53" s="85">
        <f>IFERROR((IF($B53 = "","",INDEX(レシピ一覧!N:N,MATCH(使用レシピ!$B53,レシピ一覧!$A:$A,0)))&amp;"")*1,"")</f>
        <v>2</v>
      </c>
      <c r="P53" s="85">
        <f>IFERROR((IF($B53 = "","",INDEX(レシピ一覧!O:O,MATCH(使用レシピ!$B53,レシピ一覧!$A:$A,0)))&amp;"")*1,"")</f>
        <v>4</v>
      </c>
      <c r="Q53" s="86">
        <f>IFERROR((IF($B53 = "","",INDEX(レシピ一覧!P:P,MATCH(使用レシピ!$B53,レシピ一覧!$A:$A,0)))&amp;"")*1,"")</f>
        <v>40</v>
      </c>
    </row>
    <row r="54" spans="1:17" x14ac:dyDescent="0.4">
      <c r="A54" s="84">
        <v>1</v>
      </c>
      <c r="B54" s="21" t="str">
        <f t="shared" si="0"/>
        <v>5301</v>
      </c>
      <c r="C54" s="81">
        <f>IF(COUNTIF(レシピ一覧!$B:$B,ROW()-1),ROW()-1,"")</f>
        <v>53</v>
      </c>
      <c r="D54" s="15">
        <f>IF(E54="","",COUNTIF(レシピ一覧!$D$2:$D$500,使用レシピ!E54))</f>
        <v>4</v>
      </c>
      <c r="E54" s="57" t="str">
        <f>IFERROR( INDEX(レシピ一覧!$D:$D,MATCH(使用レシピ!$C54,レシピ一覧!$B:$B,0))&amp;"","")</f>
        <v>回路基板</v>
      </c>
      <c r="F54" s="85" t="str">
        <f>IF($B54 = "","",INDEX(レシピ一覧!E:E,MATCH(使用レシピ!$B54,レシピ一覧!$A:$A,0))) &amp;""</f>
        <v>銅板</v>
      </c>
      <c r="G54" s="85" t="str">
        <f>IF($B54 = "","",INDEX(レシピ一覧!F:F,MATCH(使用レシピ!$B54,レシピ一覧!$A:$A,0))) &amp;""</f>
        <v>プラスチック</v>
      </c>
      <c r="H54" s="85" t="str">
        <f>IF($B54 = "","",INDEX(レシピ一覧!G:G,MATCH(使用レシピ!$B54,レシピ一覧!$A:$A,0))) &amp;""</f>
        <v/>
      </c>
      <c r="I54" s="85" t="str">
        <f>IF($B54 = "","",INDEX(レシピ一覧!H:H,MATCH(使用レシピ!$B54,レシピ一覧!$A:$A,0))) &amp;""</f>
        <v/>
      </c>
      <c r="J54" s="85" t="str">
        <f>IF($B54 = "","",INDEX(レシピ一覧!I:I,MATCH(使用レシピ!$B54,レシピ一覧!$A:$A,0))) &amp;""</f>
        <v/>
      </c>
      <c r="K54" s="85">
        <f>IFERROR((IF($B54 = "","",INDEX(レシピ一覧!J:J,MATCH(使用レシピ!$B54,レシピ一覧!$A:$A,0)))&amp;"")*1,"")</f>
        <v>2</v>
      </c>
      <c r="L54" s="85">
        <f>IFERROR((IF($B54 = "","",INDEX(レシピ一覧!K:K,MATCH(使用レシピ!$B54,レシピ一覧!$A:$A,0)))&amp;"")*1,"")</f>
        <v>4</v>
      </c>
      <c r="M54" s="85" t="str">
        <f>IFERROR((IF($B54 = "","",INDEX(レシピ一覧!L:L,MATCH(使用レシピ!$B54,レシピ一覧!$A:$A,0)))&amp;"")*1,"")</f>
        <v/>
      </c>
      <c r="N54" s="85" t="str">
        <f>IFERROR((IF($B54 = "","",INDEX(レシピ一覧!M:M,MATCH(使用レシピ!$B54,レシピ一覧!$A:$A,0)))&amp;"")*1,"")</f>
        <v/>
      </c>
      <c r="O54" s="85" t="str">
        <f>IFERROR((IF($B54 = "","",INDEX(レシピ一覧!N:N,MATCH(使用レシピ!$B54,レシピ一覧!$A:$A,0)))&amp;"")*1,"")</f>
        <v/>
      </c>
      <c r="P54" s="85">
        <f>IFERROR((IF($B54 = "","",INDEX(レシピ一覧!O:O,MATCH(使用レシピ!$B54,レシピ一覧!$A:$A,0)))&amp;"")*1,"")</f>
        <v>1</v>
      </c>
      <c r="Q54" s="86">
        <f>IFERROR((IF($B54 = "","",INDEX(レシピ一覧!P:P,MATCH(使用レシピ!$B54,レシピ一覧!$A:$A,0)))&amp;"")*1,"")</f>
        <v>7.5</v>
      </c>
    </row>
    <row r="55" spans="1:17" x14ac:dyDescent="0.4">
      <c r="A55" s="84">
        <v>1</v>
      </c>
      <c r="B55" s="21" t="str">
        <f t="shared" si="0"/>
        <v>5401</v>
      </c>
      <c r="C55" s="81">
        <f>IF(COUNTIF(レシピ一覧!$B:$B,ROW()-1),ROW()-1,"")</f>
        <v>54</v>
      </c>
      <c r="D55" s="15">
        <f>IF(E55="","",COUNTIF(レシピ一覧!$D$2:$D$500,使用レシピ!E55))</f>
        <v>3</v>
      </c>
      <c r="E55" s="57" t="str">
        <f>IFERROR( INDEX(レシピ一覧!$D:$D,MATCH(使用レシピ!$C55,レシピ一覧!$B:$B,0))&amp;"","")</f>
        <v>プラスチック</v>
      </c>
      <c r="F55" s="85" t="str">
        <f>IF($B55 = "","",INDEX(レシピ一覧!E:E,MATCH(使用レシピ!$B55,レシピ一覧!$A:$A,0))) &amp;""</f>
        <v>原油</v>
      </c>
      <c r="G55" s="85" t="str">
        <f>IF($B55 = "","",INDEX(レシピ一覧!F:F,MATCH(使用レシピ!$B55,レシピ一覧!$A:$A,0))) &amp;""</f>
        <v/>
      </c>
      <c r="H55" s="85" t="str">
        <f>IF($B55 = "","",INDEX(レシピ一覧!G:G,MATCH(使用レシピ!$B55,レシピ一覧!$A:$A,0))) &amp;""</f>
        <v/>
      </c>
      <c r="I55" s="85" t="str">
        <f>IF($B55 = "","",INDEX(レシピ一覧!H:H,MATCH(使用レシピ!$B55,レシピ一覧!$A:$A,0))) &amp;""</f>
        <v/>
      </c>
      <c r="J55" s="85" t="str">
        <f>IF($B55 = "","",INDEX(レシピ一覧!I:I,MATCH(使用レシピ!$B55,レシピ一覧!$A:$A,0))) &amp;""</f>
        <v>廃重油</v>
      </c>
      <c r="K55" s="85">
        <f>IFERROR((IF($B55 = "","",INDEX(レシピ一覧!J:J,MATCH(使用レシピ!$B55,レシピ一覧!$A:$A,0)))&amp;"")*1,"")</f>
        <v>3</v>
      </c>
      <c r="L55" s="85" t="str">
        <f>IFERROR((IF($B55 = "","",INDEX(レシピ一覧!K:K,MATCH(使用レシピ!$B55,レシピ一覧!$A:$A,0)))&amp;"")*1,"")</f>
        <v/>
      </c>
      <c r="M55" s="85" t="str">
        <f>IFERROR((IF($B55 = "","",INDEX(レシピ一覧!L:L,MATCH(使用レシピ!$B55,レシピ一覧!$A:$A,0)))&amp;"")*1,"")</f>
        <v/>
      </c>
      <c r="N55" s="85" t="str">
        <f>IFERROR((IF($B55 = "","",INDEX(レシピ一覧!M:M,MATCH(使用レシピ!$B55,レシピ一覧!$A:$A,0)))&amp;"")*1,"")</f>
        <v/>
      </c>
      <c r="O55" s="85">
        <f>IFERROR((IF($B55 = "","",INDEX(レシピ一覧!N:N,MATCH(使用レシピ!$B55,レシピ一覧!$A:$A,0)))&amp;"")*1,"")</f>
        <v>1</v>
      </c>
      <c r="P55" s="85">
        <f>IFERROR((IF($B55 = "","",INDEX(レシピ一覧!O:O,MATCH(使用レシピ!$B55,レシピ一覧!$A:$A,0)))&amp;"")*1,"")</f>
        <v>2</v>
      </c>
      <c r="Q55" s="86">
        <f>IFERROR((IF($B55 = "","",INDEX(レシピ一覧!P:P,MATCH(使用レシピ!$B55,レシピ一覧!$A:$A,0)))&amp;"")*1,"")</f>
        <v>20</v>
      </c>
    </row>
    <row r="56" spans="1:17" x14ac:dyDescent="0.4">
      <c r="A56" s="84">
        <v>3</v>
      </c>
      <c r="B56" s="21" t="str">
        <f t="shared" si="0"/>
        <v>5503</v>
      </c>
      <c r="C56" s="81">
        <f>IF(COUNTIF(レシピ一覧!$B:$B,ROW()-1),ROW()-1,"")</f>
        <v>55</v>
      </c>
      <c r="D56" s="15">
        <f>IF(E56="","",COUNTIF(レシピ一覧!$D$2:$D$500,使用レシピ!E56))</f>
        <v>3</v>
      </c>
      <c r="E56" s="57" t="str">
        <f>IFERROR( INDEX(レシピ一覧!$D:$D,MATCH(使用レシピ!$C56,レシピ一覧!$B:$B,0))&amp;"","")</f>
        <v>合成樹脂</v>
      </c>
      <c r="F56" s="85" t="str">
        <f>IF($B56 = "","",INDEX(レシピ一覧!E:E,MATCH(使用レシピ!$B56,レシピ一覧!$A:$A,0))) &amp;""</f>
        <v>原油</v>
      </c>
      <c r="G56" s="85" t="str">
        <f>IF($B56 = "","",INDEX(レシピ一覧!F:F,MATCH(使用レシピ!$B56,レシピ一覧!$A:$A,0))) &amp;""</f>
        <v/>
      </c>
      <c r="H56" s="85" t="str">
        <f>IF($B56 = "","",INDEX(レシピ一覧!G:G,MATCH(使用レシピ!$B56,レシピ一覧!$A:$A,0))) &amp;""</f>
        <v/>
      </c>
      <c r="I56" s="85" t="str">
        <f>IF($B56 = "","",INDEX(レシピ一覧!H:H,MATCH(使用レシピ!$B56,レシピ一覧!$A:$A,0))) &amp;""</f>
        <v/>
      </c>
      <c r="J56" s="85" t="str">
        <f>IF($B56 = "","",INDEX(レシピ一覧!I:I,MATCH(使用レシピ!$B56,レシピ一覧!$A:$A,0))) &amp;""</f>
        <v>廃重油</v>
      </c>
      <c r="K56" s="85">
        <f>IFERROR((IF($B56 = "","",INDEX(レシピ一覧!J:J,MATCH(使用レシピ!$B56,レシピ一覧!$A:$A,0)))&amp;"")*1,"")</f>
        <v>6</v>
      </c>
      <c r="L56" s="85" t="str">
        <f>IFERROR((IF($B56 = "","",INDEX(レシピ一覧!K:K,MATCH(使用レシピ!$B56,レシピ一覧!$A:$A,0)))&amp;"")*1,"")</f>
        <v/>
      </c>
      <c r="M56" s="85" t="str">
        <f>IFERROR((IF($B56 = "","",INDEX(レシピ一覧!L:L,MATCH(使用レシピ!$B56,レシピ一覧!$A:$A,0)))&amp;"")*1,"")</f>
        <v/>
      </c>
      <c r="N56" s="85" t="str">
        <f>IFERROR((IF($B56 = "","",INDEX(レシピ一覧!M:M,MATCH(使用レシピ!$B56,レシピ一覧!$A:$A,0)))&amp;"")*1,"")</f>
        <v/>
      </c>
      <c r="O56" s="85">
        <f>IFERROR((IF($B56 = "","",INDEX(レシピ一覧!N:N,MATCH(使用レシピ!$B56,レシピ一覧!$A:$A,0)))&amp;"")*1,"")</f>
        <v>2</v>
      </c>
      <c r="P56" s="85">
        <f>IFERROR((IF($B56 = "","",INDEX(レシピ一覧!O:O,MATCH(使用レシピ!$B56,レシピ一覧!$A:$A,0)))&amp;"")*1,"")</f>
        <v>13</v>
      </c>
      <c r="Q56" s="86">
        <f>IFERROR((IF($B56 = "","",INDEX(レシピ一覧!P:P,MATCH(使用レシピ!$B56,レシピ一覧!$A:$A,0)))&amp;"")*1,"")</f>
        <v>130</v>
      </c>
    </row>
    <row r="57" spans="1:17" x14ac:dyDescent="0.4">
      <c r="A57" s="84">
        <v>1</v>
      </c>
      <c r="B57" s="21" t="str">
        <f t="shared" si="0"/>
        <v>5601</v>
      </c>
      <c r="C57" s="81">
        <f>IF(COUNTIF(レシピ一覧!$B:$B,ROW()-1),ROW()-1,"")</f>
        <v>56</v>
      </c>
      <c r="D57" s="15">
        <f>IF(E57="","",COUNTIF(レシピ一覧!$D$2:$D$500,使用レシピ!E57))</f>
        <v>9</v>
      </c>
      <c r="E57" s="57" t="str">
        <f>IFERROR( INDEX(レシピ一覧!$D:$D,MATCH(使用レシピ!$C57,レシピ一覧!$B:$B,0))&amp;"","")</f>
        <v>水</v>
      </c>
      <c r="F57" s="85" t="str">
        <f>IF($B57 = "","",INDEX(レシピ一覧!E:E,MATCH(使用レシピ!$B57,レシピ一覧!$A:$A,0))) &amp;""</f>
        <v/>
      </c>
      <c r="G57" s="85" t="str">
        <f>IF($B57 = "","",INDEX(レシピ一覧!F:F,MATCH(使用レシピ!$B57,レシピ一覧!$A:$A,0))) &amp;""</f>
        <v/>
      </c>
      <c r="H57" s="85" t="str">
        <f>IF($B57 = "","",INDEX(レシピ一覧!G:G,MATCH(使用レシピ!$B57,レシピ一覧!$A:$A,0))) &amp;""</f>
        <v/>
      </c>
      <c r="I57" s="85" t="str">
        <f>IF($B57 = "","",INDEX(レシピ一覧!H:H,MATCH(使用レシピ!$B57,レシピ一覧!$A:$A,0))) &amp;""</f>
        <v/>
      </c>
      <c r="J57" s="85" t="str">
        <f>IF($B57 = "","",INDEX(レシピ一覧!I:I,MATCH(使用レシピ!$B57,レシピ一覧!$A:$A,0))) &amp;""</f>
        <v/>
      </c>
      <c r="K57" s="85" t="str">
        <f>IFERROR((IF($B57 = "","",INDEX(レシピ一覧!J:J,MATCH(使用レシピ!$B57,レシピ一覧!$A:$A,0)))&amp;"")*1,"")</f>
        <v/>
      </c>
      <c r="L57" s="85" t="str">
        <f>IFERROR((IF($B57 = "","",INDEX(レシピ一覧!K:K,MATCH(使用レシピ!$B57,レシピ一覧!$A:$A,0)))&amp;"")*1,"")</f>
        <v/>
      </c>
      <c r="M57" s="85" t="str">
        <f>IFERROR((IF($B57 = "","",INDEX(レシピ一覧!L:L,MATCH(使用レシピ!$B57,レシピ一覧!$A:$A,0)))&amp;"")*1,"")</f>
        <v/>
      </c>
      <c r="N57" s="85" t="str">
        <f>IFERROR((IF($B57 = "","",INDEX(レシピ一覧!M:M,MATCH(使用レシピ!$B57,レシピ一覧!$A:$A,0)))&amp;"")*1,"")</f>
        <v/>
      </c>
      <c r="O57" s="85" t="str">
        <f>IFERROR((IF($B57 = "","",INDEX(レシピ一覧!N:N,MATCH(使用レシピ!$B57,レシピ一覧!$A:$A,0)))&amp;"")*1,"")</f>
        <v/>
      </c>
      <c r="P57" s="85">
        <f>IFERROR((IF($B57 = "","",INDEX(レシピ一覧!O:O,MATCH(使用レシピ!$B57,レシピ一覧!$A:$A,0)))&amp;"")*1,"")</f>
        <v>1</v>
      </c>
      <c r="Q57" s="86">
        <f>IFERROR((IF($B57 = "","",INDEX(レシピ一覧!P:P,MATCH(使用レシピ!$B57,レシピ一覧!$A:$A,0)))&amp;"")*1,"")</f>
        <v>120</v>
      </c>
    </row>
    <row r="58" spans="1:17" x14ac:dyDescent="0.4">
      <c r="A58" s="84">
        <v>1</v>
      </c>
      <c r="B58" s="21" t="str">
        <f t="shared" si="0"/>
        <v>5701</v>
      </c>
      <c r="C58" s="81">
        <f>IF(COUNTIF(レシピ一覧!$B:$B,ROW()-1),ROW()-1,"")</f>
        <v>57</v>
      </c>
      <c r="D58" s="15">
        <f>IF(E58="","",COUNTIF(レシピ一覧!$D$2:$D$500,使用レシピ!E58))</f>
        <v>3</v>
      </c>
      <c r="E58" s="57" t="str">
        <f>IFERROR( INDEX(レシピ一覧!$D:$D,MATCH(使用レシピ!$C58,レシピ一覧!$B:$B,0))&amp;"","")</f>
        <v>ゴム</v>
      </c>
      <c r="F58" s="85" t="str">
        <f>IF($B58 = "","",INDEX(レシピ一覧!E:E,MATCH(使用レシピ!$B58,レシピ一覧!$A:$A,0))) &amp;""</f>
        <v>原油</v>
      </c>
      <c r="G58" s="85" t="str">
        <f>IF($B58 = "","",INDEX(レシピ一覧!F:F,MATCH(使用レシピ!$B58,レシピ一覧!$A:$A,0))) &amp;""</f>
        <v/>
      </c>
      <c r="H58" s="85" t="str">
        <f>IF($B58 = "","",INDEX(レシピ一覧!G:G,MATCH(使用レシピ!$B58,レシピ一覧!$A:$A,0))) &amp;""</f>
        <v/>
      </c>
      <c r="I58" s="85" t="str">
        <f>IF($B58 = "","",INDEX(レシピ一覧!H:H,MATCH(使用レシピ!$B58,レシピ一覧!$A:$A,0))) &amp;""</f>
        <v/>
      </c>
      <c r="J58" s="85" t="str">
        <f>IF($B58 = "","",INDEX(レシピ一覧!I:I,MATCH(使用レシピ!$B58,レシピ一覧!$A:$A,0))) &amp;""</f>
        <v>廃重油</v>
      </c>
      <c r="K58" s="85">
        <f>IFERROR((IF($B58 = "","",INDEX(レシピ一覧!J:J,MATCH(使用レシピ!$B58,レシピ一覧!$A:$A,0)))&amp;"")*1,"")</f>
        <v>3</v>
      </c>
      <c r="L58" s="85" t="str">
        <f>IFERROR((IF($B58 = "","",INDEX(レシピ一覧!K:K,MATCH(使用レシピ!$B58,レシピ一覧!$A:$A,0)))&amp;"")*1,"")</f>
        <v/>
      </c>
      <c r="M58" s="85" t="str">
        <f>IFERROR((IF($B58 = "","",INDEX(レシピ一覧!L:L,MATCH(使用レシピ!$B58,レシピ一覧!$A:$A,0)))&amp;"")*1,"")</f>
        <v/>
      </c>
      <c r="N58" s="85" t="str">
        <f>IFERROR((IF($B58 = "","",INDEX(レシピ一覧!M:M,MATCH(使用レシピ!$B58,レシピ一覧!$A:$A,0)))&amp;"")*1,"")</f>
        <v/>
      </c>
      <c r="O58" s="85">
        <f>IFERROR((IF($B58 = "","",INDEX(レシピ一覧!N:N,MATCH(使用レシピ!$B58,レシピ一覧!$A:$A,0)))&amp;"")*1,"")</f>
        <v>2</v>
      </c>
      <c r="P58" s="85">
        <f>IFERROR((IF($B58 = "","",INDEX(レシピ一覧!O:O,MATCH(使用レシピ!$B58,レシピ一覧!$A:$A,0)))&amp;"")*1,"")</f>
        <v>2</v>
      </c>
      <c r="Q58" s="86">
        <f>IFERROR((IF($B58 = "","",INDEX(レシピ一覧!P:P,MATCH(使用レシピ!$B58,レシピ一覧!$A:$A,0)))&amp;"")*1,"")</f>
        <v>20</v>
      </c>
    </row>
    <row r="59" spans="1:17" x14ac:dyDescent="0.4">
      <c r="A59" s="84">
        <v>1</v>
      </c>
      <c r="B59" s="21" t="str">
        <f t="shared" si="0"/>
        <v>5801</v>
      </c>
      <c r="C59" s="81">
        <f>IF(COUNTIF(レシピ一覧!$B:$B,ROW()-1),ROW()-1,"")</f>
        <v>58</v>
      </c>
      <c r="D59" s="15">
        <f>IF(E59="","",COUNTIF(レシピ一覧!$D$2:$D$500,使用レシピ!E59))</f>
        <v>4</v>
      </c>
      <c r="E59" s="57" t="str">
        <f>IFERROR( INDEX(レシピ一覧!$D:$D,MATCH(使用レシピ!$C59,レシピ一覧!$B:$B,0))&amp;"","")</f>
        <v>燃料</v>
      </c>
      <c r="F59" s="85" t="str">
        <f>IF($B59 = "","",INDEX(レシピ一覧!E:E,MATCH(使用レシピ!$B59,レシピ一覧!$A:$A,0))) &amp;""</f>
        <v>原油</v>
      </c>
      <c r="G59" s="85" t="str">
        <f>IF($B59 = "","",INDEX(レシピ一覧!F:F,MATCH(使用レシピ!$B59,レシピ一覧!$A:$A,0))) &amp;""</f>
        <v/>
      </c>
      <c r="H59" s="85" t="str">
        <f>IF($B59 = "","",INDEX(レシピ一覧!G:G,MATCH(使用レシピ!$B59,レシピ一覧!$A:$A,0))) &amp;""</f>
        <v/>
      </c>
      <c r="I59" s="85" t="str">
        <f>IF($B59 = "","",INDEX(レシピ一覧!H:H,MATCH(使用レシピ!$B59,レシピ一覧!$A:$A,0))) &amp;""</f>
        <v/>
      </c>
      <c r="J59" s="85" t="str">
        <f>IF($B59 = "","",INDEX(レシピ一覧!I:I,MATCH(使用レシピ!$B59,レシピ一覧!$A:$A,0))) &amp;""</f>
        <v>合成樹脂</v>
      </c>
      <c r="K59" s="85">
        <f>IFERROR((IF($B59 = "","",INDEX(レシピ一覧!J:J,MATCH(使用レシピ!$B59,レシピ一覧!$A:$A,0)))&amp;"")*1,"")</f>
        <v>6</v>
      </c>
      <c r="L59" s="85" t="str">
        <f>IFERROR((IF($B59 = "","",INDEX(レシピ一覧!K:K,MATCH(使用レシピ!$B59,レシピ一覧!$A:$A,0)))&amp;"")*1,"")</f>
        <v/>
      </c>
      <c r="M59" s="85" t="str">
        <f>IFERROR((IF($B59 = "","",INDEX(レシピ一覧!L:L,MATCH(使用レシピ!$B59,レシピ一覧!$A:$A,0)))&amp;"")*1,"")</f>
        <v/>
      </c>
      <c r="N59" s="85" t="str">
        <f>IFERROR((IF($B59 = "","",INDEX(レシピ一覧!M:M,MATCH(使用レシピ!$B59,レシピ一覧!$A:$A,0)))&amp;"")*1,"")</f>
        <v/>
      </c>
      <c r="O59" s="85">
        <f>IFERROR((IF($B59 = "","",INDEX(レシピ一覧!N:N,MATCH(使用レシピ!$B59,レシピ一覧!$A:$A,0)))&amp;"")*1,"")</f>
        <v>3</v>
      </c>
      <c r="P59" s="85">
        <f>IFERROR((IF($B59 = "","",INDEX(レシピ一覧!O:O,MATCH(使用レシピ!$B59,レシピ一覧!$A:$A,0)))&amp;"")*1,"")</f>
        <v>4</v>
      </c>
      <c r="Q59" s="86">
        <f>IFERROR((IF($B59 = "","",INDEX(レシピ一覧!P:P,MATCH(使用レシピ!$B59,レシピ一覧!$A:$A,0)))&amp;"")*1,"")</f>
        <v>40</v>
      </c>
    </row>
    <row r="60" spans="1:17" x14ac:dyDescent="0.4">
      <c r="A60" s="84">
        <v>1</v>
      </c>
      <c r="B60" s="21" t="str">
        <f t="shared" si="0"/>
        <v>5901</v>
      </c>
      <c r="C60" s="81">
        <f>IF(COUNTIF(レシピ一覧!$B:$B,ROW()-1),ROW()-1,"")</f>
        <v>59</v>
      </c>
      <c r="D60" s="15">
        <f>IF(E60="","",COUNTIF(レシピ一覧!$D$2:$D$500,使用レシピ!E60))</f>
        <v>2</v>
      </c>
      <c r="E60" s="57" t="str">
        <f>IFERROR( INDEX(レシピ一覧!$D:$D,MATCH(使用レシピ!$C60,レシピ一覧!$B:$B,0))&amp;"","")</f>
        <v>原油</v>
      </c>
      <c r="F60" s="85" t="str">
        <f>IF($B60 = "","",INDEX(レシピ一覧!E:E,MATCH(使用レシピ!$B60,レシピ一覧!$A:$A,0))) &amp;""</f>
        <v/>
      </c>
      <c r="G60" s="85" t="str">
        <f>IF($B60 = "","",INDEX(レシピ一覧!F:F,MATCH(使用レシピ!$B60,レシピ一覧!$A:$A,0))) &amp;""</f>
        <v/>
      </c>
      <c r="H60" s="85" t="str">
        <f>IF($B60 = "","",INDEX(レシピ一覧!G:G,MATCH(使用レシピ!$B60,レシピ一覧!$A:$A,0))) &amp;""</f>
        <v/>
      </c>
      <c r="I60" s="85" t="str">
        <f>IF($B60 = "","",INDEX(レシピ一覧!H:H,MATCH(使用レシピ!$B60,レシピ一覧!$A:$A,0))) &amp;""</f>
        <v/>
      </c>
      <c r="J60" s="85" t="str">
        <f>IF($B60 = "","",INDEX(レシピ一覧!I:I,MATCH(使用レシピ!$B60,レシピ一覧!$A:$A,0))) &amp;""</f>
        <v/>
      </c>
      <c r="K60" s="85" t="str">
        <f>IFERROR((IF($B60 = "","",INDEX(レシピ一覧!J:J,MATCH(使用レシピ!$B60,レシピ一覧!$A:$A,0)))&amp;"")*1,"")</f>
        <v/>
      </c>
      <c r="L60" s="85" t="str">
        <f>IFERROR((IF($B60 = "","",INDEX(レシピ一覧!K:K,MATCH(使用レシピ!$B60,レシピ一覧!$A:$A,0)))&amp;"")*1,"")</f>
        <v/>
      </c>
      <c r="M60" s="85" t="str">
        <f>IFERROR((IF($B60 = "","",INDEX(レシピ一覧!L:L,MATCH(使用レシピ!$B60,レシピ一覧!$A:$A,0)))&amp;"")*1,"")</f>
        <v/>
      </c>
      <c r="N60" s="85" t="str">
        <f>IFERROR((IF($B60 = "","",INDEX(レシピ一覧!M:M,MATCH(使用レシピ!$B60,レシピ一覧!$A:$A,0)))&amp;"")*1,"")</f>
        <v/>
      </c>
      <c r="O60" s="85" t="str">
        <f>IFERROR((IF($B60 = "","",INDEX(レシピ一覧!N:N,MATCH(使用レシピ!$B60,レシピ一覧!$A:$A,0)))&amp;"")*1,"")</f>
        <v/>
      </c>
      <c r="P60" s="85">
        <f>IFERROR((IF($B60 = "","",INDEX(レシピ一覧!O:O,MATCH(使用レシピ!$B60,レシピ一覧!$A:$A,0)))&amp;"")*1,"")</f>
        <v>1</v>
      </c>
      <c r="Q60" s="86">
        <f>IFERROR((IF($B60 = "","",INDEX(レシピ一覧!P:P,MATCH(使用レシピ!$B60,レシピ一覧!$A:$A,0)))&amp;"")*1,"")</f>
        <v>600</v>
      </c>
    </row>
    <row r="61" spans="1:17" x14ac:dyDescent="0.4">
      <c r="A61" s="84">
        <v>1</v>
      </c>
      <c r="B61" s="21" t="str">
        <f t="shared" si="0"/>
        <v>6001</v>
      </c>
      <c r="C61" s="81">
        <f>IF(COUNTIF(レシピ一覧!$B:$B,ROW()-1),ROW()-1,"")</f>
        <v>60</v>
      </c>
      <c r="D61" s="15">
        <f>IF(E61="","",COUNTIF(レシピ一覧!$D$2:$D$500,使用レシピ!E61))</f>
        <v>4</v>
      </c>
      <c r="E61" s="57" t="str">
        <f>IFERROR( INDEX(レシピ一覧!$D:$D,MATCH(使用レシピ!$C61,レシピ一覧!$B:$B,0))&amp;"","")</f>
        <v>シリカ</v>
      </c>
      <c r="F61" s="85" t="str">
        <f>IF($B61 = "","",INDEX(レシピ一覧!E:E,MATCH(使用レシピ!$B61,レシピ一覧!$A:$A,0))) &amp;""</f>
        <v>未加工石英</v>
      </c>
      <c r="G61" s="85" t="str">
        <f>IF($B61 = "","",INDEX(レシピ一覧!F:F,MATCH(使用レシピ!$B61,レシピ一覧!$A:$A,0))) &amp;""</f>
        <v/>
      </c>
      <c r="H61" s="85" t="str">
        <f>IF($B61 = "","",INDEX(レシピ一覧!G:G,MATCH(使用レシピ!$B61,レシピ一覧!$A:$A,0))) &amp;""</f>
        <v/>
      </c>
      <c r="I61" s="85" t="str">
        <f>IF($B61 = "","",INDEX(レシピ一覧!H:H,MATCH(使用レシピ!$B61,レシピ一覧!$A:$A,0))) &amp;""</f>
        <v/>
      </c>
      <c r="J61" s="85" t="str">
        <f>IF($B61 = "","",INDEX(レシピ一覧!I:I,MATCH(使用レシピ!$B61,レシピ一覧!$A:$A,0))) &amp;""</f>
        <v/>
      </c>
      <c r="K61" s="85">
        <f>IFERROR((IF($B61 = "","",INDEX(レシピ一覧!J:J,MATCH(使用レシピ!$B61,レシピ一覧!$A:$A,0)))&amp;"")*1,"")</f>
        <v>3</v>
      </c>
      <c r="L61" s="85" t="str">
        <f>IFERROR((IF($B61 = "","",INDEX(レシピ一覧!K:K,MATCH(使用レシピ!$B61,レシピ一覧!$A:$A,0)))&amp;"")*1,"")</f>
        <v/>
      </c>
      <c r="M61" s="85" t="str">
        <f>IFERROR((IF($B61 = "","",INDEX(レシピ一覧!L:L,MATCH(使用レシピ!$B61,レシピ一覧!$A:$A,0)))&amp;"")*1,"")</f>
        <v/>
      </c>
      <c r="N61" s="85" t="str">
        <f>IFERROR((IF($B61 = "","",INDEX(レシピ一覧!M:M,MATCH(使用レシピ!$B61,レシピ一覧!$A:$A,0)))&amp;"")*1,"")</f>
        <v/>
      </c>
      <c r="O61" s="85" t="str">
        <f>IFERROR((IF($B61 = "","",INDEX(レシピ一覧!N:N,MATCH(使用レシピ!$B61,レシピ一覧!$A:$A,0)))&amp;"")*1,"")</f>
        <v/>
      </c>
      <c r="P61" s="85">
        <f>IFERROR((IF($B61 = "","",INDEX(レシピ一覧!O:O,MATCH(使用レシピ!$B61,レシピ一覧!$A:$A,0)))&amp;"")*1,"")</f>
        <v>5</v>
      </c>
      <c r="Q61" s="86">
        <f>IFERROR((IF($B61 = "","",INDEX(レシピ一覧!P:P,MATCH(使用レシピ!$B61,レシピ一覧!$A:$A,0)))&amp;"")*1,"")</f>
        <v>37.5</v>
      </c>
    </row>
    <row r="62" spans="1:17" x14ac:dyDescent="0.4">
      <c r="A62" s="84">
        <v>1</v>
      </c>
      <c r="B62" s="21" t="str">
        <f t="shared" si="0"/>
        <v>6101</v>
      </c>
      <c r="C62" s="81">
        <f>IF(COUNTIF(レシピ一覧!$B:$B,ROW()-1),ROW()-1,"")</f>
        <v>61</v>
      </c>
      <c r="D62" s="15">
        <f>IF(E62="","",COUNTIF(レシピ一覧!$D$2:$D$500,使用レシピ!E62))</f>
        <v>2</v>
      </c>
      <c r="E62" s="57" t="str">
        <f>IFERROR( INDEX(レシピ一覧!$D:$D,MATCH(使用レシピ!$C62,レシピ一覧!$B:$B,0))&amp;"","")</f>
        <v>水晶発振器</v>
      </c>
      <c r="F62" s="85" t="str">
        <f>IF($B62 = "","",INDEX(レシピ一覧!E:E,MATCH(使用レシピ!$B62,レシピ一覧!$A:$A,0))) &amp;""</f>
        <v>石英結晶</v>
      </c>
      <c r="G62" s="85" t="str">
        <f>IF($B62 = "","",INDEX(レシピ一覧!F:F,MATCH(使用レシピ!$B62,レシピ一覧!$A:$A,0))) &amp;""</f>
        <v>ケーブル</v>
      </c>
      <c r="H62" s="85" t="str">
        <f>IF($B62 = "","",INDEX(レシピ一覧!G:G,MATCH(使用レシピ!$B62,レシピ一覧!$A:$A,0))) &amp;""</f>
        <v>強化鉄板</v>
      </c>
      <c r="I62" s="85" t="str">
        <f>IF($B62 = "","",INDEX(レシピ一覧!H:H,MATCH(使用レシピ!$B62,レシピ一覧!$A:$A,0))) &amp;""</f>
        <v/>
      </c>
      <c r="J62" s="85" t="str">
        <f>IF($B62 = "","",INDEX(レシピ一覧!I:I,MATCH(使用レシピ!$B62,レシピ一覧!$A:$A,0))) &amp;""</f>
        <v/>
      </c>
      <c r="K62" s="85">
        <f>IFERROR((IF($B62 = "","",INDEX(レシピ一覧!J:J,MATCH(使用レシピ!$B62,レシピ一覧!$A:$A,0)))&amp;"")*1,"")</f>
        <v>36</v>
      </c>
      <c r="L62" s="85">
        <f>IFERROR((IF($B62 = "","",INDEX(レシピ一覧!K:K,MATCH(使用レシピ!$B62,レシピ一覧!$A:$A,0)))&amp;"")*1,"")</f>
        <v>28</v>
      </c>
      <c r="M62" s="85">
        <f>IFERROR((IF($B62 = "","",INDEX(レシピ一覧!L:L,MATCH(使用レシピ!$B62,レシピ一覧!$A:$A,0)))&amp;"")*1,"")</f>
        <v>5</v>
      </c>
      <c r="N62" s="85" t="str">
        <f>IFERROR((IF($B62 = "","",INDEX(レシピ一覧!M:M,MATCH(使用レシピ!$B62,レシピ一覧!$A:$A,0)))&amp;"")*1,"")</f>
        <v/>
      </c>
      <c r="O62" s="85" t="str">
        <f>IFERROR((IF($B62 = "","",INDEX(レシピ一覧!N:N,MATCH(使用レシピ!$B62,レシピ一覧!$A:$A,0)))&amp;"")*1,"")</f>
        <v/>
      </c>
      <c r="P62" s="85">
        <f>IFERROR((IF($B62 = "","",INDEX(レシピ一覧!O:O,MATCH(使用レシピ!$B62,レシピ一覧!$A:$A,0)))&amp;"")*1,"")</f>
        <v>2</v>
      </c>
      <c r="Q62" s="86">
        <f>IFERROR((IF($B62 = "","",INDEX(レシピ一覧!P:P,MATCH(使用レシピ!$B62,レシピ一覧!$A:$A,0)))&amp;"")*1,"")</f>
        <v>1</v>
      </c>
    </row>
    <row r="63" spans="1:17" x14ac:dyDescent="0.4">
      <c r="A63" s="84">
        <v>1</v>
      </c>
      <c r="B63" s="21" t="str">
        <f t="shared" si="0"/>
        <v>6201</v>
      </c>
      <c r="C63" s="81">
        <f>IF(COUNTIF(レシピ一覧!$B:$B,ROW()-1),ROW()-1,"")</f>
        <v>62</v>
      </c>
      <c r="D63" s="15">
        <f>IF(E63="","",COUNTIF(レシピ一覧!$D$2:$D$500,使用レシピ!E63))</f>
        <v>11</v>
      </c>
      <c r="E63" s="57" t="str">
        <f>IFERROR( INDEX(レシピ一覧!$D:$D,MATCH(使用レシピ!$C63,レシピ一覧!$B:$B,0))&amp;"","")</f>
        <v>空の容器</v>
      </c>
      <c r="F63" s="85" t="str">
        <f>IF($B63 = "","",INDEX(レシピ一覧!E:E,MATCH(使用レシピ!$B63,レシピ一覧!$A:$A,0))) &amp;""</f>
        <v>プラスチック</v>
      </c>
      <c r="G63" s="85" t="str">
        <f>IF($B63 = "","",INDEX(レシピ一覧!F:F,MATCH(使用レシピ!$B63,レシピ一覧!$A:$A,0))) &amp;""</f>
        <v/>
      </c>
      <c r="H63" s="85" t="str">
        <f>IF($B63 = "","",INDEX(レシピ一覧!G:G,MATCH(使用レシピ!$B63,レシピ一覧!$A:$A,0))) &amp;""</f>
        <v/>
      </c>
      <c r="I63" s="85" t="str">
        <f>IF($B63 = "","",INDEX(レシピ一覧!H:H,MATCH(使用レシピ!$B63,レシピ一覧!$A:$A,0))) &amp;""</f>
        <v/>
      </c>
      <c r="J63" s="85" t="str">
        <f>IF($B63 = "","",INDEX(レシピ一覧!I:I,MATCH(使用レシピ!$B63,レシピ一覧!$A:$A,0))) &amp;""</f>
        <v/>
      </c>
      <c r="K63" s="85">
        <f>IFERROR((IF($B63 = "","",INDEX(レシピ一覧!J:J,MATCH(使用レシピ!$B63,レシピ一覧!$A:$A,0)))&amp;"")*1,"")</f>
        <v>2</v>
      </c>
      <c r="L63" s="85" t="str">
        <f>IFERROR((IF($B63 = "","",INDEX(レシピ一覧!K:K,MATCH(使用レシピ!$B63,レシピ一覧!$A:$A,0)))&amp;"")*1,"")</f>
        <v/>
      </c>
      <c r="M63" s="85" t="str">
        <f>IFERROR((IF($B63 = "","",INDEX(レシピ一覧!L:L,MATCH(使用レシピ!$B63,レシピ一覧!$A:$A,0)))&amp;"")*1,"")</f>
        <v/>
      </c>
      <c r="N63" s="85" t="str">
        <f>IFERROR((IF($B63 = "","",INDEX(レシピ一覧!M:M,MATCH(使用レシピ!$B63,レシピ一覧!$A:$A,0)))&amp;"")*1,"")</f>
        <v/>
      </c>
      <c r="O63" s="85" t="str">
        <f>IFERROR((IF($B63 = "","",INDEX(レシピ一覧!N:N,MATCH(使用レシピ!$B63,レシピ一覧!$A:$A,0)))&amp;"")*1,"")</f>
        <v/>
      </c>
      <c r="P63" s="85">
        <f>IFERROR((IF($B63 = "","",INDEX(レシピ一覧!O:O,MATCH(使用レシピ!$B63,レシピ一覧!$A:$A,0)))&amp;"")*1,"")</f>
        <v>4</v>
      </c>
      <c r="Q63" s="86">
        <f>IFERROR((IF($B63 = "","",INDEX(レシピ一覧!P:P,MATCH(使用レシピ!$B63,レシピ一覧!$A:$A,0)))&amp;"")*1,"")</f>
        <v>60</v>
      </c>
    </row>
    <row r="64" spans="1:17" x14ac:dyDescent="0.4">
      <c r="A64" s="84">
        <v>1</v>
      </c>
      <c r="B64" s="21" t="str">
        <f t="shared" si="0"/>
        <v>6301</v>
      </c>
      <c r="C64" s="81">
        <f>IF(COUNTIF(レシピ一覧!$B:$B,ROW()-1),ROW()-1,"")</f>
        <v>63</v>
      </c>
      <c r="D64" s="15">
        <f>IF(E64="","",COUNTIF(レシピ一覧!$D$2:$D$500,使用レシピ!E64))</f>
        <v>1</v>
      </c>
      <c r="E64" s="57" t="str">
        <f>IFERROR( INDEX(レシピ一覧!$D:$D,MATCH(使用レシピ!$C64,レシピ一覧!$B:$B,0))&amp;"","")</f>
        <v>包装済み水</v>
      </c>
      <c r="F64" s="85" t="str">
        <f>IF($B64 = "","",INDEX(レシピ一覧!E:E,MATCH(使用レシピ!$B64,レシピ一覧!$A:$A,0))) &amp;""</f>
        <v>空の容器</v>
      </c>
      <c r="G64" s="85" t="str">
        <f>IF($B64 = "","",INDEX(レシピ一覧!F:F,MATCH(使用レシピ!$B64,レシピ一覧!$A:$A,0))) &amp;""</f>
        <v>水</v>
      </c>
      <c r="H64" s="85" t="str">
        <f>IF($B64 = "","",INDEX(レシピ一覧!G:G,MATCH(使用レシピ!$B64,レシピ一覧!$A:$A,0))) &amp;""</f>
        <v/>
      </c>
      <c r="I64" s="85" t="str">
        <f>IF($B64 = "","",INDEX(レシピ一覧!H:H,MATCH(使用レシピ!$B64,レシピ一覧!$A:$A,0))) &amp;""</f>
        <v/>
      </c>
      <c r="J64" s="85" t="str">
        <f>IF($B64 = "","",INDEX(レシピ一覧!I:I,MATCH(使用レシピ!$B64,レシピ一覧!$A:$A,0))) &amp;""</f>
        <v/>
      </c>
      <c r="K64" s="85">
        <f>IFERROR((IF($B64 = "","",INDEX(レシピ一覧!J:J,MATCH(使用レシピ!$B64,レシピ一覧!$A:$A,0)))&amp;"")*1,"")</f>
        <v>2</v>
      </c>
      <c r="L64" s="85">
        <f>IFERROR((IF($B64 = "","",INDEX(レシピ一覧!K:K,MATCH(使用レシピ!$B64,レシピ一覧!$A:$A,0)))&amp;"")*1,"")</f>
        <v>2</v>
      </c>
      <c r="M64" s="85" t="str">
        <f>IFERROR((IF($B64 = "","",INDEX(レシピ一覧!L:L,MATCH(使用レシピ!$B64,レシピ一覧!$A:$A,0)))&amp;"")*1,"")</f>
        <v/>
      </c>
      <c r="N64" s="85" t="str">
        <f>IFERROR((IF($B64 = "","",INDEX(レシピ一覧!M:M,MATCH(使用レシピ!$B64,レシピ一覧!$A:$A,0)))&amp;"")*1,"")</f>
        <v/>
      </c>
      <c r="O64" s="85" t="str">
        <f>IFERROR((IF($B64 = "","",INDEX(レシピ一覧!N:N,MATCH(使用レシピ!$B64,レシピ一覧!$A:$A,0)))&amp;"")*1,"")</f>
        <v/>
      </c>
      <c r="P64" s="85">
        <f>IFERROR((IF($B64 = "","",INDEX(レシピ一覧!O:O,MATCH(使用レシピ!$B64,レシピ一覧!$A:$A,0)))&amp;"")*1,"")</f>
        <v>2</v>
      </c>
      <c r="Q64" s="86">
        <f>IFERROR((IF($B64 = "","",INDEX(レシピ一覧!P:P,MATCH(使用レシピ!$B64,レシピ一覧!$A:$A,0)))&amp;"")*1,"")</f>
        <v>60</v>
      </c>
    </row>
    <row r="65" spans="1:17" x14ac:dyDescent="0.4">
      <c r="A65" s="84">
        <v>1</v>
      </c>
      <c r="B65" s="21" t="str">
        <f t="shared" si="0"/>
        <v>6401</v>
      </c>
      <c r="C65" s="81">
        <f>IF(COUNTIF(レシピ一覧!$B:$B,ROW()-1),ROW()-1,"")</f>
        <v>64</v>
      </c>
      <c r="D65" s="15">
        <f>IF(E65="","",COUNTIF(レシピ一覧!$D$2:$D$500,使用レシピ!E65))</f>
        <v>1</v>
      </c>
      <c r="E65" s="57" t="str">
        <f>IFERROR( INDEX(レシピ一覧!$D:$D,MATCH(使用レシピ!$C65,レシピ一覧!$B:$B,0))&amp;"","")</f>
        <v>包装済み原油</v>
      </c>
      <c r="F65" s="85" t="str">
        <f>IF($B65 = "","",INDEX(レシピ一覧!E:E,MATCH(使用レシピ!$B65,レシピ一覧!$A:$A,0))) &amp;""</f>
        <v>空の容器</v>
      </c>
      <c r="G65" s="85" t="str">
        <f>IF($B65 = "","",INDEX(レシピ一覧!F:F,MATCH(使用レシピ!$B65,レシピ一覧!$A:$A,0))) &amp;""</f>
        <v>原油</v>
      </c>
      <c r="H65" s="85" t="str">
        <f>IF($B65 = "","",INDEX(レシピ一覧!G:G,MATCH(使用レシピ!$B65,レシピ一覧!$A:$A,0))) &amp;""</f>
        <v/>
      </c>
      <c r="I65" s="85" t="str">
        <f>IF($B65 = "","",INDEX(レシピ一覧!H:H,MATCH(使用レシピ!$B65,レシピ一覧!$A:$A,0))) &amp;""</f>
        <v/>
      </c>
      <c r="J65" s="85" t="str">
        <f>IF($B65 = "","",INDEX(レシピ一覧!I:I,MATCH(使用レシピ!$B65,レシピ一覧!$A:$A,0))) &amp;""</f>
        <v/>
      </c>
      <c r="K65" s="85">
        <f>IFERROR((IF($B65 = "","",INDEX(レシピ一覧!J:J,MATCH(使用レシピ!$B65,レシピ一覧!$A:$A,0)))&amp;"")*1,"")</f>
        <v>2</v>
      </c>
      <c r="L65" s="85">
        <f>IFERROR((IF($B65 = "","",INDEX(レシピ一覧!K:K,MATCH(使用レシピ!$B65,レシピ一覧!$A:$A,0)))&amp;"")*1,"")</f>
        <v>2</v>
      </c>
      <c r="M65" s="85" t="str">
        <f>IFERROR((IF($B65 = "","",INDEX(レシピ一覧!L:L,MATCH(使用レシピ!$B65,レシピ一覧!$A:$A,0)))&amp;"")*1,"")</f>
        <v/>
      </c>
      <c r="N65" s="85" t="str">
        <f>IFERROR((IF($B65 = "","",INDEX(レシピ一覧!M:M,MATCH(使用レシピ!$B65,レシピ一覧!$A:$A,0)))&amp;"")*1,"")</f>
        <v/>
      </c>
      <c r="O65" s="85" t="str">
        <f>IFERROR((IF($B65 = "","",INDEX(レシピ一覧!N:N,MATCH(使用レシピ!$B65,レシピ一覧!$A:$A,0)))&amp;"")*1,"")</f>
        <v/>
      </c>
      <c r="P65" s="85">
        <f>IFERROR((IF($B65 = "","",INDEX(レシピ一覧!O:O,MATCH(使用レシピ!$B65,レシピ一覧!$A:$A,0)))&amp;"")*1,"")</f>
        <v>2</v>
      </c>
      <c r="Q65" s="86">
        <f>IFERROR((IF($B65 = "","",INDEX(レシピ一覧!P:P,MATCH(使用レシピ!$B65,レシピ一覧!$A:$A,0)))&amp;"")*1,"")</f>
        <v>30</v>
      </c>
    </row>
    <row r="66" spans="1:17" x14ac:dyDescent="0.4">
      <c r="A66" s="84">
        <v>1</v>
      </c>
      <c r="B66" s="21" t="str">
        <f t="shared" si="0"/>
        <v>6501</v>
      </c>
      <c r="C66" s="81">
        <f>IF(COUNTIF(レシピ一覧!$B:$B,ROW()-1),ROW()-1,"")</f>
        <v>65</v>
      </c>
      <c r="D66" s="15">
        <f>IF(E66="","",COUNTIF(レシピ一覧!$D$2:$D$500,使用レシピ!E66))</f>
        <v>2</v>
      </c>
      <c r="E66" s="57" t="str">
        <f>IFERROR( INDEX(レシピ一覧!$D:$D,MATCH(使用レシピ!$C66,レシピ一覧!$B:$B,0))&amp;"","")</f>
        <v>包装済み燃料</v>
      </c>
      <c r="F66" s="85" t="str">
        <f>IF($B66 = "","",INDEX(レシピ一覧!E:E,MATCH(使用レシピ!$B66,レシピ一覧!$A:$A,0))) &amp;""</f>
        <v>空の容器</v>
      </c>
      <c r="G66" s="85" t="str">
        <f>IF($B66 = "","",INDEX(レシピ一覧!F:F,MATCH(使用レシピ!$B66,レシピ一覧!$A:$A,0))) &amp;""</f>
        <v>燃料</v>
      </c>
      <c r="H66" s="85" t="str">
        <f>IF($B66 = "","",INDEX(レシピ一覧!G:G,MATCH(使用レシピ!$B66,レシピ一覧!$A:$A,0))) &amp;""</f>
        <v/>
      </c>
      <c r="I66" s="85" t="str">
        <f>IF($B66 = "","",INDEX(レシピ一覧!H:H,MATCH(使用レシピ!$B66,レシピ一覧!$A:$A,0))) &amp;""</f>
        <v/>
      </c>
      <c r="J66" s="85" t="str">
        <f>IF($B66 = "","",INDEX(レシピ一覧!I:I,MATCH(使用レシピ!$B66,レシピ一覧!$A:$A,0))) &amp;""</f>
        <v/>
      </c>
      <c r="K66" s="85">
        <f>IFERROR((IF($B66 = "","",INDEX(レシピ一覧!J:J,MATCH(使用レシピ!$B66,レシピ一覧!$A:$A,0)))&amp;"")*1,"")</f>
        <v>2</v>
      </c>
      <c r="L66" s="85">
        <f>IFERROR((IF($B66 = "","",INDEX(レシピ一覧!K:K,MATCH(使用レシピ!$B66,レシピ一覧!$A:$A,0)))&amp;"")*1,"")</f>
        <v>2</v>
      </c>
      <c r="M66" s="85" t="str">
        <f>IFERROR((IF($B66 = "","",INDEX(レシピ一覧!L:L,MATCH(使用レシピ!$B66,レシピ一覧!$A:$A,0)))&amp;"")*1,"")</f>
        <v/>
      </c>
      <c r="N66" s="85" t="str">
        <f>IFERROR((IF($B66 = "","",INDEX(レシピ一覧!M:M,MATCH(使用レシピ!$B66,レシピ一覧!$A:$A,0)))&amp;"")*1,"")</f>
        <v/>
      </c>
      <c r="O66" s="85" t="str">
        <f>IFERROR((IF($B66 = "","",INDEX(レシピ一覧!N:N,MATCH(使用レシピ!$B66,レシピ一覧!$A:$A,0)))&amp;"")*1,"")</f>
        <v/>
      </c>
      <c r="P66" s="85">
        <f>IFERROR((IF($B66 = "","",INDEX(レシピ一覧!O:O,MATCH(使用レシピ!$B66,レシピ一覧!$A:$A,0)))&amp;"")*1,"")</f>
        <v>2</v>
      </c>
      <c r="Q66" s="86">
        <f>IFERROR((IF($B66 = "","",INDEX(レシピ一覧!P:P,MATCH(使用レシピ!$B66,レシピ一覧!$A:$A,0)))&amp;"")*1,"")</f>
        <v>40</v>
      </c>
    </row>
    <row r="67" spans="1:17" x14ac:dyDescent="0.4">
      <c r="A67" s="84">
        <v>1</v>
      </c>
      <c r="B67" s="21" t="str">
        <f t="shared" ref="B67:B130" si="1">IF(ISNUMBER(C67),C67 &amp; RIGHT("00"&amp;A67,2),"")</f>
        <v>6601</v>
      </c>
      <c r="C67" s="81">
        <f>IF(COUNTIF(レシピ一覧!$B:$B,ROW()-1),ROW()-1,"")</f>
        <v>66</v>
      </c>
      <c r="D67" s="15">
        <f>IF(E67="","",COUNTIF(レシピ一覧!$D$2:$D$500,使用レシピ!E67))</f>
        <v>1</v>
      </c>
      <c r="E67" s="57" t="str">
        <f>IFERROR( INDEX(レシピ一覧!$D:$D,MATCH(使用レシピ!$C67,レシピ一覧!$B:$B,0))&amp;"","")</f>
        <v>包装済み廃重油</v>
      </c>
      <c r="F67" s="85" t="str">
        <f>IF($B67 = "","",INDEX(レシピ一覧!E:E,MATCH(使用レシピ!$B67,レシピ一覧!$A:$A,0))) &amp;""</f>
        <v>空の容器</v>
      </c>
      <c r="G67" s="85" t="str">
        <f>IF($B67 = "","",INDEX(レシピ一覧!F:F,MATCH(使用レシピ!$B67,レシピ一覧!$A:$A,0))) &amp;""</f>
        <v>廃重油</v>
      </c>
      <c r="H67" s="85" t="str">
        <f>IF($B67 = "","",INDEX(レシピ一覧!G:G,MATCH(使用レシピ!$B67,レシピ一覧!$A:$A,0))) &amp;""</f>
        <v/>
      </c>
      <c r="I67" s="85" t="str">
        <f>IF($B67 = "","",INDEX(レシピ一覧!H:H,MATCH(使用レシピ!$B67,レシピ一覧!$A:$A,0))) &amp;""</f>
        <v/>
      </c>
      <c r="J67" s="85" t="str">
        <f>IF($B67 = "","",INDEX(レシピ一覧!I:I,MATCH(使用レシピ!$B67,レシピ一覧!$A:$A,0))) &amp;""</f>
        <v/>
      </c>
      <c r="K67" s="85">
        <f>IFERROR((IF($B67 = "","",INDEX(レシピ一覧!J:J,MATCH(使用レシピ!$B67,レシピ一覧!$A:$A,0)))&amp;"")*1,"")</f>
        <v>2</v>
      </c>
      <c r="L67" s="85">
        <f>IFERROR((IF($B67 = "","",INDEX(レシピ一覧!K:K,MATCH(使用レシピ!$B67,レシピ一覧!$A:$A,0)))&amp;"")*1,"")</f>
        <v>2</v>
      </c>
      <c r="M67" s="85" t="str">
        <f>IFERROR((IF($B67 = "","",INDEX(レシピ一覧!L:L,MATCH(使用レシピ!$B67,レシピ一覧!$A:$A,0)))&amp;"")*1,"")</f>
        <v/>
      </c>
      <c r="N67" s="85" t="str">
        <f>IFERROR((IF($B67 = "","",INDEX(レシピ一覧!M:M,MATCH(使用レシピ!$B67,レシピ一覧!$A:$A,0)))&amp;"")*1,"")</f>
        <v/>
      </c>
      <c r="O67" s="85" t="str">
        <f>IFERROR((IF($B67 = "","",INDEX(レシピ一覧!N:N,MATCH(使用レシピ!$B67,レシピ一覧!$A:$A,0)))&amp;"")*1,"")</f>
        <v/>
      </c>
      <c r="P67" s="85">
        <f>IFERROR((IF($B67 = "","",INDEX(レシピ一覧!O:O,MATCH(使用レシピ!$B67,レシピ一覧!$A:$A,0)))&amp;"")*1,"")</f>
        <v>2</v>
      </c>
      <c r="Q67" s="86">
        <f>IFERROR((IF($B67 = "","",INDEX(レシピ一覧!P:P,MATCH(使用レシピ!$B67,レシピ一覧!$A:$A,0)))&amp;"")*1,"")</f>
        <v>30</v>
      </c>
    </row>
    <row r="68" spans="1:17" x14ac:dyDescent="0.4">
      <c r="A68" s="84">
        <v>1</v>
      </c>
      <c r="B68" s="21" t="str">
        <f t="shared" si="1"/>
        <v>6701</v>
      </c>
      <c r="C68" s="81">
        <f>IF(COUNTIF(レシピ一覧!$B:$B,ROW()-1),ROW()-1,"")</f>
        <v>67</v>
      </c>
      <c r="D68" s="15">
        <f>IF(E68="","",COUNTIF(レシピ一覧!$D$2:$D$500,使用レシピ!E68))</f>
        <v>1</v>
      </c>
      <c r="E68" s="57" t="str">
        <f>IFERROR( INDEX(レシピ一覧!$D:$D,MATCH(使用レシピ!$C68,レシピ一覧!$B:$B,0))&amp;"","")</f>
        <v>包装済み液体バイオ燃料</v>
      </c>
      <c r="F68" s="85" t="str">
        <f>IF($B68 = "","",INDEX(レシピ一覧!E:E,MATCH(使用レシピ!$B68,レシピ一覧!$A:$A,0))) &amp;""</f>
        <v>空の容器</v>
      </c>
      <c r="G68" s="85" t="str">
        <f>IF($B68 = "","",INDEX(レシピ一覧!F:F,MATCH(使用レシピ!$B68,レシピ一覧!$A:$A,0))) &amp;""</f>
        <v>液体バイオ燃料</v>
      </c>
      <c r="H68" s="85" t="str">
        <f>IF($B68 = "","",INDEX(レシピ一覧!G:G,MATCH(使用レシピ!$B68,レシピ一覧!$A:$A,0))) &amp;""</f>
        <v/>
      </c>
      <c r="I68" s="85" t="str">
        <f>IF($B68 = "","",INDEX(レシピ一覧!H:H,MATCH(使用レシピ!$B68,レシピ一覧!$A:$A,0))) &amp;""</f>
        <v/>
      </c>
      <c r="J68" s="85" t="str">
        <f>IF($B68 = "","",INDEX(レシピ一覧!I:I,MATCH(使用レシピ!$B68,レシピ一覧!$A:$A,0))) &amp;""</f>
        <v/>
      </c>
      <c r="K68" s="85">
        <f>IFERROR((IF($B68 = "","",INDEX(レシピ一覧!J:J,MATCH(使用レシピ!$B68,レシピ一覧!$A:$A,0)))&amp;"")*1,"")</f>
        <v>2</v>
      </c>
      <c r="L68" s="85">
        <f>IFERROR((IF($B68 = "","",INDEX(レシピ一覧!K:K,MATCH(使用レシピ!$B68,レシピ一覧!$A:$A,0)))&amp;"")*1,"")</f>
        <v>2</v>
      </c>
      <c r="M68" s="85" t="str">
        <f>IFERROR((IF($B68 = "","",INDEX(レシピ一覧!L:L,MATCH(使用レシピ!$B68,レシピ一覧!$A:$A,0)))&amp;"")*1,"")</f>
        <v/>
      </c>
      <c r="N68" s="85" t="str">
        <f>IFERROR((IF($B68 = "","",INDEX(レシピ一覧!M:M,MATCH(使用レシピ!$B68,レシピ一覧!$A:$A,0)))&amp;"")*1,"")</f>
        <v/>
      </c>
      <c r="O68" s="85" t="str">
        <f>IFERROR((IF($B68 = "","",INDEX(レシピ一覧!N:N,MATCH(使用レシピ!$B68,レシピ一覧!$A:$A,0)))&amp;"")*1,"")</f>
        <v/>
      </c>
      <c r="P68" s="85">
        <f>IFERROR((IF($B68 = "","",INDEX(レシピ一覧!O:O,MATCH(使用レシピ!$B68,レシピ一覧!$A:$A,0)))&amp;"")*1,"")</f>
        <v>2</v>
      </c>
      <c r="Q68" s="86">
        <f>IFERROR((IF($B68 = "","",INDEX(レシピ一覧!P:P,MATCH(使用レシピ!$B68,レシピ一覧!$A:$A,0)))&amp;"")*1,"")</f>
        <v>40</v>
      </c>
    </row>
    <row r="69" spans="1:17" x14ac:dyDescent="0.4">
      <c r="A69" s="84">
        <v>1</v>
      </c>
      <c r="B69" s="21" t="str">
        <f t="shared" si="1"/>
        <v>6801</v>
      </c>
      <c r="C69" s="81">
        <f>IF(COUNTIF(レシピ一覧!$B:$B,ROW()-1),ROW()-1,"")</f>
        <v>68</v>
      </c>
      <c r="D69" s="15">
        <f>IF(E69="","",COUNTIF(レシピ一覧!$D$2:$D$500,使用レシピ!E69))</f>
        <v>2</v>
      </c>
      <c r="E69" s="57" t="str">
        <f>IFERROR( INDEX(レシピ一覧!$D:$D,MATCH(使用レシピ!$C69,レシピ一覧!$B:$B,0))&amp;"","")</f>
        <v>液体バイオ燃料</v>
      </c>
      <c r="F69" s="85" t="str">
        <f>IF($B69 = "","",INDEX(レシピ一覧!E:E,MATCH(使用レシピ!$B69,レシピ一覧!$A:$A,0))) &amp;""</f>
        <v>固体バイオ燃料</v>
      </c>
      <c r="G69" s="85" t="str">
        <f>IF($B69 = "","",INDEX(レシピ一覧!F:F,MATCH(使用レシピ!$B69,レシピ一覧!$A:$A,0))) &amp;""</f>
        <v>水</v>
      </c>
      <c r="H69" s="85" t="str">
        <f>IF($B69 = "","",INDEX(レシピ一覧!G:G,MATCH(使用レシピ!$B69,レシピ一覧!$A:$A,0))) &amp;""</f>
        <v/>
      </c>
      <c r="I69" s="85" t="str">
        <f>IF($B69 = "","",INDEX(レシピ一覧!H:H,MATCH(使用レシピ!$B69,レシピ一覧!$A:$A,0))) &amp;""</f>
        <v/>
      </c>
      <c r="J69" s="85" t="str">
        <f>IF($B69 = "","",INDEX(レシピ一覧!I:I,MATCH(使用レシピ!$B69,レシピ一覧!$A:$A,0))) &amp;""</f>
        <v/>
      </c>
      <c r="K69" s="85">
        <f>IFERROR((IF($B69 = "","",INDEX(レシピ一覧!J:J,MATCH(使用レシピ!$B69,レシピ一覧!$A:$A,0)))&amp;"")*1,"")</f>
        <v>6</v>
      </c>
      <c r="L69" s="85">
        <f>IFERROR((IF($B69 = "","",INDEX(レシピ一覧!K:K,MATCH(使用レシピ!$B69,レシピ一覧!$A:$A,0)))&amp;"")*1,"")</f>
        <v>3</v>
      </c>
      <c r="M69" s="85" t="str">
        <f>IFERROR((IF($B69 = "","",INDEX(レシピ一覧!L:L,MATCH(使用レシピ!$B69,レシピ一覧!$A:$A,0)))&amp;"")*1,"")</f>
        <v/>
      </c>
      <c r="N69" s="85" t="str">
        <f>IFERROR((IF($B69 = "","",INDEX(レシピ一覧!M:M,MATCH(使用レシピ!$B69,レシピ一覧!$A:$A,0)))&amp;"")*1,"")</f>
        <v/>
      </c>
      <c r="O69" s="85" t="str">
        <f>IFERROR((IF($B69 = "","",INDEX(レシピ一覧!N:N,MATCH(使用レシピ!$B69,レシピ一覧!$A:$A,0)))&amp;"")*1,"")</f>
        <v/>
      </c>
      <c r="P69" s="85">
        <f>IFERROR((IF($B69 = "","",INDEX(レシピ一覧!O:O,MATCH(使用レシピ!$B69,レシピ一覧!$A:$A,0)))&amp;"")*1,"")</f>
        <v>4</v>
      </c>
      <c r="Q69" s="86">
        <f>IFERROR((IF($B69 = "","",INDEX(レシピ一覧!P:P,MATCH(使用レシピ!$B69,レシピ一覧!$A:$A,0)))&amp;"")*1,"")</f>
        <v>60</v>
      </c>
    </row>
    <row r="70" spans="1:17" x14ac:dyDescent="0.4">
      <c r="A70" s="84">
        <v>1</v>
      </c>
      <c r="B70" s="21" t="str">
        <f t="shared" si="1"/>
        <v>6901</v>
      </c>
      <c r="C70" s="81">
        <f>IF(COUNTIF(レシピ一覧!$B:$B,ROW()-1),ROW()-1,"")</f>
        <v>69</v>
      </c>
      <c r="D70" s="15">
        <f>IF(E70="","",COUNTIF(レシピ一覧!$D$2:$D$500,使用レシピ!E70))</f>
        <v>5</v>
      </c>
      <c r="E70" s="57" t="str">
        <f>IFERROR( INDEX(レシピ一覧!$D:$D,MATCH(使用レシピ!$C70,レシピ一覧!$B:$B,0))&amp;"","")</f>
        <v>圧縮石炭</v>
      </c>
      <c r="F70" s="85" t="str">
        <f>IF($B70 = "","",INDEX(レシピ一覧!E:E,MATCH(使用レシピ!$B70,レシピ一覧!$A:$A,0))) &amp;""</f>
        <v>石炭</v>
      </c>
      <c r="G70" s="85" t="str">
        <f>IF($B70 = "","",INDEX(レシピ一覧!F:F,MATCH(使用レシピ!$B70,レシピ一覧!$A:$A,0))) &amp;""</f>
        <v>硫黄</v>
      </c>
      <c r="H70" s="85" t="str">
        <f>IF($B70 = "","",INDEX(レシピ一覧!G:G,MATCH(使用レシピ!$B70,レシピ一覧!$A:$A,0))) &amp;""</f>
        <v/>
      </c>
      <c r="I70" s="85" t="str">
        <f>IF($B70 = "","",INDEX(レシピ一覧!H:H,MATCH(使用レシピ!$B70,レシピ一覧!$A:$A,0))) &amp;""</f>
        <v/>
      </c>
      <c r="J70" s="85" t="str">
        <f>IF($B70 = "","",INDEX(レシピ一覧!I:I,MATCH(使用レシピ!$B70,レシピ一覧!$A:$A,0))) &amp;""</f>
        <v/>
      </c>
      <c r="K70" s="85">
        <f>IFERROR((IF($B70 = "","",INDEX(レシピ一覧!J:J,MATCH(使用レシピ!$B70,レシピ一覧!$A:$A,0)))&amp;"")*1,"")</f>
        <v>5</v>
      </c>
      <c r="L70" s="85">
        <f>IFERROR((IF($B70 = "","",INDEX(レシピ一覧!K:K,MATCH(使用レシピ!$B70,レシピ一覧!$A:$A,0)))&amp;"")*1,"")</f>
        <v>5</v>
      </c>
      <c r="M70" s="85" t="str">
        <f>IFERROR((IF($B70 = "","",INDEX(レシピ一覧!L:L,MATCH(使用レシピ!$B70,レシピ一覧!$A:$A,0)))&amp;"")*1,"")</f>
        <v/>
      </c>
      <c r="N70" s="85" t="str">
        <f>IFERROR((IF($B70 = "","",INDEX(レシピ一覧!M:M,MATCH(使用レシピ!$B70,レシピ一覧!$A:$A,0)))&amp;"")*1,"")</f>
        <v/>
      </c>
      <c r="O70" s="85" t="str">
        <f>IFERROR((IF($B70 = "","",INDEX(レシピ一覧!N:N,MATCH(使用レシピ!$B70,レシピ一覧!$A:$A,0)))&amp;"")*1,"")</f>
        <v/>
      </c>
      <c r="P70" s="85">
        <f>IFERROR((IF($B70 = "","",INDEX(レシピ一覧!O:O,MATCH(使用レシピ!$B70,レシピ一覧!$A:$A,0)))&amp;"")*1,"")</f>
        <v>5</v>
      </c>
      <c r="Q70" s="86">
        <f>IFERROR((IF($B70 = "","",INDEX(レシピ一覧!P:P,MATCH(使用レシピ!$B70,レシピ一覧!$A:$A,0)))&amp;"")*1,"")</f>
        <v>25</v>
      </c>
    </row>
    <row r="71" spans="1:17" x14ac:dyDescent="0.4">
      <c r="A71" s="84">
        <v>1</v>
      </c>
      <c r="B71" s="21" t="str">
        <f t="shared" si="1"/>
        <v>7001</v>
      </c>
      <c r="C71" s="81">
        <f>IF(COUNTIF(レシピ一覧!$B:$B,ROW()-1),ROW()-1,"")</f>
        <v>70</v>
      </c>
      <c r="D71" s="15">
        <f>IF(E71="","",COUNTIF(レシピ一覧!$D$2:$D$500,使用レシピ!E71))</f>
        <v>3</v>
      </c>
      <c r="E71" s="57" t="str">
        <f>IFERROR( INDEX(レシピ一覧!$D:$D,MATCH(使用レシピ!$C71,レシピ一覧!$B:$B,0))&amp;"","")</f>
        <v>コンピューター</v>
      </c>
      <c r="F71" s="85" t="str">
        <f>IF($B71 = "","",INDEX(レシピ一覧!E:E,MATCH(使用レシピ!$B71,レシピ一覧!$A:$A,0))) &amp;""</f>
        <v>回路基板</v>
      </c>
      <c r="G71" s="85" t="str">
        <f>IF($B71 = "","",INDEX(レシピ一覧!F:F,MATCH(使用レシピ!$B71,レシピ一覧!$A:$A,0))) &amp;""</f>
        <v>ケーブル</v>
      </c>
      <c r="H71" s="85" t="str">
        <f>IF($B71 = "","",INDEX(レシピ一覧!G:G,MATCH(使用レシピ!$B71,レシピ一覧!$A:$A,0))) &amp;""</f>
        <v>プラスチック</v>
      </c>
      <c r="I71" s="85" t="str">
        <f>IF($B71 = "","",INDEX(レシピ一覧!H:H,MATCH(使用レシピ!$B71,レシピ一覧!$A:$A,0))) &amp;""</f>
        <v/>
      </c>
      <c r="J71" s="85" t="str">
        <f>IF($B71 = "","",INDEX(レシピ一覧!I:I,MATCH(使用レシピ!$B71,レシピ一覧!$A:$A,0))) &amp;""</f>
        <v/>
      </c>
      <c r="K71" s="85">
        <f>IFERROR((IF($B71 = "","",INDEX(レシピ一覧!J:J,MATCH(使用レシピ!$B71,レシピ一覧!$A:$A,0)))&amp;"")*1,"")</f>
        <v>4</v>
      </c>
      <c r="L71" s="85">
        <f>IFERROR((IF($B71 = "","",INDEX(レシピ一覧!K:K,MATCH(使用レシピ!$B71,レシピ一覧!$A:$A,0)))&amp;"")*1,"")</f>
        <v>8</v>
      </c>
      <c r="M71" s="85">
        <f>IFERROR((IF($B71 = "","",INDEX(レシピ一覧!L:L,MATCH(使用レシピ!$B71,レシピ一覧!$A:$A,0)))&amp;"")*1,"")</f>
        <v>16</v>
      </c>
      <c r="N71" s="85" t="str">
        <f>IFERROR((IF($B71 = "","",INDEX(レシピ一覧!M:M,MATCH(使用レシピ!$B71,レシピ一覧!$A:$A,0)))&amp;"")*1,"")</f>
        <v/>
      </c>
      <c r="O71" s="85" t="str">
        <f>IFERROR((IF($B71 = "","",INDEX(レシピ一覧!N:N,MATCH(使用レシピ!$B71,レシピ一覧!$A:$A,0)))&amp;"")*1,"")</f>
        <v/>
      </c>
      <c r="P71" s="85">
        <f>IFERROR((IF($B71 = "","",INDEX(レシピ一覧!O:O,MATCH(使用レシピ!$B71,レシピ一覧!$A:$A,0)))&amp;"")*1,"")</f>
        <v>1</v>
      </c>
      <c r="Q71" s="86">
        <f>IFERROR((IF($B71 = "","",INDEX(レシピ一覧!P:P,MATCH(使用レシピ!$B71,レシピ一覧!$A:$A,0)))&amp;"")*1,"")</f>
        <v>2.5</v>
      </c>
    </row>
    <row r="72" spans="1:17" x14ac:dyDescent="0.4">
      <c r="A72" s="84">
        <v>1</v>
      </c>
      <c r="B72" s="21" t="str">
        <f t="shared" si="1"/>
        <v>7101</v>
      </c>
      <c r="C72" s="81">
        <f>IF(COUNTIF(レシピ一覧!$B:$B,ROW()-1),ROW()-1,"")</f>
        <v>71</v>
      </c>
      <c r="D72" s="15">
        <f>IF(E72="","",COUNTIF(レシピ一覧!$D$2:$D$500,使用レシピ!E72))</f>
        <v>3</v>
      </c>
      <c r="E72" s="57" t="str">
        <f>IFERROR( INDEX(レシピ一覧!$D:$D,MATCH(使用レシピ!$C72,レシピ一覧!$B:$B,0))&amp;"","")</f>
        <v>ヘビー・モジュラー・フレーム</v>
      </c>
      <c r="F72" s="85" t="str">
        <f>IF($B72 = "","",INDEX(レシピ一覧!E:E,MATCH(使用レシピ!$B72,レシピ一覧!$A:$A,0))) &amp;""</f>
        <v>モジュラー・フレーム</v>
      </c>
      <c r="G72" s="85" t="str">
        <f>IF($B72 = "","",INDEX(レシピ一覧!F:F,MATCH(使用レシピ!$B72,レシピ一覧!$A:$A,0))) &amp;""</f>
        <v>鋼管</v>
      </c>
      <c r="H72" s="85" t="str">
        <f>IF($B72 = "","",INDEX(レシピ一覧!G:G,MATCH(使用レシピ!$B72,レシピ一覧!$A:$A,0))) &amp;""</f>
        <v>コンクリート被覆型鋼梁</v>
      </c>
      <c r="I72" s="85" t="str">
        <f>IF($B72 = "","",INDEX(レシピ一覧!H:H,MATCH(使用レシピ!$B72,レシピ一覧!$A:$A,0))) &amp;""</f>
        <v>ネジ</v>
      </c>
      <c r="J72" s="85" t="str">
        <f>IF($B72 = "","",INDEX(レシピ一覧!I:I,MATCH(使用レシピ!$B72,レシピ一覧!$A:$A,0))) &amp;""</f>
        <v/>
      </c>
      <c r="K72" s="85">
        <f>IFERROR((IF($B72 = "","",INDEX(レシピ一覧!J:J,MATCH(使用レシピ!$B72,レシピ一覧!$A:$A,0)))&amp;"")*1,"")</f>
        <v>5</v>
      </c>
      <c r="L72" s="85">
        <f>IFERROR((IF($B72 = "","",INDEX(レシピ一覧!K:K,MATCH(使用レシピ!$B72,レシピ一覧!$A:$A,0)))&amp;"")*1,"")</f>
        <v>20</v>
      </c>
      <c r="M72" s="85">
        <f>IFERROR((IF($B72 = "","",INDEX(レシピ一覧!L:L,MATCH(使用レシピ!$B72,レシピ一覧!$A:$A,0)))&amp;"")*1,"")</f>
        <v>5</v>
      </c>
      <c r="N72" s="85">
        <f>IFERROR((IF($B72 = "","",INDEX(レシピ一覧!M:M,MATCH(使用レシピ!$B72,レシピ一覧!$A:$A,0)))&amp;"")*1,"")</f>
        <v>120</v>
      </c>
      <c r="O72" s="85" t="str">
        <f>IFERROR((IF($B72 = "","",INDEX(レシピ一覧!N:N,MATCH(使用レシピ!$B72,レシピ一覧!$A:$A,0)))&amp;"")*1,"")</f>
        <v/>
      </c>
      <c r="P72" s="85">
        <f>IFERROR((IF($B72 = "","",INDEX(レシピ一覧!O:O,MATCH(使用レシピ!$B72,レシピ一覧!$A:$A,0)))&amp;"")*1,"")</f>
        <v>1</v>
      </c>
      <c r="Q72" s="86">
        <f>IFERROR((IF($B72 = "","",INDEX(レシピ一覧!P:P,MATCH(使用レシピ!$B72,レシピ一覧!$A:$A,0)))&amp;"")*1,"")</f>
        <v>2</v>
      </c>
    </row>
    <row r="73" spans="1:17" x14ac:dyDescent="0.4">
      <c r="A73" s="84">
        <v>1</v>
      </c>
      <c r="B73" s="21" t="str">
        <f t="shared" si="1"/>
        <v>7201</v>
      </c>
      <c r="C73" s="81">
        <f>IF(COUNTIF(レシピ一覧!$B:$B,ROW()-1),ROW()-1,"")</f>
        <v>72</v>
      </c>
      <c r="D73" s="15">
        <f>IF(E73="","",COUNTIF(レシピ一覧!$D$2:$D$500,使用レシピ!E73))</f>
        <v>1</v>
      </c>
      <c r="E73" s="57" t="str">
        <f>IFERROR( INDEX(レシピ一覧!$D:$D,MATCH(使用レシピ!$C73,レシピ一覧!$B:$B,0))&amp;"","")</f>
        <v>モジュラーエンジン</v>
      </c>
      <c r="F73" s="85" t="str">
        <f>IF($B73 = "","",INDEX(レシピ一覧!E:E,MATCH(使用レシピ!$B73,レシピ一覧!$A:$A,0))) &amp;""</f>
        <v>モーター</v>
      </c>
      <c r="G73" s="85" t="str">
        <f>IF($B73 = "","",INDEX(レシピ一覧!F:F,MATCH(使用レシピ!$B73,レシピ一覧!$A:$A,0))) &amp;""</f>
        <v>ゴム</v>
      </c>
      <c r="H73" s="85" t="str">
        <f>IF($B73 = "","",INDEX(レシピ一覧!G:G,MATCH(使用レシピ!$B73,レシピ一覧!$A:$A,0))) &amp;""</f>
        <v>スマート・プレート</v>
      </c>
      <c r="I73" s="85" t="str">
        <f>IF($B73 = "","",INDEX(レシピ一覧!H:H,MATCH(使用レシピ!$B73,レシピ一覧!$A:$A,0))) &amp;""</f>
        <v/>
      </c>
      <c r="J73" s="85" t="str">
        <f>IF($B73 = "","",INDEX(レシピ一覧!I:I,MATCH(使用レシピ!$B73,レシピ一覧!$A:$A,0))) &amp;""</f>
        <v/>
      </c>
      <c r="K73" s="85">
        <f>IFERROR((IF($B73 = "","",INDEX(レシピ一覧!J:J,MATCH(使用レシピ!$B73,レシピ一覧!$A:$A,0)))&amp;"")*1,"")</f>
        <v>2</v>
      </c>
      <c r="L73" s="85">
        <f>IFERROR((IF($B73 = "","",INDEX(レシピ一覧!K:K,MATCH(使用レシピ!$B73,レシピ一覧!$A:$A,0)))&amp;"")*1,"")</f>
        <v>15</v>
      </c>
      <c r="M73" s="85">
        <f>IFERROR((IF($B73 = "","",INDEX(レシピ一覧!L:L,MATCH(使用レシピ!$B73,レシピ一覧!$A:$A,0)))&amp;"")*1,"")</f>
        <v>2</v>
      </c>
      <c r="N73" s="85" t="str">
        <f>IFERROR((IF($B73 = "","",INDEX(レシピ一覧!M:M,MATCH(使用レシピ!$B73,レシピ一覧!$A:$A,0)))&amp;"")*1,"")</f>
        <v/>
      </c>
      <c r="O73" s="85" t="str">
        <f>IFERROR((IF($B73 = "","",INDEX(レシピ一覧!N:N,MATCH(使用レシピ!$B73,レシピ一覧!$A:$A,0)))&amp;"")*1,"")</f>
        <v/>
      </c>
      <c r="P73" s="85">
        <f>IFERROR((IF($B73 = "","",INDEX(レシピ一覧!O:O,MATCH(使用レシピ!$B73,レシピ一覧!$A:$A,0)))&amp;"")*1,"")</f>
        <v>1</v>
      </c>
      <c r="Q73" s="86">
        <f>IFERROR((IF($B73 = "","",INDEX(レシピ一覧!P:P,MATCH(使用レシピ!$B73,レシピ一覧!$A:$A,0)))&amp;"")*1,"")</f>
        <v>1</v>
      </c>
    </row>
    <row r="74" spans="1:17" x14ac:dyDescent="0.4">
      <c r="A74" s="84">
        <v>1</v>
      </c>
      <c r="B74" s="21" t="str">
        <f t="shared" si="1"/>
        <v>7301</v>
      </c>
      <c r="C74" s="81">
        <f>IF(COUNTIF(レシピ一覧!$B:$B,ROW()-1),ROW()-1,"")</f>
        <v>73</v>
      </c>
      <c r="D74" s="15">
        <f>IF(E74="","",COUNTIF(レシピ一覧!$D$2:$D$500,使用レシピ!E74))</f>
        <v>1</v>
      </c>
      <c r="E74" s="57" t="str">
        <f>IFERROR( INDEX(レシピ一覧!$D:$D,MATCH(使用レシピ!$C74,レシピ一覧!$B:$B,0))&amp;"","")</f>
        <v>自律制御ユニット</v>
      </c>
      <c r="F74" s="85" t="str">
        <f>IF($B74 = "","",INDEX(レシピ一覧!E:E,MATCH(使用レシピ!$B74,レシピ一覧!$A:$A,0))) &amp;""</f>
        <v>自動ワイヤー</v>
      </c>
      <c r="G74" s="85" t="str">
        <f>IF($B74 = "","",INDEX(レシピ一覧!F:F,MATCH(使用レシピ!$B74,レシピ一覧!$A:$A,0))) &amp;""</f>
        <v>回路基板</v>
      </c>
      <c r="H74" s="85" t="str">
        <f>IF($B74 = "","",INDEX(レシピ一覧!G:G,MATCH(使用レシピ!$B74,レシピ一覧!$A:$A,0))) &amp;""</f>
        <v>ヘビー・モジュラー・フレーム</v>
      </c>
      <c r="I74" s="85" t="str">
        <f>IF($B74 = "","",INDEX(レシピ一覧!H:H,MATCH(使用レシピ!$B74,レシピ一覧!$A:$A,0))) &amp;""</f>
        <v>コンピューター</v>
      </c>
      <c r="J74" s="85" t="str">
        <f>IF($B74 = "","",INDEX(レシピ一覧!I:I,MATCH(使用レシピ!$B74,レシピ一覧!$A:$A,0))) &amp;""</f>
        <v/>
      </c>
      <c r="K74" s="85">
        <f>IFERROR((IF($B74 = "","",INDEX(レシピ一覧!J:J,MATCH(使用レシピ!$B74,レシピ一覧!$A:$A,0)))&amp;"")*1,"")</f>
        <v>5</v>
      </c>
      <c r="L74" s="85">
        <f>IFERROR((IF($B74 = "","",INDEX(レシピ一覧!K:K,MATCH(使用レシピ!$B74,レシピ一覧!$A:$A,0)))&amp;"")*1,"")</f>
        <v>5</v>
      </c>
      <c r="M74" s="85">
        <f>IFERROR((IF($B74 = "","",INDEX(レシピ一覧!L:L,MATCH(使用レシピ!$B74,レシピ一覧!$A:$A,0)))&amp;"")*1,"")</f>
        <v>1</v>
      </c>
      <c r="N74" s="85">
        <f>IFERROR((IF($B74 = "","",INDEX(レシピ一覧!M:M,MATCH(使用レシピ!$B74,レシピ一覧!$A:$A,0)))&amp;"")*1,"")</f>
        <v>2</v>
      </c>
      <c r="O74" s="85" t="str">
        <f>IFERROR((IF($B74 = "","",INDEX(レシピ一覧!N:N,MATCH(使用レシピ!$B74,レシピ一覧!$A:$A,0)))&amp;"")*1,"")</f>
        <v/>
      </c>
      <c r="P74" s="85">
        <f>IFERROR((IF($B74 = "","",INDEX(レシピ一覧!O:O,MATCH(使用レシピ!$B74,レシピ一覧!$A:$A,0)))&amp;"")*1,"")</f>
        <v>1</v>
      </c>
      <c r="Q74" s="86">
        <f>IFERROR((IF($B74 = "","",INDEX(レシピ一覧!P:P,MATCH(使用レシピ!$B74,レシピ一覧!$A:$A,0)))&amp;"")*1,"")</f>
        <v>1</v>
      </c>
    </row>
    <row r="75" spans="1:17" x14ac:dyDescent="0.4">
      <c r="A75" s="84">
        <v>1</v>
      </c>
      <c r="B75" s="21" t="str">
        <f t="shared" si="1"/>
        <v>7401</v>
      </c>
      <c r="C75" s="81">
        <f>IF(COUNTIF(レシピ一覧!$B:$B,ROW()-1),ROW()-1,"")</f>
        <v>74</v>
      </c>
      <c r="D75" s="15">
        <f>IF(E75="","",COUNTIF(レシピ一覧!$D$2:$D$500,使用レシピ!E75))</f>
        <v>1</v>
      </c>
      <c r="E75" s="57" t="str">
        <f>IFERROR( INDEX(レシピ一覧!$D:$D,MATCH(使用レシピ!$C75,レシピ一覧!$B:$B,0))&amp;"","")</f>
        <v>菌糸</v>
      </c>
      <c r="F75" s="85" t="str">
        <f>IF($B75 = "","",INDEX(レシピ一覧!E:E,MATCH(使用レシピ!$B75,レシピ一覧!$A:$A,0))) &amp;""</f>
        <v/>
      </c>
      <c r="G75" s="85" t="str">
        <f>IF($B75 = "","",INDEX(レシピ一覧!F:F,MATCH(使用レシピ!$B75,レシピ一覧!$A:$A,0))) &amp;""</f>
        <v/>
      </c>
      <c r="H75" s="85" t="str">
        <f>IF($B75 = "","",INDEX(レシピ一覧!G:G,MATCH(使用レシピ!$B75,レシピ一覧!$A:$A,0))) &amp;""</f>
        <v/>
      </c>
      <c r="I75" s="85" t="str">
        <f>IF($B75 = "","",INDEX(レシピ一覧!H:H,MATCH(使用レシピ!$B75,レシピ一覧!$A:$A,0))) &amp;""</f>
        <v/>
      </c>
      <c r="J75" s="85" t="str">
        <f>IF($B75 = "","",INDEX(レシピ一覧!I:I,MATCH(使用レシピ!$B75,レシピ一覧!$A:$A,0))) &amp;""</f>
        <v/>
      </c>
      <c r="K75" s="85" t="str">
        <f>IFERROR((IF($B75 = "","",INDEX(レシピ一覧!J:J,MATCH(使用レシピ!$B75,レシピ一覧!$A:$A,0)))&amp;"")*1,"")</f>
        <v/>
      </c>
      <c r="L75" s="85" t="str">
        <f>IFERROR((IF($B75 = "","",INDEX(レシピ一覧!K:K,MATCH(使用レシピ!$B75,レシピ一覧!$A:$A,0)))&amp;"")*1,"")</f>
        <v/>
      </c>
      <c r="M75" s="85" t="str">
        <f>IFERROR((IF($B75 = "","",INDEX(レシピ一覧!L:L,MATCH(使用レシピ!$B75,レシピ一覧!$A:$A,0)))&amp;"")*1,"")</f>
        <v/>
      </c>
      <c r="N75" s="85" t="str">
        <f>IFERROR((IF($B75 = "","",INDEX(レシピ一覧!M:M,MATCH(使用レシピ!$B75,レシピ一覧!$A:$A,0)))&amp;"")*1,"")</f>
        <v/>
      </c>
      <c r="O75" s="85" t="str">
        <f>IFERROR((IF($B75 = "","",INDEX(レシピ一覧!N:N,MATCH(使用レシピ!$B75,レシピ一覧!$A:$A,0)))&amp;"")*1,"")</f>
        <v/>
      </c>
      <c r="P75" s="85">
        <f>IFERROR((IF($B75 = "","",INDEX(レシピ一覧!O:O,MATCH(使用レシピ!$B75,レシピ一覧!$A:$A,0)))&amp;"")*1,"")</f>
        <v>1</v>
      </c>
      <c r="Q75" s="86">
        <f>IFERROR((IF($B75 = "","",INDEX(レシピ一覧!P:P,MATCH(使用レシピ!$B75,レシピ一覧!$A:$A,0)))&amp;"")*1,"")</f>
        <v>1</v>
      </c>
    </row>
    <row r="76" spans="1:17" x14ac:dyDescent="0.4">
      <c r="A76" s="84">
        <v>1</v>
      </c>
      <c r="B76" s="21" t="str">
        <f t="shared" si="1"/>
        <v>7501</v>
      </c>
      <c r="C76" s="81">
        <f>IF(COUNTIF(レシピ一覧!$B:$B,ROW()-1),ROW()-1,"")</f>
        <v>75</v>
      </c>
      <c r="D76" s="15">
        <f>IF(E76="","",COUNTIF(レシピ一覧!$D$2:$D$500,使用レシピ!E76))</f>
        <v>2</v>
      </c>
      <c r="E76" s="57" t="str">
        <f>IFERROR( INDEX(レシピ一覧!$D:$D,MATCH(使用レシピ!$C76,レシピ一覧!$B:$B,0))&amp;"","")</f>
        <v>布地</v>
      </c>
      <c r="F76" s="85" t="str">
        <f>IF($B76 = "","",INDEX(レシピ一覧!E:E,MATCH(使用レシピ!$B76,レシピ一覧!$A:$A,0))) &amp;""</f>
        <v>菌糸</v>
      </c>
      <c r="G76" s="85" t="str">
        <f>IF($B76 = "","",INDEX(レシピ一覧!F:F,MATCH(使用レシピ!$B76,レシピ一覧!$A:$A,0))) &amp;""</f>
        <v>バイオマス</v>
      </c>
      <c r="H76" s="85" t="str">
        <f>IF($B76 = "","",INDEX(レシピ一覧!G:G,MATCH(使用レシピ!$B76,レシピ一覧!$A:$A,0))) &amp;""</f>
        <v/>
      </c>
      <c r="I76" s="85" t="str">
        <f>IF($B76 = "","",INDEX(レシピ一覧!H:H,MATCH(使用レシピ!$B76,レシピ一覧!$A:$A,0))) &amp;""</f>
        <v/>
      </c>
      <c r="J76" s="85" t="str">
        <f>IF($B76 = "","",INDEX(レシピ一覧!I:I,MATCH(使用レシピ!$B76,レシピ一覧!$A:$A,0))) &amp;""</f>
        <v/>
      </c>
      <c r="K76" s="85">
        <f>IFERROR((IF($B76 = "","",INDEX(レシピ一覧!J:J,MATCH(使用レシピ!$B76,レシピ一覧!$A:$A,0)))&amp;"")*1,"")</f>
        <v>1</v>
      </c>
      <c r="L76" s="85">
        <f>IFERROR((IF($B76 = "","",INDEX(レシピ一覧!K:K,MATCH(使用レシピ!$B76,レシピ一覧!$A:$A,0)))&amp;"")*1,"")</f>
        <v>5</v>
      </c>
      <c r="M76" s="85" t="str">
        <f>IFERROR((IF($B76 = "","",INDEX(レシピ一覧!L:L,MATCH(使用レシピ!$B76,レシピ一覧!$A:$A,0)))&amp;"")*1,"")</f>
        <v/>
      </c>
      <c r="N76" s="85" t="str">
        <f>IFERROR((IF($B76 = "","",INDEX(レシピ一覧!M:M,MATCH(使用レシピ!$B76,レシピ一覧!$A:$A,0)))&amp;"")*1,"")</f>
        <v/>
      </c>
      <c r="O76" s="85" t="str">
        <f>IFERROR((IF($B76 = "","",INDEX(レシピ一覧!N:N,MATCH(使用レシピ!$B76,レシピ一覧!$A:$A,0)))&amp;"")*1,"")</f>
        <v/>
      </c>
      <c r="P76" s="85">
        <f>IFERROR((IF($B76 = "","",INDEX(レシピ一覧!O:O,MATCH(使用レシピ!$B76,レシピ一覧!$A:$A,0)))&amp;"")*1,"")</f>
        <v>1</v>
      </c>
      <c r="Q76" s="86">
        <f>IFERROR((IF($B76 = "","",INDEX(レシピ一覧!P:P,MATCH(使用レシピ!$B76,レシピ一覧!$A:$A,0)))&amp;"")*1,"")</f>
        <v>15</v>
      </c>
    </row>
    <row r="77" spans="1:17" x14ac:dyDescent="0.4">
      <c r="A77" s="84">
        <v>1</v>
      </c>
      <c r="B77" s="21" t="str">
        <f t="shared" si="1"/>
        <v>7601</v>
      </c>
      <c r="C77" s="81">
        <f>IF(COUNTIF(レシピ一覧!$B:$B,ROW()-1),ROW()-1,"")</f>
        <v>76</v>
      </c>
      <c r="D77" s="15">
        <f>IF(E77="","",COUNTIF(レシピ一覧!$D$2:$D$500,使用レシピ!E77))</f>
        <v>1</v>
      </c>
      <c r="E77" s="57" t="str">
        <f>IFERROR( INDEX(レシピ一覧!$D:$D,MATCH(使用レシピ!$C77,レシピ一覧!$B:$B,0))&amp;"","")</f>
        <v>ガスフィルター</v>
      </c>
      <c r="F77" s="85" t="str">
        <f>IF($B77 = "","",INDEX(レシピ一覧!E:E,MATCH(使用レシピ!$B77,レシピ一覧!$A:$A,0))) &amp;""</f>
        <v>布地</v>
      </c>
      <c r="G77" s="85" t="str">
        <f>IF($B77 = "","",INDEX(レシピ一覧!F:F,MATCH(使用レシピ!$B77,レシピ一覧!$A:$A,0))) &amp;""</f>
        <v>石炭</v>
      </c>
      <c r="H77" s="85" t="str">
        <f>IF($B77 = "","",INDEX(レシピ一覧!G:G,MATCH(使用レシピ!$B77,レシピ一覧!$A:$A,0))) &amp;""</f>
        <v>鉄板</v>
      </c>
      <c r="I77" s="85" t="str">
        <f>IF($B77 = "","",INDEX(レシピ一覧!H:H,MATCH(使用レシピ!$B77,レシピ一覧!$A:$A,0))) &amp;""</f>
        <v/>
      </c>
      <c r="J77" s="85" t="str">
        <f>IF($B77 = "","",INDEX(レシピ一覧!I:I,MATCH(使用レシピ!$B77,レシピ一覧!$A:$A,0))) &amp;""</f>
        <v/>
      </c>
      <c r="K77" s="85">
        <f>IFERROR((IF($B77 = "","",INDEX(レシピ一覧!J:J,MATCH(使用レシピ!$B77,レシピ一覧!$A:$A,0)))&amp;"")*1,"")</f>
        <v>2</v>
      </c>
      <c r="L77" s="85">
        <f>IFERROR((IF($B77 = "","",INDEX(レシピ一覧!K:K,MATCH(使用レシピ!$B77,レシピ一覧!$A:$A,0)))&amp;"")*1,"")</f>
        <v>4</v>
      </c>
      <c r="M77" s="85">
        <f>IFERROR((IF($B77 = "","",INDEX(レシピ一覧!L:L,MATCH(使用レシピ!$B77,レシピ一覧!$A:$A,0)))&amp;"")*1,"")</f>
        <v>2</v>
      </c>
      <c r="N77" s="85" t="str">
        <f>IFERROR((IF($B77 = "","",INDEX(レシピ一覧!M:M,MATCH(使用レシピ!$B77,レシピ一覧!$A:$A,0)))&amp;"")*1,"")</f>
        <v/>
      </c>
      <c r="O77" s="85" t="str">
        <f>IFERROR((IF($B77 = "","",INDEX(レシピ一覧!N:N,MATCH(使用レシピ!$B77,レシピ一覧!$A:$A,0)))&amp;"")*1,"")</f>
        <v/>
      </c>
      <c r="P77" s="85">
        <f>IFERROR((IF($B77 = "","",INDEX(レシピ一覧!O:O,MATCH(使用レシピ!$B77,レシピ一覧!$A:$A,0)))&amp;"")*1,"")</f>
        <v>1</v>
      </c>
      <c r="Q77" s="86">
        <f>IFERROR((IF($B77 = "","",INDEX(レシピ一覧!P:P,MATCH(使用レシピ!$B77,レシピ一覧!$A:$A,0)))&amp;"")*1,"")</f>
        <v>7.5</v>
      </c>
    </row>
    <row r="78" spans="1:17" x14ac:dyDescent="0.4">
      <c r="A78" s="84">
        <v>1</v>
      </c>
      <c r="B78" s="21" t="str">
        <f t="shared" si="1"/>
        <v>7701</v>
      </c>
      <c r="C78" s="81">
        <f>IF(COUNTIF(レシピ一覧!$B:$B,ROW()-1),ROW()-1,"")</f>
        <v>77</v>
      </c>
      <c r="D78" s="15">
        <f>IF(E78="","",COUNTIF(レシピ一覧!$D$2:$D$500,使用レシピ!E78))</f>
        <v>1</v>
      </c>
      <c r="E78" s="57" t="str">
        <f>IFERROR( INDEX(レシピ一覧!$D:$D,MATCH(使用レシピ!$C78,レシピ一覧!$B:$B,0))&amp;"","")</f>
        <v>エイリアンのDNAカプセル</v>
      </c>
      <c r="F78" s="85" t="str">
        <f>IF($B78 = "","",INDEX(レシピ一覧!E:E,MATCH(使用レシピ!$B78,レシピ一覧!$A:$A,0))) &amp;""</f>
        <v>エイリアンのタンパク質</v>
      </c>
      <c r="G78" s="85" t="str">
        <f>IF($B78 = "","",INDEX(レシピ一覧!F:F,MATCH(使用レシピ!$B78,レシピ一覧!$A:$A,0))) &amp;""</f>
        <v/>
      </c>
      <c r="H78" s="85" t="str">
        <f>IF($B78 = "","",INDEX(レシピ一覧!G:G,MATCH(使用レシピ!$B78,レシピ一覧!$A:$A,0))) &amp;""</f>
        <v/>
      </c>
      <c r="I78" s="85" t="str">
        <f>IF($B78 = "","",INDEX(レシピ一覧!H:H,MATCH(使用レシピ!$B78,レシピ一覧!$A:$A,0))) &amp;""</f>
        <v/>
      </c>
      <c r="J78" s="85" t="str">
        <f>IF($B78 = "","",INDEX(レシピ一覧!I:I,MATCH(使用レシピ!$B78,レシピ一覧!$A:$A,0))) &amp;""</f>
        <v/>
      </c>
      <c r="K78" s="85">
        <f>IFERROR((IF($B78 = "","",INDEX(レシピ一覧!J:J,MATCH(使用レシピ!$B78,レシピ一覧!$A:$A,0)))&amp;"")*1,"")</f>
        <v>1</v>
      </c>
      <c r="L78" s="85" t="str">
        <f>IFERROR((IF($B78 = "","",INDEX(レシピ一覧!K:K,MATCH(使用レシピ!$B78,レシピ一覧!$A:$A,0)))&amp;"")*1,"")</f>
        <v/>
      </c>
      <c r="M78" s="85" t="str">
        <f>IFERROR((IF($B78 = "","",INDEX(レシピ一覧!L:L,MATCH(使用レシピ!$B78,レシピ一覧!$A:$A,0)))&amp;"")*1,"")</f>
        <v/>
      </c>
      <c r="N78" s="85" t="str">
        <f>IFERROR((IF($B78 = "","",INDEX(レシピ一覧!M:M,MATCH(使用レシピ!$B78,レシピ一覧!$A:$A,0)))&amp;"")*1,"")</f>
        <v/>
      </c>
      <c r="O78" s="85" t="str">
        <f>IFERROR((IF($B78 = "","",INDEX(レシピ一覧!N:N,MATCH(使用レシピ!$B78,レシピ一覧!$A:$A,0)))&amp;"")*1,"")</f>
        <v/>
      </c>
      <c r="P78" s="85">
        <f>IFERROR((IF($B78 = "","",INDEX(レシピ一覧!O:O,MATCH(使用レシピ!$B78,レシピ一覧!$A:$A,0)))&amp;"")*1,"")</f>
        <v>1</v>
      </c>
      <c r="Q78" s="86">
        <f>IFERROR((IF($B78 = "","",INDEX(レシピ一覧!P:P,MATCH(使用レシピ!$B78,レシピ一覧!$A:$A,0)))&amp;"")*1,"")</f>
        <v>10</v>
      </c>
    </row>
    <row r="79" spans="1:17" x14ac:dyDescent="0.4">
      <c r="A79" s="84">
        <v>1</v>
      </c>
      <c r="B79" s="21" t="str">
        <f t="shared" si="1"/>
        <v>7801</v>
      </c>
      <c r="C79" s="81">
        <f>IF(COUNTIF(レシピ一覧!$B:$B,ROW()-1),ROW()-1,"")</f>
        <v>78</v>
      </c>
      <c r="D79" s="15">
        <f>IF(E79="","",COUNTIF(レシピ一覧!$D$2:$D$500,使用レシピ!E79))</f>
        <v>2</v>
      </c>
      <c r="E79" s="57" t="str">
        <f>IFERROR( INDEX(レシピ一覧!$D:$D,MATCH(使用レシピ!$C79,レシピ一覧!$B:$B,0))&amp;"","")</f>
        <v>高速コネクター</v>
      </c>
      <c r="F79" s="85" t="str">
        <f>IF($B79 = "","",INDEX(レシピ一覧!E:E,MATCH(使用レシピ!$B79,レシピ一覧!$A:$A,0))) &amp;""</f>
        <v>クイックワイヤー</v>
      </c>
      <c r="G79" s="85" t="str">
        <f>IF($B79 = "","",INDEX(レシピ一覧!F:F,MATCH(使用レシピ!$B79,レシピ一覧!$A:$A,0))) &amp;""</f>
        <v>ケーブル</v>
      </c>
      <c r="H79" s="85" t="str">
        <f>IF($B79 = "","",INDEX(レシピ一覧!G:G,MATCH(使用レシピ!$B79,レシピ一覧!$A:$A,0))) &amp;""</f>
        <v>回路基板</v>
      </c>
      <c r="I79" s="85" t="str">
        <f>IF($B79 = "","",INDEX(レシピ一覧!H:H,MATCH(使用レシピ!$B79,レシピ一覧!$A:$A,0))) &amp;""</f>
        <v/>
      </c>
      <c r="J79" s="85" t="str">
        <f>IF($B79 = "","",INDEX(レシピ一覧!I:I,MATCH(使用レシピ!$B79,レシピ一覧!$A:$A,0))) &amp;""</f>
        <v/>
      </c>
      <c r="K79" s="85">
        <f>IFERROR((IF($B79 = "","",INDEX(レシピ一覧!J:J,MATCH(使用レシピ!$B79,レシピ一覧!$A:$A,0)))&amp;"")*1,"")</f>
        <v>56</v>
      </c>
      <c r="L79" s="85">
        <f>IFERROR((IF($B79 = "","",INDEX(レシピ一覧!K:K,MATCH(使用レシピ!$B79,レシピ一覧!$A:$A,0)))&amp;"")*1,"")</f>
        <v>10</v>
      </c>
      <c r="M79" s="85">
        <f>IFERROR((IF($B79 = "","",INDEX(レシピ一覧!L:L,MATCH(使用レシピ!$B79,レシピ一覧!$A:$A,0)))&amp;"")*1,"")</f>
        <v>1</v>
      </c>
      <c r="N79" s="85" t="str">
        <f>IFERROR((IF($B79 = "","",INDEX(レシピ一覧!M:M,MATCH(使用レシピ!$B79,レシピ一覧!$A:$A,0)))&amp;"")*1,"")</f>
        <v/>
      </c>
      <c r="O79" s="85" t="str">
        <f>IFERROR((IF($B79 = "","",INDEX(レシピ一覧!N:N,MATCH(使用レシピ!$B79,レシピ一覧!$A:$A,0)))&amp;"")*1,"")</f>
        <v/>
      </c>
      <c r="P79" s="85">
        <f>IFERROR((IF($B79 = "","",INDEX(レシピ一覧!O:O,MATCH(使用レシピ!$B79,レシピ一覧!$A:$A,0)))&amp;"")*1,"")</f>
        <v>1</v>
      </c>
      <c r="Q79" s="86">
        <f>IFERROR((IF($B79 = "","",INDEX(レシピ一覧!P:P,MATCH(使用レシピ!$B79,レシピ一覧!$A:$A,0)))&amp;"")*1,"")</f>
        <v>3.75</v>
      </c>
    </row>
    <row r="80" spans="1:17" x14ac:dyDescent="0.4">
      <c r="A80" s="84">
        <v>1</v>
      </c>
      <c r="B80" s="21" t="str">
        <f t="shared" si="1"/>
        <v>7901</v>
      </c>
      <c r="C80" s="81">
        <f>IF(COUNTIF(レシピ一覧!$B:$B,ROW()-1),ROW()-1,"")</f>
        <v>79</v>
      </c>
      <c r="D80" s="15">
        <f>IF(E80="","",COUNTIF(レシピ一覧!$D$2:$D$500,使用レシピ!E80))</f>
        <v>1</v>
      </c>
      <c r="E80" s="57" t="str">
        <f>IFERROR( INDEX(レシピ一覧!$D:$D,MATCH(使用レシピ!$C80,レシピ一覧!$B:$B,0))&amp;"","")</f>
        <v>無煙火薬</v>
      </c>
      <c r="F80" s="85" t="str">
        <f>IF($B80 = "","",INDEX(レシピ一覧!E:E,MATCH(使用レシピ!$B80,レシピ一覧!$A:$A,0))) &amp;""</f>
        <v>黒色火薬</v>
      </c>
      <c r="G80" s="85" t="str">
        <f>IF($B80 = "","",INDEX(レシピ一覧!F:F,MATCH(使用レシピ!$B80,レシピ一覧!$A:$A,0))) &amp;""</f>
        <v>廃重油</v>
      </c>
      <c r="H80" s="85" t="str">
        <f>IF($B80 = "","",INDEX(レシピ一覧!G:G,MATCH(使用レシピ!$B80,レシピ一覧!$A:$A,0))) &amp;""</f>
        <v/>
      </c>
      <c r="I80" s="85" t="str">
        <f>IF($B80 = "","",INDEX(レシピ一覧!H:H,MATCH(使用レシピ!$B80,レシピ一覧!$A:$A,0))) &amp;""</f>
        <v/>
      </c>
      <c r="J80" s="85" t="str">
        <f>IF($B80 = "","",INDEX(レシピ一覧!I:I,MATCH(使用レシピ!$B80,レシピ一覧!$A:$A,0))) &amp;""</f>
        <v/>
      </c>
      <c r="K80" s="85">
        <f>IFERROR((IF($B80 = "","",INDEX(レシピ一覧!J:J,MATCH(使用レシピ!$B80,レシピ一覧!$A:$A,0)))&amp;"")*1,"")</f>
        <v>2</v>
      </c>
      <c r="L80" s="85">
        <f>IFERROR((IF($B80 = "","",INDEX(レシピ一覧!K:K,MATCH(使用レシピ!$B80,レシピ一覧!$A:$A,0)))&amp;"")*1,"")</f>
        <v>1</v>
      </c>
      <c r="M80" s="85" t="str">
        <f>IFERROR((IF($B80 = "","",INDEX(レシピ一覧!L:L,MATCH(使用レシピ!$B80,レシピ一覧!$A:$A,0)))&amp;"")*1,"")</f>
        <v/>
      </c>
      <c r="N80" s="85" t="str">
        <f>IFERROR((IF($B80 = "","",INDEX(レシピ一覧!M:M,MATCH(使用レシピ!$B80,レシピ一覧!$A:$A,0)))&amp;"")*1,"")</f>
        <v/>
      </c>
      <c r="O80" s="85" t="str">
        <f>IFERROR((IF($B80 = "","",INDEX(レシピ一覧!N:N,MATCH(使用レシピ!$B80,レシピ一覧!$A:$A,0)))&amp;"")*1,"")</f>
        <v/>
      </c>
      <c r="P80" s="85">
        <f>IFERROR((IF($B80 = "","",INDEX(レシピ一覧!O:O,MATCH(使用レシピ!$B80,レシピ一覧!$A:$A,0)))&amp;"")*1,"")</f>
        <v>2</v>
      </c>
      <c r="Q80" s="86">
        <f>IFERROR((IF($B80 = "","",INDEX(レシピ一覧!P:P,MATCH(使用レシピ!$B80,レシピ一覧!$A:$A,0)))&amp;"")*1,"")</f>
        <v>20</v>
      </c>
    </row>
    <row r="81" spans="1:17" x14ac:dyDescent="0.4">
      <c r="A81" s="84">
        <v>1</v>
      </c>
      <c r="B81" s="21" t="str">
        <f t="shared" si="1"/>
        <v>8001</v>
      </c>
      <c r="C81" s="81">
        <f>IF(COUNTIF(レシピ一覧!$B:$B,ROW()-1),ROW()-1,"")</f>
        <v>80</v>
      </c>
      <c r="D81" s="15">
        <f>IF(E81="","",COUNTIF(レシピ一覧!$D$2:$D$500,使用レシピ!E81))</f>
        <v>3</v>
      </c>
      <c r="E81" s="57" t="str">
        <f>IFERROR( INDEX(レシピ一覧!$D:$D,MATCH(使用レシピ!$C81,レシピ一覧!$B:$B,0))&amp;"","")</f>
        <v>アルミナ溶液</v>
      </c>
      <c r="F81" s="85" t="str">
        <f>IF($B81 = "","",INDEX(レシピ一覧!E:E,MATCH(使用レシピ!$B81,レシピ一覧!$A:$A,0))) &amp;""</f>
        <v>ボーキサイト</v>
      </c>
      <c r="G81" s="85" t="str">
        <f>IF($B81 = "","",INDEX(レシピ一覧!F:F,MATCH(使用レシピ!$B81,レシピ一覧!$A:$A,0))) &amp;""</f>
        <v>水</v>
      </c>
      <c r="H81" s="85" t="str">
        <f>IF($B81 = "","",INDEX(レシピ一覧!G:G,MATCH(使用レシピ!$B81,レシピ一覧!$A:$A,0))) &amp;""</f>
        <v/>
      </c>
      <c r="I81" s="85" t="str">
        <f>IF($B81 = "","",INDEX(レシピ一覧!H:H,MATCH(使用レシピ!$B81,レシピ一覧!$A:$A,0))) &amp;""</f>
        <v/>
      </c>
      <c r="J81" s="85" t="str">
        <f>IF($B81 = "","",INDEX(レシピ一覧!I:I,MATCH(使用レシピ!$B81,レシピ一覧!$A:$A,0))) &amp;""</f>
        <v>シリカ</v>
      </c>
      <c r="K81" s="85">
        <f>IFERROR((IF($B81 = "","",INDEX(レシピ一覧!J:J,MATCH(使用レシピ!$B81,レシピ一覧!$A:$A,0)))&amp;"")*1,"")</f>
        <v>12</v>
      </c>
      <c r="L81" s="85">
        <f>IFERROR((IF($B81 = "","",INDEX(レシピ一覧!K:K,MATCH(使用レシピ!$B81,レシピ一覧!$A:$A,0)))&amp;"")*1,"")</f>
        <v>18</v>
      </c>
      <c r="M81" s="85" t="str">
        <f>IFERROR((IF($B81 = "","",INDEX(レシピ一覧!L:L,MATCH(使用レシピ!$B81,レシピ一覧!$A:$A,0)))&amp;"")*1,"")</f>
        <v/>
      </c>
      <c r="N81" s="85" t="str">
        <f>IFERROR((IF($B81 = "","",INDEX(レシピ一覧!M:M,MATCH(使用レシピ!$B81,レシピ一覧!$A:$A,0)))&amp;"")*1,"")</f>
        <v/>
      </c>
      <c r="O81" s="85">
        <f>IFERROR((IF($B81 = "","",INDEX(レシピ一覧!N:N,MATCH(使用レシピ!$B81,レシピ一覧!$A:$A,0)))&amp;"")*1,"")</f>
        <v>5</v>
      </c>
      <c r="P81" s="85">
        <f>IFERROR((IF($B81 = "","",INDEX(レシピ一覧!O:O,MATCH(使用レシピ!$B81,レシピ一覧!$A:$A,0)))&amp;"")*1,"")</f>
        <v>12</v>
      </c>
      <c r="Q81" s="86">
        <f>IFERROR((IF($B81 = "","",INDEX(レシピ一覧!P:P,MATCH(使用レシピ!$B81,レシピ一覧!$A:$A,0)))&amp;"")*1,"")</f>
        <v>120</v>
      </c>
    </row>
    <row r="82" spans="1:17" x14ac:dyDescent="0.4">
      <c r="A82" s="84">
        <v>1</v>
      </c>
      <c r="B82" s="21" t="str">
        <f t="shared" si="1"/>
        <v>8101</v>
      </c>
      <c r="C82" s="81">
        <f>IF(COUNTIF(レシピ一覧!$B:$B,ROW()-1),ROW()-1,"")</f>
        <v>81</v>
      </c>
      <c r="D82" s="15">
        <f>IF(E82="","",COUNTIF(レシピ一覧!$D$2:$D$500,使用レシピ!E82))</f>
        <v>3</v>
      </c>
      <c r="E82" s="57" t="str">
        <f>IFERROR( INDEX(レシピ一覧!$D:$D,MATCH(使用レシピ!$C82,レシピ一覧!$B:$B,0))&amp;"","")</f>
        <v>ボーキサイト</v>
      </c>
      <c r="F82" s="85" t="str">
        <f>IF($B82 = "","",INDEX(レシピ一覧!E:E,MATCH(使用レシピ!$B82,レシピ一覧!$A:$A,0))) &amp;""</f>
        <v/>
      </c>
      <c r="G82" s="85" t="str">
        <f>IF($B82 = "","",INDEX(レシピ一覧!F:F,MATCH(使用レシピ!$B82,レシピ一覧!$A:$A,0))) &amp;""</f>
        <v/>
      </c>
      <c r="H82" s="85" t="str">
        <f>IF($B82 = "","",INDEX(レシピ一覧!G:G,MATCH(使用レシピ!$B82,レシピ一覧!$A:$A,0))) &amp;""</f>
        <v/>
      </c>
      <c r="I82" s="85" t="str">
        <f>IF($B82 = "","",INDEX(レシピ一覧!H:H,MATCH(使用レシピ!$B82,レシピ一覧!$A:$A,0))) &amp;""</f>
        <v/>
      </c>
      <c r="J82" s="85" t="str">
        <f>IF($B82 = "","",INDEX(レシピ一覧!I:I,MATCH(使用レシピ!$B82,レシピ一覧!$A:$A,0))) &amp;""</f>
        <v/>
      </c>
      <c r="K82" s="85" t="str">
        <f>IFERROR((IF($B82 = "","",INDEX(レシピ一覧!J:J,MATCH(使用レシピ!$B82,レシピ一覧!$A:$A,0)))&amp;"")*1,"")</f>
        <v/>
      </c>
      <c r="L82" s="85" t="str">
        <f>IFERROR((IF($B82 = "","",INDEX(レシピ一覧!K:K,MATCH(使用レシピ!$B82,レシピ一覧!$A:$A,0)))&amp;"")*1,"")</f>
        <v/>
      </c>
      <c r="M82" s="85" t="str">
        <f>IFERROR((IF($B82 = "","",INDEX(レシピ一覧!L:L,MATCH(使用レシピ!$B82,レシピ一覧!$A:$A,0)))&amp;"")*1,"")</f>
        <v/>
      </c>
      <c r="N82" s="85" t="str">
        <f>IFERROR((IF($B82 = "","",INDEX(レシピ一覧!M:M,MATCH(使用レシピ!$B82,レシピ一覧!$A:$A,0)))&amp;"")*1,"")</f>
        <v/>
      </c>
      <c r="O82" s="85" t="str">
        <f>IFERROR((IF($B82 = "","",INDEX(レシピ一覧!N:N,MATCH(使用レシピ!$B82,レシピ一覧!$A:$A,0)))&amp;"")*1,"")</f>
        <v/>
      </c>
      <c r="P82" s="85">
        <f>IFERROR((IF($B82 = "","",INDEX(レシピ一覧!O:O,MATCH(使用レシピ!$B82,レシピ一覧!$A:$A,0)))&amp;"")*1,"")</f>
        <v>1</v>
      </c>
      <c r="Q82" s="86">
        <f>IFERROR((IF($B82 = "","",INDEX(レシピ一覧!P:P,MATCH(使用レシピ!$B82,レシピ一覧!$A:$A,0)))&amp;"")*1,"")</f>
        <v>1200</v>
      </c>
    </row>
    <row r="83" spans="1:17" x14ac:dyDescent="0.4">
      <c r="A83" s="84">
        <v>1</v>
      </c>
      <c r="B83" s="21" t="str">
        <f t="shared" si="1"/>
        <v>8201</v>
      </c>
      <c r="C83" s="81">
        <f>IF(COUNTIF(レシピ一覧!$B:$B,ROW()-1),ROW()-1,"")</f>
        <v>82</v>
      </c>
      <c r="D83" s="15">
        <f>IF(E83="","",COUNTIF(レシピ一覧!$D$2:$D$500,使用レシピ!E83))</f>
        <v>1</v>
      </c>
      <c r="E83" s="57" t="str">
        <f>IFERROR( INDEX(レシピ一覧!$D:$D,MATCH(使用レシピ!$C83,レシピ一覧!$B:$B,0))&amp;"","")</f>
        <v>包装済みアルミナ溶液</v>
      </c>
      <c r="F83" s="85" t="str">
        <f>IF($B83 = "","",INDEX(レシピ一覧!E:E,MATCH(使用レシピ!$B83,レシピ一覧!$A:$A,0))) &amp;""</f>
        <v>空の容器</v>
      </c>
      <c r="G83" s="85" t="str">
        <f>IF($B83 = "","",INDEX(レシピ一覧!F:F,MATCH(使用レシピ!$B83,レシピ一覧!$A:$A,0))) &amp;""</f>
        <v>アルミナ溶液</v>
      </c>
      <c r="H83" s="85" t="str">
        <f>IF($B83 = "","",INDEX(レシピ一覧!G:G,MATCH(使用レシピ!$B83,レシピ一覧!$A:$A,0))) &amp;""</f>
        <v/>
      </c>
      <c r="I83" s="85" t="str">
        <f>IF($B83 = "","",INDEX(レシピ一覧!H:H,MATCH(使用レシピ!$B83,レシピ一覧!$A:$A,0))) &amp;""</f>
        <v/>
      </c>
      <c r="J83" s="85" t="str">
        <f>IF($B83 = "","",INDEX(レシピ一覧!I:I,MATCH(使用レシピ!$B83,レシピ一覧!$A:$A,0))) &amp;""</f>
        <v/>
      </c>
      <c r="K83" s="85">
        <f>IFERROR((IF($B83 = "","",INDEX(レシピ一覧!J:J,MATCH(使用レシピ!$B83,レシピ一覧!$A:$A,0)))&amp;"")*1,"")</f>
        <v>2</v>
      </c>
      <c r="L83" s="85">
        <f>IFERROR((IF($B83 = "","",INDEX(レシピ一覧!K:K,MATCH(使用レシピ!$B83,レシピ一覧!$A:$A,0)))&amp;"")*1,"")</f>
        <v>2</v>
      </c>
      <c r="M83" s="85" t="str">
        <f>IFERROR((IF($B83 = "","",INDEX(レシピ一覧!L:L,MATCH(使用レシピ!$B83,レシピ一覧!$A:$A,0)))&amp;"")*1,"")</f>
        <v/>
      </c>
      <c r="N83" s="85" t="str">
        <f>IFERROR((IF($B83 = "","",INDEX(レシピ一覧!M:M,MATCH(使用レシピ!$B83,レシピ一覧!$A:$A,0)))&amp;"")*1,"")</f>
        <v/>
      </c>
      <c r="O83" s="85" t="str">
        <f>IFERROR((IF($B83 = "","",INDEX(レシピ一覧!N:N,MATCH(使用レシピ!$B83,レシピ一覧!$A:$A,0)))&amp;"")*1,"")</f>
        <v/>
      </c>
      <c r="P83" s="85">
        <f>IFERROR((IF($B83 = "","",INDEX(レシピ一覧!O:O,MATCH(使用レシピ!$B83,レシピ一覧!$A:$A,0)))&amp;"")*1,"")</f>
        <v>2</v>
      </c>
      <c r="Q83" s="86">
        <f>IFERROR((IF($B83 = "","",INDEX(レシピ一覧!P:P,MATCH(使用レシピ!$B83,レシピ一覧!$A:$A,0)))&amp;"")*1,"")</f>
        <v>120</v>
      </c>
    </row>
    <row r="84" spans="1:17" x14ac:dyDescent="0.4">
      <c r="A84" s="84">
        <v>1</v>
      </c>
      <c r="B84" s="21" t="str">
        <f t="shared" si="1"/>
        <v>8301</v>
      </c>
      <c r="C84" s="81">
        <f>IF(COUNTIF(レシピ一覧!$B:$B,ROW()-1),ROW()-1,"")</f>
        <v>83</v>
      </c>
      <c r="D84" s="15">
        <f>IF(E84="","",COUNTIF(レシピ一覧!$D$2:$D$500,使用レシピ!E84))</f>
        <v>3</v>
      </c>
      <c r="E84" s="57" t="str">
        <f>IFERROR( INDEX(レシピ一覧!$D:$D,MATCH(使用レシピ!$C84,レシピ一覧!$B:$B,0))&amp;"","")</f>
        <v>アルミのスクラップ</v>
      </c>
      <c r="F84" s="85" t="str">
        <f>IF($B84 = "","",INDEX(レシピ一覧!E:E,MATCH(使用レシピ!$B84,レシピ一覧!$A:$A,0))) &amp;""</f>
        <v>アルミナ溶液</v>
      </c>
      <c r="G84" s="85" t="str">
        <f>IF($B84 = "","",INDEX(レシピ一覧!F:F,MATCH(使用レシピ!$B84,レシピ一覧!$A:$A,0))) &amp;""</f>
        <v>石炭</v>
      </c>
      <c r="H84" s="85" t="str">
        <f>IF($B84 = "","",INDEX(レシピ一覧!G:G,MATCH(使用レシピ!$B84,レシピ一覧!$A:$A,0))) &amp;""</f>
        <v/>
      </c>
      <c r="I84" s="85" t="str">
        <f>IF($B84 = "","",INDEX(レシピ一覧!H:H,MATCH(使用レシピ!$B84,レシピ一覧!$A:$A,0))) &amp;""</f>
        <v/>
      </c>
      <c r="J84" s="85" t="str">
        <f>IF($B84 = "","",INDEX(レシピ一覧!I:I,MATCH(使用レシピ!$B84,レシピ一覧!$A:$A,0))) &amp;""</f>
        <v>水</v>
      </c>
      <c r="K84" s="85">
        <f>IFERROR((IF($B84 = "","",INDEX(レシピ一覧!J:J,MATCH(使用レシピ!$B84,レシピ一覧!$A:$A,0)))&amp;"")*1,"")</f>
        <v>4</v>
      </c>
      <c r="L84" s="85">
        <f>IFERROR((IF($B84 = "","",INDEX(レシピ一覧!K:K,MATCH(使用レシピ!$B84,レシピ一覧!$A:$A,0)))&amp;"")*1,"")</f>
        <v>2</v>
      </c>
      <c r="M84" s="85" t="str">
        <f>IFERROR((IF($B84 = "","",INDEX(レシピ一覧!L:L,MATCH(使用レシピ!$B84,レシピ一覧!$A:$A,0)))&amp;"")*1,"")</f>
        <v/>
      </c>
      <c r="N84" s="85" t="str">
        <f>IFERROR((IF($B84 = "","",INDEX(レシピ一覧!M:M,MATCH(使用レシピ!$B84,レシピ一覧!$A:$A,0)))&amp;"")*1,"")</f>
        <v/>
      </c>
      <c r="O84" s="85">
        <f>IFERROR((IF($B84 = "","",INDEX(レシピ一覧!N:N,MATCH(使用レシピ!$B84,レシピ一覧!$A:$A,0)))&amp;"")*1,"")</f>
        <v>2</v>
      </c>
      <c r="P84" s="85">
        <f>IFERROR((IF($B84 = "","",INDEX(レシピ一覧!O:O,MATCH(使用レシピ!$B84,レシピ一覧!$A:$A,0)))&amp;"")*1,"")</f>
        <v>6</v>
      </c>
      <c r="Q84" s="86">
        <f>IFERROR((IF($B84 = "","",INDEX(レシピ一覧!P:P,MATCH(使用レシピ!$B84,レシピ一覧!$A:$A,0)))&amp;"")*1,"")</f>
        <v>360</v>
      </c>
    </row>
    <row r="85" spans="1:17" x14ac:dyDescent="0.4">
      <c r="A85" s="84">
        <v>1</v>
      </c>
      <c r="B85" s="21" t="str">
        <f t="shared" si="1"/>
        <v>8401</v>
      </c>
      <c r="C85" s="81">
        <f>IF(COUNTIF(レシピ一覧!$B:$B,ROW()-1),ROW()-1,"")</f>
        <v>84</v>
      </c>
      <c r="D85" s="15">
        <f>IF(E85="","",COUNTIF(レシピ一覧!$D$2:$D$500,使用レシピ!E85))</f>
        <v>2</v>
      </c>
      <c r="E85" s="57" t="str">
        <f>IFERROR( INDEX(レシピ一覧!$D:$D,MATCH(使用レシピ!$C85,レシピ一覧!$B:$B,0))&amp;"","")</f>
        <v>アルミのインゴット</v>
      </c>
      <c r="F85" s="85" t="str">
        <f>IF($B85 = "","",INDEX(レシピ一覧!E:E,MATCH(使用レシピ!$B85,レシピ一覧!$A:$A,0))) &amp;""</f>
        <v>アルミのスクラップ</v>
      </c>
      <c r="G85" s="85" t="str">
        <f>IF($B85 = "","",INDEX(レシピ一覧!F:F,MATCH(使用レシピ!$B85,レシピ一覧!$A:$A,0))) &amp;""</f>
        <v>シリカ</v>
      </c>
      <c r="H85" s="85" t="str">
        <f>IF($B85 = "","",INDEX(レシピ一覧!G:G,MATCH(使用レシピ!$B85,レシピ一覧!$A:$A,0))) &amp;""</f>
        <v/>
      </c>
      <c r="I85" s="85" t="str">
        <f>IF($B85 = "","",INDEX(レシピ一覧!H:H,MATCH(使用レシピ!$B85,レシピ一覧!$A:$A,0))) &amp;""</f>
        <v/>
      </c>
      <c r="J85" s="85" t="str">
        <f>IF($B85 = "","",INDEX(レシピ一覧!I:I,MATCH(使用レシピ!$B85,レシピ一覧!$A:$A,0))) &amp;""</f>
        <v/>
      </c>
      <c r="K85" s="85">
        <f>IFERROR((IF($B85 = "","",INDEX(レシピ一覧!J:J,MATCH(使用レシピ!$B85,レシピ一覧!$A:$A,0)))&amp;"")*1,"")</f>
        <v>6</v>
      </c>
      <c r="L85" s="85">
        <f>IFERROR((IF($B85 = "","",INDEX(レシピ一覧!K:K,MATCH(使用レシピ!$B85,レシピ一覧!$A:$A,0)))&amp;"")*1,"")</f>
        <v>5</v>
      </c>
      <c r="M85" s="85" t="str">
        <f>IFERROR((IF($B85 = "","",INDEX(レシピ一覧!L:L,MATCH(使用レシピ!$B85,レシピ一覧!$A:$A,0)))&amp;"")*1,"")</f>
        <v/>
      </c>
      <c r="N85" s="85" t="str">
        <f>IFERROR((IF($B85 = "","",INDEX(レシピ一覧!M:M,MATCH(使用レシピ!$B85,レシピ一覧!$A:$A,0)))&amp;"")*1,"")</f>
        <v/>
      </c>
      <c r="O85" s="85" t="str">
        <f>IFERROR((IF($B85 = "","",INDEX(レシピ一覧!N:N,MATCH(使用レシピ!$B85,レシピ一覧!$A:$A,0)))&amp;"")*1,"")</f>
        <v/>
      </c>
      <c r="P85" s="85">
        <f>IFERROR((IF($B85 = "","",INDEX(レシピ一覧!O:O,MATCH(使用レシピ!$B85,レシピ一覧!$A:$A,0)))&amp;"")*1,"")</f>
        <v>4</v>
      </c>
      <c r="Q85" s="86">
        <f>IFERROR((IF($B85 = "","",INDEX(レシピ一覧!P:P,MATCH(使用レシピ!$B85,レシピ一覧!$A:$A,0)))&amp;"")*1,"")</f>
        <v>60</v>
      </c>
    </row>
    <row r="86" spans="1:17" x14ac:dyDescent="0.4">
      <c r="A86" s="84">
        <v>1</v>
      </c>
      <c r="B86" s="21" t="str">
        <f t="shared" si="1"/>
        <v>8501</v>
      </c>
      <c r="C86" s="81">
        <f>IF(COUNTIF(レシピ一覧!$B:$B,ROW()-1),ROW()-1,"")</f>
        <v>85</v>
      </c>
      <c r="D86" s="15">
        <f>IF(E86="","",COUNTIF(レシピ一覧!$D$2:$D$500,使用レシピ!E86))</f>
        <v>1</v>
      </c>
      <c r="E86" s="57" t="str">
        <f>IFERROR( INDEX(レシピ一覧!$D:$D,MATCH(使用レシピ!$C86,レシピ一覧!$B:$B,0))&amp;"","")</f>
        <v>アルクラッド・アルミシート</v>
      </c>
      <c r="F86" s="85" t="str">
        <f>IF($B86 = "","",INDEX(レシピ一覧!E:E,MATCH(使用レシピ!$B86,レシピ一覧!$A:$A,0))) &amp;""</f>
        <v>アルミのインゴット</v>
      </c>
      <c r="G86" s="85" t="str">
        <f>IF($B86 = "","",INDEX(レシピ一覧!F:F,MATCH(使用レシピ!$B86,レシピ一覧!$A:$A,0))) &amp;""</f>
        <v>銅のインゴット</v>
      </c>
      <c r="H86" s="85" t="str">
        <f>IF($B86 = "","",INDEX(レシピ一覧!G:G,MATCH(使用レシピ!$B86,レシピ一覧!$A:$A,0))) &amp;""</f>
        <v/>
      </c>
      <c r="I86" s="85" t="str">
        <f>IF($B86 = "","",INDEX(レシピ一覧!H:H,MATCH(使用レシピ!$B86,レシピ一覧!$A:$A,0))) &amp;""</f>
        <v/>
      </c>
      <c r="J86" s="85" t="str">
        <f>IF($B86 = "","",INDEX(レシピ一覧!I:I,MATCH(使用レシピ!$B86,レシピ一覧!$A:$A,0))) &amp;""</f>
        <v/>
      </c>
      <c r="K86" s="85">
        <f>IFERROR((IF($B86 = "","",INDEX(レシピ一覧!J:J,MATCH(使用レシピ!$B86,レシピ一覧!$A:$A,0)))&amp;"")*1,"")</f>
        <v>3</v>
      </c>
      <c r="L86" s="85">
        <f>IFERROR((IF($B86 = "","",INDEX(レシピ一覧!K:K,MATCH(使用レシピ!$B86,レシピ一覧!$A:$A,0)))&amp;"")*1,"")</f>
        <v>1</v>
      </c>
      <c r="M86" s="85" t="str">
        <f>IFERROR((IF($B86 = "","",INDEX(レシピ一覧!L:L,MATCH(使用レシピ!$B86,レシピ一覧!$A:$A,0)))&amp;"")*1,"")</f>
        <v/>
      </c>
      <c r="N86" s="85" t="str">
        <f>IFERROR((IF($B86 = "","",INDEX(レシピ一覧!M:M,MATCH(使用レシピ!$B86,レシピ一覧!$A:$A,0)))&amp;"")*1,"")</f>
        <v/>
      </c>
      <c r="O86" s="85" t="str">
        <f>IFERROR((IF($B86 = "","",INDEX(レシピ一覧!N:N,MATCH(使用レシピ!$B86,レシピ一覧!$A:$A,0)))&amp;"")*1,"")</f>
        <v/>
      </c>
      <c r="P86" s="85">
        <f>IFERROR((IF($B86 = "","",INDEX(レシピ一覧!O:O,MATCH(使用レシピ!$B86,レシピ一覧!$A:$A,0)))&amp;"")*1,"")</f>
        <v>3</v>
      </c>
      <c r="Q86" s="86">
        <f>IFERROR((IF($B86 = "","",INDEX(レシピ一覧!P:P,MATCH(使用レシピ!$B86,レシピ一覧!$A:$A,0)))&amp;"")*1,"")</f>
        <v>30</v>
      </c>
    </row>
    <row r="87" spans="1:17" x14ac:dyDescent="0.4">
      <c r="A87" s="84">
        <v>1</v>
      </c>
      <c r="B87" s="21" t="str">
        <f t="shared" si="1"/>
        <v>8601</v>
      </c>
      <c r="C87" s="81">
        <f>IF(COUNTIF(レシピ一覧!$B:$B,ROW()-1),ROW()-1,"")</f>
        <v>86</v>
      </c>
      <c r="D87" s="15">
        <f>IF(E87="","",COUNTIF(レシピ一覧!$D$2:$D$500,使用レシピ!E87))</f>
        <v>2</v>
      </c>
      <c r="E87" s="57" t="str">
        <f>IFERROR( INDEX(レシピ一覧!$D:$D,MATCH(使用レシピ!$C87,レシピ一覧!$B:$B,0))&amp;"","")</f>
        <v>アルミ筐体</v>
      </c>
      <c r="F87" s="85" t="str">
        <f>IF($B87 = "","",INDEX(レシピ一覧!E:E,MATCH(使用レシピ!$B87,レシピ一覧!$A:$A,0))) &amp;""</f>
        <v>アルミのインゴット</v>
      </c>
      <c r="G87" s="85" t="str">
        <f>IF($B87 = "","",INDEX(レシピ一覧!F:F,MATCH(使用レシピ!$B87,レシピ一覧!$A:$A,0))) &amp;""</f>
        <v/>
      </c>
      <c r="H87" s="85" t="str">
        <f>IF($B87 = "","",INDEX(レシピ一覧!G:G,MATCH(使用レシピ!$B87,レシピ一覧!$A:$A,0))) &amp;""</f>
        <v/>
      </c>
      <c r="I87" s="85" t="str">
        <f>IF($B87 = "","",INDEX(レシピ一覧!H:H,MATCH(使用レシピ!$B87,レシピ一覧!$A:$A,0))) &amp;""</f>
        <v/>
      </c>
      <c r="J87" s="85" t="str">
        <f>IF($B87 = "","",INDEX(レシピ一覧!I:I,MATCH(使用レシピ!$B87,レシピ一覧!$A:$A,0))) &amp;""</f>
        <v/>
      </c>
      <c r="K87" s="85">
        <f>IFERROR((IF($B87 = "","",INDEX(レシピ一覧!J:J,MATCH(使用レシピ!$B87,レシピ一覧!$A:$A,0)))&amp;"")*1,"")</f>
        <v>3</v>
      </c>
      <c r="L87" s="85" t="str">
        <f>IFERROR((IF($B87 = "","",INDEX(レシピ一覧!K:K,MATCH(使用レシピ!$B87,レシピ一覧!$A:$A,0)))&amp;"")*1,"")</f>
        <v/>
      </c>
      <c r="M87" s="85" t="str">
        <f>IFERROR((IF($B87 = "","",INDEX(レシピ一覧!L:L,MATCH(使用レシピ!$B87,レシピ一覧!$A:$A,0)))&amp;"")*1,"")</f>
        <v/>
      </c>
      <c r="N87" s="85" t="str">
        <f>IFERROR((IF($B87 = "","",INDEX(レシピ一覧!M:M,MATCH(使用レシピ!$B87,レシピ一覧!$A:$A,0)))&amp;"")*1,"")</f>
        <v/>
      </c>
      <c r="O87" s="85" t="str">
        <f>IFERROR((IF($B87 = "","",INDEX(レシピ一覧!N:N,MATCH(使用レシピ!$B87,レシピ一覧!$A:$A,0)))&amp;"")*1,"")</f>
        <v/>
      </c>
      <c r="P87" s="85">
        <f>IFERROR((IF($B87 = "","",INDEX(レシピ一覧!O:O,MATCH(使用レシピ!$B87,レシピ一覧!$A:$A,0)))&amp;"")*1,"")</f>
        <v>2</v>
      </c>
      <c r="Q87" s="86">
        <f>IFERROR((IF($B87 = "","",INDEX(レシピ一覧!P:P,MATCH(使用レシピ!$B87,レシピ一覧!$A:$A,0)))&amp;"")*1,"")</f>
        <v>60</v>
      </c>
    </row>
    <row r="88" spans="1:17" x14ac:dyDescent="0.4">
      <c r="A88" s="84">
        <v>1</v>
      </c>
      <c r="B88" s="21" t="str">
        <f t="shared" si="1"/>
        <v>8701</v>
      </c>
      <c r="C88" s="81">
        <f>IF(COUNTIF(レシピ一覧!$B:$B,ROW()-1),ROW()-1,"")</f>
        <v>87</v>
      </c>
      <c r="D88" s="15">
        <f>IF(E88="","",COUNTIF(レシピ一覧!$D$2:$D$500,使用レシピ!E88))</f>
        <v>4</v>
      </c>
      <c r="E88" s="57" t="str">
        <f>IFERROR( INDEX(レシピ一覧!$D:$D,MATCH(使用レシピ!$C88,レシピ一覧!$B:$B,0))&amp;"","")</f>
        <v>ターボ燃料</v>
      </c>
      <c r="F88" s="85" t="str">
        <f>IF($B88 = "","",INDEX(レシピ一覧!E:E,MATCH(使用レシピ!$B88,レシピ一覧!$A:$A,0))) &amp;""</f>
        <v>燃料</v>
      </c>
      <c r="G88" s="85" t="str">
        <f>IF($B88 = "","",INDEX(レシピ一覧!F:F,MATCH(使用レシピ!$B88,レシピ一覧!$A:$A,0))) &amp;""</f>
        <v>圧縮石炭</v>
      </c>
      <c r="H88" s="85" t="str">
        <f>IF($B88 = "","",INDEX(レシピ一覧!G:G,MATCH(使用レシピ!$B88,レシピ一覧!$A:$A,0))) &amp;""</f>
        <v/>
      </c>
      <c r="I88" s="85" t="str">
        <f>IF($B88 = "","",INDEX(レシピ一覧!H:H,MATCH(使用レシピ!$B88,レシピ一覧!$A:$A,0))) &amp;""</f>
        <v/>
      </c>
      <c r="J88" s="85" t="str">
        <f>IF($B88 = "","",INDEX(レシピ一覧!I:I,MATCH(使用レシピ!$B88,レシピ一覧!$A:$A,0))) &amp;""</f>
        <v/>
      </c>
      <c r="K88" s="85">
        <f>IFERROR((IF($B88 = "","",INDEX(レシピ一覧!J:J,MATCH(使用レシピ!$B88,レシピ一覧!$A:$A,0)))&amp;"")*1,"")</f>
        <v>6</v>
      </c>
      <c r="L88" s="85">
        <f>IFERROR((IF($B88 = "","",INDEX(レシピ一覧!K:K,MATCH(使用レシピ!$B88,レシピ一覧!$A:$A,0)))&amp;"")*1,"")</f>
        <v>4</v>
      </c>
      <c r="M88" s="85" t="str">
        <f>IFERROR((IF($B88 = "","",INDEX(レシピ一覧!L:L,MATCH(使用レシピ!$B88,レシピ一覧!$A:$A,0)))&amp;"")*1,"")</f>
        <v/>
      </c>
      <c r="N88" s="85" t="str">
        <f>IFERROR((IF($B88 = "","",INDEX(レシピ一覧!M:M,MATCH(使用レシピ!$B88,レシピ一覧!$A:$A,0)))&amp;"")*1,"")</f>
        <v/>
      </c>
      <c r="O88" s="85" t="str">
        <f>IFERROR((IF($B88 = "","",INDEX(レシピ一覧!N:N,MATCH(使用レシピ!$B88,レシピ一覧!$A:$A,0)))&amp;"")*1,"")</f>
        <v/>
      </c>
      <c r="P88" s="85">
        <f>IFERROR((IF($B88 = "","",INDEX(レシピ一覧!O:O,MATCH(使用レシピ!$B88,レシピ一覧!$A:$A,0)))&amp;"")*1,"")</f>
        <v>5</v>
      </c>
      <c r="Q88" s="86">
        <f>IFERROR((IF($B88 = "","",INDEX(レシピ一覧!P:P,MATCH(使用レシピ!$B88,レシピ一覧!$A:$A,0)))&amp;"")*1,"")</f>
        <v>18.75</v>
      </c>
    </row>
    <row r="89" spans="1:17" x14ac:dyDescent="0.4">
      <c r="A89" s="84">
        <v>1</v>
      </c>
      <c r="B89" s="21" t="str">
        <f t="shared" si="1"/>
        <v>8801</v>
      </c>
      <c r="C89" s="81">
        <f>IF(COUNTIF(レシピ一覧!$B:$B,ROW()-1),ROW()-1,"")</f>
        <v>88</v>
      </c>
      <c r="D89" s="15">
        <f>IF(E89="","",COUNTIF(レシピ一覧!$D$2:$D$500,使用レシピ!E89))</f>
        <v>1</v>
      </c>
      <c r="E89" s="57" t="str">
        <f>IFERROR( INDEX(レシピ一覧!$D:$D,MATCH(使用レシピ!$C89,レシピ一覧!$B:$B,0))&amp;"","")</f>
        <v>容器入りターボ燃料</v>
      </c>
      <c r="F89" s="85" t="str">
        <f>IF($B89 = "","",INDEX(レシピ一覧!E:E,MATCH(使用レシピ!$B89,レシピ一覧!$A:$A,0))) &amp;""</f>
        <v>空の容器</v>
      </c>
      <c r="G89" s="85" t="str">
        <f>IF($B89 = "","",INDEX(レシピ一覧!F:F,MATCH(使用レシピ!$B89,レシピ一覧!$A:$A,0))) &amp;""</f>
        <v>廃重油</v>
      </c>
      <c r="H89" s="85" t="str">
        <f>IF($B89 = "","",INDEX(レシピ一覧!G:G,MATCH(使用レシピ!$B89,レシピ一覧!$A:$A,0))) &amp;""</f>
        <v/>
      </c>
      <c r="I89" s="85" t="str">
        <f>IF($B89 = "","",INDEX(レシピ一覧!H:H,MATCH(使用レシピ!$B89,レシピ一覧!$A:$A,0))) &amp;""</f>
        <v/>
      </c>
      <c r="J89" s="85" t="str">
        <f>IF($B89 = "","",INDEX(レシピ一覧!I:I,MATCH(使用レシピ!$B89,レシピ一覧!$A:$A,0))) &amp;""</f>
        <v/>
      </c>
      <c r="K89" s="85">
        <f>IFERROR((IF($B89 = "","",INDEX(レシピ一覧!J:J,MATCH(使用レシピ!$B89,レシピ一覧!$A:$A,0)))&amp;"")*1,"")</f>
        <v>2</v>
      </c>
      <c r="L89" s="85">
        <f>IFERROR((IF($B89 = "","",INDEX(レシピ一覧!K:K,MATCH(使用レシピ!$B89,レシピ一覧!$A:$A,0)))&amp;"")*1,"")</f>
        <v>2</v>
      </c>
      <c r="M89" s="85" t="str">
        <f>IFERROR((IF($B89 = "","",INDEX(レシピ一覧!L:L,MATCH(使用レシピ!$B89,レシピ一覧!$A:$A,0)))&amp;"")*1,"")</f>
        <v/>
      </c>
      <c r="N89" s="85" t="str">
        <f>IFERROR((IF($B89 = "","",INDEX(レシピ一覧!M:M,MATCH(使用レシピ!$B89,レシピ一覧!$A:$A,0)))&amp;"")*1,"")</f>
        <v/>
      </c>
      <c r="O89" s="85" t="str">
        <f>IFERROR((IF($B89 = "","",INDEX(レシピ一覧!N:N,MATCH(使用レシピ!$B89,レシピ一覧!$A:$A,0)))&amp;"")*1,"")</f>
        <v/>
      </c>
      <c r="P89" s="85">
        <f>IFERROR((IF($B89 = "","",INDEX(レシピ一覧!O:O,MATCH(使用レシピ!$B89,レシピ一覧!$A:$A,0)))&amp;"")*1,"")</f>
        <v>2</v>
      </c>
      <c r="Q89" s="86">
        <f>IFERROR((IF($B89 = "","",INDEX(レシピ一覧!P:P,MATCH(使用レシピ!$B89,レシピ一覧!$A:$A,0)))&amp;"")*1,"")</f>
        <v>20</v>
      </c>
    </row>
    <row r="90" spans="1:17" x14ac:dyDescent="0.4">
      <c r="A90" s="84">
        <v>1</v>
      </c>
      <c r="B90" s="21" t="str">
        <f t="shared" si="1"/>
        <v>8901</v>
      </c>
      <c r="C90" s="81">
        <f>IF(COUNTIF(レシピ一覧!$B:$B,ROW()-1),ROW()-1,"")</f>
        <v>89</v>
      </c>
      <c r="D90" s="15">
        <f>IF(E90="","",COUNTIF(レシピ一覧!$D$2:$D$500,使用レシピ!E90))</f>
        <v>1</v>
      </c>
      <c r="E90" s="57" t="str">
        <f>IFERROR( INDEX(レシピ一覧!$D:$D,MATCH(使用レシピ!$C90,レシピ一覧!$B:$B,0))&amp;"","")</f>
        <v>鉄筋</v>
      </c>
      <c r="F90" s="85" t="str">
        <f>IF($B90 = "","",INDEX(レシピ一覧!E:E,MATCH(使用レシピ!$B90,レシピ一覧!$A:$A,0))) &amp;""</f>
        <v>鉄のロッド</v>
      </c>
      <c r="G90" s="85" t="str">
        <f>IF($B90 = "","",INDEX(レシピ一覧!F:F,MATCH(使用レシピ!$B90,レシピ一覧!$A:$A,0))) &amp;""</f>
        <v/>
      </c>
      <c r="H90" s="85" t="str">
        <f>IF($B90 = "","",INDEX(レシピ一覧!G:G,MATCH(使用レシピ!$B90,レシピ一覧!$A:$A,0))) &amp;""</f>
        <v/>
      </c>
      <c r="I90" s="85" t="str">
        <f>IF($B90 = "","",INDEX(レシピ一覧!H:H,MATCH(使用レシピ!$B90,レシピ一覧!$A:$A,0))) &amp;""</f>
        <v/>
      </c>
      <c r="J90" s="85" t="str">
        <f>IF($B90 = "","",INDEX(レシピ一覧!I:I,MATCH(使用レシピ!$B90,レシピ一覧!$A:$A,0))) &amp;""</f>
        <v/>
      </c>
      <c r="K90" s="85">
        <f>IFERROR((IF($B90 = "","",INDEX(レシピ一覧!J:J,MATCH(使用レシピ!$B90,レシピ一覧!$A:$A,0)))&amp;"")*1,"")</f>
        <v>1</v>
      </c>
      <c r="L90" s="85" t="str">
        <f>IFERROR((IF($B90 = "","",INDEX(レシピ一覧!K:K,MATCH(使用レシピ!$B90,レシピ一覧!$A:$A,0)))&amp;"")*1,"")</f>
        <v/>
      </c>
      <c r="M90" s="85" t="str">
        <f>IFERROR((IF($B90 = "","",INDEX(レシピ一覧!L:L,MATCH(使用レシピ!$B90,レシピ一覧!$A:$A,0)))&amp;"")*1,"")</f>
        <v/>
      </c>
      <c r="N90" s="85" t="str">
        <f>IFERROR((IF($B90 = "","",INDEX(レシピ一覧!M:M,MATCH(使用レシピ!$B90,レシピ一覧!$A:$A,0)))&amp;"")*1,"")</f>
        <v/>
      </c>
      <c r="O90" s="85" t="str">
        <f>IFERROR((IF($B90 = "","",INDEX(レシピ一覧!N:N,MATCH(使用レシピ!$B90,レシピ一覧!$A:$A,0)))&amp;"")*1,"")</f>
        <v/>
      </c>
      <c r="P90" s="85">
        <f>IFERROR((IF($B90 = "","",INDEX(レシピ一覧!O:O,MATCH(使用レシピ!$B90,レシピ一覧!$A:$A,0)))&amp;"")*1,"")</f>
        <v>1</v>
      </c>
      <c r="Q90" s="86">
        <f>IFERROR((IF($B90 = "","",INDEX(レシピ一覧!P:P,MATCH(使用レシピ!$B90,レシピ一覧!$A:$A,0)))&amp;"")*1,"")</f>
        <v>15</v>
      </c>
    </row>
    <row r="91" spans="1:17" x14ac:dyDescent="0.4">
      <c r="A91" s="84">
        <v>1</v>
      </c>
      <c r="B91" s="21" t="str">
        <f t="shared" si="1"/>
        <v>9001</v>
      </c>
      <c r="C91" s="81">
        <f>IF(COUNTIF(レシピ一覧!$B:$B,ROW()-1),ROW()-1,"")</f>
        <v>90</v>
      </c>
      <c r="D91" s="15">
        <f>IF(E91="","",COUNTIF(レシピ一覧!$D$2:$D$500,使用レシピ!E91))</f>
        <v>3</v>
      </c>
      <c r="E91" s="57" t="str">
        <f>IFERROR( INDEX(レシピ一覧!$D:$D,MATCH(使用レシピ!$C91,レシピ一覧!$B:$B,0))&amp;"","")</f>
        <v>硫酸</v>
      </c>
      <c r="F91" s="85" t="str">
        <f>IF($B91 = "","",INDEX(レシピ一覧!E:E,MATCH(使用レシピ!$B91,レシピ一覧!$A:$A,0))) &amp;""</f>
        <v>硫黄</v>
      </c>
      <c r="G91" s="85" t="str">
        <f>IF($B91 = "","",INDEX(レシピ一覧!F:F,MATCH(使用レシピ!$B91,レシピ一覧!$A:$A,0))) &amp;""</f>
        <v>水</v>
      </c>
      <c r="H91" s="85" t="str">
        <f>IF($B91 = "","",INDEX(レシピ一覧!G:G,MATCH(使用レシピ!$B91,レシピ一覧!$A:$A,0))) &amp;""</f>
        <v/>
      </c>
      <c r="I91" s="85" t="str">
        <f>IF($B91 = "","",INDEX(レシピ一覧!H:H,MATCH(使用レシピ!$B91,レシピ一覧!$A:$A,0))) &amp;""</f>
        <v/>
      </c>
      <c r="J91" s="85" t="str">
        <f>IF($B91 = "","",INDEX(レシピ一覧!I:I,MATCH(使用レシピ!$B91,レシピ一覧!$A:$A,0))) &amp;""</f>
        <v/>
      </c>
      <c r="K91" s="85">
        <f>IFERROR((IF($B91 = "","",INDEX(レシピ一覧!J:J,MATCH(使用レシピ!$B91,レシピ一覧!$A:$A,0)))&amp;"")*1,"")</f>
        <v>5</v>
      </c>
      <c r="L91" s="85">
        <f>IFERROR((IF($B91 = "","",INDEX(レシピ一覧!K:K,MATCH(使用レシピ!$B91,レシピ一覧!$A:$A,0)))&amp;"")*1,"")</f>
        <v>5</v>
      </c>
      <c r="M91" s="85" t="str">
        <f>IFERROR((IF($B91 = "","",INDEX(レシピ一覧!L:L,MATCH(使用レシピ!$B91,レシピ一覧!$A:$A,0)))&amp;"")*1,"")</f>
        <v/>
      </c>
      <c r="N91" s="85" t="str">
        <f>IFERROR((IF($B91 = "","",INDEX(レシピ一覧!M:M,MATCH(使用レシピ!$B91,レシピ一覧!$A:$A,0)))&amp;"")*1,"")</f>
        <v/>
      </c>
      <c r="O91" s="85" t="str">
        <f>IFERROR((IF($B91 = "","",INDEX(レシピ一覧!N:N,MATCH(使用レシピ!$B91,レシピ一覧!$A:$A,0)))&amp;"")*1,"")</f>
        <v/>
      </c>
      <c r="P91" s="85">
        <f>IFERROR((IF($B91 = "","",INDEX(レシピ一覧!O:O,MATCH(使用レシピ!$B91,レシピ一覧!$A:$A,0)))&amp;"")*1,"")</f>
        <v>5</v>
      </c>
      <c r="Q91" s="86">
        <f>IFERROR((IF($B91 = "","",INDEX(レシピ一覧!P:P,MATCH(使用レシピ!$B91,レシピ一覧!$A:$A,0)))&amp;"")*1,"")</f>
        <v>50</v>
      </c>
    </row>
    <row r="92" spans="1:17" x14ac:dyDescent="0.4">
      <c r="A92" s="84">
        <v>1</v>
      </c>
      <c r="B92" s="21" t="str">
        <f t="shared" si="1"/>
        <v>9101</v>
      </c>
      <c r="C92" s="81">
        <f>IF(COUNTIF(レシピ一覧!$B:$B,ROW()-1),ROW()-1,"")</f>
        <v>91</v>
      </c>
      <c r="D92" s="15">
        <f>IF(E92="","",COUNTIF(レシピ一覧!$D$2:$D$500,使用レシピ!E92))</f>
        <v>1</v>
      </c>
      <c r="E92" s="57" t="str">
        <f>IFERROR( INDEX(レシピ一覧!$D:$D,MATCH(使用レシピ!$C92,レシピ一覧!$B:$B,0))&amp;"","")</f>
        <v>包装済み硫酸</v>
      </c>
      <c r="F92" s="85" t="str">
        <f>IF($B92 = "","",INDEX(レシピ一覧!E:E,MATCH(使用レシピ!$B92,レシピ一覧!$A:$A,0))) &amp;""</f>
        <v>空の容器</v>
      </c>
      <c r="G92" s="85" t="str">
        <f>IF($B92 = "","",INDEX(レシピ一覧!F:F,MATCH(使用レシピ!$B92,レシピ一覧!$A:$A,0))) &amp;""</f>
        <v>硫酸</v>
      </c>
      <c r="H92" s="85" t="str">
        <f>IF($B92 = "","",INDEX(レシピ一覧!G:G,MATCH(使用レシピ!$B92,レシピ一覧!$A:$A,0))) &amp;""</f>
        <v/>
      </c>
      <c r="I92" s="85" t="str">
        <f>IF($B92 = "","",INDEX(レシピ一覧!H:H,MATCH(使用レシピ!$B92,レシピ一覧!$A:$A,0))) &amp;""</f>
        <v/>
      </c>
      <c r="J92" s="85" t="str">
        <f>IF($B92 = "","",INDEX(レシピ一覧!I:I,MATCH(使用レシピ!$B92,レシピ一覧!$A:$A,0))) &amp;""</f>
        <v/>
      </c>
      <c r="K92" s="85">
        <f>IFERROR((IF($B92 = "","",INDEX(レシピ一覧!J:J,MATCH(使用レシピ!$B92,レシピ一覧!$A:$A,0)))&amp;"")*1,"")</f>
        <v>2</v>
      </c>
      <c r="L92" s="85">
        <f>IFERROR((IF($B92 = "","",INDEX(レシピ一覧!K:K,MATCH(使用レシピ!$B92,レシピ一覧!$A:$A,0)))&amp;"")*1,"")</f>
        <v>2</v>
      </c>
      <c r="M92" s="85" t="str">
        <f>IFERROR((IF($B92 = "","",INDEX(レシピ一覧!L:L,MATCH(使用レシピ!$B92,レシピ一覧!$A:$A,0)))&amp;"")*1,"")</f>
        <v/>
      </c>
      <c r="N92" s="85" t="str">
        <f>IFERROR((IF($B92 = "","",INDEX(レシピ一覧!M:M,MATCH(使用レシピ!$B92,レシピ一覧!$A:$A,0)))&amp;"")*1,"")</f>
        <v/>
      </c>
      <c r="O92" s="85" t="str">
        <f>IFERROR((IF($B92 = "","",INDEX(レシピ一覧!N:N,MATCH(使用レシピ!$B92,レシピ一覧!$A:$A,0)))&amp;"")*1,"")</f>
        <v/>
      </c>
      <c r="P92" s="85">
        <f>IFERROR((IF($B92 = "","",INDEX(レシピ一覧!O:O,MATCH(使用レシピ!$B92,レシピ一覧!$A:$A,0)))&amp;"")*1,"")</f>
        <v>2</v>
      </c>
      <c r="Q92" s="86">
        <f>IFERROR((IF($B92 = "","",INDEX(レシピ一覧!P:P,MATCH(使用レシピ!$B92,レシピ一覧!$A:$A,0)))&amp;"")*1,"")</f>
        <v>40</v>
      </c>
    </row>
    <row r="93" spans="1:17" x14ac:dyDescent="0.4">
      <c r="A93" s="84">
        <v>1</v>
      </c>
      <c r="B93" s="21" t="str">
        <f t="shared" si="1"/>
        <v>9201</v>
      </c>
      <c r="C93" s="81">
        <f>IF(COUNTIF(レシピ一覧!$B:$B,ROW()-1),ROW()-1,"")</f>
        <v>92</v>
      </c>
      <c r="D93" s="15">
        <f>IF(E93="","",COUNTIF(レシピ一覧!$D$2:$D$500,使用レシピ!E93))</f>
        <v>2</v>
      </c>
      <c r="E93" s="57" t="str">
        <f>IFERROR( INDEX(レシピ一覧!$D:$D,MATCH(使用レシピ!$C93,レシピ一覧!$B:$B,0))&amp;"","")</f>
        <v>バッテリー</v>
      </c>
      <c r="F93" s="85" t="str">
        <f>IF($B93 = "","",INDEX(レシピ一覧!E:E,MATCH(使用レシピ!$B93,レシピ一覧!$A:$A,0))) &amp;""</f>
        <v>硫酸</v>
      </c>
      <c r="G93" s="85" t="str">
        <f>IF($B93 = "","",INDEX(レシピ一覧!F:F,MATCH(使用レシピ!$B93,レシピ一覧!$A:$A,0))) &amp;""</f>
        <v>アルミナ溶液</v>
      </c>
      <c r="H93" s="85" t="str">
        <f>IF($B93 = "","",INDEX(レシピ一覧!G:G,MATCH(使用レシピ!$B93,レシピ一覧!$A:$A,0))) &amp;""</f>
        <v>アルミ筐体</v>
      </c>
      <c r="I93" s="85" t="str">
        <f>IF($B93 = "","",INDEX(レシピ一覧!H:H,MATCH(使用レシピ!$B93,レシピ一覧!$A:$A,0))) &amp;""</f>
        <v/>
      </c>
      <c r="J93" s="85" t="str">
        <f>IF($B93 = "","",INDEX(レシピ一覧!I:I,MATCH(使用レシピ!$B93,レシピ一覧!$A:$A,0))) &amp;""</f>
        <v>水</v>
      </c>
      <c r="K93" s="85">
        <f>IFERROR((IF($B93 = "","",INDEX(レシピ一覧!J:J,MATCH(使用レシピ!$B93,レシピ一覧!$A:$A,0)))&amp;"")*1,"")</f>
        <v>2.5</v>
      </c>
      <c r="L93" s="85">
        <f>IFERROR((IF($B93 = "","",INDEX(レシピ一覧!K:K,MATCH(使用レシピ!$B93,レシピ一覧!$A:$A,0)))&amp;"")*1,"")</f>
        <v>2</v>
      </c>
      <c r="M93" s="85">
        <f>IFERROR((IF($B93 = "","",INDEX(レシピ一覧!L:L,MATCH(使用レシピ!$B93,レシピ一覧!$A:$A,0)))&amp;"")*1,"")</f>
        <v>1</v>
      </c>
      <c r="N93" s="85" t="str">
        <f>IFERROR((IF($B93 = "","",INDEX(レシピ一覧!M:M,MATCH(使用レシピ!$B93,レシピ一覧!$A:$A,0)))&amp;"")*1,"")</f>
        <v/>
      </c>
      <c r="O93" s="85">
        <f>IFERROR((IF($B93 = "","",INDEX(レシピ一覧!N:N,MATCH(使用レシピ!$B93,レシピ一覧!$A:$A,0)))&amp;"")*1,"")</f>
        <v>1.5</v>
      </c>
      <c r="P93" s="85">
        <f>IFERROR((IF($B93 = "","",INDEX(レシピ一覧!O:O,MATCH(使用レシピ!$B93,レシピ一覧!$A:$A,0)))&amp;"")*1,"")</f>
        <v>1</v>
      </c>
      <c r="Q93" s="86">
        <f>IFERROR((IF($B93 = "","",INDEX(レシピ一覧!P:P,MATCH(使用レシピ!$B93,レシピ一覧!$A:$A,0)))&amp;"")*1,"")</f>
        <v>20</v>
      </c>
    </row>
    <row r="94" spans="1:17" x14ac:dyDescent="0.4">
      <c r="A94" s="84">
        <v>1</v>
      </c>
      <c r="B94" s="21" t="str">
        <f t="shared" si="1"/>
        <v>9301</v>
      </c>
      <c r="C94" s="81">
        <f>IF(COUNTIF(レシピ一覧!$B:$B,ROW()-1),ROW()-1,"")</f>
        <v>93</v>
      </c>
      <c r="D94" s="15">
        <f>IF(E94="","",COUNTIF(レシピ一覧!$D$2:$D$500,使用レシピ!E94))</f>
        <v>3</v>
      </c>
      <c r="E94" s="57" t="str">
        <f>IFERROR( INDEX(レシピ一覧!$D:$D,MATCH(使用レシピ!$C94,レシピ一覧!$B:$B,0))&amp;"","")</f>
        <v>無線制御ユニット</v>
      </c>
      <c r="F94" s="85" t="str">
        <f>IF($B94 = "","",INDEX(レシピ一覧!E:E,MATCH(使用レシピ!$B94,レシピ一覧!$A:$A,0))) &amp;""</f>
        <v>アルミ筐体</v>
      </c>
      <c r="G94" s="85" t="str">
        <f>IF($B94 = "","",INDEX(レシピ一覧!F:F,MATCH(使用レシピ!$B94,レシピ一覧!$A:$A,0))) &amp;""</f>
        <v>水晶発振器</v>
      </c>
      <c r="H94" s="85" t="str">
        <f>IF($B94 = "","",INDEX(レシピ一覧!G:G,MATCH(使用レシピ!$B94,レシピ一覧!$A:$A,0))) &amp;""</f>
        <v>コンピューター</v>
      </c>
      <c r="I94" s="85" t="str">
        <f>IF($B94 = "","",INDEX(レシピ一覧!H:H,MATCH(使用レシピ!$B94,レシピ一覧!$A:$A,0))) &amp;""</f>
        <v/>
      </c>
      <c r="J94" s="85" t="str">
        <f>IF($B94 = "","",INDEX(レシピ一覧!I:I,MATCH(使用レシピ!$B94,レシピ一覧!$A:$A,0))) &amp;""</f>
        <v/>
      </c>
      <c r="K94" s="85">
        <f>IFERROR((IF($B94 = "","",INDEX(レシピ一覧!J:J,MATCH(使用レシピ!$B94,レシピ一覧!$A:$A,0)))&amp;"")*1,"")</f>
        <v>32</v>
      </c>
      <c r="L94" s="85">
        <f>IFERROR((IF($B94 = "","",INDEX(レシピ一覧!K:K,MATCH(使用レシピ!$B94,レシピ一覧!$A:$A,0)))&amp;"")*1,"")</f>
        <v>1</v>
      </c>
      <c r="M94" s="85">
        <f>IFERROR((IF($B94 = "","",INDEX(レシピ一覧!L:L,MATCH(使用レシピ!$B94,レシピ一覧!$A:$A,0)))&amp;"")*1,"")</f>
        <v>2</v>
      </c>
      <c r="N94" s="85" t="str">
        <f>IFERROR((IF($B94 = "","",INDEX(レシピ一覧!M:M,MATCH(使用レシピ!$B94,レシピ一覧!$A:$A,0)))&amp;"")*1,"")</f>
        <v/>
      </c>
      <c r="O94" s="85" t="str">
        <f>IFERROR((IF($B94 = "","",INDEX(レシピ一覧!N:N,MATCH(使用レシピ!$B94,レシピ一覧!$A:$A,0)))&amp;"")*1,"")</f>
        <v/>
      </c>
      <c r="P94" s="85">
        <f>IFERROR((IF($B94 = "","",INDEX(レシピ一覧!O:O,MATCH(使用レシピ!$B94,レシピ一覧!$A:$A,0)))&amp;"")*1,"")</f>
        <v>2</v>
      </c>
      <c r="Q94" s="86">
        <f>IFERROR((IF($B94 = "","",INDEX(レシピ一覧!P:P,MATCH(使用レシピ!$B94,レシピ一覧!$A:$A,0)))&amp;"")*1,"")</f>
        <v>2.5</v>
      </c>
    </row>
    <row r="95" spans="1:17" x14ac:dyDescent="0.4">
      <c r="A95" s="84">
        <v>1</v>
      </c>
      <c r="B95" s="21" t="str">
        <f t="shared" si="1"/>
        <v>9401</v>
      </c>
      <c r="C95" s="81">
        <f>IF(COUNTIF(レシピ一覧!$B:$B,ROW()-1),ROW()-1,"")</f>
        <v>94</v>
      </c>
      <c r="D95" s="15">
        <f>IF(E95="","",COUNTIF(レシピ一覧!$D$2:$D$500,使用レシピ!E95))</f>
        <v>3</v>
      </c>
      <c r="E95" s="57" t="str">
        <f>IFERROR( INDEX(レシピ一覧!$D:$D,MATCH(使用レシピ!$C95,レシピ一覧!$B:$B,0))&amp;"","")</f>
        <v>スーパーコンピューター</v>
      </c>
      <c r="F95" s="85" t="str">
        <f>IF($B95 = "","",INDEX(レシピ一覧!E:E,MATCH(使用レシピ!$B95,レシピ一覧!$A:$A,0))) &amp;""</f>
        <v>コンピューター</v>
      </c>
      <c r="G95" s="85" t="str">
        <f>IF($B95 = "","",INDEX(レシピ一覧!F:F,MATCH(使用レシピ!$B95,レシピ一覧!$A:$A,0))) &amp;""</f>
        <v>電磁制御棒</v>
      </c>
      <c r="H95" s="85" t="str">
        <f>IF($B95 = "","",INDEX(レシピ一覧!G:G,MATCH(使用レシピ!$B95,レシピ一覧!$A:$A,0))) &amp;""</f>
        <v>バッテリー</v>
      </c>
      <c r="I95" s="85" t="str">
        <f>IF($B95 = "","",INDEX(レシピ一覧!H:H,MATCH(使用レシピ!$B95,レシピ一覧!$A:$A,0))) &amp;""</f>
        <v>ワイヤー</v>
      </c>
      <c r="J95" s="85" t="str">
        <f>IF($B95 = "","",INDEX(レシピ一覧!I:I,MATCH(使用レシピ!$B95,レシピ一覧!$A:$A,0))) &amp;""</f>
        <v/>
      </c>
      <c r="K95" s="85">
        <f>IFERROR((IF($B95 = "","",INDEX(レシピ一覧!J:J,MATCH(使用レシピ!$B95,レシピ一覧!$A:$A,0)))&amp;"")*1,"")</f>
        <v>3</v>
      </c>
      <c r="L95" s="85">
        <f>IFERROR((IF($B95 = "","",INDEX(レシピ一覧!K:K,MATCH(使用レシピ!$B95,レシピ一覧!$A:$A,0)))&amp;"")*1,"")</f>
        <v>1</v>
      </c>
      <c r="M95" s="85">
        <f>IFERROR((IF($B95 = "","",INDEX(レシピ一覧!L:L,MATCH(使用レシピ!$B95,レシピ一覧!$A:$A,0)))&amp;"")*1,"")</f>
        <v>10</v>
      </c>
      <c r="N95" s="85">
        <f>IFERROR((IF($B95 = "","",INDEX(レシピ一覧!M:M,MATCH(使用レシピ!$B95,レシピ一覧!$A:$A,0)))&amp;"")*1,"")</f>
        <v>25</v>
      </c>
      <c r="O95" s="85" t="str">
        <f>IFERROR((IF($B95 = "","",INDEX(レシピ一覧!N:N,MATCH(使用レシピ!$B95,レシピ一覧!$A:$A,0)))&amp;"")*1,"")</f>
        <v/>
      </c>
      <c r="P95" s="85">
        <f>IFERROR((IF($B95 = "","",INDEX(レシピ一覧!O:O,MATCH(使用レシピ!$B95,レシピ一覧!$A:$A,0)))&amp;"")*1,"")</f>
        <v>1</v>
      </c>
      <c r="Q95" s="86">
        <f>IFERROR((IF($B95 = "","",INDEX(レシピ一覧!P:P,MATCH(使用レシピ!$B95,レシピ一覧!$A:$A,0)))&amp;"")*1,"")</f>
        <v>2.4</v>
      </c>
    </row>
    <row r="96" spans="1:17" x14ac:dyDescent="0.4">
      <c r="A96" s="84">
        <v>1</v>
      </c>
      <c r="B96" s="21" t="str">
        <f t="shared" si="1"/>
        <v>9501</v>
      </c>
      <c r="C96" s="81">
        <f>IF(COUNTIF(レシピ一覧!$B:$B,ROW()-1),ROW()-1,"")</f>
        <v>95</v>
      </c>
      <c r="D96" s="15">
        <f>IF(E96="","",COUNTIF(レシピ一覧!$D$2:$D$500,使用レシピ!E96))</f>
        <v>1</v>
      </c>
      <c r="E96" s="57" t="str">
        <f>IFERROR( INDEX(レシピ一覧!$D:$D,MATCH(使用レシピ!$C96,レシピ一覧!$B:$B,0))&amp;"","")</f>
        <v>組立指揮システム</v>
      </c>
      <c r="F96" s="85" t="str">
        <f>IF($B96 = "","",INDEX(レシピ一覧!E:E,MATCH(使用レシピ!$B96,レシピ一覧!$A:$A,0))) &amp;""</f>
        <v>自律制御ユニット</v>
      </c>
      <c r="G96" s="85" t="str">
        <f>IF($B96 = "","",INDEX(レシピ一覧!F:F,MATCH(使用レシピ!$B96,レシピ一覧!$A:$A,0))) &amp;""</f>
        <v>スーパーコンピューター</v>
      </c>
      <c r="H96" s="85" t="str">
        <f>IF($B96 = "","",INDEX(レシピ一覧!G:G,MATCH(使用レシピ!$B96,レシピ一覧!$A:$A,0))) &amp;""</f>
        <v/>
      </c>
      <c r="I96" s="85" t="str">
        <f>IF($B96 = "","",INDEX(レシピ一覧!H:H,MATCH(使用レシピ!$B96,レシピ一覧!$A:$A,0))) &amp;""</f>
        <v/>
      </c>
      <c r="J96" s="85" t="str">
        <f>IF($B96 = "","",INDEX(レシピ一覧!I:I,MATCH(使用レシピ!$B96,レシピ一覧!$A:$A,0))) &amp;""</f>
        <v/>
      </c>
      <c r="K96" s="85">
        <f>IFERROR((IF($B96 = "","",INDEX(レシピ一覧!J:J,MATCH(使用レシピ!$B96,レシピ一覧!$A:$A,0)))&amp;"")*1,"")</f>
        <v>2</v>
      </c>
      <c r="L96" s="85">
        <f>IFERROR((IF($B96 = "","",INDEX(レシピ一覧!K:K,MATCH(使用レシピ!$B96,レシピ一覧!$A:$A,0)))&amp;"")*1,"")</f>
        <v>1</v>
      </c>
      <c r="M96" s="85" t="str">
        <f>IFERROR((IF($B96 = "","",INDEX(レシピ一覧!L:L,MATCH(使用レシピ!$B96,レシピ一覧!$A:$A,0)))&amp;"")*1,"")</f>
        <v/>
      </c>
      <c r="N96" s="85" t="str">
        <f>IFERROR((IF($B96 = "","",INDEX(レシピ一覧!M:M,MATCH(使用レシピ!$B96,レシピ一覧!$A:$A,0)))&amp;"")*1,"")</f>
        <v/>
      </c>
      <c r="O96" s="85" t="str">
        <f>IFERROR((IF($B96 = "","",INDEX(レシピ一覧!N:N,MATCH(使用レシピ!$B96,レシピ一覧!$A:$A,0)))&amp;"")*1,"")</f>
        <v/>
      </c>
      <c r="P96" s="85">
        <f>IFERROR((IF($B96 = "","",INDEX(レシピ一覧!O:O,MATCH(使用レシピ!$B96,レシピ一覧!$A:$A,0)))&amp;"")*1,"")</f>
        <v>1</v>
      </c>
      <c r="Q96" s="86">
        <f>IFERROR((IF($B96 = "","",INDEX(レシピ一覧!P:P,MATCH(使用レシピ!$B96,レシピ一覧!$A:$A,0)))&amp;"")*1,"")</f>
        <v>0.75</v>
      </c>
    </row>
    <row r="97" spans="1:17" x14ac:dyDescent="0.4">
      <c r="A97" s="84">
        <v>1</v>
      </c>
      <c r="B97" s="21" t="str">
        <f t="shared" si="1"/>
        <v>9601</v>
      </c>
      <c r="C97" s="81">
        <f>IF(COUNTIF(レシピ一覧!$B:$B,ROW()-1),ROW()-1,"")</f>
        <v>96</v>
      </c>
      <c r="D97" s="15">
        <f>IF(E97="","",COUNTIF(レシピ一覧!$D$2:$D$500,使用レシピ!E97))</f>
        <v>1</v>
      </c>
      <c r="E97" s="57" t="str">
        <f>IFERROR( INDEX(レシピ一覧!$D:$D,MATCH(使用レシピ!$C97,レシピ一覧!$B:$B,0))&amp;"","")</f>
        <v>ヨウ素充填フィルター</v>
      </c>
      <c r="F97" s="85" t="str">
        <f>IF($B97 = "","",INDEX(レシピ一覧!E:E,MATCH(使用レシピ!$B97,レシピ一覧!$A:$A,0))) &amp;""</f>
        <v>ガスフィルター</v>
      </c>
      <c r="G97" s="85" t="str">
        <f>IF($B97 = "","",INDEX(レシピ一覧!F:F,MATCH(使用レシピ!$B97,レシピ一覧!$A:$A,0))) &amp;""</f>
        <v>クイックワイヤー</v>
      </c>
      <c r="H97" s="85" t="str">
        <f>IF($B97 = "","",INDEX(レシピ一覧!G:G,MATCH(使用レシピ!$B97,レシピ一覧!$A:$A,0))) &amp;""</f>
        <v>アルミ筐体</v>
      </c>
      <c r="I97" s="85" t="str">
        <f>IF($B97 = "","",INDEX(レシピ一覧!H:H,MATCH(使用レシピ!$B97,レシピ一覧!$A:$A,0))) &amp;""</f>
        <v/>
      </c>
      <c r="J97" s="85" t="str">
        <f>IF($B97 = "","",INDEX(レシピ一覧!I:I,MATCH(使用レシピ!$B97,レシピ一覧!$A:$A,0))) &amp;""</f>
        <v/>
      </c>
      <c r="K97" s="85">
        <f>IFERROR((IF($B97 = "","",INDEX(レシピ一覧!J:J,MATCH(使用レシピ!$B97,レシピ一覧!$A:$A,0)))&amp;"")*1,"")</f>
        <v>1</v>
      </c>
      <c r="L97" s="85">
        <f>IFERROR((IF($B97 = "","",INDEX(レシピ一覧!K:K,MATCH(使用レシピ!$B97,レシピ一覧!$A:$A,0)))&amp;"")*1,"")</f>
        <v>8</v>
      </c>
      <c r="M97" s="85">
        <f>IFERROR((IF($B97 = "","",INDEX(レシピ一覧!L:L,MATCH(使用レシピ!$B97,レシピ一覧!$A:$A,0)))&amp;"")*1,"")</f>
        <v>1</v>
      </c>
      <c r="N97" s="85" t="str">
        <f>IFERROR((IF($B97 = "","",INDEX(レシピ一覧!M:M,MATCH(使用レシピ!$B97,レシピ一覧!$A:$A,0)))&amp;"")*1,"")</f>
        <v/>
      </c>
      <c r="O97" s="85" t="str">
        <f>IFERROR((IF($B97 = "","",INDEX(レシピ一覧!N:N,MATCH(使用レシピ!$B97,レシピ一覧!$A:$A,0)))&amp;"")*1,"")</f>
        <v/>
      </c>
      <c r="P97" s="85">
        <f>IFERROR((IF($B97 = "","",INDEX(レシピ一覧!O:O,MATCH(使用レシピ!$B97,レシピ一覧!$A:$A,0)))&amp;"")*1,"")</f>
        <v>1</v>
      </c>
      <c r="Q97" s="86">
        <f>IFERROR((IF($B97 = "","",INDEX(レシピ一覧!P:P,MATCH(使用レシピ!$B97,レシピ一覧!$A:$A,0)))&amp;"")*1,"")</f>
        <v>3.75</v>
      </c>
    </row>
    <row r="98" spans="1:17" x14ac:dyDescent="0.4">
      <c r="A98" s="84">
        <v>1</v>
      </c>
      <c r="B98" s="21" t="str">
        <f t="shared" si="1"/>
        <v>9701</v>
      </c>
      <c r="C98" s="81">
        <f>IF(COUNTIF(レシピ一覧!$B:$B,ROW()-1),ROW()-1,"")</f>
        <v>97</v>
      </c>
      <c r="D98" s="15">
        <f>IF(E98="","",COUNTIF(レシピ一覧!$D$2:$D$500,使用レシピ!E98))</f>
        <v>5</v>
      </c>
      <c r="E98" s="57" t="str">
        <f>IFERROR( INDEX(レシピ一覧!$D:$D,MATCH(使用レシピ!$C98,レシピ一覧!$B:$B,0))&amp;"","")</f>
        <v>空の液体タンク</v>
      </c>
      <c r="F98" s="85" t="str">
        <f>IF($B98 = "","",INDEX(レシピ一覧!E:E,MATCH(使用レシピ!$B98,レシピ一覧!$A:$A,0))) &amp;""</f>
        <v>アルミのインゴット</v>
      </c>
      <c r="G98" s="85" t="str">
        <f>IF($B98 = "","",INDEX(レシピ一覧!F:F,MATCH(使用レシピ!$B98,レシピ一覧!$A:$A,0))) &amp;""</f>
        <v/>
      </c>
      <c r="H98" s="85" t="str">
        <f>IF($B98 = "","",INDEX(レシピ一覧!G:G,MATCH(使用レシピ!$B98,レシピ一覧!$A:$A,0))) &amp;""</f>
        <v/>
      </c>
      <c r="I98" s="85" t="str">
        <f>IF($B98 = "","",INDEX(レシピ一覧!H:H,MATCH(使用レシピ!$B98,レシピ一覧!$A:$A,0))) &amp;""</f>
        <v/>
      </c>
      <c r="J98" s="85" t="str">
        <f>IF($B98 = "","",INDEX(レシピ一覧!I:I,MATCH(使用レシピ!$B98,レシピ一覧!$A:$A,0))) &amp;""</f>
        <v/>
      </c>
      <c r="K98" s="85">
        <f>IFERROR((IF($B98 = "","",INDEX(レシピ一覧!J:J,MATCH(使用レシピ!$B98,レシピ一覧!$A:$A,0)))&amp;"")*1,"")</f>
        <v>1</v>
      </c>
      <c r="L98" s="85" t="str">
        <f>IFERROR((IF($B98 = "","",INDEX(レシピ一覧!K:K,MATCH(使用レシピ!$B98,レシピ一覧!$A:$A,0)))&amp;"")*1,"")</f>
        <v/>
      </c>
      <c r="M98" s="85" t="str">
        <f>IFERROR((IF($B98 = "","",INDEX(レシピ一覧!L:L,MATCH(使用レシピ!$B98,レシピ一覧!$A:$A,0)))&amp;"")*1,"")</f>
        <v/>
      </c>
      <c r="N98" s="85" t="str">
        <f>IFERROR((IF($B98 = "","",INDEX(レシピ一覧!M:M,MATCH(使用レシピ!$B98,レシピ一覧!$A:$A,0)))&amp;"")*1,"")</f>
        <v/>
      </c>
      <c r="O98" s="85" t="str">
        <f>IFERROR((IF($B98 = "","",INDEX(レシピ一覧!N:N,MATCH(使用レシピ!$B98,レシピ一覧!$A:$A,0)))&amp;"")*1,"")</f>
        <v/>
      </c>
      <c r="P98" s="85">
        <f>IFERROR((IF($B98 = "","",INDEX(レシピ一覧!O:O,MATCH(使用レシピ!$B98,レシピ一覧!$A:$A,0)))&amp;"")*1,"")</f>
        <v>1</v>
      </c>
      <c r="Q98" s="86">
        <f>IFERROR((IF($B98 = "","",INDEX(レシピ一覧!P:P,MATCH(使用レシピ!$B98,レシピ一覧!$A:$A,0)))&amp;"")*1,"")</f>
        <v>60</v>
      </c>
    </row>
    <row r="99" spans="1:17" x14ac:dyDescent="0.4">
      <c r="A99" s="84">
        <v>1</v>
      </c>
      <c r="B99" s="21" t="str">
        <f t="shared" si="1"/>
        <v>9801</v>
      </c>
      <c r="C99" s="81">
        <f>IF(COUNTIF(レシピ一覧!$B:$B,ROW()-1),ROW()-1,"")</f>
        <v>98</v>
      </c>
      <c r="D99" s="15">
        <f>IF(E99="","",COUNTIF(レシピ一覧!$D$2:$D$500,使用レシピ!E99))</f>
        <v>1</v>
      </c>
      <c r="E99" s="57" t="str">
        <f>IFERROR( INDEX(レシピ一覧!$D:$D,MATCH(使用レシピ!$C99,レシピ一覧!$B:$B,0))&amp;"","")</f>
        <v>包装済み窒素ガス</v>
      </c>
      <c r="F99" s="85" t="str">
        <f>IF($B99 = "","",INDEX(レシピ一覧!E:E,MATCH(使用レシピ!$B99,レシピ一覧!$A:$A,0))) &amp;""</f>
        <v>窒素ガス</v>
      </c>
      <c r="G99" s="85" t="str">
        <f>IF($B99 = "","",INDEX(レシピ一覧!F:F,MATCH(使用レシピ!$B99,レシピ一覧!$A:$A,0))) &amp;""</f>
        <v>空の液体タンク</v>
      </c>
      <c r="H99" s="85" t="str">
        <f>IF($B99 = "","",INDEX(レシピ一覧!G:G,MATCH(使用レシピ!$B99,レシピ一覧!$A:$A,0))) &amp;""</f>
        <v/>
      </c>
      <c r="I99" s="85" t="str">
        <f>IF($B99 = "","",INDEX(レシピ一覧!H:H,MATCH(使用レシピ!$B99,レシピ一覧!$A:$A,0))) &amp;""</f>
        <v/>
      </c>
      <c r="J99" s="85" t="str">
        <f>IF($B99 = "","",INDEX(レシピ一覧!I:I,MATCH(使用レシピ!$B99,レシピ一覧!$A:$A,0))) &amp;""</f>
        <v/>
      </c>
      <c r="K99" s="85">
        <f>IFERROR((IF($B99 = "","",INDEX(レシピ一覧!J:J,MATCH(使用レシピ!$B99,レシピ一覧!$A:$A,0)))&amp;"")*1,"")</f>
        <v>4</v>
      </c>
      <c r="L99" s="85">
        <f>IFERROR((IF($B99 = "","",INDEX(レシピ一覧!K:K,MATCH(使用レシピ!$B99,レシピ一覧!$A:$A,0)))&amp;"")*1,"")</f>
        <v>1</v>
      </c>
      <c r="M99" s="85" t="str">
        <f>IFERROR((IF($B99 = "","",INDEX(レシピ一覧!L:L,MATCH(使用レシピ!$B99,レシピ一覧!$A:$A,0)))&amp;"")*1,"")</f>
        <v/>
      </c>
      <c r="N99" s="85" t="str">
        <f>IFERROR((IF($B99 = "","",INDEX(レシピ一覧!M:M,MATCH(使用レシピ!$B99,レシピ一覧!$A:$A,0)))&amp;"")*1,"")</f>
        <v/>
      </c>
      <c r="O99" s="85" t="str">
        <f>IFERROR((IF($B99 = "","",INDEX(レシピ一覧!N:N,MATCH(使用レシピ!$B99,レシピ一覧!$A:$A,0)))&amp;"")*1,"")</f>
        <v/>
      </c>
      <c r="P99" s="85">
        <f>IFERROR((IF($B99 = "","",INDEX(レシピ一覧!O:O,MATCH(使用レシピ!$B99,レシピ一覧!$A:$A,0)))&amp;"")*1,"")</f>
        <v>1</v>
      </c>
      <c r="Q99" s="86">
        <f>IFERROR((IF($B99 = "","",INDEX(レシピ一覧!P:P,MATCH(使用レシピ!$B99,レシピ一覧!$A:$A,0)))&amp;"")*1,"")</f>
        <v>60</v>
      </c>
    </row>
    <row r="100" spans="1:17" x14ac:dyDescent="0.4">
      <c r="A100" s="84">
        <v>1</v>
      </c>
      <c r="B100" s="21" t="str">
        <f t="shared" si="1"/>
        <v>9901</v>
      </c>
      <c r="C100" s="81">
        <f>IF(COUNTIF(レシピ一覧!$B:$B,ROW()-1),ROW()-1,"")</f>
        <v>99</v>
      </c>
      <c r="D100" s="15">
        <f>IF(E100="","",COUNTIF(レシピ一覧!$D$2:$D$500,使用レシピ!E100))</f>
        <v>3</v>
      </c>
      <c r="E100" s="57" t="str">
        <f>IFERROR( INDEX(レシピ一覧!$D:$D,MATCH(使用レシピ!$C100,レシピ一覧!$B:$B,0))&amp;"","")</f>
        <v>窒素ガス</v>
      </c>
      <c r="F100" s="85" t="str">
        <f>IF($B100 = "","",INDEX(レシピ一覧!E:E,MATCH(使用レシピ!$B100,レシピ一覧!$A:$A,0))) &amp;""</f>
        <v/>
      </c>
      <c r="G100" s="85" t="str">
        <f>IF($B100 = "","",INDEX(レシピ一覧!F:F,MATCH(使用レシピ!$B100,レシピ一覧!$A:$A,0))) &amp;""</f>
        <v/>
      </c>
      <c r="H100" s="85" t="str">
        <f>IF($B100 = "","",INDEX(レシピ一覧!G:G,MATCH(使用レシピ!$B100,レシピ一覧!$A:$A,0))) &amp;""</f>
        <v/>
      </c>
      <c r="I100" s="85" t="str">
        <f>IF($B100 = "","",INDEX(レシピ一覧!H:H,MATCH(使用レシピ!$B100,レシピ一覧!$A:$A,0))) &amp;""</f>
        <v/>
      </c>
      <c r="J100" s="85" t="str">
        <f>IF($B100 = "","",INDEX(レシピ一覧!I:I,MATCH(使用レシピ!$B100,レシピ一覧!$A:$A,0))) &amp;""</f>
        <v/>
      </c>
      <c r="K100" s="85" t="str">
        <f>IFERROR((IF($B100 = "","",INDEX(レシピ一覧!J:J,MATCH(使用レシピ!$B100,レシピ一覧!$A:$A,0)))&amp;"")*1,"")</f>
        <v/>
      </c>
      <c r="L100" s="85" t="str">
        <f>IFERROR((IF($B100 = "","",INDEX(レシピ一覧!K:K,MATCH(使用レシピ!$B100,レシピ一覧!$A:$A,0)))&amp;"")*1,"")</f>
        <v/>
      </c>
      <c r="M100" s="85" t="str">
        <f>IFERROR((IF($B100 = "","",INDEX(レシピ一覧!L:L,MATCH(使用レシピ!$B100,レシピ一覧!$A:$A,0)))&amp;"")*1,"")</f>
        <v/>
      </c>
      <c r="N100" s="85" t="str">
        <f>IFERROR((IF($B100 = "","",INDEX(レシピ一覧!M:M,MATCH(使用レシピ!$B100,レシピ一覧!$A:$A,0)))&amp;"")*1,"")</f>
        <v/>
      </c>
      <c r="O100" s="85" t="str">
        <f>IFERROR((IF($B100 = "","",INDEX(レシピ一覧!N:N,MATCH(使用レシピ!$B100,レシピ一覧!$A:$A,0)))&amp;"")*1,"")</f>
        <v/>
      </c>
      <c r="P100" s="85">
        <f>IFERROR((IF($B100 = "","",INDEX(レシピ一覧!O:O,MATCH(使用レシピ!$B100,レシピ一覧!$A:$A,0)))&amp;"")*1,"")</f>
        <v>1</v>
      </c>
      <c r="Q100" s="86">
        <f>IFERROR((IF($B100 = "","",INDEX(レシピ一覧!P:P,MATCH(使用レシピ!$B100,レシピ一覧!$A:$A,0)))&amp;"")*1,"")</f>
        <v>600</v>
      </c>
    </row>
    <row r="101" spans="1:17" x14ac:dyDescent="0.4">
      <c r="A101" s="84">
        <v>1</v>
      </c>
      <c r="B101" s="21" t="str">
        <f t="shared" si="1"/>
        <v>10001</v>
      </c>
      <c r="C101" s="81">
        <f>IF(COUNTIF(レシピ一覧!$B:$B,ROW()-1),ROW()-1,"")</f>
        <v>100</v>
      </c>
      <c r="D101" s="15">
        <f>IF(E101="","",COUNTIF(レシピ一覧!$D$2:$D$500,使用レシピ!E101))</f>
        <v>2</v>
      </c>
      <c r="E101" s="57" t="str">
        <f>IFERROR( INDEX(レシピ一覧!$D:$D,MATCH(使用レシピ!$C101,レシピ一覧!$B:$B,0))&amp;"","")</f>
        <v>ヒートシンク</v>
      </c>
      <c r="F101" s="85" t="str">
        <f>IF($B101 = "","",INDEX(レシピ一覧!E:E,MATCH(使用レシピ!$B101,レシピ一覧!$A:$A,0))) &amp;""</f>
        <v>アルクラッド・アルミシート</v>
      </c>
      <c r="G101" s="85" t="str">
        <f>IF($B101 = "","",INDEX(レシピ一覧!F:F,MATCH(使用レシピ!$B101,レシピ一覧!$A:$A,0))) &amp;""</f>
        <v>銅板</v>
      </c>
      <c r="H101" s="85" t="str">
        <f>IF($B101 = "","",INDEX(レシピ一覧!G:G,MATCH(使用レシピ!$B101,レシピ一覧!$A:$A,0))) &amp;""</f>
        <v/>
      </c>
      <c r="I101" s="85" t="str">
        <f>IF($B101 = "","",INDEX(レシピ一覧!H:H,MATCH(使用レシピ!$B101,レシピ一覧!$A:$A,0))) &amp;""</f>
        <v/>
      </c>
      <c r="J101" s="85" t="str">
        <f>IF($B101 = "","",INDEX(レシピ一覧!I:I,MATCH(使用レシピ!$B101,レシピ一覧!$A:$A,0))) &amp;""</f>
        <v/>
      </c>
      <c r="K101" s="85">
        <f>IFERROR((IF($B101 = "","",INDEX(レシピ一覧!J:J,MATCH(使用レシピ!$B101,レシピ一覧!$A:$A,0)))&amp;"")*1,"")</f>
        <v>5</v>
      </c>
      <c r="L101" s="85">
        <f>IFERROR((IF($B101 = "","",INDEX(レシピ一覧!K:K,MATCH(使用レシピ!$B101,レシピ一覧!$A:$A,0)))&amp;"")*1,"")</f>
        <v>3</v>
      </c>
      <c r="M101" s="85" t="str">
        <f>IFERROR((IF($B101 = "","",INDEX(レシピ一覧!L:L,MATCH(使用レシピ!$B101,レシピ一覧!$A:$A,0)))&amp;"")*1,"")</f>
        <v/>
      </c>
      <c r="N101" s="85" t="str">
        <f>IFERROR((IF($B101 = "","",INDEX(レシピ一覧!M:M,MATCH(使用レシピ!$B101,レシピ一覧!$A:$A,0)))&amp;"")*1,"")</f>
        <v/>
      </c>
      <c r="O101" s="85" t="str">
        <f>IFERROR((IF($B101 = "","",INDEX(レシピ一覧!N:N,MATCH(使用レシピ!$B101,レシピ一覧!$A:$A,0)))&amp;"")*1,"")</f>
        <v/>
      </c>
      <c r="P101" s="85">
        <f>IFERROR((IF($B101 = "","",INDEX(レシピ一覧!O:O,MATCH(使用レシピ!$B101,レシピ一覧!$A:$A,0)))&amp;"")*1,"")</f>
        <v>1</v>
      </c>
      <c r="Q101" s="86">
        <f>IFERROR((IF($B101 = "","",INDEX(レシピ一覧!P:P,MATCH(使用レシピ!$B101,レシピ一覧!$A:$A,0)))&amp;"")*1,"")</f>
        <v>7.5</v>
      </c>
    </row>
    <row r="102" spans="1:17" x14ac:dyDescent="0.4">
      <c r="A102" s="84">
        <v>1</v>
      </c>
      <c r="B102" s="21" t="str">
        <f t="shared" si="1"/>
        <v>10101</v>
      </c>
      <c r="C102" s="81">
        <f>IF(COUNTIF(レシピ一覧!$B:$B,ROW()-1),ROW()-1,"")</f>
        <v>101</v>
      </c>
      <c r="D102" s="15">
        <f>IF(E102="","",COUNTIF(レシピ一覧!$D$2:$D$500,使用レシピ!E102))</f>
        <v>2</v>
      </c>
      <c r="E102" s="57" t="str">
        <f>IFERROR( INDEX(レシピ一覧!$D:$D,MATCH(使用レシピ!$C102,レシピ一覧!$B:$B,0))&amp;"","")</f>
        <v>冷却システム</v>
      </c>
      <c r="F102" s="85" t="str">
        <f>IF($B102 = "","",INDEX(レシピ一覧!E:E,MATCH(使用レシピ!$B102,レシピ一覧!$A:$A,0))) &amp;""</f>
        <v>ヒートシンク</v>
      </c>
      <c r="G102" s="85" t="str">
        <f>IF($B102 = "","",INDEX(レシピ一覧!F:F,MATCH(使用レシピ!$B102,レシピ一覧!$A:$A,0))) &amp;""</f>
        <v>ゴム</v>
      </c>
      <c r="H102" s="85" t="str">
        <f>IF($B102 = "","",INDEX(レシピ一覧!G:G,MATCH(使用レシピ!$B102,レシピ一覧!$A:$A,0))) &amp;""</f>
        <v>水</v>
      </c>
      <c r="I102" s="85" t="str">
        <f>IF($B102 = "","",INDEX(レシピ一覧!H:H,MATCH(使用レシピ!$B102,レシピ一覧!$A:$A,0))) &amp;""</f>
        <v>窒素ガス</v>
      </c>
      <c r="J102" s="85" t="str">
        <f>IF($B102 = "","",INDEX(レシピ一覧!I:I,MATCH(使用レシピ!$B102,レシピ一覧!$A:$A,0))) &amp;""</f>
        <v/>
      </c>
      <c r="K102" s="85">
        <f>IFERROR((IF($B102 = "","",INDEX(レシピ一覧!J:J,MATCH(使用レシピ!$B102,レシピ一覧!$A:$A,0)))&amp;"")*1,"")</f>
        <v>2</v>
      </c>
      <c r="L102" s="85">
        <f>IFERROR((IF($B102 = "","",INDEX(レシピ一覧!K:K,MATCH(使用レシピ!$B102,レシピ一覧!$A:$A,0)))&amp;"")*1,"")</f>
        <v>2</v>
      </c>
      <c r="M102" s="85">
        <f>IFERROR((IF($B102 = "","",INDEX(レシピ一覧!L:L,MATCH(使用レシピ!$B102,レシピ一覧!$A:$A,0)))&amp;"")*1,"")</f>
        <v>5</v>
      </c>
      <c r="N102" s="85">
        <f>IFERROR((IF($B102 = "","",INDEX(レシピ一覧!M:M,MATCH(使用レシピ!$B102,レシピ一覧!$A:$A,0)))&amp;"")*1,"")</f>
        <v>25</v>
      </c>
      <c r="O102" s="85" t="str">
        <f>IFERROR((IF($B102 = "","",INDEX(レシピ一覧!N:N,MATCH(使用レシピ!$B102,レシピ一覧!$A:$A,0)))&amp;"")*1,"")</f>
        <v/>
      </c>
      <c r="P102" s="85">
        <f>IFERROR((IF($B102 = "","",INDEX(レシピ一覧!O:O,MATCH(使用レシピ!$B102,レシピ一覧!$A:$A,0)))&amp;"")*1,"")</f>
        <v>1</v>
      </c>
      <c r="Q102" s="86">
        <f>IFERROR((IF($B102 = "","",INDEX(レシピ一覧!P:P,MATCH(使用レシピ!$B102,レシピ一覧!$A:$A,0)))&amp;"")*1,"")</f>
        <v>6</v>
      </c>
    </row>
    <row r="103" spans="1:17" x14ac:dyDescent="0.4">
      <c r="A103" s="84">
        <v>1</v>
      </c>
      <c r="B103" s="21" t="str">
        <f t="shared" si="1"/>
        <v>10201</v>
      </c>
      <c r="C103" s="81">
        <f>IF(COUNTIF(レシピ一覧!$B:$B,ROW()-1),ROW()-1,"")</f>
        <v>102</v>
      </c>
      <c r="D103" s="15">
        <f>IF(E103="","",COUNTIF(レシピ一覧!$D$2:$D$500,使用レシピ!E103))</f>
        <v>2</v>
      </c>
      <c r="E103" s="57" t="str">
        <f>IFERROR( INDEX(レシピ一覧!$D:$D,MATCH(使用レシピ!$C103,レシピ一覧!$B:$B,0))&amp;"","")</f>
        <v>溶融モジュラー・フレーム</v>
      </c>
      <c r="F103" s="85" t="str">
        <f>IF($B103 = "","",INDEX(レシピ一覧!E:E,MATCH(使用レシピ!$B103,レシピ一覧!$A:$A,0))) &amp;""</f>
        <v>ヘビー・モジュラー・フレーム</v>
      </c>
      <c r="G103" s="85" t="str">
        <f>IF($B103 = "","",INDEX(レシピ一覧!F:F,MATCH(使用レシピ!$B103,レシピ一覧!$A:$A,0))) &amp;""</f>
        <v>アルミ筐体</v>
      </c>
      <c r="H103" s="85" t="str">
        <f>IF($B103 = "","",INDEX(レシピ一覧!G:G,MATCH(使用レシピ!$B103,レシピ一覧!$A:$A,0))) &amp;""</f>
        <v>窒素ガス</v>
      </c>
      <c r="I103" s="85" t="str">
        <f>IF($B103 = "","",INDEX(レシピ一覧!H:H,MATCH(使用レシピ!$B103,レシピ一覧!$A:$A,0))) &amp;""</f>
        <v/>
      </c>
      <c r="J103" s="85" t="str">
        <f>IF($B103 = "","",INDEX(レシピ一覧!I:I,MATCH(使用レシピ!$B103,レシピ一覧!$A:$A,0))) &amp;""</f>
        <v/>
      </c>
      <c r="K103" s="85">
        <f>IFERROR((IF($B103 = "","",INDEX(レシピ一覧!J:J,MATCH(使用レシピ!$B103,レシピ一覧!$A:$A,0)))&amp;"")*1,"")</f>
        <v>1</v>
      </c>
      <c r="L103" s="85">
        <f>IFERROR((IF($B103 = "","",INDEX(レシピ一覧!K:K,MATCH(使用レシピ!$B103,レシピ一覧!$A:$A,0)))&amp;"")*1,"")</f>
        <v>50</v>
      </c>
      <c r="M103" s="85">
        <f>IFERROR((IF($B103 = "","",INDEX(レシピ一覧!L:L,MATCH(使用レシピ!$B103,レシピ一覧!$A:$A,0)))&amp;"")*1,"")</f>
        <v>25</v>
      </c>
      <c r="N103" s="85" t="str">
        <f>IFERROR((IF($B103 = "","",INDEX(レシピ一覧!M:M,MATCH(使用レシピ!$B103,レシピ一覧!$A:$A,0)))&amp;"")*1,"")</f>
        <v/>
      </c>
      <c r="O103" s="85" t="str">
        <f>IFERROR((IF($B103 = "","",INDEX(レシピ一覧!N:N,MATCH(使用レシピ!$B103,レシピ一覧!$A:$A,0)))&amp;"")*1,"")</f>
        <v/>
      </c>
      <c r="P103" s="85">
        <f>IFERROR((IF($B103 = "","",INDEX(レシピ一覧!O:O,MATCH(使用レシピ!$B103,レシピ一覧!$A:$A,0)))&amp;"")*1,"")</f>
        <v>1</v>
      </c>
      <c r="Q103" s="86">
        <f>IFERROR((IF($B103 = "","",INDEX(レシピ一覧!P:P,MATCH(使用レシピ!$B103,レシピ一覧!$A:$A,0)))&amp;"")*1,"")</f>
        <v>1.5</v>
      </c>
    </row>
    <row r="104" spans="1:17" x14ac:dyDescent="0.4">
      <c r="A104" s="84">
        <v>1</v>
      </c>
      <c r="B104" s="21" t="str">
        <f t="shared" si="1"/>
        <v>10301</v>
      </c>
      <c r="C104" s="81">
        <f>IF(COUNTIF(レシピ一覧!$B:$B,ROW()-1),ROW()-1,"")</f>
        <v>103</v>
      </c>
      <c r="D104" s="15">
        <f>IF(E104="","",COUNTIF(レシピ一覧!$D$2:$D$500,使用レシピ!E104))</f>
        <v>1</v>
      </c>
      <c r="E104" s="57" t="str">
        <f>IFERROR( INDEX(レシピ一覧!$D:$D,MATCH(使用レシピ!$C104,レシピ一覧!$B:$B,0))&amp;"","")</f>
        <v>溶解シリカ</v>
      </c>
      <c r="F104" s="85" t="str">
        <f>IF($B104 = "","",INDEX(レシピ一覧!E:E,MATCH(使用レシピ!$B104,レシピ一覧!$A:$A,0))) &amp;""</f>
        <v>未加工石英</v>
      </c>
      <c r="G104" s="85" t="str">
        <f>IF($B104 = "","",INDEX(レシピ一覧!F:F,MATCH(使用レシピ!$B104,レシピ一覧!$A:$A,0))) &amp;""</f>
        <v>硝酸</v>
      </c>
      <c r="H104" s="85" t="str">
        <f>IF($B104 = "","",INDEX(レシピ一覧!G:G,MATCH(使用レシピ!$B104,レシピ一覧!$A:$A,0))) &amp;""</f>
        <v/>
      </c>
      <c r="I104" s="85" t="str">
        <f>IF($B104 = "","",INDEX(レシピ一覧!H:H,MATCH(使用レシピ!$B104,レシピ一覧!$A:$A,0))) &amp;""</f>
        <v/>
      </c>
      <c r="J104" s="85" t="str">
        <f>IF($B104 = "","",INDEX(レシピ一覧!I:I,MATCH(使用レシピ!$B104,レシピ一覧!$A:$A,0))) &amp;""</f>
        <v>石英結晶</v>
      </c>
      <c r="K104" s="85">
        <f>IFERROR((IF($B104 = "","",INDEX(レシピ一覧!J:J,MATCH(使用レシピ!$B104,レシピ一覧!$A:$A,0)))&amp;"")*1,"")</f>
        <v>24</v>
      </c>
      <c r="L104" s="85">
        <f>IFERROR((IF($B104 = "","",INDEX(レシピ一覧!K:K,MATCH(使用レシピ!$B104,レシピ一覧!$A:$A,0)))&amp;"")*1,"")</f>
        <v>2</v>
      </c>
      <c r="M104" s="85" t="str">
        <f>IFERROR((IF($B104 = "","",INDEX(レシピ一覧!L:L,MATCH(使用レシピ!$B104,レシピ一覧!$A:$A,0)))&amp;"")*1,"")</f>
        <v/>
      </c>
      <c r="N104" s="85" t="str">
        <f>IFERROR((IF($B104 = "","",INDEX(レシピ一覧!M:M,MATCH(使用レシピ!$B104,レシピ一覧!$A:$A,0)))&amp;"")*1,"")</f>
        <v/>
      </c>
      <c r="O104" s="85">
        <f>IFERROR((IF($B104 = "","",INDEX(レシピ一覧!N:N,MATCH(使用レシピ!$B104,レシピ一覧!$A:$A,0)))&amp;"")*1,"")</f>
        <v>15</v>
      </c>
      <c r="P104" s="85">
        <f>IFERROR((IF($B104 = "","",INDEX(レシピ一覧!O:O,MATCH(使用レシピ!$B104,レシピ一覧!$A:$A,0)))&amp;"")*1,"")</f>
        <v>12</v>
      </c>
      <c r="Q104" s="86">
        <f>IFERROR((IF($B104 = "","",INDEX(レシピ一覧!P:P,MATCH(使用レシピ!$B104,レシピ一覧!$A:$A,0)))&amp;"")*1,"")</f>
        <v>60</v>
      </c>
    </row>
    <row r="105" spans="1:17" x14ac:dyDescent="0.4">
      <c r="A105" s="84">
        <v>1</v>
      </c>
      <c r="B105" s="21" t="str">
        <f t="shared" si="1"/>
        <v>10401</v>
      </c>
      <c r="C105" s="81">
        <f>IF(COUNTIF(レシピ一覧!$B:$B,ROW()-1),ROW()-1,"")</f>
        <v>104</v>
      </c>
      <c r="D105" s="15">
        <f>IF(E105="","",COUNTIF(レシピ一覧!$D$2:$D$500,使用レシピ!E105))</f>
        <v>2</v>
      </c>
      <c r="E105" s="57" t="str">
        <f>IFERROR( INDEX(レシピ一覧!$D:$D,MATCH(使用レシピ!$C105,レシピ一覧!$B:$B,0))&amp;"","")</f>
        <v>硝酸</v>
      </c>
      <c r="F105" s="85" t="str">
        <f>IF($B105 = "","",INDEX(レシピ一覧!E:E,MATCH(使用レシピ!$B105,レシピ一覧!$A:$A,0))) &amp;""</f>
        <v>窒素ガス</v>
      </c>
      <c r="G105" s="85" t="str">
        <f>IF($B105 = "","",INDEX(レシピ一覧!F:F,MATCH(使用レシピ!$B105,レシピ一覧!$A:$A,0))) &amp;""</f>
        <v>水</v>
      </c>
      <c r="H105" s="85" t="str">
        <f>IF($B105 = "","",INDEX(レシピ一覧!G:G,MATCH(使用レシピ!$B105,レシピ一覧!$A:$A,0))) &amp;""</f>
        <v>鉄板</v>
      </c>
      <c r="I105" s="85" t="str">
        <f>IF($B105 = "","",INDEX(レシピ一覧!H:H,MATCH(使用レシピ!$B105,レシピ一覧!$A:$A,0))) &amp;""</f>
        <v/>
      </c>
      <c r="J105" s="85" t="str">
        <f>IF($B105 = "","",INDEX(レシピ一覧!I:I,MATCH(使用レシピ!$B105,レシピ一覧!$A:$A,0))) &amp;""</f>
        <v/>
      </c>
      <c r="K105" s="85">
        <f>IFERROR((IF($B105 = "","",INDEX(レシピ一覧!J:J,MATCH(使用レシピ!$B105,レシピ一覧!$A:$A,0)))&amp;"")*1,"")</f>
        <v>12</v>
      </c>
      <c r="L105" s="85">
        <f>IFERROR((IF($B105 = "","",INDEX(レシピ一覧!K:K,MATCH(使用レシピ!$B105,レシピ一覧!$A:$A,0)))&amp;"")*1,"")</f>
        <v>3</v>
      </c>
      <c r="M105" s="85">
        <f>IFERROR((IF($B105 = "","",INDEX(レシピ一覧!L:L,MATCH(使用レシピ!$B105,レシピ一覧!$A:$A,0)))&amp;"")*1,"")</f>
        <v>1</v>
      </c>
      <c r="N105" s="85" t="str">
        <f>IFERROR((IF($B105 = "","",INDEX(レシピ一覧!M:M,MATCH(使用レシピ!$B105,レシピ一覧!$A:$A,0)))&amp;"")*1,"")</f>
        <v/>
      </c>
      <c r="O105" s="85" t="str">
        <f>IFERROR((IF($B105 = "","",INDEX(レシピ一覧!N:N,MATCH(使用レシピ!$B105,レシピ一覧!$A:$A,0)))&amp;"")*1,"")</f>
        <v/>
      </c>
      <c r="P105" s="85">
        <f>IFERROR((IF($B105 = "","",INDEX(レシピ一覧!O:O,MATCH(使用レシピ!$B105,レシピ一覧!$A:$A,0)))&amp;"")*1,"")</f>
        <v>3</v>
      </c>
      <c r="Q105" s="86">
        <f>IFERROR((IF($B105 = "","",INDEX(レシピ一覧!P:P,MATCH(使用レシピ!$B105,レシピ一覧!$A:$A,0)))&amp;"")*1,"")</f>
        <v>30</v>
      </c>
    </row>
    <row r="106" spans="1:17" x14ac:dyDescent="0.4">
      <c r="A106" s="84">
        <v>1</v>
      </c>
      <c r="B106" s="21" t="str">
        <f t="shared" si="1"/>
        <v>10501</v>
      </c>
      <c r="C106" s="81">
        <f>IF(COUNTIF(レシピ一覧!$B:$B,ROW()-1),ROW()-1,"")</f>
        <v>105</v>
      </c>
      <c r="D106" s="15">
        <f>IF(E106="","",COUNTIF(レシピ一覧!$D$2:$D$500,使用レシピ!E106))</f>
        <v>3</v>
      </c>
      <c r="E106" s="57" t="str">
        <f>IFERROR( INDEX(レシピ一覧!$D:$D,MATCH(使用レシピ!$C106,レシピ一覧!$B:$B,0))&amp;"","")</f>
        <v>ターボ・モーター</v>
      </c>
      <c r="F106" s="85" t="str">
        <f>IF($B106 = "","",INDEX(レシピ一覧!E:E,MATCH(使用レシピ!$B106,レシピ一覧!$A:$A,0))) &amp;""</f>
        <v>冷却システム</v>
      </c>
      <c r="G106" s="85" t="str">
        <f>IF($B106 = "","",INDEX(レシピ一覧!F:F,MATCH(使用レシピ!$B106,レシピ一覧!$A:$A,0))) &amp;""</f>
        <v>無線制御ユニット</v>
      </c>
      <c r="H106" s="85" t="str">
        <f>IF($B106 = "","",INDEX(レシピ一覧!G:G,MATCH(使用レシピ!$B106,レシピ一覧!$A:$A,0))) &amp;""</f>
        <v>モーター</v>
      </c>
      <c r="I106" s="85" t="str">
        <f>IF($B106 = "","",INDEX(レシピ一覧!H:H,MATCH(使用レシピ!$B106,レシピ一覧!$A:$A,0))) &amp;""</f>
        <v>ゴム</v>
      </c>
      <c r="J106" s="85" t="str">
        <f>IF($B106 = "","",INDEX(レシピ一覧!I:I,MATCH(使用レシピ!$B106,レシピ一覧!$A:$A,0))) &amp;""</f>
        <v/>
      </c>
      <c r="K106" s="85">
        <f>IFERROR((IF($B106 = "","",INDEX(レシピ一覧!J:J,MATCH(使用レシピ!$B106,レシピ一覧!$A:$A,0)))&amp;"")*1,"")</f>
        <v>4</v>
      </c>
      <c r="L106" s="85">
        <f>IFERROR((IF($B106 = "","",INDEX(レシピ一覧!K:K,MATCH(使用レシピ!$B106,レシピ一覧!$A:$A,0)))&amp;"")*1,"")</f>
        <v>2</v>
      </c>
      <c r="M106" s="85">
        <f>IFERROR((IF($B106 = "","",INDEX(レシピ一覧!L:L,MATCH(使用レシピ!$B106,レシピ一覧!$A:$A,0)))&amp;"")*1,"")</f>
        <v>4</v>
      </c>
      <c r="N106" s="85">
        <f>IFERROR((IF($B106 = "","",INDEX(レシピ一覧!M:M,MATCH(使用レシピ!$B106,レシピ一覧!$A:$A,0)))&amp;"")*1,"")</f>
        <v>24</v>
      </c>
      <c r="O106" s="85" t="str">
        <f>IFERROR((IF($B106 = "","",INDEX(レシピ一覧!N:N,MATCH(使用レシピ!$B106,レシピ一覧!$A:$A,0)))&amp;"")*1,"")</f>
        <v/>
      </c>
      <c r="P106" s="85">
        <f>IFERROR((IF($B106 = "","",INDEX(レシピ一覧!O:O,MATCH(使用レシピ!$B106,レシピ一覧!$A:$A,0)))&amp;"")*1,"")</f>
        <v>1</v>
      </c>
      <c r="Q106" s="86">
        <f>IFERROR((IF($B106 = "","",INDEX(レシピ一覧!P:P,MATCH(使用レシピ!$B106,レシピ一覧!$A:$A,0)))&amp;"")*1,"")</f>
        <v>1.875</v>
      </c>
    </row>
    <row r="107" spans="1:17" x14ac:dyDescent="0.4">
      <c r="A107" s="84">
        <v>1</v>
      </c>
      <c r="B107" s="21" t="str">
        <f t="shared" si="1"/>
        <v>10601</v>
      </c>
      <c r="C107" s="81">
        <f>IF(COUNTIF(レシピ一覧!$B:$B,ROW()-1),ROW()-1,"")</f>
        <v>106</v>
      </c>
      <c r="D107" s="15">
        <f>IF(E107="","",COUNTIF(レシピ一覧!$D$2:$D$500,使用レシピ!E107))</f>
        <v>1</v>
      </c>
      <c r="E107" s="57" t="str">
        <f>IFERROR( INDEX(レシピ一覧!$D:$D,MATCH(使用レシピ!$C107,レシピ一覧!$B:$B,0))&amp;"","")</f>
        <v>熱推進型ロケット</v>
      </c>
      <c r="F107" s="85" t="str">
        <f>IF($B107 = "","",INDEX(レシピ一覧!E:E,MATCH(使用レシピ!$B107,レシピ一覧!$A:$A,0))) &amp;""</f>
        <v>モジュラーエンジン</v>
      </c>
      <c r="G107" s="85" t="str">
        <f>IF($B107 = "","",INDEX(レシピ一覧!F:F,MATCH(使用レシピ!$B107,レシピ一覧!$A:$A,0))) &amp;""</f>
        <v>ターボ・モーター</v>
      </c>
      <c r="H107" s="85" t="str">
        <f>IF($B107 = "","",INDEX(レシピ一覧!G:G,MATCH(使用レシピ!$B107,レシピ一覧!$A:$A,0))) &amp;""</f>
        <v>冷却システム</v>
      </c>
      <c r="I107" s="85" t="str">
        <f>IF($B107 = "","",INDEX(レシピ一覧!H:H,MATCH(使用レシピ!$B107,レシピ一覧!$A:$A,0))) &amp;""</f>
        <v>溶融モジュラー・フレーム</v>
      </c>
      <c r="J107" s="85" t="str">
        <f>IF($B107 = "","",INDEX(レシピ一覧!I:I,MATCH(使用レシピ!$B107,レシピ一覧!$A:$A,0))) &amp;""</f>
        <v/>
      </c>
      <c r="K107" s="85">
        <f>IFERROR((IF($B107 = "","",INDEX(レシピ一覧!J:J,MATCH(使用レシピ!$B107,レシピ一覧!$A:$A,0)))&amp;"")*1,"")</f>
        <v>5</v>
      </c>
      <c r="L107" s="85">
        <f>IFERROR((IF($B107 = "","",INDEX(レシピ一覧!K:K,MATCH(使用レシピ!$B107,レシピ一覧!$A:$A,0)))&amp;"")*1,"")</f>
        <v>2</v>
      </c>
      <c r="M107" s="85">
        <f>IFERROR((IF($B107 = "","",INDEX(レシピ一覧!L:L,MATCH(使用レシピ!$B107,レシピ一覧!$A:$A,0)))&amp;"")*1,"")</f>
        <v>6</v>
      </c>
      <c r="N107" s="85">
        <f>IFERROR((IF($B107 = "","",INDEX(レシピ一覧!M:M,MATCH(使用レシピ!$B107,レシピ一覧!$A:$A,0)))&amp;"")*1,"")</f>
        <v>2</v>
      </c>
      <c r="O107" s="85" t="str">
        <f>IFERROR((IF($B107 = "","",INDEX(レシピ一覧!N:N,MATCH(使用レシピ!$B107,レシピ一覧!$A:$A,0)))&amp;"")*1,"")</f>
        <v/>
      </c>
      <c r="P107" s="85">
        <f>IFERROR((IF($B107 = "","",INDEX(レシピ一覧!O:O,MATCH(使用レシピ!$B107,レシピ一覧!$A:$A,0)))&amp;"")*1,"")</f>
        <v>2</v>
      </c>
      <c r="Q107" s="86">
        <f>IFERROR((IF($B107 = "","",INDEX(レシピ一覧!P:P,MATCH(使用レシピ!$B107,レシピ一覧!$A:$A,0)))&amp;"")*1,"")</f>
        <v>1</v>
      </c>
    </row>
    <row r="108" spans="1:17" x14ac:dyDescent="0.4">
      <c r="A108" s="84">
        <v>1</v>
      </c>
      <c r="B108" s="21" t="str">
        <f t="shared" si="1"/>
        <v>10701</v>
      </c>
      <c r="C108" s="81">
        <f>IF(COUNTIF(レシピ一覧!$B:$B,ROW()-1),ROW()-1,"")</f>
        <v>107</v>
      </c>
      <c r="D108" s="15">
        <f>IF(E108="","",COUNTIF(レシピ一覧!$D$2:$D$500,使用レシピ!E108))</f>
        <v>2</v>
      </c>
      <c r="E108" s="57" t="str">
        <f>IFERROR( INDEX(レシピ一覧!$D:$D,MATCH(使用レシピ!$C108,レシピ一覧!$B:$B,0))&amp;"","")</f>
        <v>被覆型ウラン・セル</v>
      </c>
      <c r="F108" s="85" t="str">
        <f>IF($B108 = "","",INDEX(レシピ一覧!E:E,MATCH(使用レシピ!$B108,レシピ一覧!$A:$A,0))) &amp;""</f>
        <v>ウラン</v>
      </c>
      <c r="G108" s="85" t="str">
        <f>IF($B108 = "","",INDEX(レシピ一覧!F:F,MATCH(使用レシピ!$B108,レシピ一覧!$A:$A,0))) &amp;""</f>
        <v>コンクリート</v>
      </c>
      <c r="H108" s="85" t="str">
        <f>IF($B108 = "","",INDEX(レシピ一覧!G:G,MATCH(使用レシピ!$B108,レシピ一覧!$A:$A,0))) &amp;""</f>
        <v>硫酸</v>
      </c>
      <c r="I108" s="85" t="str">
        <f>IF($B108 = "","",INDEX(レシピ一覧!H:H,MATCH(使用レシピ!$B108,レシピ一覧!$A:$A,0))) &amp;""</f>
        <v/>
      </c>
      <c r="J108" s="85" t="str">
        <f>IF($B108 = "","",INDEX(レシピ一覧!I:I,MATCH(使用レシピ!$B108,レシピ一覧!$A:$A,0))) &amp;""</f>
        <v>硫酸</v>
      </c>
      <c r="K108" s="85">
        <f>IFERROR((IF($B108 = "","",INDEX(レシピ一覧!J:J,MATCH(使用レシピ!$B108,レシピ一覧!$A:$A,0)))&amp;"")*1,"")</f>
        <v>10</v>
      </c>
      <c r="L108" s="85">
        <f>IFERROR((IF($B108 = "","",INDEX(レシピ一覧!K:K,MATCH(使用レシピ!$B108,レシピ一覧!$A:$A,0)))&amp;"")*1,"")</f>
        <v>3</v>
      </c>
      <c r="M108" s="85">
        <f>IFERROR((IF($B108 = "","",INDEX(レシピ一覧!L:L,MATCH(使用レシピ!$B108,レシピ一覧!$A:$A,0)))&amp;"")*1,"")</f>
        <v>8</v>
      </c>
      <c r="N108" s="85" t="str">
        <f>IFERROR((IF($B108 = "","",INDEX(レシピ一覧!M:M,MATCH(使用レシピ!$B108,レシピ一覧!$A:$A,0)))&amp;"")*1,"")</f>
        <v/>
      </c>
      <c r="O108" s="85">
        <f>IFERROR((IF($B108 = "","",INDEX(レシピ一覧!N:N,MATCH(使用レシピ!$B108,レシピ一覧!$A:$A,0)))&amp;"")*1,"")</f>
        <v>2</v>
      </c>
      <c r="P108" s="85">
        <f>IFERROR((IF($B108 = "","",INDEX(レシピ一覧!O:O,MATCH(使用レシピ!$B108,レシピ一覧!$A:$A,0)))&amp;"")*1,"")</f>
        <v>5</v>
      </c>
      <c r="Q108" s="86">
        <f>IFERROR((IF($B108 = "","",INDEX(レシピ一覧!P:P,MATCH(使用レシピ!$B108,レシピ一覧!$A:$A,0)))&amp;"")*1,"")</f>
        <v>25</v>
      </c>
    </row>
    <row r="109" spans="1:17" x14ac:dyDescent="0.4">
      <c r="A109" s="84">
        <v>1</v>
      </c>
      <c r="B109" s="21" t="str">
        <f t="shared" si="1"/>
        <v>10801</v>
      </c>
      <c r="C109" s="81">
        <f>IF(COUNTIF(レシピ一覧!$B:$B,ROW()-1),ROW()-1,"")</f>
        <v>108</v>
      </c>
      <c r="D109" s="15">
        <f>IF(E109="","",COUNTIF(レシピ一覧!$D$2:$D$500,使用レシピ!E109))</f>
        <v>2</v>
      </c>
      <c r="E109" s="57" t="str">
        <f>IFERROR( INDEX(レシピ一覧!$D:$D,MATCH(使用レシピ!$C109,レシピ一覧!$B:$B,0))&amp;"","")</f>
        <v>ウラン</v>
      </c>
      <c r="F109" s="85" t="str">
        <f>IF($B109 = "","",INDEX(レシピ一覧!E:E,MATCH(使用レシピ!$B109,レシピ一覧!$A:$A,0))) &amp;""</f>
        <v/>
      </c>
      <c r="G109" s="85" t="str">
        <f>IF($B109 = "","",INDEX(レシピ一覧!F:F,MATCH(使用レシピ!$B109,レシピ一覧!$A:$A,0))) &amp;""</f>
        <v/>
      </c>
      <c r="H109" s="85" t="str">
        <f>IF($B109 = "","",INDEX(レシピ一覧!G:G,MATCH(使用レシピ!$B109,レシピ一覧!$A:$A,0))) &amp;""</f>
        <v/>
      </c>
      <c r="I109" s="85" t="str">
        <f>IF($B109 = "","",INDEX(レシピ一覧!H:H,MATCH(使用レシピ!$B109,レシピ一覧!$A:$A,0))) &amp;""</f>
        <v/>
      </c>
      <c r="J109" s="85" t="str">
        <f>IF($B109 = "","",INDEX(レシピ一覧!I:I,MATCH(使用レシピ!$B109,レシピ一覧!$A:$A,0))) &amp;""</f>
        <v/>
      </c>
      <c r="K109" s="85" t="str">
        <f>IFERROR((IF($B109 = "","",INDEX(レシピ一覧!J:J,MATCH(使用レシピ!$B109,レシピ一覧!$A:$A,0)))&amp;"")*1,"")</f>
        <v/>
      </c>
      <c r="L109" s="85" t="str">
        <f>IFERROR((IF($B109 = "","",INDEX(レシピ一覧!K:K,MATCH(使用レシピ!$B109,レシピ一覧!$A:$A,0)))&amp;"")*1,"")</f>
        <v/>
      </c>
      <c r="M109" s="85" t="str">
        <f>IFERROR((IF($B109 = "","",INDEX(レシピ一覧!L:L,MATCH(使用レシピ!$B109,レシピ一覧!$A:$A,0)))&amp;"")*1,"")</f>
        <v/>
      </c>
      <c r="N109" s="85" t="str">
        <f>IFERROR((IF($B109 = "","",INDEX(レシピ一覧!M:M,MATCH(使用レシピ!$B109,レシピ一覧!$A:$A,0)))&amp;"")*1,"")</f>
        <v/>
      </c>
      <c r="O109" s="85" t="str">
        <f>IFERROR((IF($B109 = "","",INDEX(レシピ一覧!N:N,MATCH(使用レシピ!$B109,レシピ一覧!$A:$A,0)))&amp;"")*1,"")</f>
        <v/>
      </c>
      <c r="P109" s="85">
        <f>IFERROR((IF($B109 = "","",INDEX(レシピ一覧!O:O,MATCH(使用レシピ!$B109,レシピ一覧!$A:$A,0)))&amp;"")*1,"")</f>
        <v>1</v>
      </c>
      <c r="Q109" s="86">
        <f>IFERROR((IF($B109 = "","",INDEX(レシピ一覧!P:P,MATCH(使用レシピ!$B109,レシピ一覧!$A:$A,0)))&amp;"")*1,"")</f>
        <v>1200</v>
      </c>
    </row>
    <row r="110" spans="1:17" x14ac:dyDescent="0.4">
      <c r="A110" s="84">
        <v>1</v>
      </c>
      <c r="B110" s="21" t="str">
        <f t="shared" si="1"/>
        <v>10901</v>
      </c>
      <c r="C110" s="81">
        <f>IF(COUNTIF(レシピ一覧!$B:$B,ROW()-1),ROW()-1,"")</f>
        <v>109</v>
      </c>
      <c r="D110" s="15">
        <f>IF(E110="","",COUNTIF(レシピ一覧!$D$2:$D$500,使用レシピ!E110))</f>
        <v>2</v>
      </c>
      <c r="E110" s="57" t="str">
        <f>IFERROR( INDEX(レシピ一覧!$D:$D,MATCH(使用レシピ!$C110,レシピ一覧!$B:$B,0))&amp;"","")</f>
        <v>電磁制御棒</v>
      </c>
      <c r="F110" s="85" t="str">
        <f>IF($B110 = "","",INDEX(レシピ一覧!E:E,MATCH(使用レシピ!$B110,レシピ一覧!$A:$A,0))) &amp;""</f>
        <v>固定子</v>
      </c>
      <c r="G110" s="85" t="str">
        <f>IF($B110 = "","",INDEX(レシピ一覧!F:F,MATCH(使用レシピ!$B110,レシピ一覧!$A:$A,0))) &amp;""</f>
        <v>AIリミッター</v>
      </c>
      <c r="H110" s="85" t="str">
        <f>IF($B110 = "","",INDEX(レシピ一覧!G:G,MATCH(使用レシピ!$B110,レシピ一覧!$A:$A,0))) &amp;""</f>
        <v/>
      </c>
      <c r="I110" s="85" t="str">
        <f>IF($B110 = "","",INDEX(レシピ一覧!H:H,MATCH(使用レシピ!$B110,レシピ一覧!$A:$A,0))) &amp;""</f>
        <v/>
      </c>
      <c r="J110" s="85" t="str">
        <f>IF($B110 = "","",INDEX(レシピ一覧!I:I,MATCH(使用レシピ!$B110,レシピ一覧!$A:$A,0))) &amp;""</f>
        <v/>
      </c>
      <c r="K110" s="85">
        <f>IFERROR((IF($B110 = "","",INDEX(レシピ一覧!J:J,MATCH(使用レシピ!$B110,レシピ一覧!$A:$A,0)))&amp;"")*1,"")</f>
        <v>3</v>
      </c>
      <c r="L110" s="85">
        <f>IFERROR((IF($B110 = "","",INDEX(レシピ一覧!K:K,MATCH(使用レシピ!$B110,レシピ一覧!$A:$A,0)))&amp;"")*1,"")</f>
        <v>2</v>
      </c>
      <c r="M110" s="85" t="str">
        <f>IFERROR((IF($B110 = "","",INDEX(レシピ一覧!L:L,MATCH(使用レシピ!$B110,レシピ一覧!$A:$A,0)))&amp;"")*1,"")</f>
        <v/>
      </c>
      <c r="N110" s="85" t="str">
        <f>IFERROR((IF($B110 = "","",INDEX(レシピ一覧!M:M,MATCH(使用レシピ!$B110,レシピ一覧!$A:$A,0)))&amp;"")*1,"")</f>
        <v/>
      </c>
      <c r="O110" s="85" t="str">
        <f>IFERROR((IF($B110 = "","",INDEX(レシピ一覧!N:N,MATCH(使用レシピ!$B110,レシピ一覧!$A:$A,0)))&amp;"")*1,"")</f>
        <v/>
      </c>
      <c r="P110" s="85">
        <f>IFERROR((IF($B110 = "","",INDEX(レシピ一覧!O:O,MATCH(使用レシピ!$B110,レシピ一覧!$A:$A,0)))&amp;"")*1,"")</f>
        <v>2</v>
      </c>
      <c r="Q110" s="86">
        <f>IFERROR((IF($B110 = "","",INDEX(レシピ一覧!P:P,MATCH(使用レシピ!$B110,レシピ一覧!$A:$A,0)))&amp;"")*1,"")</f>
        <v>4</v>
      </c>
    </row>
    <row r="111" spans="1:17" x14ac:dyDescent="0.4">
      <c r="A111" s="84">
        <v>1</v>
      </c>
      <c r="B111" s="21" t="str">
        <f t="shared" si="1"/>
        <v>11001</v>
      </c>
      <c r="C111" s="81">
        <f>IF(COUNTIF(レシピ一覧!$B:$B,ROW()-1),ROW()-1,"")</f>
        <v>110</v>
      </c>
      <c r="D111" s="15">
        <f>IF(E111="","",COUNTIF(レシピ一覧!$D$2:$D$500,使用レシピ!E111))</f>
        <v>2</v>
      </c>
      <c r="E111" s="57" t="str">
        <f>IFERROR( INDEX(レシピ一覧!$D:$D,MATCH(使用レシピ!$C111,レシピ一覧!$B:$B,0))&amp;"","")</f>
        <v>ウラン燃料棒</v>
      </c>
      <c r="F111" s="85" t="str">
        <f>IF($B111 = "","",INDEX(レシピ一覧!E:E,MATCH(使用レシピ!$B111,レシピ一覧!$A:$A,0))) &amp;""</f>
        <v>被覆型ウラン・セル</v>
      </c>
      <c r="G111" s="85" t="str">
        <f>IF($B111 = "","",INDEX(レシピ一覧!F:F,MATCH(使用レシピ!$B111,レシピ一覧!$A:$A,0))) &amp;""</f>
        <v>コンクリート被覆型鋼梁</v>
      </c>
      <c r="H111" s="85" t="str">
        <f>IF($B111 = "","",INDEX(レシピ一覧!G:G,MATCH(使用レシピ!$B111,レシピ一覧!$A:$A,0))) &amp;""</f>
        <v>電磁制御棒</v>
      </c>
      <c r="I111" s="85" t="str">
        <f>IF($B111 = "","",INDEX(レシピ一覧!H:H,MATCH(使用レシピ!$B111,レシピ一覧!$A:$A,0))) &amp;""</f>
        <v/>
      </c>
      <c r="J111" s="85" t="str">
        <f>IF($B111 = "","",INDEX(レシピ一覧!I:I,MATCH(使用レシピ!$B111,レシピ一覧!$A:$A,0))) &amp;""</f>
        <v/>
      </c>
      <c r="K111" s="85">
        <f>IFERROR((IF($B111 = "","",INDEX(レシピ一覧!J:J,MATCH(使用レシピ!$B111,レシピ一覧!$A:$A,0)))&amp;"")*1,"")</f>
        <v>50</v>
      </c>
      <c r="L111" s="85">
        <f>IFERROR((IF($B111 = "","",INDEX(レシピ一覧!K:K,MATCH(使用レシピ!$B111,レシピ一覧!$A:$A,0)))&amp;"")*1,"")</f>
        <v>3</v>
      </c>
      <c r="M111" s="85">
        <f>IFERROR((IF($B111 = "","",INDEX(レシピ一覧!L:L,MATCH(使用レシピ!$B111,レシピ一覧!$A:$A,0)))&amp;"")*1,"")</f>
        <v>5</v>
      </c>
      <c r="N111" s="85" t="str">
        <f>IFERROR((IF($B111 = "","",INDEX(レシピ一覧!M:M,MATCH(使用レシピ!$B111,レシピ一覧!$A:$A,0)))&amp;"")*1,"")</f>
        <v/>
      </c>
      <c r="O111" s="85" t="str">
        <f>IFERROR((IF($B111 = "","",INDEX(レシピ一覧!N:N,MATCH(使用レシピ!$B111,レシピ一覧!$A:$A,0)))&amp;"")*1,"")</f>
        <v/>
      </c>
      <c r="P111" s="85">
        <f>IFERROR((IF($B111 = "","",INDEX(レシピ一覧!O:O,MATCH(使用レシピ!$B111,レシピ一覧!$A:$A,0)))&amp;"")*1,"")</f>
        <v>1</v>
      </c>
      <c r="Q111" s="86">
        <f>IFERROR((IF($B111 = "","",INDEX(レシピ一覧!P:P,MATCH(使用レシピ!$B111,レシピ一覧!$A:$A,0)))&amp;"")*1,"")</f>
        <v>0.4</v>
      </c>
    </row>
    <row r="112" spans="1:17" x14ac:dyDescent="0.4">
      <c r="A112" s="84">
        <v>1</v>
      </c>
      <c r="B112" s="21" t="str">
        <f t="shared" si="1"/>
        <v>11101</v>
      </c>
      <c r="C112" s="81">
        <f>IF(COUNTIF(レシピ一覧!$B:$B,ROW()-1),ROW()-1,"")</f>
        <v>111</v>
      </c>
      <c r="D112" s="15">
        <f>IF(E112="","",COUNTIF(レシピ一覧!$D$2:$D$500,使用レシピ!E112))</f>
        <v>1</v>
      </c>
      <c r="E112" s="57" t="str">
        <f>IFERROR( INDEX(レシピ一覧!$D:$D,MATCH(使用レシピ!$C112,レシピ一覧!$B:$B,0))&amp;"","")</f>
        <v>磁界発生装置</v>
      </c>
      <c r="F112" s="85" t="str">
        <f>IF($B112 = "","",INDEX(レシピ一覧!E:E,MATCH(使用レシピ!$B112,レシピ一覧!$A:$A,0))) &amp;""</f>
        <v>多目的フレームワーク</v>
      </c>
      <c r="G112" s="85" t="str">
        <f>IF($B112 = "","",INDEX(レシピ一覧!F:F,MATCH(使用レシピ!$B112,レシピ一覧!$A:$A,0))) &amp;""</f>
        <v>電磁制御棒</v>
      </c>
      <c r="H112" s="85" t="str">
        <f>IF($B112 = "","",INDEX(レシピ一覧!G:G,MATCH(使用レシピ!$B112,レシピ一覧!$A:$A,0))) &amp;""</f>
        <v/>
      </c>
      <c r="I112" s="85" t="str">
        <f>IF($B112 = "","",INDEX(レシピ一覧!H:H,MATCH(使用レシピ!$B112,レシピ一覧!$A:$A,0))) &amp;""</f>
        <v/>
      </c>
      <c r="J112" s="85" t="str">
        <f>IF($B112 = "","",INDEX(レシピ一覧!I:I,MATCH(使用レシピ!$B112,レシピ一覧!$A:$A,0))) &amp;""</f>
        <v/>
      </c>
      <c r="K112" s="85">
        <f>IFERROR((IF($B112 = "","",INDEX(レシピ一覧!J:J,MATCH(使用レシピ!$B112,レシピ一覧!$A:$A,0)))&amp;"")*1,"")</f>
        <v>5</v>
      </c>
      <c r="L112" s="85">
        <f>IFERROR((IF($B112 = "","",INDEX(レシピ一覧!K:K,MATCH(使用レシピ!$B112,レシピ一覧!$A:$A,0)))&amp;"")*1,"")</f>
        <v>2</v>
      </c>
      <c r="M112" s="85" t="str">
        <f>IFERROR((IF($B112 = "","",INDEX(レシピ一覧!L:L,MATCH(使用レシピ!$B112,レシピ一覧!$A:$A,0)))&amp;"")*1,"")</f>
        <v/>
      </c>
      <c r="N112" s="85" t="str">
        <f>IFERROR((IF($B112 = "","",INDEX(レシピ一覧!M:M,MATCH(使用レシピ!$B112,レシピ一覧!$A:$A,0)))&amp;"")*1,"")</f>
        <v/>
      </c>
      <c r="O112" s="85" t="str">
        <f>IFERROR((IF($B112 = "","",INDEX(レシピ一覧!N:N,MATCH(使用レシピ!$B112,レシピ一覧!$A:$A,0)))&amp;"")*1,"")</f>
        <v/>
      </c>
      <c r="P112" s="85">
        <f>IFERROR((IF($B112 = "","",INDEX(レシピ一覧!O:O,MATCH(使用レシピ!$B112,レシピ一覧!$A:$A,0)))&amp;"")*1,"")</f>
        <v>2</v>
      </c>
      <c r="Q112" s="86">
        <f>IFERROR((IF($B112 = "","",INDEX(レシピ一覧!P:P,MATCH(使用レシピ!$B112,レシピ一覧!$A:$A,0)))&amp;"")*1,"")</f>
        <v>1</v>
      </c>
    </row>
    <row r="113" spans="1:17" x14ac:dyDescent="0.4">
      <c r="A113" s="84">
        <v>1</v>
      </c>
      <c r="B113" s="21" t="str">
        <f t="shared" si="1"/>
        <v>11201</v>
      </c>
      <c r="C113" s="81">
        <f>IF(COUNTIF(レシピ一覧!$B:$B,ROW()-1),ROW()-1,"")</f>
        <v>112</v>
      </c>
      <c r="D113" s="15">
        <f>IF(E113="","",COUNTIF(レシピ一覧!$D$2:$D$500,使用レシピ!E113))</f>
        <v>1</v>
      </c>
      <c r="E113" s="57" t="str">
        <f>IFERROR( INDEX(レシピ一覧!$D:$D,MATCH(使用レシピ!$C113,レシピ一覧!$B:$B,0))&amp;"","")</f>
        <v>容器入り硝酸</v>
      </c>
      <c r="F113" s="85" t="str">
        <f>IF($B113 = "","",INDEX(レシピ一覧!E:E,MATCH(使用レシピ!$B113,レシピ一覧!$A:$A,0))) &amp;""</f>
        <v>硝酸</v>
      </c>
      <c r="G113" s="85" t="str">
        <f>IF($B113 = "","",INDEX(レシピ一覧!F:F,MATCH(使用レシピ!$B113,レシピ一覧!$A:$A,0))) &amp;""</f>
        <v>空の液体タンク</v>
      </c>
      <c r="H113" s="85" t="str">
        <f>IF($B113 = "","",INDEX(レシピ一覧!G:G,MATCH(使用レシピ!$B113,レシピ一覧!$A:$A,0))) &amp;""</f>
        <v/>
      </c>
      <c r="I113" s="85" t="str">
        <f>IF($B113 = "","",INDEX(レシピ一覧!H:H,MATCH(使用レシピ!$B113,レシピ一覧!$A:$A,0))) &amp;""</f>
        <v/>
      </c>
      <c r="J113" s="85" t="str">
        <f>IF($B113 = "","",INDEX(レシピ一覧!I:I,MATCH(使用レシピ!$B113,レシピ一覧!$A:$A,0))) &amp;""</f>
        <v/>
      </c>
      <c r="K113" s="85">
        <f>IFERROR((IF($B113 = "","",INDEX(レシピ一覧!J:J,MATCH(使用レシピ!$B113,レシピ一覧!$A:$A,0)))&amp;"")*1,"")</f>
        <v>1</v>
      </c>
      <c r="L113" s="85">
        <f>IFERROR((IF($B113 = "","",INDEX(レシピ一覧!K:K,MATCH(使用レシピ!$B113,レシピ一覧!$A:$A,0)))&amp;"")*1,"")</f>
        <v>1</v>
      </c>
      <c r="M113" s="85" t="str">
        <f>IFERROR((IF($B113 = "","",INDEX(レシピ一覧!L:L,MATCH(使用レシピ!$B113,レシピ一覧!$A:$A,0)))&amp;"")*1,"")</f>
        <v/>
      </c>
      <c r="N113" s="85" t="str">
        <f>IFERROR((IF($B113 = "","",INDEX(レシピ一覧!M:M,MATCH(使用レシピ!$B113,レシピ一覧!$A:$A,0)))&amp;"")*1,"")</f>
        <v/>
      </c>
      <c r="O113" s="85" t="str">
        <f>IFERROR((IF($B113 = "","",INDEX(レシピ一覧!N:N,MATCH(使用レシピ!$B113,レシピ一覧!$A:$A,0)))&amp;"")*1,"")</f>
        <v/>
      </c>
      <c r="P113" s="85">
        <f>IFERROR((IF($B113 = "","",INDEX(レシピ一覧!O:O,MATCH(使用レシピ!$B113,レシピ一覧!$A:$A,0)))&amp;"")*1,"")</f>
        <v>1</v>
      </c>
      <c r="Q113" s="86">
        <f>IFERROR((IF($B113 = "","",INDEX(レシピ一覧!P:P,MATCH(使用レシピ!$B113,レシピ一覧!$A:$A,0)))&amp;"")*1,"")</f>
        <v>30</v>
      </c>
    </row>
    <row r="114" spans="1:17" x14ac:dyDescent="0.4">
      <c r="A114" s="84">
        <v>1</v>
      </c>
      <c r="B114" s="21" t="str">
        <f t="shared" si="1"/>
        <v>11301</v>
      </c>
      <c r="C114" s="81">
        <f>IF(COUNTIF(レシピ一覧!$B:$B,ROW()-1),ROW()-1,"")</f>
        <v>113</v>
      </c>
      <c r="D114" s="15">
        <f>IF(E114="","",COUNTIF(レシピ一覧!$D$2:$D$500,使用レシピ!E114))</f>
        <v>2</v>
      </c>
      <c r="E114" s="57" t="str">
        <f>IFERROR( INDEX(レシピ一覧!$D:$D,MATCH(使用レシピ!$C114,レシピ一覧!$B:$B,0))&amp;"","")</f>
        <v>非核分裂性ウラン</v>
      </c>
      <c r="F114" s="85" t="str">
        <f>IF($B114 = "","",INDEX(レシピ一覧!E:E,MATCH(使用レシピ!$B114,レシピ一覧!$A:$A,0))) &amp;""</f>
        <v>ウラン廃棄物</v>
      </c>
      <c r="G114" s="85" t="str">
        <f>IF($B114 = "","",INDEX(レシピ一覧!F:F,MATCH(使用レシピ!$B114,レシピ一覧!$A:$A,0))) &amp;""</f>
        <v>シリカ</v>
      </c>
      <c r="H114" s="85" t="str">
        <f>IF($B114 = "","",INDEX(レシピ一覧!G:G,MATCH(使用レシピ!$B114,レシピ一覧!$A:$A,0))) &amp;""</f>
        <v>硝酸</v>
      </c>
      <c r="I114" s="85" t="str">
        <f>IF($B114 = "","",INDEX(レシピ一覧!H:H,MATCH(使用レシピ!$B114,レシピ一覧!$A:$A,0))) &amp;""</f>
        <v>硫酸</v>
      </c>
      <c r="J114" s="85" t="str">
        <f>IF($B114 = "","",INDEX(レシピ一覧!I:I,MATCH(使用レシピ!$B114,レシピ一覧!$A:$A,0))) &amp;""</f>
        <v>水</v>
      </c>
      <c r="K114" s="85">
        <f>IFERROR((IF($B114 = "","",INDEX(レシピ一覧!J:J,MATCH(使用レシピ!$B114,レシピ一覧!$A:$A,0)))&amp;"")*1,"")</f>
        <v>15</v>
      </c>
      <c r="L114" s="85">
        <f>IFERROR((IF($B114 = "","",INDEX(レシピ一覧!K:K,MATCH(使用レシピ!$B114,レシピ一覧!$A:$A,0)))&amp;"")*1,"")</f>
        <v>10</v>
      </c>
      <c r="M114" s="85">
        <f>IFERROR((IF($B114 = "","",INDEX(レシピ一覧!L:L,MATCH(使用レシピ!$B114,レシピ一覧!$A:$A,0)))&amp;"")*1,"")</f>
        <v>6</v>
      </c>
      <c r="N114" s="85">
        <f>IFERROR((IF($B114 = "","",INDEX(レシピ一覧!M:M,MATCH(使用レシピ!$B114,レシピ一覧!$A:$A,0)))&amp;"")*1,"")</f>
        <v>6</v>
      </c>
      <c r="O114" s="85">
        <f>IFERROR((IF($B114 = "","",INDEX(レシピ一覧!N:N,MATCH(使用レシピ!$B114,レシピ一覧!$A:$A,0)))&amp;"")*1,"")</f>
        <v>6</v>
      </c>
      <c r="P114" s="85">
        <f>IFERROR((IF($B114 = "","",INDEX(レシピ一覧!O:O,MATCH(使用レシピ!$B114,レシピ一覧!$A:$A,0)))&amp;"")*1,"")</f>
        <v>20</v>
      </c>
      <c r="Q114" s="86">
        <f>IFERROR((IF($B114 = "","",INDEX(レシピ一覧!P:P,MATCH(使用レシピ!$B114,レシピ一覧!$A:$A,0)))&amp;"")*1,"")</f>
        <v>50</v>
      </c>
    </row>
    <row r="115" spans="1:17" x14ac:dyDescent="0.4">
      <c r="A115" s="84">
        <v>1</v>
      </c>
      <c r="B115" s="21" t="str">
        <f t="shared" si="1"/>
        <v>11401</v>
      </c>
      <c r="C115" s="81">
        <f>IF(COUNTIF(レシピ一覧!$B:$B,ROW()-1),ROW()-1,"")</f>
        <v>114</v>
      </c>
      <c r="D115" s="15">
        <f>IF(E115="","",COUNTIF(レシピ一覧!$D$2:$D$500,使用レシピ!E115))</f>
        <v>1</v>
      </c>
      <c r="E115" s="57" t="str">
        <f>IFERROR( INDEX(レシピ一覧!$D:$D,MATCH(使用レシピ!$C115,レシピ一覧!$B:$B,0))&amp;"","")</f>
        <v>ウラン廃棄物</v>
      </c>
      <c r="F115" s="85" t="str">
        <f>IF($B115 = "","",INDEX(レシピ一覧!E:E,MATCH(使用レシピ!$B115,レシピ一覧!$A:$A,0))) &amp;""</f>
        <v>ウラン燃料棒</v>
      </c>
      <c r="G115" s="85" t="str">
        <f>IF($B115 = "","",INDEX(レシピ一覧!F:F,MATCH(使用レシピ!$B115,レシピ一覧!$A:$A,0))) &amp;""</f>
        <v>水</v>
      </c>
      <c r="H115" s="85" t="str">
        <f>IF($B115 = "","",INDEX(レシピ一覧!G:G,MATCH(使用レシピ!$B115,レシピ一覧!$A:$A,0))) &amp;""</f>
        <v/>
      </c>
      <c r="I115" s="85" t="str">
        <f>IF($B115 = "","",INDEX(レシピ一覧!H:H,MATCH(使用レシピ!$B115,レシピ一覧!$A:$A,0))) &amp;""</f>
        <v/>
      </c>
      <c r="J115" s="85" t="str">
        <f>IF($B115 = "","",INDEX(レシピ一覧!I:I,MATCH(使用レシピ!$B115,レシピ一覧!$A:$A,0))) &amp;""</f>
        <v/>
      </c>
      <c r="K115" s="85">
        <f>IFERROR((IF($B115 = "","",INDEX(レシピ一覧!J:J,MATCH(使用レシピ!$B115,レシピ一覧!$A:$A,0)))&amp;"")*1,"")</f>
        <v>1</v>
      </c>
      <c r="L115" s="85">
        <f>IFERROR((IF($B115 = "","",INDEX(レシピ一覧!K:K,MATCH(使用レシピ!$B115,レシピ一覧!$A:$A,0)))&amp;"")*1,"")</f>
        <v>1200</v>
      </c>
      <c r="M115" s="85" t="str">
        <f>IFERROR((IF($B115 = "","",INDEX(レシピ一覧!L:L,MATCH(使用レシピ!$B115,レシピ一覧!$A:$A,0)))&amp;"")*1,"")</f>
        <v/>
      </c>
      <c r="N115" s="85" t="str">
        <f>IFERROR((IF($B115 = "","",INDEX(レシピ一覧!M:M,MATCH(使用レシピ!$B115,レシピ一覧!$A:$A,0)))&amp;"")*1,"")</f>
        <v/>
      </c>
      <c r="O115" s="85" t="str">
        <f>IFERROR((IF($B115 = "","",INDEX(レシピ一覧!N:N,MATCH(使用レシピ!$B115,レシピ一覧!$A:$A,0)))&amp;"")*1,"")</f>
        <v/>
      </c>
      <c r="P115" s="85">
        <f>IFERROR((IF($B115 = "","",INDEX(レシピ一覧!O:O,MATCH(使用レシピ!$B115,レシピ一覧!$A:$A,0)))&amp;"")*1,"")</f>
        <v>50</v>
      </c>
      <c r="Q115" s="86">
        <f>IFERROR((IF($B115 = "","",INDEX(レシピ一覧!P:P,MATCH(使用レシピ!$B115,レシピ一覧!$A:$A,0)))&amp;"")*1,"")</f>
        <v>10</v>
      </c>
    </row>
    <row r="116" spans="1:17" x14ac:dyDescent="0.4">
      <c r="A116" s="84">
        <v>1</v>
      </c>
      <c r="B116" s="21" t="str">
        <f t="shared" si="1"/>
        <v>11501</v>
      </c>
      <c r="C116" s="81">
        <f>IF(COUNTIF(レシピ一覧!$B:$B,ROW()-1),ROW()-1,"")</f>
        <v>115</v>
      </c>
      <c r="D116" s="15">
        <f>IF(E116="","",COUNTIF(レシピ一覧!$D$2:$D$500,使用レシピ!E116))</f>
        <v>1</v>
      </c>
      <c r="E116" s="57" t="str">
        <f>IFERROR( INDEX(レシピ一覧!$D:$D,MATCH(使用レシピ!$C116,レシピ一覧!$B:$B,0))&amp;"","")</f>
        <v>プルトニウム・ペレット</v>
      </c>
      <c r="F116" s="85" t="str">
        <f>IF($B116 = "","",INDEX(レシピ一覧!E:E,MATCH(使用レシピ!$B116,レシピ一覧!$A:$A,0))) &amp;""</f>
        <v>非核分裂性ウラン</v>
      </c>
      <c r="G116" s="85" t="str">
        <f>IF($B116 = "","",INDEX(レシピ一覧!F:F,MATCH(使用レシピ!$B116,レシピ一覧!$A:$A,0))) &amp;""</f>
        <v>ウラン廃棄物</v>
      </c>
      <c r="H116" s="85" t="str">
        <f>IF($B116 = "","",INDEX(レシピ一覧!G:G,MATCH(使用レシピ!$B116,レシピ一覧!$A:$A,0))) &amp;""</f>
        <v/>
      </c>
      <c r="I116" s="85" t="str">
        <f>IF($B116 = "","",INDEX(レシピ一覧!H:H,MATCH(使用レシピ!$B116,レシピ一覧!$A:$A,0))) &amp;""</f>
        <v/>
      </c>
      <c r="J116" s="85" t="str">
        <f>IF($B116 = "","",INDEX(レシピ一覧!I:I,MATCH(使用レシピ!$B116,レシピ一覧!$A:$A,0))) &amp;""</f>
        <v/>
      </c>
      <c r="K116" s="85">
        <f>IFERROR((IF($B116 = "","",INDEX(レシピ一覧!J:J,MATCH(使用レシピ!$B116,レシピ一覧!$A:$A,0)))&amp;"")*1,"")</f>
        <v>100</v>
      </c>
      <c r="L116" s="85">
        <f>IFERROR((IF($B116 = "","",INDEX(レシピ一覧!K:K,MATCH(使用レシピ!$B116,レシピ一覧!$A:$A,0)))&amp;"")*1,"")</f>
        <v>25</v>
      </c>
      <c r="M116" s="85" t="str">
        <f>IFERROR((IF($B116 = "","",INDEX(レシピ一覧!L:L,MATCH(使用レシピ!$B116,レシピ一覧!$A:$A,0)))&amp;"")*1,"")</f>
        <v/>
      </c>
      <c r="N116" s="85" t="str">
        <f>IFERROR((IF($B116 = "","",INDEX(レシピ一覧!M:M,MATCH(使用レシピ!$B116,レシピ一覧!$A:$A,0)))&amp;"")*1,"")</f>
        <v/>
      </c>
      <c r="O116" s="85" t="str">
        <f>IFERROR((IF($B116 = "","",INDEX(レシピ一覧!N:N,MATCH(使用レシピ!$B116,レシピ一覧!$A:$A,0)))&amp;"")*1,"")</f>
        <v/>
      </c>
      <c r="P116" s="85">
        <f>IFERROR((IF($B116 = "","",INDEX(レシピ一覧!O:O,MATCH(使用レシピ!$B116,レシピ一覧!$A:$A,0)))&amp;"")*1,"")</f>
        <v>30</v>
      </c>
      <c r="Q116" s="86">
        <f>IFERROR((IF($B116 = "","",INDEX(レシピ一覧!P:P,MATCH(使用レシピ!$B116,レシピ一覧!$A:$A,0)))&amp;"")*1,"")</f>
        <v>30</v>
      </c>
    </row>
    <row r="117" spans="1:17" x14ac:dyDescent="0.4">
      <c r="A117" s="84">
        <v>1</v>
      </c>
      <c r="B117" s="21" t="str">
        <f t="shared" si="1"/>
        <v>11601</v>
      </c>
      <c r="C117" s="81">
        <f>IF(COUNTIF(レシピ一覧!$B:$B,ROW()-1),ROW()-1,"")</f>
        <v>116</v>
      </c>
      <c r="D117" s="15">
        <f>IF(E117="","",COUNTIF(レシピ一覧!$D$2:$D$500,使用レシピ!E117))</f>
        <v>2</v>
      </c>
      <c r="E117" s="57" t="str">
        <f>IFERROR( INDEX(レシピ一覧!$D:$D,MATCH(使用レシピ!$C117,レシピ一覧!$B:$B,0))&amp;"","")</f>
        <v>被覆型プルトニウム・セル</v>
      </c>
      <c r="F117" s="85" t="str">
        <f>IF($B117 = "","",INDEX(レシピ一覧!E:E,MATCH(使用レシピ!$B117,レシピ一覧!$A:$A,0))) &amp;""</f>
        <v>プルトニウム・ペレット</v>
      </c>
      <c r="G117" s="85" t="str">
        <f>IF($B117 = "","",INDEX(レシピ一覧!F:F,MATCH(使用レシピ!$B117,レシピ一覧!$A:$A,0))) &amp;""</f>
        <v>コンクリート</v>
      </c>
      <c r="H117" s="85" t="str">
        <f>IF($B117 = "","",INDEX(レシピ一覧!G:G,MATCH(使用レシピ!$B117,レシピ一覧!$A:$A,0))) &amp;""</f>
        <v/>
      </c>
      <c r="I117" s="85" t="str">
        <f>IF($B117 = "","",INDEX(レシピ一覧!H:H,MATCH(使用レシピ!$B117,レシピ一覧!$A:$A,0))) &amp;""</f>
        <v/>
      </c>
      <c r="J117" s="85" t="str">
        <f>IF($B117 = "","",INDEX(レシピ一覧!I:I,MATCH(使用レシピ!$B117,レシピ一覧!$A:$A,0))) &amp;""</f>
        <v/>
      </c>
      <c r="K117" s="85">
        <f>IFERROR((IF($B117 = "","",INDEX(レシピ一覧!J:J,MATCH(使用レシピ!$B117,レシピ一覧!$A:$A,0)))&amp;"")*1,"")</f>
        <v>2</v>
      </c>
      <c r="L117" s="85">
        <f>IFERROR((IF($B117 = "","",INDEX(レシピ一覧!K:K,MATCH(使用レシピ!$B117,レシピ一覧!$A:$A,0)))&amp;"")*1,"")</f>
        <v>4</v>
      </c>
      <c r="M117" s="85" t="str">
        <f>IFERROR((IF($B117 = "","",INDEX(レシピ一覧!L:L,MATCH(使用レシピ!$B117,レシピ一覧!$A:$A,0)))&amp;"")*1,"")</f>
        <v/>
      </c>
      <c r="N117" s="85" t="str">
        <f>IFERROR((IF($B117 = "","",INDEX(レシピ一覧!M:M,MATCH(使用レシピ!$B117,レシピ一覧!$A:$A,0)))&amp;"")*1,"")</f>
        <v/>
      </c>
      <c r="O117" s="85" t="str">
        <f>IFERROR((IF($B117 = "","",INDEX(レシピ一覧!N:N,MATCH(使用レシピ!$B117,レシピ一覧!$A:$A,0)))&amp;"")*1,"")</f>
        <v/>
      </c>
      <c r="P117" s="85">
        <f>IFERROR((IF($B117 = "","",INDEX(レシピ一覧!O:O,MATCH(使用レシピ!$B117,レシピ一覧!$A:$A,0)))&amp;"")*1,"")</f>
        <v>1</v>
      </c>
      <c r="Q117" s="86">
        <f>IFERROR((IF($B117 = "","",INDEX(レシピ一覧!P:P,MATCH(使用レシピ!$B117,レシピ一覧!$A:$A,0)))&amp;"")*1,"")</f>
        <v>5</v>
      </c>
    </row>
    <row r="118" spans="1:17" x14ac:dyDescent="0.4">
      <c r="A118" s="84">
        <v>1</v>
      </c>
      <c r="B118" s="21" t="str">
        <f t="shared" si="1"/>
        <v>11701</v>
      </c>
      <c r="C118" s="81">
        <f>IF(COUNTIF(レシピ一覧!$B:$B,ROW()-1),ROW()-1,"")</f>
        <v>117</v>
      </c>
      <c r="D118" s="15">
        <f>IF(E118="","",COUNTIF(レシピ一覧!$D$2:$D$500,使用レシピ!E118))</f>
        <v>2</v>
      </c>
      <c r="E118" s="57" t="str">
        <f>IFERROR( INDEX(レシピ一覧!$D:$D,MATCH(使用レシピ!$C118,レシピ一覧!$B:$B,0))&amp;"","")</f>
        <v>プルトニウム燃料棒</v>
      </c>
      <c r="F118" s="85" t="str">
        <f>IF($B118 = "","",INDEX(レシピ一覧!E:E,MATCH(使用レシピ!$B118,レシピ一覧!$A:$A,0))) &amp;""</f>
        <v>被覆型プルトニウム・セル</v>
      </c>
      <c r="G118" s="85" t="str">
        <f>IF($B118 = "","",INDEX(レシピ一覧!F:F,MATCH(使用レシピ!$B118,レシピ一覧!$A:$A,0))) &amp;""</f>
        <v>鋼梁</v>
      </c>
      <c r="H118" s="85" t="str">
        <f>IF($B118 = "","",INDEX(レシピ一覧!G:G,MATCH(使用レシピ!$B118,レシピ一覧!$A:$A,0))) &amp;""</f>
        <v>電磁制御棒</v>
      </c>
      <c r="I118" s="85" t="str">
        <f>IF($B118 = "","",INDEX(レシピ一覧!H:H,MATCH(使用レシピ!$B118,レシピ一覧!$A:$A,0))) &amp;""</f>
        <v>ヒートシンク</v>
      </c>
      <c r="J118" s="85" t="str">
        <f>IF($B118 = "","",INDEX(レシピ一覧!I:I,MATCH(使用レシピ!$B118,レシピ一覧!$A:$A,0))) &amp;""</f>
        <v/>
      </c>
      <c r="K118" s="85">
        <f>IFERROR((IF($B118 = "","",INDEX(レシピ一覧!J:J,MATCH(使用レシピ!$B118,レシピ一覧!$A:$A,0)))&amp;"")*1,"")</f>
        <v>30</v>
      </c>
      <c r="L118" s="85">
        <f>IFERROR((IF($B118 = "","",INDEX(レシピ一覧!K:K,MATCH(使用レシピ!$B118,レシピ一覧!$A:$A,0)))&amp;"")*1,"")</f>
        <v>18</v>
      </c>
      <c r="M118" s="85">
        <f>IFERROR((IF($B118 = "","",INDEX(レシピ一覧!L:L,MATCH(使用レシピ!$B118,レシピ一覧!$A:$A,0)))&amp;"")*1,"")</f>
        <v>6</v>
      </c>
      <c r="N118" s="85">
        <f>IFERROR((IF($B118 = "","",INDEX(レシピ一覧!M:M,MATCH(使用レシピ!$B118,レシピ一覧!$A:$A,0)))&amp;"")*1,"")</f>
        <v>10</v>
      </c>
      <c r="O118" s="85" t="str">
        <f>IFERROR((IF($B118 = "","",INDEX(レシピ一覧!N:N,MATCH(使用レシピ!$B118,レシピ一覧!$A:$A,0)))&amp;"")*1,"")</f>
        <v/>
      </c>
      <c r="P118" s="85">
        <f>IFERROR((IF($B118 = "","",INDEX(レシピ一覧!O:O,MATCH(使用レシピ!$B118,レシピ一覧!$A:$A,0)))&amp;"")*1,"")</f>
        <v>1</v>
      </c>
      <c r="Q118" s="86">
        <f>IFERROR((IF($B118 = "","",INDEX(レシピ一覧!P:P,MATCH(使用レシピ!$B118,レシピ一覧!$A:$A,0)))&amp;"")*1,"")</f>
        <v>0.25</v>
      </c>
    </row>
    <row r="119" spans="1:17" x14ac:dyDescent="0.4">
      <c r="A119" s="84">
        <v>1</v>
      </c>
      <c r="B119" s="21" t="str">
        <f t="shared" si="1"/>
        <v>11801</v>
      </c>
      <c r="C119" s="81">
        <f>IF(COUNTIF(レシピ一覧!$B:$B,ROW()-1),ROW()-1,"")</f>
        <v>118</v>
      </c>
      <c r="D119" s="15">
        <f>IF(E119="","",COUNTIF(レシピ一覧!$D$2:$D$500,使用レシピ!E119))</f>
        <v>1</v>
      </c>
      <c r="E119" s="57" t="str">
        <f>IFERROR( INDEX(レシピ一覧!$D:$D,MATCH(使用レシピ!$C119,レシピ一覧!$B:$B,0))&amp;"","")</f>
        <v>銅粉</v>
      </c>
      <c r="F119" s="85" t="str">
        <f>IF($B119 = "","",INDEX(レシピ一覧!E:E,MATCH(使用レシピ!$B119,レシピ一覧!$A:$A,0))) &amp;""</f>
        <v>銅のインゴット</v>
      </c>
      <c r="G119" s="85" t="str">
        <f>IF($B119 = "","",INDEX(レシピ一覧!F:F,MATCH(使用レシピ!$B119,レシピ一覧!$A:$A,0))) &amp;""</f>
        <v/>
      </c>
      <c r="H119" s="85" t="str">
        <f>IF($B119 = "","",INDEX(レシピ一覧!G:G,MATCH(使用レシピ!$B119,レシピ一覧!$A:$A,0))) &amp;""</f>
        <v/>
      </c>
      <c r="I119" s="85" t="str">
        <f>IF($B119 = "","",INDEX(レシピ一覧!H:H,MATCH(使用レシピ!$B119,レシピ一覧!$A:$A,0))) &amp;""</f>
        <v/>
      </c>
      <c r="J119" s="85" t="str">
        <f>IF($B119 = "","",INDEX(レシピ一覧!I:I,MATCH(使用レシピ!$B119,レシピ一覧!$A:$A,0))) &amp;""</f>
        <v/>
      </c>
      <c r="K119" s="85">
        <f>IFERROR((IF($B119 = "","",INDEX(レシピ一覧!J:J,MATCH(使用レシピ!$B119,レシピ一覧!$A:$A,0)))&amp;"")*1,"")</f>
        <v>30</v>
      </c>
      <c r="L119" s="85" t="str">
        <f>IFERROR((IF($B119 = "","",INDEX(レシピ一覧!K:K,MATCH(使用レシピ!$B119,レシピ一覧!$A:$A,0)))&amp;"")*1,"")</f>
        <v/>
      </c>
      <c r="M119" s="85" t="str">
        <f>IFERROR((IF($B119 = "","",INDEX(レシピ一覧!L:L,MATCH(使用レシピ!$B119,レシピ一覧!$A:$A,0)))&amp;"")*1,"")</f>
        <v/>
      </c>
      <c r="N119" s="85" t="str">
        <f>IFERROR((IF($B119 = "","",INDEX(レシピ一覧!M:M,MATCH(使用レシピ!$B119,レシピ一覧!$A:$A,0)))&amp;"")*1,"")</f>
        <v/>
      </c>
      <c r="O119" s="85" t="str">
        <f>IFERROR((IF($B119 = "","",INDEX(レシピ一覧!N:N,MATCH(使用レシピ!$B119,レシピ一覧!$A:$A,0)))&amp;"")*1,"")</f>
        <v/>
      </c>
      <c r="P119" s="85">
        <f>IFERROR((IF($B119 = "","",INDEX(レシピ一覧!O:O,MATCH(使用レシピ!$B119,レシピ一覧!$A:$A,0)))&amp;"")*1,"")</f>
        <v>5</v>
      </c>
      <c r="Q119" s="86">
        <f>IFERROR((IF($B119 = "","",INDEX(レシピ一覧!P:P,MATCH(使用レシピ!$B119,レシピ一覧!$A:$A,0)))&amp;"")*1,"")</f>
        <v>50</v>
      </c>
    </row>
    <row r="120" spans="1:17" x14ac:dyDescent="0.4">
      <c r="A120" s="84">
        <v>1</v>
      </c>
      <c r="B120" s="21" t="str">
        <f t="shared" si="1"/>
        <v>11901</v>
      </c>
      <c r="C120" s="81">
        <f>IF(COUNTIF(レシピ一覧!$B:$B,ROW()-1),ROW()-1,"")</f>
        <v>119</v>
      </c>
      <c r="D120" s="15">
        <f>IF(E120="","",COUNTIF(レシピ一覧!$D$2:$D$500,使用レシピ!E120))</f>
        <v>1</v>
      </c>
      <c r="E120" s="57" t="str">
        <f>IFERROR( INDEX(レシピ一覧!$D:$D,MATCH(使用レシピ!$C120,レシピ一覧!$B:$B,0))&amp;"","")</f>
        <v>圧力変換キューブ</v>
      </c>
      <c r="F120" s="85" t="str">
        <f>IF($B120 = "","",INDEX(レシピ一覧!E:E,MATCH(使用レシピ!$B120,レシピ一覧!$A:$A,0))) &amp;""</f>
        <v>溶融モジュラー・フレーム</v>
      </c>
      <c r="G120" s="85" t="str">
        <f>IF($B120 = "","",INDEX(レシピ一覧!F:F,MATCH(使用レシピ!$B120,レシピ一覧!$A:$A,0))) &amp;""</f>
        <v>無線制御ユニット</v>
      </c>
      <c r="H120" s="85" t="str">
        <f>IF($B120 = "","",INDEX(レシピ一覧!G:G,MATCH(使用レシピ!$B120,レシピ一覧!$A:$A,0))) &amp;""</f>
        <v/>
      </c>
      <c r="I120" s="85" t="str">
        <f>IF($B120 = "","",INDEX(レシピ一覧!H:H,MATCH(使用レシピ!$B120,レシピ一覧!$A:$A,0))) &amp;""</f>
        <v/>
      </c>
      <c r="J120" s="85" t="str">
        <f>IF($B120 = "","",INDEX(レシピ一覧!I:I,MATCH(使用レシピ!$B120,レシピ一覧!$A:$A,0))) &amp;""</f>
        <v/>
      </c>
      <c r="K120" s="85">
        <f>IFERROR((IF($B120 = "","",INDEX(レシピ一覧!J:J,MATCH(使用レシピ!$B120,レシピ一覧!$A:$A,0)))&amp;"")*1,"")</f>
        <v>1</v>
      </c>
      <c r="L120" s="85">
        <f>IFERROR((IF($B120 = "","",INDEX(レシピ一覧!K:K,MATCH(使用レシピ!$B120,レシピ一覧!$A:$A,0)))&amp;"")*1,"")</f>
        <v>2</v>
      </c>
      <c r="M120" s="85" t="str">
        <f>IFERROR((IF($B120 = "","",INDEX(レシピ一覧!L:L,MATCH(使用レシピ!$B120,レシピ一覧!$A:$A,0)))&amp;"")*1,"")</f>
        <v/>
      </c>
      <c r="N120" s="85" t="str">
        <f>IFERROR((IF($B120 = "","",INDEX(レシピ一覧!M:M,MATCH(使用レシピ!$B120,レシピ一覧!$A:$A,0)))&amp;"")*1,"")</f>
        <v/>
      </c>
      <c r="O120" s="85" t="str">
        <f>IFERROR((IF($B120 = "","",INDEX(レシピ一覧!N:N,MATCH(使用レシピ!$B120,レシピ一覧!$A:$A,0)))&amp;"")*1,"")</f>
        <v/>
      </c>
      <c r="P120" s="85">
        <f>IFERROR((IF($B120 = "","",INDEX(レシピ一覧!O:O,MATCH(使用レシピ!$B120,レシピ一覧!$A:$A,0)))&amp;"")*1,"")</f>
        <v>1</v>
      </c>
      <c r="Q120" s="86">
        <f>IFERROR((IF($B120 = "","",INDEX(レシピ一覧!P:P,MATCH(使用レシピ!$B120,レシピ一覧!$A:$A,0)))&amp;"")*1,"")</f>
        <v>1</v>
      </c>
    </row>
    <row r="121" spans="1:17" x14ac:dyDescent="0.4">
      <c r="A121" s="84">
        <v>1</v>
      </c>
      <c r="B121" s="21" t="str">
        <f t="shared" si="1"/>
        <v>12001</v>
      </c>
      <c r="C121" s="81">
        <f>IF(COUNTIF(レシピ一覧!$B:$B,ROW()-1),ROW()-1,"")</f>
        <v>120</v>
      </c>
      <c r="D121" s="15">
        <f>IF(E121="","",COUNTIF(レシピ一覧!$D$2:$D$500,使用レシピ!E121))</f>
        <v>1</v>
      </c>
      <c r="E121" s="57" t="str">
        <f>IFERROR( INDEX(レシピ一覧!$D:$D,MATCH(使用レシピ!$C121,レシピ一覧!$B:$B,0))&amp;"","")</f>
        <v>核パスタ</v>
      </c>
      <c r="F121" s="85" t="str">
        <f>IF($B121 = "","",INDEX(レシピ一覧!E:E,MATCH(使用レシピ!$B121,レシピ一覧!$A:$A,0))) &amp;""</f>
        <v>銅粉</v>
      </c>
      <c r="G121" s="85" t="str">
        <f>IF($B121 = "","",INDEX(レシピ一覧!F:F,MATCH(使用レシピ!$B121,レシピ一覧!$A:$A,0))) &amp;""</f>
        <v>圧力変換キューブ</v>
      </c>
      <c r="H121" s="85" t="str">
        <f>IF($B121 = "","",INDEX(レシピ一覧!G:G,MATCH(使用レシピ!$B121,レシピ一覧!$A:$A,0))) &amp;""</f>
        <v/>
      </c>
      <c r="I121" s="85" t="str">
        <f>IF($B121 = "","",INDEX(レシピ一覧!H:H,MATCH(使用レシピ!$B121,レシピ一覧!$A:$A,0))) &amp;""</f>
        <v/>
      </c>
      <c r="J121" s="85" t="str">
        <f>IF($B121 = "","",INDEX(レシピ一覧!I:I,MATCH(使用レシピ!$B121,レシピ一覧!$A:$A,0))) &amp;""</f>
        <v/>
      </c>
      <c r="K121" s="85">
        <f>IFERROR((IF($B121 = "","",INDEX(レシピ一覧!J:J,MATCH(使用レシピ!$B121,レシピ一覧!$A:$A,0)))&amp;"")*1,"")</f>
        <v>200</v>
      </c>
      <c r="L121" s="85">
        <f>IFERROR((IF($B121 = "","",INDEX(レシピ一覧!K:K,MATCH(使用レシピ!$B121,レシピ一覧!$A:$A,0)))&amp;"")*1,"")</f>
        <v>1</v>
      </c>
      <c r="M121" s="85" t="str">
        <f>IFERROR((IF($B121 = "","",INDEX(レシピ一覧!L:L,MATCH(使用レシピ!$B121,レシピ一覧!$A:$A,0)))&amp;"")*1,"")</f>
        <v/>
      </c>
      <c r="N121" s="85" t="str">
        <f>IFERROR((IF($B121 = "","",INDEX(レシピ一覧!M:M,MATCH(使用レシピ!$B121,レシピ一覧!$A:$A,0)))&amp;"")*1,"")</f>
        <v/>
      </c>
      <c r="O121" s="85" t="str">
        <f>IFERROR((IF($B121 = "","",INDEX(レシピ一覧!N:N,MATCH(使用レシピ!$B121,レシピ一覧!$A:$A,0)))&amp;"")*1,"")</f>
        <v/>
      </c>
      <c r="P121" s="85">
        <f>IFERROR((IF($B121 = "","",INDEX(レシピ一覧!O:O,MATCH(使用レシピ!$B121,レシピ一覧!$A:$A,0)))&amp;"")*1,"")</f>
        <v>1</v>
      </c>
      <c r="Q121" s="86">
        <f>IFERROR((IF($B121 = "","",INDEX(レシピ一覧!P:P,MATCH(使用レシピ!$B121,レシピ一覧!$A:$A,0)))&amp;"")*1,"")</f>
        <v>0.5</v>
      </c>
    </row>
    <row r="122" spans="1:17" x14ac:dyDescent="0.4">
      <c r="A122" s="84">
        <v>1</v>
      </c>
      <c r="B122" s="21" t="str">
        <f t="shared" si="1"/>
        <v>12101</v>
      </c>
      <c r="C122" s="81">
        <f>IF(COUNTIF(レシピ一覧!$B:$B,ROW()-1),ROW()-1,"")</f>
        <v>121</v>
      </c>
      <c r="D122" s="15">
        <f>IF(E122="","",COUNTIF(レシピ一覧!$D$2:$D$500,使用レシピ!E122))</f>
        <v>3</v>
      </c>
      <c r="E122" s="57" t="str">
        <f>IFERROR( INDEX(レシピ一覧!$D:$D,MATCH(使用レシピ!$C122,レシピ一覧!$B:$B,0))&amp;"","")</f>
        <v>FICSITEのインゴット</v>
      </c>
      <c r="F122" s="85" t="str">
        <f>IF($B122 = "","",INDEX(レシピ一覧!E:E,MATCH(使用レシピ!$B122,レシピ一覧!$A:$A,0))) &amp;""</f>
        <v>活性SAM</v>
      </c>
      <c r="G122" s="85" t="str">
        <f>IF($B122 = "","",INDEX(レシピ一覧!F:F,MATCH(使用レシピ!$B122,レシピ一覧!$A:$A,0))) &amp;""</f>
        <v>鉄のインゴット</v>
      </c>
      <c r="H122" s="85" t="str">
        <f>IF($B122 = "","",INDEX(レシピ一覧!G:G,MATCH(使用レシピ!$B122,レシピ一覧!$A:$A,0))) &amp;""</f>
        <v/>
      </c>
      <c r="I122" s="85" t="str">
        <f>IF($B122 = "","",INDEX(レシピ一覧!H:H,MATCH(使用レシピ!$B122,レシピ一覧!$A:$A,0))) &amp;""</f>
        <v/>
      </c>
      <c r="J122" s="85" t="str">
        <f>IF($B122 = "","",INDEX(レシピ一覧!I:I,MATCH(使用レシピ!$B122,レシピ一覧!$A:$A,0))) &amp;""</f>
        <v/>
      </c>
      <c r="K122" s="85">
        <f>IFERROR((IF($B122 = "","",INDEX(レシピ一覧!J:J,MATCH(使用レシピ!$B122,レシピ一覧!$A:$A,0)))&amp;"")*1,"")</f>
        <v>4</v>
      </c>
      <c r="L122" s="85">
        <f>IFERROR((IF($B122 = "","",INDEX(レシピ一覧!K:K,MATCH(使用レシピ!$B122,レシピ一覧!$A:$A,0)))&amp;"")*1,"")</f>
        <v>24</v>
      </c>
      <c r="M122" s="85" t="str">
        <f>IFERROR((IF($B122 = "","",INDEX(レシピ一覧!L:L,MATCH(使用レシピ!$B122,レシピ一覧!$A:$A,0)))&amp;"")*1,"")</f>
        <v/>
      </c>
      <c r="N122" s="85" t="str">
        <f>IFERROR((IF($B122 = "","",INDEX(レシピ一覧!M:M,MATCH(使用レシピ!$B122,レシピ一覧!$A:$A,0)))&amp;"")*1,"")</f>
        <v/>
      </c>
      <c r="O122" s="85" t="str">
        <f>IFERROR((IF($B122 = "","",INDEX(レシピ一覧!N:N,MATCH(使用レシピ!$B122,レシピ一覧!$A:$A,0)))&amp;"")*1,"")</f>
        <v/>
      </c>
      <c r="P122" s="85">
        <f>IFERROR((IF($B122 = "","",INDEX(レシピ一覧!O:O,MATCH(使用レシピ!$B122,レシピ一覧!$A:$A,0)))&amp;"")*1,"")</f>
        <v>1</v>
      </c>
      <c r="Q122" s="86">
        <f>IFERROR((IF($B122 = "","",INDEX(レシピ一覧!P:P,MATCH(使用レシピ!$B122,レシピ一覧!$A:$A,0)))&amp;"")*1,"")</f>
        <v>10</v>
      </c>
    </row>
    <row r="123" spans="1:17" x14ac:dyDescent="0.4">
      <c r="A123" s="84">
        <v>1</v>
      </c>
      <c r="B123" s="21" t="str">
        <f t="shared" si="1"/>
        <v>12201</v>
      </c>
      <c r="C123" s="81">
        <f>IF(COUNTIF(レシピ一覧!$B:$B,ROW()-1),ROW()-1,"")</f>
        <v>122</v>
      </c>
      <c r="D123" s="15">
        <f>IF(E123="","",COUNTIF(レシピ一覧!$D$2:$D$500,使用レシピ!E123))</f>
        <v>1</v>
      </c>
      <c r="E123" s="57" t="str">
        <f>IFERROR( INDEX(レシピ一覧!$D:$D,MATCH(使用レシピ!$C123,レシピ一覧!$B:$B,0))&amp;"","")</f>
        <v>FICSITEの三角板</v>
      </c>
      <c r="F123" s="85" t="str">
        <f>IF($B123 = "","",INDEX(レシピ一覧!E:E,MATCH(使用レシピ!$B123,レシピ一覧!$A:$A,0))) &amp;""</f>
        <v>FICSITEのインゴット</v>
      </c>
      <c r="G123" s="85" t="str">
        <f>IF($B123 = "","",INDEX(レシピ一覧!F:F,MATCH(使用レシピ!$B123,レシピ一覧!$A:$A,0))) &amp;""</f>
        <v/>
      </c>
      <c r="H123" s="85" t="str">
        <f>IF($B123 = "","",INDEX(レシピ一覧!G:G,MATCH(使用レシピ!$B123,レシピ一覧!$A:$A,0))) &amp;""</f>
        <v/>
      </c>
      <c r="I123" s="85" t="str">
        <f>IF($B123 = "","",INDEX(レシピ一覧!H:H,MATCH(使用レシピ!$B123,レシピ一覧!$A:$A,0))) &amp;""</f>
        <v/>
      </c>
      <c r="J123" s="85" t="str">
        <f>IF($B123 = "","",INDEX(レシピ一覧!I:I,MATCH(使用レシピ!$B123,レシピ一覧!$A:$A,0))) &amp;""</f>
        <v/>
      </c>
      <c r="K123" s="85">
        <f>IFERROR((IF($B123 = "","",INDEX(レシピ一覧!J:J,MATCH(使用レシピ!$B123,レシピ一覧!$A:$A,0)))&amp;"")*1,"")</f>
        <v>1</v>
      </c>
      <c r="L123" s="85" t="str">
        <f>IFERROR((IF($B123 = "","",INDEX(レシピ一覧!K:K,MATCH(使用レシピ!$B123,レシピ一覧!$A:$A,0)))&amp;"")*1,"")</f>
        <v/>
      </c>
      <c r="M123" s="85" t="str">
        <f>IFERROR((IF($B123 = "","",INDEX(レシピ一覧!L:L,MATCH(使用レシピ!$B123,レシピ一覧!$A:$A,0)))&amp;"")*1,"")</f>
        <v/>
      </c>
      <c r="N123" s="85" t="str">
        <f>IFERROR((IF($B123 = "","",INDEX(レシピ一覧!M:M,MATCH(使用レシピ!$B123,レシピ一覧!$A:$A,0)))&amp;"")*1,"")</f>
        <v/>
      </c>
      <c r="O123" s="85" t="str">
        <f>IFERROR((IF($B123 = "","",INDEX(レシピ一覧!N:N,MATCH(使用レシピ!$B123,レシピ一覧!$A:$A,0)))&amp;"")*1,"")</f>
        <v/>
      </c>
      <c r="P123" s="85">
        <f>IFERROR((IF($B123 = "","",INDEX(レシピ一覧!O:O,MATCH(使用レシピ!$B123,レシピ一覧!$A:$A,0)))&amp;"")*1,"")</f>
        <v>3</v>
      </c>
      <c r="Q123" s="86">
        <f>IFERROR((IF($B123 = "","",INDEX(レシピ一覧!P:P,MATCH(使用レシピ!$B123,レシピ一覧!$A:$A,0)))&amp;"")*1,"")</f>
        <v>30</v>
      </c>
    </row>
    <row r="124" spans="1:17" x14ac:dyDescent="0.4">
      <c r="A124" s="84">
        <v>1</v>
      </c>
      <c r="B124" s="21" t="str">
        <f t="shared" si="1"/>
        <v>12301</v>
      </c>
      <c r="C124" s="81">
        <f>IF(COUNTIF(レシピ一覧!$B:$B,ROW()-1),ROW()-1,"")</f>
        <v>123</v>
      </c>
      <c r="D124" s="15">
        <f>IF(E124="","",COUNTIF(レシピ一覧!$D$2:$D$500,使用レシピ!E124))</f>
        <v>6</v>
      </c>
      <c r="E124" s="57" t="str">
        <f>IFERROR( INDEX(レシピ一覧!$D:$D,MATCH(使用レシピ!$C124,レシピ一覧!$B:$B,0))&amp;"","")</f>
        <v>ダイヤモンド</v>
      </c>
      <c r="F124" s="85" t="str">
        <f>IF($B124 = "","",INDEX(レシピ一覧!E:E,MATCH(使用レシピ!$B124,レシピ一覧!$A:$A,0))) &amp;""</f>
        <v>石炭</v>
      </c>
      <c r="G124" s="85" t="str">
        <f>IF($B124 = "","",INDEX(レシピ一覧!F:F,MATCH(使用レシピ!$B124,レシピ一覧!$A:$A,0))) &amp;""</f>
        <v/>
      </c>
      <c r="H124" s="85" t="str">
        <f>IF($B124 = "","",INDEX(レシピ一覧!G:G,MATCH(使用レシピ!$B124,レシピ一覧!$A:$A,0))) &amp;""</f>
        <v/>
      </c>
      <c r="I124" s="85" t="str">
        <f>IF($B124 = "","",INDEX(レシピ一覧!H:H,MATCH(使用レシピ!$B124,レシピ一覧!$A:$A,0))) &amp;""</f>
        <v/>
      </c>
      <c r="J124" s="85" t="str">
        <f>IF($B124 = "","",INDEX(レシピ一覧!I:I,MATCH(使用レシピ!$B124,レシピ一覧!$A:$A,0))) &amp;""</f>
        <v/>
      </c>
      <c r="K124" s="85">
        <f>IFERROR((IF($B124 = "","",INDEX(レシピ一覧!J:J,MATCH(使用レシピ!$B124,レシピ一覧!$A:$A,0)))&amp;"")*1,"")</f>
        <v>20</v>
      </c>
      <c r="L124" s="85" t="str">
        <f>IFERROR((IF($B124 = "","",INDEX(レシピ一覧!K:K,MATCH(使用レシピ!$B124,レシピ一覧!$A:$A,0)))&amp;"")*1,"")</f>
        <v/>
      </c>
      <c r="M124" s="85" t="str">
        <f>IFERROR((IF($B124 = "","",INDEX(レシピ一覧!L:L,MATCH(使用レシピ!$B124,レシピ一覧!$A:$A,0)))&amp;"")*1,"")</f>
        <v/>
      </c>
      <c r="N124" s="85" t="str">
        <f>IFERROR((IF($B124 = "","",INDEX(レシピ一覧!M:M,MATCH(使用レシピ!$B124,レシピ一覧!$A:$A,0)))&amp;"")*1,"")</f>
        <v/>
      </c>
      <c r="O124" s="85" t="str">
        <f>IFERROR((IF($B124 = "","",INDEX(レシピ一覧!N:N,MATCH(使用レシピ!$B124,レシピ一覧!$A:$A,0)))&amp;"")*1,"")</f>
        <v/>
      </c>
      <c r="P124" s="85">
        <f>IFERROR((IF($B124 = "","",INDEX(レシピ一覧!O:O,MATCH(使用レシピ!$B124,レシピ一覧!$A:$A,0)))&amp;"")*1,"")</f>
        <v>1</v>
      </c>
      <c r="Q124" s="86">
        <f>IFERROR((IF($B124 = "","",INDEX(レシピ一覧!P:P,MATCH(使用レシピ!$B124,レシピ一覧!$A:$A,0)))&amp;"")*1,"")</f>
        <v>30</v>
      </c>
    </row>
    <row r="125" spans="1:17" x14ac:dyDescent="0.4">
      <c r="A125" s="84">
        <v>1</v>
      </c>
      <c r="B125" s="21" t="str">
        <f t="shared" si="1"/>
        <v>12401</v>
      </c>
      <c r="C125" s="81">
        <f>IF(COUNTIF(レシピ一覧!$B:$B,ROW()-1),ROW()-1,"")</f>
        <v>124</v>
      </c>
      <c r="D125" s="15">
        <f>IF(E125="","",COUNTIF(レシピ一覧!$D$2:$D$500,使用レシピ!E125))</f>
        <v>1</v>
      </c>
      <c r="E125" s="57" t="str">
        <f>IFERROR( INDEX(レシピ一覧!$D:$D,MATCH(使用レシピ!$C125,レシピ一覧!$B:$B,0))&amp;"","")</f>
        <v>時の結晶</v>
      </c>
      <c r="F125" s="85" t="str">
        <f>IF($B125 = "","",INDEX(レシピ一覧!E:E,MATCH(使用レシピ!$B125,レシピ一覧!$A:$A,0))) &amp;""</f>
        <v>ダイヤモンド</v>
      </c>
      <c r="G125" s="85" t="str">
        <f>IF($B125 = "","",INDEX(レシピ一覧!F:F,MATCH(使用レシピ!$B125,レシピ一覧!$A:$A,0))) &amp;""</f>
        <v/>
      </c>
      <c r="H125" s="85" t="str">
        <f>IF($B125 = "","",INDEX(レシピ一覧!G:G,MATCH(使用レシピ!$B125,レシピ一覧!$A:$A,0))) &amp;""</f>
        <v/>
      </c>
      <c r="I125" s="85" t="str">
        <f>IF($B125 = "","",INDEX(レシピ一覧!H:H,MATCH(使用レシピ!$B125,レシピ一覧!$A:$A,0))) &amp;""</f>
        <v/>
      </c>
      <c r="J125" s="85" t="str">
        <f>IF($B125 = "","",INDEX(レシピ一覧!I:I,MATCH(使用レシピ!$B125,レシピ一覧!$A:$A,0))) &amp;""</f>
        <v/>
      </c>
      <c r="K125" s="85">
        <f>IFERROR((IF($B125 = "","",INDEX(レシピ一覧!J:J,MATCH(使用レシピ!$B125,レシピ一覧!$A:$A,0)))&amp;"")*1,"")</f>
        <v>2</v>
      </c>
      <c r="L125" s="85" t="str">
        <f>IFERROR((IF($B125 = "","",INDEX(レシピ一覧!K:K,MATCH(使用レシピ!$B125,レシピ一覧!$A:$A,0)))&amp;"")*1,"")</f>
        <v/>
      </c>
      <c r="M125" s="85" t="str">
        <f>IFERROR((IF($B125 = "","",INDEX(レシピ一覧!L:L,MATCH(使用レシピ!$B125,レシピ一覧!$A:$A,0)))&amp;"")*1,"")</f>
        <v/>
      </c>
      <c r="N125" s="85" t="str">
        <f>IFERROR((IF($B125 = "","",INDEX(レシピ一覧!M:M,MATCH(使用レシピ!$B125,レシピ一覧!$A:$A,0)))&amp;"")*1,"")</f>
        <v/>
      </c>
      <c r="O125" s="85" t="str">
        <f>IFERROR((IF($B125 = "","",INDEX(レシピ一覧!N:N,MATCH(使用レシピ!$B125,レシピ一覧!$A:$A,0)))&amp;"")*1,"")</f>
        <v/>
      </c>
      <c r="P125" s="85">
        <f>IFERROR((IF($B125 = "","",INDEX(レシピ一覧!O:O,MATCH(使用レシピ!$B125,レシピ一覧!$A:$A,0)))&amp;"")*1,"")</f>
        <v>1</v>
      </c>
      <c r="Q125" s="86">
        <f>IFERROR((IF($B125 = "","",INDEX(レシピ一覧!P:P,MATCH(使用レシピ!$B125,レシピ一覧!$A:$A,0)))&amp;"")*1,"")</f>
        <v>6</v>
      </c>
    </row>
    <row r="126" spans="1:17" x14ac:dyDescent="0.4">
      <c r="A126" s="84">
        <v>1</v>
      </c>
      <c r="B126" s="21" t="str">
        <f t="shared" si="1"/>
        <v>12501</v>
      </c>
      <c r="C126" s="81">
        <f>IF(COUNTIF(レシピ一覧!$B:$B,ROW()-1),ROW()-1,"")</f>
        <v>125</v>
      </c>
      <c r="D126" s="15">
        <f>IF(E126="","",COUNTIF(レシピ一覧!$D$2:$D$500,使用レシピ!E126))</f>
        <v>1</v>
      </c>
      <c r="E126" s="57" t="str">
        <f>IFERROR( INDEX(レシピ一覧!$D:$D,MATCH(使用レシピ!$C126,レシピ一覧!$B:$B,0))&amp;"","")</f>
        <v>生化学スカルプター</v>
      </c>
      <c r="F126" s="85" t="str">
        <f>IF($B126 = "","",INDEX(レシピ一覧!E:E,MATCH(使用レシピ!$B126,レシピ一覧!$A:$A,0))) &amp;""</f>
        <v>組立指揮システム</v>
      </c>
      <c r="G126" s="85" t="str">
        <f>IF($B126 = "","",INDEX(レシピ一覧!F:F,MATCH(使用レシピ!$B126,レシピ一覧!$A:$A,0))) &amp;""</f>
        <v>FICSITEの三角板</v>
      </c>
      <c r="H126" s="85" t="str">
        <f>IF($B126 = "","",INDEX(レシピ一覧!G:G,MATCH(使用レシピ!$B126,レシピ一覧!$A:$A,0))) &amp;""</f>
        <v>水</v>
      </c>
      <c r="I126" s="85" t="str">
        <f>IF($B126 = "","",INDEX(レシピ一覧!H:H,MATCH(使用レシピ!$B126,レシピ一覧!$A:$A,0))) &amp;""</f>
        <v/>
      </c>
      <c r="J126" s="85" t="str">
        <f>IF($B126 = "","",INDEX(レシピ一覧!I:I,MATCH(使用レシピ!$B126,レシピ一覧!$A:$A,0))) &amp;""</f>
        <v/>
      </c>
      <c r="K126" s="85">
        <f>IFERROR((IF($B126 = "","",INDEX(レシピ一覧!J:J,MATCH(使用レシピ!$B126,レシピ一覧!$A:$A,0)))&amp;"")*1,"")</f>
        <v>1</v>
      </c>
      <c r="L126" s="85">
        <f>IFERROR((IF($B126 = "","",INDEX(レシピ一覧!K:K,MATCH(使用レシピ!$B126,レシピ一覧!$A:$A,0)))&amp;"")*1,"")</f>
        <v>80</v>
      </c>
      <c r="M126" s="85">
        <f>IFERROR((IF($B126 = "","",INDEX(レシピ一覧!L:L,MATCH(使用レシピ!$B126,レシピ一覧!$A:$A,0)))&amp;"")*1,"")</f>
        <v>20</v>
      </c>
      <c r="N126" s="85" t="str">
        <f>IFERROR((IF($B126 = "","",INDEX(レシピ一覧!M:M,MATCH(使用レシピ!$B126,レシピ一覧!$A:$A,0)))&amp;"")*1,"")</f>
        <v/>
      </c>
      <c r="O126" s="85" t="str">
        <f>IFERROR((IF($B126 = "","",INDEX(レシピ一覧!N:N,MATCH(使用レシピ!$B126,レシピ一覧!$A:$A,0)))&amp;"")*1,"")</f>
        <v/>
      </c>
      <c r="P126" s="85">
        <f>IFERROR((IF($B126 = "","",INDEX(レシピ一覧!O:O,MATCH(使用レシピ!$B126,レシピ一覧!$A:$A,0)))&amp;"")*1,"")</f>
        <v>4</v>
      </c>
      <c r="Q126" s="86">
        <f>IFERROR((IF($B126 = "","",INDEX(レシピ一覧!P:P,MATCH(使用レシピ!$B126,レシピ一覧!$A:$A,0)))&amp;"")*1,"")</f>
        <v>2</v>
      </c>
    </row>
    <row r="127" spans="1:17" x14ac:dyDescent="0.4">
      <c r="A127" s="84">
        <v>1</v>
      </c>
      <c r="B127" s="21" t="str">
        <f t="shared" si="1"/>
        <v>12601</v>
      </c>
      <c r="C127" s="81">
        <f>IF(COUNTIF(レシピ一覧!$B:$B,ROW()-1),ROW()-1,"")</f>
        <v>126</v>
      </c>
      <c r="D127" s="15">
        <f>IF(E127="","",COUNTIF(レシピ一覧!$D$2:$D$500,使用レシピ!E127))</f>
        <v>1</v>
      </c>
      <c r="E127" s="57" t="str">
        <f>IFERROR( INDEX(レシピ一覧!$D:$D,MATCH(使用レシピ!$C127,レシピ一覧!$B:$B,0))&amp;"","")</f>
        <v>励起フォトニック物質</v>
      </c>
      <c r="F127" s="85" t="str">
        <f>IF($B127 = "","",INDEX(レシピ一覧!E:E,MATCH(使用レシピ!$B127,レシピ一覧!$A:$A,0))) &amp;""</f>
        <v/>
      </c>
      <c r="G127" s="85" t="str">
        <f>IF($B127 = "","",INDEX(レシピ一覧!F:F,MATCH(使用レシピ!$B127,レシピ一覧!$A:$A,0))) &amp;""</f>
        <v/>
      </c>
      <c r="H127" s="85" t="str">
        <f>IF($B127 = "","",INDEX(レシピ一覧!G:G,MATCH(使用レシピ!$B127,レシピ一覧!$A:$A,0))) &amp;""</f>
        <v/>
      </c>
      <c r="I127" s="85" t="str">
        <f>IF($B127 = "","",INDEX(レシピ一覧!H:H,MATCH(使用レシピ!$B127,レシピ一覧!$A:$A,0))) &amp;""</f>
        <v/>
      </c>
      <c r="J127" s="85" t="str">
        <f>IF($B127 = "","",INDEX(レシピ一覧!I:I,MATCH(使用レシピ!$B127,レシピ一覧!$A:$A,0))) &amp;""</f>
        <v/>
      </c>
      <c r="K127" s="85" t="str">
        <f>IFERROR((IF($B127 = "","",INDEX(レシピ一覧!J:J,MATCH(使用レシピ!$B127,レシピ一覧!$A:$A,0)))&amp;"")*1,"")</f>
        <v/>
      </c>
      <c r="L127" s="85" t="str">
        <f>IFERROR((IF($B127 = "","",INDEX(レシピ一覧!K:K,MATCH(使用レシピ!$B127,レシピ一覧!$A:$A,0)))&amp;"")*1,"")</f>
        <v/>
      </c>
      <c r="M127" s="85" t="str">
        <f>IFERROR((IF($B127 = "","",INDEX(レシピ一覧!L:L,MATCH(使用レシピ!$B127,レシピ一覧!$A:$A,0)))&amp;"")*1,"")</f>
        <v/>
      </c>
      <c r="N127" s="85" t="str">
        <f>IFERROR((IF($B127 = "","",INDEX(レシピ一覧!M:M,MATCH(使用レシピ!$B127,レシピ一覧!$A:$A,0)))&amp;"")*1,"")</f>
        <v/>
      </c>
      <c r="O127" s="85" t="str">
        <f>IFERROR((IF($B127 = "","",INDEX(レシピ一覧!N:N,MATCH(使用レシピ!$B127,レシピ一覧!$A:$A,0)))&amp;"")*1,"")</f>
        <v/>
      </c>
      <c r="P127" s="85">
        <f>IFERROR((IF($B127 = "","",INDEX(レシピ一覧!O:O,MATCH(使用レシピ!$B127,レシピ一覧!$A:$A,0)))&amp;"")*1,"")</f>
        <v>10</v>
      </c>
      <c r="Q127" s="86">
        <f>IFERROR((IF($B127 = "","",INDEX(レシピ一覧!P:P,MATCH(使用レシピ!$B127,レシピ一覧!$A:$A,0)))&amp;"")*1,"")</f>
        <v>200</v>
      </c>
    </row>
    <row r="128" spans="1:17" x14ac:dyDescent="0.4">
      <c r="A128" s="84">
        <v>1</v>
      </c>
      <c r="B128" s="21" t="str">
        <f t="shared" si="1"/>
        <v>12701</v>
      </c>
      <c r="C128" s="81">
        <f>IF(COUNTIF(レシピ一覧!$B:$B,ROW()-1),ROW()-1,"")</f>
        <v>127</v>
      </c>
      <c r="D128" s="15">
        <f>IF(E128="","",COUNTIF(レシピ一覧!$D$2:$D$500,使用レシピ!E128))</f>
        <v>7</v>
      </c>
      <c r="E128" s="57" t="str">
        <f>IFERROR( INDEX(レシピ一覧!$D:$D,MATCH(使用レシピ!$C128,レシピ一覧!$B:$B,0))&amp;"","")</f>
        <v>ダークマターの残留物</v>
      </c>
      <c r="F128" s="85" t="str">
        <f>IF($B128 = "","",INDEX(レシピ一覧!E:E,MATCH(使用レシピ!$B128,レシピ一覧!$A:$A,0))) &amp;""</f>
        <v>活性SAM</v>
      </c>
      <c r="G128" s="85" t="str">
        <f>IF($B128 = "","",INDEX(レシピ一覧!F:F,MATCH(使用レシピ!$B128,レシピ一覧!$A:$A,0))) &amp;""</f>
        <v/>
      </c>
      <c r="H128" s="85" t="str">
        <f>IF($B128 = "","",INDEX(レシピ一覧!G:G,MATCH(使用レシピ!$B128,レシピ一覧!$A:$A,0))) &amp;""</f>
        <v/>
      </c>
      <c r="I128" s="85" t="str">
        <f>IF($B128 = "","",INDEX(レシピ一覧!H:H,MATCH(使用レシピ!$B128,レシピ一覧!$A:$A,0))) &amp;""</f>
        <v/>
      </c>
      <c r="J128" s="85" t="str">
        <f>IF($B128 = "","",INDEX(レシピ一覧!I:I,MATCH(使用レシピ!$B128,レシピ一覧!$A:$A,0))) &amp;""</f>
        <v/>
      </c>
      <c r="K128" s="85">
        <f>IFERROR((IF($B128 = "","",INDEX(レシピ一覧!J:J,MATCH(使用レシピ!$B128,レシピ一覧!$A:$A,0)))&amp;"")*1,"")</f>
        <v>5</v>
      </c>
      <c r="L128" s="85" t="str">
        <f>IFERROR((IF($B128 = "","",INDEX(レシピ一覧!K:K,MATCH(使用レシピ!$B128,レシピ一覧!$A:$A,0)))&amp;"")*1,"")</f>
        <v/>
      </c>
      <c r="M128" s="85" t="str">
        <f>IFERROR((IF($B128 = "","",INDEX(レシピ一覧!L:L,MATCH(使用レシピ!$B128,レシピ一覧!$A:$A,0)))&amp;"")*1,"")</f>
        <v/>
      </c>
      <c r="N128" s="85" t="str">
        <f>IFERROR((IF($B128 = "","",INDEX(レシピ一覧!M:M,MATCH(使用レシピ!$B128,レシピ一覧!$A:$A,0)))&amp;"")*1,"")</f>
        <v/>
      </c>
      <c r="O128" s="85" t="str">
        <f>IFERROR((IF($B128 = "","",INDEX(レシピ一覧!N:N,MATCH(使用レシピ!$B128,レシピ一覧!$A:$A,0)))&amp;"")*1,"")</f>
        <v/>
      </c>
      <c r="P128" s="85">
        <f>IFERROR((IF($B128 = "","",INDEX(レシピ一覧!O:O,MATCH(使用レシピ!$B128,レシピ一覧!$A:$A,0)))&amp;"")*1,"")</f>
        <v>10</v>
      </c>
      <c r="Q128" s="86">
        <f>IFERROR((IF($B128 = "","",INDEX(レシピ一覧!P:P,MATCH(使用レシピ!$B128,レシピ一覧!$A:$A,0)))&amp;"")*1,"")</f>
        <v>100</v>
      </c>
    </row>
    <row r="129" spans="1:17" x14ac:dyDescent="0.4">
      <c r="A129" s="84">
        <v>1</v>
      </c>
      <c r="B129" s="21" t="str">
        <f t="shared" si="1"/>
        <v>12801</v>
      </c>
      <c r="C129" s="81">
        <f>IF(COUNTIF(レシピ一覧!$B:$B,ROW()-1),ROW()-1,"")</f>
        <v>128</v>
      </c>
      <c r="D129" s="15">
        <f>IF(E129="","",COUNTIF(レシピ一覧!$D$2:$D$500,使用レシピ!E129))</f>
        <v>3</v>
      </c>
      <c r="E129" s="57" t="str">
        <f>IFERROR( INDEX(レシピ一覧!$D:$D,MATCH(使用レシピ!$C129,レシピ一覧!$B:$B,0))&amp;"","")</f>
        <v>ダークマターの結晶</v>
      </c>
      <c r="F129" s="85" t="str">
        <f>IF($B129 = "","",INDEX(レシピ一覧!E:E,MATCH(使用レシピ!$B129,レシピ一覧!$A:$A,0))) &amp;""</f>
        <v>ダイヤモンド</v>
      </c>
      <c r="G129" s="85" t="str">
        <f>IF($B129 = "","",INDEX(レシピ一覧!F:F,MATCH(使用レシピ!$B129,レシピ一覧!$A:$A,0))) &amp;""</f>
        <v>ダークマターの残留物</v>
      </c>
      <c r="H129" s="85" t="str">
        <f>IF($B129 = "","",INDEX(レシピ一覧!G:G,MATCH(使用レシピ!$B129,レシピ一覧!$A:$A,0))) &amp;""</f>
        <v/>
      </c>
      <c r="I129" s="85" t="str">
        <f>IF($B129 = "","",INDEX(レシピ一覧!H:H,MATCH(使用レシピ!$B129,レシピ一覧!$A:$A,0))) &amp;""</f>
        <v/>
      </c>
      <c r="J129" s="85" t="str">
        <f>IF($B129 = "","",INDEX(レシピ一覧!I:I,MATCH(使用レシピ!$B129,レシピ一覧!$A:$A,0))) &amp;""</f>
        <v/>
      </c>
      <c r="K129" s="85">
        <f>IFERROR((IF($B129 = "","",INDEX(レシピ一覧!J:J,MATCH(使用レシピ!$B129,レシピ一覧!$A:$A,0)))&amp;"")*1,"")</f>
        <v>1</v>
      </c>
      <c r="L129" s="85">
        <f>IFERROR((IF($B129 = "","",INDEX(レシピ一覧!K:K,MATCH(使用レシピ!$B129,レシピ一覧!$A:$A,0)))&amp;"")*1,"")</f>
        <v>5</v>
      </c>
      <c r="M129" s="85" t="str">
        <f>IFERROR((IF($B129 = "","",INDEX(レシピ一覧!L:L,MATCH(使用レシピ!$B129,レシピ一覧!$A:$A,0)))&amp;"")*1,"")</f>
        <v/>
      </c>
      <c r="N129" s="85" t="str">
        <f>IFERROR((IF($B129 = "","",INDEX(レシピ一覧!M:M,MATCH(使用レシピ!$B129,レシピ一覧!$A:$A,0)))&amp;"")*1,"")</f>
        <v/>
      </c>
      <c r="O129" s="85" t="str">
        <f>IFERROR((IF($B129 = "","",INDEX(レシピ一覧!N:N,MATCH(使用レシピ!$B129,レシピ一覧!$A:$A,0)))&amp;"")*1,"")</f>
        <v/>
      </c>
      <c r="P129" s="85">
        <f>IFERROR((IF($B129 = "","",INDEX(レシピ一覧!O:O,MATCH(使用レシピ!$B129,レシピ一覧!$A:$A,0)))&amp;"")*1,"")</f>
        <v>1</v>
      </c>
      <c r="Q129" s="86">
        <f>IFERROR((IF($B129 = "","",INDEX(レシピ一覧!P:P,MATCH(使用レシピ!$B129,レシピ一覧!$A:$A,0)))&amp;"")*1,"")</f>
        <v>30</v>
      </c>
    </row>
    <row r="130" spans="1:17" x14ac:dyDescent="0.4">
      <c r="A130" s="84">
        <v>1</v>
      </c>
      <c r="B130" s="21" t="str">
        <f t="shared" si="1"/>
        <v>12901</v>
      </c>
      <c r="C130" s="81">
        <f>IF(COUNTIF(レシピ一覧!$B:$B,ROW()-1),ROW()-1,"")</f>
        <v>129</v>
      </c>
      <c r="D130" s="15">
        <f>IF(E130="","",COUNTIF(レシピ一覧!$D$2:$D$500,使用レシピ!E130))</f>
        <v>1</v>
      </c>
      <c r="E130" s="57" t="str">
        <f>IFERROR( INDEX(レシピ一覧!$D:$D,MATCH(使用レシピ!$C130,レシピ一覧!$B:$B,0))&amp;"","")</f>
        <v>重ね合わせ発振器</v>
      </c>
      <c r="F130" s="85" t="str">
        <f>IF($B130 = "","",INDEX(レシピ一覧!E:E,MATCH(使用レシピ!$B130,レシピ一覧!$A:$A,0))) &amp;""</f>
        <v>ダークマターの結晶</v>
      </c>
      <c r="G130" s="85" t="str">
        <f>IF($B130 = "","",INDEX(レシピ一覧!F:F,MATCH(使用レシピ!$B130,レシピ一覧!$A:$A,0))) &amp;""</f>
        <v>水晶発振器</v>
      </c>
      <c r="H130" s="85" t="str">
        <f>IF($B130 = "","",INDEX(レシピ一覧!G:G,MATCH(使用レシピ!$B130,レシピ一覧!$A:$A,0))) &amp;""</f>
        <v>アルクラッド・アルミシート</v>
      </c>
      <c r="I130" s="85" t="str">
        <f>IF($B130 = "","",INDEX(レシピ一覧!H:H,MATCH(使用レシピ!$B130,レシピ一覧!$A:$A,0))) &amp;""</f>
        <v>励起フォトニック物質</v>
      </c>
      <c r="J130" s="85" t="str">
        <f>IF($B130 = "","",INDEX(レシピ一覧!I:I,MATCH(使用レシピ!$B130,レシピ一覧!$A:$A,0))) &amp;""</f>
        <v>ダークマターの残留物</v>
      </c>
      <c r="K130" s="85">
        <f>IFERROR((IF($B130 = "","",INDEX(レシピ一覧!J:J,MATCH(使用レシピ!$B130,レシピ一覧!$A:$A,0)))&amp;"")*1,"")</f>
        <v>6</v>
      </c>
      <c r="L130" s="85">
        <f>IFERROR((IF($B130 = "","",INDEX(レシピ一覧!K:K,MATCH(使用レシピ!$B130,レシピ一覧!$A:$A,0)))&amp;"")*1,"")</f>
        <v>1</v>
      </c>
      <c r="M130" s="85">
        <f>IFERROR((IF($B130 = "","",INDEX(レシピ一覧!L:L,MATCH(使用レシピ!$B130,レシピ一覧!$A:$A,0)))&amp;"")*1,"")</f>
        <v>9</v>
      </c>
      <c r="N130" s="85">
        <f>IFERROR((IF($B130 = "","",INDEX(レシピ一覧!M:M,MATCH(使用レシピ!$B130,レシピ一覧!$A:$A,0)))&amp;"")*1,"")</f>
        <v>25</v>
      </c>
      <c r="O130" s="85">
        <f>IFERROR((IF($B130 = "","",INDEX(レシピ一覧!N:N,MATCH(使用レシピ!$B130,レシピ一覧!$A:$A,0)))&amp;"")*1,"")</f>
        <v>25</v>
      </c>
      <c r="P130" s="85">
        <f>IFERROR((IF($B130 = "","",INDEX(レシピ一覧!O:O,MATCH(使用レシピ!$B130,レシピ一覧!$A:$A,0)))&amp;"")*1,"")</f>
        <v>1</v>
      </c>
      <c r="Q130" s="86">
        <f>IFERROR((IF($B130 = "","",INDEX(レシピ一覧!P:P,MATCH(使用レシピ!$B130,レシピ一覧!$A:$A,0)))&amp;"")*1,"")</f>
        <v>5</v>
      </c>
    </row>
    <row r="131" spans="1:17" x14ac:dyDescent="0.4">
      <c r="A131" s="84">
        <v>1</v>
      </c>
      <c r="B131" s="21" t="str">
        <f t="shared" ref="B131:B194" si="2">IF(ISNUMBER(C131),C131 &amp; RIGHT("00"&amp;A131,2),"")</f>
        <v>13001</v>
      </c>
      <c r="C131" s="81">
        <f>IF(COUNTIF(レシピ一覧!$B:$B,ROW()-1),ROW()-1,"")</f>
        <v>130</v>
      </c>
      <c r="D131" s="15">
        <f>IF(E131="","",COUNTIF(レシピ一覧!$D$2:$D$500,使用レシピ!E131))</f>
        <v>1</v>
      </c>
      <c r="E131" s="57" t="str">
        <f>IFERROR( INDEX(レシピ一覧!$D:$D,MATCH(使用レシピ!$C131,レシピ一覧!$B:$B,0))&amp;"","")</f>
        <v>ニューラル量子プロセッサー</v>
      </c>
      <c r="F131" s="85" t="str">
        <f>IF($B131 = "","",INDEX(レシピ一覧!E:E,MATCH(使用レシピ!$B131,レシピ一覧!$A:$A,0))) &amp;""</f>
        <v>時の結晶</v>
      </c>
      <c r="G131" s="85" t="str">
        <f>IF($B131 = "","",INDEX(レシピ一覧!F:F,MATCH(使用レシピ!$B131,レシピ一覧!$A:$A,0))) &amp;""</f>
        <v>スーパーコンピューター</v>
      </c>
      <c r="H131" s="85" t="str">
        <f>IF($B131 = "","",INDEX(レシピ一覧!G:G,MATCH(使用レシピ!$B131,レシピ一覧!$A:$A,0))) &amp;""</f>
        <v>FICSITEの三角板</v>
      </c>
      <c r="I131" s="85" t="str">
        <f>IF($B131 = "","",INDEX(レシピ一覧!H:H,MATCH(使用レシピ!$B131,レシピ一覧!$A:$A,0))) &amp;""</f>
        <v>励起フォトニック物質</v>
      </c>
      <c r="J131" s="85" t="str">
        <f>IF($B131 = "","",INDEX(レシピ一覧!I:I,MATCH(使用レシピ!$B131,レシピ一覧!$A:$A,0))) &amp;""</f>
        <v>ダークマターの残留物</v>
      </c>
      <c r="K131" s="85">
        <f>IFERROR((IF($B131 = "","",INDEX(レシピ一覧!J:J,MATCH(使用レシピ!$B131,レシピ一覧!$A:$A,0)))&amp;"")*1,"")</f>
        <v>5</v>
      </c>
      <c r="L131" s="85">
        <f>IFERROR((IF($B131 = "","",INDEX(レシピ一覧!K:K,MATCH(使用レシピ!$B131,レシピ一覧!$A:$A,0)))&amp;"")*1,"")</f>
        <v>1</v>
      </c>
      <c r="M131" s="85">
        <f>IFERROR((IF($B131 = "","",INDEX(レシピ一覧!L:L,MATCH(使用レシピ!$B131,レシピ一覧!$A:$A,0)))&amp;"")*1,"")</f>
        <v>15</v>
      </c>
      <c r="N131" s="85">
        <f>IFERROR((IF($B131 = "","",INDEX(レシピ一覧!M:M,MATCH(使用レシピ!$B131,レシピ一覧!$A:$A,0)))&amp;"")*1,"")</f>
        <v>25</v>
      </c>
      <c r="O131" s="85">
        <f>IFERROR((IF($B131 = "","",INDEX(レシピ一覧!N:N,MATCH(使用レシピ!$B131,レシピ一覧!$A:$A,0)))&amp;"")*1,"")</f>
        <v>25</v>
      </c>
      <c r="P131" s="85">
        <f>IFERROR((IF($B131 = "","",INDEX(レシピ一覧!O:O,MATCH(使用レシピ!$B131,レシピ一覧!$A:$A,0)))&amp;"")*1,"")</f>
        <v>1</v>
      </c>
      <c r="Q131" s="86">
        <f>IFERROR((IF($B131 = "","",INDEX(レシピ一覧!P:P,MATCH(使用レシピ!$B131,レシピ一覧!$A:$A,0)))&amp;"")*1,"")</f>
        <v>3</v>
      </c>
    </row>
    <row r="132" spans="1:17" x14ac:dyDescent="0.4">
      <c r="A132" s="84">
        <v>1</v>
      </c>
      <c r="B132" s="21" t="str">
        <f t="shared" si="2"/>
        <v>13101</v>
      </c>
      <c r="C132" s="81">
        <f>IF(COUNTIF(レシピ一覧!$B:$B,ROW()-1),ROW()-1,"")</f>
        <v>131</v>
      </c>
      <c r="D132" s="15">
        <f>IF(E132="","",COUNTIF(レシピ一覧!$D$2:$D$500,使用レシピ!E132))</f>
        <v>1</v>
      </c>
      <c r="E132" s="57" t="str">
        <f>IFERROR( INDEX(レシピ一覧!$D:$D,MATCH(使用レシピ!$C132,レシピ一覧!$B:$B,0))&amp;"","")</f>
        <v>AI拡張サーバー</v>
      </c>
      <c r="F132" s="85" t="str">
        <f>IF($B132 = "","",INDEX(レシピ一覧!E:E,MATCH(使用レシピ!$B132,レシピ一覧!$A:$A,0))) &amp;""</f>
        <v>磁界発生装置</v>
      </c>
      <c r="G132" s="85" t="str">
        <f>IF($B132 = "","",INDEX(レシピ一覧!F:F,MATCH(使用レシピ!$B132,レシピ一覧!$A:$A,0))) &amp;""</f>
        <v>ニューラル量子プロセッサー</v>
      </c>
      <c r="H132" s="85" t="str">
        <f>IF($B132 = "","",INDEX(レシピ一覧!G:G,MATCH(使用レシピ!$B132,レシピ一覧!$A:$A,0))) &amp;""</f>
        <v>重ね合わせ発振器</v>
      </c>
      <c r="I132" s="85" t="str">
        <f>IF($B132 = "","",INDEX(レシピ一覧!H:H,MATCH(使用レシピ!$B132,レシピ一覧!$A:$A,0))) &amp;""</f>
        <v>励起フォトニック物質</v>
      </c>
      <c r="J132" s="85" t="str">
        <f>IF($B132 = "","",INDEX(レシピ一覧!I:I,MATCH(使用レシピ!$B132,レシピ一覧!$A:$A,0))) &amp;""</f>
        <v>ダークマターの残留物</v>
      </c>
      <c r="K132" s="85">
        <f>IFERROR((IF($B132 = "","",INDEX(レシピ一覧!J:J,MATCH(使用レシピ!$B132,レシピ一覧!$A:$A,0)))&amp;"")*1,"")</f>
        <v>1</v>
      </c>
      <c r="L132" s="85">
        <f>IFERROR((IF($B132 = "","",INDEX(レシピ一覧!K:K,MATCH(使用レシピ!$B132,レシピ一覧!$A:$A,0)))&amp;"")*1,"")</f>
        <v>1</v>
      </c>
      <c r="M132" s="85">
        <f>IFERROR((IF($B132 = "","",INDEX(レシピ一覧!L:L,MATCH(使用レシピ!$B132,レシピ一覧!$A:$A,0)))&amp;"")*1,"")</f>
        <v>1</v>
      </c>
      <c r="N132" s="85">
        <f>IFERROR((IF($B132 = "","",INDEX(レシピ一覧!M:M,MATCH(使用レシピ!$B132,レシピ一覧!$A:$A,0)))&amp;"")*1,"")</f>
        <v>25</v>
      </c>
      <c r="O132" s="85">
        <f>IFERROR((IF($B132 = "","",INDEX(レシピ一覧!N:N,MATCH(使用レシピ!$B132,レシピ一覧!$A:$A,0)))&amp;"")*1,"")</f>
        <v>25</v>
      </c>
      <c r="P132" s="85">
        <f>IFERROR((IF($B132 = "","",INDEX(レシピ一覧!O:O,MATCH(使用レシピ!$B132,レシピ一覧!$A:$A,0)))&amp;"")*1,"")</f>
        <v>1</v>
      </c>
      <c r="Q132" s="86">
        <f>IFERROR((IF($B132 = "","",INDEX(レシピ一覧!P:P,MATCH(使用レシピ!$B132,レシピ一覧!$A:$A,0)))&amp;"")*1,"")</f>
        <v>4</v>
      </c>
    </row>
    <row r="133" spans="1:17" x14ac:dyDescent="0.4">
      <c r="A133" s="84">
        <v>1</v>
      </c>
      <c r="B133" s="21" t="str">
        <f t="shared" si="2"/>
        <v>13201</v>
      </c>
      <c r="C133" s="81">
        <f>IF(COUNTIF(レシピ一覧!$B:$B,ROW()-1),ROW()-1,"")</f>
        <v>132</v>
      </c>
      <c r="D133" s="15">
        <f>IF(E133="","",COUNTIF(レシピ一覧!$D$2:$D$500,使用レシピ!E133))</f>
        <v>1</v>
      </c>
      <c r="E133" s="57" t="str">
        <f>IFERROR( INDEX(レシピ一覧!$D:$D,MATCH(使用レシピ!$C133,レシピ一覧!$B:$B,0))&amp;"","")</f>
        <v>FICSONIUM</v>
      </c>
      <c r="F133" s="85" t="str">
        <f>IF($B133 = "","",INDEX(レシピ一覧!E:E,MATCH(使用レシピ!$B133,レシピ一覧!$A:$A,0))) &amp;""</f>
        <v>プルトニウム廃棄物</v>
      </c>
      <c r="G133" s="85" t="str">
        <f>IF($B133 = "","",INDEX(レシピ一覧!F:F,MATCH(使用レシピ!$B133,レシピ一覧!$A:$A,0))) &amp;""</f>
        <v>シンギュラリティセル</v>
      </c>
      <c r="H133" s="85" t="str">
        <f>IF($B133 = "","",INDEX(レシピ一覧!G:G,MATCH(使用レシピ!$B133,レシピ一覧!$A:$A,0))) &amp;""</f>
        <v>ダークマターの残留物</v>
      </c>
      <c r="I133" s="85" t="str">
        <f>IF($B133 = "","",INDEX(レシピ一覧!H:H,MATCH(使用レシピ!$B133,レシピ一覧!$A:$A,0))) &amp;""</f>
        <v/>
      </c>
      <c r="J133" s="85" t="str">
        <f>IF($B133 = "","",INDEX(レシピ一覧!I:I,MATCH(使用レシピ!$B133,レシピ一覧!$A:$A,0))) &amp;""</f>
        <v/>
      </c>
      <c r="K133" s="85">
        <f>IFERROR((IF($B133 = "","",INDEX(レシピ一覧!J:J,MATCH(使用レシピ!$B133,レシピ一覧!$A:$A,0)))&amp;"")*1,"")</f>
        <v>1</v>
      </c>
      <c r="L133" s="85">
        <f>IFERROR((IF($B133 = "","",INDEX(レシピ一覧!K:K,MATCH(使用レシピ!$B133,レシピ一覧!$A:$A,0)))&amp;"")*1,"")</f>
        <v>1</v>
      </c>
      <c r="M133" s="85">
        <f>IFERROR((IF($B133 = "","",INDEX(レシピ一覧!L:L,MATCH(使用レシピ!$B133,レシピ一覧!$A:$A,0)))&amp;"")*1,"")</f>
        <v>20</v>
      </c>
      <c r="N133" s="85" t="str">
        <f>IFERROR((IF($B133 = "","",INDEX(レシピ一覧!M:M,MATCH(使用レシピ!$B133,レシピ一覧!$A:$A,0)))&amp;"")*1,"")</f>
        <v/>
      </c>
      <c r="O133" s="85" t="str">
        <f>IFERROR((IF($B133 = "","",INDEX(レシピ一覧!N:N,MATCH(使用レシピ!$B133,レシピ一覧!$A:$A,0)))&amp;"")*1,"")</f>
        <v/>
      </c>
      <c r="P133" s="85">
        <f>IFERROR((IF($B133 = "","",INDEX(レシピ一覧!O:O,MATCH(使用レシピ!$B133,レシピ一覧!$A:$A,0)))&amp;"")*1,"")</f>
        <v>1</v>
      </c>
      <c r="Q133" s="86">
        <f>IFERROR((IF($B133 = "","",INDEX(レシピ一覧!P:P,MATCH(使用レシピ!$B133,レシピ一覧!$A:$A,0)))&amp;"")*1,"")</f>
        <v>10</v>
      </c>
    </row>
    <row r="134" spans="1:17" x14ac:dyDescent="0.4">
      <c r="A134" s="84">
        <v>1</v>
      </c>
      <c r="B134" s="21" t="str">
        <f t="shared" si="2"/>
        <v>13301</v>
      </c>
      <c r="C134" s="81">
        <f>IF(COUNTIF(レシピ一覧!$B:$B,ROW()-1),ROW()-1,"")</f>
        <v>133</v>
      </c>
      <c r="D134" s="15">
        <f>IF(E134="","",COUNTIF(レシピ一覧!$D$2:$D$500,使用レシピ!E134))</f>
        <v>1</v>
      </c>
      <c r="E134" s="57" t="str">
        <f>IFERROR( INDEX(レシピ一覧!$D:$D,MATCH(使用レシピ!$C134,レシピ一覧!$B:$B,0))&amp;"","")</f>
        <v>プルトニウム廃棄物</v>
      </c>
      <c r="F134" s="85" t="str">
        <f>IF($B134 = "","",INDEX(レシピ一覧!E:E,MATCH(使用レシピ!$B134,レシピ一覧!$A:$A,0))) &amp;""</f>
        <v>プルトニウム燃料棒</v>
      </c>
      <c r="G134" s="85" t="str">
        <f>IF($B134 = "","",INDEX(レシピ一覧!F:F,MATCH(使用レシピ!$B134,レシピ一覧!$A:$A,0))) &amp;""</f>
        <v>水</v>
      </c>
      <c r="H134" s="85" t="str">
        <f>IF($B134 = "","",INDEX(レシピ一覧!G:G,MATCH(使用レシピ!$B134,レシピ一覧!$A:$A,0))) &amp;""</f>
        <v/>
      </c>
      <c r="I134" s="85" t="str">
        <f>IF($B134 = "","",INDEX(レシピ一覧!H:H,MATCH(使用レシピ!$B134,レシピ一覧!$A:$A,0))) &amp;""</f>
        <v/>
      </c>
      <c r="J134" s="85" t="str">
        <f>IF($B134 = "","",INDEX(レシピ一覧!I:I,MATCH(使用レシピ!$B134,レシピ一覧!$A:$A,0))) &amp;""</f>
        <v/>
      </c>
      <c r="K134" s="85">
        <f>IFERROR((IF($B134 = "","",INDEX(レシピ一覧!J:J,MATCH(使用レシピ!$B134,レシピ一覧!$A:$A,0)))&amp;"")*1,"")</f>
        <v>1</v>
      </c>
      <c r="L134" s="85">
        <f>IFERROR((IF($B134 = "","",INDEX(レシピ一覧!K:K,MATCH(使用レシピ!$B134,レシピ一覧!$A:$A,0)))&amp;"")*1,"")</f>
        <v>2400</v>
      </c>
      <c r="M134" s="85" t="str">
        <f>IFERROR((IF($B134 = "","",INDEX(レシピ一覧!L:L,MATCH(使用レシピ!$B134,レシピ一覧!$A:$A,0)))&amp;"")*1,"")</f>
        <v/>
      </c>
      <c r="N134" s="85" t="str">
        <f>IFERROR((IF($B134 = "","",INDEX(レシピ一覧!M:M,MATCH(使用レシピ!$B134,レシピ一覧!$A:$A,0)))&amp;"")*1,"")</f>
        <v/>
      </c>
      <c r="O134" s="85" t="str">
        <f>IFERROR((IF($B134 = "","",INDEX(レシピ一覧!N:N,MATCH(使用レシピ!$B134,レシピ一覧!$A:$A,0)))&amp;"")*1,"")</f>
        <v/>
      </c>
      <c r="P134" s="85">
        <f>IFERROR((IF($B134 = "","",INDEX(レシピ一覧!O:O,MATCH(使用レシピ!$B134,レシピ一覧!$A:$A,0)))&amp;"")*1,"")</f>
        <v>10</v>
      </c>
      <c r="Q134" s="86">
        <f>IFERROR((IF($B134 = "","",INDEX(レシピ一覧!P:P,MATCH(使用レシピ!$B134,レシピ一覧!$A:$A,0)))&amp;"")*1,"")</f>
        <v>1</v>
      </c>
    </row>
    <row r="135" spans="1:17" x14ac:dyDescent="0.4">
      <c r="A135" s="84">
        <v>1</v>
      </c>
      <c r="B135" s="21" t="str">
        <f t="shared" si="2"/>
        <v>13401</v>
      </c>
      <c r="C135" s="81">
        <f>IF(COUNTIF(レシピ一覧!$B:$B,ROW()-1),ROW()-1,"")</f>
        <v>134</v>
      </c>
      <c r="D135" s="15">
        <f>IF(E135="","",COUNTIF(レシピ一覧!$D$2:$D$500,使用レシピ!E135))</f>
        <v>1</v>
      </c>
      <c r="E135" s="57" t="str">
        <f>IFERROR( INDEX(レシピ一覧!$D:$D,MATCH(使用レシピ!$C135,レシピ一覧!$B:$B,0))&amp;"","")</f>
        <v>シンギュラリティセル</v>
      </c>
      <c r="F135" s="85" t="str">
        <f>IF($B135 = "","",INDEX(レシピ一覧!E:E,MATCH(使用レシピ!$B135,レシピ一覧!$A:$A,0))) &amp;""</f>
        <v>核パスタ</v>
      </c>
      <c r="G135" s="85" t="str">
        <f>IF($B135 = "","",INDEX(レシピ一覧!F:F,MATCH(使用レシピ!$B135,レシピ一覧!$A:$A,0))) &amp;""</f>
        <v>ダークマターの結晶</v>
      </c>
      <c r="H135" s="85" t="str">
        <f>IF($B135 = "","",INDEX(レシピ一覧!G:G,MATCH(使用レシピ!$B135,レシピ一覧!$A:$A,0))) &amp;""</f>
        <v>鉄板</v>
      </c>
      <c r="I135" s="85" t="str">
        <f>IF($B135 = "","",INDEX(レシピ一覧!H:H,MATCH(使用レシピ!$B135,レシピ一覧!$A:$A,0))) &amp;""</f>
        <v>コンクリート</v>
      </c>
      <c r="J135" s="85" t="str">
        <f>IF($B135 = "","",INDEX(レシピ一覧!I:I,MATCH(使用レシピ!$B135,レシピ一覧!$A:$A,0))) &amp;""</f>
        <v/>
      </c>
      <c r="K135" s="85">
        <f>IFERROR((IF($B135 = "","",INDEX(レシピ一覧!J:J,MATCH(使用レシピ!$B135,レシピ一覧!$A:$A,0)))&amp;"")*1,"")</f>
        <v>1</v>
      </c>
      <c r="L135" s="85">
        <f>IFERROR((IF($B135 = "","",INDEX(レシピ一覧!K:K,MATCH(使用レシピ!$B135,レシピ一覧!$A:$A,0)))&amp;"")*1,"")</f>
        <v>20</v>
      </c>
      <c r="M135" s="85">
        <f>IFERROR((IF($B135 = "","",INDEX(レシピ一覧!L:L,MATCH(使用レシピ!$B135,レシピ一覧!$A:$A,0)))&amp;"")*1,"")</f>
        <v>100</v>
      </c>
      <c r="N135" s="85">
        <f>IFERROR((IF($B135 = "","",INDEX(レシピ一覧!M:M,MATCH(使用レシピ!$B135,レシピ一覧!$A:$A,0)))&amp;"")*1,"")</f>
        <v>200</v>
      </c>
      <c r="O135" s="85" t="str">
        <f>IFERROR((IF($B135 = "","",INDEX(レシピ一覧!N:N,MATCH(使用レシピ!$B135,レシピ一覧!$A:$A,0)))&amp;"")*1,"")</f>
        <v/>
      </c>
      <c r="P135" s="85">
        <f>IFERROR((IF($B135 = "","",INDEX(レシピ一覧!O:O,MATCH(使用レシピ!$B135,レシピ一覧!$A:$A,0)))&amp;"")*1,"")</f>
        <v>10</v>
      </c>
      <c r="Q135" s="86">
        <f>IFERROR((IF($B135 = "","",INDEX(レシピ一覧!P:P,MATCH(使用レシピ!$B135,レシピ一覧!$A:$A,0)))&amp;"")*1,"")</f>
        <v>10</v>
      </c>
    </row>
    <row r="136" spans="1:17" x14ac:dyDescent="0.4">
      <c r="A136" s="84">
        <v>1</v>
      </c>
      <c r="B136" s="21" t="str">
        <f t="shared" si="2"/>
        <v>13501</v>
      </c>
      <c r="C136" s="81">
        <f>IF(COUNTIF(レシピ一覧!$B:$B,ROW()-1),ROW()-1,"")</f>
        <v>135</v>
      </c>
      <c r="D136" s="15">
        <f>IF(E136="","",COUNTIF(レシピ一覧!$D$2:$D$500,使用レシピ!E136))</f>
        <v>1</v>
      </c>
      <c r="E136" s="57" t="str">
        <f>IFERROR( INDEX(レシピ一覧!$D:$D,MATCH(使用レシピ!$C136,レシピ一覧!$B:$B,0))&amp;"","")</f>
        <v>FICSONIUM燃料棒</v>
      </c>
      <c r="F136" s="85" t="str">
        <f>IF($B136 = "","",INDEX(レシピ一覧!E:E,MATCH(使用レシピ!$B136,レシピ一覧!$A:$A,0))) &amp;""</f>
        <v>FICSONIUM</v>
      </c>
      <c r="G136" s="85" t="str">
        <f>IF($B136 = "","",INDEX(レシピ一覧!F:F,MATCH(使用レシピ!$B136,レシピ一覧!$A:$A,0))) &amp;""</f>
        <v>電磁制御棒</v>
      </c>
      <c r="H136" s="85" t="str">
        <f>IF($B136 = "","",INDEX(レシピ一覧!G:G,MATCH(使用レシピ!$B136,レシピ一覧!$A:$A,0))) &amp;""</f>
        <v>FICSITEの三角板</v>
      </c>
      <c r="I136" s="85" t="str">
        <f>IF($B136 = "","",INDEX(レシピ一覧!H:H,MATCH(使用レシピ!$B136,レシピ一覧!$A:$A,0))) &amp;""</f>
        <v>励起フォトニック物質</v>
      </c>
      <c r="J136" s="85" t="str">
        <f>IF($B136 = "","",INDEX(レシピ一覧!I:I,MATCH(使用レシピ!$B136,レシピ一覧!$A:$A,0))) &amp;""</f>
        <v>ダークマターの残留物</v>
      </c>
      <c r="K136" s="85">
        <f>IFERROR((IF($B136 = "","",INDEX(レシピ一覧!J:J,MATCH(使用レシピ!$B136,レシピ一覧!$A:$A,0)))&amp;"")*1,"")</f>
        <v>2</v>
      </c>
      <c r="L136" s="85">
        <f>IFERROR((IF($B136 = "","",INDEX(レシピ一覧!K:K,MATCH(使用レシピ!$B136,レシピ一覧!$A:$A,0)))&amp;"")*1,"")</f>
        <v>2</v>
      </c>
      <c r="M136" s="85">
        <f>IFERROR((IF($B136 = "","",INDEX(レシピ一覧!L:L,MATCH(使用レシピ!$B136,レシピ一覧!$A:$A,0)))&amp;"")*1,"")</f>
        <v>40</v>
      </c>
      <c r="N136" s="85">
        <f>IFERROR((IF($B136 = "","",INDEX(レシピ一覧!M:M,MATCH(使用レシピ!$B136,レシピ一覧!$A:$A,0)))&amp;"")*1,"")</f>
        <v>20</v>
      </c>
      <c r="O136" s="85">
        <f>IFERROR((IF($B136 = "","",INDEX(レシピ一覧!N:N,MATCH(使用レシピ!$B136,レシピ一覧!$A:$A,0)))&amp;"")*1,"")</f>
        <v>20</v>
      </c>
      <c r="P136" s="85">
        <f>IFERROR((IF($B136 = "","",INDEX(レシピ一覧!O:O,MATCH(使用レシピ!$B136,レシピ一覧!$A:$A,0)))&amp;"")*1,"")</f>
        <v>1</v>
      </c>
      <c r="Q136" s="86">
        <f>IFERROR((IF($B136 = "","",INDEX(レシピ一覧!P:P,MATCH(使用レシピ!$B136,レシピ一覧!$A:$A,0)))&amp;"")*1,"")</f>
        <v>2.5</v>
      </c>
    </row>
    <row r="137" spans="1:17" x14ac:dyDescent="0.4">
      <c r="A137" s="84">
        <v>1</v>
      </c>
      <c r="B137" s="21" t="str">
        <f t="shared" si="2"/>
        <v>13601</v>
      </c>
      <c r="C137" s="81">
        <f>IF(COUNTIF(レシピ一覧!$B:$B,ROW()-1),ROW()-1,"")</f>
        <v>136</v>
      </c>
      <c r="D137" s="15">
        <f>IF(E137="","",COUNTIF(レシピ一覧!$D$2:$D$500,使用レシピ!E137))</f>
        <v>1</v>
      </c>
      <c r="E137" s="57" t="str">
        <f>IFERROR( INDEX(レシピ一覧!$D:$D,MATCH(使用レシピ!$C137,レシピ一覧!$B:$B,0))&amp;"","")</f>
        <v>弾道ワープドライブ</v>
      </c>
      <c r="F137" s="85" t="str">
        <f>IF($B137 = "","",INDEX(レシピ一覧!E:E,MATCH(使用レシピ!$B137,レシピ一覧!$A:$A,0))) &amp;""</f>
        <v>熱推進型ロケット</v>
      </c>
      <c r="G137" s="85" t="str">
        <f>IF($B137 = "","",INDEX(レシピ一覧!F:F,MATCH(使用レシピ!$B137,レシピ一覧!$A:$A,0))) &amp;""</f>
        <v>シンギュラリティセル</v>
      </c>
      <c r="H137" s="85" t="str">
        <f>IF($B137 = "","",INDEX(レシピ一覧!G:G,MATCH(使用レシピ!$B137,レシピ一覧!$A:$A,0))) &amp;""</f>
        <v>重ね合わせ発振器</v>
      </c>
      <c r="I137" s="85" t="str">
        <f>IF($B137 = "","",INDEX(レシピ一覧!H:H,MATCH(使用レシピ!$B137,レシピ一覧!$A:$A,0))) &amp;""</f>
        <v>ダークマターの結晶</v>
      </c>
      <c r="J137" s="85" t="str">
        <f>IF($B137 = "","",INDEX(レシピ一覧!I:I,MATCH(使用レシピ!$B137,レシピ一覧!$A:$A,0))) &amp;""</f>
        <v/>
      </c>
      <c r="K137" s="85">
        <f>IFERROR((IF($B137 = "","",INDEX(レシピ一覧!J:J,MATCH(使用レシピ!$B137,レシピ一覧!$A:$A,0)))&amp;"")*1,"")</f>
        <v>1</v>
      </c>
      <c r="L137" s="85">
        <f>IFERROR((IF($B137 = "","",INDEX(レシピ一覧!K:K,MATCH(使用レシピ!$B137,レシピ一覧!$A:$A,0)))&amp;"")*1,"")</f>
        <v>5</v>
      </c>
      <c r="M137" s="85">
        <f>IFERROR((IF($B137 = "","",INDEX(レシピ一覧!L:L,MATCH(使用レシピ!$B137,レシピ一覧!$A:$A,0)))&amp;"")*1,"")</f>
        <v>2</v>
      </c>
      <c r="N137" s="85">
        <f>IFERROR((IF($B137 = "","",INDEX(レシピ一覧!M:M,MATCH(使用レシピ!$B137,レシピ一覧!$A:$A,0)))&amp;"")*1,"")</f>
        <v>40</v>
      </c>
      <c r="O137" s="85" t="str">
        <f>IFERROR((IF($B137 = "","",INDEX(レシピ一覧!N:N,MATCH(使用レシピ!$B137,レシピ一覧!$A:$A,0)))&amp;"")*1,"")</f>
        <v/>
      </c>
      <c r="P137" s="85">
        <f>IFERROR((IF($B137 = "","",INDEX(レシピ一覧!O:O,MATCH(使用レシピ!$B137,レシピ一覧!$A:$A,0)))&amp;"")*1,"")</f>
        <v>1</v>
      </c>
      <c r="Q137" s="86">
        <f>IFERROR((IF($B137 = "","",INDEX(レシピ一覧!P:P,MATCH(使用レシピ!$B137,レシピ一覧!$A:$A,0)))&amp;"")*1,"")</f>
        <v>1</v>
      </c>
    </row>
    <row r="138" spans="1:17" x14ac:dyDescent="0.4">
      <c r="A138" s="84">
        <v>1</v>
      </c>
      <c r="B138" s="21" t="str">
        <f t="shared" si="2"/>
        <v>13701</v>
      </c>
      <c r="C138" s="81">
        <f>IF(COUNTIF(レシピ一覧!$B:$B,ROW()-1),ROW()-1,"")</f>
        <v>137</v>
      </c>
      <c r="D138" s="15">
        <f>IF(E138="","",COUNTIF(レシピ一覧!$D$2:$D$500,使用レシピ!E138))</f>
        <v>3</v>
      </c>
      <c r="E138" s="57" t="str">
        <f>IFERROR( INDEX(レシピ一覧!$D:$D,MATCH(使用レシピ!$C138,レシピ一覧!$B:$B,0))&amp;"","")</f>
        <v>ロケット燃料</v>
      </c>
      <c r="F138" s="85" t="str">
        <f>IF($B138 = "","",INDEX(レシピ一覧!E:E,MATCH(使用レシピ!$B138,レシピ一覧!$A:$A,0))) &amp;""</f>
        <v>ターボ燃料</v>
      </c>
      <c r="G138" s="85" t="str">
        <f>IF($B138 = "","",INDEX(レシピ一覧!F:F,MATCH(使用レシピ!$B138,レシピ一覧!$A:$A,0))) &amp;""</f>
        <v>硝酸</v>
      </c>
      <c r="H138" s="85" t="str">
        <f>IF($B138 = "","",INDEX(レシピ一覧!G:G,MATCH(使用レシピ!$B138,レシピ一覧!$A:$A,0))) &amp;""</f>
        <v/>
      </c>
      <c r="I138" s="85" t="str">
        <f>IF($B138 = "","",INDEX(レシピ一覧!H:H,MATCH(使用レシピ!$B138,レシピ一覧!$A:$A,0))) &amp;""</f>
        <v/>
      </c>
      <c r="J138" s="85" t="str">
        <f>IF($B138 = "","",INDEX(レシピ一覧!I:I,MATCH(使用レシピ!$B138,レシピ一覧!$A:$A,0))) &amp;""</f>
        <v>圧縮石炭</v>
      </c>
      <c r="K138" s="85">
        <f>IFERROR((IF($B138 = "","",INDEX(レシピ一覧!J:J,MATCH(使用レシピ!$B138,レシピ一覧!$A:$A,0)))&amp;"")*1,"")</f>
        <v>6</v>
      </c>
      <c r="L138" s="85">
        <f>IFERROR((IF($B138 = "","",INDEX(レシピ一覧!K:K,MATCH(使用レシピ!$B138,レシピ一覧!$A:$A,0)))&amp;"")*1,"")</f>
        <v>1</v>
      </c>
      <c r="M138" s="85" t="str">
        <f>IFERROR((IF($B138 = "","",INDEX(レシピ一覧!L:L,MATCH(使用レシピ!$B138,レシピ一覧!$A:$A,0)))&amp;"")*1,"")</f>
        <v/>
      </c>
      <c r="N138" s="85" t="str">
        <f>IFERROR((IF($B138 = "","",INDEX(レシピ一覧!M:M,MATCH(使用レシピ!$B138,レシピ一覧!$A:$A,0)))&amp;"")*1,"")</f>
        <v/>
      </c>
      <c r="O138" s="85">
        <f>IFERROR((IF($B138 = "","",INDEX(レシピ一覧!N:N,MATCH(使用レシピ!$B138,レシピ一覧!$A:$A,0)))&amp;"")*1,"")</f>
        <v>1</v>
      </c>
      <c r="P138" s="85">
        <f>IFERROR((IF($B138 = "","",INDEX(レシピ一覧!O:O,MATCH(使用レシピ!$B138,レシピ一覧!$A:$A,0)))&amp;"")*1,"")</f>
        <v>10</v>
      </c>
      <c r="Q138" s="86">
        <f>IFERROR((IF($B138 = "","",INDEX(レシピ一覧!P:P,MATCH(使用レシピ!$B138,レシピ一覧!$A:$A,0)))&amp;"")*1,"")</f>
        <v>100</v>
      </c>
    </row>
    <row r="139" spans="1:17" x14ac:dyDescent="0.4">
      <c r="A139" s="84">
        <v>1</v>
      </c>
      <c r="B139" s="21" t="str">
        <f t="shared" si="2"/>
        <v>13801</v>
      </c>
      <c r="C139" s="81">
        <f>IF(COUNTIF(レシピ一覧!$B:$B,ROW()-1),ROW()-1,"")</f>
        <v>138</v>
      </c>
      <c r="D139" s="15">
        <f>IF(E139="","",COUNTIF(レシピ一覧!$D$2:$D$500,使用レシピ!E139))</f>
        <v>1</v>
      </c>
      <c r="E139" s="57" t="str">
        <f>IFERROR( INDEX(レシピ一覧!$D:$D,MATCH(使用レシピ!$C139,レシピ一覧!$B:$B,0))&amp;"","")</f>
        <v>包装済みロケット燃料</v>
      </c>
      <c r="F139" s="85" t="str">
        <f>IF($B139 = "","",INDEX(レシピ一覧!E:E,MATCH(使用レシピ!$B139,レシピ一覧!$A:$A,0))) &amp;""</f>
        <v>ロケット燃料</v>
      </c>
      <c r="G139" s="85" t="str">
        <f>IF($B139 = "","",INDEX(レシピ一覧!F:F,MATCH(使用レシピ!$B139,レシピ一覧!$A:$A,0))) &amp;""</f>
        <v>空の液体タンク</v>
      </c>
      <c r="H139" s="85" t="str">
        <f>IF($B139 = "","",INDEX(レシピ一覧!G:G,MATCH(使用レシピ!$B139,レシピ一覧!$A:$A,0))) &amp;""</f>
        <v/>
      </c>
      <c r="I139" s="85" t="str">
        <f>IF($B139 = "","",INDEX(レシピ一覧!H:H,MATCH(使用レシピ!$B139,レシピ一覧!$A:$A,0))) &amp;""</f>
        <v/>
      </c>
      <c r="J139" s="85" t="str">
        <f>IF($B139 = "","",INDEX(レシピ一覧!I:I,MATCH(使用レシピ!$B139,レシピ一覧!$A:$A,0))) &amp;""</f>
        <v/>
      </c>
      <c r="K139" s="85">
        <f>IFERROR((IF($B139 = "","",INDEX(レシピ一覧!J:J,MATCH(使用レシピ!$B139,レシピ一覧!$A:$A,0)))&amp;"")*1,"")</f>
        <v>2</v>
      </c>
      <c r="L139" s="85">
        <f>IFERROR((IF($B139 = "","",INDEX(レシピ一覧!K:K,MATCH(使用レシピ!$B139,レシピ一覧!$A:$A,0)))&amp;"")*1,"")</f>
        <v>1</v>
      </c>
      <c r="M139" s="85" t="str">
        <f>IFERROR((IF($B139 = "","",INDEX(レシピ一覧!L:L,MATCH(使用レシピ!$B139,レシピ一覧!$A:$A,0)))&amp;"")*1,"")</f>
        <v/>
      </c>
      <c r="N139" s="85" t="str">
        <f>IFERROR((IF($B139 = "","",INDEX(レシピ一覧!M:M,MATCH(使用レシピ!$B139,レシピ一覧!$A:$A,0)))&amp;"")*1,"")</f>
        <v/>
      </c>
      <c r="O139" s="85" t="str">
        <f>IFERROR((IF($B139 = "","",INDEX(レシピ一覧!N:N,MATCH(使用レシピ!$B139,レシピ一覧!$A:$A,0)))&amp;"")*1,"")</f>
        <v/>
      </c>
      <c r="P139" s="85">
        <f>IFERROR((IF($B139 = "","",INDEX(レシピ一覧!O:O,MATCH(使用レシピ!$B139,レシピ一覧!$A:$A,0)))&amp;"")*1,"")</f>
        <v>1</v>
      </c>
      <c r="Q139" s="86">
        <f>IFERROR((IF($B139 = "","",INDEX(レシピ一覧!P:P,MATCH(使用レシピ!$B139,レシピ一覧!$A:$A,0)))&amp;"")*1,"")</f>
        <v>60</v>
      </c>
    </row>
    <row r="140" spans="1:17" x14ac:dyDescent="0.4">
      <c r="A140" s="84">
        <v>1</v>
      </c>
      <c r="B140" s="21" t="str">
        <f t="shared" si="2"/>
        <v>13901</v>
      </c>
      <c r="C140" s="81">
        <f>IF(COUNTIF(レシピ一覧!$B:$B,ROW()-1),ROW()-1,"")</f>
        <v>139</v>
      </c>
      <c r="D140" s="15">
        <f>IF(E140="","",COUNTIF(レシピ一覧!$D$2:$D$500,使用レシピ!E140))</f>
        <v>3</v>
      </c>
      <c r="E140" s="57" t="str">
        <f>IFERROR( INDEX(レシピ一覧!$D:$D,MATCH(使用レシピ!$C140,レシピ一覧!$B:$B,0))&amp;"","")</f>
        <v>イオン燃料</v>
      </c>
      <c r="F140" s="85" t="str">
        <f>IF($B140 = "","",INDEX(レシピ一覧!E:E,MATCH(使用レシピ!$B140,レシピ一覧!$A:$A,0))) &amp;""</f>
        <v>ロケット燃料</v>
      </c>
      <c r="G140" s="85" t="str">
        <f>IF($B140 = "","",INDEX(レシピ一覧!F:F,MATCH(使用レシピ!$B140,レシピ一覧!$A:$A,0))) &amp;""</f>
        <v>パワー・シャード</v>
      </c>
      <c r="H140" s="85" t="str">
        <f>IF($B140 = "","",INDEX(レシピ一覧!G:G,MATCH(使用レシピ!$B140,レシピ一覧!$A:$A,0))) &amp;""</f>
        <v/>
      </c>
      <c r="I140" s="85" t="str">
        <f>IF($B140 = "","",INDEX(レシピ一覧!H:H,MATCH(使用レシピ!$B140,レシピ一覧!$A:$A,0))) &amp;""</f>
        <v/>
      </c>
      <c r="J140" s="85" t="str">
        <f>IF($B140 = "","",INDEX(レシピ一覧!I:I,MATCH(使用レシピ!$B140,レシピ一覧!$A:$A,0))) &amp;""</f>
        <v>圧縮石炭</v>
      </c>
      <c r="K140" s="85">
        <f>IFERROR((IF($B140 = "","",INDEX(レシピ一覧!J:J,MATCH(使用レシピ!$B140,レシピ一覧!$A:$A,0)))&amp;"")*1,"")</f>
        <v>16</v>
      </c>
      <c r="L140" s="85">
        <f>IFERROR((IF($B140 = "","",INDEX(レシピ一覧!K:K,MATCH(使用レシピ!$B140,レシピ一覧!$A:$A,0)))&amp;"")*1,"")</f>
        <v>1</v>
      </c>
      <c r="M140" s="85" t="str">
        <f>IFERROR((IF($B140 = "","",INDEX(レシピ一覧!L:L,MATCH(使用レシピ!$B140,レシピ一覧!$A:$A,0)))&amp;"")*1,"")</f>
        <v/>
      </c>
      <c r="N140" s="85" t="str">
        <f>IFERROR((IF($B140 = "","",INDEX(レシピ一覧!M:M,MATCH(使用レシピ!$B140,レシピ一覧!$A:$A,0)))&amp;"")*1,"")</f>
        <v/>
      </c>
      <c r="O140" s="85">
        <f>IFERROR((IF($B140 = "","",INDEX(レシピ一覧!N:N,MATCH(使用レシピ!$B140,レシピ一覧!$A:$A,0)))&amp;"")*1,"")</f>
        <v>2</v>
      </c>
      <c r="P140" s="85">
        <f>IFERROR((IF($B140 = "","",INDEX(レシピ一覧!O:O,MATCH(使用レシピ!$B140,レシピ一覧!$A:$A,0)))&amp;"")*1,"")</f>
        <v>16</v>
      </c>
      <c r="Q140" s="86">
        <f>IFERROR((IF($B140 = "","",INDEX(レシピ一覧!P:P,MATCH(使用レシピ!$B140,レシピ一覧!$A:$A,0)))&amp;"")*1,"")</f>
        <v>40</v>
      </c>
    </row>
    <row r="141" spans="1:17" x14ac:dyDescent="0.4">
      <c r="A141" s="84">
        <v>1</v>
      </c>
      <c r="B141" s="21" t="str">
        <f t="shared" si="2"/>
        <v>14001</v>
      </c>
      <c r="C141" s="81">
        <f>IF(COUNTIF(レシピ一覧!$B:$B,ROW()-1),ROW()-1,"")</f>
        <v>140</v>
      </c>
      <c r="D141" s="15">
        <f>IF(E141="","",COUNTIF(レシピ一覧!$D$2:$D$500,使用レシピ!E141))</f>
        <v>1</v>
      </c>
      <c r="E141" s="57" t="str">
        <f>IFERROR( INDEX(レシピ一覧!$D:$D,MATCH(使用レシピ!$C141,レシピ一覧!$B:$B,0))&amp;"","")</f>
        <v>包装済みイオン燃料</v>
      </c>
      <c r="F141" s="85" t="str">
        <f>IF($B141 = "","",INDEX(レシピ一覧!E:E,MATCH(使用レシピ!$B141,レシピ一覧!$A:$A,0))) &amp;""</f>
        <v>イオン燃料</v>
      </c>
      <c r="G141" s="85" t="str">
        <f>IF($B141 = "","",INDEX(レシピ一覧!F:F,MATCH(使用レシピ!$B141,レシピ一覧!$A:$A,0))) &amp;""</f>
        <v>空の液体タンク</v>
      </c>
      <c r="H141" s="85" t="str">
        <f>IF($B141 = "","",INDEX(レシピ一覧!G:G,MATCH(使用レシピ!$B141,レシピ一覧!$A:$A,0))) &amp;""</f>
        <v/>
      </c>
      <c r="I141" s="85" t="str">
        <f>IF($B141 = "","",INDEX(レシピ一覧!H:H,MATCH(使用レシピ!$B141,レシピ一覧!$A:$A,0))) &amp;""</f>
        <v/>
      </c>
      <c r="J141" s="85" t="str">
        <f>IF($B141 = "","",INDEX(レシピ一覧!I:I,MATCH(使用レシピ!$B141,レシピ一覧!$A:$A,0))) &amp;""</f>
        <v/>
      </c>
      <c r="K141" s="85">
        <f>IFERROR((IF($B141 = "","",INDEX(レシピ一覧!J:J,MATCH(使用レシピ!$B141,レシピ一覧!$A:$A,0)))&amp;"")*1,"")</f>
        <v>4</v>
      </c>
      <c r="L141" s="85">
        <f>IFERROR((IF($B141 = "","",INDEX(レシピ一覧!K:K,MATCH(使用レシピ!$B141,レシピ一覧!$A:$A,0)))&amp;"")*1,"")</f>
        <v>2</v>
      </c>
      <c r="M141" s="85" t="str">
        <f>IFERROR((IF($B141 = "","",INDEX(レシピ一覧!L:L,MATCH(使用レシピ!$B141,レシピ一覧!$A:$A,0)))&amp;"")*1,"")</f>
        <v/>
      </c>
      <c r="N141" s="85" t="str">
        <f>IFERROR((IF($B141 = "","",INDEX(レシピ一覧!M:M,MATCH(使用レシピ!$B141,レシピ一覧!$A:$A,0)))&amp;"")*1,"")</f>
        <v/>
      </c>
      <c r="O141" s="85" t="str">
        <f>IFERROR((IF($B141 = "","",INDEX(レシピ一覧!N:N,MATCH(使用レシピ!$B141,レシピ一覧!$A:$A,0)))&amp;"")*1,"")</f>
        <v/>
      </c>
      <c r="P141" s="85">
        <f>IFERROR((IF($B141 = "","",INDEX(レシピ一覧!O:O,MATCH(使用レシピ!$B141,レシピ一覧!$A:$A,0)))&amp;"")*1,"")</f>
        <v>2</v>
      </c>
      <c r="Q141" s="86">
        <f>IFERROR((IF($B141 = "","",INDEX(レシピ一覧!P:P,MATCH(使用レシピ!$B141,レシピ一覧!$A:$A,0)))&amp;"")*1,"")</f>
        <v>40</v>
      </c>
    </row>
    <row r="142" spans="1:17" x14ac:dyDescent="0.4">
      <c r="A142" s="84">
        <v>1</v>
      </c>
      <c r="B142" s="21" t="str">
        <f t="shared" si="2"/>
        <v>14101</v>
      </c>
      <c r="C142" s="81">
        <f>IF(COUNTIF(レシピ一覧!$B:$B,ROW()-1),ROW()-1,"")</f>
        <v>141</v>
      </c>
      <c r="D142" s="15">
        <f>IF(E142="","",COUNTIF(レシピ一覧!$D$2:$D$500,使用レシピ!E142))</f>
        <v>1</v>
      </c>
      <c r="E142" s="57" t="str">
        <f>IFERROR( INDEX(レシピ一覧!$D:$D,MATCH(使用レシピ!$C142,レシピ一覧!$B:$B,0))&amp;"","")</f>
        <v>異星のパワーマトリックス</v>
      </c>
      <c r="F142" s="85" t="str">
        <f>IF($B142 = "","",INDEX(レシピ一覧!E:E,MATCH(使用レシピ!$B142,レシピ一覧!$A:$A,0))) &amp;""</f>
        <v>SAM変動機</v>
      </c>
      <c r="G142" s="85" t="str">
        <f>IF($B142 = "","",INDEX(レシピ一覧!F:F,MATCH(使用レシピ!$B142,レシピ一覧!$A:$A,0))) &amp;""</f>
        <v>パワー・シャード</v>
      </c>
      <c r="H142" s="85" t="str">
        <f>IF($B142 = "","",INDEX(レシピ一覧!G:G,MATCH(使用レシピ!$B142,レシピ一覧!$A:$A,0))) &amp;""</f>
        <v>重ね合わせ発振器</v>
      </c>
      <c r="I142" s="85" t="str">
        <f>IF($B142 = "","",INDEX(レシピ一覧!H:H,MATCH(使用レシピ!$B142,レシピ一覧!$A:$A,0))) &amp;""</f>
        <v>励起フォトニック物質</v>
      </c>
      <c r="J142" s="85" t="str">
        <f>IF($B142 = "","",INDEX(レシピ一覧!I:I,MATCH(使用レシピ!$B142,レシピ一覧!$A:$A,0))) &amp;""</f>
        <v>ダークマターの残留物</v>
      </c>
      <c r="K142" s="85">
        <f>IFERROR((IF($B142 = "","",INDEX(レシピ一覧!J:J,MATCH(使用レシピ!$B142,レシピ一覧!$A:$A,0)))&amp;"")*1,"")</f>
        <v>5</v>
      </c>
      <c r="L142" s="85">
        <f>IFERROR((IF($B142 = "","",INDEX(レシピ一覧!K:K,MATCH(使用レシピ!$B142,レシピ一覧!$A:$A,0)))&amp;"")*1,"")</f>
        <v>3</v>
      </c>
      <c r="M142" s="85">
        <f>IFERROR((IF($B142 = "","",INDEX(レシピ一覧!L:L,MATCH(使用レシピ!$B142,レシピ一覧!$A:$A,0)))&amp;"")*1,"")</f>
        <v>3</v>
      </c>
      <c r="N142" s="85">
        <f>IFERROR((IF($B142 = "","",INDEX(レシピ一覧!M:M,MATCH(使用レシピ!$B142,レシピ一覧!$A:$A,0)))&amp;"")*1,"")</f>
        <v>24</v>
      </c>
      <c r="O142" s="85">
        <f>IFERROR((IF($B142 = "","",INDEX(レシピ一覧!N:N,MATCH(使用レシピ!$B142,レシピ一覧!$A:$A,0)))&amp;"")*1,"")</f>
        <v>24</v>
      </c>
      <c r="P142" s="85">
        <f>IFERROR((IF($B142 = "","",INDEX(レシピ一覧!O:O,MATCH(使用レシピ!$B142,レシピ一覧!$A:$A,0)))&amp;"")*1,"")</f>
        <v>1</v>
      </c>
      <c r="Q142" s="86">
        <f>IFERROR((IF($B142 = "","",INDEX(レシピ一覧!P:P,MATCH(使用レシピ!$B142,レシピ一覧!$A:$A,0)))&amp;"")*1,"")</f>
        <v>2.5</v>
      </c>
    </row>
    <row r="143" spans="1:17" x14ac:dyDescent="0.4">
      <c r="A143" s="84">
        <v>1</v>
      </c>
      <c r="B143" s="21" t="str">
        <f t="shared" si="2"/>
        <v>14201</v>
      </c>
      <c r="C143" s="81">
        <f>IF(COUNTIF(レシピ一覧!$B:$B,ROW()-1),ROW()-1,"")</f>
        <v>142</v>
      </c>
      <c r="D143" s="15">
        <f>IF(E143="","",COUNTIF(レシピ一覧!$D$2:$D$500,使用レシピ!E143))</f>
        <v>1</v>
      </c>
      <c r="E143" s="57" t="str">
        <f>IFERROR( INDEX(レシピ一覧!$D:$D,MATCH(使用レシピ!$C143,レシピ一覧!$B:$B,0))&amp;"","")</f>
        <v>スタン鉄筋</v>
      </c>
      <c r="F143" s="85" t="str">
        <f>IF($B143 = "","",INDEX(レシピ一覧!E:E,MATCH(使用レシピ!$B143,レシピ一覧!$A:$A,0))) &amp;""</f>
        <v>鉄筋</v>
      </c>
      <c r="G143" s="85" t="str">
        <f>IF($B143 = "","",INDEX(レシピ一覧!F:F,MATCH(使用レシピ!$B143,レシピ一覧!$A:$A,0))) &amp;""</f>
        <v>クイックワイヤー</v>
      </c>
      <c r="H143" s="85" t="str">
        <f>IF($B143 = "","",INDEX(レシピ一覧!G:G,MATCH(使用レシピ!$B143,レシピ一覧!$A:$A,0))) &amp;""</f>
        <v/>
      </c>
      <c r="I143" s="85" t="str">
        <f>IF($B143 = "","",INDEX(レシピ一覧!H:H,MATCH(使用レシピ!$B143,レシピ一覧!$A:$A,0))) &amp;""</f>
        <v/>
      </c>
      <c r="J143" s="85" t="str">
        <f>IF($B143 = "","",INDEX(レシピ一覧!I:I,MATCH(使用レシピ!$B143,レシピ一覧!$A:$A,0))) &amp;""</f>
        <v/>
      </c>
      <c r="K143" s="85">
        <f>IFERROR((IF($B143 = "","",INDEX(レシピ一覧!J:J,MATCH(使用レシピ!$B143,レシピ一覧!$A:$A,0)))&amp;"")*1,"")</f>
        <v>1</v>
      </c>
      <c r="L143" s="85">
        <f>IFERROR((IF($B143 = "","",INDEX(レシピ一覧!K:K,MATCH(使用レシピ!$B143,レシピ一覧!$A:$A,0)))&amp;"")*1,"")</f>
        <v>5</v>
      </c>
      <c r="M143" s="85" t="str">
        <f>IFERROR((IF($B143 = "","",INDEX(レシピ一覧!L:L,MATCH(使用レシピ!$B143,レシピ一覧!$A:$A,0)))&amp;"")*1,"")</f>
        <v/>
      </c>
      <c r="N143" s="85" t="str">
        <f>IFERROR((IF($B143 = "","",INDEX(レシピ一覧!M:M,MATCH(使用レシピ!$B143,レシピ一覧!$A:$A,0)))&amp;"")*1,"")</f>
        <v/>
      </c>
      <c r="O143" s="85" t="str">
        <f>IFERROR((IF($B143 = "","",INDEX(レシピ一覧!N:N,MATCH(使用レシピ!$B143,レシピ一覧!$A:$A,0)))&amp;"")*1,"")</f>
        <v/>
      </c>
      <c r="P143" s="85">
        <f>IFERROR((IF($B143 = "","",INDEX(レシピ一覧!O:O,MATCH(使用レシピ!$B143,レシピ一覧!$A:$A,0)))&amp;"")*1,"")</f>
        <v>1</v>
      </c>
      <c r="Q143" s="86">
        <f>IFERROR((IF($B143 = "","",INDEX(レシピ一覧!P:P,MATCH(使用レシピ!$B143,レシピ一覧!$A:$A,0)))&amp;"")*1,"")</f>
        <v>10</v>
      </c>
    </row>
    <row r="144" spans="1:17" x14ac:dyDescent="0.4">
      <c r="A144" s="84">
        <v>1</v>
      </c>
      <c r="B144" s="21" t="str">
        <f t="shared" si="2"/>
        <v>14301</v>
      </c>
      <c r="C144" s="81">
        <f>IF(COUNTIF(レシピ一覧!$B:$B,ROW()-1),ROW()-1,"")</f>
        <v>143</v>
      </c>
      <c r="D144" s="15">
        <f>IF(E144="","",COUNTIF(レシピ一覧!$D$2:$D$500,使用レシピ!E144))</f>
        <v>1</v>
      </c>
      <c r="E144" s="57" t="str">
        <f>IFERROR( INDEX(レシピ一覧!$D:$D,MATCH(使用レシピ!$C144,レシピ一覧!$B:$B,0))&amp;"","")</f>
        <v>ガス・ノーベリスク</v>
      </c>
      <c r="F144" s="85" t="str">
        <f>IF($B144 = "","",INDEX(レシピ一覧!E:E,MATCH(使用レシピ!$B144,レシピ一覧!$A:$A,0))) &amp;""</f>
        <v>ノーベリスク</v>
      </c>
      <c r="G144" s="85" t="str">
        <f>IF($B144 = "","",INDEX(レシピ一覧!F:F,MATCH(使用レシピ!$B144,レシピ一覧!$A:$A,0))) &amp;""</f>
        <v>バイオマス</v>
      </c>
      <c r="H144" s="85" t="str">
        <f>IF($B144 = "","",INDEX(レシピ一覧!G:G,MATCH(使用レシピ!$B144,レシピ一覧!$A:$A,0))) &amp;""</f>
        <v/>
      </c>
      <c r="I144" s="85" t="str">
        <f>IF($B144 = "","",INDEX(レシピ一覧!H:H,MATCH(使用レシピ!$B144,レシピ一覧!$A:$A,0))) &amp;""</f>
        <v/>
      </c>
      <c r="J144" s="85" t="str">
        <f>IF($B144 = "","",INDEX(レシピ一覧!I:I,MATCH(使用レシピ!$B144,レシピ一覧!$A:$A,0))) &amp;""</f>
        <v/>
      </c>
      <c r="K144" s="85">
        <f>IFERROR((IF($B144 = "","",INDEX(レシピ一覧!J:J,MATCH(使用レシピ!$B144,レシピ一覧!$A:$A,0)))&amp;"")*1,"")</f>
        <v>1</v>
      </c>
      <c r="L144" s="85">
        <f>IFERROR((IF($B144 = "","",INDEX(レシピ一覧!K:K,MATCH(使用レシピ!$B144,レシピ一覧!$A:$A,0)))&amp;"")*1,"")</f>
        <v>10</v>
      </c>
      <c r="M144" s="85" t="str">
        <f>IFERROR((IF($B144 = "","",INDEX(レシピ一覧!L:L,MATCH(使用レシピ!$B144,レシピ一覧!$A:$A,0)))&amp;"")*1,"")</f>
        <v/>
      </c>
      <c r="N144" s="85" t="str">
        <f>IFERROR((IF($B144 = "","",INDEX(レシピ一覧!M:M,MATCH(使用レシピ!$B144,レシピ一覧!$A:$A,0)))&amp;"")*1,"")</f>
        <v/>
      </c>
      <c r="O144" s="85" t="str">
        <f>IFERROR((IF($B144 = "","",INDEX(レシピ一覧!N:N,MATCH(使用レシピ!$B144,レシピ一覧!$A:$A,0)))&amp;"")*1,"")</f>
        <v/>
      </c>
      <c r="P144" s="85">
        <f>IFERROR((IF($B144 = "","",INDEX(レシピ一覧!O:O,MATCH(使用レシピ!$B144,レシピ一覧!$A:$A,0)))&amp;"")*1,"")</f>
        <v>1</v>
      </c>
      <c r="Q144" s="86">
        <f>IFERROR((IF($B144 = "","",INDEX(レシピ一覧!P:P,MATCH(使用レシピ!$B144,レシピ一覧!$A:$A,0)))&amp;"")*1,"")</f>
        <v>5</v>
      </c>
    </row>
    <row r="145" spans="1:17" x14ac:dyDescent="0.4">
      <c r="A145" s="84">
        <v>1</v>
      </c>
      <c r="B145" s="21" t="str">
        <f t="shared" si="2"/>
        <v>14401</v>
      </c>
      <c r="C145" s="81">
        <f>IF(COUNTIF(レシピ一覧!$B:$B,ROW()-1),ROW()-1,"")</f>
        <v>144</v>
      </c>
      <c r="D145" s="15">
        <f>IF(E145="","",COUNTIF(レシピ一覧!$D$2:$D$500,使用レシピ!E145))</f>
        <v>1</v>
      </c>
      <c r="E145" s="57" t="str">
        <f>IFERROR( INDEX(レシピ一覧!$D:$D,MATCH(使用レシピ!$C145,レシピ一覧!$B:$B,0))&amp;"","")</f>
        <v>パルス・ノーベリスク</v>
      </c>
      <c r="F145" s="85" t="str">
        <f>IF($B145 = "","",INDEX(レシピ一覧!E:E,MATCH(使用レシピ!$B145,レシピ一覧!$A:$A,0))) &amp;""</f>
        <v>ノーベリスク</v>
      </c>
      <c r="G145" s="85" t="str">
        <f>IF($B145 = "","",INDEX(レシピ一覧!F:F,MATCH(使用レシピ!$B145,レシピ一覧!$A:$A,0))) &amp;""</f>
        <v>水晶発振器</v>
      </c>
      <c r="H145" s="85" t="str">
        <f>IF($B145 = "","",INDEX(レシピ一覧!G:G,MATCH(使用レシピ!$B145,レシピ一覧!$A:$A,0))) &amp;""</f>
        <v/>
      </c>
      <c r="I145" s="85" t="str">
        <f>IF($B145 = "","",INDEX(レシピ一覧!H:H,MATCH(使用レシピ!$B145,レシピ一覧!$A:$A,0))) &amp;""</f>
        <v/>
      </c>
      <c r="J145" s="85" t="str">
        <f>IF($B145 = "","",INDEX(レシピ一覧!I:I,MATCH(使用レシピ!$B145,レシピ一覧!$A:$A,0))) &amp;""</f>
        <v/>
      </c>
      <c r="K145" s="85">
        <f>IFERROR((IF($B145 = "","",INDEX(レシピ一覧!J:J,MATCH(使用レシピ!$B145,レシピ一覧!$A:$A,0)))&amp;"")*1,"")</f>
        <v>5</v>
      </c>
      <c r="L145" s="85">
        <f>IFERROR((IF($B145 = "","",INDEX(レシピ一覧!K:K,MATCH(使用レシピ!$B145,レシピ一覧!$A:$A,0)))&amp;"")*1,"")</f>
        <v>1</v>
      </c>
      <c r="M145" s="85" t="str">
        <f>IFERROR((IF($B145 = "","",INDEX(レシピ一覧!L:L,MATCH(使用レシピ!$B145,レシピ一覧!$A:$A,0)))&amp;"")*1,"")</f>
        <v/>
      </c>
      <c r="N145" s="85" t="str">
        <f>IFERROR((IF($B145 = "","",INDEX(レシピ一覧!M:M,MATCH(使用レシピ!$B145,レシピ一覧!$A:$A,0)))&amp;"")*1,"")</f>
        <v/>
      </c>
      <c r="O145" s="85" t="str">
        <f>IFERROR((IF($B145 = "","",INDEX(レシピ一覧!N:N,MATCH(使用レシピ!$B145,レシピ一覧!$A:$A,0)))&amp;"")*1,"")</f>
        <v/>
      </c>
      <c r="P145" s="85">
        <f>IFERROR((IF($B145 = "","",INDEX(レシピ一覧!O:O,MATCH(使用レシピ!$B145,レシピ一覧!$A:$A,0)))&amp;"")*1,"")</f>
        <v>5</v>
      </c>
      <c r="Q145" s="86">
        <f>IFERROR((IF($B145 = "","",INDEX(レシピ一覧!P:P,MATCH(使用レシピ!$B145,レシピ一覧!$A:$A,0)))&amp;"")*1,"")</f>
        <v>5</v>
      </c>
    </row>
    <row r="146" spans="1:17" x14ac:dyDescent="0.4">
      <c r="A146" s="84">
        <v>1</v>
      </c>
      <c r="B146" s="21" t="str">
        <f t="shared" si="2"/>
        <v>14501</v>
      </c>
      <c r="C146" s="81">
        <f>IF(COUNTIF(レシピ一覧!$B:$B,ROW()-1),ROW()-1,"")</f>
        <v>145</v>
      </c>
      <c r="D146" s="15">
        <f>IF(E146="","",COUNTIF(レシピ一覧!$D$2:$D$500,使用レシピ!E146))</f>
        <v>1</v>
      </c>
      <c r="E146" s="57" t="str">
        <f>IFERROR( INDEX(レシピ一覧!$D:$D,MATCH(使用レシピ!$C146,レシピ一覧!$B:$B,0))&amp;"","")</f>
        <v>破砕鉄筋</v>
      </c>
      <c r="F146" s="85" t="str">
        <f>IF($B146 = "","",INDEX(レシピ一覧!E:E,MATCH(使用レシピ!$B146,レシピ一覧!$A:$A,0))) &amp;""</f>
        <v>鉄筋</v>
      </c>
      <c r="G146" s="85" t="str">
        <f>IF($B146 = "","",INDEX(レシピ一覧!F:F,MATCH(使用レシピ!$B146,レシピ一覧!$A:$A,0))) &amp;""</f>
        <v>石英結晶</v>
      </c>
      <c r="H146" s="85" t="str">
        <f>IF($B146 = "","",INDEX(レシピ一覧!G:G,MATCH(使用レシピ!$B146,レシピ一覧!$A:$A,0))) &amp;""</f>
        <v/>
      </c>
      <c r="I146" s="85" t="str">
        <f>IF($B146 = "","",INDEX(レシピ一覧!H:H,MATCH(使用レシピ!$B146,レシピ一覧!$A:$A,0))) &amp;""</f>
        <v/>
      </c>
      <c r="J146" s="85" t="str">
        <f>IF($B146 = "","",INDEX(レシピ一覧!I:I,MATCH(使用レシピ!$B146,レシピ一覧!$A:$A,0))) &amp;""</f>
        <v/>
      </c>
      <c r="K146" s="85">
        <f>IFERROR((IF($B146 = "","",INDEX(レシピ一覧!J:J,MATCH(使用レシピ!$B146,レシピ一覧!$A:$A,0)))&amp;"")*1,"")</f>
        <v>2</v>
      </c>
      <c r="L146" s="85">
        <f>IFERROR((IF($B146 = "","",INDEX(レシピ一覧!K:K,MATCH(使用レシピ!$B146,レシピ一覧!$A:$A,0)))&amp;"")*1,"")</f>
        <v>3</v>
      </c>
      <c r="M146" s="85" t="str">
        <f>IFERROR((IF($B146 = "","",INDEX(レシピ一覧!L:L,MATCH(使用レシピ!$B146,レシピ一覧!$A:$A,0)))&amp;"")*1,"")</f>
        <v/>
      </c>
      <c r="N146" s="85" t="str">
        <f>IFERROR((IF($B146 = "","",INDEX(レシピ一覧!M:M,MATCH(使用レシピ!$B146,レシピ一覧!$A:$A,0)))&amp;"")*1,"")</f>
        <v/>
      </c>
      <c r="O146" s="85" t="str">
        <f>IFERROR((IF($B146 = "","",INDEX(レシピ一覧!N:N,MATCH(使用レシピ!$B146,レシピ一覧!$A:$A,0)))&amp;"")*1,"")</f>
        <v/>
      </c>
      <c r="P146" s="85">
        <f>IFERROR((IF($B146 = "","",INDEX(レシピ一覧!O:O,MATCH(使用レシピ!$B146,レシピ一覧!$A:$A,0)))&amp;"")*1,"")</f>
        <v>1</v>
      </c>
      <c r="Q146" s="86">
        <f>IFERROR((IF($B146 = "","",INDEX(レシピ一覧!P:P,MATCH(使用レシピ!$B146,レシピ一覧!$A:$A,0)))&amp;"")*1,"")</f>
        <v>5</v>
      </c>
    </row>
    <row r="147" spans="1:17" x14ac:dyDescent="0.4">
      <c r="A147" s="84">
        <v>1</v>
      </c>
      <c r="B147" s="21" t="str">
        <f t="shared" si="2"/>
        <v>14601</v>
      </c>
      <c r="C147" s="81">
        <f>IF(COUNTIF(レシピ一覧!$B:$B,ROW()-1),ROW()-1,"")</f>
        <v>146</v>
      </c>
      <c r="D147" s="15">
        <f>IF(E147="","",COUNTIF(レシピ一覧!$D$2:$D$500,使用レシピ!E147))</f>
        <v>1</v>
      </c>
      <c r="E147" s="57" t="str">
        <f>IFERROR( INDEX(レシピ一覧!$D:$D,MATCH(使用レシピ!$C147,レシピ一覧!$B:$B,0))&amp;"","")</f>
        <v>クラスター・ノーベリスク</v>
      </c>
      <c r="F147" s="85" t="str">
        <f>IF($B147 = "","",INDEX(レシピ一覧!E:E,MATCH(使用レシピ!$B147,レシピ一覧!$A:$A,0))) &amp;""</f>
        <v>ノーベリスク</v>
      </c>
      <c r="G147" s="85" t="str">
        <f>IF($B147 = "","",INDEX(レシピ一覧!F:F,MATCH(使用レシピ!$B147,レシピ一覧!$A:$A,0))) &amp;""</f>
        <v>無煙火薬</v>
      </c>
      <c r="H147" s="85" t="str">
        <f>IF($B147 = "","",INDEX(レシピ一覧!G:G,MATCH(使用レシピ!$B147,レシピ一覧!$A:$A,0))) &amp;""</f>
        <v/>
      </c>
      <c r="I147" s="85" t="str">
        <f>IF($B147 = "","",INDEX(レシピ一覧!H:H,MATCH(使用レシピ!$B147,レシピ一覧!$A:$A,0))) &amp;""</f>
        <v/>
      </c>
      <c r="J147" s="85" t="str">
        <f>IF($B147 = "","",INDEX(レシピ一覧!I:I,MATCH(使用レシピ!$B147,レシピ一覧!$A:$A,0))) &amp;""</f>
        <v/>
      </c>
      <c r="K147" s="85">
        <f>IFERROR((IF($B147 = "","",INDEX(レシピ一覧!J:J,MATCH(使用レシピ!$B147,レシピ一覧!$A:$A,0)))&amp;"")*1,"")</f>
        <v>3</v>
      </c>
      <c r="L147" s="85">
        <f>IFERROR((IF($B147 = "","",INDEX(レシピ一覧!K:K,MATCH(使用レシピ!$B147,レシピ一覧!$A:$A,0)))&amp;"")*1,"")</f>
        <v>4</v>
      </c>
      <c r="M147" s="85" t="str">
        <f>IFERROR((IF($B147 = "","",INDEX(レシピ一覧!L:L,MATCH(使用レシピ!$B147,レシピ一覧!$A:$A,0)))&amp;"")*1,"")</f>
        <v/>
      </c>
      <c r="N147" s="85" t="str">
        <f>IFERROR((IF($B147 = "","",INDEX(レシピ一覧!M:M,MATCH(使用レシピ!$B147,レシピ一覧!$A:$A,0)))&amp;"")*1,"")</f>
        <v/>
      </c>
      <c r="O147" s="85" t="str">
        <f>IFERROR((IF($B147 = "","",INDEX(レシピ一覧!N:N,MATCH(使用レシピ!$B147,レシピ一覧!$A:$A,0)))&amp;"")*1,"")</f>
        <v/>
      </c>
      <c r="P147" s="85">
        <f>IFERROR((IF($B147 = "","",INDEX(レシピ一覧!O:O,MATCH(使用レシピ!$B147,レシピ一覧!$A:$A,0)))&amp;"")*1,"")</f>
        <v>1</v>
      </c>
      <c r="Q147" s="86">
        <f>IFERROR((IF($B147 = "","",INDEX(レシピ一覧!P:P,MATCH(使用レシピ!$B147,レシピ一覧!$A:$A,0)))&amp;"")*1,"")</f>
        <v>2.5</v>
      </c>
    </row>
    <row r="148" spans="1:17" x14ac:dyDescent="0.4">
      <c r="A148" s="84">
        <v>1</v>
      </c>
      <c r="B148" s="21" t="str">
        <f t="shared" si="2"/>
        <v>14701</v>
      </c>
      <c r="C148" s="81">
        <f>IF(COUNTIF(レシピ一覧!$B:$B,ROW()-1),ROW()-1,"")</f>
        <v>147</v>
      </c>
      <c r="D148" s="15">
        <f>IF(E148="","",COUNTIF(レシピ一覧!$D$2:$D$500,使用レシピ!E148))</f>
        <v>1</v>
      </c>
      <c r="E148" s="57" t="str">
        <f>IFERROR( INDEX(レシピ一覧!$D:$D,MATCH(使用レシピ!$C148,レシピ一覧!$B:$B,0))&amp;"","")</f>
        <v>爆砕鉄筋</v>
      </c>
      <c r="F148" s="85" t="str">
        <f>IF($B148 = "","",INDEX(レシピ一覧!E:E,MATCH(使用レシピ!$B148,レシピ一覧!$A:$A,0))) &amp;""</f>
        <v>鉄筋</v>
      </c>
      <c r="G148" s="85" t="str">
        <f>IF($B148 = "","",INDEX(レシピ一覧!F:F,MATCH(使用レシピ!$B148,レシピ一覧!$A:$A,0))) &amp;""</f>
        <v>無煙火薬</v>
      </c>
      <c r="H148" s="85" t="str">
        <f>IF($B148 = "","",INDEX(レシピ一覧!G:G,MATCH(使用レシピ!$B148,レシピ一覧!$A:$A,0))) &amp;""</f>
        <v>鋼管</v>
      </c>
      <c r="I148" s="85" t="str">
        <f>IF($B148 = "","",INDEX(レシピ一覧!H:H,MATCH(使用レシピ!$B148,レシピ一覧!$A:$A,0))) &amp;""</f>
        <v/>
      </c>
      <c r="J148" s="85" t="str">
        <f>IF($B148 = "","",INDEX(レシピ一覧!I:I,MATCH(使用レシピ!$B148,レシピ一覧!$A:$A,0))) &amp;""</f>
        <v/>
      </c>
      <c r="K148" s="85">
        <f>IFERROR((IF($B148 = "","",INDEX(レシピ一覧!J:J,MATCH(使用レシピ!$B148,レシピ一覧!$A:$A,0)))&amp;"")*1,"")</f>
        <v>2</v>
      </c>
      <c r="L148" s="85">
        <f>IFERROR((IF($B148 = "","",INDEX(レシピ一覧!K:K,MATCH(使用レシピ!$B148,レシピ一覧!$A:$A,0)))&amp;"")*1,"")</f>
        <v>2</v>
      </c>
      <c r="M148" s="85">
        <f>IFERROR((IF($B148 = "","",INDEX(レシピ一覧!L:L,MATCH(使用レシピ!$B148,レシピ一覧!$A:$A,0)))&amp;"")*1,"")</f>
        <v>2</v>
      </c>
      <c r="N148" s="85" t="str">
        <f>IFERROR((IF($B148 = "","",INDEX(レシピ一覧!M:M,MATCH(使用レシピ!$B148,レシピ一覧!$A:$A,0)))&amp;"")*1,"")</f>
        <v/>
      </c>
      <c r="O148" s="85" t="str">
        <f>IFERROR((IF($B148 = "","",INDEX(レシピ一覧!N:N,MATCH(使用レシピ!$B148,レシピ一覧!$A:$A,0)))&amp;"")*1,"")</f>
        <v/>
      </c>
      <c r="P148" s="85">
        <f>IFERROR((IF($B148 = "","",INDEX(レシピ一覧!O:O,MATCH(使用レシピ!$B148,レシピ一覧!$A:$A,0)))&amp;"")*1,"")</f>
        <v>1</v>
      </c>
      <c r="Q148" s="86">
        <f>IFERROR((IF($B148 = "","",INDEX(レシピ一覧!P:P,MATCH(使用レシピ!$B148,レシピ一覧!$A:$A,0)))&amp;"")*1,"")</f>
        <v>5</v>
      </c>
    </row>
    <row r="149" spans="1:17" x14ac:dyDescent="0.4">
      <c r="A149" s="84">
        <v>1</v>
      </c>
      <c r="B149" s="21" t="str">
        <f t="shared" si="2"/>
        <v>14801</v>
      </c>
      <c r="C149" s="81">
        <f>IF(COUNTIF(レシピ一覧!$B:$B,ROW()-1),ROW()-1,"")</f>
        <v>148</v>
      </c>
      <c r="D149" s="15">
        <f>IF(E149="","",COUNTIF(レシピ一覧!$D$2:$D$500,使用レシピ!E149))</f>
        <v>1</v>
      </c>
      <c r="E149" s="57" t="str">
        <f>IFERROR( INDEX(レシピ一覧!$D:$D,MATCH(使用レシピ!$C149,レシピ一覧!$B:$B,0))&amp;"","")</f>
        <v>ライフル弾</v>
      </c>
      <c r="F149" s="85" t="str">
        <f>IF($B149 = "","",INDEX(レシピ一覧!E:E,MATCH(使用レシピ!$B149,レシピ一覧!$A:$A,0))) &amp;""</f>
        <v>銅板</v>
      </c>
      <c r="G149" s="85" t="str">
        <f>IF($B149 = "","",INDEX(レシピ一覧!F:F,MATCH(使用レシピ!$B149,レシピ一覧!$A:$A,0))) &amp;""</f>
        <v>無煙火薬</v>
      </c>
      <c r="H149" s="85" t="str">
        <f>IF($B149 = "","",INDEX(レシピ一覧!G:G,MATCH(使用レシピ!$B149,レシピ一覧!$A:$A,0))) &amp;""</f>
        <v/>
      </c>
      <c r="I149" s="85" t="str">
        <f>IF($B149 = "","",INDEX(レシピ一覧!H:H,MATCH(使用レシピ!$B149,レシピ一覧!$A:$A,0))) &amp;""</f>
        <v/>
      </c>
      <c r="J149" s="85" t="str">
        <f>IF($B149 = "","",INDEX(レシピ一覧!I:I,MATCH(使用レシピ!$B149,レシピ一覧!$A:$A,0))) &amp;""</f>
        <v/>
      </c>
      <c r="K149" s="85">
        <f>IFERROR((IF($B149 = "","",INDEX(レシピ一覧!J:J,MATCH(使用レシピ!$B149,レシピ一覧!$A:$A,0)))&amp;"")*1,"")</f>
        <v>3</v>
      </c>
      <c r="L149" s="85">
        <f>IFERROR((IF($B149 = "","",INDEX(レシピ一覧!K:K,MATCH(使用レシピ!$B149,レシピ一覧!$A:$A,0)))&amp;"")*1,"")</f>
        <v>2</v>
      </c>
      <c r="M149" s="85" t="str">
        <f>IFERROR((IF($B149 = "","",INDEX(レシピ一覧!L:L,MATCH(使用レシピ!$B149,レシピ一覧!$A:$A,0)))&amp;"")*1,"")</f>
        <v/>
      </c>
      <c r="N149" s="85" t="str">
        <f>IFERROR((IF($B149 = "","",INDEX(レシピ一覧!M:M,MATCH(使用レシピ!$B149,レシピ一覧!$A:$A,0)))&amp;"")*1,"")</f>
        <v/>
      </c>
      <c r="O149" s="85" t="str">
        <f>IFERROR((IF($B149 = "","",INDEX(レシピ一覧!N:N,MATCH(使用レシピ!$B149,レシピ一覧!$A:$A,0)))&amp;"")*1,"")</f>
        <v/>
      </c>
      <c r="P149" s="85">
        <f>IFERROR((IF($B149 = "","",INDEX(レシピ一覧!O:O,MATCH(使用レシピ!$B149,レシピ一覧!$A:$A,0)))&amp;"")*1,"")</f>
        <v>15</v>
      </c>
      <c r="Q149" s="86">
        <f>IFERROR((IF($B149 = "","",INDEX(レシピ一覧!P:P,MATCH(使用レシピ!$B149,レシピ一覧!$A:$A,0)))&amp;"")*1,"")</f>
        <v>75</v>
      </c>
    </row>
    <row r="150" spans="1:17" x14ac:dyDescent="0.4">
      <c r="A150" s="84">
        <v>1</v>
      </c>
      <c r="B150" s="21" t="str">
        <f t="shared" si="2"/>
        <v>14901</v>
      </c>
      <c r="C150" s="81">
        <f>IF(COUNTIF(レシピ一覧!$B:$B,ROW()-1),ROW()-1,"")</f>
        <v>149</v>
      </c>
      <c r="D150" s="15">
        <f>IF(E150="","",COUNTIF(レシピ一覧!$D$2:$D$500,使用レシピ!E150))</f>
        <v>2</v>
      </c>
      <c r="E150" s="57" t="str">
        <f>IFERROR( INDEX(レシピ一覧!$D:$D,MATCH(使用レシピ!$C150,レシピ一覧!$B:$B,0))&amp;"","")</f>
        <v>ターボライフル弾</v>
      </c>
      <c r="F150" s="85" t="str">
        <f>IF($B150 = "","",INDEX(レシピ一覧!E:E,MATCH(使用レシピ!$B150,レシピ一覧!$A:$A,0))) &amp;""</f>
        <v>ライフル弾</v>
      </c>
      <c r="G150" s="85" t="str">
        <f>IF($B150 = "","",INDEX(レシピ一覧!F:F,MATCH(使用レシピ!$B150,レシピ一覧!$A:$A,0))) &amp;""</f>
        <v>アルミ筐体</v>
      </c>
      <c r="H150" s="85" t="str">
        <f>IF($B150 = "","",INDEX(レシピ一覧!G:G,MATCH(使用レシピ!$B150,レシピ一覧!$A:$A,0))) &amp;""</f>
        <v>ターボ燃料</v>
      </c>
      <c r="I150" s="85" t="str">
        <f>IF($B150 = "","",INDEX(レシピ一覧!H:H,MATCH(使用レシピ!$B150,レシピ一覧!$A:$A,0))) &amp;""</f>
        <v/>
      </c>
      <c r="J150" s="85" t="str">
        <f>IF($B150 = "","",INDEX(レシピ一覧!I:I,MATCH(使用レシピ!$B150,レシピ一覧!$A:$A,0))) &amp;""</f>
        <v/>
      </c>
      <c r="K150" s="85">
        <f>IFERROR((IF($B150 = "","",INDEX(レシピ一覧!J:J,MATCH(使用レシピ!$B150,レシピ一覧!$A:$A,0)))&amp;"")*1,"")</f>
        <v>25</v>
      </c>
      <c r="L150" s="85">
        <f>IFERROR((IF($B150 = "","",INDEX(レシピ一覧!K:K,MATCH(使用レシピ!$B150,レシピ一覧!$A:$A,0)))&amp;"")*1,"")</f>
        <v>3</v>
      </c>
      <c r="M150" s="85">
        <f>IFERROR((IF($B150 = "","",INDEX(レシピ一覧!L:L,MATCH(使用レシピ!$B150,レシピ一覧!$A:$A,0)))&amp;"")*1,"")</f>
        <v>3</v>
      </c>
      <c r="N150" s="85" t="str">
        <f>IFERROR((IF($B150 = "","",INDEX(レシピ一覧!M:M,MATCH(使用レシピ!$B150,レシピ一覧!$A:$A,0)))&amp;"")*1,"")</f>
        <v/>
      </c>
      <c r="O150" s="85" t="str">
        <f>IFERROR((IF($B150 = "","",INDEX(レシピ一覧!N:N,MATCH(使用レシピ!$B150,レシピ一覧!$A:$A,0)))&amp;"")*1,"")</f>
        <v/>
      </c>
      <c r="P150" s="85">
        <f>IFERROR((IF($B150 = "","",INDEX(レシピ一覧!O:O,MATCH(使用レシピ!$B150,レシピ一覧!$A:$A,0)))&amp;"")*1,"")</f>
        <v>50</v>
      </c>
      <c r="Q150" s="86">
        <f>IFERROR((IF($B150 = "","",INDEX(レシピ一覧!P:P,MATCH(使用レシピ!$B150,レシピ一覧!$A:$A,0)))&amp;"")*1,"")</f>
        <v>250</v>
      </c>
    </row>
    <row r="151" spans="1:17" x14ac:dyDescent="0.4">
      <c r="A151" s="84">
        <v>1</v>
      </c>
      <c r="B151" s="21" t="str">
        <f t="shared" si="2"/>
        <v>15001</v>
      </c>
      <c r="C151" s="81">
        <f>IF(COUNTIF(レシピ一覧!$B:$B,ROW()-1),ROW()-1,"")</f>
        <v>150</v>
      </c>
      <c r="D151" s="15">
        <f>IF(E151="","",COUNTIF(レシピ一覧!$D$2:$D$500,使用レシピ!E151))</f>
        <v>1</v>
      </c>
      <c r="E151" s="57" t="str">
        <f>IFERROR( INDEX(レシピ一覧!$D:$D,MATCH(使用レシピ!$C151,レシピ一覧!$B:$B,0))&amp;"","")</f>
        <v>ホーミングライフル弾</v>
      </c>
      <c r="F151" s="85" t="str">
        <f>IF($B151 = "","",INDEX(レシピ一覧!E:E,MATCH(使用レシピ!$B151,レシピ一覧!$A:$A,0))) &amp;""</f>
        <v>ライフル弾</v>
      </c>
      <c r="G151" s="85" t="str">
        <f>IF($B151 = "","",INDEX(レシピ一覧!F:F,MATCH(使用レシピ!$B151,レシピ一覧!$A:$A,0))) &amp;""</f>
        <v>高速コネクター</v>
      </c>
      <c r="H151" s="85" t="str">
        <f>IF($B151 = "","",INDEX(レシピ一覧!G:G,MATCH(使用レシピ!$B151,レシピ一覧!$A:$A,0))) &amp;""</f>
        <v/>
      </c>
      <c r="I151" s="85" t="str">
        <f>IF($B151 = "","",INDEX(レシピ一覧!H:H,MATCH(使用レシピ!$B151,レシピ一覧!$A:$A,0))) &amp;""</f>
        <v/>
      </c>
      <c r="J151" s="85" t="str">
        <f>IF($B151 = "","",INDEX(レシピ一覧!I:I,MATCH(使用レシピ!$B151,レシピ一覧!$A:$A,0))) &amp;""</f>
        <v/>
      </c>
      <c r="K151" s="85">
        <f>IFERROR((IF($B151 = "","",INDEX(レシピ一覧!J:J,MATCH(使用レシピ!$B151,レシピ一覧!$A:$A,0)))&amp;"")*1,"")</f>
        <v>20</v>
      </c>
      <c r="L151" s="85">
        <f>IFERROR((IF($B151 = "","",INDEX(レシピ一覧!K:K,MATCH(使用レシピ!$B151,レシピ一覧!$A:$A,0)))&amp;"")*1,"")</f>
        <v>1</v>
      </c>
      <c r="M151" s="85" t="str">
        <f>IFERROR((IF($B151 = "","",INDEX(レシピ一覧!L:L,MATCH(使用レシピ!$B151,レシピ一覧!$A:$A,0)))&amp;"")*1,"")</f>
        <v/>
      </c>
      <c r="N151" s="85" t="str">
        <f>IFERROR((IF($B151 = "","",INDEX(レシピ一覧!M:M,MATCH(使用レシピ!$B151,レシピ一覧!$A:$A,0)))&amp;"")*1,"")</f>
        <v/>
      </c>
      <c r="O151" s="85" t="str">
        <f>IFERROR((IF($B151 = "","",INDEX(レシピ一覧!N:N,MATCH(使用レシピ!$B151,レシピ一覧!$A:$A,0)))&amp;"")*1,"")</f>
        <v/>
      </c>
      <c r="P151" s="85">
        <f>IFERROR((IF($B151 = "","",INDEX(レシピ一覧!O:O,MATCH(使用レシピ!$B151,レシピ一覧!$A:$A,0)))&amp;"")*1,"")</f>
        <v>10</v>
      </c>
      <c r="Q151" s="86">
        <f>IFERROR((IF($B151 = "","",INDEX(レシピ一覧!P:P,MATCH(使用レシピ!$B151,レシピ一覧!$A:$A,0)))&amp;"")*1,"")</f>
        <v>25</v>
      </c>
    </row>
    <row r="152" spans="1:17" x14ac:dyDescent="0.4">
      <c r="A152" s="84">
        <v>1</v>
      </c>
      <c r="B152" s="21" t="str">
        <f t="shared" si="2"/>
        <v>15101</v>
      </c>
      <c r="C152" s="81">
        <f>IF(COUNTIF(レシピ一覧!$B:$B,ROW()-1),ROW()-1,"")</f>
        <v>151</v>
      </c>
      <c r="D152" s="15">
        <f>IF(E152="","",COUNTIF(レシピ一覧!$D$2:$D$500,使用レシピ!E152))</f>
        <v>1</v>
      </c>
      <c r="E152" s="57" t="str">
        <f>IFERROR( INDEX(レシピ一覧!$D:$D,MATCH(使用レシピ!$C152,レシピ一覧!$B:$B,0))&amp;"","")</f>
        <v>ニューク・ノーベリスク</v>
      </c>
      <c r="F152" s="85" t="str">
        <f>IF($B152 = "","",INDEX(レシピ一覧!E:E,MATCH(使用レシピ!$B152,レシピ一覧!$A:$A,0))) &amp;""</f>
        <v>ノーベリスク</v>
      </c>
      <c r="G152" s="85" t="str">
        <f>IF($B152 = "","",INDEX(レシピ一覧!F:F,MATCH(使用レシピ!$B152,レシピ一覧!$A:$A,0))) &amp;""</f>
        <v>被覆型ウラン・セル</v>
      </c>
      <c r="H152" s="85" t="str">
        <f>IF($B152 = "","",INDEX(レシピ一覧!G:G,MATCH(使用レシピ!$B152,レシピ一覧!$A:$A,0))) &amp;""</f>
        <v>無煙火薬</v>
      </c>
      <c r="I152" s="85" t="str">
        <f>IF($B152 = "","",INDEX(レシピ一覧!H:H,MATCH(使用レシピ!$B152,レシピ一覧!$A:$A,0))) &amp;""</f>
        <v>AIリミッター</v>
      </c>
      <c r="J152" s="85" t="str">
        <f>IF($B152 = "","",INDEX(レシピ一覧!I:I,MATCH(使用レシピ!$B152,レシピ一覧!$A:$A,0))) &amp;""</f>
        <v/>
      </c>
      <c r="K152" s="85">
        <f>IFERROR((IF($B152 = "","",INDEX(レシピ一覧!J:J,MATCH(使用レシピ!$B152,レシピ一覧!$A:$A,0)))&amp;"")*1,"")</f>
        <v>5</v>
      </c>
      <c r="L152" s="85">
        <f>IFERROR((IF($B152 = "","",INDEX(レシピ一覧!K:K,MATCH(使用レシピ!$B152,レシピ一覧!$A:$A,0)))&amp;"")*1,"")</f>
        <v>20</v>
      </c>
      <c r="M152" s="85">
        <f>IFERROR((IF($B152 = "","",INDEX(レシピ一覧!L:L,MATCH(使用レシピ!$B152,レシピ一覧!$A:$A,0)))&amp;"")*1,"")</f>
        <v>10</v>
      </c>
      <c r="N152" s="85">
        <f>IFERROR((IF($B152 = "","",INDEX(レシピ一覧!M:M,MATCH(使用レシピ!$B152,レシピ一覧!$A:$A,0)))&amp;"")*1,"")</f>
        <v>6</v>
      </c>
      <c r="O152" s="85" t="str">
        <f>IFERROR((IF($B152 = "","",INDEX(レシピ一覧!N:N,MATCH(使用レシピ!$B152,レシピ一覧!$A:$A,0)))&amp;"")*1,"")</f>
        <v/>
      </c>
      <c r="P152" s="85">
        <f>IFERROR((IF($B152 = "","",INDEX(レシピ一覧!O:O,MATCH(使用レシピ!$B152,レシピ一覧!$A:$A,0)))&amp;"")*1,"")</f>
        <v>1</v>
      </c>
      <c r="Q152" s="86">
        <f>IFERROR((IF($B152 = "","",INDEX(レシピ一覧!P:P,MATCH(使用レシピ!$B152,レシピ一覧!$A:$A,0)))&amp;"")*1,"")</f>
        <v>0.5</v>
      </c>
    </row>
    <row r="153" spans="1:17" x14ac:dyDescent="0.4">
      <c r="A153" s="84">
        <v>1</v>
      </c>
      <c r="B153" s="21" t="str">
        <f t="shared" si="2"/>
        <v/>
      </c>
      <c r="C153" s="81" t="str">
        <f>IF(COUNTIF(レシピ一覧!$B:$B,ROW()-1),ROW()-1,"")</f>
        <v/>
      </c>
      <c r="D153" s="15" t="str">
        <f>IF(E153="","",COUNTIF(レシピ一覧!$D$2:$D$500,使用レシピ!E153))</f>
        <v/>
      </c>
      <c r="E153" s="57" t="str">
        <f>IFERROR( INDEX(レシピ一覧!$D:$D,MATCH(使用レシピ!$C153,レシピ一覧!$B:$B,0))&amp;"","")</f>
        <v/>
      </c>
      <c r="F153" s="85" t="str">
        <f>IF($B153 = "","",INDEX(レシピ一覧!E:E,MATCH(使用レシピ!$B153,レシピ一覧!$A:$A,0))) &amp;""</f>
        <v/>
      </c>
      <c r="G153" s="85" t="str">
        <f>IF($B153 = "","",INDEX(レシピ一覧!F:F,MATCH(使用レシピ!$B153,レシピ一覧!$A:$A,0))) &amp;""</f>
        <v/>
      </c>
      <c r="H153" s="85" t="str">
        <f>IF($B153 = "","",INDEX(レシピ一覧!G:G,MATCH(使用レシピ!$B153,レシピ一覧!$A:$A,0))) &amp;""</f>
        <v/>
      </c>
      <c r="I153" s="85" t="str">
        <f>IF($B153 = "","",INDEX(レシピ一覧!H:H,MATCH(使用レシピ!$B153,レシピ一覧!$A:$A,0))) &amp;""</f>
        <v/>
      </c>
      <c r="J153" s="85" t="str">
        <f>IF($B153 = "","",INDEX(レシピ一覧!I:I,MATCH(使用レシピ!$B153,レシピ一覧!$A:$A,0))) &amp;""</f>
        <v/>
      </c>
      <c r="K153" s="85" t="str">
        <f>IFERROR((IF($B153 = "","",INDEX(レシピ一覧!J:J,MATCH(使用レシピ!$B153,レシピ一覧!$A:$A,0)))&amp;"")*1,"")</f>
        <v/>
      </c>
      <c r="L153" s="85" t="str">
        <f>IFERROR((IF($B153 = "","",INDEX(レシピ一覧!K:K,MATCH(使用レシピ!$B153,レシピ一覧!$A:$A,0)))&amp;"")*1,"")</f>
        <v/>
      </c>
      <c r="M153" s="85" t="str">
        <f>IFERROR((IF($B153 = "","",INDEX(レシピ一覧!L:L,MATCH(使用レシピ!$B153,レシピ一覧!$A:$A,0)))&amp;"")*1,"")</f>
        <v/>
      </c>
      <c r="N153" s="85" t="str">
        <f>IFERROR((IF($B153 = "","",INDEX(レシピ一覧!M:M,MATCH(使用レシピ!$B153,レシピ一覧!$A:$A,0)))&amp;"")*1,"")</f>
        <v/>
      </c>
      <c r="O153" s="85" t="str">
        <f>IFERROR((IF($B153 = "","",INDEX(レシピ一覧!N:N,MATCH(使用レシピ!$B153,レシピ一覧!$A:$A,0)))&amp;"")*1,"")</f>
        <v/>
      </c>
      <c r="P153" s="85" t="str">
        <f>IFERROR((IF($B153 = "","",INDEX(レシピ一覧!O:O,MATCH(使用レシピ!$B153,レシピ一覧!$A:$A,0)))&amp;"")*1,"")</f>
        <v/>
      </c>
      <c r="Q153" s="86" t="str">
        <f>IFERROR((IF($B153 = "","",INDEX(レシピ一覧!P:P,MATCH(使用レシピ!$B153,レシピ一覧!$A:$A,0)))&amp;"")*1,"")</f>
        <v/>
      </c>
    </row>
    <row r="154" spans="1:17" x14ac:dyDescent="0.4">
      <c r="A154" s="84">
        <v>1</v>
      </c>
      <c r="B154" s="21" t="str">
        <f t="shared" si="2"/>
        <v/>
      </c>
      <c r="C154" s="81" t="str">
        <f>IF(COUNTIF(レシピ一覧!$B:$B,ROW()-1),ROW()-1,"")</f>
        <v/>
      </c>
      <c r="D154" s="15" t="str">
        <f>IF(E154="","",COUNTIF(レシピ一覧!$D$2:$D$500,使用レシピ!E154))</f>
        <v/>
      </c>
      <c r="E154" s="57" t="str">
        <f>IFERROR( INDEX(レシピ一覧!$D:$D,MATCH(使用レシピ!$C154,レシピ一覧!$B:$B,0))&amp;"","")</f>
        <v/>
      </c>
      <c r="F154" s="85" t="str">
        <f>IF($B154 = "","",INDEX(レシピ一覧!E:E,MATCH(使用レシピ!$B154,レシピ一覧!$A:$A,0))) &amp;""</f>
        <v/>
      </c>
      <c r="G154" s="85" t="str">
        <f>IF($B154 = "","",INDEX(レシピ一覧!F:F,MATCH(使用レシピ!$B154,レシピ一覧!$A:$A,0))) &amp;""</f>
        <v/>
      </c>
      <c r="H154" s="85" t="str">
        <f>IF($B154 = "","",INDEX(レシピ一覧!G:G,MATCH(使用レシピ!$B154,レシピ一覧!$A:$A,0))) &amp;""</f>
        <v/>
      </c>
      <c r="I154" s="85" t="str">
        <f>IF($B154 = "","",INDEX(レシピ一覧!H:H,MATCH(使用レシピ!$B154,レシピ一覧!$A:$A,0))) &amp;""</f>
        <v/>
      </c>
      <c r="J154" s="85" t="str">
        <f>IF($B154 = "","",INDEX(レシピ一覧!I:I,MATCH(使用レシピ!$B154,レシピ一覧!$A:$A,0))) &amp;""</f>
        <v/>
      </c>
      <c r="K154" s="85" t="str">
        <f>IFERROR((IF($B154 = "","",INDEX(レシピ一覧!J:J,MATCH(使用レシピ!$B154,レシピ一覧!$A:$A,0)))&amp;"")*1,"")</f>
        <v/>
      </c>
      <c r="L154" s="85" t="str">
        <f>IFERROR((IF($B154 = "","",INDEX(レシピ一覧!K:K,MATCH(使用レシピ!$B154,レシピ一覧!$A:$A,0)))&amp;"")*1,"")</f>
        <v/>
      </c>
      <c r="M154" s="85" t="str">
        <f>IFERROR((IF($B154 = "","",INDEX(レシピ一覧!L:L,MATCH(使用レシピ!$B154,レシピ一覧!$A:$A,0)))&amp;"")*1,"")</f>
        <v/>
      </c>
      <c r="N154" s="85" t="str">
        <f>IFERROR((IF($B154 = "","",INDEX(レシピ一覧!M:M,MATCH(使用レシピ!$B154,レシピ一覧!$A:$A,0)))&amp;"")*1,"")</f>
        <v/>
      </c>
      <c r="O154" s="85" t="str">
        <f>IFERROR((IF($B154 = "","",INDEX(レシピ一覧!N:N,MATCH(使用レシピ!$B154,レシピ一覧!$A:$A,0)))&amp;"")*1,"")</f>
        <v/>
      </c>
      <c r="P154" s="85" t="str">
        <f>IFERROR((IF($B154 = "","",INDEX(レシピ一覧!O:O,MATCH(使用レシピ!$B154,レシピ一覧!$A:$A,0)))&amp;"")*1,"")</f>
        <v/>
      </c>
      <c r="Q154" s="86" t="str">
        <f>IFERROR((IF($B154 = "","",INDEX(レシピ一覧!P:P,MATCH(使用レシピ!$B154,レシピ一覧!$A:$A,0)))&amp;"")*1,"")</f>
        <v/>
      </c>
    </row>
    <row r="155" spans="1:17" x14ac:dyDescent="0.4">
      <c r="A155" s="84">
        <v>1</v>
      </c>
      <c r="B155" s="21" t="str">
        <f t="shared" si="2"/>
        <v/>
      </c>
      <c r="C155" s="81" t="str">
        <f>IF(COUNTIF(レシピ一覧!$B:$B,ROW()-1),ROW()-1,"")</f>
        <v/>
      </c>
      <c r="D155" s="15" t="str">
        <f>IF(E155="","",COUNTIF(レシピ一覧!$D$2:$D$500,使用レシピ!E155))</f>
        <v/>
      </c>
      <c r="E155" s="57" t="str">
        <f>IFERROR( INDEX(レシピ一覧!$D:$D,MATCH(使用レシピ!$C155,レシピ一覧!$B:$B,0))&amp;"","")</f>
        <v/>
      </c>
      <c r="F155" s="85" t="str">
        <f>IF($B155 = "","",INDEX(レシピ一覧!E:E,MATCH(使用レシピ!$B155,レシピ一覧!$A:$A,0))) &amp;""</f>
        <v/>
      </c>
      <c r="G155" s="85" t="str">
        <f>IF($B155 = "","",INDEX(レシピ一覧!F:F,MATCH(使用レシピ!$B155,レシピ一覧!$A:$A,0))) &amp;""</f>
        <v/>
      </c>
      <c r="H155" s="85" t="str">
        <f>IF($B155 = "","",INDEX(レシピ一覧!G:G,MATCH(使用レシピ!$B155,レシピ一覧!$A:$A,0))) &amp;""</f>
        <v/>
      </c>
      <c r="I155" s="85" t="str">
        <f>IF($B155 = "","",INDEX(レシピ一覧!H:H,MATCH(使用レシピ!$B155,レシピ一覧!$A:$A,0))) &amp;""</f>
        <v/>
      </c>
      <c r="J155" s="85" t="str">
        <f>IF($B155 = "","",INDEX(レシピ一覧!I:I,MATCH(使用レシピ!$B155,レシピ一覧!$A:$A,0))) &amp;""</f>
        <v/>
      </c>
      <c r="K155" s="85" t="str">
        <f>IFERROR((IF($B155 = "","",INDEX(レシピ一覧!J:J,MATCH(使用レシピ!$B155,レシピ一覧!$A:$A,0)))&amp;"")*1,"")</f>
        <v/>
      </c>
      <c r="L155" s="85" t="str">
        <f>IFERROR((IF($B155 = "","",INDEX(レシピ一覧!K:K,MATCH(使用レシピ!$B155,レシピ一覧!$A:$A,0)))&amp;"")*1,"")</f>
        <v/>
      </c>
      <c r="M155" s="85" t="str">
        <f>IFERROR((IF($B155 = "","",INDEX(レシピ一覧!L:L,MATCH(使用レシピ!$B155,レシピ一覧!$A:$A,0)))&amp;"")*1,"")</f>
        <v/>
      </c>
      <c r="N155" s="85" t="str">
        <f>IFERROR((IF($B155 = "","",INDEX(レシピ一覧!M:M,MATCH(使用レシピ!$B155,レシピ一覧!$A:$A,0)))&amp;"")*1,"")</f>
        <v/>
      </c>
      <c r="O155" s="85" t="str">
        <f>IFERROR((IF($B155 = "","",INDEX(レシピ一覧!N:N,MATCH(使用レシピ!$B155,レシピ一覧!$A:$A,0)))&amp;"")*1,"")</f>
        <v/>
      </c>
      <c r="P155" s="85" t="str">
        <f>IFERROR((IF($B155 = "","",INDEX(レシピ一覧!O:O,MATCH(使用レシピ!$B155,レシピ一覧!$A:$A,0)))&amp;"")*1,"")</f>
        <v/>
      </c>
      <c r="Q155" s="86" t="str">
        <f>IFERROR((IF($B155 = "","",INDEX(レシピ一覧!P:P,MATCH(使用レシピ!$B155,レシピ一覧!$A:$A,0)))&amp;"")*1,"")</f>
        <v/>
      </c>
    </row>
    <row r="156" spans="1:17" x14ac:dyDescent="0.4">
      <c r="A156" s="84">
        <v>1</v>
      </c>
      <c r="B156" s="21" t="str">
        <f t="shared" si="2"/>
        <v/>
      </c>
      <c r="C156" s="81" t="str">
        <f>IF(COUNTIF(レシピ一覧!$B:$B,ROW()-1),ROW()-1,"")</f>
        <v/>
      </c>
      <c r="D156" s="15" t="str">
        <f>IF(E156="","",COUNTIF(レシピ一覧!$D$2:$D$500,使用レシピ!E156))</f>
        <v/>
      </c>
      <c r="E156" s="57" t="str">
        <f>IFERROR( INDEX(レシピ一覧!$D:$D,MATCH(使用レシピ!$C156,レシピ一覧!$B:$B,0))&amp;"","")</f>
        <v/>
      </c>
      <c r="F156" s="85" t="str">
        <f>IF($B156 = "","",INDEX(レシピ一覧!E:E,MATCH(使用レシピ!$B156,レシピ一覧!$A:$A,0))) &amp;""</f>
        <v/>
      </c>
      <c r="G156" s="85" t="str">
        <f>IF($B156 = "","",INDEX(レシピ一覧!F:F,MATCH(使用レシピ!$B156,レシピ一覧!$A:$A,0))) &amp;""</f>
        <v/>
      </c>
      <c r="H156" s="85" t="str">
        <f>IF($B156 = "","",INDEX(レシピ一覧!G:G,MATCH(使用レシピ!$B156,レシピ一覧!$A:$A,0))) &amp;""</f>
        <v/>
      </c>
      <c r="I156" s="85" t="str">
        <f>IF($B156 = "","",INDEX(レシピ一覧!H:H,MATCH(使用レシピ!$B156,レシピ一覧!$A:$A,0))) &amp;""</f>
        <v/>
      </c>
      <c r="J156" s="85" t="str">
        <f>IF($B156 = "","",INDEX(レシピ一覧!I:I,MATCH(使用レシピ!$B156,レシピ一覧!$A:$A,0))) &amp;""</f>
        <v/>
      </c>
      <c r="K156" s="85" t="str">
        <f>IFERROR((IF($B156 = "","",INDEX(レシピ一覧!J:J,MATCH(使用レシピ!$B156,レシピ一覧!$A:$A,0)))&amp;"")*1,"")</f>
        <v/>
      </c>
      <c r="L156" s="85" t="str">
        <f>IFERROR((IF($B156 = "","",INDEX(レシピ一覧!K:K,MATCH(使用レシピ!$B156,レシピ一覧!$A:$A,0)))&amp;"")*1,"")</f>
        <v/>
      </c>
      <c r="M156" s="85" t="str">
        <f>IFERROR((IF($B156 = "","",INDEX(レシピ一覧!L:L,MATCH(使用レシピ!$B156,レシピ一覧!$A:$A,0)))&amp;"")*1,"")</f>
        <v/>
      </c>
      <c r="N156" s="85" t="str">
        <f>IFERROR((IF($B156 = "","",INDEX(レシピ一覧!M:M,MATCH(使用レシピ!$B156,レシピ一覧!$A:$A,0)))&amp;"")*1,"")</f>
        <v/>
      </c>
      <c r="O156" s="85" t="str">
        <f>IFERROR((IF($B156 = "","",INDEX(レシピ一覧!N:N,MATCH(使用レシピ!$B156,レシピ一覧!$A:$A,0)))&amp;"")*1,"")</f>
        <v/>
      </c>
      <c r="P156" s="85" t="str">
        <f>IFERROR((IF($B156 = "","",INDEX(レシピ一覧!O:O,MATCH(使用レシピ!$B156,レシピ一覧!$A:$A,0)))&amp;"")*1,"")</f>
        <v/>
      </c>
      <c r="Q156" s="86" t="str">
        <f>IFERROR((IF($B156 = "","",INDEX(レシピ一覧!P:P,MATCH(使用レシピ!$B156,レシピ一覧!$A:$A,0)))&amp;"")*1,"")</f>
        <v/>
      </c>
    </row>
    <row r="157" spans="1:17" x14ac:dyDescent="0.4">
      <c r="A157" s="84">
        <v>1</v>
      </c>
      <c r="B157" s="21" t="str">
        <f t="shared" si="2"/>
        <v/>
      </c>
      <c r="C157" s="81" t="str">
        <f>IF(COUNTIF(レシピ一覧!$B:$B,ROW()-1),ROW()-1,"")</f>
        <v/>
      </c>
      <c r="D157" s="15" t="str">
        <f>IF(E157="","",COUNTIF(レシピ一覧!$D$2:$D$500,使用レシピ!E157))</f>
        <v/>
      </c>
      <c r="E157" s="57" t="str">
        <f>IFERROR( INDEX(レシピ一覧!$D:$D,MATCH(使用レシピ!$C157,レシピ一覧!$B:$B,0))&amp;"","")</f>
        <v/>
      </c>
      <c r="F157" s="85" t="str">
        <f>IF($B157 = "","",INDEX(レシピ一覧!E:E,MATCH(使用レシピ!$B157,レシピ一覧!$A:$A,0))) &amp;""</f>
        <v/>
      </c>
      <c r="G157" s="85" t="str">
        <f>IF($B157 = "","",INDEX(レシピ一覧!F:F,MATCH(使用レシピ!$B157,レシピ一覧!$A:$A,0))) &amp;""</f>
        <v/>
      </c>
      <c r="H157" s="85" t="str">
        <f>IF($B157 = "","",INDEX(レシピ一覧!G:G,MATCH(使用レシピ!$B157,レシピ一覧!$A:$A,0))) &amp;""</f>
        <v/>
      </c>
      <c r="I157" s="85" t="str">
        <f>IF($B157 = "","",INDEX(レシピ一覧!H:H,MATCH(使用レシピ!$B157,レシピ一覧!$A:$A,0))) &amp;""</f>
        <v/>
      </c>
      <c r="J157" s="85" t="str">
        <f>IF($B157 = "","",INDEX(レシピ一覧!I:I,MATCH(使用レシピ!$B157,レシピ一覧!$A:$A,0))) &amp;""</f>
        <v/>
      </c>
      <c r="K157" s="85" t="str">
        <f>IFERROR((IF($B157 = "","",INDEX(レシピ一覧!J:J,MATCH(使用レシピ!$B157,レシピ一覧!$A:$A,0)))&amp;"")*1,"")</f>
        <v/>
      </c>
      <c r="L157" s="85" t="str">
        <f>IFERROR((IF($B157 = "","",INDEX(レシピ一覧!K:K,MATCH(使用レシピ!$B157,レシピ一覧!$A:$A,0)))&amp;"")*1,"")</f>
        <v/>
      </c>
      <c r="M157" s="85" t="str">
        <f>IFERROR((IF($B157 = "","",INDEX(レシピ一覧!L:L,MATCH(使用レシピ!$B157,レシピ一覧!$A:$A,0)))&amp;"")*1,"")</f>
        <v/>
      </c>
      <c r="N157" s="85" t="str">
        <f>IFERROR((IF($B157 = "","",INDEX(レシピ一覧!M:M,MATCH(使用レシピ!$B157,レシピ一覧!$A:$A,0)))&amp;"")*1,"")</f>
        <v/>
      </c>
      <c r="O157" s="85" t="str">
        <f>IFERROR((IF($B157 = "","",INDEX(レシピ一覧!N:N,MATCH(使用レシピ!$B157,レシピ一覧!$A:$A,0)))&amp;"")*1,"")</f>
        <v/>
      </c>
      <c r="P157" s="85" t="str">
        <f>IFERROR((IF($B157 = "","",INDEX(レシピ一覧!O:O,MATCH(使用レシピ!$B157,レシピ一覧!$A:$A,0)))&amp;"")*1,"")</f>
        <v/>
      </c>
      <c r="Q157" s="86" t="str">
        <f>IFERROR((IF($B157 = "","",INDEX(レシピ一覧!P:P,MATCH(使用レシピ!$B157,レシピ一覧!$A:$A,0)))&amp;"")*1,"")</f>
        <v/>
      </c>
    </row>
    <row r="158" spans="1:17" x14ac:dyDescent="0.4">
      <c r="A158" s="84">
        <v>1</v>
      </c>
      <c r="B158" s="21" t="str">
        <f t="shared" si="2"/>
        <v/>
      </c>
      <c r="C158" s="81" t="str">
        <f>IF(COUNTIF(レシピ一覧!$B:$B,ROW()-1),ROW()-1,"")</f>
        <v/>
      </c>
      <c r="D158" s="15" t="str">
        <f>IF(E158="","",COUNTIF(レシピ一覧!$D$2:$D$500,使用レシピ!E158))</f>
        <v/>
      </c>
      <c r="E158" s="57" t="str">
        <f>IFERROR( INDEX(レシピ一覧!$D:$D,MATCH(使用レシピ!$C158,レシピ一覧!$B:$B,0))&amp;"","")</f>
        <v/>
      </c>
      <c r="F158" s="85" t="str">
        <f>IF($B158 = "","",INDEX(レシピ一覧!E:E,MATCH(使用レシピ!$B158,レシピ一覧!$A:$A,0))) &amp;""</f>
        <v/>
      </c>
      <c r="G158" s="85" t="str">
        <f>IF($B158 = "","",INDEX(レシピ一覧!F:F,MATCH(使用レシピ!$B158,レシピ一覧!$A:$A,0))) &amp;""</f>
        <v/>
      </c>
      <c r="H158" s="85" t="str">
        <f>IF($B158 = "","",INDEX(レシピ一覧!G:G,MATCH(使用レシピ!$B158,レシピ一覧!$A:$A,0))) &amp;""</f>
        <v/>
      </c>
      <c r="I158" s="85" t="str">
        <f>IF($B158 = "","",INDEX(レシピ一覧!H:H,MATCH(使用レシピ!$B158,レシピ一覧!$A:$A,0))) &amp;""</f>
        <v/>
      </c>
      <c r="J158" s="85" t="str">
        <f>IF($B158 = "","",INDEX(レシピ一覧!I:I,MATCH(使用レシピ!$B158,レシピ一覧!$A:$A,0))) &amp;""</f>
        <v/>
      </c>
      <c r="K158" s="85" t="str">
        <f>IFERROR((IF($B158 = "","",INDEX(レシピ一覧!J:J,MATCH(使用レシピ!$B158,レシピ一覧!$A:$A,0)))&amp;"")*1,"")</f>
        <v/>
      </c>
      <c r="L158" s="85" t="str">
        <f>IFERROR((IF($B158 = "","",INDEX(レシピ一覧!K:K,MATCH(使用レシピ!$B158,レシピ一覧!$A:$A,0)))&amp;"")*1,"")</f>
        <v/>
      </c>
      <c r="M158" s="85" t="str">
        <f>IFERROR((IF($B158 = "","",INDEX(レシピ一覧!L:L,MATCH(使用レシピ!$B158,レシピ一覧!$A:$A,0)))&amp;"")*1,"")</f>
        <v/>
      </c>
      <c r="N158" s="85" t="str">
        <f>IFERROR((IF($B158 = "","",INDEX(レシピ一覧!M:M,MATCH(使用レシピ!$B158,レシピ一覧!$A:$A,0)))&amp;"")*1,"")</f>
        <v/>
      </c>
      <c r="O158" s="85" t="str">
        <f>IFERROR((IF($B158 = "","",INDEX(レシピ一覧!N:N,MATCH(使用レシピ!$B158,レシピ一覧!$A:$A,0)))&amp;"")*1,"")</f>
        <v/>
      </c>
      <c r="P158" s="85" t="str">
        <f>IFERROR((IF($B158 = "","",INDEX(レシピ一覧!O:O,MATCH(使用レシピ!$B158,レシピ一覧!$A:$A,0)))&amp;"")*1,"")</f>
        <v/>
      </c>
      <c r="Q158" s="86" t="str">
        <f>IFERROR((IF($B158 = "","",INDEX(レシピ一覧!P:P,MATCH(使用レシピ!$B158,レシピ一覧!$A:$A,0)))&amp;"")*1,"")</f>
        <v/>
      </c>
    </row>
    <row r="159" spans="1:17" x14ac:dyDescent="0.4">
      <c r="A159" s="84">
        <v>1</v>
      </c>
      <c r="B159" s="21" t="str">
        <f t="shared" si="2"/>
        <v/>
      </c>
      <c r="C159" s="81" t="str">
        <f>IF(COUNTIF(レシピ一覧!$B:$B,ROW()-1),ROW()-1,"")</f>
        <v/>
      </c>
      <c r="D159" s="15" t="str">
        <f>IF(E159="","",COUNTIF(レシピ一覧!$D$2:$D$500,使用レシピ!E159))</f>
        <v/>
      </c>
      <c r="E159" s="57" t="str">
        <f>IFERROR( INDEX(レシピ一覧!$D:$D,MATCH(使用レシピ!$C159,レシピ一覧!$B:$B,0))&amp;"","")</f>
        <v/>
      </c>
      <c r="F159" s="85" t="str">
        <f>IF($B159 = "","",INDEX(レシピ一覧!E:E,MATCH(使用レシピ!$B159,レシピ一覧!$A:$A,0))) &amp;""</f>
        <v/>
      </c>
      <c r="G159" s="85" t="str">
        <f>IF($B159 = "","",INDEX(レシピ一覧!F:F,MATCH(使用レシピ!$B159,レシピ一覧!$A:$A,0))) &amp;""</f>
        <v/>
      </c>
      <c r="H159" s="85" t="str">
        <f>IF($B159 = "","",INDEX(レシピ一覧!G:G,MATCH(使用レシピ!$B159,レシピ一覧!$A:$A,0))) &amp;""</f>
        <v/>
      </c>
      <c r="I159" s="85" t="str">
        <f>IF($B159 = "","",INDEX(レシピ一覧!H:H,MATCH(使用レシピ!$B159,レシピ一覧!$A:$A,0))) &amp;""</f>
        <v/>
      </c>
      <c r="J159" s="85" t="str">
        <f>IF($B159 = "","",INDEX(レシピ一覧!I:I,MATCH(使用レシピ!$B159,レシピ一覧!$A:$A,0))) &amp;""</f>
        <v/>
      </c>
      <c r="K159" s="85" t="str">
        <f>IFERROR((IF($B159 = "","",INDEX(レシピ一覧!J:J,MATCH(使用レシピ!$B159,レシピ一覧!$A:$A,0)))&amp;"")*1,"")</f>
        <v/>
      </c>
      <c r="L159" s="85" t="str">
        <f>IFERROR((IF($B159 = "","",INDEX(レシピ一覧!K:K,MATCH(使用レシピ!$B159,レシピ一覧!$A:$A,0)))&amp;"")*1,"")</f>
        <v/>
      </c>
      <c r="M159" s="85" t="str">
        <f>IFERROR((IF($B159 = "","",INDEX(レシピ一覧!L:L,MATCH(使用レシピ!$B159,レシピ一覧!$A:$A,0)))&amp;"")*1,"")</f>
        <v/>
      </c>
      <c r="N159" s="85" t="str">
        <f>IFERROR((IF($B159 = "","",INDEX(レシピ一覧!M:M,MATCH(使用レシピ!$B159,レシピ一覧!$A:$A,0)))&amp;"")*1,"")</f>
        <v/>
      </c>
      <c r="O159" s="85" t="str">
        <f>IFERROR((IF($B159 = "","",INDEX(レシピ一覧!N:N,MATCH(使用レシピ!$B159,レシピ一覧!$A:$A,0)))&amp;"")*1,"")</f>
        <v/>
      </c>
      <c r="P159" s="85" t="str">
        <f>IFERROR((IF($B159 = "","",INDEX(レシピ一覧!O:O,MATCH(使用レシピ!$B159,レシピ一覧!$A:$A,0)))&amp;"")*1,"")</f>
        <v/>
      </c>
      <c r="Q159" s="86" t="str">
        <f>IFERROR((IF($B159 = "","",INDEX(レシピ一覧!P:P,MATCH(使用レシピ!$B159,レシピ一覧!$A:$A,0)))&amp;"")*1,"")</f>
        <v/>
      </c>
    </row>
    <row r="160" spans="1:17" x14ac:dyDescent="0.4">
      <c r="A160" s="84">
        <v>1</v>
      </c>
      <c r="B160" s="21" t="str">
        <f t="shared" si="2"/>
        <v/>
      </c>
      <c r="C160" s="81" t="str">
        <f>IF(COUNTIF(レシピ一覧!$B:$B,ROW()-1),ROW()-1,"")</f>
        <v/>
      </c>
      <c r="D160" s="15" t="str">
        <f>IF(E160="","",COUNTIF(レシピ一覧!$D$2:$D$500,使用レシピ!E160))</f>
        <v/>
      </c>
      <c r="E160" s="57" t="str">
        <f>IFERROR( INDEX(レシピ一覧!$D:$D,MATCH(使用レシピ!$C160,レシピ一覧!$B:$B,0))&amp;"","")</f>
        <v/>
      </c>
      <c r="F160" s="85" t="str">
        <f>IF($B160 = "","",INDEX(レシピ一覧!E:E,MATCH(使用レシピ!$B160,レシピ一覧!$A:$A,0))) &amp;""</f>
        <v/>
      </c>
      <c r="G160" s="85" t="str">
        <f>IF($B160 = "","",INDEX(レシピ一覧!F:F,MATCH(使用レシピ!$B160,レシピ一覧!$A:$A,0))) &amp;""</f>
        <v/>
      </c>
      <c r="H160" s="85" t="str">
        <f>IF($B160 = "","",INDEX(レシピ一覧!G:G,MATCH(使用レシピ!$B160,レシピ一覧!$A:$A,0))) &amp;""</f>
        <v/>
      </c>
      <c r="I160" s="85" t="str">
        <f>IF($B160 = "","",INDEX(レシピ一覧!H:H,MATCH(使用レシピ!$B160,レシピ一覧!$A:$A,0))) &amp;""</f>
        <v/>
      </c>
      <c r="J160" s="85" t="str">
        <f>IF($B160 = "","",INDEX(レシピ一覧!I:I,MATCH(使用レシピ!$B160,レシピ一覧!$A:$A,0))) &amp;""</f>
        <v/>
      </c>
      <c r="K160" s="85" t="str">
        <f>IFERROR((IF($B160 = "","",INDEX(レシピ一覧!J:J,MATCH(使用レシピ!$B160,レシピ一覧!$A:$A,0)))&amp;"")*1,"")</f>
        <v/>
      </c>
      <c r="L160" s="85" t="str">
        <f>IFERROR((IF($B160 = "","",INDEX(レシピ一覧!K:K,MATCH(使用レシピ!$B160,レシピ一覧!$A:$A,0)))&amp;"")*1,"")</f>
        <v/>
      </c>
      <c r="M160" s="85" t="str">
        <f>IFERROR((IF($B160 = "","",INDEX(レシピ一覧!L:L,MATCH(使用レシピ!$B160,レシピ一覧!$A:$A,0)))&amp;"")*1,"")</f>
        <v/>
      </c>
      <c r="N160" s="85" t="str">
        <f>IFERROR((IF($B160 = "","",INDEX(レシピ一覧!M:M,MATCH(使用レシピ!$B160,レシピ一覧!$A:$A,0)))&amp;"")*1,"")</f>
        <v/>
      </c>
      <c r="O160" s="85" t="str">
        <f>IFERROR((IF($B160 = "","",INDEX(レシピ一覧!N:N,MATCH(使用レシピ!$B160,レシピ一覧!$A:$A,0)))&amp;"")*1,"")</f>
        <v/>
      </c>
      <c r="P160" s="85" t="str">
        <f>IFERROR((IF($B160 = "","",INDEX(レシピ一覧!O:O,MATCH(使用レシピ!$B160,レシピ一覧!$A:$A,0)))&amp;"")*1,"")</f>
        <v/>
      </c>
      <c r="Q160" s="86" t="str">
        <f>IFERROR((IF($B160 = "","",INDEX(レシピ一覧!P:P,MATCH(使用レシピ!$B160,レシピ一覧!$A:$A,0)))&amp;"")*1,"")</f>
        <v/>
      </c>
    </row>
    <row r="161" spans="1:17" x14ac:dyDescent="0.4">
      <c r="A161" s="84">
        <v>1</v>
      </c>
      <c r="B161" s="21" t="str">
        <f t="shared" si="2"/>
        <v/>
      </c>
      <c r="C161" s="81" t="str">
        <f>IF(COUNTIF(レシピ一覧!$B:$B,ROW()-1),ROW()-1,"")</f>
        <v/>
      </c>
      <c r="D161" s="15" t="str">
        <f>IF(E161="","",COUNTIF(レシピ一覧!$D$2:$D$500,使用レシピ!E161))</f>
        <v/>
      </c>
      <c r="E161" s="57" t="str">
        <f>IFERROR( INDEX(レシピ一覧!$D:$D,MATCH(使用レシピ!$C161,レシピ一覧!$B:$B,0))&amp;"","")</f>
        <v/>
      </c>
      <c r="F161" s="85" t="str">
        <f>IF($B161 = "","",INDEX(レシピ一覧!E:E,MATCH(使用レシピ!$B161,レシピ一覧!$A:$A,0))) &amp;""</f>
        <v/>
      </c>
      <c r="G161" s="85" t="str">
        <f>IF($B161 = "","",INDEX(レシピ一覧!F:F,MATCH(使用レシピ!$B161,レシピ一覧!$A:$A,0))) &amp;""</f>
        <v/>
      </c>
      <c r="H161" s="85" t="str">
        <f>IF($B161 = "","",INDEX(レシピ一覧!G:G,MATCH(使用レシピ!$B161,レシピ一覧!$A:$A,0))) &amp;""</f>
        <v/>
      </c>
      <c r="I161" s="85" t="str">
        <f>IF($B161 = "","",INDEX(レシピ一覧!H:H,MATCH(使用レシピ!$B161,レシピ一覧!$A:$A,0))) &amp;""</f>
        <v/>
      </c>
      <c r="J161" s="85" t="str">
        <f>IF($B161 = "","",INDEX(レシピ一覧!I:I,MATCH(使用レシピ!$B161,レシピ一覧!$A:$A,0))) &amp;""</f>
        <v/>
      </c>
      <c r="K161" s="85" t="str">
        <f>IFERROR((IF($B161 = "","",INDEX(レシピ一覧!J:J,MATCH(使用レシピ!$B161,レシピ一覧!$A:$A,0)))&amp;"")*1,"")</f>
        <v/>
      </c>
      <c r="L161" s="85" t="str">
        <f>IFERROR((IF($B161 = "","",INDEX(レシピ一覧!K:K,MATCH(使用レシピ!$B161,レシピ一覧!$A:$A,0)))&amp;"")*1,"")</f>
        <v/>
      </c>
      <c r="M161" s="85" t="str">
        <f>IFERROR((IF($B161 = "","",INDEX(レシピ一覧!L:L,MATCH(使用レシピ!$B161,レシピ一覧!$A:$A,0)))&amp;"")*1,"")</f>
        <v/>
      </c>
      <c r="N161" s="85" t="str">
        <f>IFERROR((IF($B161 = "","",INDEX(レシピ一覧!M:M,MATCH(使用レシピ!$B161,レシピ一覧!$A:$A,0)))&amp;"")*1,"")</f>
        <v/>
      </c>
      <c r="O161" s="85" t="str">
        <f>IFERROR((IF($B161 = "","",INDEX(レシピ一覧!N:N,MATCH(使用レシピ!$B161,レシピ一覧!$A:$A,0)))&amp;"")*1,"")</f>
        <v/>
      </c>
      <c r="P161" s="85" t="str">
        <f>IFERROR((IF($B161 = "","",INDEX(レシピ一覧!O:O,MATCH(使用レシピ!$B161,レシピ一覧!$A:$A,0)))&amp;"")*1,"")</f>
        <v/>
      </c>
      <c r="Q161" s="86" t="str">
        <f>IFERROR((IF($B161 = "","",INDEX(レシピ一覧!P:P,MATCH(使用レシピ!$B161,レシピ一覧!$A:$A,0)))&amp;"")*1,"")</f>
        <v/>
      </c>
    </row>
    <row r="162" spans="1:17" x14ac:dyDescent="0.4">
      <c r="A162" s="84">
        <v>1</v>
      </c>
      <c r="B162" s="21" t="str">
        <f t="shared" si="2"/>
        <v/>
      </c>
      <c r="C162" s="81" t="str">
        <f>IF(COUNTIF(レシピ一覧!$B:$B,ROW()-1),ROW()-1,"")</f>
        <v/>
      </c>
      <c r="D162" s="15" t="str">
        <f>IF(E162="","",COUNTIF(レシピ一覧!$D$2:$D$500,使用レシピ!E162))</f>
        <v/>
      </c>
      <c r="E162" s="57" t="str">
        <f>IFERROR( INDEX(レシピ一覧!$D:$D,MATCH(使用レシピ!$C162,レシピ一覧!$B:$B,0))&amp;"","")</f>
        <v/>
      </c>
      <c r="F162" s="85" t="str">
        <f>IF($B162 = "","",INDEX(レシピ一覧!E:E,MATCH(使用レシピ!$B162,レシピ一覧!$A:$A,0))) &amp;""</f>
        <v/>
      </c>
      <c r="G162" s="85" t="str">
        <f>IF($B162 = "","",INDEX(レシピ一覧!F:F,MATCH(使用レシピ!$B162,レシピ一覧!$A:$A,0))) &amp;""</f>
        <v/>
      </c>
      <c r="H162" s="85" t="str">
        <f>IF($B162 = "","",INDEX(レシピ一覧!G:G,MATCH(使用レシピ!$B162,レシピ一覧!$A:$A,0))) &amp;""</f>
        <v/>
      </c>
      <c r="I162" s="85" t="str">
        <f>IF($B162 = "","",INDEX(レシピ一覧!H:H,MATCH(使用レシピ!$B162,レシピ一覧!$A:$A,0))) &amp;""</f>
        <v/>
      </c>
      <c r="J162" s="85" t="str">
        <f>IF($B162 = "","",INDEX(レシピ一覧!I:I,MATCH(使用レシピ!$B162,レシピ一覧!$A:$A,0))) &amp;""</f>
        <v/>
      </c>
      <c r="K162" s="85" t="str">
        <f>IFERROR((IF($B162 = "","",INDEX(レシピ一覧!J:J,MATCH(使用レシピ!$B162,レシピ一覧!$A:$A,0)))&amp;"")*1,"")</f>
        <v/>
      </c>
      <c r="L162" s="85" t="str">
        <f>IFERROR((IF($B162 = "","",INDEX(レシピ一覧!K:K,MATCH(使用レシピ!$B162,レシピ一覧!$A:$A,0)))&amp;"")*1,"")</f>
        <v/>
      </c>
      <c r="M162" s="85" t="str">
        <f>IFERROR((IF($B162 = "","",INDEX(レシピ一覧!L:L,MATCH(使用レシピ!$B162,レシピ一覧!$A:$A,0)))&amp;"")*1,"")</f>
        <v/>
      </c>
      <c r="N162" s="85" t="str">
        <f>IFERROR((IF($B162 = "","",INDEX(レシピ一覧!M:M,MATCH(使用レシピ!$B162,レシピ一覧!$A:$A,0)))&amp;"")*1,"")</f>
        <v/>
      </c>
      <c r="O162" s="85" t="str">
        <f>IFERROR((IF($B162 = "","",INDEX(レシピ一覧!N:N,MATCH(使用レシピ!$B162,レシピ一覧!$A:$A,0)))&amp;"")*1,"")</f>
        <v/>
      </c>
      <c r="P162" s="85" t="str">
        <f>IFERROR((IF($B162 = "","",INDEX(レシピ一覧!O:O,MATCH(使用レシピ!$B162,レシピ一覧!$A:$A,0)))&amp;"")*1,"")</f>
        <v/>
      </c>
      <c r="Q162" s="86" t="str">
        <f>IFERROR((IF($B162 = "","",INDEX(レシピ一覧!P:P,MATCH(使用レシピ!$B162,レシピ一覧!$A:$A,0)))&amp;"")*1,"")</f>
        <v/>
      </c>
    </row>
    <row r="163" spans="1:17" x14ac:dyDescent="0.4">
      <c r="A163" s="84">
        <v>1</v>
      </c>
      <c r="B163" s="21" t="str">
        <f t="shared" si="2"/>
        <v/>
      </c>
      <c r="C163" s="81" t="str">
        <f>IF(COUNTIF(レシピ一覧!$B:$B,ROW()-1),ROW()-1,"")</f>
        <v/>
      </c>
      <c r="D163" s="15" t="str">
        <f>IF(E163="","",COUNTIF(レシピ一覧!$D$2:$D$500,使用レシピ!E163))</f>
        <v/>
      </c>
      <c r="E163" s="57" t="str">
        <f>IFERROR( INDEX(レシピ一覧!$D:$D,MATCH(使用レシピ!$C163,レシピ一覧!$B:$B,0))&amp;"","")</f>
        <v/>
      </c>
      <c r="F163" s="85" t="str">
        <f>IF($B163 = "","",INDEX(レシピ一覧!E:E,MATCH(使用レシピ!$B163,レシピ一覧!$A:$A,0))) &amp;""</f>
        <v/>
      </c>
      <c r="G163" s="85" t="str">
        <f>IF($B163 = "","",INDEX(レシピ一覧!F:F,MATCH(使用レシピ!$B163,レシピ一覧!$A:$A,0))) &amp;""</f>
        <v/>
      </c>
      <c r="H163" s="85" t="str">
        <f>IF($B163 = "","",INDEX(レシピ一覧!G:G,MATCH(使用レシピ!$B163,レシピ一覧!$A:$A,0))) &amp;""</f>
        <v/>
      </c>
      <c r="I163" s="85" t="str">
        <f>IF($B163 = "","",INDEX(レシピ一覧!H:H,MATCH(使用レシピ!$B163,レシピ一覧!$A:$A,0))) &amp;""</f>
        <v/>
      </c>
      <c r="J163" s="85" t="str">
        <f>IF($B163 = "","",INDEX(レシピ一覧!I:I,MATCH(使用レシピ!$B163,レシピ一覧!$A:$A,0))) &amp;""</f>
        <v/>
      </c>
      <c r="K163" s="85" t="str">
        <f>IFERROR((IF($B163 = "","",INDEX(レシピ一覧!J:J,MATCH(使用レシピ!$B163,レシピ一覧!$A:$A,0)))&amp;"")*1,"")</f>
        <v/>
      </c>
      <c r="L163" s="85" t="str">
        <f>IFERROR((IF($B163 = "","",INDEX(レシピ一覧!K:K,MATCH(使用レシピ!$B163,レシピ一覧!$A:$A,0)))&amp;"")*1,"")</f>
        <v/>
      </c>
      <c r="M163" s="85" t="str">
        <f>IFERROR((IF($B163 = "","",INDEX(レシピ一覧!L:L,MATCH(使用レシピ!$B163,レシピ一覧!$A:$A,0)))&amp;"")*1,"")</f>
        <v/>
      </c>
      <c r="N163" s="85" t="str">
        <f>IFERROR((IF($B163 = "","",INDEX(レシピ一覧!M:M,MATCH(使用レシピ!$B163,レシピ一覧!$A:$A,0)))&amp;"")*1,"")</f>
        <v/>
      </c>
      <c r="O163" s="85" t="str">
        <f>IFERROR((IF($B163 = "","",INDEX(レシピ一覧!N:N,MATCH(使用レシピ!$B163,レシピ一覧!$A:$A,0)))&amp;"")*1,"")</f>
        <v/>
      </c>
      <c r="P163" s="85" t="str">
        <f>IFERROR((IF($B163 = "","",INDEX(レシピ一覧!O:O,MATCH(使用レシピ!$B163,レシピ一覧!$A:$A,0)))&amp;"")*1,"")</f>
        <v/>
      </c>
      <c r="Q163" s="86" t="str">
        <f>IFERROR((IF($B163 = "","",INDEX(レシピ一覧!P:P,MATCH(使用レシピ!$B163,レシピ一覧!$A:$A,0)))&amp;"")*1,"")</f>
        <v/>
      </c>
    </row>
    <row r="164" spans="1:17" x14ac:dyDescent="0.4">
      <c r="A164" s="84">
        <v>1</v>
      </c>
      <c r="B164" s="21" t="str">
        <f t="shared" si="2"/>
        <v/>
      </c>
      <c r="C164" s="81" t="str">
        <f>IF(COUNTIF(レシピ一覧!$B:$B,ROW()-1),ROW()-1,"")</f>
        <v/>
      </c>
      <c r="D164" s="15" t="str">
        <f>IF(E164="","",COUNTIF(レシピ一覧!$D$2:$D$500,使用レシピ!E164))</f>
        <v/>
      </c>
      <c r="E164" s="57" t="str">
        <f>IFERROR( INDEX(レシピ一覧!$D:$D,MATCH(使用レシピ!$C164,レシピ一覧!$B:$B,0))&amp;"","")</f>
        <v/>
      </c>
      <c r="F164" s="85" t="str">
        <f>IF($B164 = "","",INDEX(レシピ一覧!E:E,MATCH(使用レシピ!$B164,レシピ一覧!$A:$A,0))) &amp;""</f>
        <v/>
      </c>
      <c r="G164" s="85" t="str">
        <f>IF($B164 = "","",INDEX(レシピ一覧!F:F,MATCH(使用レシピ!$B164,レシピ一覧!$A:$A,0))) &amp;""</f>
        <v/>
      </c>
      <c r="H164" s="85" t="str">
        <f>IF($B164 = "","",INDEX(レシピ一覧!G:G,MATCH(使用レシピ!$B164,レシピ一覧!$A:$A,0))) &amp;""</f>
        <v/>
      </c>
      <c r="I164" s="85" t="str">
        <f>IF($B164 = "","",INDEX(レシピ一覧!H:H,MATCH(使用レシピ!$B164,レシピ一覧!$A:$A,0))) &amp;""</f>
        <v/>
      </c>
      <c r="J164" s="85" t="str">
        <f>IF($B164 = "","",INDEX(レシピ一覧!I:I,MATCH(使用レシピ!$B164,レシピ一覧!$A:$A,0))) &amp;""</f>
        <v/>
      </c>
      <c r="K164" s="85" t="str">
        <f>IFERROR((IF($B164 = "","",INDEX(レシピ一覧!J:J,MATCH(使用レシピ!$B164,レシピ一覧!$A:$A,0)))&amp;"")*1,"")</f>
        <v/>
      </c>
      <c r="L164" s="85" t="str">
        <f>IFERROR((IF($B164 = "","",INDEX(レシピ一覧!K:K,MATCH(使用レシピ!$B164,レシピ一覧!$A:$A,0)))&amp;"")*1,"")</f>
        <v/>
      </c>
      <c r="M164" s="85" t="str">
        <f>IFERROR((IF($B164 = "","",INDEX(レシピ一覧!L:L,MATCH(使用レシピ!$B164,レシピ一覧!$A:$A,0)))&amp;"")*1,"")</f>
        <v/>
      </c>
      <c r="N164" s="85" t="str">
        <f>IFERROR((IF($B164 = "","",INDEX(レシピ一覧!M:M,MATCH(使用レシピ!$B164,レシピ一覧!$A:$A,0)))&amp;"")*1,"")</f>
        <v/>
      </c>
      <c r="O164" s="85" t="str">
        <f>IFERROR((IF($B164 = "","",INDEX(レシピ一覧!N:N,MATCH(使用レシピ!$B164,レシピ一覧!$A:$A,0)))&amp;"")*1,"")</f>
        <v/>
      </c>
      <c r="P164" s="85" t="str">
        <f>IFERROR((IF($B164 = "","",INDEX(レシピ一覧!O:O,MATCH(使用レシピ!$B164,レシピ一覧!$A:$A,0)))&amp;"")*1,"")</f>
        <v/>
      </c>
      <c r="Q164" s="86" t="str">
        <f>IFERROR((IF($B164 = "","",INDEX(レシピ一覧!P:P,MATCH(使用レシピ!$B164,レシピ一覧!$A:$A,0)))&amp;"")*1,"")</f>
        <v/>
      </c>
    </row>
    <row r="165" spans="1:17" x14ac:dyDescent="0.4">
      <c r="A165" s="84">
        <v>1</v>
      </c>
      <c r="B165" s="21" t="str">
        <f t="shared" si="2"/>
        <v/>
      </c>
      <c r="C165" s="81" t="str">
        <f>IF(COUNTIF(レシピ一覧!$B:$B,ROW()-1),ROW()-1,"")</f>
        <v/>
      </c>
      <c r="D165" s="15" t="str">
        <f>IF(E165="","",COUNTIF(レシピ一覧!$D$2:$D$500,使用レシピ!E165))</f>
        <v/>
      </c>
      <c r="E165" s="57" t="str">
        <f>IFERROR( INDEX(レシピ一覧!$D:$D,MATCH(使用レシピ!$C165,レシピ一覧!$B:$B,0))&amp;"","")</f>
        <v/>
      </c>
      <c r="F165" s="85" t="str">
        <f>IF($B165 = "","",INDEX(レシピ一覧!E:E,MATCH(使用レシピ!$B165,レシピ一覧!$A:$A,0))) &amp;""</f>
        <v/>
      </c>
      <c r="G165" s="85" t="str">
        <f>IF($B165 = "","",INDEX(レシピ一覧!F:F,MATCH(使用レシピ!$B165,レシピ一覧!$A:$A,0))) &amp;""</f>
        <v/>
      </c>
      <c r="H165" s="85" t="str">
        <f>IF($B165 = "","",INDEX(レシピ一覧!G:G,MATCH(使用レシピ!$B165,レシピ一覧!$A:$A,0))) &amp;""</f>
        <v/>
      </c>
      <c r="I165" s="85" t="str">
        <f>IF($B165 = "","",INDEX(レシピ一覧!H:H,MATCH(使用レシピ!$B165,レシピ一覧!$A:$A,0))) &amp;""</f>
        <v/>
      </c>
      <c r="J165" s="85" t="str">
        <f>IF($B165 = "","",INDEX(レシピ一覧!I:I,MATCH(使用レシピ!$B165,レシピ一覧!$A:$A,0))) &amp;""</f>
        <v/>
      </c>
      <c r="K165" s="85" t="str">
        <f>IFERROR((IF($B165 = "","",INDEX(レシピ一覧!J:J,MATCH(使用レシピ!$B165,レシピ一覧!$A:$A,0)))&amp;"")*1,"")</f>
        <v/>
      </c>
      <c r="L165" s="85" t="str">
        <f>IFERROR((IF($B165 = "","",INDEX(レシピ一覧!K:K,MATCH(使用レシピ!$B165,レシピ一覧!$A:$A,0)))&amp;"")*1,"")</f>
        <v/>
      </c>
      <c r="M165" s="85" t="str">
        <f>IFERROR((IF($B165 = "","",INDEX(レシピ一覧!L:L,MATCH(使用レシピ!$B165,レシピ一覧!$A:$A,0)))&amp;"")*1,"")</f>
        <v/>
      </c>
      <c r="N165" s="85" t="str">
        <f>IFERROR((IF($B165 = "","",INDEX(レシピ一覧!M:M,MATCH(使用レシピ!$B165,レシピ一覧!$A:$A,0)))&amp;"")*1,"")</f>
        <v/>
      </c>
      <c r="O165" s="85" t="str">
        <f>IFERROR((IF($B165 = "","",INDEX(レシピ一覧!N:N,MATCH(使用レシピ!$B165,レシピ一覧!$A:$A,0)))&amp;"")*1,"")</f>
        <v/>
      </c>
      <c r="P165" s="85" t="str">
        <f>IFERROR((IF($B165 = "","",INDEX(レシピ一覧!O:O,MATCH(使用レシピ!$B165,レシピ一覧!$A:$A,0)))&amp;"")*1,"")</f>
        <v/>
      </c>
      <c r="Q165" s="86" t="str">
        <f>IFERROR((IF($B165 = "","",INDEX(レシピ一覧!P:P,MATCH(使用レシピ!$B165,レシピ一覧!$A:$A,0)))&amp;"")*1,"")</f>
        <v/>
      </c>
    </row>
    <row r="166" spans="1:17" x14ac:dyDescent="0.4">
      <c r="A166" s="84">
        <v>1</v>
      </c>
      <c r="B166" s="21" t="str">
        <f t="shared" si="2"/>
        <v/>
      </c>
      <c r="C166" s="81" t="str">
        <f>IF(COUNTIF(レシピ一覧!$B:$B,ROW()-1),ROW()-1,"")</f>
        <v/>
      </c>
      <c r="D166" s="15" t="str">
        <f>IF(E166="","",COUNTIF(レシピ一覧!$D$2:$D$500,使用レシピ!E166))</f>
        <v/>
      </c>
      <c r="E166" s="57" t="str">
        <f>IFERROR( INDEX(レシピ一覧!$D:$D,MATCH(使用レシピ!$C166,レシピ一覧!$B:$B,0))&amp;"","")</f>
        <v/>
      </c>
      <c r="F166" s="85" t="str">
        <f>IF($B166 = "","",INDEX(レシピ一覧!E:E,MATCH(使用レシピ!$B166,レシピ一覧!$A:$A,0))) &amp;""</f>
        <v/>
      </c>
      <c r="G166" s="85" t="str">
        <f>IF($B166 = "","",INDEX(レシピ一覧!F:F,MATCH(使用レシピ!$B166,レシピ一覧!$A:$A,0))) &amp;""</f>
        <v/>
      </c>
      <c r="H166" s="85" t="str">
        <f>IF($B166 = "","",INDEX(レシピ一覧!G:G,MATCH(使用レシピ!$B166,レシピ一覧!$A:$A,0))) &amp;""</f>
        <v/>
      </c>
      <c r="I166" s="85" t="str">
        <f>IF($B166 = "","",INDEX(レシピ一覧!H:H,MATCH(使用レシピ!$B166,レシピ一覧!$A:$A,0))) &amp;""</f>
        <v/>
      </c>
      <c r="J166" s="85" t="str">
        <f>IF($B166 = "","",INDEX(レシピ一覧!I:I,MATCH(使用レシピ!$B166,レシピ一覧!$A:$A,0))) &amp;""</f>
        <v/>
      </c>
      <c r="K166" s="85" t="str">
        <f>IFERROR((IF($B166 = "","",INDEX(レシピ一覧!J:J,MATCH(使用レシピ!$B166,レシピ一覧!$A:$A,0)))&amp;"")*1,"")</f>
        <v/>
      </c>
      <c r="L166" s="85" t="str">
        <f>IFERROR((IF($B166 = "","",INDEX(レシピ一覧!K:K,MATCH(使用レシピ!$B166,レシピ一覧!$A:$A,0)))&amp;"")*1,"")</f>
        <v/>
      </c>
      <c r="M166" s="85" t="str">
        <f>IFERROR((IF($B166 = "","",INDEX(レシピ一覧!L:L,MATCH(使用レシピ!$B166,レシピ一覧!$A:$A,0)))&amp;"")*1,"")</f>
        <v/>
      </c>
      <c r="N166" s="85" t="str">
        <f>IFERROR((IF($B166 = "","",INDEX(レシピ一覧!M:M,MATCH(使用レシピ!$B166,レシピ一覧!$A:$A,0)))&amp;"")*1,"")</f>
        <v/>
      </c>
      <c r="O166" s="85" t="str">
        <f>IFERROR((IF($B166 = "","",INDEX(レシピ一覧!N:N,MATCH(使用レシピ!$B166,レシピ一覧!$A:$A,0)))&amp;"")*1,"")</f>
        <v/>
      </c>
      <c r="P166" s="85" t="str">
        <f>IFERROR((IF($B166 = "","",INDEX(レシピ一覧!O:O,MATCH(使用レシピ!$B166,レシピ一覧!$A:$A,0)))&amp;"")*1,"")</f>
        <v/>
      </c>
      <c r="Q166" s="86" t="str">
        <f>IFERROR((IF($B166 = "","",INDEX(レシピ一覧!P:P,MATCH(使用レシピ!$B166,レシピ一覧!$A:$A,0)))&amp;"")*1,"")</f>
        <v/>
      </c>
    </row>
    <row r="167" spans="1:17" x14ac:dyDescent="0.4">
      <c r="A167" s="84">
        <v>1</v>
      </c>
      <c r="B167" s="21" t="str">
        <f t="shared" si="2"/>
        <v/>
      </c>
      <c r="C167" s="81" t="str">
        <f>IF(COUNTIF(レシピ一覧!$B:$B,ROW()-1),ROW()-1,"")</f>
        <v/>
      </c>
      <c r="D167" s="15" t="str">
        <f>IF(E167="","",COUNTIF(レシピ一覧!$D$2:$D$500,使用レシピ!E167))</f>
        <v/>
      </c>
      <c r="E167" s="57" t="str">
        <f>IFERROR( INDEX(レシピ一覧!$D:$D,MATCH(使用レシピ!$C167,レシピ一覧!$B:$B,0))&amp;"","")</f>
        <v/>
      </c>
      <c r="F167" s="85" t="str">
        <f>IF($B167 = "","",INDEX(レシピ一覧!E:E,MATCH(使用レシピ!$B167,レシピ一覧!$A:$A,0))) &amp;""</f>
        <v/>
      </c>
      <c r="G167" s="85" t="str">
        <f>IF($B167 = "","",INDEX(レシピ一覧!F:F,MATCH(使用レシピ!$B167,レシピ一覧!$A:$A,0))) &amp;""</f>
        <v/>
      </c>
      <c r="H167" s="85" t="str">
        <f>IF($B167 = "","",INDEX(レシピ一覧!G:G,MATCH(使用レシピ!$B167,レシピ一覧!$A:$A,0))) &amp;""</f>
        <v/>
      </c>
      <c r="I167" s="85" t="str">
        <f>IF($B167 = "","",INDEX(レシピ一覧!H:H,MATCH(使用レシピ!$B167,レシピ一覧!$A:$A,0))) &amp;""</f>
        <v/>
      </c>
      <c r="J167" s="85" t="str">
        <f>IF($B167 = "","",INDEX(レシピ一覧!I:I,MATCH(使用レシピ!$B167,レシピ一覧!$A:$A,0))) &amp;""</f>
        <v/>
      </c>
      <c r="K167" s="85" t="str">
        <f>IFERROR((IF($B167 = "","",INDEX(レシピ一覧!J:J,MATCH(使用レシピ!$B167,レシピ一覧!$A:$A,0)))&amp;"")*1,"")</f>
        <v/>
      </c>
      <c r="L167" s="85" t="str">
        <f>IFERROR((IF($B167 = "","",INDEX(レシピ一覧!K:K,MATCH(使用レシピ!$B167,レシピ一覧!$A:$A,0)))&amp;"")*1,"")</f>
        <v/>
      </c>
      <c r="M167" s="85" t="str">
        <f>IFERROR((IF($B167 = "","",INDEX(レシピ一覧!L:L,MATCH(使用レシピ!$B167,レシピ一覧!$A:$A,0)))&amp;"")*1,"")</f>
        <v/>
      </c>
      <c r="N167" s="85" t="str">
        <f>IFERROR((IF($B167 = "","",INDEX(レシピ一覧!M:M,MATCH(使用レシピ!$B167,レシピ一覧!$A:$A,0)))&amp;"")*1,"")</f>
        <v/>
      </c>
      <c r="O167" s="85" t="str">
        <f>IFERROR((IF($B167 = "","",INDEX(レシピ一覧!N:N,MATCH(使用レシピ!$B167,レシピ一覧!$A:$A,0)))&amp;"")*1,"")</f>
        <v/>
      </c>
      <c r="P167" s="85" t="str">
        <f>IFERROR((IF($B167 = "","",INDEX(レシピ一覧!O:O,MATCH(使用レシピ!$B167,レシピ一覧!$A:$A,0)))&amp;"")*1,"")</f>
        <v/>
      </c>
      <c r="Q167" s="86" t="str">
        <f>IFERROR((IF($B167 = "","",INDEX(レシピ一覧!P:P,MATCH(使用レシピ!$B167,レシピ一覧!$A:$A,0)))&amp;"")*1,"")</f>
        <v/>
      </c>
    </row>
    <row r="168" spans="1:17" x14ac:dyDescent="0.4">
      <c r="A168" s="84">
        <v>1</v>
      </c>
      <c r="B168" s="21" t="str">
        <f t="shared" si="2"/>
        <v/>
      </c>
      <c r="C168" s="81" t="str">
        <f>IF(COUNTIF(レシピ一覧!$B:$B,ROW()-1),ROW()-1,"")</f>
        <v/>
      </c>
      <c r="D168" s="15" t="str">
        <f>IF(E168="","",COUNTIF(レシピ一覧!$D$2:$D$500,使用レシピ!E168))</f>
        <v/>
      </c>
      <c r="E168" s="57" t="str">
        <f>IFERROR( INDEX(レシピ一覧!$D:$D,MATCH(使用レシピ!$C168,レシピ一覧!$B:$B,0))&amp;"","")</f>
        <v/>
      </c>
      <c r="F168" s="85" t="str">
        <f>IF($B168 = "","",INDEX(レシピ一覧!E:E,MATCH(使用レシピ!$B168,レシピ一覧!$A:$A,0))) &amp;""</f>
        <v/>
      </c>
      <c r="G168" s="85" t="str">
        <f>IF($B168 = "","",INDEX(レシピ一覧!F:F,MATCH(使用レシピ!$B168,レシピ一覧!$A:$A,0))) &amp;""</f>
        <v/>
      </c>
      <c r="H168" s="85" t="str">
        <f>IF($B168 = "","",INDEX(レシピ一覧!G:G,MATCH(使用レシピ!$B168,レシピ一覧!$A:$A,0))) &amp;""</f>
        <v/>
      </c>
      <c r="I168" s="85" t="str">
        <f>IF($B168 = "","",INDEX(レシピ一覧!H:H,MATCH(使用レシピ!$B168,レシピ一覧!$A:$A,0))) &amp;""</f>
        <v/>
      </c>
      <c r="J168" s="85" t="str">
        <f>IF($B168 = "","",INDEX(レシピ一覧!I:I,MATCH(使用レシピ!$B168,レシピ一覧!$A:$A,0))) &amp;""</f>
        <v/>
      </c>
      <c r="K168" s="85" t="str">
        <f>IFERROR((IF($B168 = "","",INDEX(レシピ一覧!J:J,MATCH(使用レシピ!$B168,レシピ一覧!$A:$A,0)))&amp;"")*1,"")</f>
        <v/>
      </c>
      <c r="L168" s="85" t="str">
        <f>IFERROR((IF($B168 = "","",INDEX(レシピ一覧!K:K,MATCH(使用レシピ!$B168,レシピ一覧!$A:$A,0)))&amp;"")*1,"")</f>
        <v/>
      </c>
      <c r="M168" s="85" t="str">
        <f>IFERROR((IF($B168 = "","",INDEX(レシピ一覧!L:L,MATCH(使用レシピ!$B168,レシピ一覧!$A:$A,0)))&amp;"")*1,"")</f>
        <v/>
      </c>
      <c r="N168" s="85" t="str">
        <f>IFERROR((IF($B168 = "","",INDEX(レシピ一覧!M:M,MATCH(使用レシピ!$B168,レシピ一覧!$A:$A,0)))&amp;"")*1,"")</f>
        <v/>
      </c>
      <c r="O168" s="85" t="str">
        <f>IFERROR((IF($B168 = "","",INDEX(レシピ一覧!N:N,MATCH(使用レシピ!$B168,レシピ一覧!$A:$A,0)))&amp;"")*1,"")</f>
        <v/>
      </c>
      <c r="P168" s="85" t="str">
        <f>IFERROR((IF($B168 = "","",INDEX(レシピ一覧!O:O,MATCH(使用レシピ!$B168,レシピ一覧!$A:$A,0)))&amp;"")*1,"")</f>
        <v/>
      </c>
      <c r="Q168" s="86" t="str">
        <f>IFERROR((IF($B168 = "","",INDEX(レシピ一覧!P:P,MATCH(使用レシピ!$B168,レシピ一覧!$A:$A,0)))&amp;"")*1,"")</f>
        <v/>
      </c>
    </row>
    <row r="169" spans="1:17" x14ac:dyDescent="0.4">
      <c r="A169" s="84">
        <v>1</v>
      </c>
      <c r="B169" s="21" t="str">
        <f t="shared" si="2"/>
        <v/>
      </c>
      <c r="C169" s="81" t="str">
        <f>IF(COUNTIF(レシピ一覧!$B:$B,ROW()-1),ROW()-1,"")</f>
        <v/>
      </c>
      <c r="D169" s="15" t="str">
        <f>IF(E169="","",COUNTIF(レシピ一覧!$D$2:$D$500,使用レシピ!E169))</f>
        <v/>
      </c>
      <c r="E169" s="57" t="str">
        <f>IFERROR( INDEX(レシピ一覧!$D:$D,MATCH(使用レシピ!$C169,レシピ一覧!$B:$B,0))&amp;"","")</f>
        <v/>
      </c>
      <c r="F169" s="85" t="str">
        <f>IF($B169 = "","",INDEX(レシピ一覧!E:E,MATCH(使用レシピ!$B169,レシピ一覧!$A:$A,0))) &amp;""</f>
        <v/>
      </c>
      <c r="G169" s="85" t="str">
        <f>IF($B169 = "","",INDEX(レシピ一覧!F:F,MATCH(使用レシピ!$B169,レシピ一覧!$A:$A,0))) &amp;""</f>
        <v/>
      </c>
      <c r="H169" s="85" t="str">
        <f>IF($B169 = "","",INDEX(レシピ一覧!G:G,MATCH(使用レシピ!$B169,レシピ一覧!$A:$A,0))) &amp;""</f>
        <v/>
      </c>
      <c r="I169" s="85" t="str">
        <f>IF($B169 = "","",INDEX(レシピ一覧!H:H,MATCH(使用レシピ!$B169,レシピ一覧!$A:$A,0))) &amp;""</f>
        <v/>
      </c>
      <c r="J169" s="85" t="str">
        <f>IF($B169 = "","",INDEX(レシピ一覧!I:I,MATCH(使用レシピ!$B169,レシピ一覧!$A:$A,0))) &amp;""</f>
        <v/>
      </c>
      <c r="K169" s="85" t="str">
        <f>IFERROR((IF($B169 = "","",INDEX(レシピ一覧!J:J,MATCH(使用レシピ!$B169,レシピ一覧!$A:$A,0)))&amp;"")*1,"")</f>
        <v/>
      </c>
      <c r="L169" s="85" t="str">
        <f>IFERROR((IF($B169 = "","",INDEX(レシピ一覧!K:K,MATCH(使用レシピ!$B169,レシピ一覧!$A:$A,0)))&amp;"")*1,"")</f>
        <v/>
      </c>
      <c r="M169" s="85" t="str">
        <f>IFERROR((IF($B169 = "","",INDEX(レシピ一覧!L:L,MATCH(使用レシピ!$B169,レシピ一覧!$A:$A,0)))&amp;"")*1,"")</f>
        <v/>
      </c>
      <c r="N169" s="85" t="str">
        <f>IFERROR((IF($B169 = "","",INDEX(レシピ一覧!M:M,MATCH(使用レシピ!$B169,レシピ一覧!$A:$A,0)))&amp;"")*1,"")</f>
        <v/>
      </c>
      <c r="O169" s="85" t="str">
        <f>IFERROR((IF($B169 = "","",INDEX(レシピ一覧!N:N,MATCH(使用レシピ!$B169,レシピ一覧!$A:$A,0)))&amp;"")*1,"")</f>
        <v/>
      </c>
      <c r="P169" s="85" t="str">
        <f>IFERROR((IF($B169 = "","",INDEX(レシピ一覧!O:O,MATCH(使用レシピ!$B169,レシピ一覧!$A:$A,0)))&amp;"")*1,"")</f>
        <v/>
      </c>
      <c r="Q169" s="86" t="str">
        <f>IFERROR((IF($B169 = "","",INDEX(レシピ一覧!P:P,MATCH(使用レシピ!$B169,レシピ一覧!$A:$A,0)))&amp;"")*1,"")</f>
        <v/>
      </c>
    </row>
    <row r="170" spans="1:17" x14ac:dyDescent="0.4">
      <c r="A170" s="84">
        <v>1</v>
      </c>
      <c r="B170" s="21" t="str">
        <f t="shared" si="2"/>
        <v/>
      </c>
      <c r="C170" s="81" t="str">
        <f>IF(COUNTIF(レシピ一覧!$B:$B,ROW()-1),ROW()-1,"")</f>
        <v/>
      </c>
      <c r="D170" s="15" t="str">
        <f>IF(E170="","",COUNTIF(レシピ一覧!$D$2:$D$500,使用レシピ!E170))</f>
        <v/>
      </c>
      <c r="E170" s="57" t="str">
        <f>IFERROR( INDEX(レシピ一覧!$D:$D,MATCH(使用レシピ!$C170,レシピ一覧!$B:$B,0))&amp;"","")</f>
        <v/>
      </c>
      <c r="F170" s="85" t="str">
        <f>IF($B170 = "","",INDEX(レシピ一覧!E:E,MATCH(使用レシピ!$B170,レシピ一覧!$A:$A,0))) &amp;""</f>
        <v/>
      </c>
      <c r="G170" s="85" t="str">
        <f>IF($B170 = "","",INDEX(レシピ一覧!F:F,MATCH(使用レシピ!$B170,レシピ一覧!$A:$A,0))) &amp;""</f>
        <v/>
      </c>
      <c r="H170" s="85" t="str">
        <f>IF($B170 = "","",INDEX(レシピ一覧!G:G,MATCH(使用レシピ!$B170,レシピ一覧!$A:$A,0))) &amp;""</f>
        <v/>
      </c>
      <c r="I170" s="85" t="str">
        <f>IF($B170 = "","",INDEX(レシピ一覧!H:H,MATCH(使用レシピ!$B170,レシピ一覧!$A:$A,0))) &amp;""</f>
        <v/>
      </c>
      <c r="J170" s="85" t="str">
        <f>IF($B170 = "","",INDEX(レシピ一覧!I:I,MATCH(使用レシピ!$B170,レシピ一覧!$A:$A,0))) &amp;""</f>
        <v/>
      </c>
      <c r="K170" s="85" t="str">
        <f>IFERROR((IF($B170 = "","",INDEX(レシピ一覧!J:J,MATCH(使用レシピ!$B170,レシピ一覧!$A:$A,0)))&amp;"")*1,"")</f>
        <v/>
      </c>
      <c r="L170" s="85" t="str">
        <f>IFERROR((IF($B170 = "","",INDEX(レシピ一覧!K:K,MATCH(使用レシピ!$B170,レシピ一覧!$A:$A,0)))&amp;"")*1,"")</f>
        <v/>
      </c>
      <c r="M170" s="85" t="str">
        <f>IFERROR((IF($B170 = "","",INDEX(レシピ一覧!L:L,MATCH(使用レシピ!$B170,レシピ一覧!$A:$A,0)))&amp;"")*1,"")</f>
        <v/>
      </c>
      <c r="N170" s="85" t="str">
        <f>IFERROR((IF($B170 = "","",INDEX(レシピ一覧!M:M,MATCH(使用レシピ!$B170,レシピ一覧!$A:$A,0)))&amp;"")*1,"")</f>
        <v/>
      </c>
      <c r="O170" s="85" t="str">
        <f>IFERROR((IF($B170 = "","",INDEX(レシピ一覧!N:N,MATCH(使用レシピ!$B170,レシピ一覧!$A:$A,0)))&amp;"")*1,"")</f>
        <v/>
      </c>
      <c r="P170" s="85" t="str">
        <f>IFERROR((IF($B170 = "","",INDEX(レシピ一覧!O:O,MATCH(使用レシピ!$B170,レシピ一覧!$A:$A,0)))&amp;"")*1,"")</f>
        <v/>
      </c>
      <c r="Q170" s="86" t="str">
        <f>IFERROR((IF($B170 = "","",INDEX(レシピ一覧!P:P,MATCH(使用レシピ!$B170,レシピ一覧!$A:$A,0)))&amp;"")*1,"")</f>
        <v/>
      </c>
    </row>
    <row r="171" spans="1:17" x14ac:dyDescent="0.4">
      <c r="A171" s="84">
        <v>1</v>
      </c>
      <c r="B171" s="21" t="str">
        <f t="shared" si="2"/>
        <v/>
      </c>
      <c r="C171" s="81" t="str">
        <f>IF(COUNTIF(レシピ一覧!$B:$B,ROW()-1),ROW()-1,"")</f>
        <v/>
      </c>
      <c r="D171" s="15" t="str">
        <f>IF(E171="","",COUNTIF(レシピ一覧!$D$2:$D$500,使用レシピ!E171))</f>
        <v/>
      </c>
      <c r="E171" s="57" t="str">
        <f>IFERROR( INDEX(レシピ一覧!$D:$D,MATCH(使用レシピ!$C171,レシピ一覧!$B:$B,0))&amp;"","")</f>
        <v/>
      </c>
      <c r="F171" s="85" t="str">
        <f>IF($B171 = "","",INDEX(レシピ一覧!E:E,MATCH(使用レシピ!$B171,レシピ一覧!$A:$A,0))) &amp;""</f>
        <v/>
      </c>
      <c r="G171" s="85" t="str">
        <f>IF($B171 = "","",INDEX(レシピ一覧!F:F,MATCH(使用レシピ!$B171,レシピ一覧!$A:$A,0))) &amp;""</f>
        <v/>
      </c>
      <c r="H171" s="85" t="str">
        <f>IF($B171 = "","",INDEX(レシピ一覧!G:G,MATCH(使用レシピ!$B171,レシピ一覧!$A:$A,0))) &amp;""</f>
        <v/>
      </c>
      <c r="I171" s="85" t="str">
        <f>IF($B171 = "","",INDEX(レシピ一覧!H:H,MATCH(使用レシピ!$B171,レシピ一覧!$A:$A,0))) &amp;""</f>
        <v/>
      </c>
      <c r="J171" s="85" t="str">
        <f>IF($B171 = "","",INDEX(レシピ一覧!I:I,MATCH(使用レシピ!$B171,レシピ一覧!$A:$A,0))) &amp;""</f>
        <v/>
      </c>
      <c r="K171" s="85" t="str">
        <f>IFERROR((IF($B171 = "","",INDEX(レシピ一覧!J:J,MATCH(使用レシピ!$B171,レシピ一覧!$A:$A,0)))&amp;"")*1,"")</f>
        <v/>
      </c>
      <c r="L171" s="85" t="str">
        <f>IFERROR((IF($B171 = "","",INDEX(レシピ一覧!K:K,MATCH(使用レシピ!$B171,レシピ一覧!$A:$A,0)))&amp;"")*1,"")</f>
        <v/>
      </c>
      <c r="M171" s="85" t="str">
        <f>IFERROR((IF($B171 = "","",INDEX(レシピ一覧!L:L,MATCH(使用レシピ!$B171,レシピ一覧!$A:$A,0)))&amp;"")*1,"")</f>
        <v/>
      </c>
      <c r="N171" s="85" t="str">
        <f>IFERROR((IF($B171 = "","",INDEX(レシピ一覧!M:M,MATCH(使用レシピ!$B171,レシピ一覧!$A:$A,0)))&amp;"")*1,"")</f>
        <v/>
      </c>
      <c r="O171" s="85" t="str">
        <f>IFERROR((IF($B171 = "","",INDEX(レシピ一覧!N:N,MATCH(使用レシピ!$B171,レシピ一覧!$A:$A,0)))&amp;"")*1,"")</f>
        <v/>
      </c>
      <c r="P171" s="85" t="str">
        <f>IFERROR((IF($B171 = "","",INDEX(レシピ一覧!O:O,MATCH(使用レシピ!$B171,レシピ一覧!$A:$A,0)))&amp;"")*1,"")</f>
        <v/>
      </c>
      <c r="Q171" s="86" t="str">
        <f>IFERROR((IF($B171 = "","",INDEX(レシピ一覧!P:P,MATCH(使用レシピ!$B171,レシピ一覧!$A:$A,0)))&amp;"")*1,"")</f>
        <v/>
      </c>
    </row>
    <row r="172" spans="1:17" x14ac:dyDescent="0.4">
      <c r="A172" s="84">
        <v>1</v>
      </c>
      <c r="B172" s="21" t="str">
        <f t="shared" si="2"/>
        <v/>
      </c>
      <c r="C172" s="81" t="str">
        <f>IF(COUNTIF(レシピ一覧!$B:$B,ROW()-1),ROW()-1,"")</f>
        <v/>
      </c>
      <c r="D172" s="15" t="str">
        <f>IF(E172="","",COUNTIF(レシピ一覧!$D$2:$D$500,使用レシピ!E172))</f>
        <v/>
      </c>
      <c r="E172" s="57" t="str">
        <f>IFERROR( INDEX(レシピ一覧!$D:$D,MATCH(使用レシピ!$C172,レシピ一覧!$B:$B,0))&amp;"","")</f>
        <v/>
      </c>
      <c r="F172" s="85" t="str">
        <f>IF($B172 = "","",INDEX(レシピ一覧!E:E,MATCH(使用レシピ!$B172,レシピ一覧!$A:$A,0))) &amp;""</f>
        <v/>
      </c>
      <c r="G172" s="85" t="str">
        <f>IF($B172 = "","",INDEX(レシピ一覧!F:F,MATCH(使用レシピ!$B172,レシピ一覧!$A:$A,0))) &amp;""</f>
        <v/>
      </c>
      <c r="H172" s="85" t="str">
        <f>IF($B172 = "","",INDEX(レシピ一覧!G:G,MATCH(使用レシピ!$B172,レシピ一覧!$A:$A,0))) &amp;""</f>
        <v/>
      </c>
      <c r="I172" s="85" t="str">
        <f>IF($B172 = "","",INDEX(レシピ一覧!H:H,MATCH(使用レシピ!$B172,レシピ一覧!$A:$A,0))) &amp;""</f>
        <v/>
      </c>
      <c r="J172" s="85" t="str">
        <f>IF($B172 = "","",INDEX(レシピ一覧!I:I,MATCH(使用レシピ!$B172,レシピ一覧!$A:$A,0))) &amp;""</f>
        <v/>
      </c>
      <c r="K172" s="85" t="str">
        <f>IFERROR((IF($B172 = "","",INDEX(レシピ一覧!J:J,MATCH(使用レシピ!$B172,レシピ一覧!$A:$A,0)))&amp;"")*1,"")</f>
        <v/>
      </c>
      <c r="L172" s="85" t="str">
        <f>IFERROR((IF($B172 = "","",INDEX(レシピ一覧!K:K,MATCH(使用レシピ!$B172,レシピ一覧!$A:$A,0)))&amp;"")*1,"")</f>
        <v/>
      </c>
      <c r="M172" s="85" t="str">
        <f>IFERROR((IF($B172 = "","",INDEX(レシピ一覧!L:L,MATCH(使用レシピ!$B172,レシピ一覧!$A:$A,0)))&amp;"")*1,"")</f>
        <v/>
      </c>
      <c r="N172" s="85" t="str">
        <f>IFERROR((IF($B172 = "","",INDEX(レシピ一覧!M:M,MATCH(使用レシピ!$B172,レシピ一覧!$A:$A,0)))&amp;"")*1,"")</f>
        <v/>
      </c>
      <c r="O172" s="85" t="str">
        <f>IFERROR((IF($B172 = "","",INDEX(レシピ一覧!N:N,MATCH(使用レシピ!$B172,レシピ一覧!$A:$A,0)))&amp;"")*1,"")</f>
        <v/>
      </c>
      <c r="P172" s="85" t="str">
        <f>IFERROR((IF($B172 = "","",INDEX(レシピ一覧!O:O,MATCH(使用レシピ!$B172,レシピ一覧!$A:$A,0)))&amp;"")*1,"")</f>
        <v/>
      </c>
      <c r="Q172" s="86" t="str">
        <f>IFERROR((IF($B172 = "","",INDEX(レシピ一覧!P:P,MATCH(使用レシピ!$B172,レシピ一覧!$A:$A,0)))&amp;"")*1,"")</f>
        <v/>
      </c>
    </row>
    <row r="173" spans="1:17" x14ac:dyDescent="0.4">
      <c r="A173" s="84">
        <v>1</v>
      </c>
      <c r="B173" s="21" t="str">
        <f t="shared" si="2"/>
        <v/>
      </c>
      <c r="C173" s="81" t="str">
        <f>IF(COUNTIF(レシピ一覧!$B:$B,ROW()-1),ROW()-1,"")</f>
        <v/>
      </c>
      <c r="D173" s="15" t="str">
        <f>IF(E173="","",COUNTIF(レシピ一覧!$D$2:$D$500,使用レシピ!E173))</f>
        <v/>
      </c>
      <c r="E173" s="57" t="str">
        <f>IFERROR( INDEX(レシピ一覧!$D:$D,MATCH(使用レシピ!$C173,レシピ一覧!$B:$B,0))&amp;"","")</f>
        <v/>
      </c>
      <c r="F173" s="85" t="str">
        <f>IF($B173 = "","",INDEX(レシピ一覧!E:E,MATCH(使用レシピ!$B173,レシピ一覧!$A:$A,0))) &amp;""</f>
        <v/>
      </c>
      <c r="G173" s="85" t="str">
        <f>IF($B173 = "","",INDEX(レシピ一覧!F:F,MATCH(使用レシピ!$B173,レシピ一覧!$A:$A,0))) &amp;""</f>
        <v/>
      </c>
      <c r="H173" s="85" t="str">
        <f>IF($B173 = "","",INDEX(レシピ一覧!G:G,MATCH(使用レシピ!$B173,レシピ一覧!$A:$A,0))) &amp;""</f>
        <v/>
      </c>
      <c r="I173" s="85" t="str">
        <f>IF($B173 = "","",INDEX(レシピ一覧!H:H,MATCH(使用レシピ!$B173,レシピ一覧!$A:$A,0))) &amp;""</f>
        <v/>
      </c>
      <c r="J173" s="85" t="str">
        <f>IF($B173 = "","",INDEX(レシピ一覧!I:I,MATCH(使用レシピ!$B173,レシピ一覧!$A:$A,0))) &amp;""</f>
        <v/>
      </c>
      <c r="K173" s="85" t="str">
        <f>IFERROR((IF($B173 = "","",INDEX(レシピ一覧!J:J,MATCH(使用レシピ!$B173,レシピ一覧!$A:$A,0)))&amp;"")*1,"")</f>
        <v/>
      </c>
      <c r="L173" s="85" t="str">
        <f>IFERROR((IF($B173 = "","",INDEX(レシピ一覧!K:K,MATCH(使用レシピ!$B173,レシピ一覧!$A:$A,0)))&amp;"")*1,"")</f>
        <v/>
      </c>
      <c r="M173" s="85" t="str">
        <f>IFERROR((IF($B173 = "","",INDEX(レシピ一覧!L:L,MATCH(使用レシピ!$B173,レシピ一覧!$A:$A,0)))&amp;"")*1,"")</f>
        <v/>
      </c>
      <c r="N173" s="85" t="str">
        <f>IFERROR((IF($B173 = "","",INDEX(レシピ一覧!M:M,MATCH(使用レシピ!$B173,レシピ一覧!$A:$A,0)))&amp;"")*1,"")</f>
        <v/>
      </c>
      <c r="O173" s="85" t="str">
        <f>IFERROR((IF($B173 = "","",INDEX(レシピ一覧!N:N,MATCH(使用レシピ!$B173,レシピ一覧!$A:$A,0)))&amp;"")*1,"")</f>
        <v/>
      </c>
      <c r="P173" s="85" t="str">
        <f>IFERROR((IF($B173 = "","",INDEX(レシピ一覧!O:O,MATCH(使用レシピ!$B173,レシピ一覧!$A:$A,0)))&amp;"")*1,"")</f>
        <v/>
      </c>
      <c r="Q173" s="86" t="str">
        <f>IFERROR((IF($B173 = "","",INDEX(レシピ一覧!P:P,MATCH(使用レシピ!$B173,レシピ一覧!$A:$A,0)))&amp;"")*1,"")</f>
        <v/>
      </c>
    </row>
    <row r="174" spans="1:17" x14ac:dyDescent="0.4">
      <c r="A174" s="84">
        <v>1</v>
      </c>
      <c r="B174" s="21" t="str">
        <f t="shared" si="2"/>
        <v/>
      </c>
      <c r="C174" s="81" t="str">
        <f>IF(COUNTIF(レシピ一覧!$B:$B,ROW()-1),ROW()-1,"")</f>
        <v/>
      </c>
      <c r="D174" s="15" t="str">
        <f>IF(E174="","",COUNTIF(レシピ一覧!$D$2:$D$500,使用レシピ!E174))</f>
        <v/>
      </c>
      <c r="E174" s="57" t="str">
        <f>IFERROR( INDEX(レシピ一覧!$D:$D,MATCH(使用レシピ!$C174,レシピ一覧!$B:$B,0))&amp;"","")</f>
        <v/>
      </c>
      <c r="F174" s="85" t="str">
        <f>IF($B174 = "","",INDEX(レシピ一覧!E:E,MATCH(使用レシピ!$B174,レシピ一覧!$A:$A,0))) &amp;""</f>
        <v/>
      </c>
      <c r="G174" s="85" t="str">
        <f>IF($B174 = "","",INDEX(レシピ一覧!F:F,MATCH(使用レシピ!$B174,レシピ一覧!$A:$A,0))) &amp;""</f>
        <v/>
      </c>
      <c r="H174" s="85" t="str">
        <f>IF($B174 = "","",INDEX(レシピ一覧!G:G,MATCH(使用レシピ!$B174,レシピ一覧!$A:$A,0))) &amp;""</f>
        <v/>
      </c>
      <c r="I174" s="85" t="str">
        <f>IF($B174 = "","",INDEX(レシピ一覧!H:H,MATCH(使用レシピ!$B174,レシピ一覧!$A:$A,0))) &amp;""</f>
        <v/>
      </c>
      <c r="J174" s="85" t="str">
        <f>IF($B174 = "","",INDEX(レシピ一覧!I:I,MATCH(使用レシピ!$B174,レシピ一覧!$A:$A,0))) &amp;""</f>
        <v/>
      </c>
      <c r="K174" s="85" t="str">
        <f>IFERROR((IF($B174 = "","",INDEX(レシピ一覧!J:J,MATCH(使用レシピ!$B174,レシピ一覧!$A:$A,0)))&amp;"")*1,"")</f>
        <v/>
      </c>
      <c r="L174" s="85" t="str">
        <f>IFERROR((IF($B174 = "","",INDEX(レシピ一覧!K:K,MATCH(使用レシピ!$B174,レシピ一覧!$A:$A,0)))&amp;"")*1,"")</f>
        <v/>
      </c>
      <c r="M174" s="85" t="str">
        <f>IFERROR((IF($B174 = "","",INDEX(レシピ一覧!L:L,MATCH(使用レシピ!$B174,レシピ一覧!$A:$A,0)))&amp;"")*1,"")</f>
        <v/>
      </c>
      <c r="N174" s="85" t="str">
        <f>IFERROR((IF($B174 = "","",INDEX(レシピ一覧!M:M,MATCH(使用レシピ!$B174,レシピ一覧!$A:$A,0)))&amp;"")*1,"")</f>
        <v/>
      </c>
      <c r="O174" s="85" t="str">
        <f>IFERROR((IF($B174 = "","",INDEX(レシピ一覧!N:N,MATCH(使用レシピ!$B174,レシピ一覧!$A:$A,0)))&amp;"")*1,"")</f>
        <v/>
      </c>
      <c r="P174" s="85" t="str">
        <f>IFERROR((IF($B174 = "","",INDEX(レシピ一覧!O:O,MATCH(使用レシピ!$B174,レシピ一覧!$A:$A,0)))&amp;"")*1,"")</f>
        <v/>
      </c>
      <c r="Q174" s="86" t="str">
        <f>IFERROR((IF($B174 = "","",INDEX(レシピ一覧!P:P,MATCH(使用レシピ!$B174,レシピ一覧!$A:$A,0)))&amp;"")*1,"")</f>
        <v/>
      </c>
    </row>
    <row r="175" spans="1:17" x14ac:dyDescent="0.4">
      <c r="A175" s="84">
        <v>1</v>
      </c>
      <c r="B175" s="21" t="str">
        <f t="shared" si="2"/>
        <v/>
      </c>
      <c r="C175" s="81" t="str">
        <f>IF(COUNTIF(レシピ一覧!$B:$B,ROW()-1),ROW()-1,"")</f>
        <v/>
      </c>
      <c r="D175" s="15" t="str">
        <f>IF(E175="","",COUNTIF(レシピ一覧!$D$2:$D$500,使用レシピ!E175))</f>
        <v/>
      </c>
      <c r="E175" s="57" t="str">
        <f>IFERROR( INDEX(レシピ一覧!$D:$D,MATCH(使用レシピ!$C175,レシピ一覧!$B:$B,0))&amp;"","")</f>
        <v/>
      </c>
      <c r="F175" s="85" t="str">
        <f>IF($B175 = "","",INDEX(レシピ一覧!E:E,MATCH(使用レシピ!$B175,レシピ一覧!$A:$A,0))) &amp;""</f>
        <v/>
      </c>
      <c r="G175" s="85" t="str">
        <f>IF($B175 = "","",INDEX(レシピ一覧!F:F,MATCH(使用レシピ!$B175,レシピ一覧!$A:$A,0))) &amp;""</f>
        <v/>
      </c>
      <c r="H175" s="85" t="str">
        <f>IF($B175 = "","",INDEX(レシピ一覧!G:G,MATCH(使用レシピ!$B175,レシピ一覧!$A:$A,0))) &amp;""</f>
        <v/>
      </c>
      <c r="I175" s="85" t="str">
        <f>IF($B175 = "","",INDEX(レシピ一覧!H:H,MATCH(使用レシピ!$B175,レシピ一覧!$A:$A,0))) &amp;""</f>
        <v/>
      </c>
      <c r="J175" s="85" t="str">
        <f>IF($B175 = "","",INDEX(レシピ一覧!I:I,MATCH(使用レシピ!$B175,レシピ一覧!$A:$A,0))) &amp;""</f>
        <v/>
      </c>
      <c r="K175" s="85" t="str">
        <f>IFERROR((IF($B175 = "","",INDEX(レシピ一覧!J:J,MATCH(使用レシピ!$B175,レシピ一覧!$A:$A,0)))&amp;"")*1,"")</f>
        <v/>
      </c>
      <c r="L175" s="85" t="str">
        <f>IFERROR((IF($B175 = "","",INDEX(レシピ一覧!K:K,MATCH(使用レシピ!$B175,レシピ一覧!$A:$A,0)))&amp;"")*1,"")</f>
        <v/>
      </c>
      <c r="M175" s="85" t="str">
        <f>IFERROR((IF($B175 = "","",INDEX(レシピ一覧!L:L,MATCH(使用レシピ!$B175,レシピ一覧!$A:$A,0)))&amp;"")*1,"")</f>
        <v/>
      </c>
      <c r="N175" s="85" t="str">
        <f>IFERROR((IF($B175 = "","",INDEX(レシピ一覧!M:M,MATCH(使用レシピ!$B175,レシピ一覧!$A:$A,0)))&amp;"")*1,"")</f>
        <v/>
      </c>
      <c r="O175" s="85" t="str">
        <f>IFERROR((IF($B175 = "","",INDEX(レシピ一覧!N:N,MATCH(使用レシピ!$B175,レシピ一覧!$A:$A,0)))&amp;"")*1,"")</f>
        <v/>
      </c>
      <c r="P175" s="85" t="str">
        <f>IFERROR((IF($B175 = "","",INDEX(レシピ一覧!O:O,MATCH(使用レシピ!$B175,レシピ一覧!$A:$A,0)))&amp;"")*1,"")</f>
        <v/>
      </c>
      <c r="Q175" s="86" t="str">
        <f>IFERROR((IF($B175 = "","",INDEX(レシピ一覧!P:P,MATCH(使用レシピ!$B175,レシピ一覧!$A:$A,0)))&amp;"")*1,"")</f>
        <v/>
      </c>
    </row>
    <row r="176" spans="1:17" x14ac:dyDescent="0.4">
      <c r="A176" s="84">
        <v>1</v>
      </c>
      <c r="B176" s="21" t="str">
        <f t="shared" si="2"/>
        <v/>
      </c>
      <c r="C176" s="81" t="str">
        <f>IF(COUNTIF(レシピ一覧!$B:$B,ROW()-1),ROW()-1,"")</f>
        <v/>
      </c>
      <c r="D176" s="15" t="str">
        <f>IF(E176="","",COUNTIF(レシピ一覧!$D$2:$D$500,使用レシピ!E176))</f>
        <v/>
      </c>
      <c r="E176" s="57" t="str">
        <f>IFERROR( INDEX(レシピ一覧!$D:$D,MATCH(使用レシピ!$C176,レシピ一覧!$B:$B,0))&amp;"","")</f>
        <v/>
      </c>
      <c r="F176" s="85" t="str">
        <f>IF($B176 = "","",INDEX(レシピ一覧!E:E,MATCH(使用レシピ!$B176,レシピ一覧!$A:$A,0))) &amp;""</f>
        <v/>
      </c>
      <c r="G176" s="85" t="str">
        <f>IF($B176 = "","",INDEX(レシピ一覧!F:F,MATCH(使用レシピ!$B176,レシピ一覧!$A:$A,0))) &amp;""</f>
        <v/>
      </c>
      <c r="H176" s="85" t="str">
        <f>IF($B176 = "","",INDEX(レシピ一覧!G:G,MATCH(使用レシピ!$B176,レシピ一覧!$A:$A,0))) &amp;""</f>
        <v/>
      </c>
      <c r="I176" s="85" t="str">
        <f>IF($B176 = "","",INDEX(レシピ一覧!H:H,MATCH(使用レシピ!$B176,レシピ一覧!$A:$A,0))) &amp;""</f>
        <v/>
      </c>
      <c r="J176" s="85" t="str">
        <f>IF($B176 = "","",INDEX(レシピ一覧!I:I,MATCH(使用レシピ!$B176,レシピ一覧!$A:$A,0))) &amp;""</f>
        <v/>
      </c>
      <c r="K176" s="85" t="str">
        <f>IFERROR((IF($B176 = "","",INDEX(レシピ一覧!J:J,MATCH(使用レシピ!$B176,レシピ一覧!$A:$A,0)))&amp;"")*1,"")</f>
        <v/>
      </c>
      <c r="L176" s="85" t="str">
        <f>IFERROR((IF($B176 = "","",INDEX(レシピ一覧!K:K,MATCH(使用レシピ!$B176,レシピ一覧!$A:$A,0)))&amp;"")*1,"")</f>
        <v/>
      </c>
      <c r="M176" s="85" t="str">
        <f>IFERROR((IF($B176 = "","",INDEX(レシピ一覧!L:L,MATCH(使用レシピ!$B176,レシピ一覧!$A:$A,0)))&amp;"")*1,"")</f>
        <v/>
      </c>
      <c r="N176" s="85" t="str">
        <f>IFERROR((IF($B176 = "","",INDEX(レシピ一覧!M:M,MATCH(使用レシピ!$B176,レシピ一覧!$A:$A,0)))&amp;"")*1,"")</f>
        <v/>
      </c>
      <c r="O176" s="85" t="str">
        <f>IFERROR((IF($B176 = "","",INDEX(レシピ一覧!N:N,MATCH(使用レシピ!$B176,レシピ一覧!$A:$A,0)))&amp;"")*1,"")</f>
        <v/>
      </c>
      <c r="P176" s="85" t="str">
        <f>IFERROR((IF($B176 = "","",INDEX(レシピ一覧!O:O,MATCH(使用レシピ!$B176,レシピ一覧!$A:$A,0)))&amp;"")*1,"")</f>
        <v/>
      </c>
      <c r="Q176" s="86" t="str">
        <f>IFERROR((IF($B176 = "","",INDEX(レシピ一覧!P:P,MATCH(使用レシピ!$B176,レシピ一覧!$A:$A,0)))&amp;"")*1,"")</f>
        <v/>
      </c>
    </row>
    <row r="177" spans="1:17" x14ac:dyDescent="0.4">
      <c r="A177" s="84">
        <v>1</v>
      </c>
      <c r="B177" s="21" t="str">
        <f t="shared" si="2"/>
        <v/>
      </c>
      <c r="C177" s="81" t="str">
        <f>IF(COUNTIF(レシピ一覧!$B:$B,ROW()-1),ROW()-1,"")</f>
        <v/>
      </c>
      <c r="D177" s="15" t="str">
        <f>IF(E177="","",COUNTIF(レシピ一覧!$D$2:$D$500,使用レシピ!E177))</f>
        <v/>
      </c>
      <c r="E177" s="57" t="str">
        <f>IFERROR( INDEX(レシピ一覧!$D:$D,MATCH(使用レシピ!$C177,レシピ一覧!$B:$B,0))&amp;"","")</f>
        <v/>
      </c>
      <c r="F177" s="85" t="str">
        <f>IF($B177 = "","",INDEX(レシピ一覧!E:E,MATCH(使用レシピ!$B177,レシピ一覧!$A:$A,0))) &amp;""</f>
        <v/>
      </c>
      <c r="G177" s="85" t="str">
        <f>IF($B177 = "","",INDEX(レシピ一覧!F:F,MATCH(使用レシピ!$B177,レシピ一覧!$A:$A,0))) &amp;""</f>
        <v/>
      </c>
      <c r="H177" s="85" t="str">
        <f>IF($B177 = "","",INDEX(レシピ一覧!G:G,MATCH(使用レシピ!$B177,レシピ一覧!$A:$A,0))) &amp;""</f>
        <v/>
      </c>
      <c r="I177" s="85" t="str">
        <f>IF($B177 = "","",INDEX(レシピ一覧!H:H,MATCH(使用レシピ!$B177,レシピ一覧!$A:$A,0))) &amp;""</f>
        <v/>
      </c>
      <c r="J177" s="85" t="str">
        <f>IF($B177 = "","",INDEX(レシピ一覧!I:I,MATCH(使用レシピ!$B177,レシピ一覧!$A:$A,0))) &amp;""</f>
        <v/>
      </c>
      <c r="K177" s="85" t="str">
        <f>IFERROR((IF($B177 = "","",INDEX(レシピ一覧!J:J,MATCH(使用レシピ!$B177,レシピ一覧!$A:$A,0)))&amp;"")*1,"")</f>
        <v/>
      </c>
      <c r="L177" s="85" t="str">
        <f>IFERROR((IF($B177 = "","",INDEX(レシピ一覧!K:K,MATCH(使用レシピ!$B177,レシピ一覧!$A:$A,0)))&amp;"")*1,"")</f>
        <v/>
      </c>
      <c r="M177" s="85" t="str">
        <f>IFERROR((IF($B177 = "","",INDEX(レシピ一覧!L:L,MATCH(使用レシピ!$B177,レシピ一覧!$A:$A,0)))&amp;"")*1,"")</f>
        <v/>
      </c>
      <c r="N177" s="85" t="str">
        <f>IFERROR((IF($B177 = "","",INDEX(レシピ一覧!M:M,MATCH(使用レシピ!$B177,レシピ一覧!$A:$A,0)))&amp;"")*1,"")</f>
        <v/>
      </c>
      <c r="O177" s="85" t="str">
        <f>IFERROR((IF($B177 = "","",INDEX(レシピ一覧!N:N,MATCH(使用レシピ!$B177,レシピ一覧!$A:$A,0)))&amp;"")*1,"")</f>
        <v/>
      </c>
      <c r="P177" s="85" t="str">
        <f>IFERROR((IF($B177 = "","",INDEX(レシピ一覧!O:O,MATCH(使用レシピ!$B177,レシピ一覧!$A:$A,0)))&amp;"")*1,"")</f>
        <v/>
      </c>
      <c r="Q177" s="86" t="str">
        <f>IFERROR((IF($B177 = "","",INDEX(レシピ一覧!P:P,MATCH(使用レシピ!$B177,レシピ一覧!$A:$A,0)))&amp;"")*1,"")</f>
        <v/>
      </c>
    </row>
    <row r="178" spans="1:17" x14ac:dyDescent="0.4">
      <c r="A178" s="84">
        <v>1</v>
      </c>
      <c r="B178" s="21" t="str">
        <f t="shared" si="2"/>
        <v/>
      </c>
      <c r="C178" s="81" t="str">
        <f>IF(COUNTIF(レシピ一覧!$B:$B,ROW()-1),ROW()-1,"")</f>
        <v/>
      </c>
      <c r="D178" s="15" t="str">
        <f>IF(E178="","",COUNTIF(レシピ一覧!$D$2:$D$500,使用レシピ!E178))</f>
        <v/>
      </c>
      <c r="E178" s="57" t="str">
        <f>IFERROR( INDEX(レシピ一覧!$D:$D,MATCH(使用レシピ!$C178,レシピ一覧!$B:$B,0))&amp;"","")</f>
        <v/>
      </c>
      <c r="F178" s="85" t="str">
        <f>IF($B178 = "","",INDEX(レシピ一覧!E:E,MATCH(使用レシピ!$B178,レシピ一覧!$A:$A,0))) &amp;""</f>
        <v/>
      </c>
      <c r="G178" s="85" t="str">
        <f>IF($B178 = "","",INDEX(レシピ一覧!F:F,MATCH(使用レシピ!$B178,レシピ一覧!$A:$A,0))) &amp;""</f>
        <v/>
      </c>
      <c r="H178" s="85" t="str">
        <f>IF($B178 = "","",INDEX(レシピ一覧!G:G,MATCH(使用レシピ!$B178,レシピ一覧!$A:$A,0))) &amp;""</f>
        <v/>
      </c>
      <c r="I178" s="85" t="str">
        <f>IF($B178 = "","",INDEX(レシピ一覧!H:H,MATCH(使用レシピ!$B178,レシピ一覧!$A:$A,0))) &amp;""</f>
        <v/>
      </c>
      <c r="J178" s="85" t="str">
        <f>IF($B178 = "","",INDEX(レシピ一覧!I:I,MATCH(使用レシピ!$B178,レシピ一覧!$A:$A,0))) &amp;""</f>
        <v/>
      </c>
      <c r="K178" s="85" t="str">
        <f>IFERROR((IF($B178 = "","",INDEX(レシピ一覧!J:J,MATCH(使用レシピ!$B178,レシピ一覧!$A:$A,0)))&amp;"")*1,"")</f>
        <v/>
      </c>
      <c r="L178" s="85" t="str">
        <f>IFERROR((IF($B178 = "","",INDEX(レシピ一覧!K:K,MATCH(使用レシピ!$B178,レシピ一覧!$A:$A,0)))&amp;"")*1,"")</f>
        <v/>
      </c>
      <c r="M178" s="85" t="str">
        <f>IFERROR((IF($B178 = "","",INDEX(レシピ一覧!L:L,MATCH(使用レシピ!$B178,レシピ一覧!$A:$A,0)))&amp;"")*1,"")</f>
        <v/>
      </c>
      <c r="N178" s="85" t="str">
        <f>IFERROR((IF($B178 = "","",INDEX(レシピ一覧!M:M,MATCH(使用レシピ!$B178,レシピ一覧!$A:$A,0)))&amp;"")*1,"")</f>
        <v/>
      </c>
      <c r="O178" s="85" t="str">
        <f>IFERROR((IF($B178 = "","",INDEX(レシピ一覧!N:N,MATCH(使用レシピ!$B178,レシピ一覧!$A:$A,0)))&amp;"")*1,"")</f>
        <v/>
      </c>
      <c r="P178" s="85" t="str">
        <f>IFERROR((IF($B178 = "","",INDEX(レシピ一覧!O:O,MATCH(使用レシピ!$B178,レシピ一覧!$A:$A,0)))&amp;"")*1,"")</f>
        <v/>
      </c>
      <c r="Q178" s="86" t="str">
        <f>IFERROR((IF($B178 = "","",INDEX(レシピ一覧!P:P,MATCH(使用レシピ!$B178,レシピ一覧!$A:$A,0)))&amp;"")*1,"")</f>
        <v/>
      </c>
    </row>
    <row r="179" spans="1:17" x14ac:dyDescent="0.4">
      <c r="A179" s="84">
        <v>1</v>
      </c>
      <c r="B179" s="21" t="str">
        <f t="shared" si="2"/>
        <v/>
      </c>
      <c r="C179" s="81" t="str">
        <f>IF(COUNTIF(レシピ一覧!$B:$B,ROW()-1),ROW()-1,"")</f>
        <v/>
      </c>
      <c r="D179" s="15" t="str">
        <f>IF(E179="","",COUNTIF(レシピ一覧!$D$2:$D$500,使用レシピ!E179))</f>
        <v/>
      </c>
      <c r="E179" s="57" t="str">
        <f>IFERROR( INDEX(レシピ一覧!$D:$D,MATCH(使用レシピ!$C179,レシピ一覧!$B:$B,0))&amp;"","")</f>
        <v/>
      </c>
      <c r="F179" s="85" t="str">
        <f>IF($B179 = "","",INDEX(レシピ一覧!E:E,MATCH(使用レシピ!$B179,レシピ一覧!$A:$A,0))) &amp;""</f>
        <v/>
      </c>
      <c r="G179" s="85" t="str">
        <f>IF($B179 = "","",INDEX(レシピ一覧!F:F,MATCH(使用レシピ!$B179,レシピ一覧!$A:$A,0))) &amp;""</f>
        <v/>
      </c>
      <c r="H179" s="85" t="str">
        <f>IF($B179 = "","",INDEX(レシピ一覧!G:G,MATCH(使用レシピ!$B179,レシピ一覧!$A:$A,0))) &amp;""</f>
        <v/>
      </c>
      <c r="I179" s="85" t="str">
        <f>IF($B179 = "","",INDEX(レシピ一覧!H:H,MATCH(使用レシピ!$B179,レシピ一覧!$A:$A,0))) &amp;""</f>
        <v/>
      </c>
      <c r="J179" s="85" t="str">
        <f>IF($B179 = "","",INDEX(レシピ一覧!I:I,MATCH(使用レシピ!$B179,レシピ一覧!$A:$A,0))) &amp;""</f>
        <v/>
      </c>
      <c r="K179" s="85" t="str">
        <f>IFERROR((IF($B179 = "","",INDEX(レシピ一覧!J:J,MATCH(使用レシピ!$B179,レシピ一覧!$A:$A,0)))&amp;"")*1,"")</f>
        <v/>
      </c>
      <c r="L179" s="85" t="str">
        <f>IFERROR((IF($B179 = "","",INDEX(レシピ一覧!K:K,MATCH(使用レシピ!$B179,レシピ一覧!$A:$A,0)))&amp;"")*1,"")</f>
        <v/>
      </c>
      <c r="M179" s="85" t="str">
        <f>IFERROR((IF($B179 = "","",INDEX(レシピ一覧!L:L,MATCH(使用レシピ!$B179,レシピ一覧!$A:$A,0)))&amp;"")*1,"")</f>
        <v/>
      </c>
      <c r="N179" s="85" t="str">
        <f>IFERROR((IF($B179 = "","",INDEX(レシピ一覧!M:M,MATCH(使用レシピ!$B179,レシピ一覧!$A:$A,0)))&amp;"")*1,"")</f>
        <v/>
      </c>
      <c r="O179" s="85" t="str">
        <f>IFERROR((IF($B179 = "","",INDEX(レシピ一覧!N:N,MATCH(使用レシピ!$B179,レシピ一覧!$A:$A,0)))&amp;"")*1,"")</f>
        <v/>
      </c>
      <c r="P179" s="85" t="str">
        <f>IFERROR((IF($B179 = "","",INDEX(レシピ一覧!O:O,MATCH(使用レシピ!$B179,レシピ一覧!$A:$A,0)))&amp;"")*1,"")</f>
        <v/>
      </c>
      <c r="Q179" s="86" t="str">
        <f>IFERROR((IF($B179 = "","",INDEX(レシピ一覧!P:P,MATCH(使用レシピ!$B179,レシピ一覧!$A:$A,0)))&amp;"")*1,"")</f>
        <v/>
      </c>
    </row>
    <row r="180" spans="1:17" x14ac:dyDescent="0.4">
      <c r="A180" s="84">
        <v>1</v>
      </c>
      <c r="B180" s="21" t="str">
        <f t="shared" si="2"/>
        <v/>
      </c>
      <c r="C180" s="81" t="str">
        <f>IF(COUNTIF(レシピ一覧!$B:$B,ROW()-1),ROW()-1,"")</f>
        <v/>
      </c>
      <c r="D180" s="15" t="str">
        <f>IF(E180="","",COUNTIF(レシピ一覧!$D$2:$D$500,使用レシピ!E180))</f>
        <v/>
      </c>
      <c r="E180" s="57" t="str">
        <f>IFERROR( INDEX(レシピ一覧!$D:$D,MATCH(使用レシピ!$C180,レシピ一覧!$B:$B,0))&amp;"","")</f>
        <v/>
      </c>
      <c r="F180" s="85" t="str">
        <f>IF($B180 = "","",INDEX(レシピ一覧!E:E,MATCH(使用レシピ!$B180,レシピ一覧!$A:$A,0))) &amp;""</f>
        <v/>
      </c>
      <c r="G180" s="85" t="str">
        <f>IF($B180 = "","",INDEX(レシピ一覧!F:F,MATCH(使用レシピ!$B180,レシピ一覧!$A:$A,0))) &amp;""</f>
        <v/>
      </c>
      <c r="H180" s="85" t="str">
        <f>IF($B180 = "","",INDEX(レシピ一覧!G:G,MATCH(使用レシピ!$B180,レシピ一覧!$A:$A,0))) &amp;""</f>
        <v/>
      </c>
      <c r="I180" s="85" t="str">
        <f>IF($B180 = "","",INDEX(レシピ一覧!H:H,MATCH(使用レシピ!$B180,レシピ一覧!$A:$A,0))) &amp;""</f>
        <v/>
      </c>
      <c r="J180" s="85" t="str">
        <f>IF($B180 = "","",INDEX(レシピ一覧!I:I,MATCH(使用レシピ!$B180,レシピ一覧!$A:$A,0))) &amp;""</f>
        <v/>
      </c>
      <c r="K180" s="85" t="str">
        <f>IFERROR((IF($B180 = "","",INDEX(レシピ一覧!J:J,MATCH(使用レシピ!$B180,レシピ一覧!$A:$A,0)))&amp;"")*1,"")</f>
        <v/>
      </c>
      <c r="L180" s="85" t="str">
        <f>IFERROR((IF($B180 = "","",INDEX(レシピ一覧!K:K,MATCH(使用レシピ!$B180,レシピ一覧!$A:$A,0)))&amp;"")*1,"")</f>
        <v/>
      </c>
      <c r="M180" s="85" t="str">
        <f>IFERROR((IF($B180 = "","",INDEX(レシピ一覧!L:L,MATCH(使用レシピ!$B180,レシピ一覧!$A:$A,0)))&amp;"")*1,"")</f>
        <v/>
      </c>
      <c r="N180" s="85" t="str">
        <f>IFERROR((IF($B180 = "","",INDEX(レシピ一覧!M:M,MATCH(使用レシピ!$B180,レシピ一覧!$A:$A,0)))&amp;"")*1,"")</f>
        <v/>
      </c>
      <c r="O180" s="85" t="str">
        <f>IFERROR((IF($B180 = "","",INDEX(レシピ一覧!N:N,MATCH(使用レシピ!$B180,レシピ一覧!$A:$A,0)))&amp;"")*1,"")</f>
        <v/>
      </c>
      <c r="P180" s="85" t="str">
        <f>IFERROR((IF($B180 = "","",INDEX(レシピ一覧!O:O,MATCH(使用レシピ!$B180,レシピ一覧!$A:$A,0)))&amp;"")*1,"")</f>
        <v/>
      </c>
      <c r="Q180" s="86" t="str">
        <f>IFERROR((IF($B180 = "","",INDEX(レシピ一覧!P:P,MATCH(使用レシピ!$B180,レシピ一覧!$A:$A,0)))&amp;"")*1,"")</f>
        <v/>
      </c>
    </row>
    <row r="181" spans="1:17" x14ac:dyDescent="0.4">
      <c r="A181" s="84">
        <v>1</v>
      </c>
      <c r="B181" s="21" t="str">
        <f t="shared" si="2"/>
        <v/>
      </c>
      <c r="C181" s="81" t="str">
        <f>IF(COUNTIF(レシピ一覧!$B:$B,ROW()-1),ROW()-1,"")</f>
        <v/>
      </c>
      <c r="D181" s="15" t="str">
        <f>IF(E181="","",COUNTIF(レシピ一覧!$D$2:$D$500,使用レシピ!E181))</f>
        <v/>
      </c>
      <c r="E181" s="57" t="str">
        <f>IFERROR( INDEX(レシピ一覧!$D:$D,MATCH(使用レシピ!$C181,レシピ一覧!$B:$B,0))&amp;"","")</f>
        <v/>
      </c>
      <c r="F181" s="85" t="str">
        <f>IF($B181 = "","",INDEX(レシピ一覧!E:E,MATCH(使用レシピ!$B181,レシピ一覧!$A:$A,0))) &amp;""</f>
        <v/>
      </c>
      <c r="G181" s="85" t="str">
        <f>IF($B181 = "","",INDEX(レシピ一覧!F:F,MATCH(使用レシピ!$B181,レシピ一覧!$A:$A,0))) &amp;""</f>
        <v/>
      </c>
      <c r="H181" s="85" t="str">
        <f>IF($B181 = "","",INDEX(レシピ一覧!G:G,MATCH(使用レシピ!$B181,レシピ一覧!$A:$A,0))) &amp;""</f>
        <v/>
      </c>
      <c r="I181" s="85" t="str">
        <f>IF($B181 = "","",INDEX(レシピ一覧!H:H,MATCH(使用レシピ!$B181,レシピ一覧!$A:$A,0))) &amp;""</f>
        <v/>
      </c>
      <c r="J181" s="85" t="str">
        <f>IF($B181 = "","",INDEX(レシピ一覧!I:I,MATCH(使用レシピ!$B181,レシピ一覧!$A:$A,0))) &amp;""</f>
        <v/>
      </c>
      <c r="K181" s="85" t="str">
        <f>IFERROR((IF($B181 = "","",INDEX(レシピ一覧!J:J,MATCH(使用レシピ!$B181,レシピ一覧!$A:$A,0)))&amp;"")*1,"")</f>
        <v/>
      </c>
      <c r="L181" s="85" t="str">
        <f>IFERROR((IF($B181 = "","",INDEX(レシピ一覧!K:K,MATCH(使用レシピ!$B181,レシピ一覧!$A:$A,0)))&amp;"")*1,"")</f>
        <v/>
      </c>
      <c r="M181" s="85" t="str">
        <f>IFERROR((IF($B181 = "","",INDEX(レシピ一覧!L:L,MATCH(使用レシピ!$B181,レシピ一覧!$A:$A,0)))&amp;"")*1,"")</f>
        <v/>
      </c>
      <c r="N181" s="85" t="str">
        <f>IFERROR((IF($B181 = "","",INDEX(レシピ一覧!M:M,MATCH(使用レシピ!$B181,レシピ一覧!$A:$A,0)))&amp;"")*1,"")</f>
        <v/>
      </c>
      <c r="O181" s="85" t="str">
        <f>IFERROR((IF($B181 = "","",INDEX(レシピ一覧!N:N,MATCH(使用レシピ!$B181,レシピ一覧!$A:$A,0)))&amp;"")*1,"")</f>
        <v/>
      </c>
      <c r="P181" s="85" t="str">
        <f>IFERROR((IF($B181 = "","",INDEX(レシピ一覧!O:O,MATCH(使用レシピ!$B181,レシピ一覧!$A:$A,0)))&amp;"")*1,"")</f>
        <v/>
      </c>
      <c r="Q181" s="86" t="str">
        <f>IFERROR((IF($B181 = "","",INDEX(レシピ一覧!P:P,MATCH(使用レシピ!$B181,レシピ一覧!$A:$A,0)))&amp;"")*1,"")</f>
        <v/>
      </c>
    </row>
    <row r="182" spans="1:17" x14ac:dyDescent="0.4">
      <c r="A182" s="84">
        <v>1</v>
      </c>
      <c r="B182" s="21" t="str">
        <f t="shared" si="2"/>
        <v/>
      </c>
      <c r="C182" s="81" t="str">
        <f>IF(COUNTIF(レシピ一覧!$B:$B,ROW()-1),ROW()-1,"")</f>
        <v/>
      </c>
      <c r="D182" s="15" t="str">
        <f>IF(E182="","",COUNTIF(レシピ一覧!$D$2:$D$500,使用レシピ!E182))</f>
        <v/>
      </c>
      <c r="E182" s="57" t="str">
        <f>IFERROR( INDEX(レシピ一覧!$D:$D,MATCH(使用レシピ!$C182,レシピ一覧!$B:$B,0))&amp;"","")</f>
        <v/>
      </c>
      <c r="F182" s="85" t="str">
        <f>IF($B182 = "","",INDEX(レシピ一覧!E:E,MATCH(使用レシピ!$B182,レシピ一覧!$A:$A,0))) &amp;""</f>
        <v/>
      </c>
      <c r="G182" s="85" t="str">
        <f>IF($B182 = "","",INDEX(レシピ一覧!F:F,MATCH(使用レシピ!$B182,レシピ一覧!$A:$A,0))) &amp;""</f>
        <v/>
      </c>
      <c r="H182" s="85" t="str">
        <f>IF($B182 = "","",INDEX(レシピ一覧!G:G,MATCH(使用レシピ!$B182,レシピ一覧!$A:$A,0))) &amp;""</f>
        <v/>
      </c>
      <c r="I182" s="85" t="str">
        <f>IF($B182 = "","",INDEX(レシピ一覧!H:H,MATCH(使用レシピ!$B182,レシピ一覧!$A:$A,0))) &amp;""</f>
        <v/>
      </c>
      <c r="J182" s="85" t="str">
        <f>IF($B182 = "","",INDEX(レシピ一覧!I:I,MATCH(使用レシピ!$B182,レシピ一覧!$A:$A,0))) &amp;""</f>
        <v/>
      </c>
      <c r="K182" s="85" t="str">
        <f>IFERROR((IF($B182 = "","",INDEX(レシピ一覧!J:J,MATCH(使用レシピ!$B182,レシピ一覧!$A:$A,0)))&amp;"")*1,"")</f>
        <v/>
      </c>
      <c r="L182" s="85" t="str">
        <f>IFERROR((IF($B182 = "","",INDEX(レシピ一覧!K:K,MATCH(使用レシピ!$B182,レシピ一覧!$A:$A,0)))&amp;"")*1,"")</f>
        <v/>
      </c>
      <c r="M182" s="85" t="str">
        <f>IFERROR((IF($B182 = "","",INDEX(レシピ一覧!L:L,MATCH(使用レシピ!$B182,レシピ一覧!$A:$A,0)))&amp;"")*1,"")</f>
        <v/>
      </c>
      <c r="N182" s="85" t="str">
        <f>IFERROR((IF($B182 = "","",INDEX(レシピ一覧!M:M,MATCH(使用レシピ!$B182,レシピ一覧!$A:$A,0)))&amp;"")*1,"")</f>
        <v/>
      </c>
      <c r="O182" s="85" t="str">
        <f>IFERROR((IF($B182 = "","",INDEX(レシピ一覧!N:N,MATCH(使用レシピ!$B182,レシピ一覧!$A:$A,0)))&amp;"")*1,"")</f>
        <v/>
      </c>
      <c r="P182" s="85" t="str">
        <f>IFERROR((IF($B182 = "","",INDEX(レシピ一覧!O:O,MATCH(使用レシピ!$B182,レシピ一覧!$A:$A,0)))&amp;"")*1,"")</f>
        <v/>
      </c>
      <c r="Q182" s="86" t="str">
        <f>IFERROR((IF($B182 = "","",INDEX(レシピ一覧!P:P,MATCH(使用レシピ!$B182,レシピ一覧!$A:$A,0)))&amp;"")*1,"")</f>
        <v/>
      </c>
    </row>
    <row r="183" spans="1:17" x14ac:dyDescent="0.4">
      <c r="A183" s="84">
        <v>1</v>
      </c>
      <c r="B183" s="21" t="str">
        <f t="shared" si="2"/>
        <v/>
      </c>
      <c r="C183" s="81" t="str">
        <f>IF(COUNTIF(レシピ一覧!$B:$B,ROW()-1),ROW()-1,"")</f>
        <v/>
      </c>
      <c r="D183" s="15" t="str">
        <f>IF(E183="","",COUNTIF(レシピ一覧!$D$2:$D$500,使用レシピ!E183))</f>
        <v/>
      </c>
      <c r="E183" s="57" t="str">
        <f>IFERROR( INDEX(レシピ一覧!$D:$D,MATCH(使用レシピ!$C183,レシピ一覧!$B:$B,0))&amp;"","")</f>
        <v/>
      </c>
      <c r="F183" s="85" t="str">
        <f>IF($B183 = "","",INDEX(レシピ一覧!E:E,MATCH(使用レシピ!$B183,レシピ一覧!$A:$A,0))) &amp;""</f>
        <v/>
      </c>
      <c r="G183" s="85" t="str">
        <f>IF($B183 = "","",INDEX(レシピ一覧!F:F,MATCH(使用レシピ!$B183,レシピ一覧!$A:$A,0))) &amp;""</f>
        <v/>
      </c>
      <c r="H183" s="85" t="str">
        <f>IF($B183 = "","",INDEX(レシピ一覧!G:G,MATCH(使用レシピ!$B183,レシピ一覧!$A:$A,0))) &amp;""</f>
        <v/>
      </c>
      <c r="I183" s="85" t="str">
        <f>IF($B183 = "","",INDEX(レシピ一覧!H:H,MATCH(使用レシピ!$B183,レシピ一覧!$A:$A,0))) &amp;""</f>
        <v/>
      </c>
      <c r="J183" s="85" t="str">
        <f>IF($B183 = "","",INDEX(レシピ一覧!I:I,MATCH(使用レシピ!$B183,レシピ一覧!$A:$A,0))) &amp;""</f>
        <v/>
      </c>
      <c r="K183" s="85" t="str">
        <f>IFERROR((IF($B183 = "","",INDEX(レシピ一覧!J:J,MATCH(使用レシピ!$B183,レシピ一覧!$A:$A,0)))&amp;"")*1,"")</f>
        <v/>
      </c>
      <c r="L183" s="85" t="str">
        <f>IFERROR((IF($B183 = "","",INDEX(レシピ一覧!K:K,MATCH(使用レシピ!$B183,レシピ一覧!$A:$A,0)))&amp;"")*1,"")</f>
        <v/>
      </c>
      <c r="M183" s="85" t="str">
        <f>IFERROR((IF($B183 = "","",INDEX(レシピ一覧!L:L,MATCH(使用レシピ!$B183,レシピ一覧!$A:$A,0)))&amp;"")*1,"")</f>
        <v/>
      </c>
      <c r="N183" s="85" t="str">
        <f>IFERROR((IF($B183 = "","",INDEX(レシピ一覧!M:M,MATCH(使用レシピ!$B183,レシピ一覧!$A:$A,0)))&amp;"")*1,"")</f>
        <v/>
      </c>
      <c r="O183" s="85" t="str">
        <f>IFERROR((IF($B183 = "","",INDEX(レシピ一覧!N:N,MATCH(使用レシピ!$B183,レシピ一覧!$A:$A,0)))&amp;"")*1,"")</f>
        <v/>
      </c>
      <c r="P183" s="85" t="str">
        <f>IFERROR((IF($B183 = "","",INDEX(レシピ一覧!O:O,MATCH(使用レシピ!$B183,レシピ一覧!$A:$A,0)))&amp;"")*1,"")</f>
        <v/>
      </c>
      <c r="Q183" s="86" t="str">
        <f>IFERROR((IF($B183 = "","",INDEX(レシピ一覧!P:P,MATCH(使用レシピ!$B183,レシピ一覧!$A:$A,0)))&amp;"")*1,"")</f>
        <v/>
      </c>
    </row>
    <row r="184" spans="1:17" x14ac:dyDescent="0.4">
      <c r="A184" s="84">
        <v>1</v>
      </c>
      <c r="B184" s="21" t="str">
        <f t="shared" si="2"/>
        <v/>
      </c>
      <c r="C184" s="81" t="str">
        <f>IF(COUNTIF(レシピ一覧!$B:$B,ROW()-1),ROW()-1,"")</f>
        <v/>
      </c>
      <c r="D184" s="15" t="str">
        <f>IF(E184="","",COUNTIF(レシピ一覧!$D$2:$D$500,使用レシピ!E184))</f>
        <v/>
      </c>
      <c r="E184" s="57" t="str">
        <f>IFERROR( INDEX(レシピ一覧!$D:$D,MATCH(使用レシピ!$C184,レシピ一覧!$B:$B,0))&amp;"","")</f>
        <v/>
      </c>
      <c r="F184" s="85" t="str">
        <f>IF($B184 = "","",INDEX(レシピ一覧!E:E,MATCH(使用レシピ!$B184,レシピ一覧!$A:$A,0))) &amp;""</f>
        <v/>
      </c>
      <c r="G184" s="85" t="str">
        <f>IF($B184 = "","",INDEX(レシピ一覧!F:F,MATCH(使用レシピ!$B184,レシピ一覧!$A:$A,0))) &amp;""</f>
        <v/>
      </c>
      <c r="H184" s="85" t="str">
        <f>IF($B184 = "","",INDEX(レシピ一覧!G:G,MATCH(使用レシピ!$B184,レシピ一覧!$A:$A,0))) &amp;""</f>
        <v/>
      </c>
      <c r="I184" s="85" t="str">
        <f>IF($B184 = "","",INDEX(レシピ一覧!H:H,MATCH(使用レシピ!$B184,レシピ一覧!$A:$A,0))) &amp;""</f>
        <v/>
      </c>
      <c r="J184" s="85" t="str">
        <f>IF($B184 = "","",INDEX(レシピ一覧!I:I,MATCH(使用レシピ!$B184,レシピ一覧!$A:$A,0))) &amp;""</f>
        <v/>
      </c>
      <c r="K184" s="85" t="str">
        <f>IFERROR((IF($B184 = "","",INDEX(レシピ一覧!J:J,MATCH(使用レシピ!$B184,レシピ一覧!$A:$A,0)))&amp;"")*1,"")</f>
        <v/>
      </c>
      <c r="L184" s="85" t="str">
        <f>IFERROR((IF($B184 = "","",INDEX(レシピ一覧!K:K,MATCH(使用レシピ!$B184,レシピ一覧!$A:$A,0)))&amp;"")*1,"")</f>
        <v/>
      </c>
      <c r="M184" s="85" t="str">
        <f>IFERROR((IF($B184 = "","",INDEX(レシピ一覧!L:L,MATCH(使用レシピ!$B184,レシピ一覧!$A:$A,0)))&amp;"")*1,"")</f>
        <v/>
      </c>
      <c r="N184" s="85" t="str">
        <f>IFERROR((IF($B184 = "","",INDEX(レシピ一覧!M:M,MATCH(使用レシピ!$B184,レシピ一覧!$A:$A,0)))&amp;"")*1,"")</f>
        <v/>
      </c>
      <c r="O184" s="85" t="str">
        <f>IFERROR((IF($B184 = "","",INDEX(レシピ一覧!N:N,MATCH(使用レシピ!$B184,レシピ一覧!$A:$A,0)))&amp;"")*1,"")</f>
        <v/>
      </c>
      <c r="P184" s="85" t="str">
        <f>IFERROR((IF($B184 = "","",INDEX(レシピ一覧!O:O,MATCH(使用レシピ!$B184,レシピ一覧!$A:$A,0)))&amp;"")*1,"")</f>
        <v/>
      </c>
      <c r="Q184" s="86" t="str">
        <f>IFERROR((IF($B184 = "","",INDEX(レシピ一覧!P:P,MATCH(使用レシピ!$B184,レシピ一覧!$A:$A,0)))&amp;"")*1,"")</f>
        <v/>
      </c>
    </row>
    <row r="185" spans="1:17" x14ac:dyDescent="0.4">
      <c r="A185" s="84">
        <v>1</v>
      </c>
      <c r="B185" s="21" t="str">
        <f t="shared" si="2"/>
        <v/>
      </c>
      <c r="C185" s="81" t="str">
        <f>IF(COUNTIF(レシピ一覧!$B:$B,ROW()-1),ROW()-1,"")</f>
        <v/>
      </c>
      <c r="D185" s="15" t="str">
        <f>IF(E185="","",COUNTIF(レシピ一覧!$D$2:$D$500,使用レシピ!E185))</f>
        <v/>
      </c>
      <c r="E185" s="57" t="str">
        <f>IFERROR( INDEX(レシピ一覧!$D:$D,MATCH(使用レシピ!$C185,レシピ一覧!$B:$B,0))&amp;"","")</f>
        <v/>
      </c>
      <c r="F185" s="85" t="str">
        <f>IF($B185 = "","",INDEX(レシピ一覧!E:E,MATCH(使用レシピ!$B185,レシピ一覧!$A:$A,0))) &amp;""</f>
        <v/>
      </c>
      <c r="G185" s="85" t="str">
        <f>IF($B185 = "","",INDEX(レシピ一覧!F:F,MATCH(使用レシピ!$B185,レシピ一覧!$A:$A,0))) &amp;""</f>
        <v/>
      </c>
      <c r="H185" s="85" t="str">
        <f>IF($B185 = "","",INDEX(レシピ一覧!G:G,MATCH(使用レシピ!$B185,レシピ一覧!$A:$A,0))) &amp;""</f>
        <v/>
      </c>
      <c r="I185" s="85" t="str">
        <f>IF($B185 = "","",INDEX(レシピ一覧!H:H,MATCH(使用レシピ!$B185,レシピ一覧!$A:$A,0))) &amp;""</f>
        <v/>
      </c>
      <c r="J185" s="85" t="str">
        <f>IF($B185 = "","",INDEX(レシピ一覧!I:I,MATCH(使用レシピ!$B185,レシピ一覧!$A:$A,0))) &amp;""</f>
        <v/>
      </c>
      <c r="K185" s="85" t="str">
        <f>IFERROR((IF($B185 = "","",INDEX(レシピ一覧!J:J,MATCH(使用レシピ!$B185,レシピ一覧!$A:$A,0)))&amp;"")*1,"")</f>
        <v/>
      </c>
      <c r="L185" s="85" t="str">
        <f>IFERROR((IF($B185 = "","",INDEX(レシピ一覧!K:K,MATCH(使用レシピ!$B185,レシピ一覧!$A:$A,0)))&amp;"")*1,"")</f>
        <v/>
      </c>
      <c r="M185" s="85" t="str">
        <f>IFERROR((IF($B185 = "","",INDEX(レシピ一覧!L:L,MATCH(使用レシピ!$B185,レシピ一覧!$A:$A,0)))&amp;"")*1,"")</f>
        <v/>
      </c>
      <c r="N185" s="85" t="str">
        <f>IFERROR((IF($B185 = "","",INDEX(レシピ一覧!M:M,MATCH(使用レシピ!$B185,レシピ一覧!$A:$A,0)))&amp;"")*1,"")</f>
        <v/>
      </c>
      <c r="O185" s="85" t="str">
        <f>IFERROR((IF($B185 = "","",INDEX(レシピ一覧!N:N,MATCH(使用レシピ!$B185,レシピ一覧!$A:$A,0)))&amp;"")*1,"")</f>
        <v/>
      </c>
      <c r="P185" s="85" t="str">
        <f>IFERROR((IF($B185 = "","",INDEX(レシピ一覧!O:O,MATCH(使用レシピ!$B185,レシピ一覧!$A:$A,0)))&amp;"")*1,"")</f>
        <v/>
      </c>
      <c r="Q185" s="86" t="str">
        <f>IFERROR((IF($B185 = "","",INDEX(レシピ一覧!P:P,MATCH(使用レシピ!$B185,レシピ一覧!$A:$A,0)))&amp;"")*1,"")</f>
        <v/>
      </c>
    </row>
    <row r="186" spans="1:17" x14ac:dyDescent="0.4">
      <c r="A186" s="84">
        <v>1</v>
      </c>
      <c r="B186" s="21" t="str">
        <f t="shared" si="2"/>
        <v/>
      </c>
      <c r="C186" s="81" t="str">
        <f>IF(COUNTIF(レシピ一覧!$B:$B,ROW()-1),ROW()-1,"")</f>
        <v/>
      </c>
      <c r="D186" s="15" t="str">
        <f>IF(E186="","",COUNTIF(レシピ一覧!$D$2:$D$500,使用レシピ!E186))</f>
        <v/>
      </c>
      <c r="E186" s="57" t="str">
        <f>IFERROR( INDEX(レシピ一覧!$D:$D,MATCH(使用レシピ!$C186,レシピ一覧!$B:$B,0))&amp;"","")</f>
        <v/>
      </c>
      <c r="F186" s="85" t="str">
        <f>IF($B186 = "","",INDEX(レシピ一覧!E:E,MATCH(使用レシピ!$B186,レシピ一覧!$A:$A,0))) &amp;""</f>
        <v/>
      </c>
      <c r="G186" s="85" t="str">
        <f>IF($B186 = "","",INDEX(レシピ一覧!F:F,MATCH(使用レシピ!$B186,レシピ一覧!$A:$A,0))) &amp;""</f>
        <v/>
      </c>
      <c r="H186" s="85" t="str">
        <f>IF($B186 = "","",INDEX(レシピ一覧!G:G,MATCH(使用レシピ!$B186,レシピ一覧!$A:$A,0))) &amp;""</f>
        <v/>
      </c>
      <c r="I186" s="85" t="str">
        <f>IF($B186 = "","",INDEX(レシピ一覧!H:H,MATCH(使用レシピ!$B186,レシピ一覧!$A:$A,0))) &amp;""</f>
        <v/>
      </c>
      <c r="J186" s="85" t="str">
        <f>IF($B186 = "","",INDEX(レシピ一覧!I:I,MATCH(使用レシピ!$B186,レシピ一覧!$A:$A,0))) &amp;""</f>
        <v/>
      </c>
      <c r="K186" s="85" t="str">
        <f>IFERROR((IF($B186 = "","",INDEX(レシピ一覧!J:J,MATCH(使用レシピ!$B186,レシピ一覧!$A:$A,0)))&amp;"")*1,"")</f>
        <v/>
      </c>
      <c r="L186" s="85" t="str">
        <f>IFERROR((IF($B186 = "","",INDEX(レシピ一覧!K:K,MATCH(使用レシピ!$B186,レシピ一覧!$A:$A,0)))&amp;"")*1,"")</f>
        <v/>
      </c>
      <c r="M186" s="85" t="str">
        <f>IFERROR((IF($B186 = "","",INDEX(レシピ一覧!L:L,MATCH(使用レシピ!$B186,レシピ一覧!$A:$A,0)))&amp;"")*1,"")</f>
        <v/>
      </c>
      <c r="N186" s="85" t="str">
        <f>IFERROR((IF($B186 = "","",INDEX(レシピ一覧!M:M,MATCH(使用レシピ!$B186,レシピ一覧!$A:$A,0)))&amp;"")*1,"")</f>
        <v/>
      </c>
      <c r="O186" s="85" t="str">
        <f>IFERROR((IF($B186 = "","",INDEX(レシピ一覧!N:N,MATCH(使用レシピ!$B186,レシピ一覧!$A:$A,0)))&amp;"")*1,"")</f>
        <v/>
      </c>
      <c r="P186" s="85" t="str">
        <f>IFERROR((IF($B186 = "","",INDEX(レシピ一覧!O:O,MATCH(使用レシピ!$B186,レシピ一覧!$A:$A,0)))&amp;"")*1,"")</f>
        <v/>
      </c>
      <c r="Q186" s="86" t="str">
        <f>IFERROR((IF($B186 = "","",INDEX(レシピ一覧!P:P,MATCH(使用レシピ!$B186,レシピ一覧!$A:$A,0)))&amp;"")*1,"")</f>
        <v/>
      </c>
    </row>
    <row r="187" spans="1:17" x14ac:dyDescent="0.4">
      <c r="A187" s="84">
        <v>1</v>
      </c>
      <c r="B187" s="21" t="str">
        <f t="shared" si="2"/>
        <v/>
      </c>
      <c r="C187" s="81" t="str">
        <f>IF(COUNTIF(レシピ一覧!$B:$B,ROW()-1),ROW()-1,"")</f>
        <v/>
      </c>
      <c r="D187" s="15" t="str">
        <f>IF(E187="","",COUNTIF(レシピ一覧!$D$2:$D$500,使用レシピ!E187))</f>
        <v/>
      </c>
      <c r="E187" s="57" t="str">
        <f>IFERROR( INDEX(レシピ一覧!$D:$D,MATCH(使用レシピ!$C187,レシピ一覧!$B:$B,0))&amp;"","")</f>
        <v/>
      </c>
      <c r="F187" s="85" t="str">
        <f>IF($B187 = "","",INDEX(レシピ一覧!E:E,MATCH(使用レシピ!$B187,レシピ一覧!$A:$A,0))) &amp;""</f>
        <v/>
      </c>
      <c r="G187" s="85" t="str">
        <f>IF($B187 = "","",INDEX(レシピ一覧!F:F,MATCH(使用レシピ!$B187,レシピ一覧!$A:$A,0))) &amp;""</f>
        <v/>
      </c>
      <c r="H187" s="85" t="str">
        <f>IF($B187 = "","",INDEX(レシピ一覧!G:G,MATCH(使用レシピ!$B187,レシピ一覧!$A:$A,0))) &amp;""</f>
        <v/>
      </c>
      <c r="I187" s="85" t="str">
        <f>IF($B187 = "","",INDEX(レシピ一覧!H:H,MATCH(使用レシピ!$B187,レシピ一覧!$A:$A,0))) &amp;""</f>
        <v/>
      </c>
      <c r="J187" s="85" t="str">
        <f>IF($B187 = "","",INDEX(レシピ一覧!I:I,MATCH(使用レシピ!$B187,レシピ一覧!$A:$A,0))) &amp;""</f>
        <v/>
      </c>
      <c r="K187" s="85" t="str">
        <f>IFERROR((IF($B187 = "","",INDEX(レシピ一覧!J:J,MATCH(使用レシピ!$B187,レシピ一覧!$A:$A,0)))&amp;"")*1,"")</f>
        <v/>
      </c>
      <c r="L187" s="85" t="str">
        <f>IFERROR((IF($B187 = "","",INDEX(レシピ一覧!K:K,MATCH(使用レシピ!$B187,レシピ一覧!$A:$A,0)))&amp;"")*1,"")</f>
        <v/>
      </c>
      <c r="M187" s="85" t="str">
        <f>IFERROR((IF($B187 = "","",INDEX(レシピ一覧!L:L,MATCH(使用レシピ!$B187,レシピ一覧!$A:$A,0)))&amp;"")*1,"")</f>
        <v/>
      </c>
      <c r="N187" s="85" t="str">
        <f>IFERROR((IF($B187 = "","",INDEX(レシピ一覧!M:M,MATCH(使用レシピ!$B187,レシピ一覧!$A:$A,0)))&amp;"")*1,"")</f>
        <v/>
      </c>
      <c r="O187" s="85" t="str">
        <f>IFERROR((IF($B187 = "","",INDEX(レシピ一覧!N:N,MATCH(使用レシピ!$B187,レシピ一覧!$A:$A,0)))&amp;"")*1,"")</f>
        <v/>
      </c>
      <c r="P187" s="85" t="str">
        <f>IFERROR((IF($B187 = "","",INDEX(レシピ一覧!O:O,MATCH(使用レシピ!$B187,レシピ一覧!$A:$A,0)))&amp;"")*1,"")</f>
        <v/>
      </c>
      <c r="Q187" s="86" t="str">
        <f>IFERROR((IF($B187 = "","",INDEX(レシピ一覧!P:P,MATCH(使用レシピ!$B187,レシピ一覧!$A:$A,0)))&amp;"")*1,"")</f>
        <v/>
      </c>
    </row>
    <row r="188" spans="1:17" x14ac:dyDescent="0.4">
      <c r="A188" s="84">
        <v>1</v>
      </c>
      <c r="B188" s="21" t="str">
        <f t="shared" si="2"/>
        <v/>
      </c>
      <c r="C188" s="81" t="str">
        <f>IF(COUNTIF(レシピ一覧!$B:$B,ROW()-1),ROW()-1,"")</f>
        <v/>
      </c>
      <c r="D188" s="15" t="str">
        <f>IF(E188="","",COUNTIF(レシピ一覧!$D$2:$D$500,使用レシピ!E188))</f>
        <v/>
      </c>
      <c r="E188" s="57" t="str">
        <f>IFERROR( INDEX(レシピ一覧!$D:$D,MATCH(使用レシピ!$C188,レシピ一覧!$B:$B,0))&amp;"","")</f>
        <v/>
      </c>
      <c r="F188" s="85" t="str">
        <f>IF($B188 = "","",INDEX(レシピ一覧!E:E,MATCH(使用レシピ!$B188,レシピ一覧!$A:$A,0))) &amp;""</f>
        <v/>
      </c>
      <c r="G188" s="85" t="str">
        <f>IF($B188 = "","",INDEX(レシピ一覧!F:F,MATCH(使用レシピ!$B188,レシピ一覧!$A:$A,0))) &amp;""</f>
        <v/>
      </c>
      <c r="H188" s="85" t="str">
        <f>IF($B188 = "","",INDEX(レシピ一覧!G:G,MATCH(使用レシピ!$B188,レシピ一覧!$A:$A,0))) &amp;""</f>
        <v/>
      </c>
      <c r="I188" s="85" t="str">
        <f>IF($B188 = "","",INDEX(レシピ一覧!H:H,MATCH(使用レシピ!$B188,レシピ一覧!$A:$A,0))) &amp;""</f>
        <v/>
      </c>
      <c r="J188" s="85" t="str">
        <f>IF($B188 = "","",INDEX(レシピ一覧!I:I,MATCH(使用レシピ!$B188,レシピ一覧!$A:$A,0))) &amp;""</f>
        <v/>
      </c>
      <c r="K188" s="85" t="str">
        <f>IFERROR((IF($B188 = "","",INDEX(レシピ一覧!J:J,MATCH(使用レシピ!$B188,レシピ一覧!$A:$A,0)))&amp;"")*1,"")</f>
        <v/>
      </c>
      <c r="L188" s="85" t="str">
        <f>IFERROR((IF($B188 = "","",INDEX(レシピ一覧!K:K,MATCH(使用レシピ!$B188,レシピ一覧!$A:$A,0)))&amp;"")*1,"")</f>
        <v/>
      </c>
      <c r="M188" s="85" t="str">
        <f>IFERROR((IF($B188 = "","",INDEX(レシピ一覧!L:L,MATCH(使用レシピ!$B188,レシピ一覧!$A:$A,0)))&amp;"")*1,"")</f>
        <v/>
      </c>
      <c r="N188" s="85" t="str">
        <f>IFERROR((IF($B188 = "","",INDEX(レシピ一覧!M:M,MATCH(使用レシピ!$B188,レシピ一覧!$A:$A,0)))&amp;"")*1,"")</f>
        <v/>
      </c>
      <c r="O188" s="85" t="str">
        <f>IFERROR((IF($B188 = "","",INDEX(レシピ一覧!N:N,MATCH(使用レシピ!$B188,レシピ一覧!$A:$A,0)))&amp;"")*1,"")</f>
        <v/>
      </c>
      <c r="P188" s="85" t="str">
        <f>IFERROR((IF($B188 = "","",INDEX(レシピ一覧!O:O,MATCH(使用レシピ!$B188,レシピ一覧!$A:$A,0)))&amp;"")*1,"")</f>
        <v/>
      </c>
      <c r="Q188" s="86" t="str">
        <f>IFERROR((IF($B188 = "","",INDEX(レシピ一覧!P:P,MATCH(使用レシピ!$B188,レシピ一覧!$A:$A,0)))&amp;"")*1,"")</f>
        <v/>
      </c>
    </row>
    <row r="189" spans="1:17" x14ac:dyDescent="0.4">
      <c r="A189" s="84">
        <v>1</v>
      </c>
      <c r="B189" s="21" t="str">
        <f t="shared" si="2"/>
        <v/>
      </c>
      <c r="C189" s="81" t="str">
        <f>IF(COUNTIF(レシピ一覧!$B:$B,ROW()-1),ROW()-1,"")</f>
        <v/>
      </c>
      <c r="D189" s="15" t="str">
        <f>IF(E189="","",COUNTIF(レシピ一覧!$D$2:$D$500,使用レシピ!E189))</f>
        <v/>
      </c>
      <c r="E189" s="57" t="str">
        <f>IFERROR( INDEX(レシピ一覧!$D:$D,MATCH(使用レシピ!$C189,レシピ一覧!$B:$B,0))&amp;"","")</f>
        <v/>
      </c>
      <c r="F189" s="85" t="str">
        <f>IF($B189 = "","",INDEX(レシピ一覧!E:E,MATCH(使用レシピ!$B189,レシピ一覧!$A:$A,0))) &amp;""</f>
        <v/>
      </c>
      <c r="G189" s="85" t="str">
        <f>IF($B189 = "","",INDEX(レシピ一覧!F:F,MATCH(使用レシピ!$B189,レシピ一覧!$A:$A,0))) &amp;""</f>
        <v/>
      </c>
      <c r="H189" s="85" t="str">
        <f>IF($B189 = "","",INDEX(レシピ一覧!G:G,MATCH(使用レシピ!$B189,レシピ一覧!$A:$A,0))) &amp;""</f>
        <v/>
      </c>
      <c r="I189" s="85" t="str">
        <f>IF($B189 = "","",INDEX(レシピ一覧!H:H,MATCH(使用レシピ!$B189,レシピ一覧!$A:$A,0))) &amp;""</f>
        <v/>
      </c>
      <c r="J189" s="85" t="str">
        <f>IF($B189 = "","",INDEX(レシピ一覧!I:I,MATCH(使用レシピ!$B189,レシピ一覧!$A:$A,0))) &amp;""</f>
        <v/>
      </c>
      <c r="K189" s="85" t="str">
        <f>IFERROR((IF($B189 = "","",INDEX(レシピ一覧!J:J,MATCH(使用レシピ!$B189,レシピ一覧!$A:$A,0)))&amp;"")*1,"")</f>
        <v/>
      </c>
      <c r="L189" s="85" t="str">
        <f>IFERROR((IF($B189 = "","",INDEX(レシピ一覧!K:K,MATCH(使用レシピ!$B189,レシピ一覧!$A:$A,0)))&amp;"")*1,"")</f>
        <v/>
      </c>
      <c r="M189" s="85" t="str">
        <f>IFERROR((IF($B189 = "","",INDEX(レシピ一覧!L:L,MATCH(使用レシピ!$B189,レシピ一覧!$A:$A,0)))&amp;"")*1,"")</f>
        <v/>
      </c>
      <c r="N189" s="85" t="str">
        <f>IFERROR((IF($B189 = "","",INDEX(レシピ一覧!M:M,MATCH(使用レシピ!$B189,レシピ一覧!$A:$A,0)))&amp;"")*1,"")</f>
        <v/>
      </c>
      <c r="O189" s="85" t="str">
        <f>IFERROR((IF($B189 = "","",INDEX(レシピ一覧!N:N,MATCH(使用レシピ!$B189,レシピ一覧!$A:$A,0)))&amp;"")*1,"")</f>
        <v/>
      </c>
      <c r="P189" s="85" t="str">
        <f>IFERROR((IF($B189 = "","",INDEX(レシピ一覧!O:O,MATCH(使用レシピ!$B189,レシピ一覧!$A:$A,0)))&amp;"")*1,"")</f>
        <v/>
      </c>
      <c r="Q189" s="86" t="str">
        <f>IFERROR((IF($B189 = "","",INDEX(レシピ一覧!P:P,MATCH(使用レシピ!$B189,レシピ一覧!$A:$A,0)))&amp;"")*1,"")</f>
        <v/>
      </c>
    </row>
    <row r="190" spans="1:17" x14ac:dyDescent="0.4">
      <c r="A190" s="84">
        <v>1</v>
      </c>
      <c r="B190" s="21" t="str">
        <f t="shared" si="2"/>
        <v/>
      </c>
      <c r="C190" s="81" t="str">
        <f>IF(COUNTIF(レシピ一覧!$B:$B,ROW()-1),ROW()-1,"")</f>
        <v/>
      </c>
      <c r="D190" s="15" t="str">
        <f>IF(E190="","",COUNTIF(レシピ一覧!$D$2:$D$500,使用レシピ!E190))</f>
        <v/>
      </c>
      <c r="E190" s="57" t="str">
        <f>IFERROR( INDEX(レシピ一覧!$D:$D,MATCH(使用レシピ!$C190,レシピ一覧!$B:$B,0))&amp;"","")</f>
        <v/>
      </c>
      <c r="F190" s="85" t="str">
        <f>IF($B190 = "","",INDEX(レシピ一覧!E:E,MATCH(使用レシピ!$B190,レシピ一覧!$A:$A,0))) &amp;""</f>
        <v/>
      </c>
      <c r="G190" s="85" t="str">
        <f>IF($B190 = "","",INDEX(レシピ一覧!F:F,MATCH(使用レシピ!$B190,レシピ一覧!$A:$A,0))) &amp;""</f>
        <v/>
      </c>
      <c r="H190" s="85" t="str">
        <f>IF($B190 = "","",INDEX(レシピ一覧!G:G,MATCH(使用レシピ!$B190,レシピ一覧!$A:$A,0))) &amp;""</f>
        <v/>
      </c>
      <c r="I190" s="85" t="str">
        <f>IF($B190 = "","",INDEX(レシピ一覧!H:H,MATCH(使用レシピ!$B190,レシピ一覧!$A:$A,0))) &amp;""</f>
        <v/>
      </c>
      <c r="J190" s="85" t="str">
        <f>IF($B190 = "","",INDEX(レシピ一覧!I:I,MATCH(使用レシピ!$B190,レシピ一覧!$A:$A,0))) &amp;""</f>
        <v/>
      </c>
      <c r="K190" s="85" t="str">
        <f>IFERROR((IF($B190 = "","",INDEX(レシピ一覧!J:J,MATCH(使用レシピ!$B190,レシピ一覧!$A:$A,0)))&amp;"")*1,"")</f>
        <v/>
      </c>
      <c r="L190" s="85" t="str">
        <f>IFERROR((IF($B190 = "","",INDEX(レシピ一覧!K:K,MATCH(使用レシピ!$B190,レシピ一覧!$A:$A,0)))&amp;"")*1,"")</f>
        <v/>
      </c>
      <c r="M190" s="85" t="str">
        <f>IFERROR((IF($B190 = "","",INDEX(レシピ一覧!L:L,MATCH(使用レシピ!$B190,レシピ一覧!$A:$A,0)))&amp;"")*1,"")</f>
        <v/>
      </c>
      <c r="N190" s="85" t="str">
        <f>IFERROR((IF($B190 = "","",INDEX(レシピ一覧!M:M,MATCH(使用レシピ!$B190,レシピ一覧!$A:$A,0)))&amp;"")*1,"")</f>
        <v/>
      </c>
      <c r="O190" s="85" t="str">
        <f>IFERROR((IF($B190 = "","",INDEX(レシピ一覧!N:N,MATCH(使用レシピ!$B190,レシピ一覧!$A:$A,0)))&amp;"")*1,"")</f>
        <v/>
      </c>
      <c r="P190" s="85" t="str">
        <f>IFERROR((IF($B190 = "","",INDEX(レシピ一覧!O:O,MATCH(使用レシピ!$B190,レシピ一覧!$A:$A,0)))&amp;"")*1,"")</f>
        <v/>
      </c>
      <c r="Q190" s="86" t="str">
        <f>IFERROR((IF($B190 = "","",INDEX(レシピ一覧!P:P,MATCH(使用レシピ!$B190,レシピ一覧!$A:$A,0)))&amp;"")*1,"")</f>
        <v/>
      </c>
    </row>
    <row r="191" spans="1:17" x14ac:dyDescent="0.4">
      <c r="A191" s="84">
        <v>1</v>
      </c>
      <c r="B191" s="21" t="str">
        <f t="shared" si="2"/>
        <v/>
      </c>
      <c r="C191" s="81" t="str">
        <f>IF(COUNTIF(レシピ一覧!$B:$B,ROW()-1),ROW()-1,"")</f>
        <v/>
      </c>
      <c r="D191" s="15" t="str">
        <f>IF(E191="","",COUNTIF(レシピ一覧!$D$2:$D$500,使用レシピ!E191))</f>
        <v/>
      </c>
      <c r="E191" s="57" t="str">
        <f>IFERROR( INDEX(レシピ一覧!$D:$D,MATCH(使用レシピ!$C191,レシピ一覧!$B:$B,0))&amp;"","")</f>
        <v/>
      </c>
      <c r="F191" s="85" t="str">
        <f>IF($B191 = "","",INDEX(レシピ一覧!E:E,MATCH(使用レシピ!$B191,レシピ一覧!$A:$A,0))) &amp;""</f>
        <v/>
      </c>
      <c r="G191" s="85" t="str">
        <f>IF($B191 = "","",INDEX(レシピ一覧!F:F,MATCH(使用レシピ!$B191,レシピ一覧!$A:$A,0))) &amp;""</f>
        <v/>
      </c>
      <c r="H191" s="85" t="str">
        <f>IF($B191 = "","",INDEX(レシピ一覧!G:G,MATCH(使用レシピ!$B191,レシピ一覧!$A:$A,0))) &amp;""</f>
        <v/>
      </c>
      <c r="I191" s="85" t="str">
        <f>IF($B191 = "","",INDEX(レシピ一覧!H:H,MATCH(使用レシピ!$B191,レシピ一覧!$A:$A,0))) &amp;""</f>
        <v/>
      </c>
      <c r="J191" s="85" t="str">
        <f>IF($B191 = "","",INDEX(レシピ一覧!I:I,MATCH(使用レシピ!$B191,レシピ一覧!$A:$A,0))) &amp;""</f>
        <v/>
      </c>
      <c r="K191" s="85" t="str">
        <f>IFERROR((IF($B191 = "","",INDEX(レシピ一覧!J:J,MATCH(使用レシピ!$B191,レシピ一覧!$A:$A,0)))&amp;"")*1,"")</f>
        <v/>
      </c>
      <c r="L191" s="85" t="str">
        <f>IFERROR((IF($B191 = "","",INDEX(レシピ一覧!K:K,MATCH(使用レシピ!$B191,レシピ一覧!$A:$A,0)))&amp;"")*1,"")</f>
        <v/>
      </c>
      <c r="M191" s="85" t="str">
        <f>IFERROR((IF($B191 = "","",INDEX(レシピ一覧!L:L,MATCH(使用レシピ!$B191,レシピ一覧!$A:$A,0)))&amp;"")*1,"")</f>
        <v/>
      </c>
      <c r="N191" s="85" t="str">
        <f>IFERROR((IF($B191 = "","",INDEX(レシピ一覧!M:M,MATCH(使用レシピ!$B191,レシピ一覧!$A:$A,0)))&amp;"")*1,"")</f>
        <v/>
      </c>
      <c r="O191" s="85" t="str">
        <f>IFERROR((IF($B191 = "","",INDEX(レシピ一覧!N:N,MATCH(使用レシピ!$B191,レシピ一覧!$A:$A,0)))&amp;"")*1,"")</f>
        <v/>
      </c>
      <c r="P191" s="85" t="str">
        <f>IFERROR((IF($B191 = "","",INDEX(レシピ一覧!O:O,MATCH(使用レシピ!$B191,レシピ一覧!$A:$A,0)))&amp;"")*1,"")</f>
        <v/>
      </c>
      <c r="Q191" s="86" t="str">
        <f>IFERROR((IF($B191 = "","",INDEX(レシピ一覧!P:P,MATCH(使用レシピ!$B191,レシピ一覧!$A:$A,0)))&amp;"")*1,"")</f>
        <v/>
      </c>
    </row>
    <row r="192" spans="1:17" x14ac:dyDescent="0.4">
      <c r="A192" s="84">
        <v>1</v>
      </c>
      <c r="B192" s="21" t="str">
        <f t="shared" si="2"/>
        <v/>
      </c>
      <c r="C192" s="81" t="str">
        <f>IF(COUNTIF(レシピ一覧!$B:$B,ROW()-1),ROW()-1,"")</f>
        <v/>
      </c>
      <c r="D192" s="15" t="str">
        <f>IF(E192="","",COUNTIF(レシピ一覧!$D$2:$D$500,使用レシピ!E192))</f>
        <v/>
      </c>
      <c r="E192" s="57" t="str">
        <f>IFERROR( INDEX(レシピ一覧!$D:$D,MATCH(使用レシピ!$C192,レシピ一覧!$B:$B,0))&amp;"","")</f>
        <v/>
      </c>
      <c r="F192" s="85" t="str">
        <f>IF($B192 = "","",INDEX(レシピ一覧!E:E,MATCH(使用レシピ!$B192,レシピ一覧!$A:$A,0))) &amp;""</f>
        <v/>
      </c>
      <c r="G192" s="85" t="str">
        <f>IF($B192 = "","",INDEX(レシピ一覧!F:F,MATCH(使用レシピ!$B192,レシピ一覧!$A:$A,0))) &amp;""</f>
        <v/>
      </c>
      <c r="H192" s="85" t="str">
        <f>IF($B192 = "","",INDEX(レシピ一覧!G:G,MATCH(使用レシピ!$B192,レシピ一覧!$A:$A,0))) &amp;""</f>
        <v/>
      </c>
      <c r="I192" s="85" t="str">
        <f>IF($B192 = "","",INDEX(レシピ一覧!H:H,MATCH(使用レシピ!$B192,レシピ一覧!$A:$A,0))) &amp;""</f>
        <v/>
      </c>
      <c r="J192" s="85" t="str">
        <f>IF($B192 = "","",INDEX(レシピ一覧!I:I,MATCH(使用レシピ!$B192,レシピ一覧!$A:$A,0))) &amp;""</f>
        <v/>
      </c>
      <c r="K192" s="85" t="str">
        <f>IFERROR((IF($B192 = "","",INDEX(レシピ一覧!J:J,MATCH(使用レシピ!$B192,レシピ一覧!$A:$A,0)))&amp;"")*1,"")</f>
        <v/>
      </c>
      <c r="L192" s="85" t="str">
        <f>IFERROR((IF($B192 = "","",INDEX(レシピ一覧!K:K,MATCH(使用レシピ!$B192,レシピ一覧!$A:$A,0)))&amp;"")*1,"")</f>
        <v/>
      </c>
      <c r="M192" s="85" t="str">
        <f>IFERROR((IF($B192 = "","",INDEX(レシピ一覧!L:L,MATCH(使用レシピ!$B192,レシピ一覧!$A:$A,0)))&amp;"")*1,"")</f>
        <v/>
      </c>
      <c r="N192" s="85" t="str">
        <f>IFERROR((IF($B192 = "","",INDEX(レシピ一覧!M:M,MATCH(使用レシピ!$B192,レシピ一覧!$A:$A,0)))&amp;"")*1,"")</f>
        <v/>
      </c>
      <c r="O192" s="85" t="str">
        <f>IFERROR((IF($B192 = "","",INDEX(レシピ一覧!N:N,MATCH(使用レシピ!$B192,レシピ一覧!$A:$A,0)))&amp;"")*1,"")</f>
        <v/>
      </c>
      <c r="P192" s="85" t="str">
        <f>IFERROR((IF($B192 = "","",INDEX(レシピ一覧!O:O,MATCH(使用レシピ!$B192,レシピ一覧!$A:$A,0)))&amp;"")*1,"")</f>
        <v/>
      </c>
      <c r="Q192" s="86" t="str">
        <f>IFERROR((IF($B192 = "","",INDEX(レシピ一覧!P:P,MATCH(使用レシピ!$B192,レシピ一覧!$A:$A,0)))&amp;"")*1,"")</f>
        <v/>
      </c>
    </row>
    <row r="193" spans="1:17" x14ac:dyDescent="0.4">
      <c r="A193" s="84">
        <v>1</v>
      </c>
      <c r="B193" s="21" t="str">
        <f t="shared" si="2"/>
        <v/>
      </c>
      <c r="C193" s="81" t="str">
        <f>IF(COUNTIF(レシピ一覧!$B:$B,ROW()-1),ROW()-1,"")</f>
        <v/>
      </c>
      <c r="D193" s="15" t="str">
        <f>IF(E193="","",COUNTIF(レシピ一覧!$D$2:$D$500,使用レシピ!E193))</f>
        <v/>
      </c>
      <c r="E193" s="57" t="str">
        <f>IFERROR( INDEX(レシピ一覧!$D:$D,MATCH(使用レシピ!$C193,レシピ一覧!$B:$B,0))&amp;"","")</f>
        <v/>
      </c>
      <c r="F193" s="85" t="str">
        <f>IF($B193 = "","",INDEX(レシピ一覧!E:E,MATCH(使用レシピ!$B193,レシピ一覧!$A:$A,0))) &amp;""</f>
        <v/>
      </c>
      <c r="G193" s="85" t="str">
        <f>IF($B193 = "","",INDEX(レシピ一覧!F:F,MATCH(使用レシピ!$B193,レシピ一覧!$A:$A,0))) &amp;""</f>
        <v/>
      </c>
      <c r="H193" s="85" t="str">
        <f>IF($B193 = "","",INDEX(レシピ一覧!G:G,MATCH(使用レシピ!$B193,レシピ一覧!$A:$A,0))) &amp;""</f>
        <v/>
      </c>
      <c r="I193" s="85" t="str">
        <f>IF($B193 = "","",INDEX(レシピ一覧!H:H,MATCH(使用レシピ!$B193,レシピ一覧!$A:$A,0))) &amp;""</f>
        <v/>
      </c>
      <c r="J193" s="85" t="str">
        <f>IF($B193 = "","",INDEX(レシピ一覧!I:I,MATCH(使用レシピ!$B193,レシピ一覧!$A:$A,0))) &amp;""</f>
        <v/>
      </c>
      <c r="K193" s="85" t="str">
        <f>IFERROR((IF($B193 = "","",INDEX(レシピ一覧!J:J,MATCH(使用レシピ!$B193,レシピ一覧!$A:$A,0)))&amp;"")*1,"")</f>
        <v/>
      </c>
      <c r="L193" s="85" t="str">
        <f>IFERROR((IF($B193 = "","",INDEX(レシピ一覧!K:K,MATCH(使用レシピ!$B193,レシピ一覧!$A:$A,0)))&amp;"")*1,"")</f>
        <v/>
      </c>
      <c r="M193" s="85" t="str">
        <f>IFERROR((IF($B193 = "","",INDEX(レシピ一覧!L:L,MATCH(使用レシピ!$B193,レシピ一覧!$A:$A,0)))&amp;"")*1,"")</f>
        <v/>
      </c>
      <c r="N193" s="85" t="str">
        <f>IFERROR((IF($B193 = "","",INDEX(レシピ一覧!M:M,MATCH(使用レシピ!$B193,レシピ一覧!$A:$A,0)))&amp;"")*1,"")</f>
        <v/>
      </c>
      <c r="O193" s="85" t="str">
        <f>IFERROR((IF($B193 = "","",INDEX(レシピ一覧!N:N,MATCH(使用レシピ!$B193,レシピ一覧!$A:$A,0)))&amp;"")*1,"")</f>
        <v/>
      </c>
      <c r="P193" s="85" t="str">
        <f>IFERROR((IF($B193 = "","",INDEX(レシピ一覧!O:O,MATCH(使用レシピ!$B193,レシピ一覧!$A:$A,0)))&amp;"")*1,"")</f>
        <v/>
      </c>
      <c r="Q193" s="86" t="str">
        <f>IFERROR((IF($B193 = "","",INDEX(レシピ一覧!P:P,MATCH(使用レシピ!$B193,レシピ一覧!$A:$A,0)))&amp;"")*1,"")</f>
        <v/>
      </c>
    </row>
    <row r="194" spans="1:17" x14ac:dyDescent="0.4">
      <c r="A194" s="84">
        <v>1</v>
      </c>
      <c r="B194" s="21" t="str">
        <f t="shared" si="2"/>
        <v/>
      </c>
      <c r="C194" s="81" t="str">
        <f>IF(COUNTIF(レシピ一覧!$B:$B,ROW()-1),ROW()-1,"")</f>
        <v/>
      </c>
      <c r="D194" s="15" t="str">
        <f>IF(E194="","",COUNTIF(レシピ一覧!$D$2:$D$500,使用レシピ!E194))</f>
        <v/>
      </c>
      <c r="E194" s="57" t="str">
        <f>IFERROR( INDEX(レシピ一覧!$D:$D,MATCH(使用レシピ!$C194,レシピ一覧!$B:$B,0))&amp;"","")</f>
        <v/>
      </c>
      <c r="F194" s="85" t="str">
        <f>IF($B194 = "","",INDEX(レシピ一覧!E:E,MATCH(使用レシピ!$B194,レシピ一覧!$A:$A,0))) &amp;""</f>
        <v/>
      </c>
      <c r="G194" s="85" t="str">
        <f>IF($B194 = "","",INDEX(レシピ一覧!F:F,MATCH(使用レシピ!$B194,レシピ一覧!$A:$A,0))) &amp;""</f>
        <v/>
      </c>
      <c r="H194" s="85" t="str">
        <f>IF($B194 = "","",INDEX(レシピ一覧!G:G,MATCH(使用レシピ!$B194,レシピ一覧!$A:$A,0))) &amp;""</f>
        <v/>
      </c>
      <c r="I194" s="85" t="str">
        <f>IF($B194 = "","",INDEX(レシピ一覧!H:H,MATCH(使用レシピ!$B194,レシピ一覧!$A:$A,0))) &amp;""</f>
        <v/>
      </c>
      <c r="J194" s="85" t="str">
        <f>IF($B194 = "","",INDEX(レシピ一覧!I:I,MATCH(使用レシピ!$B194,レシピ一覧!$A:$A,0))) &amp;""</f>
        <v/>
      </c>
      <c r="K194" s="85" t="str">
        <f>IFERROR((IF($B194 = "","",INDEX(レシピ一覧!J:J,MATCH(使用レシピ!$B194,レシピ一覧!$A:$A,0)))&amp;"")*1,"")</f>
        <v/>
      </c>
      <c r="L194" s="85" t="str">
        <f>IFERROR((IF($B194 = "","",INDEX(レシピ一覧!K:K,MATCH(使用レシピ!$B194,レシピ一覧!$A:$A,0)))&amp;"")*1,"")</f>
        <v/>
      </c>
      <c r="M194" s="85" t="str">
        <f>IFERROR((IF($B194 = "","",INDEX(レシピ一覧!L:L,MATCH(使用レシピ!$B194,レシピ一覧!$A:$A,0)))&amp;"")*1,"")</f>
        <v/>
      </c>
      <c r="N194" s="85" t="str">
        <f>IFERROR((IF($B194 = "","",INDEX(レシピ一覧!M:M,MATCH(使用レシピ!$B194,レシピ一覧!$A:$A,0)))&amp;"")*1,"")</f>
        <v/>
      </c>
      <c r="O194" s="85" t="str">
        <f>IFERROR((IF($B194 = "","",INDEX(レシピ一覧!N:N,MATCH(使用レシピ!$B194,レシピ一覧!$A:$A,0)))&amp;"")*1,"")</f>
        <v/>
      </c>
      <c r="P194" s="85" t="str">
        <f>IFERROR((IF($B194 = "","",INDEX(レシピ一覧!O:O,MATCH(使用レシピ!$B194,レシピ一覧!$A:$A,0)))&amp;"")*1,"")</f>
        <v/>
      </c>
      <c r="Q194" s="86" t="str">
        <f>IFERROR((IF($B194 = "","",INDEX(レシピ一覧!P:P,MATCH(使用レシピ!$B194,レシピ一覧!$A:$A,0)))&amp;"")*1,"")</f>
        <v/>
      </c>
    </row>
    <row r="195" spans="1:17" x14ac:dyDescent="0.4">
      <c r="A195" s="84">
        <v>1</v>
      </c>
      <c r="B195" s="21" t="str">
        <f t="shared" ref="B195:B200" si="3">IF(ISNUMBER(C195),C195 &amp; RIGHT("00"&amp;A195,2),"")</f>
        <v/>
      </c>
      <c r="C195" s="81" t="str">
        <f>IF(COUNTIF(レシピ一覧!$B:$B,ROW()-1),ROW()-1,"")</f>
        <v/>
      </c>
      <c r="D195" s="15" t="str">
        <f>IF(E195="","",COUNTIF(レシピ一覧!$D$2:$D$500,使用レシピ!E195))</f>
        <v/>
      </c>
      <c r="E195" s="57" t="str">
        <f>IFERROR( INDEX(レシピ一覧!$D:$D,MATCH(使用レシピ!$C195,レシピ一覧!$B:$B,0))&amp;"","")</f>
        <v/>
      </c>
      <c r="F195" s="85" t="str">
        <f>IF($B195 = "","",INDEX(レシピ一覧!E:E,MATCH(使用レシピ!$B195,レシピ一覧!$A:$A,0))) &amp;""</f>
        <v/>
      </c>
      <c r="G195" s="85" t="str">
        <f>IF($B195 = "","",INDEX(レシピ一覧!F:F,MATCH(使用レシピ!$B195,レシピ一覧!$A:$A,0))) &amp;""</f>
        <v/>
      </c>
      <c r="H195" s="85" t="str">
        <f>IF($B195 = "","",INDEX(レシピ一覧!G:G,MATCH(使用レシピ!$B195,レシピ一覧!$A:$A,0))) &amp;""</f>
        <v/>
      </c>
      <c r="I195" s="85" t="str">
        <f>IF($B195 = "","",INDEX(レシピ一覧!H:H,MATCH(使用レシピ!$B195,レシピ一覧!$A:$A,0))) &amp;""</f>
        <v/>
      </c>
      <c r="J195" s="85" t="str">
        <f>IF($B195 = "","",INDEX(レシピ一覧!I:I,MATCH(使用レシピ!$B195,レシピ一覧!$A:$A,0))) &amp;""</f>
        <v/>
      </c>
      <c r="K195" s="85" t="str">
        <f>IFERROR((IF($B195 = "","",INDEX(レシピ一覧!J:J,MATCH(使用レシピ!$B195,レシピ一覧!$A:$A,0)))&amp;"")*1,"")</f>
        <v/>
      </c>
      <c r="L195" s="85" t="str">
        <f>IFERROR((IF($B195 = "","",INDEX(レシピ一覧!K:K,MATCH(使用レシピ!$B195,レシピ一覧!$A:$A,0)))&amp;"")*1,"")</f>
        <v/>
      </c>
      <c r="M195" s="85" t="str">
        <f>IFERROR((IF($B195 = "","",INDEX(レシピ一覧!L:L,MATCH(使用レシピ!$B195,レシピ一覧!$A:$A,0)))&amp;"")*1,"")</f>
        <v/>
      </c>
      <c r="N195" s="85" t="str">
        <f>IFERROR((IF($B195 = "","",INDEX(レシピ一覧!M:M,MATCH(使用レシピ!$B195,レシピ一覧!$A:$A,0)))&amp;"")*1,"")</f>
        <v/>
      </c>
      <c r="O195" s="85" t="str">
        <f>IFERROR((IF($B195 = "","",INDEX(レシピ一覧!N:N,MATCH(使用レシピ!$B195,レシピ一覧!$A:$A,0)))&amp;"")*1,"")</f>
        <v/>
      </c>
      <c r="P195" s="85" t="str">
        <f>IFERROR((IF($B195 = "","",INDEX(レシピ一覧!O:O,MATCH(使用レシピ!$B195,レシピ一覧!$A:$A,0)))&amp;"")*1,"")</f>
        <v/>
      </c>
      <c r="Q195" s="86" t="str">
        <f>IFERROR((IF($B195 = "","",INDEX(レシピ一覧!P:P,MATCH(使用レシピ!$B195,レシピ一覧!$A:$A,0)))&amp;"")*1,"")</f>
        <v/>
      </c>
    </row>
    <row r="196" spans="1:17" x14ac:dyDescent="0.4">
      <c r="A196" s="84">
        <v>1</v>
      </c>
      <c r="B196" s="21" t="str">
        <f t="shared" si="3"/>
        <v/>
      </c>
      <c r="C196" s="81" t="str">
        <f>IF(COUNTIF(レシピ一覧!$B:$B,ROW()-1),ROW()-1,"")</f>
        <v/>
      </c>
      <c r="D196" s="15" t="str">
        <f>IF(E196="","",COUNTIF(レシピ一覧!$D$2:$D$500,使用レシピ!E196))</f>
        <v/>
      </c>
      <c r="E196" s="57" t="str">
        <f>IFERROR( INDEX(レシピ一覧!$D:$D,MATCH(使用レシピ!$C196,レシピ一覧!$B:$B,0))&amp;"","")</f>
        <v/>
      </c>
      <c r="F196" s="85" t="str">
        <f>IF($B196 = "","",INDEX(レシピ一覧!E:E,MATCH(使用レシピ!$B196,レシピ一覧!$A:$A,0))) &amp;""</f>
        <v/>
      </c>
      <c r="G196" s="85" t="str">
        <f>IF($B196 = "","",INDEX(レシピ一覧!F:F,MATCH(使用レシピ!$B196,レシピ一覧!$A:$A,0))) &amp;""</f>
        <v/>
      </c>
      <c r="H196" s="85" t="str">
        <f>IF($B196 = "","",INDEX(レシピ一覧!G:G,MATCH(使用レシピ!$B196,レシピ一覧!$A:$A,0))) &amp;""</f>
        <v/>
      </c>
      <c r="I196" s="85" t="str">
        <f>IF($B196 = "","",INDEX(レシピ一覧!H:H,MATCH(使用レシピ!$B196,レシピ一覧!$A:$A,0))) &amp;""</f>
        <v/>
      </c>
      <c r="J196" s="85" t="str">
        <f>IF($B196 = "","",INDEX(レシピ一覧!I:I,MATCH(使用レシピ!$B196,レシピ一覧!$A:$A,0))) &amp;""</f>
        <v/>
      </c>
      <c r="K196" s="85" t="str">
        <f>IFERROR((IF($B196 = "","",INDEX(レシピ一覧!J:J,MATCH(使用レシピ!$B196,レシピ一覧!$A:$A,0)))&amp;"")*1,"")</f>
        <v/>
      </c>
      <c r="L196" s="85" t="str">
        <f>IFERROR((IF($B196 = "","",INDEX(レシピ一覧!K:K,MATCH(使用レシピ!$B196,レシピ一覧!$A:$A,0)))&amp;"")*1,"")</f>
        <v/>
      </c>
      <c r="M196" s="85" t="str">
        <f>IFERROR((IF($B196 = "","",INDEX(レシピ一覧!L:L,MATCH(使用レシピ!$B196,レシピ一覧!$A:$A,0)))&amp;"")*1,"")</f>
        <v/>
      </c>
      <c r="N196" s="85" t="str">
        <f>IFERROR((IF($B196 = "","",INDEX(レシピ一覧!M:M,MATCH(使用レシピ!$B196,レシピ一覧!$A:$A,0)))&amp;"")*1,"")</f>
        <v/>
      </c>
      <c r="O196" s="85" t="str">
        <f>IFERROR((IF($B196 = "","",INDEX(レシピ一覧!N:N,MATCH(使用レシピ!$B196,レシピ一覧!$A:$A,0)))&amp;"")*1,"")</f>
        <v/>
      </c>
      <c r="P196" s="85" t="str">
        <f>IFERROR((IF($B196 = "","",INDEX(レシピ一覧!O:O,MATCH(使用レシピ!$B196,レシピ一覧!$A:$A,0)))&amp;"")*1,"")</f>
        <v/>
      </c>
      <c r="Q196" s="86" t="str">
        <f>IFERROR((IF($B196 = "","",INDEX(レシピ一覧!P:P,MATCH(使用レシピ!$B196,レシピ一覧!$A:$A,0)))&amp;"")*1,"")</f>
        <v/>
      </c>
    </row>
    <row r="197" spans="1:17" x14ac:dyDescent="0.4">
      <c r="A197" s="84">
        <v>1</v>
      </c>
      <c r="B197" s="21" t="str">
        <f t="shared" si="3"/>
        <v/>
      </c>
      <c r="C197" s="81" t="str">
        <f>IF(COUNTIF(レシピ一覧!$B:$B,ROW()-1),ROW()-1,"")</f>
        <v/>
      </c>
      <c r="D197" s="15" t="str">
        <f>IF(E197="","",COUNTIF(レシピ一覧!$D$2:$D$500,使用レシピ!E197))</f>
        <v/>
      </c>
      <c r="E197" s="57" t="str">
        <f>IFERROR( INDEX(レシピ一覧!$D:$D,MATCH(使用レシピ!$C197,レシピ一覧!$B:$B,0))&amp;"","")</f>
        <v/>
      </c>
      <c r="F197" s="85" t="str">
        <f>IF($B197 = "","",INDEX(レシピ一覧!E:E,MATCH(使用レシピ!$B197,レシピ一覧!$A:$A,0))) &amp;""</f>
        <v/>
      </c>
      <c r="G197" s="85" t="str">
        <f>IF($B197 = "","",INDEX(レシピ一覧!F:F,MATCH(使用レシピ!$B197,レシピ一覧!$A:$A,0))) &amp;""</f>
        <v/>
      </c>
      <c r="H197" s="85" t="str">
        <f>IF($B197 = "","",INDEX(レシピ一覧!G:G,MATCH(使用レシピ!$B197,レシピ一覧!$A:$A,0))) &amp;""</f>
        <v/>
      </c>
      <c r="I197" s="85" t="str">
        <f>IF($B197 = "","",INDEX(レシピ一覧!H:H,MATCH(使用レシピ!$B197,レシピ一覧!$A:$A,0))) &amp;""</f>
        <v/>
      </c>
      <c r="J197" s="85" t="str">
        <f>IF($B197 = "","",INDEX(レシピ一覧!I:I,MATCH(使用レシピ!$B197,レシピ一覧!$A:$A,0))) &amp;""</f>
        <v/>
      </c>
      <c r="K197" s="85" t="str">
        <f>IFERROR((IF($B197 = "","",INDEX(レシピ一覧!J:J,MATCH(使用レシピ!$B197,レシピ一覧!$A:$A,0)))&amp;"")*1,"")</f>
        <v/>
      </c>
      <c r="L197" s="85" t="str">
        <f>IFERROR((IF($B197 = "","",INDEX(レシピ一覧!K:K,MATCH(使用レシピ!$B197,レシピ一覧!$A:$A,0)))&amp;"")*1,"")</f>
        <v/>
      </c>
      <c r="M197" s="85" t="str">
        <f>IFERROR((IF($B197 = "","",INDEX(レシピ一覧!L:L,MATCH(使用レシピ!$B197,レシピ一覧!$A:$A,0)))&amp;"")*1,"")</f>
        <v/>
      </c>
      <c r="N197" s="85" t="str">
        <f>IFERROR((IF($B197 = "","",INDEX(レシピ一覧!M:M,MATCH(使用レシピ!$B197,レシピ一覧!$A:$A,0)))&amp;"")*1,"")</f>
        <v/>
      </c>
      <c r="O197" s="85" t="str">
        <f>IFERROR((IF($B197 = "","",INDEX(レシピ一覧!N:N,MATCH(使用レシピ!$B197,レシピ一覧!$A:$A,0)))&amp;"")*1,"")</f>
        <v/>
      </c>
      <c r="P197" s="85" t="str">
        <f>IFERROR((IF($B197 = "","",INDEX(レシピ一覧!O:O,MATCH(使用レシピ!$B197,レシピ一覧!$A:$A,0)))&amp;"")*1,"")</f>
        <v/>
      </c>
      <c r="Q197" s="86" t="str">
        <f>IFERROR((IF($B197 = "","",INDEX(レシピ一覧!P:P,MATCH(使用レシピ!$B197,レシピ一覧!$A:$A,0)))&amp;"")*1,"")</f>
        <v/>
      </c>
    </row>
    <row r="198" spans="1:17" x14ac:dyDescent="0.4">
      <c r="A198" s="84">
        <v>1</v>
      </c>
      <c r="B198" s="21" t="str">
        <f t="shared" si="3"/>
        <v/>
      </c>
      <c r="C198" s="81" t="str">
        <f>IF(COUNTIF(レシピ一覧!$B:$B,ROW()-1),ROW()-1,"")</f>
        <v/>
      </c>
      <c r="D198" s="15" t="str">
        <f>IF(E198="","",COUNTIF(レシピ一覧!$D$2:$D$500,使用レシピ!E198))</f>
        <v/>
      </c>
      <c r="E198" s="57" t="str">
        <f>IFERROR( INDEX(レシピ一覧!$D:$D,MATCH(使用レシピ!$C198,レシピ一覧!$B:$B,0))&amp;"","")</f>
        <v/>
      </c>
      <c r="F198" s="85" t="str">
        <f>IF($B198 = "","",INDEX(レシピ一覧!E:E,MATCH(使用レシピ!$B198,レシピ一覧!$A:$A,0))) &amp;""</f>
        <v/>
      </c>
      <c r="G198" s="85" t="str">
        <f>IF($B198 = "","",INDEX(レシピ一覧!F:F,MATCH(使用レシピ!$B198,レシピ一覧!$A:$A,0))) &amp;""</f>
        <v/>
      </c>
      <c r="H198" s="85" t="str">
        <f>IF($B198 = "","",INDEX(レシピ一覧!G:G,MATCH(使用レシピ!$B198,レシピ一覧!$A:$A,0))) &amp;""</f>
        <v/>
      </c>
      <c r="I198" s="85" t="str">
        <f>IF($B198 = "","",INDEX(レシピ一覧!H:H,MATCH(使用レシピ!$B198,レシピ一覧!$A:$A,0))) &amp;""</f>
        <v/>
      </c>
      <c r="J198" s="85" t="str">
        <f>IF($B198 = "","",INDEX(レシピ一覧!I:I,MATCH(使用レシピ!$B198,レシピ一覧!$A:$A,0))) &amp;""</f>
        <v/>
      </c>
      <c r="K198" s="85" t="str">
        <f>IFERROR((IF($B198 = "","",INDEX(レシピ一覧!J:J,MATCH(使用レシピ!$B198,レシピ一覧!$A:$A,0)))&amp;"")*1,"")</f>
        <v/>
      </c>
      <c r="L198" s="85" t="str">
        <f>IFERROR((IF($B198 = "","",INDEX(レシピ一覧!K:K,MATCH(使用レシピ!$B198,レシピ一覧!$A:$A,0)))&amp;"")*1,"")</f>
        <v/>
      </c>
      <c r="M198" s="85" t="str">
        <f>IFERROR((IF($B198 = "","",INDEX(レシピ一覧!L:L,MATCH(使用レシピ!$B198,レシピ一覧!$A:$A,0)))&amp;"")*1,"")</f>
        <v/>
      </c>
      <c r="N198" s="85" t="str">
        <f>IFERROR((IF($B198 = "","",INDEX(レシピ一覧!M:M,MATCH(使用レシピ!$B198,レシピ一覧!$A:$A,0)))&amp;"")*1,"")</f>
        <v/>
      </c>
      <c r="O198" s="85" t="str">
        <f>IFERROR((IF($B198 = "","",INDEX(レシピ一覧!N:N,MATCH(使用レシピ!$B198,レシピ一覧!$A:$A,0)))&amp;"")*1,"")</f>
        <v/>
      </c>
      <c r="P198" s="85" t="str">
        <f>IFERROR((IF($B198 = "","",INDEX(レシピ一覧!O:O,MATCH(使用レシピ!$B198,レシピ一覧!$A:$A,0)))&amp;"")*1,"")</f>
        <v/>
      </c>
      <c r="Q198" s="86" t="str">
        <f>IFERROR((IF($B198 = "","",INDEX(レシピ一覧!P:P,MATCH(使用レシピ!$B198,レシピ一覧!$A:$A,0)))&amp;"")*1,"")</f>
        <v/>
      </c>
    </row>
    <row r="199" spans="1:17" x14ac:dyDescent="0.4">
      <c r="A199" s="84">
        <v>1</v>
      </c>
      <c r="B199" s="21" t="str">
        <f t="shared" si="3"/>
        <v/>
      </c>
      <c r="C199" s="81" t="str">
        <f>IF(COUNTIF(レシピ一覧!$B:$B,ROW()-1),ROW()-1,"")</f>
        <v/>
      </c>
      <c r="D199" s="15" t="str">
        <f>IF(E199="","",COUNTIF(レシピ一覧!$D$2:$D$500,使用レシピ!E199))</f>
        <v/>
      </c>
      <c r="E199" s="57" t="str">
        <f>IFERROR( INDEX(レシピ一覧!$D:$D,MATCH(使用レシピ!$C199,レシピ一覧!$B:$B,0))&amp;"","")</f>
        <v/>
      </c>
      <c r="F199" s="85" t="str">
        <f>IF($B199 = "","",INDEX(レシピ一覧!E:E,MATCH(使用レシピ!$B199,レシピ一覧!$A:$A,0))) &amp;""</f>
        <v/>
      </c>
      <c r="G199" s="85" t="str">
        <f>IF($B199 = "","",INDEX(レシピ一覧!F:F,MATCH(使用レシピ!$B199,レシピ一覧!$A:$A,0))) &amp;""</f>
        <v/>
      </c>
      <c r="H199" s="85" t="str">
        <f>IF($B199 = "","",INDEX(レシピ一覧!G:G,MATCH(使用レシピ!$B199,レシピ一覧!$A:$A,0))) &amp;""</f>
        <v/>
      </c>
      <c r="I199" s="85" t="str">
        <f>IF($B199 = "","",INDEX(レシピ一覧!H:H,MATCH(使用レシピ!$B199,レシピ一覧!$A:$A,0))) &amp;""</f>
        <v/>
      </c>
      <c r="J199" s="85" t="str">
        <f>IF($B199 = "","",INDEX(レシピ一覧!I:I,MATCH(使用レシピ!$B199,レシピ一覧!$A:$A,0))) &amp;""</f>
        <v/>
      </c>
      <c r="K199" s="85" t="str">
        <f>IFERROR((IF($B199 = "","",INDEX(レシピ一覧!J:J,MATCH(使用レシピ!$B199,レシピ一覧!$A:$A,0)))&amp;"")*1,"")</f>
        <v/>
      </c>
      <c r="L199" s="85" t="str">
        <f>IFERROR((IF($B199 = "","",INDEX(レシピ一覧!K:K,MATCH(使用レシピ!$B199,レシピ一覧!$A:$A,0)))&amp;"")*1,"")</f>
        <v/>
      </c>
      <c r="M199" s="85" t="str">
        <f>IFERROR((IF($B199 = "","",INDEX(レシピ一覧!L:L,MATCH(使用レシピ!$B199,レシピ一覧!$A:$A,0)))&amp;"")*1,"")</f>
        <v/>
      </c>
      <c r="N199" s="85" t="str">
        <f>IFERROR((IF($B199 = "","",INDEX(レシピ一覧!M:M,MATCH(使用レシピ!$B199,レシピ一覧!$A:$A,0)))&amp;"")*1,"")</f>
        <v/>
      </c>
      <c r="O199" s="85" t="str">
        <f>IFERROR((IF($B199 = "","",INDEX(レシピ一覧!N:N,MATCH(使用レシピ!$B199,レシピ一覧!$A:$A,0)))&amp;"")*1,"")</f>
        <v/>
      </c>
      <c r="P199" s="85" t="str">
        <f>IFERROR((IF($B199 = "","",INDEX(レシピ一覧!O:O,MATCH(使用レシピ!$B199,レシピ一覧!$A:$A,0)))&amp;"")*1,"")</f>
        <v/>
      </c>
      <c r="Q199" s="86" t="str">
        <f>IFERROR((IF($B199 = "","",INDEX(レシピ一覧!P:P,MATCH(使用レシピ!$B199,レシピ一覧!$A:$A,0)))&amp;"")*1,"")</f>
        <v/>
      </c>
    </row>
    <row r="200" spans="1:17" x14ac:dyDescent="0.4">
      <c r="A200" s="84">
        <v>1</v>
      </c>
      <c r="B200" s="21" t="str">
        <f t="shared" si="3"/>
        <v/>
      </c>
      <c r="C200" s="81" t="str">
        <f>IF(COUNTIF(レシピ一覧!$B:$B,ROW()-1),ROW()-1,"")</f>
        <v/>
      </c>
      <c r="D200" s="15" t="str">
        <f>IF(E200="","",COUNTIF(レシピ一覧!$D$2:$D$500,使用レシピ!E200))</f>
        <v/>
      </c>
      <c r="E200" s="57" t="str">
        <f>IFERROR( INDEX(レシピ一覧!$D:$D,MATCH(使用レシピ!$C200,レシピ一覧!$B:$B,0))&amp;"","")</f>
        <v/>
      </c>
      <c r="F200" s="85" t="str">
        <f>IF($B200 = "","",INDEX(レシピ一覧!E:E,MATCH(使用レシピ!$B200,レシピ一覧!$A:$A,0))) &amp;""</f>
        <v/>
      </c>
      <c r="G200" s="85" t="str">
        <f>IF($B200 = "","",INDEX(レシピ一覧!F:F,MATCH(使用レシピ!$B200,レシピ一覧!$A:$A,0))) &amp;""</f>
        <v/>
      </c>
      <c r="H200" s="85" t="str">
        <f>IF($B200 = "","",INDEX(レシピ一覧!G:G,MATCH(使用レシピ!$B200,レシピ一覧!$A:$A,0))) &amp;""</f>
        <v/>
      </c>
      <c r="I200" s="85" t="str">
        <f>IF($B200 = "","",INDEX(レシピ一覧!H:H,MATCH(使用レシピ!$B200,レシピ一覧!$A:$A,0))) &amp;""</f>
        <v/>
      </c>
      <c r="J200" s="85" t="str">
        <f>IF($B200 = "","",INDEX(レシピ一覧!I:I,MATCH(使用レシピ!$B200,レシピ一覧!$A:$A,0))) &amp;""</f>
        <v/>
      </c>
      <c r="K200" s="85" t="str">
        <f>IFERROR((IF($B200 = "","",INDEX(レシピ一覧!J:J,MATCH(使用レシピ!$B200,レシピ一覧!$A:$A,0)))&amp;"")*1,"")</f>
        <v/>
      </c>
      <c r="L200" s="85" t="str">
        <f>IFERROR((IF($B200 = "","",INDEX(レシピ一覧!K:K,MATCH(使用レシピ!$B200,レシピ一覧!$A:$A,0)))&amp;"")*1,"")</f>
        <v/>
      </c>
      <c r="M200" s="85" t="str">
        <f>IFERROR((IF($B200 = "","",INDEX(レシピ一覧!L:L,MATCH(使用レシピ!$B200,レシピ一覧!$A:$A,0)))&amp;"")*1,"")</f>
        <v/>
      </c>
      <c r="N200" s="85" t="str">
        <f>IFERROR((IF($B200 = "","",INDEX(レシピ一覧!M:M,MATCH(使用レシピ!$B200,レシピ一覧!$A:$A,0)))&amp;"")*1,"")</f>
        <v/>
      </c>
      <c r="O200" s="85" t="str">
        <f>IFERROR((IF($B200 = "","",INDEX(レシピ一覧!N:N,MATCH(使用レシピ!$B200,レシピ一覧!$A:$A,0)))&amp;"")*1,"")</f>
        <v/>
      </c>
      <c r="P200" s="85" t="str">
        <f>IFERROR((IF($B200 = "","",INDEX(レシピ一覧!O:O,MATCH(使用レシピ!$B200,レシピ一覧!$A:$A,0)))&amp;"")*1,"")</f>
        <v/>
      </c>
      <c r="Q200" s="86" t="str">
        <f>IFERROR((IF($B200 = "","",INDEX(レシピ一覧!P:P,MATCH(使用レシピ!$B200,レシピ一覧!$A:$A,0)))&amp;"")*1,"")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A5A06-9B4D-4C70-B66D-2FE3782F4B63}">
  <sheetPr codeName="Sheet6"/>
  <dimension ref="A1:M200"/>
  <sheetViews>
    <sheetView workbookViewId="0">
      <selection activeCell="L17" sqref="L17"/>
    </sheetView>
  </sheetViews>
  <sheetFormatPr defaultRowHeight="18.75" x14ac:dyDescent="0.4"/>
  <cols>
    <col min="1" max="1" width="5.625" customWidth="1"/>
  </cols>
  <sheetData>
    <row r="1" spans="1:13" s="1" customFormat="1" x14ac:dyDescent="0.4">
      <c r="A1" s="1" t="s">
        <v>302</v>
      </c>
      <c r="B1" s="1" t="s">
        <v>293</v>
      </c>
      <c r="C1" s="1" t="s">
        <v>294</v>
      </c>
      <c r="D1" s="1" t="s">
        <v>295</v>
      </c>
      <c r="E1" s="1" t="s">
        <v>296</v>
      </c>
      <c r="F1" s="1" t="s">
        <v>297</v>
      </c>
      <c r="G1" s="1" t="s">
        <v>298</v>
      </c>
      <c r="H1" s="1" t="s">
        <v>299</v>
      </c>
      <c r="I1" s="1" t="s">
        <v>300</v>
      </c>
      <c r="J1" s="1" t="s">
        <v>301</v>
      </c>
      <c r="K1" s="1" t="s">
        <v>90</v>
      </c>
      <c r="L1" s="1" t="s">
        <v>91</v>
      </c>
      <c r="M1" s="1" t="s">
        <v>69</v>
      </c>
    </row>
    <row r="2" spans="1:13" x14ac:dyDescent="0.4">
      <c r="A2">
        <f>使用レシピ!C2</f>
        <v>1</v>
      </c>
      <c r="B2">
        <f>IF(使用レシピ!F2="","",MATCH(使用レシピ!F2,使用レシピ!$E:$E,0)-1)</f>
        <v>2</v>
      </c>
      <c r="C2">
        <f>IF(使用レシピ!G2="","",MATCH(使用レシピ!G2,使用レシピ!$E:$E,0)-1)</f>
        <v>56</v>
      </c>
      <c r="D2" t="str">
        <f>IF(使用レシピ!H2="","",MATCH(使用レシピ!H2,使用レシピ!$E:$E,0)-1)</f>
        <v/>
      </c>
      <c r="E2" t="str">
        <f>IF(使用レシピ!I2="","",MATCH(使用レシピ!I2,使用レシピ!$E:$E,0)-1)</f>
        <v/>
      </c>
      <c r="F2" t="str">
        <f>IF(使用レシピ!J2="","",MATCH(使用レシピ!J2,使用レシピ!$E:$E,0)-1)</f>
        <v/>
      </c>
      <c r="G2">
        <f>使用レシピ!K2</f>
        <v>7</v>
      </c>
      <c r="H2">
        <f>使用レシピ!L2</f>
        <v>4</v>
      </c>
      <c r="I2" t="str">
        <f>使用レシピ!M2</f>
        <v/>
      </c>
      <c r="J2" t="str">
        <f>使用レシピ!N2</f>
        <v/>
      </c>
      <c r="K2" t="str">
        <f>使用レシピ!O2</f>
        <v/>
      </c>
      <c r="L2">
        <f>使用レシピ!P2</f>
        <v>13</v>
      </c>
      <c r="M2">
        <f>使用レシピ!Q2</f>
        <v>65</v>
      </c>
    </row>
    <row r="3" spans="1:13" x14ac:dyDescent="0.4">
      <c r="A3">
        <f>使用レシピ!C3</f>
        <v>2</v>
      </c>
      <c r="B3" t="str">
        <f>IF(使用レシピ!F3="","",MATCH(使用レシピ!F3,使用レシピ!$E:$E,0)-1)</f>
        <v/>
      </c>
      <c r="C3" t="str">
        <f>IF(使用レシピ!G3="","",MATCH(使用レシピ!G3,使用レシピ!$E:$E,0)-1)</f>
        <v/>
      </c>
      <c r="D3" t="str">
        <f>IF(使用レシピ!H3="","",MATCH(使用レシピ!H3,使用レシピ!$E:$E,0)-1)</f>
        <v/>
      </c>
      <c r="E3" t="str">
        <f>IF(使用レシピ!I3="","",MATCH(使用レシピ!I3,使用レシピ!$E:$E,0)-1)</f>
        <v/>
      </c>
      <c r="F3" t="str">
        <f>IF(使用レシピ!J3="","",MATCH(使用レシピ!J3,使用レシピ!$E:$E,0)-1)</f>
        <v/>
      </c>
      <c r="G3" t="str">
        <f>使用レシピ!K3</f>
        <v/>
      </c>
      <c r="H3" t="str">
        <f>使用レシピ!L3</f>
        <v/>
      </c>
      <c r="I3" t="str">
        <f>使用レシピ!M3</f>
        <v/>
      </c>
      <c r="J3" t="str">
        <f>使用レシピ!N3</f>
        <v/>
      </c>
      <c r="K3" t="str">
        <f>使用レシピ!O3</f>
        <v/>
      </c>
      <c r="L3">
        <f>使用レシピ!P3</f>
        <v>1</v>
      </c>
      <c r="M3">
        <f>使用レシピ!Q3</f>
        <v>1200</v>
      </c>
    </row>
    <row r="4" spans="1:13" x14ac:dyDescent="0.4">
      <c r="A4">
        <f>使用レシピ!C4</f>
        <v>3</v>
      </c>
      <c r="B4">
        <f>IF(使用レシピ!F4="","",MATCH(使用レシピ!F4,使用レシピ!$E:$E,0)-1)</f>
        <v>1</v>
      </c>
      <c r="C4" t="str">
        <f>IF(使用レシピ!G4="","",MATCH(使用レシピ!G4,使用レシピ!$E:$E,0)-1)</f>
        <v/>
      </c>
      <c r="D4" t="str">
        <f>IF(使用レシピ!H4="","",MATCH(使用レシピ!H4,使用レシピ!$E:$E,0)-1)</f>
        <v/>
      </c>
      <c r="E4" t="str">
        <f>IF(使用レシピ!I4="","",MATCH(使用レシピ!I4,使用レシピ!$E:$E,0)-1)</f>
        <v/>
      </c>
      <c r="F4" t="str">
        <f>IF(使用レシピ!J4="","",MATCH(使用レシピ!J4,使用レシピ!$E:$E,0)-1)</f>
        <v/>
      </c>
      <c r="G4">
        <f>使用レシピ!K4</f>
        <v>3</v>
      </c>
      <c r="H4" t="str">
        <f>使用レシピ!L4</f>
        <v/>
      </c>
      <c r="I4" t="str">
        <f>使用レシピ!M4</f>
        <v/>
      </c>
      <c r="J4" t="str">
        <f>使用レシピ!N4</f>
        <v/>
      </c>
      <c r="K4" t="str">
        <f>使用レシピ!O4</f>
        <v/>
      </c>
      <c r="L4">
        <f>使用レシピ!P4</f>
        <v>2</v>
      </c>
      <c r="M4">
        <f>使用レシピ!Q4</f>
        <v>20</v>
      </c>
    </row>
    <row r="5" spans="1:13" x14ac:dyDescent="0.4">
      <c r="A5">
        <f>使用レシピ!C5</f>
        <v>4</v>
      </c>
      <c r="B5">
        <f>IF(使用レシピ!F5="","",MATCH(使用レシピ!F5,使用レシピ!$E:$E,0)-1)</f>
        <v>1</v>
      </c>
      <c r="C5" t="str">
        <f>IF(使用レシピ!G5="","",MATCH(使用レシピ!G5,使用レシピ!$E:$E,0)-1)</f>
        <v/>
      </c>
      <c r="D5" t="str">
        <f>IF(使用レシピ!H5="","",MATCH(使用レシピ!H5,使用レシピ!$E:$E,0)-1)</f>
        <v/>
      </c>
      <c r="E5" t="str">
        <f>IF(使用レシピ!I5="","",MATCH(使用レシピ!I5,使用レシピ!$E:$E,0)-1)</f>
        <v/>
      </c>
      <c r="F5" t="str">
        <f>IF(使用レシピ!J5="","",MATCH(使用レシピ!J5,使用レシピ!$E:$E,0)-1)</f>
        <v/>
      </c>
      <c r="G5">
        <f>使用レシピ!K5</f>
        <v>1</v>
      </c>
      <c r="H5" t="str">
        <f>使用レシピ!L5</f>
        <v/>
      </c>
      <c r="I5" t="str">
        <f>使用レシピ!M5</f>
        <v/>
      </c>
      <c r="J5" t="str">
        <f>使用レシピ!N5</f>
        <v/>
      </c>
      <c r="K5" t="str">
        <f>使用レシピ!O5</f>
        <v/>
      </c>
      <c r="L5">
        <f>使用レシピ!P5</f>
        <v>1</v>
      </c>
      <c r="M5">
        <f>使用レシピ!Q5</f>
        <v>15</v>
      </c>
    </row>
    <row r="6" spans="1:13" x14ac:dyDescent="0.4">
      <c r="A6">
        <f>使用レシピ!C6</f>
        <v>5</v>
      </c>
      <c r="B6">
        <f>IF(使用レシピ!F6="","",MATCH(使用レシピ!F6,使用レシピ!$E:$E,0)-1)</f>
        <v>3</v>
      </c>
      <c r="C6">
        <f>IF(使用レシピ!G6="","",MATCH(使用レシピ!G6,使用レシピ!$E:$E,0)-1)</f>
        <v>12</v>
      </c>
      <c r="D6" t="str">
        <f>IF(使用レシピ!H6="","",MATCH(使用レシピ!H6,使用レシピ!$E:$E,0)-1)</f>
        <v/>
      </c>
      <c r="E6" t="str">
        <f>IF(使用レシピ!I6="","",MATCH(使用レシピ!I6,使用レシピ!$E:$E,0)-1)</f>
        <v/>
      </c>
      <c r="F6" t="str">
        <f>IF(使用レシピ!J6="","",MATCH(使用レシピ!J6,使用レシピ!$E:$E,0)-1)</f>
        <v/>
      </c>
      <c r="G6">
        <f>使用レシピ!K6</f>
        <v>18</v>
      </c>
      <c r="H6">
        <f>使用レシピ!L6</f>
        <v>50</v>
      </c>
      <c r="I6" t="str">
        <f>使用レシピ!M6</f>
        <v/>
      </c>
      <c r="J6" t="str">
        <f>使用レシピ!N6</f>
        <v/>
      </c>
      <c r="K6" t="str">
        <f>使用レシピ!O6</f>
        <v/>
      </c>
      <c r="L6">
        <f>使用レシピ!P6</f>
        <v>3</v>
      </c>
      <c r="M6">
        <f>使用レシピ!Q6</f>
        <v>15</v>
      </c>
    </row>
    <row r="7" spans="1:13" x14ac:dyDescent="0.4">
      <c r="A7">
        <f>使用レシピ!C7</f>
        <v>6</v>
      </c>
      <c r="B7">
        <f>IF(使用レシピ!F7="","",MATCH(使用レシピ!F7,使用レシピ!$E:$E,0)-1)</f>
        <v>7</v>
      </c>
      <c r="C7" t="str">
        <f>IF(使用レシピ!G7="","",MATCH(使用レシピ!G7,使用レシピ!$E:$E,0)-1)</f>
        <v/>
      </c>
      <c r="D7" t="str">
        <f>IF(使用レシピ!H7="","",MATCH(使用レシピ!H7,使用レシピ!$E:$E,0)-1)</f>
        <v/>
      </c>
      <c r="E7" t="str">
        <f>IF(使用レシピ!I7="","",MATCH(使用レシピ!I7,使用レシピ!$E:$E,0)-1)</f>
        <v/>
      </c>
      <c r="F7" t="str">
        <f>IF(使用レシピ!J7="","",MATCH(使用レシピ!J7,使用レシピ!$E:$E,0)-1)</f>
        <v/>
      </c>
      <c r="G7">
        <f>使用レシピ!K7</f>
        <v>2</v>
      </c>
      <c r="H7" t="str">
        <f>使用レシピ!L7</f>
        <v/>
      </c>
      <c r="I7" t="str">
        <f>使用レシピ!M7</f>
        <v/>
      </c>
      <c r="J7" t="str">
        <f>使用レシピ!N7</f>
        <v/>
      </c>
      <c r="K7" t="str">
        <f>使用レシピ!O7</f>
        <v/>
      </c>
      <c r="L7">
        <f>使用レシピ!P7</f>
        <v>1</v>
      </c>
      <c r="M7">
        <f>使用レシピ!Q7</f>
        <v>30</v>
      </c>
    </row>
    <row r="8" spans="1:13" x14ac:dyDescent="0.4">
      <c r="A8">
        <f>使用レシピ!C8</f>
        <v>7</v>
      </c>
      <c r="B8">
        <f>IF(使用レシピ!F8="","",MATCH(使用レシピ!F8,使用レシピ!$E:$E,0)-1)</f>
        <v>8</v>
      </c>
      <c r="C8" t="str">
        <f>IF(使用レシピ!G8="","",MATCH(使用レシピ!G8,使用レシピ!$E:$E,0)-1)</f>
        <v/>
      </c>
      <c r="D8" t="str">
        <f>IF(使用レシピ!H8="","",MATCH(使用レシピ!H8,使用レシピ!$E:$E,0)-1)</f>
        <v/>
      </c>
      <c r="E8" t="str">
        <f>IF(使用レシピ!I8="","",MATCH(使用レシピ!I8,使用レシピ!$E:$E,0)-1)</f>
        <v/>
      </c>
      <c r="F8" t="str">
        <f>IF(使用レシピ!J8="","",MATCH(使用レシピ!J8,使用レシピ!$E:$E,0)-1)</f>
        <v/>
      </c>
      <c r="G8">
        <f>使用レシピ!K8</f>
        <v>1</v>
      </c>
      <c r="H8" t="str">
        <f>使用レシピ!L8</f>
        <v/>
      </c>
      <c r="I8" t="str">
        <f>使用レシピ!M8</f>
        <v/>
      </c>
      <c r="J8" t="str">
        <f>使用レシピ!N8</f>
        <v/>
      </c>
      <c r="K8" t="str">
        <f>使用レシピ!O8</f>
        <v/>
      </c>
      <c r="L8">
        <f>使用レシピ!P8</f>
        <v>2</v>
      </c>
      <c r="M8">
        <f>使用レシピ!Q8</f>
        <v>30</v>
      </c>
    </row>
    <row r="9" spans="1:13" x14ac:dyDescent="0.4">
      <c r="A9">
        <f>使用レシピ!C9</f>
        <v>8</v>
      </c>
      <c r="B9">
        <f>IF(使用レシピ!F9="","",MATCH(使用レシピ!F9,使用レシピ!$E:$E,0)-1)</f>
        <v>9</v>
      </c>
      <c r="C9">
        <f>IF(使用レシピ!G9="","",MATCH(使用レシピ!G9,使用レシピ!$E:$E,0)-1)</f>
        <v>56</v>
      </c>
      <c r="D9" t="str">
        <f>IF(使用レシピ!H9="","",MATCH(使用レシピ!H9,使用レシピ!$E:$E,0)-1)</f>
        <v/>
      </c>
      <c r="E9" t="str">
        <f>IF(使用レシピ!I9="","",MATCH(使用レシピ!I9,使用レシピ!$E:$E,0)-1)</f>
        <v/>
      </c>
      <c r="F9" t="str">
        <f>IF(使用レシピ!J9="","",MATCH(使用レシピ!J9,使用レシピ!$E:$E,0)-1)</f>
        <v/>
      </c>
      <c r="G9">
        <f>使用レシピ!K9</f>
        <v>6</v>
      </c>
      <c r="H9">
        <f>使用レシピ!L9</f>
        <v>4</v>
      </c>
      <c r="I9" t="str">
        <f>使用レシピ!M9</f>
        <v/>
      </c>
      <c r="J9" t="str">
        <f>使用レシピ!N9</f>
        <v/>
      </c>
      <c r="K9" t="str">
        <f>使用レシピ!O9</f>
        <v/>
      </c>
      <c r="L9">
        <f>使用レシピ!P9</f>
        <v>15</v>
      </c>
      <c r="M9">
        <f>使用レシピ!Q9</f>
        <v>37.5</v>
      </c>
    </row>
    <row r="10" spans="1:13" x14ac:dyDescent="0.4">
      <c r="A10">
        <f>使用レシピ!C10</f>
        <v>9</v>
      </c>
      <c r="B10" t="str">
        <f>IF(使用レシピ!F10="","",MATCH(使用レシピ!F10,使用レシピ!$E:$E,0)-1)</f>
        <v/>
      </c>
      <c r="C10" t="str">
        <f>IF(使用レシピ!G10="","",MATCH(使用レシピ!G10,使用レシピ!$E:$E,0)-1)</f>
        <v/>
      </c>
      <c r="D10" t="str">
        <f>IF(使用レシピ!H10="","",MATCH(使用レシピ!H10,使用レシピ!$E:$E,0)-1)</f>
        <v/>
      </c>
      <c r="E10" t="str">
        <f>IF(使用レシピ!I10="","",MATCH(使用レシピ!I10,使用レシピ!$E:$E,0)-1)</f>
        <v/>
      </c>
      <c r="F10" t="str">
        <f>IF(使用レシピ!J10="","",MATCH(使用レシピ!J10,使用レシピ!$E:$E,0)-1)</f>
        <v/>
      </c>
      <c r="G10" t="str">
        <f>使用レシピ!K10</f>
        <v/>
      </c>
      <c r="H10" t="str">
        <f>使用レシピ!L10</f>
        <v/>
      </c>
      <c r="I10" t="str">
        <f>使用レシピ!M10</f>
        <v/>
      </c>
      <c r="J10" t="str">
        <f>使用レシピ!N10</f>
        <v/>
      </c>
      <c r="K10" t="str">
        <f>使用レシピ!O10</f>
        <v/>
      </c>
      <c r="L10">
        <f>使用レシピ!P10</f>
        <v>1</v>
      </c>
      <c r="M10">
        <f>使用レシピ!Q10</f>
        <v>1200</v>
      </c>
    </row>
    <row r="11" spans="1:13" x14ac:dyDescent="0.4">
      <c r="A11">
        <f>使用レシピ!C11</f>
        <v>10</v>
      </c>
      <c r="B11">
        <f>IF(使用レシピ!F11="","",MATCH(使用レシピ!F11,使用レシピ!$E:$E,0)-1)</f>
        <v>11</v>
      </c>
      <c r="C11">
        <f>IF(使用レシピ!G11="","",MATCH(使用レシピ!G11,使用レシピ!$E:$E,0)-1)</f>
        <v>56</v>
      </c>
      <c r="D11" t="str">
        <f>IF(使用レシピ!H11="","",MATCH(使用レシピ!H11,使用レシピ!$E:$E,0)-1)</f>
        <v/>
      </c>
      <c r="E11" t="str">
        <f>IF(使用レシピ!I11="","",MATCH(使用レシピ!I11,使用レシピ!$E:$E,0)-1)</f>
        <v/>
      </c>
      <c r="F11" t="str">
        <f>IF(使用レシピ!J11="","",MATCH(使用レシピ!J11,使用レシピ!$E:$E,0)-1)</f>
        <v/>
      </c>
      <c r="G11">
        <f>使用レシピ!K11</f>
        <v>6</v>
      </c>
      <c r="H11">
        <f>使用レシピ!L11</f>
        <v>5</v>
      </c>
      <c r="I11" t="str">
        <f>使用レシピ!M11</f>
        <v/>
      </c>
      <c r="J11" t="str">
        <f>使用レシピ!N11</f>
        <v/>
      </c>
      <c r="K11" t="str">
        <f>使用レシピ!O11</f>
        <v/>
      </c>
      <c r="L11">
        <f>使用レシピ!P11</f>
        <v>4</v>
      </c>
      <c r="M11">
        <f>使用レシピ!Q11</f>
        <v>80</v>
      </c>
    </row>
    <row r="12" spans="1:13" x14ac:dyDescent="0.4">
      <c r="A12">
        <f>使用レシピ!C12</f>
        <v>11</v>
      </c>
      <c r="B12" t="str">
        <f>IF(使用レシピ!F12="","",MATCH(使用レシピ!F12,使用レシピ!$E:$E,0)-1)</f>
        <v/>
      </c>
      <c r="C12" t="str">
        <f>IF(使用レシピ!G12="","",MATCH(使用レシピ!G12,使用レシピ!$E:$E,0)-1)</f>
        <v/>
      </c>
      <c r="D12" t="str">
        <f>IF(使用レシピ!H12="","",MATCH(使用レシピ!H12,使用レシピ!$E:$E,0)-1)</f>
        <v/>
      </c>
      <c r="E12" t="str">
        <f>IF(使用レシピ!I12="","",MATCH(使用レシピ!I12,使用レシピ!$E:$E,0)-1)</f>
        <v/>
      </c>
      <c r="F12" t="str">
        <f>IF(使用レシピ!J12="","",MATCH(使用レシピ!J12,使用レシピ!$E:$E,0)-1)</f>
        <v/>
      </c>
      <c r="G12" t="str">
        <f>使用レシピ!K12</f>
        <v/>
      </c>
      <c r="H12" t="str">
        <f>使用レシピ!L12</f>
        <v/>
      </c>
      <c r="I12" t="str">
        <f>使用レシピ!M12</f>
        <v/>
      </c>
      <c r="J12" t="str">
        <f>使用レシピ!N12</f>
        <v/>
      </c>
      <c r="K12" t="str">
        <f>使用レシピ!O12</f>
        <v/>
      </c>
      <c r="L12">
        <f>使用レシピ!P12</f>
        <v>1</v>
      </c>
      <c r="M12">
        <f>使用レシピ!Q12</f>
        <v>1200</v>
      </c>
    </row>
    <row r="13" spans="1:13" x14ac:dyDescent="0.4">
      <c r="A13">
        <f>使用レシピ!C13</f>
        <v>12</v>
      </c>
      <c r="B13">
        <f>IF(使用レシピ!F13="","",MATCH(使用レシピ!F13,使用レシピ!$E:$E,0)-1)</f>
        <v>1</v>
      </c>
      <c r="C13" t="str">
        <f>IF(使用レシピ!G13="","",MATCH(使用レシピ!G13,使用レシピ!$E:$E,0)-1)</f>
        <v/>
      </c>
      <c r="D13" t="str">
        <f>IF(使用レシピ!H13="","",MATCH(使用レシピ!H13,使用レシピ!$E:$E,0)-1)</f>
        <v/>
      </c>
      <c r="E13" t="str">
        <f>IF(使用レシピ!I13="","",MATCH(使用レシピ!I13,使用レシピ!$E:$E,0)-1)</f>
        <v/>
      </c>
      <c r="F13" t="str">
        <f>IF(使用レシピ!J13="","",MATCH(使用レシピ!J13,使用レシピ!$E:$E,0)-1)</f>
        <v/>
      </c>
      <c r="G13">
        <f>使用レシピ!K13</f>
        <v>5</v>
      </c>
      <c r="H13" t="str">
        <f>使用レシピ!L13</f>
        <v/>
      </c>
      <c r="I13" t="str">
        <f>使用レシピ!M13</f>
        <v/>
      </c>
      <c r="J13" t="str">
        <f>使用レシピ!N13</f>
        <v/>
      </c>
      <c r="K13" t="str">
        <f>使用レシピ!O13</f>
        <v/>
      </c>
      <c r="L13">
        <f>使用レシピ!P13</f>
        <v>20</v>
      </c>
      <c r="M13">
        <f>使用レシピ!Q13</f>
        <v>50</v>
      </c>
    </row>
    <row r="14" spans="1:13" x14ac:dyDescent="0.4">
      <c r="A14">
        <f>使用レシピ!C14</f>
        <v>13</v>
      </c>
      <c r="B14">
        <f>IF(使用レシピ!F14="","",MATCH(使用レシピ!F14,使用レシピ!$E:$E,0)-1)</f>
        <v>14</v>
      </c>
      <c r="C14" t="str">
        <f>IF(使用レシピ!G14="","",MATCH(使用レシピ!G14,使用レシピ!$E:$E,0)-1)</f>
        <v/>
      </c>
      <c r="D14" t="str">
        <f>IF(使用レシピ!H14="","",MATCH(使用レシピ!H14,使用レシピ!$E:$E,0)-1)</f>
        <v/>
      </c>
      <c r="E14" t="str">
        <f>IF(使用レシピ!I14="","",MATCH(使用レシピ!I14,使用レシピ!$E:$E,0)-1)</f>
        <v/>
      </c>
      <c r="F14" t="str">
        <f>IF(使用レシピ!J14="","",MATCH(使用レシピ!J14,使用レシピ!$E:$E,0)-1)</f>
        <v/>
      </c>
      <c r="G14">
        <f>使用レシピ!K14</f>
        <v>4</v>
      </c>
      <c r="H14" t="str">
        <f>使用レシピ!L14</f>
        <v/>
      </c>
      <c r="I14" t="str">
        <f>使用レシピ!M14</f>
        <v/>
      </c>
      <c r="J14" t="str">
        <f>使用レシピ!N14</f>
        <v/>
      </c>
      <c r="K14" t="str">
        <f>使用レシピ!O14</f>
        <v/>
      </c>
      <c r="L14">
        <f>使用レシピ!P14</f>
        <v>20</v>
      </c>
      <c r="M14">
        <f>使用レシピ!Q14</f>
        <v>300</v>
      </c>
    </row>
    <row r="15" spans="1:13" x14ac:dyDescent="0.4">
      <c r="A15">
        <f>使用レシピ!C15</f>
        <v>14</v>
      </c>
      <c r="B15" t="str">
        <f>IF(使用レシピ!F15="","",MATCH(使用レシピ!F15,使用レシピ!$E:$E,0)-1)</f>
        <v/>
      </c>
      <c r="C15" t="str">
        <f>IF(使用レシピ!G15="","",MATCH(使用レシピ!G15,使用レシピ!$E:$E,0)-1)</f>
        <v/>
      </c>
      <c r="D15" t="str">
        <f>IF(使用レシピ!H15="","",MATCH(使用レシピ!H15,使用レシピ!$E:$E,0)-1)</f>
        <v/>
      </c>
      <c r="E15" t="str">
        <f>IF(使用レシピ!I15="","",MATCH(使用レシピ!I15,使用レシピ!$E:$E,0)-1)</f>
        <v/>
      </c>
      <c r="F15" t="str">
        <f>IF(使用レシピ!J15="","",MATCH(使用レシピ!J15,使用レシピ!$E:$E,0)-1)</f>
        <v/>
      </c>
      <c r="G15" t="str">
        <f>使用レシピ!K15</f>
        <v/>
      </c>
      <c r="H15" t="str">
        <f>使用レシピ!L15</f>
        <v/>
      </c>
      <c r="I15" t="str">
        <f>使用レシピ!M15</f>
        <v/>
      </c>
      <c r="J15" t="str">
        <f>使用レシピ!N15</f>
        <v/>
      </c>
      <c r="K15" t="str">
        <f>使用レシピ!O15</f>
        <v/>
      </c>
      <c r="L15">
        <f>使用レシピ!P15</f>
        <v>1</v>
      </c>
      <c r="M15">
        <f>使用レシピ!Q15</f>
        <v>1</v>
      </c>
    </row>
    <row r="16" spans="1:13" x14ac:dyDescent="0.4">
      <c r="A16">
        <f>使用レシピ!C16</f>
        <v>15</v>
      </c>
      <c r="B16" t="str">
        <f>IF(使用レシピ!F16="","",MATCH(使用レシピ!F16,使用レシピ!$E:$E,0)-1)</f>
        <v/>
      </c>
      <c r="C16" t="str">
        <f>IF(使用レシピ!G16="","",MATCH(使用レシピ!G16,使用レシピ!$E:$E,0)-1)</f>
        <v/>
      </c>
      <c r="D16" t="str">
        <f>IF(使用レシピ!H16="","",MATCH(使用レシピ!H16,使用レシピ!$E:$E,0)-1)</f>
        <v/>
      </c>
      <c r="E16" t="str">
        <f>IF(使用レシピ!I16="","",MATCH(使用レシピ!I16,使用レシピ!$E:$E,0)-1)</f>
        <v/>
      </c>
      <c r="F16" t="str">
        <f>IF(使用レシピ!J16="","",MATCH(使用レシピ!J16,使用レシピ!$E:$E,0)-1)</f>
        <v/>
      </c>
      <c r="G16" t="str">
        <f>使用レシピ!K16</f>
        <v/>
      </c>
      <c r="H16" t="str">
        <f>使用レシピ!L16</f>
        <v/>
      </c>
      <c r="I16" t="str">
        <f>使用レシピ!M16</f>
        <v/>
      </c>
      <c r="J16" t="str">
        <f>使用レシピ!N16</f>
        <v/>
      </c>
      <c r="K16" t="str">
        <f>使用レシピ!O16</f>
        <v/>
      </c>
      <c r="L16">
        <f>使用レシピ!P16</f>
        <v>1</v>
      </c>
      <c r="M16">
        <f>使用レシピ!Q16</f>
        <v>1</v>
      </c>
    </row>
    <row r="17" spans="1:13" x14ac:dyDescent="0.4">
      <c r="A17">
        <f>使用レシピ!C17</f>
        <v>16</v>
      </c>
      <c r="B17">
        <f>IF(使用レシピ!F17="","",MATCH(使用レシピ!F17,使用レシピ!$E:$E,0)-1)</f>
        <v>17</v>
      </c>
      <c r="C17" t="str">
        <f>IF(使用レシピ!G17="","",MATCH(使用レシピ!G17,使用レシピ!$E:$E,0)-1)</f>
        <v/>
      </c>
      <c r="D17" t="str">
        <f>IF(使用レシピ!H17="","",MATCH(使用レシピ!H17,使用レシピ!$E:$E,0)-1)</f>
        <v/>
      </c>
      <c r="E17" t="str">
        <f>IF(使用レシピ!I17="","",MATCH(使用レシピ!I17,使用レシピ!$E:$E,0)-1)</f>
        <v/>
      </c>
      <c r="F17" t="str">
        <f>IF(使用レシピ!J17="","",MATCH(使用レシピ!J17,使用レシピ!$E:$E,0)-1)</f>
        <v/>
      </c>
      <c r="G17">
        <f>使用レシピ!K17</f>
        <v>1</v>
      </c>
      <c r="H17" t="str">
        <f>使用レシピ!L17</f>
        <v/>
      </c>
      <c r="I17" t="str">
        <f>使用レシピ!M17</f>
        <v/>
      </c>
      <c r="J17" t="str">
        <f>使用レシピ!N17</f>
        <v/>
      </c>
      <c r="K17" t="str">
        <f>使用レシピ!O17</f>
        <v/>
      </c>
      <c r="L17">
        <f>使用レシピ!P17</f>
        <v>1</v>
      </c>
      <c r="M17">
        <f>使用レシピ!Q17</f>
        <v>20</v>
      </c>
    </row>
    <row r="18" spans="1:13" x14ac:dyDescent="0.4">
      <c r="A18">
        <f>使用レシピ!C18</f>
        <v>17</v>
      </c>
      <c r="B18" t="str">
        <f>IF(使用レシピ!F18="","",MATCH(使用レシピ!F18,使用レシピ!$E:$E,0)-1)</f>
        <v/>
      </c>
      <c r="C18" t="str">
        <f>IF(使用レシピ!G18="","",MATCH(使用レシピ!G18,使用レシピ!$E:$E,0)-1)</f>
        <v/>
      </c>
      <c r="D18" t="str">
        <f>IF(使用レシピ!H18="","",MATCH(使用レシピ!H18,使用レシピ!$E:$E,0)-1)</f>
        <v/>
      </c>
      <c r="E18" t="str">
        <f>IF(使用レシピ!I18="","",MATCH(使用レシピ!I18,使用レシピ!$E:$E,0)-1)</f>
        <v/>
      </c>
      <c r="F18" t="str">
        <f>IF(使用レシピ!J18="","",MATCH(使用レシピ!J18,使用レシピ!$E:$E,0)-1)</f>
        <v/>
      </c>
      <c r="G18" t="str">
        <f>使用レシピ!K18</f>
        <v/>
      </c>
      <c r="H18" t="str">
        <f>使用レシピ!L18</f>
        <v/>
      </c>
      <c r="I18" t="str">
        <f>使用レシピ!M18</f>
        <v/>
      </c>
      <c r="J18" t="str">
        <f>使用レシピ!N18</f>
        <v/>
      </c>
      <c r="K18" t="str">
        <f>使用レシピ!O18</f>
        <v/>
      </c>
      <c r="L18">
        <f>使用レシピ!P18</f>
        <v>1</v>
      </c>
      <c r="M18">
        <f>使用レシピ!Q18</f>
        <v>1</v>
      </c>
    </row>
    <row r="19" spans="1:13" x14ac:dyDescent="0.4">
      <c r="A19">
        <f>使用レシピ!C19</f>
        <v>18</v>
      </c>
      <c r="B19" t="str">
        <f>IF(使用レシピ!F19="","",MATCH(使用レシピ!F19,使用レシピ!$E:$E,0)-1)</f>
        <v/>
      </c>
      <c r="C19" t="str">
        <f>IF(使用レシピ!G19="","",MATCH(使用レシピ!G19,使用レシピ!$E:$E,0)-1)</f>
        <v/>
      </c>
      <c r="D19" t="str">
        <f>IF(使用レシピ!H19="","",MATCH(使用レシピ!H19,使用レシピ!$E:$E,0)-1)</f>
        <v/>
      </c>
      <c r="E19" t="str">
        <f>IF(使用レシピ!I19="","",MATCH(使用レシピ!I19,使用レシピ!$E:$E,0)-1)</f>
        <v/>
      </c>
      <c r="F19" t="str">
        <f>IF(使用レシピ!J19="","",MATCH(使用レシピ!J19,使用レシピ!$E:$E,0)-1)</f>
        <v/>
      </c>
      <c r="G19" t="str">
        <f>使用レシピ!K19</f>
        <v/>
      </c>
      <c r="H19" t="str">
        <f>使用レシピ!L19</f>
        <v/>
      </c>
      <c r="I19" t="str">
        <f>使用レシピ!M19</f>
        <v/>
      </c>
      <c r="J19" t="str">
        <f>使用レシピ!N19</f>
        <v/>
      </c>
      <c r="K19" t="str">
        <f>使用レシピ!O19</f>
        <v/>
      </c>
      <c r="L19">
        <f>使用レシピ!P19</f>
        <v>1</v>
      </c>
      <c r="M19">
        <f>使用レシピ!Q19</f>
        <v>1</v>
      </c>
    </row>
    <row r="20" spans="1:13" x14ac:dyDescent="0.4">
      <c r="A20">
        <f>使用レシピ!C20</f>
        <v>19</v>
      </c>
      <c r="B20" t="str">
        <f>IF(使用レシピ!F20="","",MATCH(使用レシピ!F20,使用レシピ!$E:$E,0)-1)</f>
        <v/>
      </c>
      <c r="C20" t="str">
        <f>IF(使用レシピ!G20="","",MATCH(使用レシピ!G20,使用レシピ!$E:$E,0)-1)</f>
        <v/>
      </c>
      <c r="D20" t="str">
        <f>IF(使用レシピ!H20="","",MATCH(使用レシピ!H20,使用レシピ!$E:$E,0)-1)</f>
        <v/>
      </c>
      <c r="E20" t="str">
        <f>IF(使用レシピ!I20="","",MATCH(使用レシピ!I20,使用レシピ!$E:$E,0)-1)</f>
        <v/>
      </c>
      <c r="F20" t="str">
        <f>IF(使用レシピ!J20="","",MATCH(使用レシピ!J20,使用レシピ!$E:$E,0)-1)</f>
        <v/>
      </c>
      <c r="G20" t="str">
        <f>使用レシピ!K20</f>
        <v/>
      </c>
      <c r="H20" t="str">
        <f>使用レシピ!L20</f>
        <v/>
      </c>
      <c r="I20" t="str">
        <f>使用レシピ!M20</f>
        <v/>
      </c>
      <c r="J20" t="str">
        <f>使用レシピ!N20</f>
        <v/>
      </c>
      <c r="K20" t="str">
        <f>使用レシピ!O20</f>
        <v/>
      </c>
      <c r="L20">
        <f>使用レシピ!P20</f>
        <v>1</v>
      </c>
      <c r="M20">
        <f>使用レシピ!Q20</f>
        <v>1</v>
      </c>
    </row>
    <row r="21" spans="1:13" x14ac:dyDescent="0.4">
      <c r="A21">
        <f>使用レシピ!C21</f>
        <v>20</v>
      </c>
      <c r="B21" t="str">
        <f>IF(使用レシピ!F21="","",MATCH(使用レシピ!F21,使用レシピ!$E:$E,0)-1)</f>
        <v/>
      </c>
      <c r="C21" t="str">
        <f>IF(使用レシピ!G21="","",MATCH(使用レシピ!G21,使用レシピ!$E:$E,0)-1)</f>
        <v/>
      </c>
      <c r="D21" t="str">
        <f>IF(使用レシピ!H21="","",MATCH(使用レシピ!H21,使用レシピ!$E:$E,0)-1)</f>
        <v/>
      </c>
      <c r="E21" t="str">
        <f>IF(使用レシピ!I21="","",MATCH(使用レシピ!I21,使用レシピ!$E:$E,0)-1)</f>
        <v/>
      </c>
      <c r="F21" t="str">
        <f>IF(使用レシピ!J21="","",MATCH(使用レシピ!J21,使用レシピ!$E:$E,0)-1)</f>
        <v/>
      </c>
      <c r="G21" t="str">
        <f>使用レシピ!K21</f>
        <v/>
      </c>
      <c r="H21" t="str">
        <f>使用レシピ!L21</f>
        <v/>
      </c>
      <c r="I21" t="str">
        <f>使用レシピ!M21</f>
        <v/>
      </c>
      <c r="J21" t="str">
        <f>使用レシピ!N21</f>
        <v/>
      </c>
      <c r="K21" t="str">
        <f>使用レシピ!O21</f>
        <v/>
      </c>
      <c r="L21">
        <f>使用レシピ!P21</f>
        <v>1</v>
      </c>
      <c r="M21">
        <f>使用レシピ!Q21</f>
        <v>1</v>
      </c>
    </row>
    <row r="22" spans="1:13" x14ac:dyDescent="0.4">
      <c r="A22">
        <f>使用レシピ!C22</f>
        <v>21</v>
      </c>
      <c r="B22">
        <f>IF(使用レシピ!F22="","",MATCH(使用レシピ!F22,使用レシピ!$E:$E,0)-1)</f>
        <v>124</v>
      </c>
      <c r="C22">
        <f>IF(使用レシピ!G22="","",MATCH(使用レシピ!G22,使用レシピ!$E:$E,0)-1)</f>
        <v>128</v>
      </c>
      <c r="D22">
        <f>IF(使用レシピ!H22="","",MATCH(使用レシピ!H22,使用レシピ!$E:$E,0)-1)</f>
        <v>47</v>
      </c>
      <c r="E22">
        <f>IF(使用レシピ!I22="","",MATCH(使用レシピ!I22,使用レシピ!$E:$E,0)-1)</f>
        <v>126</v>
      </c>
      <c r="F22">
        <f>IF(使用レシピ!J22="","",MATCH(使用レシピ!J22,使用レシピ!$E:$E,0)-1)</f>
        <v>127</v>
      </c>
      <c r="G22">
        <f>使用レシピ!K22</f>
        <v>2</v>
      </c>
      <c r="H22">
        <f>使用レシピ!L22</f>
        <v>2</v>
      </c>
      <c r="I22">
        <f>使用レシピ!M22</f>
        <v>12</v>
      </c>
      <c r="J22">
        <f>使用レシピ!N22</f>
        <v>12</v>
      </c>
      <c r="K22">
        <f>使用レシピ!O22</f>
        <v>12</v>
      </c>
      <c r="L22">
        <f>使用レシピ!P22</f>
        <v>1</v>
      </c>
      <c r="M22">
        <f>使用レシピ!Q22</f>
        <v>5</v>
      </c>
    </row>
    <row r="23" spans="1:13" x14ac:dyDescent="0.4">
      <c r="A23">
        <f>使用レシピ!C23</f>
        <v>22</v>
      </c>
      <c r="B23" t="str">
        <f>IF(使用レシピ!F23="","",MATCH(使用レシピ!F23,使用レシピ!$E:$E,0)-1)</f>
        <v/>
      </c>
      <c r="C23" t="str">
        <f>IF(使用レシピ!G23="","",MATCH(使用レシピ!G23,使用レシピ!$E:$E,0)-1)</f>
        <v/>
      </c>
      <c r="D23" t="str">
        <f>IF(使用レシピ!H23="","",MATCH(使用レシピ!H23,使用レシピ!$E:$E,0)-1)</f>
        <v/>
      </c>
      <c r="E23" t="str">
        <f>IF(使用レシピ!I23="","",MATCH(使用レシピ!I23,使用レシピ!$E:$E,0)-1)</f>
        <v/>
      </c>
      <c r="F23" t="str">
        <f>IF(使用レシピ!J23="","",MATCH(使用レシピ!J23,使用レシピ!$E:$E,0)-1)</f>
        <v/>
      </c>
      <c r="G23" t="str">
        <f>使用レシピ!K23</f>
        <v/>
      </c>
      <c r="H23" t="str">
        <f>使用レシピ!L23</f>
        <v/>
      </c>
      <c r="I23" t="str">
        <f>使用レシピ!M23</f>
        <v/>
      </c>
      <c r="J23" t="str">
        <f>使用レシピ!N23</f>
        <v/>
      </c>
      <c r="K23" t="str">
        <f>使用レシピ!O23</f>
        <v/>
      </c>
      <c r="L23">
        <f>使用レシピ!P23</f>
        <v>1</v>
      </c>
      <c r="M23">
        <f>使用レシピ!Q23</f>
        <v>1</v>
      </c>
    </row>
    <row r="24" spans="1:13" x14ac:dyDescent="0.4">
      <c r="A24">
        <f>使用レシピ!C24</f>
        <v>23</v>
      </c>
      <c r="B24" t="str">
        <f>IF(使用レシピ!F24="","",MATCH(使用レシピ!F24,使用レシピ!$E:$E,0)-1)</f>
        <v/>
      </c>
      <c r="C24" t="str">
        <f>IF(使用レシピ!G24="","",MATCH(使用レシピ!G24,使用レシピ!$E:$E,0)-1)</f>
        <v/>
      </c>
      <c r="D24" t="str">
        <f>IF(使用レシピ!H24="","",MATCH(使用レシピ!H24,使用レシピ!$E:$E,0)-1)</f>
        <v/>
      </c>
      <c r="E24" t="str">
        <f>IF(使用レシピ!I24="","",MATCH(使用レシピ!I24,使用レシピ!$E:$E,0)-1)</f>
        <v/>
      </c>
      <c r="F24" t="str">
        <f>IF(使用レシピ!J24="","",MATCH(使用レシピ!J24,使用レシピ!$E:$E,0)-1)</f>
        <v/>
      </c>
      <c r="G24" t="str">
        <f>使用レシピ!K24</f>
        <v/>
      </c>
      <c r="H24" t="str">
        <f>使用レシピ!L24</f>
        <v/>
      </c>
      <c r="I24" t="str">
        <f>使用レシピ!M24</f>
        <v/>
      </c>
      <c r="J24" t="str">
        <f>使用レシピ!N24</f>
        <v/>
      </c>
      <c r="K24" t="str">
        <f>使用レシピ!O24</f>
        <v/>
      </c>
      <c r="L24">
        <f>使用レシピ!P24</f>
        <v>1</v>
      </c>
      <c r="M24">
        <f>使用レシピ!Q24</f>
        <v>1</v>
      </c>
    </row>
    <row r="25" spans="1:13" x14ac:dyDescent="0.4">
      <c r="A25">
        <f>使用レシピ!C25</f>
        <v>24</v>
      </c>
      <c r="B25" t="str">
        <f>IF(使用レシピ!F25="","",MATCH(使用レシピ!F25,使用レシピ!$E:$E,0)-1)</f>
        <v/>
      </c>
      <c r="C25" t="str">
        <f>IF(使用レシピ!G25="","",MATCH(使用レシピ!G25,使用レシピ!$E:$E,0)-1)</f>
        <v/>
      </c>
      <c r="D25" t="str">
        <f>IF(使用レシピ!H25="","",MATCH(使用レシピ!H25,使用レシピ!$E:$E,0)-1)</f>
        <v/>
      </c>
      <c r="E25" t="str">
        <f>IF(使用レシピ!I25="","",MATCH(使用レシピ!I25,使用レシピ!$E:$E,0)-1)</f>
        <v/>
      </c>
      <c r="F25" t="str">
        <f>IF(使用レシピ!J25="","",MATCH(使用レシピ!J25,使用レシピ!$E:$E,0)-1)</f>
        <v/>
      </c>
      <c r="G25" t="str">
        <f>使用レシピ!K25</f>
        <v/>
      </c>
      <c r="H25" t="str">
        <f>使用レシピ!L25</f>
        <v/>
      </c>
      <c r="I25" t="str">
        <f>使用レシピ!M25</f>
        <v/>
      </c>
      <c r="J25" t="str">
        <f>使用レシピ!N25</f>
        <v/>
      </c>
      <c r="K25" t="str">
        <f>使用レシピ!O25</f>
        <v/>
      </c>
      <c r="L25">
        <f>使用レシピ!P25</f>
        <v>1</v>
      </c>
      <c r="M25">
        <f>使用レシピ!Q25</f>
        <v>1</v>
      </c>
    </row>
    <row r="26" spans="1:13" x14ac:dyDescent="0.4">
      <c r="A26">
        <f>使用レシピ!C26</f>
        <v>25</v>
      </c>
      <c r="B26">
        <f>IF(使用レシピ!F26="","",MATCH(使用レシピ!F26,使用レシピ!$E:$E,0)-1)</f>
        <v>13</v>
      </c>
      <c r="C26" t="str">
        <f>IF(使用レシピ!G26="","",MATCH(使用レシピ!G26,使用レシピ!$E:$E,0)-1)</f>
        <v/>
      </c>
      <c r="D26" t="str">
        <f>IF(使用レシピ!H26="","",MATCH(使用レシピ!H26,使用レシピ!$E:$E,0)-1)</f>
        <v/>
      </c>
      <c r="E26" t="str">
        <f>IF(使用レシピ!I26="","",MATCH(使用レシピ!I26,使用レシピ!$E:$E,0)-1)</f>
        <v/>
      </c>
      <c r="F26" t="str">
        <f>IF(使用レシピ!J26="","",MATCH(使用レシピ!J26,使用レシピ!$E:$E,0)-1)</f>
        <v/>
      </c>
      <c r="G26">
        <f>使用レシピ!K26</f>
        <v>8</v>
      </c>
      <c r="H26" t="str">
        <f>使用レシピ!L26</f>
        <v/>
      </c>
      <c r="I26" t="str">
        <f>使用レシピ!M26</f>
        <v/>
      </c>
      <c r="J26" t="str">
        <f>使用レシピ!N26</f>
        <v/>
      </c>
      <c r="K26" t="str">
        <f>使用レシピ!O26</f>
        <v/>
      </c>
      <c r="L26">
        <f>使用レシピ!P26</f>
        <v>4</v>
      </c>
      <c r="M26">
        <f>使用レシピ!Q26</f>
        <v>60</v>
      </c>
    </row>
    <row r="27" spans="1:13" x14ac:dyDescent="0.4">
      <c r="A27">
        <f>使用レシピ!C27</f>
        <v>26</v>
      </c>
      <c r="B27">
        <f>IF(使用レシピ!F27="","",MATCH(使用レシピ!F27,使用レシピ!$E:$E,0)-1)</f>
        <v>4</v>
      </c>
      <c r="C27">
        <f>IF(使用レシピ!G27="","",MATCH(使用レシピ!G27,使用レシピ!$E:$E,0)-1)</f>
        <v>12</v>
      </c>
      <c r="D27" t="str">
        <f>IF(使用レシピ!H27="","",MATCH(使用レシピ!H27,使用レシピ!$E:$E,0)-1)</f>
        <v/>
      </c>
      <c r="E27" t="str">
        <f>IF(使用レシピ!I27="","",MATCH(使用レシピ!I27,使用レシピ!$E:$E,0)-1)</f>
        <v/>
      </c>
      <c r="F27" t="str">
        <f>IF(使用レシピ!J27="","",MATCH(使用レシピ!J27,使用レシピ!$E:$E,0)-1)</f>
        <v/>
      </c>
      <c r="G27">
        <f>使用レシピ!K27</f>
        <v>5</v>
      </c>
      <c r="H27">
        <f>使用レシピ!L27</f>
        <v>25</v>
      </c>
      <c r="I27" t="str">
        <f>使用レシピ!M27</f>
        <v/>
      </c>
      <c r="J27" t="str">
        <f>使用レシピ!N27</f>
        <v/>
      </c>
      <c r="K27" t="str">
        <f>使用レシピ!O27</f>
        <v/>
      </c>
      <c r="L27">
        <f>使用レシピ!P27</f>
        <v>1</v>
      </c>
      <c r="M27">
        <f>使用レシピ!Q27</f>
        <v>4</v>
      </c>
    </row>
    <row r="28" spans="1:13" x14ac:dyDescent="0.4">
      <c r="A28">
        <f>使用レシピ!C28</f>
        <v>27</v>
      </c>
      <c r="B28">
        <f>IF(使用レシピ!F28="","",MATCH(使用レシピ!F28,使用レシピ!$E:$E,0)-1)</f>
        <v>8</v>
      </c>
      <c r="C28">
        <f>IF(使用レシピ!G28="","",MATCH(使用レシピ!G28,使用レシピ!$E:$E,0)-1)</f>
        <v>56</v>
      </c>
      <c r="D28" t="str">
        <f>IF(使用レシピ!H28="","",MATCH(使用レシピ!H28,使用レシピ!$E:$E,0)-1)</f>
        <v/>
      </c>
      <c r="E28" t="str">
        <f>IF(使用レシピ!I28="","",MATCH(使用レシピ!I28,使用レシピ!$E:$E,0)-1)</f>
        <v/>
      </c>
      <c r="F28" t="str">
        <f>IF(使用レシピ!J28="","",MATCH(使用レシピ!J28,使用レシピ!$E:$E,0)-1)</f>
        <v/>
      </c>
      <c r="G28">
        <f>使用レシピ!K28</f>
        <v>3</v>
      </c>
      <c r="H28">
        <f>使用レシピ!L28</f>
        <v>3</v>
      </c>
      <c r="I28" t="str">
        <f>使用レシピ!M28</f>
        <v/>
      </c>
      <c r="J28" t="str">
        <f>使用レシピ!N28</f>
        <v/>
      </c>
      <c r="K28" t="str">
        <f>使用レシピ!O28</f>
        <v/>
      </c>
      <c r="L28">
        <f>使用レシピ!P28</f>
        <v>3</v>
      </c>
      <c r="M28">
        <f>使用レシピ!Q28</f>
        <v>22.5</v>
      </c>
    </row>
    <row r="29" spans="1:13" x14ac:dyDescent="0.4">
      <c r="A29">
        <f>使用レシピ!C29</f>
        <v>28</v>
      </c>
      <c r="B29">
        <f>IF(使用レシピ!F29="","",MATCH(使用レシピ!F29,使用レシピ!$E:$E,0)-1)</f>
        <v>5</v>
      </c>
      <c r="C29">
        <f>IF(使用レシピ!G29="","",MATCH(使用レシピ!G29,使用レシピ!$E:$E,0)-1)</f>
        <v>12</v>
      </c>
      <c r="D29" t="str">
        <f>IF(使用レシピ!H29="","",MATCH(使用レシピ!H29,使用レシピ!$E:$E,0)-1)</f>
        <v/>
      </c>
      <c r="E29" t="str">
        <f>IF(使用レシピ!I29="","",MATCH(使用レシピ!I29,使用レシピ!$E:$E,0)-1)</f>
        <v/>
      </c>
      <c r="F29" t="str">
        <f>IF(使用レシピ!J29="","",MATCH(使用レシピ!J29,使用レシピ!$E:$E,0)-1)</f>
        <v/>
      </c>
      <c r="G29">
        <f>使用レシピ!K29</f>
        <v>3</v>
      </c>
      <c r="H29">
        <f>使用レシピ!L29</f>
        <v>56</v>
      </c>
      <c r="I29" t="str">
        <f>使用レシピ!M29</f>
        <v/>
      </c>
      <c r="J29" t="str">
        <f>使用レシピ!N29</f>
        <v/>
      </c>
      <c r="K29" t="str">
        <f>使用レシピ!O29</f>
        <v/>
      </c>
      <c r="L29">
        <f>使用レシピ!P29</f>
        <v>2</v>
      </c>
      <c r="M29">
        <f>使用レシピ!Q29</f>
        <v>5</v>
      </c>
    </row>
    <row r="30" spans="1:13" x14ac:dyDescent="0.4">
      <c r="A30">
        <f>使用レシピ!C30</f>
        <v>29</v>
      </c>
      <c r="B30">
        <f>IF(使用レシピ!F30="","",MATCH(使用レシピ!F30,使用レシピ!$E:$E,0)-1)</f>
        <v>5</v>
      </c>
      <c r="C30">
        <f>IF(使用レシピ!G30="","",MATCH(使用レシピ!G30,使用レシピ!$E:$E,0)-1)</f>
        <v>26</v>
      </c>
      <c r="D30" t="str">
        <f>IF(使用レシピ!H30="","",MATCH(使用レシピ!H30,使用レシピ!$E:$E,0)-1)</f>
        <v/>
      </c>
      <c r="E30" t="str">
        <f>IF(使用レシピ!I30="","",MATCH(使用レシピ!I30,使用レシピ!$E:$E,0)-1)</f>
        <v/>
      </c>
      <c r="F30" t="str">
        <f>IF(使用レシピ!J30="","",MATCH(使用レシピ!J30,使用レシピ!$E:$E,0)-1)</f>
        <v/>
      </c>
      <c r="G30">
        <f>使用レシピ!K30</f>
        <v>1</v>
      </c>
      <c r="H30">
        <f>使用レシピ!L30</f>
        <v>1</v>
      </c>
      <c r="I30" t="str">
        <f>使用レシピ!M30</f>
        <v/>
      </c>
      <c r="J30" t="str">
        <f>使用レシピ!N30</f>
        <v/>
      </c>
      <c r="K30" t="str">
        <f>使用レシピ!O30</f>
        <v/>
      </c>
      <c r="L30">
        <f>使用レシピ!P30</f>
        <v>1</v>
      </c>
      <c r="M30">
        <f>使用レシピ!Q30</f>
        <v>2</v>
      </c>
    </row>
    <row r="31" spans="1:13" x14ac:dyDescent="0.4">
      <c r="A31">
        <f>使用レシピ!C31</f>
        <v>30</v>
      </c>
      <c r="B31">
        <f>IF(使用レシピ!F31="","",MATCH(使用レシピ!F31,使用レシピ!$E:$E,0)-1)</f>
        <v>31</v>
      </c>
      <c r="C31">
        <f>IF(使用レシピ!G31="","",MATCH(使用レシピ!G31,使用レシピ!$E:$E,0)-1)</f>
        <v>32</v>
      </c>
      <c r="D31" t="str">
        <f>IF(使用レシピ!H31="","",MATCH(使用レシピ!H31,使用レシピ!$E:$E,0)-1)</f>
        <v/>
      </c>
      <c r="E31" t="str">
        <f>IF(使用レシピ!I31="","",MATCH(使用レシピ!I31,使用レシピ!$E:$E,0)-1)</f>
        <v/>
      </c>
      <c r="F31" t="str">
        <f>IF(使用レシピ!J31="","",MATCH(使用レシピ!J31,使用レシピ!$E:$E,0)-1)</f>
        <v/>
      </c>
      <c r="G31">
        <f>使用レシピ!K31</f>
        <v>1</v>
      </c>
      <c r="H31">
        <f>使用レシピ!L31</f>
        <v>1</v>
      </c>
      <c r="I31" t="str">
        <f>使用レシピ!M31</f>
        <v/>
      </c>
      <c r="J31" t="str">
        <f>使用レシピ!N31</f>
        <v/>
      </c>
      <c r="K31" t="str">
        <f>使用レシピ!O31</f>
        <v/>
      </c>
      <c r="L31">
        <f>使用レシピ!P31</f>
        <v>2</v>
      </c>
      <c r="M31">
        <f>使用レシピ!Q31</f>
        <v>30</v>
      </c>
    </row>
    <row r="32" spans="1:13" x14ac:dyDescent="0.4">
      <c r="A32">
        <f>使用レシピ!C32</f>
        <v>31</v>
      </c>
      <c r="B32" t="str">
        <f>IF(使用レシピ!F32="","",MATCH(使用レシピ!F32,使用レシピ!$E:$E,0)-1)</f>
        <v/>
      </c>
      <c r="C32" t="str">
        <f>IF(使用レシピ!G32="","",MATCH(使用レシピ!G32,使用レシピ!$E:$E,0)-1)</f>
        <v/>
      </c>
      <c r="D32" t="str">
        <f>IF(使用レシピ!H32="","",MATCH(使用レシピ!H32,使用レシピ!$E:$E,0)-1)</f>
        <v/>
      </c>
      <c r="E32" t="str">
        <f>IF(使用レシピ!I32="","",MATCH(使用レシピ!I32,使用レシピ!$E:$E,0)-1)</f>
        <v/>
      </c>
      <c r="F32" t="str">
        <f>IF(使用レシピ!J32="","",MATCH(使用レシピ!J32,使用レシピ!$E:$E,0)-1)</f>
        <v/>
      </c>
      <c r="G32" t="str">
        <f>使用レシピ!K32</f>
        <v/>
      </c>
      <c r="H32" t="str">
        <f>使用レシピ!L32</f>
        <v/>
      </c>
      <c r="I32" t="str">
        <f>使用レシピ!M32</f>
        <v/>
      </c>
      <c r="J32" t="str">
        <f>使用レシピ!N32</f>
        <v/>
      </c>
      <c r="K32" t="str">
        <f>使用レシピ!O32</f>
        <v/>
      </c>
      <c r="L32">
        <f>使用レシピ!P32</f>
        <v>1</v>
      </c>
      <c r="M32">
        <f>使用レシピ!Q32</f>
        <v>1200</v>
      </c>
    </row>
    <row r="33" spans="1:13" x14ac:dyDescent="0.4">
      <c r="A33">
        <f>使用レシピ!C33</f>
        <v>32</v>
      </c>
      <c r="B33" t="str">
        <f>IF(使用レシピ!F33="","",MATCH(使用レシピ!F33,使用レシピ!$E:$E,0)-1)</f>
        <v/>
      </c>
      <c r="C33" t="str">
        <f>IF(使用レシピ!G33="","",MATCH(使用レシピ!G33,使用レシピ!$E:$E,0)-1)</f>
        <v/>
      </c>
      <c r="D33" t="str">
        <f>IF(使用レシピ!H33="","",MATCH(使用レシピ!H33,使用レシピ!$E:$E,0)-1)</f>
        <v/>
      </c>
      <c r="E33" t="str">
        <f>IF(使用レシピ!I33="","",MATCH(使用レシピ!I33,使用レシピ!$E:$E,0)-1)</f>
        <v/>
      </c>
      <c r="F33" t="str">
        <f>IF(使用レシピ!J33="","",MATCH(使用レシピ!J33,使用レシピ!$E:$E,0)-1)</f>
        <v/>
      </c>
      <c r="G33" t="str">
        <f>使用レシピ!K33</f>
        <v/>
      </c>
      <c r="H33" t="str">
        <f>使用レシピ!L33</f>
        <v/>
      </c>
      <c r="I33" t="str">
        <f>使用レシピ!M33</f>
        <v/>
      </c>
      <c r="J33" t="str">
        <f>使用レシピ!N33</f>
        <v/>
      </c>
      <c r="K33" t="str">
        <f>使用レシピ!O33</f>
        <v/>
      </c>
      <c r="L33">
        <f>使用レシピ!P33</f>
        <v>1</v>
      </c>
      <c r="M33">
        <f>使用レシピ!Q33</f>
        <v>1200</v>
      </c>
    </row>
    <row r="34" spans="1:13" x14ac:dyDescent="0.4">
      <c r="A34">
        <f>使用レシピ!C34</f>
        <v>33</v>
      </c>
      <c r="B34">
        <f>IF(使用レシピ!F34="","",MATCH(使用レシピ!F34,使用レシピ!$E:$E,0)-1)</f>
        <v>34</v>
      </c>
      <c r="C34">
        <f>IF(使用レシピ!G34="","",MATCH(使用レシピ!G34,使用レシピ!$E:$E,0)-1)</f>
        <v>56</v>
      </c>
      <c r="D34" t="str">
        <f>IF(使用レシピ!H34="","",MATCH(使用レシピ!H34,使用レシピ!$E:$E,0)-1)</f>
        <v/>
      </c>
      <c r="E34" t="str">
        <f>IF(使用レシピ!I34="","",MATCH(使用レシピ!I34,使用レシピ!$E:$E,0)-1)</f>
        <v/>
      </c>
      <c r="F34" t="str">
        <f>IF(使用レシピ!J34="","",MATCH(使用レシピ!J34,使用レシピ!$E:$E,0)-1)</f>
        <v/>
      </c>
      <c r="G34">
        <f>使用レシピ!K34</f>
        <v>2</v>
      </c>
      <c r="H34">
        <f>使用レシピ!L34</f>
        <v>2</v>
      </c>
      <c r="I34" t="str">
        <f>使用レシピ!M34</f>
        <v/>
      </c>
      <c r="J34" t="str">
        <f>使用レシピ!N34</f>
        <v/>
      </c>
      <c r="K34" t="str">
        <f>使用レシピ!O34</f>
        <v/>
      </c>
      <c r="L34">
        <f>使用レシピ!P34</f>
        <v>1</v>
      </c>
      <c r="M34">
        <f>使用レシピ!Q34</f>
        <v>12</v>
      </c>
    </row>
    <row r="35" spans="1:13" x14ac:dyDescent="0.4">
      <c r="A35">
        <f>使用レシピ!C35</f>
        <v>34</v>
      </c>
      <c r="B35" t="str">
        <f>IF(使用レシピ!F35="","",MATCH(使用レシピ!F35,使用レシピ!$E:$E,0)-1)</f>
        <v/>
      </c>
      <c r="C35" t="str">
        <f>IF(使用レシピ!G35="","",MATCH(使用レシピ!G35,使用レシピ!$E:$E,0)-1)</f>
        <v/>
      </c>
      <c r="D35" t="str">
        <f>IF(使用レシピ!H35="","",MATCH(使用レシピ!H35,使用レシピ!$E:$E,0)-1)</f>
        <v/>
      </c>
      <c r="E35" t="str">
        <f>IF(使用レシピ!I35="","",MATCH(使用レシピ!I35,使用レシピ!$E:$E,0)-1)</f>
        <v/>
      </c>
      <c r="F35" t="str">
        <f>IF(使用レシピ!J35="","",MATCH(使用レシピ!J35,使用レシピ!$E:$E,0)-1)</f>
        <v/>
      </c>
      <c r="G35" t="str">
        <f>使用レシピ!K35</f>
        <v/>
      </c>
      <c r="H35" t="str">
        <f>使用レシピ!L35</f>
        <v/>
      </c>
      <c r="I35" t="str">
        <f>使用レシピ!M35</f>
        <v/>
      </c>
      <c r="J35" t="str">
        <f>使用レシピ!N35</f>
        <v/>
      </c>
      <c r="K35" t="str">
        <f>使用レシピ!O35</f>
        <v/>
      </c>
      <c r="L35">
        <f>使用レシピ!P35</f>
        <v>1</v>
      </c>
      <c r="M35">
        <f>使用レシピ!Q35</f>
        <v>1200</v>
      </c>
    </row>
    <row r="36" spans="1:13" x14ac:dyDescent="0.4">
      <c r="A36">
        <f>使用レシピ!C36</f>
        <v>35</v>
      </c>
      <c r="B36">
        <f>IF(使用レシピ!F36="","",MATCH(使用レシピ!F36,使用レシピ!$E:$E,0)-1)</f>
        <v>33</v>
      </c>
      <c r="C36">
        <f>IF(使用レシピ!G36="","",MATCH(使用レシピ!G36,使用レシピ!$E:$E,0)-1)</f>
        <v>8</v>
      </c>
      <c r="D36" t="str">
        <f>IF(使用レシピ!H36="","",MATCH(使用レシピ!H36,使用レシピ!$E:$E,0)-1)</f>
        <v/>
      </c>
      <c r="E36" t="str">
        <f>IF(使用レシピ!I36="","",MATCH(使用レシピ!I36,使用レシピ!$E:$E,0)-1)</f>
        <v/>
      </c>
      <c r="F36" t="str">
        <f>IF(使用レシピ!J36="","",MATCH(使用レシピ!J36,使用レシピ!$E:$E,0)-1)</f>
        <v/>
      </c>
      <c r="G36">
        <f>使用レシピ!K36</f>
        <v>1</v>
      </c>
      <c r="H36">
        <f>使用レシピ!L36</f>
        <v>5</v>
      </c>
      <c r="I36" t="str">
        <f>使用レシピ!M36</f>
        <v/>
      </c>
      <c r="J36" t="str">
        <f>使用レシピ!N36</f>
        <v/>
      </c>
      <c r="K36" t="str">
        <f>使用レシピ!O36</f>
        <v/>
      </c>
      <c r="L36">
        <f>使用レシピ!P36</f>
        <v>12</v>
      </c>
      <c r="M36">
        <f>使用レシピ!Q36</f>
        <v>90</v>
      </c>
    </row>
    <row r="37" spans="1:13" x14ac:dyDescent="0.4">
      <c r="A37">
        <f>使用レシピ!C37</f>
        <v>36</v>
      </c>
      <c r="B37">
        <f>IF(使用レシピ!F37="","",MATCH(使用レシピ!F37,使用レシピ!$E:$E,0)-1)</f>
        <v>1</v>
      </c>
      <c r="C37">
        <f>IF(使用レシピ!G37="","",MATCH(使用レシピ!G37,使用レシピ!$E:$E,0)-1)</f>
        <v>31</v>
      </c>
      <c r="D37" t="str">
        <f>IF(使用レシピ!H37="","",MATCH(使用レシピ!H37,使用レシピ!$E:$E,0)-1)</f>
        <v/>
      </c>
      <c r="E37" t="str">
        <f>IF(使用レシピ!I37="","",MATCH(使用レシピ!I37,使用レシピ!$E:$E,0)-1)</f>
        <v/>
      </c>
      <c r="F37" t="str">
        <f>IF(使用レシピ!J37="","",MATCH(使用レシピ!J37,使用レシピ!$E:$E,0)-1)</f>
        <v/>
      </c>
      <c r="G37">
        <f>使用レシピ!K37</f>
        <v>2</v>
      </c>
      <c r="H37">
        <f>使用レシピ!L37</f>
        <v>2</v>
      </c>
      <c r="I37" t="str">
        <f>使用レシピ!M37</f>
        <v/>
      </c>
      <c r="J37" t="str">
        <f>使用レシピ!N37</f>
        <v/>
      </c>
      <c r="K37" t="str">
        <f>使用レシピ!O37</f>
        <v/>
      </c>
      <c r="L37">
        <f>使用レシピ!P37</f>
        <v>3</v>
      </c>
      <c r="M37">
        <f>使用レシピ!Q37</f>
        <v>60</v>
      </c>
    </row>
    <row r="38" spans="1:13" x14ac:dyDescent="0.4">
      <c r="A38">
        <f>使用レシピ!C38</f>
        <v>37</v>
      </c>
      <c r="B38">
        <f>IF(使用レシピ!F38="","",MATCH(使用レシピ!F38,使用レシピ!$E:$E,0)-1)</f>
        <v>36</v>
      </c>
      <c r="C38">
        <f>IF(使用レシピ!G38="","",MATCH(使用レシピ!G38,使用レシピ!$E:$E,0)-1)</f>
        <v>10</v>
      </c>
      <c r="D38" t="str">
        <f>IF(使用レシピ!H38="","",MATCH(使用レシピ!H38,使用レシピ!$E:$E,0)-1)</f>
        <v/>
      </c>
      <c r="E38" t="str">
        <f>IF(使用レシピ!I38="","",MATCH(使用レシピ!I38,使用レシピ!$E:$E,0)-1)</f>
        <v/>
      </c>
      <c r="F38" t="str">
        <f>IF(使用レシピ!J38="","",MATCH(使用レシピ!J38,使用レシピ!$E:$E,0)-1)</f>
        <v/>
      </c>
      <c r="G38">
        <f>使用レシピ!K38</f>
        <v>24</v>
      </c>
      <c r="H38">
        <f>使用レシピ!L38</f>
        <v>16</v>
      </c>
      <c r="I38" t="str">
        <f>使用レシピ!M38</f>
        <v/>
      </c>
      <c r="J38" t="str">
        <f>使用レシピ!N38</f>
        <v/>
      </c>
      <c r="K38" t="str">
        <f>使用レシピ!O38</f>
        <v/>
      </c>
      <c r="L38">
        <f>使用レシピ!P38</f>
        <v>9</v>
      </c>
      <c r="M38">
        <f>使用レシピ!Q38</f>
        <v>45</v>
      </c>
    </row>
    <row r="39" spans="1:13" x14ac:dyDescent="0.4">
      <c r="A39">
        <f>使用レシピ!C39</f>
        <v>38</v>
      </c>
      <c r="B39">
        <f>IF(使用レシピ!F39="","",MATCH(使用レシピ!F39,使用レシピ!$E:$E,0)-1)</f>
        <v>36</v>
      </c>
      <c r="C39">
        <f>IF(使用レシピ!G39="","",MATCH(使用レシピ!G39,使用レシピ!$E:$E,0)-1)</f>
        <v>10</v>
      </c>
      <c r="D39" t="str">
        <f>IF(使用レシピ!H39="","",MATCH(使用レシピ!H39,使用レシピ!$E:$E,0)-1)</f>
        <v/>
      </c>
      <c r="E39" t="str">
        <f>IF(使用レシピ!I39="","",MATCH(使用レシピ!I39,使用レシピ!$E:$E,0)-1)</f>
        <v/>
      </c>
      <c r="F39" t="str">
        <f>IF(使用レシピ!J39="","",MATCH(使用レシピ!J39,使用レシピ!$E:$E,0)-1)</f>
        <v/>
      </c>
      <c r="G39">
        <f>使用レシピ!K39</f>
        <v>5</v>
      </c>
      <c r="H39">
        <f>使用レシピ!L39</f>
        <v>3</v>
      </c>
      <c r="I39" t="str">
        <f>使用レシピ!M39</f>
        <v/>
      </c>
      <c r="J39" t="str">
        <f>使用レシピ!N39</f>
        <v/>
      </c>
      <c r="K39" t="str">
        <f>使用レシピ!O39</f>
        <v/>
      </c>
      <c r="L39">
        <f>使用レシピ!P39</f>
        <v>5</v>
      </c>
      <c r="M39">
        <f>使用レシピ!Q39</f>
        <v>50</v>
      </c>
    </row>
    <row r="40" spans="1:13" x14ac:dyDescent="0.4">
      <c r="A40">
        <f>使用レシピ!C40</f>
        <v>39</v>
      </c>
      <c r="B40">
        <f>IF(使用レシピ!F40="","",MATCH(使用レシピ!F40,使用レシピ!$E:$E,0)-1)</f>
        <v>28</v>
      </c>
      <c r="C40">
        <f>IF(使用レシピ!G40="","",MATCH(使用レシピ!G40,使用レシピ!$E:$E,0)-1)</f>
        <v>37</v>
      </c>
      <c r="D40" t="str">
        <f>IF(使用レシピ!H40="","",MATCH(使用レシピ!H40,使用レシピ!$E:$E,0)-1)</f>
        <v/>
      </c>
      <c r="E40" t="str">
        <f>IF(使用レシピ!I40="","",MATCH(使用レシピ!I40,使用レシピ!$E:$E,0)-1)</f>
        <v/>
      </c>
      <c r="F40" t="str">
        <f>IF(使用レシピ!J40="","",MATCH(使用レシピ!J40,使用レシピ!$E:$E,0)-1)</f>
        <v/>
      </c>
      <c r="G40">
        <f>使用レシピ!K40</f>
        <v>1</v>
      </c>
      <c r="H40">
        <f>使用レシピ!L40</f>
        <v>12</v>
      </c>
      <c r="I40" t="str">
        <f>使用レシピ!M40</f>
        <v/>
      </c>
      <c r="J40" t="str">
        <f>使用レシピ!N40</f>
        <v/>
      </c>
      <c r="K40" t="str">
        <f>使用レシピ!O40</f>
        <v/>
      </c>
      <c r="L40">
        <f>使用レシピ!P40</f>
        <v>2</v>
      </c>
      <c r="M40">
        <f>使用レシピ!Q40</f>
        <v>5</v>
      </c>
    </row>
    <row r="41" spans="1:13" x14ac:dyDescent="0.4">
      <c r="A41">
        <f>使用レシピ!C41</f>
        <v>40</v>
      </c>
      <c r="B41">
        <f>IF(使用レシピ!F41="","",MATCH(使用レシピ!F41,使用レシピ!$E:$E,0)-1)</f>
        <v>41</v>
      </c>
      <c r="C41" t="str">
        <f>IF(使用レシピ!G41="","",MATCH(使用レシピ!G41,使用レシピ!$E:$E,0)-1)</f>
        <v/>
      </c>
      <c r="D41" t="str">
        <f>IF(使用レシピ!H41="","",MATCH(使用レシピ!H41,使用レシピ!$E:$E,0)-1)</f>
        <v/>
      </c>
      <c r="E41" t="str">
        <f>IF(使用レシピ!I41="","",MATCH(使用レシピ!I41,使用レシピ!$E:$E,0)-1)</f>
        <v/>
      </c>
      <c r="F41" t="str">
        <f>IF(使用レシピ!J41="","",MATCH(使用レシピ!J41,使用レシピ!$E:$E,0)-1)</f>
        <v/>
      </c>
      <c r="G41">
        <f>使用レシピ!K41</f>
        <v>4</v>
      </c>
      <c r="H41" t="str">
        <f>使用レシピ!L41</f>
        <v/>
      </c>
      <c r="I41" t="str">
        <f>使用レシピ!M41</f>
        <v/>
      </c>
      <c r="J41" t="str">
        <f>使用レシピ!N41</f>
        <v/>
      </c>
      <c r="K41" t="str">
        <f>使用レシピ!O41</f>
        <v/>
      </c>
      <c r="L41">
        <f>使用レシピ!P41</f>
        <v>1</v>
      </c>
      <c r="M41">
        <f>使用レシピ!Q41</f>
        <v>30</v>
      </c>
    </row>
    <row r="42" spans="1:13" x14ac:dyDescent="0.4">
      <c r="A42">
        <f>使用レシピ!C42</f>
        <v>41</v>
      </c>
      <c r="B42" t="str">
        <f>IF(使用レシピ!F42="","",MATCH(使用レシピ!F42,使用レシピ!$E:$E,0)-1)</f>
        <v/>
      </c>
      <c r="C42" t="str">
        <f>IF(使用レシピ!G42="","",MATCH(使用レシピ!G42,使用レシピ!$E:$E,0)-1)</f>
        <v/>
      </c>
      <c r="D42" t="str">
        <f>IF(使用レシピ!H42="","",MATCH(使用レシピ!H42,使用レシピ!$E:$E,0)-1)</f>
        <v/>
      </c>
      <c r="E42" t="str">
        <f>IF(使用レシピ!I42="","",MATCH(使用レシピ!I42,使用レシピ!$E:$E,0)-1)</f>
        <v/>
      </c>
      <c r="F42" t="str">
        <f>IF(使用レシピ!J42="","",MATCH(使用レシピ!J42,使用レシピ!$E:$E,0)-1)</f>
        <v/>
      </c>
      <c r="G42" t="str">
        <f>使用レシピ!K42</f>
        <v/>
      </c>
      <c r="H42" t="str">
        <f>使用レシピ!L42</f>
        <v/>
      </c>
      <c r="I42" t="str">
        <f>使用レシピ!M42</f>
        <v/>
      </c>
      <c r="J42" t="str">
        <f>使用レシピ!N42</f>
        <v/>
      </c>
      <c r="K42" t="str">
        <f>使用レシピ!O42</f>
        <v/>
      </c>
      <c r="L42">
        <f>使用レシピ!P42</f>
        <v>1</v>
      </c>
      <c r="M42">
        <f>使用レシピ!Q42</f>
        <v>1200</v>
      </c>
    </row>
    <row r="43" spans="1:13" x14ac:dyDescent="0.4">
      <c r="A43">
        <f>使用レシピ!C43</f>
        <v>42</v>
      </c>
      <c r="B43">
        <f>IF(使用レシピ!F43="","",MATCH(使用レシピ!F43,使用レシピ!$E:$E,0)-1)</f>
        <v>38</v>
      </c>
      <c r="C43">
        <f>IF(使用レシピ!G43="","",MATCH(使用レシピ!G43,使用レシピ!$E:$E,0)-1)</f>
        <v>10</v>
      </c>
      <c r="D43" t="str">
        <f>IF(使用レシピ!H43="","",MATCH(使用レシピ!H43,使用レシピ!$E:$E,0)-1)</f>
        <v/>
      </c>
      <c r="E43" t="str">
        <f>IF(使用レシピ!I43="","",MATCH(使用レシピ!I43,使用レシピ!$E:$E,0)-1)</f>
        <v/>
      </c>
      <c r="F43" t="str">
        <f>IF(使用レシピ!J43="","",MATCH(使用レシピ!J43,使用レシピ!$E:$E,0)-1)</f>
        <v/>
      </c>
      <c r="G43">
        <f>使用レシピ!K43</f>
        <v>6</v>
      </c>
      <c r="H43">
        <f>使用レシピ!L43</f>
        <v>5</v>
      </c>
      <c r="I43" t="str">
        <f>使用レシピ!M43</f>
        <v/>
      </c>
      <c r="J43" t="str">
        <f>使用レシピ!N43</f>
        <v/>
      </c>
      <c r="K43" t="str">
        <f>使用レシピ!O43</f>
        <v/>
      </c>
      <c r="L43">
        <f>使用レシピ!P43</f>
        <v>1</v>
      </c>
      <c r="M43">
        <f>使用レシピ!Q43</f>
        <v>4</v>
      </c>
    </row>
    <row r="44" spans="1:13" x14ac:dyDescent="0.4">
      <c r="A44">
        <f>使用レシピ!C44</f>
        <v>43</v>
      </c>
      <c r="B44">
        <f>IF(使用レシピ!F44="","",MATCH(使用レシピ!F44,使用レシピ!$E:$E,0)-1)</f>
        <v>38</v>
      </c>
      <c r="C44">
        <f>IF(使用レシピ!G44="","",MATCH(使用レシピ!G44,使用レシピ!$E:$E,0)-1)</f>
        <v>7</v>
      </c>
      <c r="D44" t="str">
        <f>IF(使用レシピ!H44="","",MATCH(使用レシピ!H44,使用レシピ!$E:$E,0)-1)</f>
        <v/>
      </c>
      <c r="E44" t="str">
        <f>IF(使用レシピ!I44="","",MATCH(使用レシピ!I44,使用レシピ!$E:$E,0)-1)</f>
        <v/>
      </c>
      <c r="F44" t="str">
        <f>IF(使用レシピ!J44="","",MATCH(使用レシピ!J44,使用レシピ!$E:$E,0)-1)</f>
        <v/>
      </c>
      <c r="G44">
        <f>使用レシピ!K44</f>
        <v>3</v>
      </c>
      <c r="H44">
        <f>使用レシピ!L44</f>
        <v>8</v>
      </c>
      <c r="I44" t="str">
        <f>使用レシピ!M44</f>
        <v/>
      </c>
      <c r="J44" t="str">
        <f>使用レシピ!N44</f>
        <v/>
      </c>
      <c r="K44" t="str">
        <f>使用レシピ!O44</f>
        <v/>
      </c>
      <c r="L44">
        <f>使用レシピ!P44</f>
        <v>1</v>
      </c>
      <c r="M44">
        <f>使用レシピ!Q44</f>
        <v>5</v>
      </c>
    </row>
    <row r="45" spans="1:13" x14ac:dyDescent="0.4">
      <c r="A45">
        <f>使用レシピ!C45</f>
        <v>44</v>
      </c>
      <c r="B45">
        <f>IF(使用レシピ!F45="","",MATCH(使用レシピ!F45,使用レシピ!$E:$E,0)-1)</f>
        <v>26</v>
      </c>
      <c r="C45">
        <f>IF(使用レシピ!G45="","",MATCH(使用レシピ!G45,使用レシピ!$E:$E,0)-1)</f>
        <v>43</v>
      </c>
      <c r="D45" t="str">
        <f>IF(使用レシピ!H45="","",MATCH(使用レシピ!H45,使用レシピ!$E:$E,0)-1)</f>
        <v/>
      </c>
      <c r="E45" t="str">
        <f>IF(使用レシピ!I45="","",MATCH(使用レシピ!I45,使用レシピ!$E:$E,0)-1)</f>
        <v/>
      </c>
      <c r="F45" t="str">
        <f>IF(使用レシピ!J45="","",MATCH(使用レシピ!J45,使用レシピ!$E:$E,0)-1)</f>
        <v/>
      </c>
      <c r="G45">
        <f>使用レシピ!K45</f>
        <v>2</v>
      </c>
      <c r="H45">
        <f>使用レシピ!L45</f>
        <v>2</v>
      </c>
      <c r="I45" t="str">
        <f>使用レシピ!M45</f>
        <v/>
      </c>
      <c r="J45" t="str">
        <f>使用レシピ!N45</f>
        <v/>
      </c>
      <c r="K45" t="str">
        <f>使用レシピ!O45</f>
        <v/>
      </c>
      <c r="L45">
        <f>使用レシピ!P45</f>
        <v>1</v>
      </c>
      <c r="M45">
        <f>使用レシピ!Q45</f>
        <v>5</v>
      </c>
    </row>
    <row r="46" spans="1:13" x14ac:dyDescent="0.4">
      <c r="A46">
        <f>使用レシピ!C46</f>
        <v>45</v>
      </c>
      <c r="B46">
        <f>IF(使用レシピ!F46="","",MATCH(使用レシピ!F46,使用レシピ!$E:$E,0)-1)</f>
        <v>43</v>
      </c>
      <c r="C46">
        <f>IF(使用レシピ!G46="","",MATCH(使用レシピ!G46,使用レシピ!$E:$E,0)-1)</f>
        <v>6</v>
      </c>
      <c r="D46" t="str">
        <f>IF(使用レシピ!H46="","",MATCH(使用レシピ!H46,使用レシピ!$E:$E,0)-1)</f>
        <v/>
      </c>
      <c r="E46" t="str">
        <f>IF(使用レシピ!I46="","",MATCH(使用レシピ!I46,使用レシピ!$E:$E,0)-1)</f>
        <v/>
      </c>
      <c r="F46" t="str">
        <f>IF(使用レシピ!J46="","",MATCH(使用レシピ!J46,使用レシピ!$E:$E,0)-1)</f>
        <v/>
      </c>
      <c r="G46">
        <f>使用レシピ!K46</f>
        <v>1</v>
      </c>
      <c r="H46">
        <f>使用レシピ!L46</f>
        <v>20</v>
      </c>
      <c r="I46" t="str">
        <f>使用レシピ!M46</f>
        <v/>
      </c>
      <c r="J46" t="str">
        <f>使用レシピ!N46</f>
        <v/>
      </c>
      <c r="K46" t="str">
        <f>使用レシピ!O46</f>
        <v/>
      </c>
      <c r="L46">
        <f>使用レシピ!P46</f>
        <v>1</v>
      </c>
      <c r="M46">
        <f>使用レシピ!Q46</f>
        <v>2.5</v>
      </c>
    </row>
    <row r="47" spans="1:13" x14ac:dyDescent="0.4">
      <c r="A47">
        <f>使用レシピ!C47</f>
        <v>46</v>
      </c>
      <c r="B47">
        <f>IF(使用レシピ!F47="","",MATCH(使用レシピ!F47,使用レシピ!$E:$E,0)-1)</f>
        <v>40</v>
      </c>
      <c r="C47">
        <f>IF(使用レシピ!G47="","",MATCH(使用レシピ!G47,使用レシピ!$E:$E,0)-1)</f>
        <v>7</v>
      </c>
      <c r="D47">
        <f>IF(使用レシピ!H47="","",MATCH(使用レシピ!H47,使用レシピ!$E:$E,0)-1)</f>
        <v>38</v>
      </c>
      <c r="E47" t="str">
        <f>IF(使用レシピ!I47="","",MATCH(使用レシピ!I47,使用レシピ!$E:$E,0)-1)</f>
        <v/>
      </c>
      <c r="F47" t="str">
        <f>IF(使用レシピ!J47="","",MATCH(使用レシピ!J47,使用レシピ!$E:$E,0)-1)</f>
        <v/>
      </c>
      <c r="G47">
        <f>使用レシピ!K47</f>
        <v>6</v>
      </c>
      <c r="H47">
        <f>使用レシピ!L47</f>
        <v>5</v>
      </c>
      <c r="I47">
        <f>使用レシピ!M47</f>
        <v>3</v>
      </c>
      <c r="J47" t="str">
        <f>使用レシピ!N47</f>
        <v/>
      </c>
      <c r="K47" t="str">
        <f>使用レシピ!O47</f>
        <v/>
      </c>
      <c r="L47">
        <f>使用レシピ!P47</f>
        <v>1</v>
      </c>
      <c r="M47">
        <f>使用レシピ!Q47</f>
        <v>10</v>
      </c>
    </row>
    <row r="48" spans="1:13" x14ac:dyDescent="0.4">
      <c r="A48">
        <f>使用レシピ!C48</f>
        <v>47</v>
      </c>
      <c r="B48">
        <f>IF(使用レシピ!F48="","",MATCH(使用レシピ!F48,使用レシピ!$E:$E,0)-1)</f>
        <v>48</v>
      </c>
      <c r="C48">
        <f>IF(使用レシピ!G48="","",MATCH(使用レシピ!G48,使用レシピ!$E:$E,0)-1)</f>
        <v>56</v>
      </c>
      <c r="D48" t="str">
        <f>IF(使用レシピ!H48="","",MATCH(使用レシピ!H48,使用レシピ!$E:$E,0)-1)</f>
        <v/>
      </c>
      <c r="E48" t="str">
        <f>IF(使用レシピ!I48="","",MATCH(使用レシピ!I48,使用レシピ!$E:$E,0)-1)</f>
        <v/>
      </c>
      <c r="F48" t="str">
        <f>IF(使用レシピ!J48="","",MATCH(使用レシピ!J48,使用レシピ!$E:$E,0)-1)</f>
        <v/>
      </c>
      <c r="G48">
        <f>使用レシピ!K48</f>
        <v>9</v>
      </c>
      <c r="H48">
        <f>使用レシピ!L48</f>
        <v>5</v>
      </c>
      <c r="I48" t="str">
        <f>使用レシピ!M48</f>
        <v/>
      </c>
      <c r="J48" t="str">
        <f>使用レシピ!N48</f>
        <v/>
      </c>
      <c r="K48" t="str">
        <f>使用レシピ!O48</f>
        <v/>
      </c>
      <c r="L48">
        <f>使用レシピ!P48</f>
        <v>7</v>
      </c>
      <c r="M48">
        <f>使用レシピ!Q48</f>
        <v>52.5</v>
      </c>
    </row>
    <row r="49" spans="1:13" x14ac:dyDescent="0.4">
      <c r="A49">
        <f>使用レシピ!C49</f>
        <v>48</v>
      </c>
      <c r="B49" t="str">
        <f>IF(使用レシピ!F49="","",MATCH(使用レシピ!F49,使用レシピ!$E:$E,0)-1)</f>
        <v/>
      </c>
      <c r="C49" t="str">
        <f>IF(使用レシピ!G49="","",MATCH(使用レシピ!G49,使用レシピ!$E:$E,0)-1)</f>
        <v/>
      </c>
      <c r="D49" t="str">
        <f>IF(使用レシピ!H49="","",MATCH(使用レシピ!H49,使用レシピ!$E:$E,0)-1)</f>
        <v/>
      </c>
      <c r="E49" t="str">
        <f>IF(使用レシピ!I49="","",MATCH(使用レシピ!I49,使用レシピ!$E:$E,0)-1)</f>
        <v/>
      </c>
      <c r="F49" t="str">
        <f>IF(使用レシピ!J49="","",MATCH(使用レシピ!J49,使用レシピ!$E:$E,0)-1)</f>
        <v/>
      </c>
      <c r="G49" t="str">
        <f>使用レシピ!K49</f>
        <v/>
      </c>
      <c r="H49" t="str">
        <f>使用レシピ!L49</f>
        <v/>
      </c>
      <c r="I49" t="str">
        <f>使用レシピ!M49</f>
        <v/>
      </c>
      <c r="J49" t="str">
        <f>使用レシピ!N49</f>
        <v/>
      </c>
      <c r="K49" t="str">
        <f>使用レシピ!O49</f>
        <v/>
      </c>
      <c r="L49">
        <f>使用レシピ!P49</f>
        <v>1</v>
      </c>
      <c r="M49">
        <f>使用レシピ!Q49</f>
        <v>1200</v>
      </c>
    </row>
    <row r="50" spans="1:13" x14ac:dyDescent="0.4">
      <c r="A50">
        <f>使用レシピ!C50</f>
        <v>49</v>
      </c>
      <c r="B50">
        <f>IF(使用レシピ!F50="","",MATCH(使用レシピ!F50,使用レシピ!$E:$E,0)-1)</f>
        <v>30</v>
      </c>
      <c r="C50">
        <f>IF(使用レシピ!G50="","",MATCH(使用レシピ!G50,使用レシピ!$E:$E,0)-1)</f>
        <v>38</v>
      </c>
      <c r="D50" t="str">
        <f>IF(使用レシピ!H50="","",MATCH(使用レシピ!H50,使用レシピ!$E:$E,0)-1)</f>
        <v/>
      </c>
      <c r="E50" t="str">
        <f>IF(使用レシピ!I50="","",MATCH(使用レシピ!I50,使用レシピ!$E:$E,0)-1)</f>
        <v/>
      </c>
      <c r="F50" t="str">
        <f>IF(使用レシピ!J50="","",MATCH(使用レシピ!J50,使用レシピ!$E:$E,0)-1)</f>
        <v/>
      </c>
      <c r="G50">
        <f>使用レシピ!K50</f>
        <v>2</v>
      </c>
      <c r="H50">
        <f>使用レシピ!L50</f>
        <v>2</v>
      </c>
      <c r="I50" t="str">
        <f>使用レシピ!M50</f>
        <v/>
      </c>
      <c r="J50" t="str">
        <f>使用レシピ!N50</f>
        <v/>
      </c>
      <c r="K50" t="str">
        <f>使用レシピ!O50</f>
        <v/>
      </c>
      <c r="L50">
        <f>使用レシピ!P50</f>
        <v>1</v>
      </c>
      <c r="M50">
        <f>使用レシピ!Q50</f>
        <v>10</v>
      </c>
    </row>
    <row r="51" spans="1:13" x14ac:dyDescent="0.4">
      <c r="A51">
        <f>使用レシピ!C51</f>
        <v>50</v>
      </c>
      <c r="B51">
        <f>IF(使用レシピ!F51="","",MATCH(使用レシピ!F51,使用レシピ!$E:$E,0)-1)</f>
        <v>27</v>
      </c>
      <c r="C51">
        <f>IF(使用レシピ!G51="","",MATCH(使用レシピ!G51,使用レシピ!$E:$E,0)-1)</f>
        <v>35</v>
      </c>
      <c r="D51" t="str">
        <f>IF(使用レシピ!H51="","",MATCH(使用レシピ!H51,使用レシピ!$E:$E,0)-1)</f>
        <v/>
      </c>
      <c r="E51" t="str">
        <f>IF(使用レシピ!I51="","",MATCH(使用レシピ!I51,使用レシピ!$E:$E,0)-1)</f>
        <v/>
      </c>
      <c r="F51" t="str">
        <f>IF(使用レシピ!J51="","",MATCH(使用レシピ!J51,使用レシピ!$E:$E,0)-1)</f>
        <v/>
      </c>
      <c r="G51">
        <f>使用レシピ!K51</f>
        <v>5</v>
      </c>
      <c r="H51">
        <f>使用レシピ!L51</f>
        <v>20</v>
      </c>
      <c r="I51" t="str">
        <f>使用レシピ!M51</f>
        <v/>
      </c>
      <c r="J51" t="str">
        <f>使用レシピ!N51</f>
        <v/>
      </c>
      <c r="K51" t="str">
        <f>使用レシピ!O51</f>
        <v/>
      </c>
      <c r="L51">
        <f>使用レシピ!P51</f>
        <v>1</v>
      </c>
      <c r="M51">
        <f>使用レシピ!Q51</f>
        <v>5</v>
      </c>
    </row>
    <row r="52" spans="1:13" x14ac:dyDescent="0.4">
      <c r="A52">
        <f>使用レシピ!C52</f>
        <v>51</v>
      </c>
      <c r="B52">
        <f>IF(使用レシピ!F52="","",MATCH(使用レシピ!F52,使用レシピ!$E:$E,0)-1)</f>
        <v>52</v>
      </c>
      <c r="C52" t="str">
        <f>IF(使用レシピ!G52="","",MATCH(使用レシピ!G52,使用レシピ!$E:$E,0)-1)</f>
        <v/>
      </c>
      <c r="D52" t="str">
        <f>IF(使用レシピ!H52="","",MATCH(使用レシピ!H52,使用レシピ!$E:$E,0)-1)</f>
        <v/>
      </c>
      <c r="E52" t="str">
        <f>IF(使用レシピ!I52="","",MATCH(使用レシピ!I52,使用レシピ!$E:$E,0)-1)</f>
        <v/>
      </c>
      <c r="F52" t="str">
        <f>IF(使用レシピ!J52="","",MATCH(使用レシピ!J52,使用レシピ!$E:$E,0)-1)</f>
        <v/>
      </c>
      <c r="G52">
        <f>使用レシピ!K52</f>
        <v>4</v>
      </c>
      <c r="H52" t="str">
        <f>使用レシピ!L52</f>
        <v/>
      </c>
      <c r="I52" t="str">
        <f>使用レシピ!M52</f>
        <v/>
      </c>
      <c r="J52" t="str">
        <f>使用レシピ!N52</f>
        <v/>
      </c>
      <c r="K52" t="str">
        <f>使用レシピ!O52</f>
        <v/>
      </c>
      <c r="L52">
        <f>使用レシピ!P52</f>
        <v>12</v>
      </c>
      <c r="M52">
        <f>使用レシピ!Q52</f>
        <v>120</v>
      </c>
    </row>
    <row r="53" spans="1:13" x14ac:dyDescent="0.4">
      <c r="A53">
        <f>使用レシピ!C53</f>
        <v>52</v>
      </c>
      <c r="B53">
        <f>IF(使用レシピ!F53="","",MATCH(使用レシピ!F53,使用レシピ!$E:$E,0)-1)</f>
        <v>59</v>
      </c>
      <c r="C53" t="str">
        <f>IF(使用レシピ!G53="","",MATCH(使用レシピ!G53,使用レシピ!$E:$E,0)-1)</f>
        <v/>
      </c>
      <c r="D53" t="str">
        <f>IF(使用レシピ!H53="","",MATCH(使用レシピ!H53,使用レシピ!$E:$E,0)-1)</f>
        <v/>
      </c>
      <c r="E53" t="str">
        <f>IF(使用レシピ!I53="","",MATCH(使用レシピ!I53,使用レシピ!$E:$E,0)-1)</f>
        <v/>
      </c>
      <c r="F53">
        <f>IF(使用レシピ!J53="","",MATCH(使用レシピ!J53,使用レシピ!$E:$E,0)-1)</f>
        <v>55</v>
      </c>
      <c r="G53">
        <f>使用レシピ!K53</f>
        <v>3</v>
      </c>
      <c r="H53" t="str">
        <f>使用レシピ!L53</f>
        <v/>
      </c>
      <c r="I53" t="str">
        <f>使用レシピ!M53</f>
        <v/>
      </c>
      <c r="J53" t="str">
        <f>使用レシピ!N53</f>
        <v/>
      </c>
      <c r="K53">
        <f>使用レシピ!O53</f>
        <v>2</v>
      </c>
      <c r="L53">
        <f>使用レシピ!P53</f>
        <v>4</v>
      </c>
      <c r="M53">
        <f>使用レシピ!Q53</f>
        <v>40</v>
      </c>
    </row>
    <row r="54" spans="1:13" x14ac:dyDescent="0.4">
      <c r="A54">
        <f>使用レシピ!C54</f>
        <v>53</v>
      </c>
      <c r="B54">
        <f>IF(使用レシピ!F54="","",MATCH(使用レシピ!F54,使用レシピ!$E:$E,0)-1)</f>
        <v>27</v>
      </c>
      <c r="C54">
        <f>IF(使用レシピ!G54="","",MATCH(使用レシピ!G54,使用レシピ!$E:$E,0)-1)</f>
        <v>54</v>
      </c>
      <c r="D54" t="str">
        <f>IF(使用レシピ!H54="","",MATCH(使用レシピ!H54,使用レシピ!$E:$E,0)-1)</f>
        <v/>
      </c>
      <c r="E54" t="str">
        <f>IF(使用レシピ!I54="","",MATCH(使用レシピ!I54,使用レシピ!$E:$E,0)-1)</f>
        <v/>
      </c>
      <c r="F54" t="str">
        <f>IF(使用レシピ!J54="","",MATCH(使用レシピ!J54,使用レシピ!$E:$E,0)-1)</f>
        <v/>
      </c>
      <c r="G54">
        <f>使用レシピ!K54</f>
        <v>2</v>
      </c>
      <c r="H54">
        <f>使用レシピ!L54</f>
        <v>4</v>
      </c>
      <c r="I54" t="str">
        <f>使用レシピ!M54</f>
        <v/>
      </c>
      <c r="J54" t="str">
        <f>使用レシピ!N54</f>
        <v/>
      </c>
      <c r="K54" t="str">
        <f>使用レシピ!O54</f>
        <v/>
      </c>
      <c r="L54">
        <f>使用レシピ!P54</f>
        <v>1</v>
      </c>
      <c r="M54">
        <f>使用レシピ!Q54</f>
        <v>7.5</v>
      </c>
    </row>
    <row r="55" spans="1:13" x14ac:dyDescent="0.4">
      <c r="A55">
        <f>使用レシピ!C55</f>
        <v>54</v>
      </c>
      <c r="B55">
        <f>IF(使用レシピ!F55="","",MATCH(使用レシピ!F55,使用レシピ!$E:$E,0)-1)</f>
        <v>59</v>
      </c>
      <c r="C55" t="str">
        <f>IF(使用レシピ!G55="","",MATCH(使用レシピ!G55,使用レシピ!$E:$E,0)-1)</f>
        <v/>
      </c>
      <c r="D55" t="str">
        <f>IF(使用レシピ!H55="","",MATCH(使用レシピ!H55,使用レシピ!$E:$E,0)-1)</f>
        <v/>
      </c>
      <c r="E55" t="str">
        <f>IF(使用レシピ!I55="","",MATCH(使用レシピ!I55,使用レシピ!$E:$E,0)-1)</f>
        <v/>
      </c>
      <c r="F55">
        <f>IF(使用レシピ!J55="","",MATCH(使用レシピ!J55,使用レシピ!$E:$E,0)-1)</f>
        <v>52</v>
      </c>
      <c r="G55">
        <f>使用レシピ!K55</f>
        <v>3</v>
      </c>
      <c r="H55" t="str">
        <f>使用レシピ!L55</f>
        <v/>
      </c>
      <c r="I55" t="str">
        <f>使用レシピ!M55</f>
        <v/>
      </c>
      <c r="J55" t="str">
        <f>使用レシピ!N55</f>
        <v/>
      </c>
      <c r="K55">
        <f>使用レシピ!O55</f>
        <v>1</v>
      </c>
      <c r="L55">
        <f>使用レシピ!P55</f>
        <v>2</v>
      </c>
      <c r="M55">
        <f>使用レシピ!Q55</f>
        <v>20</v>
      </c>
    </row>
    <row r="56" spans="1:13" x14ac:dyDescent="0.4">
      <c r="A56">
        <f>使用レシピ!C56</f>
        <v>55</v>
      </c>
      <c r="B56">
        <f>IF(使用レシピ!F56="","",MATCH(使用レシピ!F56,使用レシピ!$E:$E,0)-1)</f>
        <v>59</v>
      </c>
      <c r="C56" t="str">
        <f>IF(使用レシピ!G56="","",MATCH(使用レシピ!G56,使用レシピ!$E:$E,0)-1)</f>
        <v/>
      </c>
      <c r="D56" t="str">
        <f>IF(使用レシピ!H56="","",MATCH(使用レシピ!H56,使用レシピ!$E:$E,0)-1)</f>
        <v/>
      </c>
      <c r="E56" t="str">
        <f>IF(使用レシピ!I56="","",MATCH(使用レシピ!I56,使用レシピ!$E:$E,0)-1)</f>
        <v/>
      </c>
      <c r="F56">
        <f>IF(使用レシピ!J56="","",MATCH(使用レシピ!J56,使用レシピ!$E:$E,0)-1)</f>
        <v>52</v>
      </c>
      <c r="G56">
        <f>使用レシピ!K56</f>
        <v>6</v>
      </c>
      <c r="H56" t="str">
        <f>使用レシピ!L56</f>
        <v/>
      </c>
      <c r="I56" t="str">
        <f>使用レシピ!M56</f>
        <v/>
      </c>
      <c r="J56" t="str">
        <f>使用レシピ!N56</f>
        <v/>
      </c>
      <c r="K56">
        <f>使用レシピ!O56</f>
        <v>2</v>
      </c>
      <c r="L56">
        <f>使用レシピ!P56</f>
        <v>13</v>
      </c>
      <c r="M56">
        <f>使用レシピ!Q56</f>
        <v>130</v>
      </c>
    </row>
    <row r="57" spans="1:13" x14ac:dyDescent="0.4">
      <c r="A57">
        <f>使用レシピ!C57</f>
        <v>56</v>
      </c>
      <c r="B57" t="str">
        <f>IF(使用レシピ!F57="","",MATCH(使用レシピ!F57,使用レシピ!$E:$E,0)-1)</f>
        <v/>
      </c>
      <c r="C57" t="str">
        <f>IF(使用レシピ!G57="","",MATCH(使用レシピ!G57,使用レシピ!$E:$E,0)-1)</f>
        <v/>
      </c>
      <c r="D57" t="str">
        <f>IF(使用レシピ!H57="","",MATCH(使用レシピ!H57,使用レシピ!$E:$E,0)-1)</f>
        <v/>
      </c>
      <c r="E57" t="str">
        <f>IF(使用レシピ!I57="","",MATCH(使用レシピ!I57,使用レシピ!$E:$E,0)-1)</f>
        <v/>
      </c>
      <c r="F57" t="str">
        <f>IF(使用レシピ!J57="","",MATCH(使用レシピ!J57,使用レシピ!$E:$E,0)-1)</f>
        <v/>
      </c>
      <c r="G57" t="str">
        <f>使用レシピ!K57</f>
        <v/>
      </c>
      <c r="H57" t="str">
        <f>使用レシピ!L57</f>
        <v/>
      </c>
      <c r="I57" t="str">
        <f>使用レシピ!M57</f>
        <v/>
      </c>
      <c r="J57" t="str">
        <f>使用レシピ!N57</f>
        <v/>
      </c>
      <c r="K57" t="str">
        <f>使用レシピ!O57</f>
        <v/>
      </c>
      <c r="L57">
        <f>使用レシピ!P57</f>
        <v>1</v>
      </c>
      <c r="M57">
        <f>使用レシピ!Q57</f>
        <v>120</v>
      </c>
    </row>
    <row r="58" spans="1:13" x14ac:dyDescent="0.4">
      <c r="A58">
        <f>使用レシピ!C58</f>
        <v>57</v>
      </c>
      <c r="B58">
        <f>IF(使用レシピ!F58="","",MATCH(使用レシピ!F58,使用レシピ!$E:$E,0)-1)</f>
        <v>59</v>
      </c>
      <c r="C58" t="str">
        <f>IF(使用レシピ!G58="","",MATCH(使用レシピ!G58,使用レシピ!$E:$E,0)-1)</f>
        <v/>
      </c>
      <c r="D58" t="str">
        <f>IF(使用レシピ!H58="","",MATCH(使用レシピ!H58,使用レシピ!$E:$E,0)-1)</f>
        <v/>
      </c>
      <c r="E58" t="str">
        <f>IF(使用レシピ!I58="","",MATCH(使用レシピ!I58,使用レシピ!$E:$E,0)-1)</f>
        <v/>
      </c>
      <c r="F58">
        <f>IF(使用レシピ!J58="","",MATCH(使用レシピ!J58,使用レシピ!$E:$E,0)-1)</f>
        <v>52</v>
      </c>
      <c r="G58">
        <f>使用レシピ!K58</f>
        <v>3</v>
      </c>
      <c r="H58" t="str">
        <f>使用レシピ!L58</f>
        <v/>
      </c>
      <c r="I58" t="str">
        <f>使用レシピ!M58</f>
        <v/>
      </c>
      <c r="J58" t="str">
        <f>使用レシピ!N58</f>
        <v/>
      </c>
      <c r="K58">
        <f>使用レシピ!O58</f>
        <v>2</v>
      </c>
      <c r="L58">
        <f>使用レシピ!P58</f>
        <v>2</v>
      </c>
      <c r="M58">
        <f>使用レシピ!Q58</f>
        <v>20</v>
      </c>
    </row>
    <row r="59" spans="1:13" x14ac:dyDescent="0.4">
      <c r="A59">
        <f>使用レシピ!C59</f>
        <v>58</v>
      </c>
      <c r="B59">
        <f>IF(使用レシピ!F59="","",MATCH(使用レシピ!F59,使用レシピ!$E:$E,0)-1)</f>
        <v>59</v>
      </c>
      <c r="C59" t="str">
        <f>IF(使用レシピ!G59="","",MATCH(使用レシピ!G59,使用レシピ!$E:$E,0)-1)</f>
        <v/>
      </c>
      <c r="D59" t="str">
        <f>IF(使用レシピ!H59="","",MATCH(使用レシピ!H59,使用レシピ!$E:$E,0)-1)</f>
        <v/>
      </c>
      <c r="E59" t="str">
        <f>IF(使用レシピ!I59="","",MATCH(使用レシピ!I59,使用レシピ!$E:$E,0)-1)</f>
        <v/>
      </c>
      <c r="F59">
        <f>IF(使用レシピ!J59="","",MATCH(使用レシピ!J59,使用レシピ!$E:$E,0)-1)</f>
        <v>55</v>
      </c>
      <c r="G59">
        <f>使用レシピ!K59</f>
        <v>6</v>
      </c>
      <c r="H59" t="str">
        <f>使用レシピ!L59</f>
        <v/>
      </c>
      <c r="I59" t="str">
        <f>使用レシピ!M59</f>
        <v/>
      </c>
      <c r="J59" t="str">
        <f>使用レシピ!N59</f>
        <v/>
      </c>
      <c r="K59">
        <f>使用レシピ!O59</f>
        <v>3</v>
      </c>
      <c r="L59">
        <f>使用レシピ!P59</f>
        <v>4</v>
      </c>
      <c r="M59">
        <f>使用レシピ!Q59</f>
        <v>40</v>
      </c>
    </row>
    <row r="60" spans="1:13" x14ac:dyDescent="0.4">
      <c r="A60">
        <f>使用レシピ!C60</f>
        <v>59</v>
      </c>
      <c r="B60" t="str">
        <f>IF(使用レシピ!F60="","",MATCH(使用レシピ!F60,使用レシピ!$E:$E,0)-1)</f>
        <v/>
      </c>
      <c r="C60" t="str">
        <f>IF(使用レシピ!G60="","",MATCH(使用レシピ!G60,使用レシピ!$E:$E,0)-1)</f>
        <v/>
      </c>
      <c r="D60" t="str">
        <f>IF(使用レシピ!H60="","",MATCH(使用レシピ!H60,使用レシピ!$E:$E,0)-1)</f>
        <v/>
      </c>
      <c r="E60" t="str">
        <f>IF(使用レシピ!I60="","",MATCH(使用レシピ!I60,使用レシピ!$E:$E,0)-1)</f>
        <v/>
      </c>
      <c r="F60" t="str">
        <f>IF(使用レシピ!J60="","",MATCH(使用レシピ!J60,使用レシピ!$E:$E,0)-1)</f>
        <v/>
      </c>
      <c r="G60" t="str">
        <f>使用レシピ!K60</f>
        <v/>
      </c>
      <c r="H60" t="str">
        <f>使用レシピ!L60</f>
        <v/>
      </c>
      <c r="I60" t="str">
        <f>使用レシピ!M60</f>
        <v/>
      </c>
      <c r="J60" t="str">
        <f>使用レシピ!N60</f>
        <v/>
      </c>
      <c r="K60" t="str">
        <f>使用レシピ!O60</f>
        <v/>
      </c>
      <c r="L60">
        <f>使用レシピ!P60</f>
        <v>1</v>
      </c>
      <c r="M60">
        <f>使用レシピ!Q60</f>
        <v>600</v>
      </c>
    </row>
    <row r="61" spans="1:13" x14ac:dyDescent="0.4">
      <c r="A61">
        <f>使用レシピ!C61</f>
        <v>60</v>
      </c>
      <c r="B61">
        <f>IF(使用レシピ!F61="","",MATCH(使用レシピ!F61,使用レシピ!$E:$E,0)-1)</f>
        <v>48</v>
      </c>
      <c r="C61" t="str">
        <f>IF(使用レシピ!G61="","",MATCH(使用レシピ!G61,使用レシピ!$E:$E,0)-1)</f>
        <v/>
      </c>
      <c r="D61" t="str">
        <f>IF(使用レシピ!H61="","",MATCH(使用レシピ!H61,使用レシピ!$E:$E,0)-1)</f>
        <v/>
      </c>
      <c r="E61" t="str">
        <f>IF(使用レシピ!I61="","",MATCH(使用レシピ!I61,使用レシピ!$E:$E,0)-1)</f>
        <v/>
      </c>
      <c r="F61" t="str">
        <f>IF(使用レシピ!J61="","",MATCH(使用レシピ!J61,使用レシピ!$E:$E,0)-1)</f>
        <v/>
      </c>
      <c r="G61">
        <f>使用レシピ!K61</f>
        <v>3</v>
      </c>
      <c r="H61" t="str">
        <f>使用レシピ!L61</f>
        <v/>
      </c>
      <c r="I61" t="str">
        <f>使用レシピ!M61</f>
        <v/>
      </c>
      <c r="J61" t="str">
        <f>使用レシピ!N61</f>
        <v/>
      </c>
      <c r="K61" t="str">
        <f>使用レシピ!O61</f>
        <v/>
      </c>
      <c r="L61">
        <f>使用レシピ!P61</f>
        <v>5</v>
      </c>
      <c r="M61">
        <f>使用レシピ!Q61</f>
        <v>37.5</v>
      </c>
    </row>
    <row r="62" spans="1:13" x14ac:dyDescent="0.4">
      <c r="A62">
        <f>使用レシピ!C62</f>
        <v>61</v>
      </c>
      <c r="B62">
        <f>IF(使用レシピ!F62="","",MATCH(使用レシピ!F62,使用レシピ!$E:$E,0)-1)</f>
        <v>47</v>
      </c>
      <c r="C62">
        <f>IF(使用レシピ!G62="","",MATCH(使用レシピ!G62,使用レシピ!$E:$E,0)-1)</f>
        <v>6</v>
      </c>
      <c r="D62">
        <f>IF(使用レシピ!H62="","",MATCH(使用レシピ!H62,使用レシピ!$E:$E,0)-1)</f>
        <v>5</v>
      </c>
      <c r="E62" t="str">
        <f>IF(使用レシピ!I62="","",MATCH(使用レシピ!I62,使用レシピ!$E:$E,0)-1)</f>
        <v/>
      </c>
      <c r="F62" t="str">
        <f>IF(使用レシピ!J62="","",MATCH(使用レシピ!J62,使用レシピ!$E:$E,0)-1)</f>
        <v/>
      </c>
      <c r="G62">
        <f>使用レシピ!K62</f>
        <v>36</v>
      </c>
      <c r="H62">
        <f>使用レシピ!L62</f>
        <v>28</v>
      </c>
      <c r="I62">
        <f>使用レシピ!M62</f>
        <v>5</v>
      </c>
      <c r="J62" t="str">
        <f>使用レシピ!N62</f>
        <v/>
      </c>
      <c r="K62" t="str">
        <f>使用レシピ!O62</f>
        <v/>
      </c>
      <c r="L62">
        <f>使用レシピ!P62</f>
        <v>2</v>
      </c>
      <c r="M62">
        <f>使用レシピ!Q62</f>
        <v>1</v>
      </c>
    </row>
    <row r="63" spans="1:13" x14ac:dyDescent="0.4">
      <c r="A63">
        <f>使用レシピ!C63</f>
        <v>62</v>
      </c>
      <c r="B63">
        <f>IF(使用レシピ!F63="","",MATCH(使用レシピ!F63,使用レシピ!$E:$E,0)-1)</f>
        <v>54</v>
      </c>
      <c r="C63" t="str">
        <f>IF(使用レシピ!G63="","",MATCH(使用レシピ!G63,使用レシピ!$E:$E,0)-1)</f>
        <v/>
      </c>
      <c r="D63" t="str">
        <f>IF(使用レシピ!H63="","",MATCH(使用レシピ!H63,使用レシピ!$E:$E,0)-1)</f>
        <v/>
      </c>
      <c r="E63" t="str">
        <f>IF(使用レシピ!I63="","",MATCH(使用レシピ!I63,使用レシピ!$E:$E,0)-1)</f>
        <v/>
      </c>
      <c r="F63" t="str">
        <f>IF(使用レシピ!J63="","",MATCH(使用レシピ!J63,使用レシピ!$E:$E,0)-1)</f>
        <v/>
      </c>
      <c r="G63">
        <f>使用レシピ!K63</f>
        <v>2</v>
      </c>
      <c r="H63" t="str">
        <f>使用レシピ!L63</f>
        <v/>
      </c>
      <c r="I63" t="str">
        <f>使用レシピ!M63</f>
        <v/>
      </c>
      <c r="J63" t="str">
        <f>使用レシピ!N63</f>
        <v/>
      </c>
      <c r="K63" t="str">
        <f>使用レシピ!O63</f>
        <v/>
      </c>
      <c r="L63">
        <f>使用レシピ!P63</f>
        <v>4</v>
      </c>
      <c r="M63">
        <f>使用レシピ!Q63</f>
        <v>60</v>
      </c>
    </row>
    <row r="64" spans="1:13" x14ac:dyDescent="0.4">
      <c r="A64">
        <f>使用レシピ!C64</f>
        <v>63</v>
      </c>
      <c r="B64">
        <f>IF(使用レシピ!F64="","",MATCH(使用レシピ!F64,使用レシピ!$E:$E,0)-1)</f>
        <v>62</v>
      </c>
      <c r="C64">
        <f>IF(使用レシピ!G64="","",MATCH(使用レシピ!G64,使用レシピ!$E:$E,0)-1)</f>
        <v>56</v>
      </c>
      <c r="D64" t="str">
        <f>IF(使用レシピ!H64="","",MATCH(使用レシピ!H64,使用レシピ!$E:$E,0)-1)</f>
        <v/>
      </c>
      <c r="E64" t="str">
        <f>IF(使用レシピ!I64="","",MATCH(使用レシピ!I64,使用レシピ!$E:$E,0)-1)</f>
        <v/>
      </c>
      <c r="F64" t="str">
        <f>IF(使用レシピ!J64="","",MATCH(使用レシピ!J64,使用レシピ!$E:$E,0)-1)</f>
        <v/>
      </c>
      <c r="G64">
        <f>使用レシピ!K64</f>
        <v>2</v>
      </c>
      <c r="H64">
        <f>使用レシピ!L64</f>
        <v>2</v>
      </c>
      <c r="I64" t="str">
        <f>使用レシピ!M64</f>
        <v/>
      </c>
      <c r="J64" t="str">
        <f>使用レシピ!N64</f>
        <v/>
      </c>
      <c r="K64" t="str">
        <f>使用レシピ!O64</f>
        <v/>
      </c>
      <c r="L64">
        <f>使用レシピ!P64</f>
        <v>2</v>
      </c>
      <c r="M64">
        <f>使用レシピ!Q64</f>
        <v>60</v>
      </c>
    </row>
    <row r="65" spans="1:13" x14ac:dyDescent="0.4">
      <c r="A65">
        <f>使用レシピ!C65</f>
        <v>64</v>
      </c>
      <c r="B65">
        <f>IF(使用レシピ!F65="","",MATCH(使用レシピ!F65,使用レシピ!$E:$E,0)-1)</f>
        <v>62</v>
      </c>
      <c r="C65">
        <f>IF(使用レシピ!G65="","",MATCH(使用レシピ!G65,使用レシピ!$E:$E,0)-1)</f>
        <v>59</v>
      </c>
      <c r="D65" t="str">
        <f>IF(使用レシピ!H65="","",MATCH(使用レシピ!H65,使用レシピ!$E:$E,0)-1)</f>
        <v/>
      </c>
      <c r="E65" t="str">
        <f>IF(使用レシピ!I65="","",MATCH(使用レシピ!I65,使用レシピ!$E:$E,0)-1)</f>
        <v/>
      </c>
      <c r="F65" t="str">
        <f>IF(使用レシピ!J65="","",MATCH(使用レシピ!J65,使用レシピ!$E:$E,0)-1)</f>
        <v/>
      </c>
      <c r="G65">
        <f>使用レシピ!K65</f>
        <v>2</v>
      </c>
      <c r="H65">
        <f>使用レシピ!L65</f>
        <v>2</v>
      </c>
      <c r="I65" t="str">
        <f>使用レシピ!M65</f>
        <v/>
      </c>
      <c r="J65" t="str">
        <f>使用レシピ!N65</f>
        <v/>
      </c>
      <c r="K65" t="str">
        <f>使用レシピ!O65</f>
        <v/>
      </c>
      <c r="L65">
        <f>使用レシピ!P65</f>
        <v>2</v>
      </c>
      <c r="M65">
        <f>使用レシピ!Q65</f>
        <v>30</v>
      </c>
    </row>
    <row r="66" spans="1:13" x14ac:dyDescent="0.4">
      <c r="A66">
        <f>使用レシピ!C66</f>
        <v>65</v>
      </c>
      <c r="B66">
        <f>IF(使用レシピ!F66="","",MATCH(使用レシピ!F66,使用レシピ!$E:$E,0)-1)</f>
        <v>62</v>
      </c>
      <c r="C66">
        <f>IF(使用レシピ!G66="","",MATCH(使用レシピ!G66,使用レシピ!$E:$E,0)-1)</f>
        <v>58</v>
      </c>
      <c r="D66" t="str">
        <f>IF(使用レシピ!H66="","",MATCH(使用レシピ!H66,使用レシピ!$E:$E,0)-1)</f>
        <v/>
      </c>
      <c r="E66" t="str">
        <f>IF(使用レシピ!I66="","",MATCH(使用レシピ!I66,使用レシピ!$E:$E,0)-1)</f>
        <v/>
      </c>
      <c r="F66" t="str">
        <f>IF(使用レシピ!J66="","",MATCH(使用レシピ!J66,使用レシピ!$E:$E,0)-1)</f>
        <v/>
      </c>
      <c r="G66">
        <f>使用レシピ!K66</f>
        <v>2</v>
      </c>
      <c r="H66">
        <f>使用レシピ!L66</f>
        <v>2</v>
      </c>
      <c r="I66" t="str">
        <f>使用レシピ!M66</f>
        <v/>
      </c>
      <c r="J66" t="str">
        <f>使用レシピ!N66</f>
        <v/>
      </c>
      <c r="K66" t="str">
        <f>使用レシピ!O66</f>
        <v/>
      </c>
      <c r="L66">
        <f>使用レシピ!P66</f>
        <v>2</v>
      </c>
      <c r="M66">
        <f>使用レシピ!Q66</f>
        <v>40</v>
      </c>
    </row>
    <row r="67" spans="1:13" x14ac:dyDescent="0.4">
      <c r="A67">
        <f>使用レシピ!C67</f>
        <v>66</v>
      </c>
      <c r="B67">
        <f>IF(使用レシピ!F67="","",MATCH(使用レシピ!F67,使用レシピ!$E:$E,0)-1)</f>
        <v>62</v>
      </c>
      <c r="C67">
        <f>IF(使用レシピ!G67="","",MATCH(使用レシピ!G67,使用レシピ!$E:$E,0)-1)</f>
        <v>52</v>
      </c>
      <c r="D67" t="str">
        <f>IF(使用レシピ!H67="","",MATCH(使用レシピ!H67,使用レシピ!$E:$E,0)-1)</f>
        <v/>
      </c>
      <c r="E67" t="str">
        <f>IF(使用レシピ!I67="","",MATCH(使用レシピ!I67,使用レシピ!$E:$E,0)-1)</f>
        <v/>
      </c>
      <c r="F67" t="str">
        <f>IF(使用レシピ!J67="","",MATCH(使用レシピ!J67,使用レシピ!$E:$E,0)-1)</f>
        <v/>
      </c>
      <c r="G67">
        <f>使用レシピ!K67</f>
        <v>2</v>
      </c>
      <c r="H67">
        <f>使用レシピ!L67</f>
        <v>2</v>
      </c>
      <c r="I67" t="str">
        <f>使用レシピ!M67</f>
        <v/>
      </c>
      <c r="J67" t="str">
        <f>使用レシピ!N67</f>
        <v/>
      </c>
      <c r="K67" t="str">
        <f>使用レシピ!O67</f>
        <v/>
      </c>
      <c r="L67">
        <f>使用レシピ!P67</f>
        <v>2</v>
      </c>
      <c r="M67">
        <f>使用レシピ!Q67</f>
        <v>30</v>
      </c>
    </row>
    <row r="68" spans="1:13" x14ac:dyDescent="0.4">
      <c r="A68">
        <f>使用レシピ!C68</f>
        <v>67</v>
      </c>
      <c r="B68">
        <f>IF(使用レシピ!F68="","",MATCH(使用レシピ!F68,使用レシピ!$E:$E,0)-1)</f>
        <v>62</v>
      </c>
      <c r="C68">
        <f>IF(使用レシピ!G68="","",MATCH(使用レシピ!G68,使用レシピ!$E:$E,0)-1)</f>
        <v>68</v>
      </c>
      <c r="D68" t="str">
        <f>IF(使用レシピ!H68="","",MATCH(使用レシピ!H68,使用レシピ!$E:$E,0)-1)</f>
        <v/>
      </c>
      <c r="E68" t="str">
        <f>IF(使用レシピ!I68="","",MATCH(使用レシピ!I68,使用レシピ!$E:$E,0)-1)</f>
        <v/>
      </c>
      <c r="F68" t="str">
        <f>IF(使用レシピ!J68="","",MATCH(使用レシピ!J68,使用レシピ!$E:$E,0)-1)</f>
        <v/>
      </c>
      <c r="G68">
        <f>使用レシピ!K68</f>
        <v>2</v>
      </c>
      <c r="H68">
        <f>使用レシピ!L68</f>
        <v>2</v>
      </c>
      <c r="I68" t="str">
        <f>使用レシピ!M68</f>
        <v/>
      </c>
      <c r="J68" t="str">
        <f>使用レシピ!N68</f>
        <v/>
      </c>
      <c r="K68" t="str">
        <f>使用レシピ!O68</f>
        <v/>
      </c>
      <c r="L68">
        <f>使用レシピ!P68</f>
        <v>2</v>
      </c>
      <c r="M68">
        <f>使用レシピ!Q68</f>
        <v>40</v>
      </c>
    </row>
    <row r="69" spans="1:13" x14ac:dyDescent="0.4">
      <c r="A69">
        <f>使用レシピ!C69</f>
        <v>68</v>
      </c>
      <c r="B69">
        <f>IF(使用レシピ!F69="","",MATCH(使用レシピ!F69,使用レシピ!$E:$E,0)-1)</f>
        <v>25</v>
      </c>
      <c r="C69">
        <f>IF(使用レシピ!G69="","",MATCH(使用レシピ!G69,使用レシピ!$E:$E,0)-1)</f>
        <v>56</v>
      </c>
      <c r="D69" t="str">
        <f>IF(使用レシピ!H69="","",MATCH(使用レシピ!H69,使用レシピ!$E:$E,0)-1)</f>
        <v/>
      </c>
      <c r="E69" t="str">
        <f>IF(使用レシピ!I69="","",MATCH(使用レシピ!I69,使用レシピ!$E:$E,0)-1)</f>
        <v/>
      </c>
      <c r="F69" t="str">
        <f>IF(使用レシピ!J69="","",MATCH(使用レシピ!J69,使用レシピ!$E:$E,0)-1)</f>
        <v/>
      </c>
      <c r="G69">
        <f>使用レシピ!K69</f>
        <v>6</v>
      </c>
      <c r="H69">
        <f>使用レシピ!L69</f>
        <v>3</v>
      </c>
      <c r="I69" t="str">
        <f>使用レシピ!M69</f>
        <v/>
      </c>
      <c r="J69" t="str">
        <f>使用レシピ!N69</f>
        <v/>
      </c>
      <c r="K69" t="str">
        <f>使用レシピ!O69</f>
        <v/>
      </c>
      <c r="L69">
        <f>使用レシピ!P69</f>
        <v>4</v>
      </c>
      <c r="M69">
        <f>使用レシピ!Q69</f>
        <v>60</v>
      </c>
    </row>
    <row r="70" spans="1:13" x14ac:dyDescent="0.4">
      <c r="A70">
        <f>使用レシピ!C70</f>
        <v>69</v>
      </c>
      <c r="B70">
        <f>IF(使用レシピ!F70="","",MATCH(使用レシピ!F70,使用レシピ!$E:$E,0)-1)</f>
        <v>31</v>
      </c>
      <c r="C70">
        <f>IF(使用レシピ!G70="","",MATCH(使用レシピ!G70,使用レシピ!$E:$E,0)-1)</f>
        <v>32</v>
      </c>
      <c r="D70" t="str">
        <f>IF(使用レシピ!H70="","",MATCH(使用レシピ!H70,使用レシピ!$E:$E,0)-1)</f>
        <v/>
      </c>
      <c r="E70" t="str">
        <f>IF(使用レシピ!I70="","",MATCH(使用レシピ!I70,使用レシピ!$E:$E,0)-1)</f>
        <v/>
      </c>
      <c r="F70" t="str">
        <f>IF(使用レシピ!J70="","",MATCH(使用レシピ!J70,使用レシピ!$E:$E,0)-1)</f>
        <v/>
      </c>
      <c r="G70">
        <f>使用レシピ!K70</f>
        <v>5</v>
      </c>
      <c r="H70">
        <f>使用レシピ!L70</f>
        <v>5</v>
      </c>
      <c r="I70" t="str">
        <f>使用レシピ!M70</f>
        <v/>
      </c>
      <c r="J70" t="str">
        <f>使用レシピ!N70</f>
        <v/>
      </c>
      <c r="K70" t="str">
        <f>使用レシピ!O70</f>
        <v/>
      </c>
      <c r="L70">
        <f>使用レシピ!P70</f>
        <v>5</v>
      </c>
      <c r="M70">
        <f>使用レシピ!Q70</f>
        <v>25</v>
      </c>
    </row>
    <row r="71" spans="1:13" x14ac:dyDescent="0.4">
      <c r="A71">
        <f>使用レシピ!C71</f>
        <v>70</v>
      </c>
      <c r="B71">
        <f>IF(使用レシピ!F71="","",MATCH(使用レシピ!F71,使用レシピ!$E:$E,0)-1)</f>
        <v>53</v>
      </c>
      <c r="C71">
        <f>IF(使用レシピ!G71="","",MATCH(使用レシピ!G71,使用レシピ!$E:$E,0)-1)</f>
        <v>6</v>
      </c>
      <c r="D71">
        <f>IF(使用レシピ!H71="","",MATCH(使用レシピ!H71,使用レシピ!$E:$E,0)-1)</f>
        <v>54</v>
      </c>
      <c r="E71" t="str">
        <f>IF(使用レシピ!I71="","",MATCH(使用レシピ!I71,使用レシピ!$E:$E,0)-1)</f>
        <v/>
      </c>
      <c r="F71" t="str">
        <f>IF(使用レシピ!J71="","",MATCH(使用レシピ!J71,使用レシピ!$E:$E,0)-1)</f>
        <v/>
      </c>
      <c r="G71">
        <f>使用レシピ!K71</f>
        <v>4</v>
      </c>
      <c r="H71">
        <f>使用レシピ!L71</f>
        <v>8</v>
      </c>
      <c r="I71">
        <f>使用レシピ!M71</f>
        <v>16</v>
      </c>
      <c r="J71" t="str">
        <f>使用レシピ!N71</f>
        <v/>
      </c>
      <c r="K71" t="str">
        <f>使用レシピ!O71</f>
        <v/>
      </c>
      <c r="L71">
        <f>使用レシピ!P71</f>
        <v>1</v>
      </c>
      <c r="M71">
        <f>使用レシピ!Q71</f>
        <v>2.5</v>
      </c>
    </row>
    <row r="72" spans="1:13" x14ac:dyDescent="0.4">
      <c r="A72">
        <f>使用レシピ!C72</f>
        <v>71</v>
      </c>
      <c r="B72">
        <f>IF(使用レシピ!F72="","",MATCH(使用レシピ!F72,使用レシピ!$E:$E,0)-1)</f>
        <v>28</v>
      </c>
      <c r="C72">
        <f>IF(使用レシピ!G72="","",MATCH(使用レシピ!G72,使用レシピ!$E:$E,0)-1)</f>
        <v>38</v>
      </c>
      <c r="D72">
        <f>IF(使用レシピ!H72="","",MATCH(使用レシピ!H72,使用レシピ!$E:$E,0)-1)</f>
        <v>42</v>
      </c>
      <c r="E72">
        <f>IF(使用レシピ!I72="","",MATCH(使用レシピ!I72,使用レシピ!$E:$E,0)-1)</f>
        <v>12</v>
      </c>
      <c r="F72" t="str">
        <f>IF(使用レシピ!J72="","",MATCH(使用レシピ!J72,使用レシピ!$E:$E,0)-1)</f>
        <v/>
      </c>
      <c r="G72">
        <f>使用レシピ!K72</f>
        <v>5</v>
      </c>
      <c r="H72">
        <f>使用レシピ!L72</f>
        <v>20</v>
      </c>
      <c r="I72">
        <f>使用レシピ!M72</f>
        <v>5</v>
      </c>
      <c r="J72">
        <f>使用レシピ!N72</f>
        <v>120</v>
      </c>
      <c r="K72" t="str">
        <f>使用レシピ!O72</f>
        <v/>
      </c>
      <c r="L72">
        <f>使用レシピ!P72</f>
        <v>1</v>
      </c>
      <c r="M72">
        <f>使用レシピ!Q72</f>
        <v>2</v>
      </c>
    </row>
    <row r="73" spans="1:13" x14ac:dyDescent="0.4">
      <c r="A73">
        <f>使用レシピ!C73</f>
        <v>72</v>
      </c>
      <c r="B73">
        <f>IF(使用レシピ!F73="","",MATCH(使用レシピ!F73,使用レシピ!$E:$E,0)-1)</f>
        <v>44</v>
      </c>
      <c r="C73">
        <f>IF(使用レシピ!G73="","",MATCH(使用レシピ!G73,使用レシピ!$E:$E,0)-1)</f>
        <v>57</v>
      </c>
      <c r="D73">
        <f>IF(使用レシピ!H73="","",MATCH(使用レシピ!H73,使用レシピ!$E:$E,0)-1)</f>
        <v>29</v>
      </c>
      <c r="E73" t="str">
        <f>IF(使用レシピ!I73="","",MATCH(使用レシピ!I73,使用レシピ!$E:$E,0)-1)</f>
        <v/>
      </c>
      <c r="F73" t="str">
        <f>IF(使用レシピ!J73="","",MATCH(使用レシピ!J73,使用レシピ!$E:$E,0)-1)</f>
        <v/>
      </c>
      <c r="G73">
        <f>使用レシピ!K73</f>
        <v>2</v>
      </c>
      <c r="H73">
        <f>使用レシピ!L73</f>
        <v>15</v>
      </c>
      <c r="I73">
        <f>使用レシピ!M73</f>
        <v>2</v>
      </c>
      <c r="J73" t="str">
        <f>使用レシピ!N73</f>
        <v/>
      </c>
      <c r="K73" t="str">
        <f>使用レシピ!O73</f>
        <v/>
      </c>
      <c r="L73">
        <f>使用レシピ!P73</f>
        <v>1</v>
      </c>
      <c r="M73">
        <f>使用レシピ!Q73</f>
        <v>1</v>
      </c>
    </row>
    <row r="74" spans="1:13" x14ac:dyDescent="0.4">
      <c r="A74">
        <f>使用レシピ!C74</f>
        <v>73</v>
      </c>
      <c r="B74">
        <f>IF(使用レシピ!F74="","",MATCH(使用レシピ!F74,使用レシピ!$E:$E,0)-1)</f>
        <v>45</v>
      </c>
      <c r="C74">
        <f>IF(使用レシピ!G74="","",MATCH(使用レシピ!G74,使用レシピ!$E:$E,0)-1)</f>
        <v>53</v>
      </c>
      <c r="D74">
        <f>IF(使用レシピ!H74="","",MATCH(使用レシピ!H74,使用レシピ!$E:$E,0)-1)</f>
        <v>71</v>
      </c>
      <c r="E74">
        <f>IF(使用レシピ!I74="","",MATCH(使用レシピ!I74,使用レシピ!$E:$E,0)-1)</f>
        <v>70</v>
      </c>
      <c r="F74" t="str">
        <f>IF(使用レシピ!J74="","",MATCH(使用レシピ!J74,使用レシピ!$E:$E,0)-1)</f>
        <v/>
      </c>
      <c r="G74">
        <f>使用レシピ!K74</f>
        <v>5</v>
      </c>
      <c r="H74">
        <f>使用レシピ!L74</f>
        <v>5</v>
      </c>
      <c r="I74">
        <f>使用レシピ!M74</f>
        <v>1</v>
      </c>
      <c r="J74">
        <f>使用レシピ!N74</f>
        <v>2</v>
      </c>
      <c r="K74" t="str">
        <f>使用レシピ!O74</f>
        <v/>
      </c>
      <c r="L74">
        <f>使用レシピ!P74</f>
        <v>1</v>
      </c>
      <c r="M74">
        <f>使用レシピ!Q74</f>
        <v>1</v>
      </c>
    </row>
    <row r="75" spans="1:13" x14ac:dyDescent="0.4">
      <c r="A75">
        <f>使用レシピ!C75</f>
        <v>74</v>
      </c>
      <c r="B75" t="str">
        <f>IF(使用レシピ!F75="","",MATCH(使用レシピ!F75,使用レシピ!$E:$E,0)-1)</f>
        <v/>
      </c>
      <c r="C75" t="str">
        <f>IF(使用レシピ!G75="","",MATCH(使用レシピ!G75,使用レシピ!$E:$E,0)-1)</f>
        <v/>
      </c>
      <c r="D75" t="str">
        <f>IF(使用レシピ!H75="","",MATCH(使用レシピ!H75,使用レシピ!$E:$E,0)-1)</f>
        <v/>
      </c>
      <c r="E75" t="str">
        <f>IF(使用レシピ!I75="","",MATCH(使用レシピ!I75,使用レシピ!$E:$E,0)-1)</f>
        <v/>
      </c>
      <c r="F75" t="str">
        <f>IF(使用レシピ!J75="","",MATCH(使用レシピ!J75,使用レシピ!$E:$E,0)-1)</f>
        <v/>
      </c>
      <c r="G75" t="str">
        <f>使用レシピ!K75</f>
        <v/>
      </c>
      <c r="H75" t="str">
        <f>使用レシピ!L75</f>
        <v/>
      </c>
      <c r="I75" t="str">
        <f>使用レシピ!M75</f>
        <v/>
      </c>
      <c r="J75" t="str">
        <f>使用レシピ!N75</f>
        <v/>
      </c>
      <c r="K75" t="str">
        <f>使用レシピ!O75</f>
        <v/>
      </c>
      <c r="L75">
        <f>使用レシピ!P75</f>
        <v>1</v>
      </c>
      <c r="M75">
        <f>使用レシピ!Q75</f>
        <v>1</v>
      </c>
    </row>
    <row r="76" spans="1:13" x14ac:dyDescent="0.4">
      <c r="A76">
        <f>使用レシピ!C76</f>
        <v>75</v>
      </c>
      <c r="B76">
        <f>IF(使用レシピ!F76="","",MATCH(使用レシピ!F76,使用レシピ!$E:$E,0)-1)</f>
        <v>74</v>
      </c>
      <c r="C76">
        <f>IF(使用レシピ!G76="","",MATCH(使用レシピ!G76,使用レシピ!$E:$E,0)-1)</f>
        <v>13</v>
      </c>
      <c r="D76" t="str">
        <f>IF(使用レシピ!H76="","",MATCH(使用レシピ!H76,使用レシピ!$E:$E,0)-1)</f>
        <v/>
      </c>
      <c r="E76" t="str">
        <f>IF(使用レシピ!I76="","",MATCH(使用レシピ!I76,使用レシピ!$E:$E,0)-1)</f>
        <v/>
      </c>
      <c r="F76" t="str">
        <f>IF(使用レシピ!J76="","",MATCH(使用レシピ!J76,使用レシピ!$E:$E,0)-1)</f>
        <v/>
      </c>
      <c r="G76">
        <f>使用レシピ!K76</f>
        <v>1</v>
      </c>
      <c r="H76">
        <f>使用レシピ!L76</f>
        <v>5</v>
      </c>
      <c r="I76" t="str">
        <f>使用レシピ!M76</f>
        <v/>
      </c>
      <c r="J76" t="str">
        <f>使用レシピ!N76</f>
        <v/>
      </c>
      <c r="K76" t="str">
        <f>使用レシピ!O76</f>
        <v/>
      </c>
      <c r="L76">
        <f>使用レシピ!P76</f>
        <v>1</v>
      </c>
      <c r="M76">
        <f>使用レシピ!Q76</f>
        <v>15</v>
      </c>
    </row>
    <row r="77" spans="1:13" x14ac:dyDescent="0.4">
      <c r="A77">
        <f>使用レシピ!C77</f>
        <v>76</v>
      </c>
      <c r="B77">
        <f>IF(使用レシピ!F77="","",MATCH(使用レシピ!F77,使用レシピ!$E:$E,0)-1)</f>
        <v>75</v>
      </c>
      <c r="C77">
        <f>IF(使用レシピ!G77="","",MATCH(使用レシピ!G77,使用レシピ!$E:$E,0)-1)</f>
        <v>31</v>
      </c>
      <c r="D77">
        <f>IF(使用レシピ!H77="","",MATCH(使用レシピ!H77,使用レシピ!$E:$E,0)-1)</f>
        <v>3</v>
      </c>
      <c r="E77" t="str">
        <f>IF(使用レシピ!I77="","",MATCH(使用レシピ!I77,使用レシピ!$E:$E,0)-1)</f>
        <v/>
      </c>
      <c r="F77" t="str">
        <f>IF(使用レシピ!J77="","",MATCH(使用レシピ!J77,使用レシピ!$E:$E,0)-1)</f>
        <v/>
      </c>
      <c r="G77">
        <f>使用レシピ!K77</f>
        <v>2</v>
      </c>
      <c r="H77">
        <f>使用レシピ!L77</f>
        <v>4</v>
      </c>
      <c r="I77">
        <f>使用レシピ!M77</f>
        <v>2</v>
      </c>
      <c r="J77" t="str">
        <f>使用レシピ!N77</f>
        <v/>
      </c>
      <c r="K77" t="str">
        <f>使用レシピ!O77</f>
        <v/>
      </c>
      <c r="L77">
        <f>使用レシピ!P77</f>
        <v>1</v>
      </c>
      <c r="M77">
        <f>使用レシピ!Q77</f>
        <v>7.5</v>
      </c>
    </row>
    <row r="78" spans="1:13" x14ac:dyDescent="0.4">
      <c r="A78">
        <f>使用レシピ!C78</f>
        <v>77</v>
      </c>
      <c r="B78">
        <f>IF(使用レシピ!F78="","",MATCH(使用レシピ!F78,使用レシピ!$E:$E,0)-1)</f>
        <v>16</v>
      </c>
      <c r="C78" t="str">
        <f>IF(使用レシピ!G78="","",MATCH(使用レシピ!G78,使用レシピ!$E:$E,0)-1)</f>
        <v/>
      </c>
      <c r="D78" t="str">
        <f>IF(使用レシピ!H78="","",MATCH(使用レシピ!H78,使用レシピ!$E:$E,0)-1)</f>
        <v/>
      </c>
      <c r="E78" t="str">
        <f>IF(使用レシピ!I78="","",MATCH(使用レシピ!I78,使用レシピ!$E:$E,0)-1)</f>
        <v/>
      </c>
      <c r="F78" t="str">
        <f>IF(使用レシピ!J78="","",MATCH(使用レシピ!J78,使用レシピ!$E:$E,0)-1)</f>
        <v/>
      </c>
      <c r="G78">
        <f>使用レシピ!K78</f>
        <v>1</v>
      </c>
      <c r="H78" t="str">
        <f>使用レシピ!L78</f>
        <v/>
      </c>
      <c r="I78" t="str">
        <f>使用レシピ!M78</f>
        <v/>
      </c>
      <c r="J78" t="str">
        <f>使用レシピ!N78</f>
        <v/>
      </c>
      <c r="K78" t="str">
        <f>使用レシピ!O78</f>
        <v/>
      </c>
      <c r="L78">
        <f>使用レシピ!P78</f>
        <v>1</v>
      </c>
      <c r="M78">
        <f>使用レシピ!Q78</f>
        <v>10</v>
      </c>
    </row>
    <row r="79" spans="1:13" x14ac:dyDescent="0.4">
      <c r="A79">
        <f>使用レシピ!C79</f>
        <v>78</v>
      </c>
      <c r="B79">
        <f>IF(使用レシピ!F79="","",MATCH(使用レシピ!F79,使用レシピ!$E:$E,0)-1)</f>
        <v>35</v>
      </c>
      <c r="C79">
        <f>IF(使用レシピ!G79="","",MATCH(使用レシピ!G79,使用レシピ!$E:$E,0)-1)</f>
        <v>6</v>
      </c>
      <c r="D79">
        <f>IF(使用レシピ!H79="","",MATCH(使用レシピ!H79,使用レシピ!$E:$E,0)-1)</f>
        <v>53</v>
      </c>
      <c r="E79" t="str">
        <f>IF(使用レシピ!I79="","",MATCH(使用レシピ!I79,使用レシピ!$E:$E,0)-1)</f>
        <v/>
      </c>
      <c r="F79" t="str">
        <f>IF(使用レシピ!J79="","",MATCH(使用レシピ!J79,使用レシピ!$E:$E,0)-1)</f>
        <v/>
      </c>
      <c r="G79">
        <f>使用レシピ!K79</f>
        <v>56</v>
      </c>
      <c r="H79">
        <f>使用レシピ!L79</f>
        <v>10</v>
      </c>
      <c r="I79">
        <f>使用レシピ!M79</f>
        <v>1</v>
      </c>
      <c r="J79" t="str">
        <f>使用レシピ!N79</f>
        <v/>
      </c>
      <c r="K79" t="str">
        <f>使用レシピ!O79</f>
        <v/>
      </c>
      <c r="L79">
        <f>使用レシピ!P79</f>
        <v>1</v>
      </c>
      <c r="M79">
        <f>使用レシピ!Q79</f>
        <v>3.75</v>
      </c>
    </row>
    <row r="80" spans="1:13" x14ac:dyDescent="0.4">
      <c r="A80">
        <f>使用レシピ!C80</f>
        <v>79</v>
      </c>
      <c r="B80">
        <f>IF(使用レシピ!F80="","",MATCH(使用レシピ!F80,使用レシピ!$E:$E,0)-1)</f>
        <v>30</v>
      </c>
      <c r="C80">
        <f>IF(使用レシピ!G80="","",MATCH(使用レシピ!G80,使用レシピ!$E:$E,0)-1)</f>
        <v>52</v>
      </c>
      <c r="D80" t="str">
        <f>IF(使用レシピ!H80="","",MATCH(使用レシピ!H80,使用レシピ!$E:$E,0)-1)</f>
        <v/>
      </c>
      <c r="E80" t="str">
        <f>IF(使用レシピ!I80="","",MATCH(使用レシピ!I80,使用レシピ!$E:$E,0)-1)</f>
        <v/>
      </c>
      <c r="F80" t="str">
        <f>IF(使用レシピ!J80="","",MATCH(使用レシピ!J80,使用レシピ!$E:$E,0)-1)</f>
        <v/>
      </c>
      <c r="G80">
        <f>使用レシピ!K80</f>
        <v>2</v>
      </c>
      <c r="H80">
        <f>使用レシピ!L80</f>
        <v>1</v>
      </c>
      <c r="I80" t="str">
        <f>使用レシピ!M80</f>
        <v/>
      </c>
      <c r="J80" t="str">
        <f>使用レシピ!N80</f>
        <v/>
      </c>
      <c r="K80" t="str">
        <f>使用レシピ!O80</f>
        <v/>
      </c>
      <c r="L80">
        <f>使用レシピ!P80</f>
        <v>2</v>
      </c>
      <c r="M80">
        <f>使用レシピ!Q80</f>
        <v>20</v>
      </c>
    </row>
    <row r="81" spans="1:13" x14ac:dyDescent="0.4">
      <c r="A81">
        <f>使用レシピ!C81</f>
        <v>80</v>
      </c>
      <c r="B81">
        <f>IF(使用レシピ!F81="","",MATCH(使用レシピ!F81,使用レシピ!$E:$E,0)-1)</f>
        <v>81</v>
      </c>
      <c r="C81">
        <f>IF(使用レシピ!G81="","",MATCH(使用レシピ!G81,使用レシピ!$E:$E,0)-1)</f>
        <v>56</v>
      </c>
      <c r="D81" t="str">
        <f>IF(使用レシピ!H81="","",MATCH(使用レシピ!H81,使用レシピ!$E:$E,0)-1)</f>
        <v/>
      </c>
      <c r="E81" t="str">
        <f>IF(使用レシピ!I81="","",MATCH(使用レシピ!I81,使用レシピ!$E:$E,0)-1)</f>
        <v/>
      </c>
      <c r="F81">
        <f>IF(使用レシピ!J81="","",MATCH(使用レシピ!J81,使用レシピ!$E:$E,0)-1)</f>
        <v>60</v>
      </c>
      <c r="G81">
        <f>使用レシピ!K81</f>
        <v>12</v>
      </c>
      <c r="H81">
        <f>使用レシピ!L81</f>
        <v>18</v>
      </c>
      <c r="I81" t="str">
        <f>使用レシピ!M81</f>
        <v/>
      </c>
      <c r="J81" t="str">
        <f>使用レシピ!N81</f>
        <v/>
      </c>
      <c r="K81">
        <f>使用レシピ!O81</f>
        <v>5</v>
      </c>
      <c r="L81">
        <f>使用レシピ!P81</f>
        <v>12</v>
      </c>
      <c r="M81">
        <f>使用レシピ!Q81</f>
        <v>120</v>
      </c>
    </row>
    <row r="82" spans="1:13" x14ac:dyDescent="0.4">
      <c r="A82">
        <f>使用レシピ!C82</f>
        <v>81</v>
      </c>
      <c r="B82" t="str">
        <f>IF(使用レシピ!F82="","",MATCH(使用レシピ!F82,使用レシピ!$E:$E,0)-1)</f>
        <v/>
      </c>
      <c r="C82" t="str">
        <f>IF(使用レシピ!G82="","",MATCH(使用レシピ!G82,使用レシピ!$E:$E,0)-1)</f>
        <v/>
      </c>
      <c r="D82" t="str">
        <f>IF(使用レシピ!H82="","",MATCH(使用レシピ!H82,使用レシピ!$E:$E,0)-1)</f>
        <v/>
      </c>
      <c r="E82" t="str">
        <f>IF(使用レシピ!I82="","",MATCH(使用レシピ!I82,使用レシピ!$E:$E,0)-1)</f>
        <v/>
      </c>
      <c r="F82" t="str">
        <f>IF(使用レシピ!J82="","",MATCH(使用レシピ!J82,使用レシピ!$E:$E,0)-1)</f>
        <v/>
      </c>
      <c r="G82" t="str">
        <f>使用レシピ!K82</f>
        <v/>
      </c>
      <c r="H82" t="str">
        <f>使用レシピ!L82</f>
        <v/>
      </c>
      <c r="I82" t="str">
        <f>使用レシピ!M82</f>
        <v/>
      </c>
      <c r="J82" t="str">
        <f>使用レシピ!N82</f>
        <v/>
      </c>
      <c r="K82" t="str">
        <f>使用レシピ!O82</f>
        <v/>
      </c>
      <c r="L82">
        <f>使用レシピ!P82</f>
        <v>1</v>
      </c>
      <c r="M82">
        <f>使用レシピ!Q82</f>
        <v>1200</v>
      </c>
    </row>
    <row r="83" spans="1:13" x14ac:dyDescent="0.4">
      <c r="A83">
        <f>使用レシピ!C83</f>
        <v>82</v>
      </c>
      <c r="B83">
        <f>IF(使用レシピ!F83="","",MATCH(使用レシピ!F83,使用レシピ!$E:$E,0)-1)</f>
        <v>62</v>
      </c>
      <c r="C83">
        <f>IF(使用レシピ!G83="","",MATCH(使用レシピ!G83,使用レシピ!$E:$E,0)-1)</f>
        <v>80</v>
      </c>
      <c r="D83" t="str">
        <f>IF(使用レシピ!H83="","",MATCH(使用レシピ!H83,使用レシピ!$E:$E,0)-1)</f>
        <v/>
      </c>
      <c r="E83" t="str">
        <f>IF(使用レシピ!I83="","",MATCH(使用レシピ!I83,使用レシピ!$E:$E,0)-1)</f>
        <v/>
      </c>
      <c r="F83" t="str">
        <f>IF(使用レシピ!J83="","",MATCH(使用レシピ!J83,使用レシピ!$E:$E,0)-1)</f>
        <v/>
      </c>
      <c r="G83">
        <f>使用レシピ!K83</f>
        <v>2</v>
      </c>
      <c r="H83">
        <f>使用レシピ!L83</f>
        <v>2</v>
      </c>
      <c r="I83" t="str">
        <f>使用レシピ!M83</f>
        <v/>
      </c>
      <c r="J83" t="str">
        <f>使用レシピ!N83</f>
        <v/>
      </c>
      <c r="K83" t="str">
        <f>使用レシピ!O83</f>
        <v/>
      </c>
      <c r="L83">
        <f>使用レシピ!P83</f>
        <v>2</v>
      </c>
      <c r="M83">
        <f>使用レシピ!Q83</f>
        <v>120</v>
      </c>
    </row>
    <row r="84" spans="1:13" x14ac:dyDescent="0.4">
      <c r="A84">
        <f>使用レシピ!C84</f>
        <v>83</v>
      </c>
      <c r="B84">
        <f>IF(使用レシピ!F84="","",MATCH(使用レシピ!F84,使用レシピ!$E:$E,0)-1)</f>
        <v>80</v>
      </c>
      <c r="C84">
        <f>IF(使用レシピ!G84="","",MATCH(使用レシピ!G84,使用レシピ!$E:$E,0)-1)</f>
        <v>31</v>
      </c>
      <c r="D84" t="str">
        <f>IF(使用レシピ!H84="","",MATCH(使用レシピ!H84,使用レシピ!$E:$E,0)-1)</f>
        <v/>
      </c>
      <c r="E84" t="str">
        <f>IF(使用レシピ!I84="","",MATCH(使用レシピ!I84,使用レシピ!$E:$E,0)-1)</f>
        <v/>
      </c>
      <c r="F84">
        <f>IF(使用レシピ!J84="","",MATCH(使用レシピ!J84,使用レシピ!$E:$E,0)-1)</f>
        <v>56</v>
      </c>
      <c r="G84">
        <f>使用レシピ!K84</f>
        <v>4</v>
      </c>
      <c r="H84">
        <f>使用レシピ!L84</f>
        <v>2</v>
      </c>
      <c r="I84" t="str">
        <f>使用レシピ!M84</f>
        <v/>
      </c>
      <c r="J84" t="str">
        <f>使用レシピ!N84</f>
        <v/>
      </c>
      <c r="K84">
        <f>使用レシピ!O84</f>
        <v>2</v>
      </c>
      <c r="L84">
        <f>使用レシピ!P84</f>
        <v>6</v>
      </c>
      <c r="M84">
        <f>使用レシピ!Q84</f>
        <v>360</v>
      </c>
    </row>
    <row r="85" spans="1:13" x14ac:dyDescent="0.4">
      <c r="A85">
        <f>使用レシピ!C85</f>
        <v>84</v>
      </c>
      <c r="B85">
        <f>IF(使用レシピ!F85="","",MATCH(使用レシピ!F85,使用レシピ!$E:$E,0)-1)</f>
        <v>83</v>
      </c>
      <c r="C85">
        <f>IF(使用レシピ!G85="","",MATCH(使用レシピ!G85,使用レシピ!$E:$E,0)-1)</f>
        <v>60</v>
      </c>
      <c r="D85" t="str">
        <f>IF(使用レシピ!H85="","",MATCH(使用レシピ!H85,使用レシピ!$E:$E,0)-1)</f>
        <v/>
      </c>
      <c r="E85" t="str">
        <f>IF(使用レシピ!I85="","",MATCH(使用レシピ!I85,使用レシピ!$E:$E,0)-1)</f>
        <v/>
      </c>
      <c r="F85" t="str">
        <f>IF(使用レシピ!J85="","",MATCH(使用レシピ!J85,使用レシピ!$E:$E,0)-1)</f>
        <v/>
      </c>
      <c r="G85">
        <f>使用レシピ!K85</f>
        <v>6</v>
      </c>
      <c r="H85">
        <f>使用レシピ!L85</f>
        <v>5</v>
      </c>
      <c r="I85" t="str">
        <f>使用レシピ!M85</f>
        <v/>
      </c>
      <c r="J85" t="str">
        <f>使用レシピ!N85</f>
        <v/>
      </c>
      <c r="K85" t="str">
        <f>使用レシピ!O85</f>
        <v/>
      </c>
      <c r="L85">
        <f>使用レシピ!P85</f>
        <v>4</v>
      </c>
      <c r="M85">
        <f>使用レシピ!Q85</f>
        <v>60</v>
      </c>
    </row>
    <row r="86" spans="1:13" x14ac:dyDescent="0.4">
      <c r="A86">
        <f>使用レシピ!C86</f>
        <v>85</v>
      </c>
      <c r="B86">
        <f>IF(使用レシピ!F86="","",MATCH(使用レシピ!F86,使用レシピ!$E:$E,0)-1)</f>
        <v>84</v>
      </c>
      <c r="C86">
        <f>IF(使用レシピ!G86="","",MATCH(使用レシピ!G86,使用レシピ!$E:$E,0)-1)</f>
        <v>8</v>
      </c>
      <c r="D86" t="str">
        <f>IF(使用レシピ!H86="","",MATCH(使用レシピ!H86,使用レシピ!$E:$E,0)-1)</f>
        <v/>
      </c>
      <c r="E86" t="str">
        <f>IF(使用レシピ!I86="","",MATCH(使用レシピ!I86,使用レシピ!$E:$E,0)-1)</f>
        <v/>
      </c>
      <c r="F86" t="str">
        <f>IF(使用レシピ!J86="","",MATCH(使用レシピ!J86,使用レシピ!$E:$E,0)-1)</f>
        <v/>
      </c>
      <c r="G86">
        <f>使用レシピ!K86</f>
        <v>3</v>
      </c>
      <c r="H86">
        <f>使用レシピ!L86</f>
        <v>1</v>
      </c>
      <c r="I86" t="str">
        <f>使用レシピ!M86</f>
        <v/>
      </c>
      <c r="J86" t="str">
        <f>使用レシピ!N86</f>
        <v/>
      </c>
      <c r="K86" t="str">
        <f>使用レシピ!O86</f>
        <v/>
      </c>
      <c r="L86">
        <f>使用レシピ!P86</f>
        <v>3</v>
      </c>
      <c r="M86">
        <f>使用レシピ!Q86</f>
        <v>30</v>
      </c>
    </row>
    <row r="87" spans="1:13" x14ac:dyDescent="0.4">
      <c r="A87">
        <f>使用レシピ!C87</f>
        <v>86</v>
      </c>
      <c r="B87">
        <f>IF(使用レシピ!F87="","",MATCH(使用レシピ!F87,使用レシピ!$E:$E,0)-1)</f>
        <v>84</v>
      </c>
      <c r="C87" t="str">
        <f>IF(使用レシピ!G87="","",MATCH(使用レシピ!G87,使用レシピ!$E:$E,0)-1)</f>
        <v/>
      </c>
      <c r="D87" t="str">
        <f>IF(使用レシピ!H87="","",MATCH(使用レシピ!H87,使用レシピ!$E:$E,0)-1)</f>
        <v/>
      </c>
      <c r="E87" t="str">
        <f>IF(使用レシピ!I87="","",MATCH(使用レシピ!I87,使用レシピ!$E:$E,0)-1)</f>
        <v/>
      </c>
      <c r="F87" t="str">
        <f>IF(使用レシピ!J87="","",MATCH(使用レシピ!J87,使用レシピ!$E:$E,0)-1)</f>
        <v/>
      </c>
      <c r="G87">
        <f>使用レシピ!K87</f>
        <v>3</v>
      </c>
      <c r="H87" t="str">
        <f>使用レシピ!L87</f>
        <v/>
      </c>
      <c r="I87" t="str">
        <f>使用レシピ!M87</f>
        <v/>
      </c>
      <c r="J87" t="str">
        <f>使用レシピ!N87</f>
        <v/>
      </c>
      <c r="K87" t="str">
        <f>使用レシピ!O87</f>
        <v/>
      </c>
      <c r="L87">
        <f>使用レシピ!P87</f>
        <v>2</v>
      </c>
      <c r="M87">
        <f>使用レシピ!Q87</f>
        <v>60</v>
      </c>
    </row>
    <row r="88" spans="1:13" x14ac:dyDescent="0.4">
      <c r="A88">
        <f>使用レシピ!C88</f>
        <v>87</v>
      </c>
      <c r="B88">
        <f>IF(使用レシピ!F88="","",MATCH(使用レシピ!F88,使用レシピ!$E:$E,0)-1)</f>
        <v>58</v>
      </c>
      <c r="C88">
        <f>IF(使用レシピ!G88="","",MATCH(使用レシピ!G88,使用レシピ!$E:$E,0)-1)</f>
        <v>69</v>
      </c>
      <c r="D88" t="str">
        <f>IF(使用レシピ!H88="","",MATCH(使用レシピ!H88,使用レシピ!$E:$E,0)-1)</f>
        <v/>
      </c>
      <c r="E88" t="str">
        <f>IF(使用レシピ!I88="","",MATCH(使用レシピ!I88,使用レシピ!$E:$E,0)-1)</f>
        <v/>
      </c>
      <c r="F88" t="str">
        <f>IF(使用レシピ!J88="","",MATCH(使用レシピ!J88,使用レシピ!$E:$E,0)-1)</f>
        <v/>
      </c>
      <c r="G88">
        <f>使用レシピ!K88</f>
        <v>6</v>
      </c>
      <c r="H88">
        <f>使用レシピ!L88</f>
        <v>4</v>
      </c>
      <c r="I88" t="str">
        <f>使用レシピ!M88</f>
        <v/>
      </c>
      <c r="J88" t="str">
        <f>使用レシピ!N88</f>
        <v/>
      </c>
      <c r="K88" t="str">
        <f>使用レシピ!O88</f>
        <v/>
      </c>
      <c r="L88">
        <f>使用レシピ!P88</f>
        <v>5</v>
      </c>
      <c r="M88">
        <f>使用レシピ!Q88</f>
        <v>18.75</v>
      </c>
    </row>
    <row r="89" spans="1:13" x14ac:dyDescent="0.4">
      <c r="A89">
        <f>使用レシピ!C89</f>
        <v>88</v>
      </c>
      <c r="B89">
        <f>IF(使用レシピ!F89="","",MATCH(使用レシピ!F89,使用レシピ!$E:$E,0)-1)</f>
        <v>62</v>
      </c>
      <c r="C89">
        <f>IF(使用レシピ!G89="","",MATCH(使用レシピ!G89,使用レシピ!$E:$E,0)-1)</f>
        <v>52</v>
      </c>
      <c r="D89" t="str">
        <f>IF(使用レシピ!H89="","",MATCH(使用レシピ!H89,使用レシピ!$E:$E,0)-1)</f>
        <v/>
      </c>
      <c r="E89" t="str">
        <f>IF(使用レシピ!I89="","",MATCH(使用レシピ!I89,使用レシピ!$E:$E,0)-1)</f>
        <v/>
      </c>
      <c r="F89" t="str">
        <f>IF(使用レシピ!J89="","",MATCH(使用レシピ!J89,使用レシピ!$E:$E,0)-1)</f>
        <v/>
      </c>
      <c r="G89">
        <f>使用レシピ!K89</f>
        <v>2</v>
      </c>
      <c r="H89">
        <f>使用レシピ!L89</f>
        <v>2</v>
      </c>
      <c r="I89" t="str">
        <f>使用レシピ!M89</f>
        <v/>
      </c>
      <c r="J89" t="str">
        <f>使用レシピ!N89</f>
        <v/>
      </c>
      <c r="K89" t="str">
        <f>使用レシピ!O89</f>
        <v/>
      </c>
      <c r="L89">
        <f>使用レシピ!P89</f>
        <v>2</v>
      </c>
      <c r="M89">
        <f>使用レシピ!Q89</f>
        <v>20</v>
      </c>
    </row>
    <row r="90" spans="1:13" x14ac:dyDescent="0.4">
      <c r="A90">
        <f>使用レシピ!C90</f>
        <v>89</v>
      </c>
      <c r="B90">
        <f>IF(使用レシピ!F90="","",MATCH(使用レシピ!F90,使用レシピ!$E:$E,0)-1)</f>
        <v>4</v>
      </c>
      <c r="C90" t="str">
        <f>IF(使用レシピ!G90="","",MATCH(使用レシピ!G90,使用レシピ!$E:$E,0)-1)</f>
        <v/>
      </c>
      <c r="D90" t="str">
        <f>IF(使用レシピ!H90="","",MATCH(使用レシピ!H90,使用レシピ!$E:$E,0)-1)</f>
        <v/>
      </c>
      <c r="E90" t="str">
        <f>IF(使用レシピ!I90="","",MATCH(使用レシピ!I90,使用レシピ!$E:$E,0)-1)</f>
        <v/>
      </c>
      <c r="F90" t="str">
        <f>IF(使用レシピ!J90="","",MATCH(使用レシピ!J90,使用レシピ!$E:$E,0)-1)</f>
        <v/>
      </c>
      <c r="G90">
        <f>使用レシピ!K90</f>
        <v>1</v>
      </c>
      <c r="H90" t="str">
        <f>使用レシピ!L90</f>
        <v/>
      </c>
      <c r="I90" t="str">
        <f>使用レシピ!M90</f>
        <v/>
      </c>
      <c r="J90" t="str">
        <f>使用レシピ!N90</f>
        <v/>
      </c>
      <c r="K90" t="str">
        <f>使用レシピ!O90</f>
        <v/>
      </c>
      <c r="L90">
        <f>使用レシピ!P90</f>
        <v>1</v>
      </c>
      <c r="M90">
        <f>使用レシピ!Q90</f>
        <v>15</v>
      </c>
    </row>
    <row r="91" spans="1:13" x14ac:dyDescent="0.4">
      <c r="A91">
        <f>使用レシピ!C91</f>
        <v>90</v>
      </c>
      <c r="B91">
        <f>IF(使用レシピ!F91="","",MATCH(使用レシピ!F91,使用レシピ!$E:$E,0)-1)</f>
        <v>32</v>
      </c>
      <c r="C91">
        <f>IF(使用レシピ!G91="","",MATCH(使用レシピ!G91,使用レシピ!$E:$E,0)-1)</f>
        <v>56</v>
      </c>
      <c r="D91" t="str">
        <f>IF(使用レシピ!H91="","",MATCH(使用レシピ!H91,使用レシピ!$E:$E,0)-1)</f>
        <v/>
      </c>
      <c r="E91" t="str">
        <f>IF(使用レシピ!I91="","",MATCH(使用レシピ!I91,使用レシピ!$E:$E,0)-1)</f>
        <v/>
      </c>
      <c r="F91" t="str">
        <f>IF(使用レシピ!J91="","",MATCH(使用レシピ!J91,使用レシピ!$E:$E,0)-1)</f>
        <v/>
      </c>
      <c r="G91">
        <f>使用レシピ!K91</f>
        <v>5</v>
      </c>
      <c r="H91">
        <f>使用レシピ!L91</f>
        <v>5</v>
      </c>
      <c r="I91" t="str">
        <f>使用レシピ!M91</f>
        <v/>
      </c>
      <c r="J91" t="str">
        <f>使用レシピ!N91</f>
        <v/>
      </c>
      <c r="K91" t="str">
        <f>使用レシピ!O91</f>
        <v/>
      </c>
      <c r="L91">
        <f>使用レシピ!P91</f>
        <v>5</v>
      </c>
      <c r="M91">
        <f>使用レシピ!Q91</f>
        <v>50</v>
      </c>
    </row>
    <row r="92" spans="1:13" x14ac:dyDescent="0.4">
      <c r="A92">
        <f>使用レシピ!C92</f>
        <v>91</v>
      </c>
      <c r="B92">
        <f>IF(使用レシピ!F92="","",MATCH(使用レシピ!F92,使用レシピ!$E:$E,0)-1)</f>
        <v>62</v>
      </c>
      <c r="C92">
        <f>IF(使用レシピ!G92="","",MATCH(使用レシピ!G92,使用レシピ!$E:$E,0)-1)</f>
        <v>90</v>
      </c>
      <c r="D92" t="str">
        <f>IF(使用レシピ!H92="","",MATCH(使用レシピ!H92,使用レシピ!$E:$E,0)-1)</f>
        <v/>
      </c>
      <c r="E92" t="str">
        <f>IF(使用レシピ!I92="","",MATCH(使用レシピ!I92,使用レシピ!$E:$E,0)-1)</f>
        <v/>
      </c>
      <c r="F92" t="str">
        <f>IF(使用レシピ!J92="","",MATCH(使用レシピ!J92,使用レシピ!$E:$E,0)-1)</f>
        <v/>
      </c>
      <c r="G92">
        <f>使用レシピ!K92</f>
        <v>2</v>
      </c>
      <c r="H92">
        <f>使用レシピ!L92</f>
        <v>2</v>
      </c>
      <c r="I92" t="str">
        <f>使用レシピ!M92</f>
        <v/>
      </c>
      <c r="J92" t="str">
        <f>使用レシピ!N92</f>
        <v/>
      </c>
      <c r="K92" t="str">
        <f>使用レシピ!O92</f>
        <v/>
      </c>
      <c r="L92">
        <f>使用レシピ!P92</f>
        <v>2</v>
      </c>
      <c r="M92">
        <f>使用レシピ!Q92</f>
        <v>40</v>
      </c>
    </row>
    <row r="93" spans="1:13" x14ac:dyDescent="0.4">
      <c r="A93">
        <f>使用レシピ!C93</f>
        <v>92</v>
      </c>
      <c r="B93">
        <f>IF(使用レシピ!F93="","",MATCH(使用レシピ!F93,使用レシピ!$E:$E,0)-1)</f>
        <v>90</v>
      </c>
      <c r="C93">
        <f>IF(使用レシピ!G93="","",MATCH(使用レシピ!G93,使用レシピ!$E:$E,0)-1)</f>
        <v>80</v>
      </c>
      <c r="D93">
        <f>IF(使用レシピ!H93="","",MATCH(使用レシピ!H93,使用レシピ!$E:$E,0)-1)</f>
        <v>86</v>
      </c>
      <c r="E93" t="str">
        <f>IF(使用レシピ!I93="","",MATCH(使用レシピ!I93,使用レシピ!$E:$E,0)-1)</f>
        <v/>
      </c>
      <c r="F93">
        <f>IF(使用レシピ!J93="","",MATCH(使用レシピ!J93,使用レシピ!$E:$E,0)-1)</f>
        <v>56</v>
      </c>
      <c r="G93">
        <f>使用レシピ!K93</f>
        <v>2.5</v>
      </c>
      <c r="H93">
        <f>使用レシピ!L93</f>
        <v>2</v>
      </c>
      <c r="I93">
        <f>使用レシピ!M93</f>
        <v>1</v>
      </c>
      <c r="J93" t="str">
        <f>使用レシピ!N93</f>
        <v/>
      </c>
      <c r="K93">
        <f>使用レシピ!O93</f>
        <v>1.5</v>
      </c>
      <c r="L93">
        <f>使用レシピ!P93</f>
        <v>1</v>
      </c>
      <c r="M93">
        <f>使用レシピ!Q93</f>
        <v>20</v>
      </c>
    </row>
    <row r="94" spans="1:13" x14ac:dyDescent="0.4">
      <c r="A94">
        <f>使用レシピ!C94</f>
        <v>93</v>
      </c>
      <c r="B94">
        <f>IF(使用レシピ!F94="","",MATCH(使用レシピ!F94,使用レシピ!$E:$E,0)-1)</f>
        <v>86</v>
      </c>
      <c r="C94">
        <f>IF(使用レシピ!G94="","",MATCH(使用レシピ!G94,使用レシピ!$E:$E,0)-1)</f>
        <v>61</v>
      </c>
      <c r="D94">
        <f>IF(使用レシピ!H94="","",MATCH(使用レシピ!H94,使用レシピ!$E:$E,0)-1)</f>
        <v>70</v>
      </c>
      <c r="E94" t="str">
        <f>IF(使用レシピ!I94="","",MATCH(使用レシピ!I94,使用レシピ!$E:$E,0)-1)</f>
        <v/>
      </c>
      <c r="F94" t="str">
        <f>IF(使用レシピ!J94="","",MATCH(使用レシピ!J94,使用レシピ!$E:$E,0)-1)</f>
        <v/>
      </c>
      <c r="G94">
        <f>使用レシピ!K94</f>
        <v>32</v>
      </c>
      <c r="H94">
        <f>使用レシピ!L94</f>
        <v>1</v>
      </c>
      <c r="I94">
        <f>使用レシピ!M94</f>
        <v>2</v>
      </c>
      <c r="J94" t="str">
        <f>使用レシピ!N94</f>
        <v/>
      </c>
      <c r="K94" t="str">
        <f>使用レシピ!O94</f>
        <v/>
      </c>
      <c r="L94">
        <f>使用レシピ!P94</f>
        <v>2</v>
      </c>
      <c r="M94">
        <f>使用レシピ!Q94</f>
        <v>2.5</v>
      </c>
    </row>
    <row r="95" spans="1:13" x14ac:dyDescent="0.4">
      <c r="A95">
        <f>使用レシピ!C95</f>
        <v>94</v>
      </c>
      <c r="B95">
        <f>IF(使用レシピ!F95="","",MATCH(使用レシピ!F95,使用レシピ!$E:$E,0)-1)</f>
        <v>70</v>
      </c>
      <c r="C95">
        <f>IF(使用レシピ!G95="","",MATCH(使用レシピ!G95,使用レシピ!$E:$E,0)-1)</f>
        <v>109</v>
      </c>
      <c r="D95">
        <f>IF(使用レシピ!H95="","",MATCH(使用レシピ!H95,使用レシピ!$E:$E,0)-1)</f>
        <v>92</v>
      </c>
      <c r="E95">
        <f>IF(使用レシピ!I95="","",MATCH(使用レシピ!I95,使用レシピ!$E:$E,0)-1)</f>
        <v>7</v>
      </c>
      <c r="F95" t="str">
        <f>IF(使用レシピ!J95="","",MATCH(使用レシピ!J95,使用レシピ!$E:$E,0)-1)</f>
        <v/>
      </c>
      <c r="G95">
        <f>使用レシピ!K95</f>
        <v>3</v>
      </c>
      <c r="H95">
        <f>使用レシピ!L95</f>
        <v>1</v>
      </c>
      <c r="I95">
        <f>使用レシピ!M95</f>
        <v>10</v>
      </c>
      <c r="J95">
        <f>使用レシピ!N95</f>
        <v>25</v>
      </c>
      <c r="K95" t="str">
        <f>使用レシピ!O95</f>
        <v/>
      </c>
      <c r="L95">
        <f>使用レシピ!P95</f>
        <v>1</v>
      </c>
      <c r="M95">
        <f>使用レシピ!Q95</f>
        <v>2.4</v>
      </c>
    </row>
    <row r="96" spans="1:13" x14ac:dyDescent="0.4">
      <c r="A96">
        <f>使用レシピ!C96</f>
        <v>95</v>
      </c>
      <c r="B96">
        <f>IF(使用レシピ!F96="","",MATCH(使用レシピ!F96,使用レシピ!$E:$E,0)-1)</f>
        <v>73</v>
      </c>
      <c r="C96">
        <f>IF(使用レシピ!G96="","",MATCH(使用レシピ!G96,使用レシピ!$E:$E,0)-1)</f>
        <v>94</v>
      </c>
      <c r="D96" t="str">
        <f>IF(使用レシピ!H96="","",MATCH(使用レシピ!H96,使用レシピ!$E:$E,0)-1)</f>
        <v/>
      </c>
      <c r="E96" t="str">
        <f>IF(使用レシピ!I96="","",MATCH(使用レシピ!I96,使用レシピ!$E:$E,0)-1)</f>
        <v/>
      </c>
      <c r="F96" t="str">
        <f>IF(使用レシピ!J96="","",MATCH(使用レシピ!J96,使用レシピ!$E:$E,0)-1)</f>
        <v/>
      </c>
      <c r="G96">
        <f>使用レシピ!K96</f>
        <v>2</v>
      </c>
      <c r="H96">
        <f>使用レシピ!L96</f>
        <v>1</v>
      </c>
      <c r="I96" t="str">
        <f>使用レシピ!M96</f>
        <v/>
      </c>
      <c r="J96" t="str">
        <f>使用レシピ!N96</f>
        <v/>
      </c>
      <c r="K96" t="str">
        <f>使用レシピ!O96</f>
        <v/>
      </c>
      <c r="L96">
        <f>使用レシピ!P96</f>
        <v>1</v>
      </c>
      <c r="M96">
        <f>使用レシピ!Q96</f>
        <v>0.75</v>
      </c>
    </row>
    <row r="97" spans="1:13" x14ac:dyDescent="0.4">
      <c r="A97">
        <f>使用レシピ!C97</f>
        <v>96</v>
      </c>
      <c r="B97">
        <f>IF(使用レシピ!F97="","",MATCH(使用レシピ!F97,使用レシピ!$E:$E,0)-1)</f>
        <v>76</v>
      </c>
      <c r="C97">
        <f>IF(使用レシピ!G97="","",MATCH(使用レシピ!G97,使用レシピ!$E:$E,0)-1)</f>
        <v>35</v>
      </c>
      <c r="D97">
        <f>IF(使用レシピ!H97="","",MATCH(使用レシピ!H97,使用レシピ!$E:$E,0)-1)</f>
        <v>86</v>
      </c>
      <c r="E97" t="str">
        <f>IF(使用レシピ!I97="","",MATCH(使用レシピ!I97,使用レシピ!$E:$E,0)-1)</f>
        <v/>
      </c>
      <c r="F97" t="str">
        <f>IF(使用レシピ!J97="","",MATCH(使用レシピ!J97,使用レシピ!$E:$E,0)-1)</f>
        <v/>
      </c>
      <c r="G97">
        <f>使用レシピ!K97</f>
        <v>1</v>
      </c>
      <c r="H97">
        <f>使用レシピ!L97</f>
        <v>8</v>
      </c>
      <c r="I97">
        <f>使用レシピ!M97</f>
        <v>1</v>
      </c>
      <c r="J97" t="str">
        <f>使用レシピ!N97</f>
        <v/>
      </c>
      <c r="K97" t="str">
        <f>使用レシピ!O97</f>
        <v/>
      </c>
      <c r="L97">
        <f>使用レシピ!P97</f>
        <v>1</v>
      </c>
      <c r="M97">
        <f>使用レシピ!Q97</f>
        <v>3.75</v>
      </c>
    </row>
    <row r="98" spans="1:13" x14ac:dyDescent="0.4">
      <c r="A98">
        <f>使用レシピ!C98</f>
        <v>97</v>
      </c>
      <c r="B98">
        <f>IF(使用レシピ!F98="","",MATCH(使用レシピ!F98,使用レシピ!$E:$E,0)-1)</f>
        <v>84</v>
      </c>
      <c r="C98" t="str">
        <f>IF(使用レシピ!G98="","",MATCH(使用レシピ!G98,使用レシピ!$E:$E,0)-1)</f>
        <v/>
      </c>
      <c r="D98" t="str">
        <f>IF(使用レシピ!H98="","",MATCH(使用レシピ!H98,使用レシピ!$E:$E,0)-1)</f>
        <v/>
      </c>
      <c r="E98" t="str">
        <f>IF(使用レシピ!I98="","",MATCH(使用レシピ!I98,使用レシピ!$E:$E,0)-1)</f>
        <v/>
      </c>
      <c r="F98" t="str">
        <f>IF(使用レシピ!J98="","",MATCH(使用レシピ!J98,使用レシピ!$E:$E,0)-1)</f>
        <v/>
      </c>
      <c r="G98">
        <f>使用レシピ!K98</f>
        <v>1</v>
      </c>
      <c r="H98" t="str">
        <f>使用レシピ!L98</f>
        <v/>
      </c>
      <c r="I98" t="str">
        <f>使用レシピ!M98</f>
        <v/>
      </c>
      <c r="J98" t="str">
        <f>使用レシピ!N98</f>
        <v/>
      </c>
      <c r="K98" t="str">
        <f>使用レシピ!O98</f>
        <v/>
      </c>
      <c r="L98">
        <f>使用レシピ!P98</f>
        <v>1</v>
      </c>
      <c r="M98">
        <f>使用レシピ!Q98</f>
        <v>60</v>
      </c>
    </row>
    <row r="99" spans="1:13" x14ac:dyDescent="0.4">
      <c r="A99">
        <f>使用レシピ!C99</f>
        <v>98</v>
      </c>
      <c r="B99">
        <f>IF(使用レシピ!F99="","",MATCH(使用レシピ!F99,使用レシピ!$E:$E,0)-1)</f>
        <v>99</v>
      </c>
      <c r="C99">
        <f>IF(使用レシピ!G99="","",MATCH(使用レシピ!G99,使用レシピ!$E:$E,0)-1)</f>
        <v>97</v>
      </c>
      <c r="D99" t="str">
        <f>IF(使用レシピ!H99="","",MATCH(使用レシピ!H99,使用レシピ!$E:$E,0)-1)</f>
        <v/>
      </c>
      <c r="E99" t="str">
        <f>IF(使用レシピ!I99="","",MATCH(使用レシピ!I99,使用レシピ!$E:$E,0)-1)</f>
        <v/>
      </c>
      <c r="F99" t="str">
        <f>IF(使用レシピ!J99="","",MATCH(使用レシピ!J99,使用レシピ!$E:$E,0)-1)</f>
        <v/>
      </c>
      <c r="G99">
        <f>使用レシピ!K99</f>
        <v>4</v>
      </c>
      <c r="H99">
        <f>使用レシピ!L99</f>
        <v>1</v>
      </c>
      <c r="I99" t="str">
        <f>使用レシピ!M99</f>
        <v/>
      </c>
      <c r="J99" t="str">
        <f>使用レシピ!N99</f>
        <v/>
      </c>
      <c r="K99" t="str">
        <f>使用レシピ!O99</f>
        <v/>
      </c>
      <c r="L99">
        <f>使用レシピ!P99</f>
        <v>1</v>
      </c>
      <c r="M99">
        <f>使用レシピ!Q99</f>
        <v>60</v>
      </c>
    </row>
    <row r="100" spans="1:13" x14ac:dyDescent="0.4">
      <c r="A100">
        <f>使用レシピ!C100</f>
        <v>99</v>
      </c>
      <c r="B100" t="str">
        <f>IF(使用レシピ!F100="","",MATCH(使用レシピ!F100,使用レシピ!$E:$E,0)-1)</f>
        <v/>
      </c>
      <c r="C100" t="str">
        <f>IF(使用レシピ!G100="","",MATCH(使用レシピ!G100,使用レシピ!$E:$E,0)-1)</f>
        <v/>
      </c>
      <c r="D100" t="str">
        <f>IF(使用レシピ!H100="","",MATCH(使用レシピ!H100,使用レシピ!$E:$E,0)-1)</f>
        <v/>
      </c>
      <c r="E100" t="str">
        <f>IF(使用レシピ!I100="","",MATCH(使用レシピ!I100,使用レシピ!$E:$E,0)-1)</f>
        <v/>
      </c>
      <c r="F100" t="str">
        <f>IF(使用レシピ!J100="","",MATCH(使用レシピ!J100,使用レシピ!$E:$E,0)-1)</f>
        <v/>
      </c>
      <c r="G100" t="str">
        <f>使用レシピ!K100</f>
        <v/>
      </c>
      <c r="H100" t="str">
        <f>使用レシピ!L100</f>
        <v/>
      </c>
      <c r="I100" t="str">
        <f>使用レシピ!M100</f>
        <v/>
      </c>
      <c r="J100" t="str">
        <f>使用レシピ!N100</f>
        <v/>
      </c>
      <c r="K100" t="str">
        <f>使用レシピ!O100</f>
        <v/>
      </c>
      <c r="L100">
        <f>使用レシピ!P100</f>
        <v>1</v>
      </c>
      <c r="M100">
        <f>使用レシピ!Q100</f>
        <v>600</v>
      </c>
    </row>
    <row r="101" spans="1:13" x14ac:dyDescent="0.4">
      <c r="A101">
        <f>使用レシピ!C101</f>
        <v>100</v>
      </c>
      <c r="B101">
        <f>IF(使用レシピ!F101="","",MATCH(使用レシピ!F101,使用レシピ!$E:$E,0)-1)</f>
        <v>85</v>
      </c>
      <c r="C101">
        <f>IF(使用レシピ!G101="","",MATCH(使用レシピ!G101,使用レシピ!$E:$E,0)-1)</f>
        <v>27</v>
      </c>
      <c r="D101" t="str">
        <f>IF(使用レシピ!H101="","",MATCH(使用レシピ!H101,使用レシピ!$E:$E,0)-1)</f>
        <v/>
      </c>
      <c r="E101" t="str">
        <f>IF(使用レシピ!I101="","",MATCH(使用レシピ!I101,使用レシピ!$E:$E,0)-1)</f>
        <v/>
      </c>
      <c r="F101" t="str">
        <f>IF(使用レシピ!J101="","",MATCH(使用レシピ!J101,使用レシピ!$E:$E,0)-1)</f>
        <v/>
      </c>
      <c r="G101">
        <f>使用レシピ!K101</f>
        <v>5</v>
      </c>
      <c r="H101">
        <f>使用レシピ!L101</f>
        <v>3</v>
      </c>
      <c r="I101" t="str">
        <f>使用レシピ!M101</f>
        <v/>
      </c>
      <c r="J101" t="str">
        <f>使用レシピ!N101</f>
        <v/>
      </c>
      <c r="K101" t="str">
        <f>使用レシピ!O101</f>
        <v/>
      </c>
      <c r="L101">
        <f>使用レシピ!P101</f>
        <v>1</v>
      </c>
      <c r="M101">
        <f>使用レシピ!Q101</f>
        <v>7.5</v>
      </c>
    </row>
    <row r="102" spans="1:13" x14ac:dyDescent="0.4">
      <c r="A102">
        <f>使用レシピ!C102</f>
        <v>101</v>
      </c>
      <c r="B102">
        <f>IF(使用レシピ!F102="","",MATCH(使用レシピ!F102,使用レシピ!$E:$E,0)-1)</f>
        <v>100</v>
      </c>
      <c r="C102">
        <f>IF(使用レシピ!G102="","",MATCH(使用レシピ!G102,使用レシピ!$E:$E,0)-1)</f>
        <v>57</v>
      </c>
      <c r="D102">
        <f>IF(使用レシピ!H102="","",MATCH(使用レシピ!H102,使用レシピ!$E:$E,0)-1)</f>
        <v>56</v>
      </c>
      <c r="E102">
        <f>IF(使用レシピ!I102="","",MATCH(使用レシピ!I102,使用レシピ!$E:$E,0)-1)</f>
        <v>99</v>
      </c>
      <c r="F102" t="str">
        <f>IF(使用レシピ!J102="","",MATCH(使用レシピ!J102,使用レシピ!$E:$E,0)-1)</f>
        <v/>
      </c>
      <c r="G102">
        <f>使用レシピ!K102</f>
        <v>2</v>
      </c>
      <c r="H102">
        <f>使用レシピ!L102</f>
        <v>2</v>
      </c>
      <c r="I102">
        <f>使用レシピ!M102</f>
        <v>5</v>
      </c>
      <c r="J102">
        <f>使用レシピ!N102</f>
        <v>25</v>
      </c>
      <c r="K102" t="str">
        <f>使用レシピ!O102</f>
        <v/>
      </c>
      <c r="L102">
        <f>使用レシピ!P102</f>
        <v>1</v>
      </c>
      <c r="M102">
        <f>使用レシピ!Q102</f>
        <v>6</v>
      </c>
    </row>
    <row r="103" spans="1:13" x14ac:dyDescent="0.4">
      <c r="A103">
        <f>使用レシピ!C103</f>
        <v>102</v>
      </c>
      <c r="B103">
        <f>IF(使用レシピ!F103="","",MATCH(使用レシピ!F103,使用レシピ!$E:$E,0)-1)</f>
        <v>71</v>
      </c>
      <c r="C103">
        <f>IF(使用レシピ!G103="","",MATCH(使用レシピ!G103,使用レシピ!$E:$E,0)-1)</f>
        <v>86</v>
      </c>
      <c r="D103">
        <f>IF(使用レシピ!H103="","",MATCH(使用レシピ!H103,使用レシピ!$E:$E,0)-1)</f>
        <v>99</v>
      </c>
      <c r="E103" t="str">
        <f>IF(使用レシピ!I103="","",MATCH(使用レシピ!I103,使用レシピ!$E:$E,0)-1)</f>
        <v/>
      </c>
      <c r="F103" t="str">
        <f>IF(使用レシピ!J103="","",MATCH(使用レシピ!J103,使用レシピ!$E:$E,0)-1)</f>
        <v/>
      </c>
      <c r="G103">
        <f>使用レシピ!K103</f>
        <v>1</v>
      </c>
      <c r="H103">
        <f>使用レシピ!L103</f>
        <v>50</v>
      </c>
      <c r="I103">
        <f>使用レシピ!M103</f>
        <v>25</v>
      </c>
      <c r="J103" t="str">
        <f>使用レシピ!N103</f>
        <v/>
      </c>
      <c r="K103" t="str">
        <f>使用レシピ!O103</f>
        <v/>
      </c>
      <c r="L103">
        <f>使用レシピ!P103</f>
        <v>1</v>
      </c>
      <c r="M103">
        <f>使用レシピ!Q103</f>
        <v>1.5</v>
      </c>
    </row>
    <row r="104" spans="1:13" x14ac:dyDescent="0.4">
      <c r="A104">
        <f>使用レシピ!C104</f>
        <v>103</v>
      </c>
      <c r="B104">
        <f>IF(使用レシピ!F104="","",MATCH(使用レシピ!F104,使用レシピ!$E:$E,0)-1)</f>
        <v>48</v>
      </c>
      <c r="C104">
        <f>IF(使用レシピ!G104="","",MATCH(使用レシピ!G104,使用レシピ!$E:$E,0)-1)</f>
        <v>104</v>
      </c>
      <c r="D104" t="str">
        <f>IF(使用レシピ!H104="","",MATCH(使用レシピ!H104,使用レシピ!$E:$E,0)-1)</f>
        <v/>
      </c>
      <c r="E104" t="str">
        <f>IF(使用レシピ!I104="","",MATCH(使用レシピ!I104,使用レシピ!$E:$E,0)-1)</f>
        <v/>
      </c>
      <c r="F104">
        <f>IF(使用レシピ!J104="","",MATCH(使用レシピ!J104,使用レシピ!$E:$E,0)-1)</f>
        <v>47</v>
      </c>
      <c r="G104">
        <f>使用レシピ!K104</f>
        <v>24</v>
      </c>
      <c r="H104">
        <f>使用レシピ!L104</f>
        <v>2</v>
      </c>
      <c r="I104" t="str">
        <f>使用レシピ!M104</f>
        <v/>
      </c>
      <c r="J104" t="str">
        <f>使用レシピ!N104</f>
        <v/>
      </c>
      <c r="K104">
        <f>使用レシピ!O104</f>
        <v>15</v>
      </c>
      <c r="L104">
        <f>使用レシピ!P104</f>
        <v>12</v>
      </c>
      <c r="M104">
        <f>使用レシピ!Q104</f>
        <v>60</v>
      </c>
    </row>
    <row r="105" spans="1:13" x14ac:dyDescent="0.4">
      <c r="A105">
        <f>使用レシピ!C105</f>
        <v>104</v>
      </c>
      <c r="B105">
        <f>IF(使用レシピ!F105="","",MATCH(使用レシピ!F105,使用レシピ!$E:$E,0)-1)</f>
        <v>99</v>
      </c>
      <c r="C105">
        <f>IF(使用レシピ!G105="","",MATCH(使用レシピ!G105,使用レシピ!$E:$E,0)-1)</f>
        <v>56</v>
      </c>
      <c r="D105">
        <f>IF(使用レシピ!H105="","",MATCH(使用レシピ!H105,使用レシピ!$E:$E,0)-1)</f>
        <v>3</v>
      </c>
      <c r="E105" t="str">
        <f>IF(使用レシピ!I105="","",MATCH(使用レシピ!I105,使用レシピ!$E:$E,0)-1)</f>
        <v/>
      </c>
      <c r="F105" t="str">
        <f>IF(使用レシピ!J105="","",MATCH(使用レシピ!J105,使用レシピ!$E:$E,0)-1)</f>
        <v/>
      </c>
      <c r="G105">
        <f>使用レシピ!K105</f>
        <v>12</v>
      </c>
      <c r="H105">
        <f>使用レシピ!L105</f>
        <v>3</v>
      </c>
      <c r="I105">
        <f>使用レシピ!M105</f>
        <v>1</v>
      </c>
      <c r="J105" t="str">
        <f>使用レシピ!N105</f>
        <v/>
      </c>
      <c r="K105" t="str">
        <f>使用レシピ!O105</f>
        <v/>
      </c>
      <c r="L105">
        <f>使用レシピ!P105</f>
        <v>3</v>
      </c>
      <c r="M105">
        <f>使用レシピ!Q105</f>
        <v>30</v>
      </c>
    </row>
    <row r="106" spans="1:13" x14ac:dyDescent="0.4">
      <c r="A106">
        <f>使用レシピ!C106</f>
        <v>105</v>
      </c>
      <c r="B106">
        <f>IF(使用レシピ!F106="","",MATCH(使用レシピ!F106,使用レシピ!$E:$E,0)-1)</f>
        <v>101</v>
      </c>
      <c r="C106">
        <f>IF(使用レシピ!G106="","",MATCH(使用レシピ!G106,使用レシピ!$E:$E,0)-1)</f>
        <v>93</v>
      </c>
      <c r="D106">
        <f>IF(使用レシピ!H106="","",MATCH(使用レシピ!H106,使用レシピ!$E:$E,0)-1)</f>
        <v>44</v>
      </c>
      <c r="E106">
        <f>IF(使用レシピ!I106="","",MATCH(使用レシピ!I106,使用レシピ!$E:$E,0)-1)</f>
        <v>57</v>
      </c>
      <c r="F106" t="str">
        <f>IF(使用レシピ!J106="","",MATCH(使用レシピ!J106,使用レシピ!$E:$E,0)-1)</f>
        <v/>
      </c>
      <c r="G106">
        <f>使用レシピ!K106</f>
        <v>4</v>
      </c>
      <c r="H106">
        <f>使用レシピ!L106</f>
        <v>2</v>
      </c>
      <c r="I106">
        <f>使用レシピ!M106</f>
        <v>4</v>
      </c>
      <c r="J106">
        <f>使用レシピ!N106</f>
        <v>24</v>
      </c>
      <c r="K106" t="str">
        <f>使用レシピ!O106</f>
        <v/>
      </c>
      <c r="L106">
        <f>使用レシピ!P106</f>
        <v>1</v>
      </c>
      <c r="M106">
        <f>使用レシピ!Q106</f>
        <v>1.875</v>
      </c>
    </row>
    <row r="107" spans="1:13" x14ac:dyDescent="0.4">
      <c r="A107">
        <f>使用レシピ!C107</f>
        <v>106</v>
      </c>
      <c r="B107">
        <f>IF(使用レシピ!F107="","",MATCH(使用レシピ!F107,使用レシピ!$E:$E,0)-1)</f>
        <v>72</v>
      </c>
      <c r="C107">
        <f>IF(使用レシピ!G107="","",MATCH(使用レシピ!G107,使用レシピ!$E:$E,0)-1)</f>
        <v>105</v>
      </c>
      <c r="D107">
        <f>IF(使用レシピ!H107="","",MATCH(使用レシピ!H107,使用レシピ!$E:$E,0)-1)</f>
        <v>101</v>
      </c>
      <c r="E107">
        <f>IF(使用レシピ!I107="","",MATCH(使用レシピ!I107,使用レシピ!$E:$E,0)-1)</f>
        <v>102</v>
      </c>
      <c r="F107" t="str">
        <f>IF(使用レシピ!J107="","",MATCH(使用レシピ!J107,使用レシピ!$E:$E,0)-1)</f>
        <v/>
      </c>
      <c r="G107">
        <f>使用レシピ!K107</f>
        <v>5</v>
      </c>
      <c r="H107">
        <f>使用レシピ!L107</f>
        <v>2</v>
      </c>
      <c r="I107">
        <f>使用レシピ!M107</f>
        <v>6</v>
      </c>
      <c r="J107">
        <f>使用レシピ!N107</f>
        <v>2</v>
      </c>
      <c r="K107" t="str">
        <f>使用レシピ!O107</f>
        <v/>
      </c>
      <c r="L107">
        <f>使用レシピ!P107</f>
        <v>2</v>
      </c>
      <c r="M107">
        <f>使用レシピ!Q107</f>
        <v>1</v>
      </c>
    </row>
    <row r="108" spans="1:13" x14ac:dyDescent="0.4">
      <c r="A108">
        <f>使用レシピ!C108</f>
        <v>107</v>
      </c>
      <c r="B108">
        <f>IF(使用レシピ!F108="","",MATCH(使用レシピ!F108,使用レシピ!$E:$E,0)-1)</f>
        <v>108</v>
      </c>
      <c r="C108">
        <f>IF(使用レシピ!G108="","",MATCH(使用レシピ!G108,使用レシピ!$E:$E,0)-1)</f>
        <v>10</v>
      </c>
      <c r="D108">
        <f>IF(使用レシピ!H108="","",MATCH(使用レシピ!H108,使用レシピ!$E:$E,0)-1)</f>
        <v>90</v>
      </c>
      <c r="E108" t="str">
        <f>IF(使用レシピ!I108="","",MATCH(使用レシピ!I108,使用レシピ!$E:$E,0)-1)</f>
        <v/>
      </c>
      <c r="F108">
        <f>IF(使用レシピ!J108="","",MATCH(使用レシピ!J108,使用レシピ!$E:$E,0)-1)</f>
        <v>90</v>
      </c>
      <c r="G108">
        <f>使用レシピ!K108</f>
        <v>10</v>
      </c>
      <c r="H108">
        <f>使用レシピ!L108</f>
        <v>3</v>
      </c>
      <c r="I108">
        <f>使用レシピ!M108</f>
        <v>8</v>
      </c>
      <c r="J108" t="str">
        <f>使用レシピ!N108</f>
        <v/>
      </c>
      <c r="K108">
        <f>使用レシピ!O108</f>
        <v>2</v>
      </c>
      <c r="L108">
        <f>使用レシピ!P108</f>
        <v>5</v>
      </c>
      <c r="M108">
        <f>使用レシピ!Q108</f>
        <v>25</v>
      </c>
    </row>
    <row r="109" spans="1:13" x14ac:dyDescent="0.4">
      <c r="A109">
        <f>使用レシピ!C109</f>
        <v>108</v>
      </c>
      <c r="B109" t="str">
        <f>IF(使用レシピ!F109="","",MATCH(使用レシピ!F109,使用レシピ!$E:$E,0)-1)</f>
        <v/>
      </c>
      <c r="C109" t="str">
        <f>IF(使用レシピ!G109="","",MATCH(使用レシピ!G109,使用レシピ!$E:$E,0)-1)</f>
        <v/>
      </c>
      <c r="D109" t="str">
        <f>IF(使用レシピ!H109="","",MATCH(使用レシピ!H109,使用レシピ!$E:$E,0)-1)</f>
        <v/>
      </c>
      <c r="E109" t="str">
        <f>IF(使用レシピ!I109="","",MATCH(使用レシピ!I109,使用レシピ!$E:$E,0)-1)</f>
        <v/>
      </c>
      <c r="F109" t="str">
        <f>IF(使用レシピ!J109="","",MATCH(使用レシピ!J109,使用レシピ!$E:$E,0)-1)</f>
        <v/>
      </c>
      <c r="G109" t="str">
        <f>使用レシピ!K109</f>
        <v/>
      </c>
      <c r="H109" t="str">
        <f>使用レシピ!L109</f>
        <v/>
      </c>
      <c r="I109" t="str">
        <f>使用レシピ!M109</f>
        <v/>
      </c>
      <c r="J109" t="str">
        <f>使用レシピ!N109</f>
        <v/>
      </c>
      <c r="K109" t="str">
        <f>使用レシピ!O109</f>
        <v/>
      </c>
      <c r="L109">
        <f>使用レシピ!P109</f>
        <v>1</v>
      </c>
      <c r="M109">
        <f>使用レシピ!Q109</f>
        <v>1200</v>
      </c>
    </row>
    <row r="110" spans="1:13" x14ac:dyDescent="0.4">
      <c r="A110">
        <f>使用レシピ!C110</f>
        <v>109</v>
      </c>
      <c r="B110">
        <f>IF(使用レシピ!F110="","",MATCH(使用レシピ!F110,使用レシピ!$E:$E,0)-1)</f>
        <v>43</v>
      </c>
      <c r="C110">
        <f>IF(使用レシピ!G110="","",MATCH(使用レシピ!G110,使用レシピ!$E:$E,0)-1)</f>
        <v>50</v>
      </c>
      <c r="D110" t="str">
        <f>IF(使用レシピ!H110="","",MATCH(使用レシピ!H110,使用レシピ!$E:$E,0)-1)</f>
        <v/>
      </c>
      <c r="E110" t="str">
        <f>IF(使用レシピ!I110="","",MATCH(使用レシピ!I110,使用レシピ!$E:$E,0)-1)</f>
        <v/>
      </c>
      <c r="F110" t="str">
        <f>IF(使用レシピ!J110="","",MATCH(使用レシピ!J110,使用レシピ!$E:$E,0)-1)</f>
        <v/>
      </c>
      <c r="G110">
        <f>使用レシピ!K110</f>
        <v>3</v>
      </c>
      <c r="H110">
        <f>使用レシピ!L110</f>
        <v>2</v>
      </c>
      <c r="I110" t="str">
        <f>使用レシピ!M110</f>
        <v/>
      </c>
      <c r="J110" t="str">
        <f>使用レシピ!N110</f>
        <v/>
      </c>
      <c r="K110" t="str">
        <f>使用レシピ!O110</f>
        <v/>
      </c>
      <c r="L110">
        <f>使用レシピ!P110</f>
        <v>2</v>
      </c>
      <c r="M110">
        <f>使用レシピ!Q110</f>
        <v>4</v>
      </c>
    </row>
    <row r="111" spans="1:13" x14ac:dyDescent="0.4">
      <c r="A111">
        <f>使用レシピ!C111</f>
        <v>110</v>
      </c>
      <c r="B111">
        <f>IF(使用レシピ!F111="","",MATCH(使用レシピ!F111,使用レシピ!$E:$E,0)-1)</f>
        <v>107</v>
      </c>
      <c r="C111">
        <f>IF(使用レシピ!G111="","",MATCH(使用レシピ!G111,使用レシピ!$E:$E,0)-1)</f>
        <v>42</v>
      </c>
      <c r="D111">
        <f>IF(使用レシピ!H111="","",MATCH(使用レシピ!H111,使用レシピ!$E:$E,0)-1)</f>
        <v>109</v>
      </c>
      <c r="E111" t="str">
        <f>IF(使用レシピ!I111="","",MATCH(使用レシピ!I111,使用レシピ!$E:$E,0)-1)</f>
        <v/>
      </c>
      <c r="F111" t="str">
        <f>IF(使用レシピ!J111="","",MATCH(使用レシピ!J111,使用レシピ!$E:$E,0)-1)</f>
        <v/>
      </c>
      <c r="G111">
        <f>使用レシピ!K111</f>
        <v>50</v>
      </c>
      <c r="H111">
        <f>使用レシピ!L111</f>
        <v>3</v>
      </c>
      <c r="I111">
        <f>使用レシピ!M111</f>
        <v>5</v>
      </c>
      <c r="J111" t="str">
        <f>使用レシピ!N111</f>
        <v/>
      </c>
      <c r="K111" t="str">
        <f>使用レシピ!O111</f>
        <v/>
      </c>
      <c r="L111">
        <f>使用レシピ!P111</f>
        <v>1</v>
      </c>
      <c r="M111">
        <f>使用レシピ!Q111</f>
        <v>0.4</v>
      </c>
    </row>
    <row r="112" spans="1:13" x14ac:dyDescent="0.4">
      <c r="A112">
        <f>使用レシピ!C112</f>
        <v>111</v>
      </c>
      <c r="B112">
        <f>IF(使用レシピ!F112="","",MATCH(使用レシピ!F112,使用レシピ!$E:$E,0)-1)</f>
        <v>39</v>
      </c>
      <c r="C112">
        <f>IF(使用レシピ!G112="","",MATCH(使用レシピ!G112,使用レシピ!$E:$E,0)-1)</f>
        <v>109</v>
      </c>
      <c r="D112" t="str">
        <f>IF(使用レシピ!H112="","",MATCH(使用レシピ!H112,使用レシピ!$E:$E,0)-1)</f>
        <v/>
      </c>
      <c r="E112" t="str">
        <f>IF(使用レシピ!I112="","",MATCH(使用レシピ!I112,使用レシピ!$E:$E,0)-1)</f>
        <v/>
      </c>
      <c r="F112" t="str">
        <f>IF(使用レシピ!J112="","",MATCH(使用レシピ!J112,使用レシピ!$E:$E,0)-1)</f>
        <v/>
      </c>
      <c r="G112">
        <f>使用レシピ!K112</f>
        <v>5</v>
      </c>
      <c r="H112">
        <f>使用レシピ!L112</f>
        <v>2</v>
      </c>
      <c r="I112" t="str">
        <f>使用レシピ!M112</f>
        <v/>
      </c>
      <c r="J112" t="str">
        <f>使用レシピ!N112</f>
        <v/>
      </c>
      <c r="K112" t="str">
        <f>使用レシピ!O112</f>
        <v/>
      </c>
      <c r="L112">
        <f>使用レシピ!P112</f>
        <v>2</v>
      </c>
      <c r="M112">
        <f>使用レシピ!Q112</f>
        <v>1</v>
      </c>
    </row>
    <row r="113" spans="1:13" x14ac:dyDescent="0.4">
      <c r="A113">
        <f>使用レシピ!C113</f>
        <v>112</v>
      </c>
      <c r="B113">
        <f>IF(使用レシピ!F113="","",MATCH(使用レシピ!F113,使用レシピ!$E:$E,0)-1)</f>
        <v>104</v>
      </c>
      <c r="C113">
        <f>IF(使用レシピ!G113="","",MATCH(使用レシピ!G113,使用レシピ!$E:$E,0)-1)</f>
        <v>97</v>
      </c>
      <c r="D113" t="str">
        <f>IF(使用レシピ!H113="","",MATCH(使用レシピ!H113,使用レシピ!$E:$E,0)-1)</f>
        <v/>
      </c>
      <c r="E113" t="str">
        <f>IF(使用レシピ!I113="","",MATCH(使用レシピ!I113,使用レシピ!$E:$E,0)-1)</f>
        <v/>
      </c>
      <c r="F113" t="str">
        <f>IF(使用レシピ!J113="","",MATCH(使用レシピ!J113,使用レシピ!$E:$E,0)-1)</f>
        <v/>
      </c>
      <c r="G113">
        <f>使用レシピ!K113</f>
        <v>1</v>
      </c>
      <c r="H113">
        <f>使用レシピ!L113</f>
        <v>1</v>
      </c>
      <c r="I113" t="str">
        <f>使用レシピ!M113</f>
        <v/>
      </c>
      <c r="J113" t="str">
        <f>使用レシピ!N113</f>
        <v/>
      </c>
      <c r="K113" t="str">
        <f>使用レシピ!O113</f>
        <v/>
      </c>
      <c r="L113">
        <f>使用レシピ!P113</f>
        <v>1</v>
      </c>
      <c r="M113">
        <f>使用レシピ!Q113</f>
        <v>30</v>
      </c>
    </row>
    <row r="114" spans="1:13" x14ac:dyDescent="0.4">
      <c r="A114">
        <f>使用レシピ!C114</f>
        <v>113</v>
      </c>
      <c r="B114">
        <f>IF(使用レシピ!F114="","",MATCH(使用レシピ!F114,使用レシピ!$E:$E,0)-1)</f>
        <v>114</v>
      </c>
      <c r="C114">
        <f>IF(使用レシピ!G114="","",MATCH(使用レシピ!G114,使用レシピ!$E:$E,0)-1)</f>
        <v>60</v>
      </c>
      <c r="D114">
        <f>IF(使用レシピ!H114="","",MATCH(使用レシピ!H114,使用レシピ!$E:$E,0)-1)</f>
        <v>104</v>
      </c>
      <c r="E114">
        <f>IF(使用レシピ!I114="","",MATCH(使用レシピ!I114,使用レシピ!$E:$E,0)-1)</f>
        <v>90</v>
      </c>
      <c r="F114">
        <f>IF(使用レシピ!J114="","",MATCH(使用レシピ!J114,使用レシピ!$E:$E,0)-1)</f>
        <v>56</v>
      </c>
      <c r="G114">
        <f>使用レシピ!K114</f>
        <v>15</v>
      </c>
      <c r="H114">
        <f>使用レシピ!L114</f>
        <v>10</v>
      </c>
      <c r="I114">
        <f>使用レシピ!M114</f>
        <v>6</v>
      </c>
      <c r="J114">
        <f>使用レシピ!N114</f>
        <v>6</v>
      </c>
      <c r="K114">
        <f>使用レシピ!O114</f>
        <v>6</v>
      </c>
      <c r="L114">
        <f>使用レシピ!P114</f>
        <v>20</v>
      </c>
      <c r="M114">
        <f>使用レシピ!Q114</f>
        <v>50</v>
      </c>
    </row>
    <row r="115" spans="1:13" x14ac:dyDescent="0.4">
      <c r="A115">
        <f>使用レシピ!C115</f>
        <v>114</v>
      </c>
      <c r="B115">
        <f>IF(使用レシピ!F115="","",MATCH(使用レシピ!F115,使用レシピ!$E:$E,0)-1)</f>
        <v>110</v>
      </c>
      <c r="C115">
        <f>IF(使用レシピ!G115="","",MATCH(使用レシピ!G115,使用レシピ!$E:$E,0)-1)</f>
        <v>56</v>
      </c>
      <c r="D115" t="str">
        <f>IF(使用レシピ!H115="","",MATCH(使用レシピ!H115,使用レシピ!$E:$E,0)-1)</f>
        <v/>
      </c>
      <c r="E115" t="str">
        <f>IF(使用レシピ!I115="","",MATCH(使用レシピ!I115,使用レシピ!$E:$E,0)-1)</f>
        <v/>
      </c>
      <c r="F115" t="str">
        <f>IF(使用レシピ!J115="","",MATCH(使用レシピ!J115,使用レシピ!$E:$E,0)-1)</f>
        <v/>
      </c>
      <c r="G115">
        <f>使用レシピ!K115</f>
        <v>1</v>
      </c>
      <c r="H115">
        <f>使用レシピ!L115</f>
        <v>1200</v>
      </c>
      <c r="I115" t="str">
        <f>使用レシピ!M115</f>
        <v/>
      </c>
      <c r="J115" t="str">
        <f>使用レシピ!N115</f>
        <v/>
      </c>
      <c r="K115" t="str">
        <f>使用レシピ!O115</f>
        <v/>
      </c>
      <c r="L115">
        <f>使用レシピ!P115</f>
        <v>50</v>
      </c>
      <c r="M115">
        <f>使用レシピ!Q115</f>
        <v>10</v>
      </c>
    </row>
    <row r="116" spans="1:13" x14ac:dyDescent="0.4">
      <c r="A116">
        <f>使用レシピ!C116</f>
        <v>115</v>
      </c>
      <c r="B116">
        <f>IF(使用レシピ!F116="","",MATCH(使用レシピ!F116,使用レシピ!$E:$E,0)-1)</f>
        <v>113</v>
      </c>
      <c r="C116">
        <f>IF(使用レシピ!G116="","",MATCH(使用レシピ!G116,使用レシピ!$E:$E,0)-1)</f>
        <v>114</v>
      </c>
      <c r="D116" t="str">
        <f>IF(使用レシピ!H116="","",MATCH(使用レシピ!H116,使用レシピ!$E:$E,0)-1)</f>
        <v/>
      </c>
      <c r="E116" t="str">
        <f>IF(使用レシピ!I116="","",MATCH(使用レシピ!I116,使用レシピ!$E:$E,0)-1)</f>
        <v/>
      </c>
      <c r="F116" t="str">
        <f>IF(使用レシピ!J116="","",MATCH(使用レシピ!J116,使用レシピ!$E:$E,0)-1)</f>
        <v/>
      </c>
      <c r="G116">
        <f>使用レシピ!K116</f>
        <v>100</v>
      </c>
      <c r="H116">
        <f>使用レシピ!L116</f>
        <v>25</v>
      </c>
      <c r="I116" t="str">
        <f>使用レシピ!M116</f>
        <v/>
      </c>
      <c r="J116" t="str">
        <f>使用レシピ!N116</f>
        <v/>
      </c>
      <c r="K116" t="str">
        <f>使用レシピ!O116</f>
        <v/>
      </c>
      <c r="L116">
        <f>使用レシピ!P116</f>
        <v>30</v>
      </c>
      <c r="M116">
        <f>使用レシピ!Q116</f>
        <v>30</v>
      </c>
    </row>
    <row r="117" spans="1:13" x14ac:dyDescent="0.4">
      <c r="A117">
        <f>使用レシピ!C117</f>
        <v>116</v>
      </c>
      <c r="B117">
        <f>IF(使用レシピ!F117="","",MATCH(使用レシピ!F117,使用レシピ!$E:$E,0)-1)</f>
        <v>115</v>
      </c>
      <c r="C117">
        <f>IF(使用レシピ!G117="","",MATCH(使用レシピ!G117,使用レシピ!$E:$E,0)-1)</f>
        <v>10</v>
      </c>
      <c r="D117" t="str">
        <f>IF(使用レシピ!H117="","",MATCH(使用レシピ!H117,使用レシピ!$E:$E,0)-1)</f>
        <v/>
      </c>
      <c r="E117" t="str">
        <f>IF(使用レシピ!I117="","",MATCH(使用レシピ!I117,使用レシピ!$E:$E,0)-1)</f>
        <v/>
      </c>
      <c r="F117" t="str">
        <f>IF(使用レシピ!J117="","",MATCH(使用レシピ!J117,使用レシピ!$E:$E,0)-1)</f>
        <v/>
      </c>
      <c r="G117">
        <f>使用レシピ!K117</f>
        <v>2</v>
      </c>
      <c r="H117">
        <f>使用レシピ!L117</f>
        <v>4</v>
      </c>
      <c r="I117" t="str">
        <f>使用レシピ!M117</f>
        <v/>
      </c>
      <c r="J117" t="str">
        <f>使用レシピ!N117</f>
        <v/>
      </c>
      <c r="K117" t="str">
        <f>使用レシピ!O117</f>
        <v/>
      </c>
      <c r="L117">
        <f>使用レシピ!P117</f>
        <v>1</v>
      </c>
      <c r="M117">
        <f>使用レシピ!Q117</f>
        <v>5</v>
      </c>
    </row>
    <row r="118" spans="1:13" x14ac:dyDescent="0.4">
      <c r="A118">
        <f>使用レシピ!C118</f>
        <v>117</v>
      </c>
      <c r="B118">
        <f>IF(使用レシピ!F118="","",MATCH(使用レシピ!F118,使用レシピ!$E:$E,0)-1)</f>
        <v>116</v>
      </c>
      <c r="C118">
        <f>IF(使用レシピ!G118="","",MATCH(使用レシピ!G118,使用レシピ!$E:$E,0)-1)</f>
        <v>37</v>
      </c>
      <c r="D118">
        <f>IF(使用レシピ!H118="","",MATCH(使用レシピ!H118,使用レシピ!$E:$E,0)-1)</f>
        <v>109</v>
      </c>
      <c r="E118">
        <f>IF(使用レシピ!I118="","",MATCH(使用レシピ!I118,使用レシピ!$E:$E,0)-1)</f>
        <v>100</v>
      </c>
      <c r="F118" t="str">
        <f>IF(使用レシピ!J118="","",MATCH(使用レシピ!J118,使用レシピ!$E:$E,0)-1)</f>
        <v/>
      </c>
      <c r="G118">
        <f>使用レシピ!K118</f>
        <v>30</v>
      </c>
      <c r="H118">
        <f>使用レシピ!L118</f>
        <v>18</v>
      </c>
      <c r="I118">
        <f>使用レシピ!M118</f>
        <v>6</v>
      </c>
      <c r="J118">
        <f>使用レシピ!N118</f>
        <v>10</v>
      </c>
      <c r="K118" t="str">
        <f>使用レシピ!O118</f>
        <v/>
      </c>
      <c r="L118">
        <f>使用レシピ!P118</f>
        <v>1</v>
      </c>
      <c r="M118">
        <f>使用レシピ!Q118</f>
        <v>0.25</v>
      </c>
    </row>
    <row r="119" spans="1:13" x14ac:dyDescent="0.4">
      <c r="A119">
        <f>使用レシピ!C119</f>
        <v>118</v>
      </c>
      <c r="B119">
        <f>IF(使用レシピ!F119="","",MATCH(使用レシピ!F119,使用レシピ!$E:$E,0)-1)</f>
        <v>8</v>
      </c>
      <c r="C119" t="str">
        <f>IF(使用レシピ!G119="","",MATCH(使用レシピ!G119,使用レシピ!$E:$E,0)-1)</f>
        <v/>
      </c>
      <c r="D119" t="str">
        <f>IF(使用レシピ!H119="","",MATCH(使用レシピ!H119,使用レシピ!$E:$E,0)-1)</f>
        <v/>
      </c>
      <c r="E119" t="str">
        <f>IF(使用レシピ!I119="","",MATCH(使用レシピ!I119,使用レシピ!$E:$E,0)-1)</f>
        <v/>
      </c>
      <c r="F119" t="str">
        <f>IF(使用レシピ!J119="","",MATCH(使用レシピ!J119,使用レシピ!$E:$E,0)-1)</f>
        <v/>
      </c>
      <c r="G119">
        <f>使用レシピ!K119</f>
        <v>30</v>
      </c>
      <c r="H119" t="str">
        <f>使用レシピ!L119</f>
        <v/>
      </c>
      <c r="I119" t="str">
        <f>使用レシピ!M119</f>
        <v/>
      </c>
      <c r="J119" t="str">
        <f>使用レシピ!N119</f>
        <v/>
      </c>
      <c r="K119" t="str">
        <f>使用レシピ!O119</f>
        <v/>
      </c>
      <c r="L119">
        <f>使用レシピ!P119</f>
        <v>5</v>
      </c>
      <c r="M119">
        <f>使用レシピ!Q119</f>
        <v>50</v>
      </c>
    </row>
    <row r="120" spans="1:13" x14ac:dyDescent="0.4">
      <c r="A120">
        <f>使用レシピ!C120</f>
        <v>119</v>
      </c>
      <c r="B120">
        <f>IF(使用レシピ!F120="","",MATCH(使用レシピ!F120,使用レシピ!$E:$E,0)-1)</f>
        <v>102</v>
      </c>
      <c r="C120">
        <f>IF(使用レシピ!G120="","",MATCH(使用レシピ!G120,使用レシピ!$E:$E,0)-1)</f>
        <v>93</v>
      </c>
      <c r="D120" t="str">
        <f>IF(使用レシピ!H120="","",MATCH(使用レシピ!H120,使用レシピ!$E:$E,0)-1)</f>
        <v/>
      </c>
      <c r="E120" t="str">
        <f>IF(使用レシピ!I120="","",MATCH(使用レシピ!I120,使用レシピ!$E:$E,0)-1)</f>
        <v/>
      </c>
      <c r="F120" t="str">
        <f>IF(使用レシピ!J120="","",MATCH(使用レシピ!J120,使用レシピ!$E:$E,0)-1)</f>
        <v/>
      </c>
      <c r="G120">
        <f>使用レシピ!K120</f>
        <v>1</v>
      </c>
      <c r="H120">
        <f>使用レシピ!L120</f>
        <v>2</v>
      </c>
      <c r="I120" t="str">
        <f>使用レシピ!M120</f>
        <v/>
      </c>
      <c r="J120" t="str">
        <f>使用レシピ!N120</f>
        <v/>
      </c>
      <c r="K120" t="str">
        <f>使用レシピ!O120</f>
        <v/>
      </c>
      <c r="L120">
        <f>使用レシピ!P120</f>
        <v>1</v>
      </c>
      <c r="M120">
        <f>使用レシピ!Q120</f>
        <v>1</v>
      </c>
    </row>
    <row r="121" spans="1:13" x14ac:dyDescent="0.4">
      <c r="A121">
        <f>使用レシピ!C121</f>
        <v>120</v>
      </c>
      <c r="B121">
        <f>IF(使用レシピ!F121="","",MATCH(使用レシピ!F121,使用レシピ!$E:$E,0)-1)</f>
        <v>118</v>
      </c>
      <c r="C121">
        <f>IF(使用レシピ!G121="","",MATCH(使用レシピ!G121,使用レシピ!$E:$E,0)-1)</f>
        <v>119</v>
      </c>
      <c r="D121" t="str">
        <f>IF(使用レシピ!H121="","",MATCH(使用レシピ!H121,使用レシピ!$E:$E,0)-1)</f>
        <v/>
      </c>
      <c r="E121" t="str">
        <f>IF(使用レシピ!I121="","",MATCH(使用レシピ!I121,使用レシピ!$E:$E,0)-1)</f>
        <v/>
      </c>
      <c r="F121" t="str">
        <f>IF(使用レシピ!J121="","",MATCH(使用レシピ!J121,使用レシピ!$E:$E,0)-1)</f>
        <v/>
      </c>
      <c r="G121">
        <f>使用レシピ!K121</f>
        <v>200</v>
      </c>
      <c r="H121">
        <f>使用レシピ!L121</f>
        <v>1</v>
      </c>
      <c r="I121" t="str">
        <f>使用レシピ!M121</f>
        <v/>
      </c>
      <c r="J121" t="str">
        <f>使用レシピ!N121</f>
        <v/>
      </c>
      <c r="K121" t="str">
        <f>使用レシピ!O121</f>
        <v/>
      </c>
      <c r="L121">
        <f>使用レシピ!P121</f>
        <v>1</v>
      </c>
      <c r="M121">
        <f>使用レシピ!Q121</f>
        <v>0.5</v>
      </c>
    </row>
    <row r="122" spans="1:13" x14ac:dyDescent="0.4">
      <c r="A122">
        <f>使用レシピ!C122</f>
        <v>121</v>
      </c>
      <c r="B122">
        <f>IF(使用レシピ!F122="","",MATCH(使用レシピ!F122,使用レシピ!$E:$E,0)-1)</f>
        <v>40</v>
      </c>
      <c r="C122">
        <f>IF(使用レシピ!G122="","",MATCH(使用レシピ!G122,使用レシピ!$E:$E,0)-1)</f>
        <v>1</v>
      </c>
      <c r="D122" t="str">
        <f>IF(使用レシピ!H122="","",MATCH(使用レシピ!H122,使用レシピ!$E:$E,0)-1)</f>
        <v/>
      </c>
      <c r="E122" t="str">
        <f>IF(使用レシピ!I122="","",MATCH(使用レシピ!I122,使用レシピ!$E:$E,0)-1)</f>
        <v/>
      </c>
      <c r="F122" t="str">
        <f>IF(使用レシピ!J122="","",MATCH(使用レシピ!J122,使用レシピ!$E:$E,0)-1)</f>
        <v/>
      </c>
      <c r="G122">
        <f>使用レシピ!K122</f>
        <v>4</v>
      </c>
      <c r="H122">
        <f>使用レシピ!L122</f>
        <v>24</v>
      </c>
      <c r="I122" t="str">
        <f>使用レシピ!M122</f>
        <v/>
      </c>
      <c r="J122" t="str">
        <f>使用レシピ!N122</f>
        <v/>
      </c>
      <c r="K122" t="str">
        <f>使用レシピ!O122</f>
        <v/>
      </c>
      <c r="L122">
        <f>使用レシピ!P122</f>
        <v>1</v>
      </c>
      <c r="M122">
        <f>使用レシピ!Q122</f>
        <v>10</v>
      </c>
    </row>
    <row r="123" spans="1:13" x14ac:dyDescent="0.4">
      <c r="A123">
        <f>使用レシピ!C123</f>
        <v>122</v>
      </c>
      <c r="B123">
        <f>IF(使用レシピ!F123="","",MATCH(使用レシピ!F123,使用レシピ!$E:$E,0)-1)</f>
        <v>121</v>
      </c>
      <c r="C123" t="str">
        <f>IF(使用レシピ!G123="","",MATCH(使用レシピ!G123,使用レシピ!$E:$E,0)-1)</f>
        <v/>
      </c>
      <c r="D123" t="str">
        <f>IF(使用レシピ!H123="","",MATCH(使用レシピ!H123,使用レシピ!$E:$E,0)-1)</f>
        <v/>
      </c>
      <c r="E123" t="str">
        <f>IF(使用レシピ!I123="","",MATCH(使用レシピ!I123,使用レシピ!$E:$E,0)-1)</f>
        <v/>
      </c>
      <c r="F123" t="str">
        <f>IF(使用レシピ!J123="","",MATCH(使用レシピ!J123,使用レシピ!$E:$E,0)-1)</f>
        <v/>
      </c>
      <c r="G123">
        <f>使用レシピ!K123</f>
        <v>1</v>
      </c>
      <c r="H123" t="str">
        <f>使用レシピ!L123</f>
        <v/>
      </c>
      <c r="I123" t="str">
        <f>使用レシピ!M123</f>
        <v/>
      </c>
      <c r="J123" t="str">
        <f>使用レシピ!N123</f>
        <v/>
      </c>
      <c r="K123" t="str">
        <f>使用レシピ!O123</f>
        <v/>
      </c>
      <c r="L123">
        <f>使用レシピ!P123</f>
        <v>3</v>
      </c>
      <c r="M123">
        <f>使用レシピ!Q123</f>
        <v>30</v>
      </c>
    </row>
    <row r="124" spans="1:13" x14ac:dyDescent="0.4">
      <c r="A124">
        <f>使用レシピ!C124</f>
        <v>123</v>
      </c>
      <c r="B124">
        <f>IF(使用レシピ!F124="","",MATCH(使用レシピ!F124,使用レシピ!$E:$E,0)-1)</f>
        <v>31</v>
      </c>
      <c r="C124" t="str">
        <f>IF(使用レシピ!G124="","",MATCH(使用レシピ!G124,使用レシピ!$E:$E,0)-1)</f>
        <v/>
      </c>
      <c r="D124" t="str">
        <f>IF(使用レシピ!H124="","",MATCH(使用レシピ!H124,使用レシピ!$E:$E,0)-1)</f>
        <v/>
      </c>
      <c r="E124" t="str">
        <f>IF(使用レシピ!I124="","",MATCH(使用レシピ!I124,使用レシピ!$E:$E,0)-1)</f>
        <v/>
      </c>
      <c r="F124" t="str">
        <f>IF(使用レシピ!J124="","",MATCH(使用レシピ!J124,使用レシピ!$E:$E,0)-1)</f>
        <v/>
      </c>
      <c r="G124">
        <f>使用レシピ!K124</f>
        <v>20</v>
      </c>
      <c r="H124" t="str">
        <f>使用レシピ!L124</f>
        <v/>
      </c>
      <c r="I124" t="str">
        <f>使用レシピ!M124</f>
        <v/>
      </c>
      <c r="J124" t="str">
        <f>使用レシピ!N124</f>
        <v/>
      </c>
      <c r="K124" t="str">
        <f>使用レシピ!O124</f>
        <v/>
      </c>
      <c r="L124">
        <f>使用レシピ!P124</f>
        <v>1</v>
      </c>
      <c r="M124">
        <f>使用レシピ!Q124</f>
        <v>30</v>
      </c>
    </row>
    <row r="125" spans="1:13" x14ac:dyDescent="0.4">
      <c r="A125">
        <f>使用レシピ!C125</f>
        <v>124</v>
      </c>
      <c r="B125">
        <f>IF(使用レシピ!F125="","",MATCH(使用レシピ!F125,使用レシピ!$E:$E,0)-1)</f>
        <v>123</v>
      </c>
      <c r="C125" t="str">
        <f>IF(使用レシピ!G125="","",MATCH(使用レシピ!G125,使用レシピ!$E:$E,0)-1)</f>
        <v/>
      </c>
      <c r="D125" t="str">
        <f>IF(使用レシピ!H125="","",MATCH(使用レシピ!H125,使用レシピ!$E:$E,0)-1)</f>
        <v/>
      </c>
      <c r="E125" t="str">
        <f>IF(使用レシピ!I125="","",MATCH(使用レシピ!I125,使用レシピ!$E:$E,0)-1)</f>
        <v/>
      </c>
      <c r="F125" t="str">
        <f>IF(使用レシピ!J125="","",MATCH(使用レシピ!J125,使用レシピ!$E:$E,0)-1)</f>
        <v/>
      </c>
      <c r="G125">
        <f>使用レシピ!K125</f>
        <v>2</v>
      </c>
      <c r="H125" t="str">
        <f>使用レシピ!L125</f>
        <v/>
      </c>
      <c r="I125" t="str">
        <f>使用レシピ!M125</f>
        <v/>
      </c>
      <c r="J125" t="str">
        <f>使用レシピ!N125</f>
        <v/>
      </c>
      <c r="K125" t="str">
        <f>使用レシピ!O125</f>
        <v/>
      </c>
      <c r="L125">
        <f>使用レシピ!P125</f>
        <v>1</v>
      </c>
      <c r="M125">
        <f>使用レシピ!Q125</f>
        <v>6</v>
      </c>
    </row>
    <row r="126" spans="1:13" x14ac:dyDescent="0.4">
      <c r="A126">
        <f>使用レシピ!C126</f>
        <v>125</v>
      </c>
      <c r="B126">
        <f>IF(使用レシピ!F126="","",MATCH(使用レシピ!F126,使用レシピ!$E:$E,0)-1)</f>
        <v>95</v>
      </c>
      <c r="C126">
        <f>IF(使用レシピ!G126="","",MATCH(使用レシピ!G126,使用レシピ!$E:$E,0)-1)</f>
        <v>122</v>
      </c>
      <c r="D126">
        <f>IF(使用レシピ!H126="","",MATCH(使用レシピ!H126,使用レシピ!$E:$E,0)-1)</f>
        <v>56</v>
      </c>
      <c r="E126" t="str">
        <f>IF(使用レシピ!I126="","",MATCH(使用レシピ!I126,使用レシピ!$E:$E,0)-1)</f>
        <v/>
      </c>
      <c r="F126" t="str">
        <f>IF(使用レシピ!J126="","",MATCH(使用レシピ!J126,使用レシピ!$E:$E,0)-1)</f>
        <v/>
      </c>
      <c r="G126">
        <f>使用レシピ!K126</f>
        <v>1</v>
      </c>
      <c r="H126">
        <f>使用レシピ!L126</f>
        <v>80</v>
      </c>
      <c r="I126">
        <f>使用レシピ!M126</f>
        <v>20</v>
      </c>
      <c r="J126" t="str">
        <f>使用レシピ!N126</f>
        <v/>
      </c>
      <c r="K126" t="str">
        <f>使用レシピ!O126</f>
        <v/>
      </c>
      <c r="L126">
        <f>使用レシピ!P126</f>
        <v>4</v>
      </c>
      <c r="M126">
        <f>使用レシピ!Q126</f>
        <v>2</v>
      </c>
    </row>
    <row r="127" spans="1:13" x14ac:dyDescent="0.4">
      <c r="A127">
        <f>使用レシピ!C127</f>
        <v>126</v>
      </c>
      <c r="B127" t="str">
        <f>IF(使用レシピ!F127="","",MATCH(使用レシピ!F127,使用レシピ!$E:$E,0)-1)</f>
        <v/>
      </c>
      <c r="C127" t="str">
        <f>IF(使用レシピ!G127="","",MATCH(使用レシピ!G127,使用レシピ!$E:$E,0)-1)</f>
        <v/>
      </c>
      <c r="D127" t="str">
        <f>IF(使用レシピ!H127="","",MATCH(使用レシピ!H127,使用レシピ!$E:$E,0)-1)</f>
        <v/>
      </c>
      <c r="E127" t="str">
        <f>IF(使用レシピ!I127="","",MATCH(使用レシピ!I127,使用レシピ!$E:$E,0)-1)</f>
        <v/>
      </c>
      <c r="F127" t="str">
        <f>IF(使用レシピ!J127="","",MATCH(使用レシピ!J127,使用レシピ!$E:$E,0)-1)</f>
        <v/>
      </c>
      <c r="G127" t="str">
        <f>使用レシピ!K127</f>
        <v/>
      </c>
      <c r="H127" t="str">
        <f>使用レシピ!L127</f>
        <v/>
      </c>
      <c r="I127" t="str">
        <f>使用レシピ!M127</f>
        <v/>
      </c>
      <c r="J127" t="str">
        <f>使用レシピ!N127</f>
        <v/>
      </c>
      <c r="K127" t="str">
        <f>使用レシピ!O127</f>
        <v/>
      </c>
      <c r="L127">
        <f>使用レシピ!P127</f>
        <v>10</v>
      </c>
      <c r="M127">
        <f>使用レシピ!Q127</f>
        <v>200</v>
      </c>
    </row>
    <row r="128" spans="1:13" x14ac:dyDescent="0.4">
      <c r="A128">
        <f>使用レシピ!C128</f>
        <v>127</v>
      </c>
      <c r="B128">
        <f>IF(使用レシピ!F128="","",MATCH(使用レシピ!F128,使用レシピ!$E:$E,0)-1)</f>
        <v>40</v>
      </c>
      <c r="C128" t="str">
        <f>IF(使用レシピ!G128="","",MATCH(使用レシピ!G128,使用レシピ!$E:$E,0)-1)</f>
        <v/>
      </c>
      <c r="D128" t="str">
        <f>IF(使用レシピ!H128="","",MATCH(使用レシピ!H128,使用レシピ!$E:$E,0)-1)</f>
        <v/>
      </c>
      <c r="E128" t="str">
        <f>IF(使用レシピ!I128="","",MATCH(使用レシピ!I128,使用レシピ!$E:$E,0)-1)</f>
        <v/>
      </c>
      <c r="F128" t="str">
        <f>IF(使用レシピ!J128="","",MATCH(使用レシピ!J128,使用レシピ!$E:$E,0)-1)</f>
        <v/>
      </c>
      <c r="G128">
        <f>使用レシピ!K128</f>
        <v>5</v>
      </c>
      <c r="H128" t="str">
        <f>使用レシピ!L128</f>
        <v/>
      </c>
      <c r="I128" t="str">
        <f>使用レシピ!M128</f>
        <v/>
      </c>
      <c r="J128" t="str">
        <f>使用レシピ!N128</f>
        <v/>
      </c>
      <c r="K128" t="str">
        <f>使用レシピ!O128</f>
        <v/>
      </c>
      <c r="L128">
        <f>使用レシピ!P128</f>
        <v>10</v>
      </c>
      <c r="M128">
        <f>使用レシピ!Q128</f>
        <v>100</v>
      </c>
    </row>
    <row r="129" spans="1:13" x14ac:dyDescent="0.4">
      <c r="A129">
        <f>使用レシピ!C129</f>
        <v>128</v>
      </c>
      <c r="B129">
        <f>IF(使用レシピ!F129="","",MATCH(使用レシピ!F129,使用レシピ!$E:$E,0)-1)</f>
        <v>123</v>
      </c>
      <c r="C129">
        <f>IF(使用レシピ!G129="","",MATCH(使用レシピ!G129,使用レシピ!$E:$E,0)-1)</f>
        <v>127</v>
      </c>
      <c r="D129" t="str">
        <f>IF(使用レシピ!H129="","",MATCH(使用レシピ!H129,使用レシピ!$E:$E,0)-1)</f>
        <v/>
      </c>
      <c r="E129" t="str">
        <f>IF(使用レシピ!I129="","",MATCH(使用レシピ!I129,使用レシピ!$E:$E,0)-1)</f>
        <v/>
      </c>
      <c r="F129" t="str">
        <f>IF(使用レシピ!J129="","",MATCH(使用レシピ!J129,使用レシピ!$E:$E,0)-1)</f>
        <v/>
      </c>
      <c r="G129">
        <f>使用レシピ!K129</f>
        <v>1</v>
      </c>
      <c r="H129">
        <f>使用レシピ!L129</f>
        <v>5</v>
      </c>
      <c r="I129" t="str">
        <f>使用レシピ!M129</f>
        <v/>
      </c>
      <c r="J129" t="str">
        <f>使用レシピ!N129</f>
        <v/>
      </c>
      <c r="K129" t="str">
        <f>使用レシピ!O129</f>
        <v/>
      </c>
      <c r="L129">
        <f>使用レシピ!P129</f>
        <v>1</v>
      </c>
      <c r="M129">
        <f>使用レシピ!Q129</f>
        <v>30</v>
      </c>
    </row>
    <row r="130" spans="1:13" x14ac:dyDescent="0.4">
      <c r="A130">
        <f>使用レシピ!C130</f>
        <v>129</v>
      </c>
      <c r="B130">
        <f>IF(使用レシピ!F130="","",MATCH(使用レシピ!F130,使用レシピ!$E:$E,0)-1)</f>
        <v>128</v>
      </c>
      <c r="C130">
        <f>IF(使用レシピ!G130="","",MATCH(使用レシピ!G130,使用レシピ!$E:$E,0)-1)</f>
        <v>61</v>
      </c>
      <c r="D130">
        <f>IF(使用レシピ!H130="","",MATCH(使用レシピ!H130,使用レシピ!$E:$E,0)-1)</f>
        <v>85</v>
      </c>
      <c r="E130">
        <f>IF(使用レシピ!I130="","",MATCH(使用レシピ!I130,使用レシピ!$E:$E,0)-1)</f>
        <v>126</v>
      </c>
      <c r="F130">
        <f>IF(使用レシピ!J130="","",MATCH(使用レシピ!J130,使用レシピ!$E:$E,0)-1)</f>
        <v>127</v>
      </c>
      <c r="G130">
        <f>使用レシピ!K130</f>
        <v>6</v>
      </c>
      <c r="H130">
        <f>使用レシピ!L130</f>
        <v>1</v>
      </c>
      <c r="I130">
        <f>使用レシピ!M130</f>
        <v>9</v>
      </c>
      <c r="J130">
        <f>使用レシピ!N130</f>
        <v>25</v>
      </c>
      <c r="K130">
        <f>使用レシピ!O130</f>
        <v>25</v>
      </c>
      <c r="L130">
        <f>使用レシピ!P130</f>
        <v>1</v>
      </c>
      <c r="M130">
        <f>使用レシピ!Q130</f>
        <v>5</v>
      </c>
    </row>
    <row r="131" spans="1:13" x14ac:dyDescent="0.4">
      <c r="A131">
        <f>使用レシピ!C131</f>
        <v>130</v>
      </c>
      <c r="B131">
        <f>IF(使用レシピ!F131="","",MATCH(使用レシピ!F131,使用レシピ!$E:$E,0)-1)</f>
        <v>124</v>
      </c>
      <c r="C131">
        <f>IF(使用レシピ!G131="","",MATCH(使用レシピ!G131,使用レシピ!$E:$E,0)-1)</f>
        <v>94</v>
      </c>
      <c r="D131">
        <f>IF(使用レシピ!H131="","",MATCH(使用レシピ!H131,使用レシピ!$E:$E,0)-1)</f>
        <v>122</v>
      </c>
      <c r="E131">
        <f>IF(使用レシピ!I131="","",MATCH(使用レシピ!I131,使用レシピ!$E:$E,0)-1)</f>
        <v>126</v>
      </c>
      <c r="F131">
        <f>IF(使用レシピ!J131="","",MATCH(使用レシピ!J131,使用レシピ!$E:$E,0)-1)</f>
        <v>127</v>
      </c>
      <c r="G131">
        <f>使用レシピ!K131</f>
        <v>5</v>
      </c>
      <c r="H131">
        <f>使用レシピ!L131</f>
        <v>1</v>
      </c>
      <c r="I131">
        <f>使用レシピ!M131</f>
        <v>15</v>
      </c>
      <c r="J131">
        <f>使用レシピ!N131</f>
        <v>25</v>
      </c>
      <c r="K131">
        <f>使用レシピ!O131</f>
        <v>25</v>
      </c>
      <c r="L131">
        <f>使用レシピ!P131</f>
        <v>1</v>
      </c>
      <c r="M131">
        <f>使用レシピ!Q131</f>
        <v>3</v>
      </c>
    </row>
    <row r="132" spans="1:13" x14ac:dyDescent="0.4">
      <c r="A132">
        <f>使用レシピ!C132</f>
        <v>131</v>
      </c>
      <c r="B132">
        <f>IF(使用レシピ!F132="","",MATCH(使用レシピ!F132,使用レシピ!$E:$E,0)-1)</f>
        <v>111</v>
      </c>
      <c r="C132">
        <f>IF(使用レシピ!G132="","",MATCH(使用レシピ!G132,使用レシピ!$E:$E,0)-1)</f>
        <v>130</v>
      </c>
      <c r="D132">
        <f>IF(使用レシピ!H132="","",MATCH(使用レシピ!H132,使用レシピ!$E:$E,0)-1)</f>
        <v>129</v>
      </c>
      <c r="E132">
        <f>IF(使用レシピ!I132="","",MATCH(使用レシピ!I132,使用レシピ!$E:$E,0)-1)</f>
        <v>126</v>
      </c>
      <c r="F132">
        <f>IF(使用レシピ!J132="","",MATCH(使用レシピ!J132,使用レシピ!$E:$E,0)-1)</f>
        <v>127</v>
      </c>
      <c r="G132">
        <f>使用レシピ!K132</f>
        <v>1</v>
      </c>
      <c r="H132">
        <f>使用レシピ!L132</f>
        <v>1</v>
      </c>
      <c r="I132">
        <f>使用レシピ!M132</f>
        <v>1</v>
      </c>
      <c r="J132">
        <f>使用レシピ!N132</f>
        <v>25</v>
      </c>
      <c r="K132">
        <f>使用レシピ!O132</f>
        <v>25</v>
      </c>
      <c r="L132">
        <f>使用レシピ!P132</f>
        <v>1</v>
      </c>
      <c r="M132">
        <f>使用レシピ!Q132</f>
        <v>4</v>
      </c>
    </row>
    <row r="133" spans="1:13" x14ac:dyDescent="0.4">
      <c r="A133">
        <f>使用レシピ!C133</f>
        <v>132</v>
      </c>
      <c r="B133">
        <f>IF(使用レシピ!F133="","",MATCH(使用レシピ!F133,使用レシピ!$E:$E,0)-1)</f>
        <v>133</v>
      </c>
      <c r="C133">
        <f>IF(使用レシピ!G133="","",MATCH(使用レシピ!G133,使用レシピ!$E:$E,0)-1)</f>
        <v>134</v>
      </c>
      <c r="D133">
        <f>IF(使用レシピ!H133="","",MATCH(使用レシピ!H133,使用レシピ!$E:$E,0)-1)</f>
        <v>127</v>
      </c>
      <c r="E133" t="str">
        <f>IF(使用レシピ!I133="","",MATCH(使用レシピ!I133,使用レシピ!$E:$E,0)-1)</f>
        <v/>
      </c>
      <c r="F133" t="str">
        <f>IF(使用レシピ!J133="","",MATCH(使用レシピ!J133,使用レシピ!$E:$E,0)-1)</f>
        <v/>
      </c>
      <c r="G133">
        <f>使用レシピ!K133</f>
        <v>1</v>
      </c>
      <c r="H133">
        <f>使用レシピ!L133</f>
        <v>1</v>
      </c>
      <c r="I133">
        <f>使用レシピ!M133</f>
        <v>20</v>
      </c>
      <c r="J133" t="str">
        <f>使用レシピ!N133</f>
        <v/>
      </c>
      <c r="K133" t="str">
        <f>使用レシピ!O133</f>
        <v/>
      </c>
      <c r="L133">
        <f>使用レシピ!P133</f>
        <v>1</v>
      </c>
      <c r="M133">
        <f>使用レシピ!Q133</f>
        <v>10</v>
      </c>
    </row>
    <row r="134" spans="1:13" x14ac:dyDescent="0.4">
      <c r="A134">
        <f>使用レシピ!C134</f>
        <v>133</v>
      </c>
      <c r="B134">
        <f>IF(使用レシピ!F134="","",MATCH(使用レシピ!F134,使用レシピ!$E:$E,0)-1)</f>
        <v>117</v>
      </c>
      <c r="C134">
        <f>IF(使用レシピ!G134="","",MATCH(使用レシピ!G134,使用レシピ!$E:$E,0)-1)</f>
        <v>56</v>
      </c>
      <c r="D134" t="str">
        <f>IF(使用レシピ!H134="","",MATCH(使用レシピ!H134,使用レシピ!$E:$E,0)-1)</f>
        <v/>
      </c>
      <c r="E134" t="str">
        <f>IF(使用レシピ!I134="","",MATCH(使用レシピ!I134,使用レシピ!$E:$E,0)-1)</f>
        <v/>
      </c>
      <c r="F134" t="str">
        <f>IF(使用レシピ!J134="","",MATCH(使用レシピ!J134,使用レシピ!$E:$E,0)-1)</f>
        <v/>
      </c>
      <c r="G134">
        <f>使用レシピ!K134</f>
        <v>1</v>
      </c>
      <c r="H134">
        <f>使用レシピ!L134</f>
        <v>2400</v>
      </c>
      <c r="I134" t="str">
        <f>使用レシピ!M134</f>
        <v/>
      </c>
      <c r="J134" t="str">
        <f>使用レシピ!N134</f>
        <v/>
      </c>
      <c r="K134" t="str">
        <f>使用レシピ!O134</f>
        <v/>
      </c>
      <c r="L134">
        <f>使用レシピ!P134</f>
        <v>10</v>
      </c>
      <c r="M134">
        <f>使用レシピ!Q134</f>
        <v>1</v>
      </c>
    </row>
    <row r="135" spans="1:13" x14ac:dyDescent="0.4">
      <c r="A135">
        <f>使用レシピ!C135</f>
        <v>134</v>
      </c>
      <c r="B135">
        <f>IF(使用レシピ!F135="","",MATCH(使用レシピ!F135,使用レシピ!$E:$E,0)-1)</f>
        <v>120</v>
      </c>
      <c r="C135">
        <f>IF(使用レシピ!G135="","",MATCH(使用レシピ!G135,使用レシピ!$E:$E,0)-1)</f>
        <v>128</v>
      </c>
      <c r="D135">
        <f>IF(使用レシピ!H135="","",MATCH(使用レシピ!H135,使用レシピ!$E:$E,0)-1)</f>
        <v>3</v>
      </c>
      <c r="E135">
        <f>IF(使用レシピ!I135="","",MATCH(使用レシピ!I135,使用レシピ!$E:$E,0)-1)</f>
        <v>10</v>
      </c>
      <c r="F135" t="str">
        <f>IF(使用レシピ!J135="","",MATCH(使用レシピ!J135,使用レシピ!$E:$E,0)-1)</f>
        <v/>
      </c>
      <c r="G135">
        <f>使用レシピ!K135</f>
        <v>1</v>
      </c>
      <c r="H135">
        <f>使用レシピ!L135</f>
        <v>20</v>
      </c>
      <c r="I135">
        <f>使用レシピ!M135</f>
        <v>100</v>
      </c>
      <c r="J135">
        <f>使用レシピ!N135</f>
        <v>200</v>
      </c>
      <c r="K135" t="str">
        <f>使用レシピ!O135</f>
        <v/>
      </c>
      <c r="L135">
        <f>使用レシピ!P135</f>
        <v>10</v>
      </c>
      <c r="M135">
        <f>使用レシピ!Q135</f>
        <v>10</v>
      </c>
    </row>
    <row r="136" spans="1:13" x14ac:dyDescent="0.4">
      <c r="A136">
        <f>使用レシピ!C136</f>
        <v>135</v>
      </c>
      <c r="B136">
        <f>IF(使用レシピ!F136="","",MATCH(使用レシピ!F136,使用レシピ!$E:$E,0)-1)</f>
        <v>132</v>
      </c>
      <c r="C136">
        <f>IF(使用レシピ!G136="","",MATCH(使用レシピ!G136,使用レシピ!$E:$E,0)-1)</f>
        <v>109</v>
      </c>
      <c r="D136">
        <f>IF(使用レシピ!H136="","",MATCH(使用レシピ!H136,使用レシピ!$E:$E,0)-1)</f>
        <v>122</v>
      </c>
      <c r="E136">
        <f>IF(使用レシピ!I136="","",MATCH(使用レシピ!I136,使用レシピ!$E:$E,0)-1)</f>
        <v>126</v>
      </c>
      <c r="F136">
        <f>IF(使用レシピ!J136="","",MATCH(使用レシピ!J136,使用レシピ!$E:$E,0)-1)</f>
        <v>127</v>
      </c>
      <c r="G136">
        <f>使用レシピ!K136</f>
        <v>2</v>
      </c>
      <c r="H136">
        <f>使用レシピ!L136</f>
        <v>2</v>
      </c>
      <c r="I136">
        <f>使用レシピ!M136</f>
        <v>40</v>
      </c>
      <c r="J136">
        <f>使用レシピ!N136</f>
        <v>20</v>
      </c>
      <c r="K136">
        <f>使用レシピ!O136</f>
        <v>20</v>
      </c>
      <c r="L136">
        <f>使用レシピ!P136</f>
        <v>1</v>
      </c>
      <c r="M136">
        <f>使用レシピ!Q136</f>
        <v>2.5</v>
      </c>
    </row>
    <row r="137" spans="1:13" x14ac:dyDescent="0.4">
      <c r="A137">
        <f>使用レシピ!C137</f>
        <v>136</v>
      </c>
      <c r="B137">
        <f>IF(使用レシピ!F137="","",MATCH(使用レシピ!F137,使用レシピ!$E:$E,0)-1)</f>
        <v>106</v>
      </c>
      <c r="C137">
        <f>IF(使用レシピ!G137="","",MATCH(使用レシピ!G137,使用レシピ!$E:$E,0)-1)</f>
        <v>134</v>
      </c>
      <c r="D137">
        <f>IF(使用レシピ!H137="","",MATCH(使用レシピ!H137,使用レシピ!$E:$E,0)-1)</f>
        <v>129</v>
      </c>
      <c r="E137">
        <f>IF(使用レシピ!I137="","",MATCH(使用レシピ!I137,使用レシピ!$E:$E,0)-1)</f>
        <v>128</v>
      </c>
      <c r="F137" t="str">
        <f>IF(使用レシピ!J137="","",MATCH(使用レシピ!J137,使用レシピ!$E:$E,0)-1)</f>
        <v/>
      </c>
      <c r="G137">
        <f>使用レシピ!K137</f>
        <v>1</v>
      </c>
      <c r="H137">
        <f>使用レシピ!L137</f>
        <v>5</v>
      </c>
      <c r="I137">
        <f>使用レシピ!M137</f>
        <v>2</v>
      </c>
      <c r="J137">
        <f>使用レシピ!N137</f>
        <v>40</v>
      </c>
      <c r="K137" t="str">
        <f>使用レシピ!O137</f>
        <v/>
      </c>
      <c r="L137">
        <f>使用レシピ!P137</f>
        <v>1</v>
      </c>
      <c r="M137">
        <f>使用レシピ!Q137</f>
        <v>1</v>
      </c>
    </row>
    <row r="138" spans="1:13" x14ac:dyDescent="0.4">
      <c r="A138">
        <f>使用レシピ!C138</f>
        <v>137</v>
      </c>
      <c r="B138">
        <f>IF(使用レシピ!F138="","",MATCH(使用レシピ!F138,使用レシピ!$E:$E,0)-1)</f>
        <v>87</v>
      </c>
      <c r="C138">
        <f>IF(使用レシピ!G138="","",MATCH(使用レシピ!G138,使用レシピ!$E:$E,0)-1)</f>
        <v>104</v>
      </c>
      <c r="D138" t="str">
        <f>IF(使用レシピ!H138="","",MATCH(使用レシピ!H138,使用レシピ!$E:$E,0)-1)</f>
        <v/>
      </c>
      <c r="E138" t="str">
        <f>IF(使用レシピ!I138="","",MATCH(使用レシピ!I138,使用レシピ!$E:$E,0)-1)</f>
        <v/>
      </c>
      <c r="F138">
        <f>IF(使用レシピ!J138="","",MATCH(使用レシピ!J138,使用レシピ!$E:$E,0)-1)</f>
        <v>69</v>
      </c>
      <c r="G138">
        <f>使用レシピ!K138</f>
        <v>6</v>
      </c>
      <c r="H138">
        <f>使用レシピ!L138</f>
        <v>1</v>
      </c>
      <c r="I138" t="str">
        <f>使用レシピ!M138</f>
        <v/>
      </c>
      <c r="J138" t="str">
        <f>使用レシピ!N138</f>
        <v/>
      </c>
      <c r="K138">
        <f>使用レシピ!O138</f>
        <v>1</v>
      </c>
      <c r="L138">
        <f>使用レシピ!P138</f>
        <v>10</v>
      </c>
      <c r="M138">
        <f>使用レシピ!Q138</f>
        <v>100</v>
      </c>
    </row>
    <row r="139" spans="1:13" x14ac:dyDescent="0.4">
      <c r="A139">
        <f>使用レシピ!C139</f>
        <v>138</v>
      </c>
      <c r="B139">
        <f>IF(使用レシピ!F139="","",MATCH(使用レシピ!F139,使用レシピ!$E:$E,0)-1)</f>
        <v>137</v>
      </c>
      <c r="C139">
        <f>IF(使用レシピ!G139="","",MATCH(使用レシピ!G139,使用レシピ!$E:$E,0)-1)</f>
        <v>97</v>
      </c>
      <c r="D139" t="str">
        <f>IF(使用レシピ!H139="","",MATCH(使用レシピ!H139,使用レシピ!$E:$E,0)-1)</f>
        <v/>
      </c>
      <c r="E139" t="str">
        <f>IF(使用レシピ!I139="","",MATCH(使用レシピ!I139,使用レシピ!$E:$E,0)-1)</f>
        <v/>
      </c>
      <c r="F139" t="str">
        <f>IF(使用レシピ!J139="","",MATCH(使用レシピ!J139,使用レシピ!$E:$E,0)-1)</f>
        <v/>
      </c>
      <c r="G139">
        <f>使用レシピ!K139</f>
        <v>2</v>
      </c>
      <c r="H139">
        <f>使用レシピ!L139</f>
        <v>1</v>
      </c>
      <c r="I139" t="str">
        <f>使用レシピ!M139</f>
        <v/>
      </c>
      <c r="J139" t="str">
        <f>使用レシピ!N139</f>
        <v/>
      </c>
      <c r="K139" t="str">
        <f>使用レシピ!O139</f>
        <v/>
      </c>
      <c r="L139">
        <f>使用レシピ!P139</f>
        <v>1</v>
      </c>
      <c r="M139">
        <f>使用レシピ!Q139</f>
        <v>60</v>
      </c>
    </row>
    <row r="140" spans="1:13" x14ac:dyDescent="0.4">
      <c r="A140">
        <f>使用レシピ!C140</f>
        <v>139</v>
      </c>
      <c r="B140">
        <f>IF(使用レシピ!F140="","",MATCH(使用レシピ!F140,使用レシピ!$E:$E,0)-1)</f>
        <v>137</v>
      </c>
      <c r="C140">
        <f>IF(使用レシピ!G140="","",MATCH(使用レシピ!G140,使用レシピ!$E:$E,0)-1)</f>
        <v>21</v>
      </c>
      <c r="D140" t="str">
        <f>IF(使用レシピ!H140="","",MATCH(使用レシピ!H140,使用レシピ!$E:$E,0)-1)</f>
        <v/>
      </c>
      <c r="E140" t="str">
        <f>IF(使用レシピ!I140="","",MATCH(使用レシピ!I140,使用レシピ!$E:$E,0)-1)</f>
        <v/>
      </c>
      <c r="F140">
        <f>IF(使用レシピ!J140="","",MATCH(使用レシピ!J140,使用レシピ!$E:$E,0)-1)</f>
        <v>69</v>
      </c>
      <c r="G140">
        <f>使用レシピ!K140</f>
        <v>16</v>
      </c>
      <c r="H140">
        <f>使用レシピ!L140</f>
        <v>1</v>
      </c>
      <c r="I140" t="str">
        <f>使用レシピ!M140</f>
        <v/>
      </c>
      <c r="J140" t="str">
        <f>使用レシピ!N140</f>
        <v/>
      </c>
      <c r="K140">
        <f>使用レシピ!O140</f>
        <v>2</v>
      </c>
      <c r="L140">
        <f>使用レシピ!P140</f>
        <v>16</v>
      </c>
      <c r="M140">
        <f>使用レシピ!Q140</f>
        <v>40</v>
      </c>
    </row>
    <row r="141" spans="1:13" x14ac:dyDescent="0.4">
      <c r="A141">
        <f>使用レシピ!C141</f>
        <v>140</v>
      </c>
      <c r="B141">
        <f>IF(使用レシピ!F141="","",MATCH(使用レシピ!F141,使用レシピ!$E:$E,0)-1)</f>
        <v>139</v>
      </c>
      <c r="C141">
        <f>IF(使用レシピ!G141="","",MATCH(使用レシピ!G141,使用レシピ!$E:$E,0)-1)</f>
        <v>97</v>
      </c>
      <c r="D141" t="str">
        <f>IF(使用レシピ!H141="","",MATCH(使用レシピ!H141,使用レシピ!$E:$E,0)-1)</f>
        <v/>
      </c>
      <c r="E141" t="str">
        <f>IF(使用レシピ!I141="","",MATCH(使用レシピ!I141,使用レシピ!$E:$E,0)-1)</f>
        <v/>
      </c>
      <c r="F141" t="str">
        <f>IF(使用レシピ!J141="","",MATCH(使用レシピ!J141,使用レシピ!$E:$E,0)-1)</f>
        <v/>
      </c>
      <c r="G141">
        <f>使用レシピ!K141</f>
        <v>4</v>
      </c>
      <c r="H141">
        <f>使用レシピ!L141</f>
        <v>2</v>
      </c>
      <c r="I141" t="str">
        <f>使用レシピ!M141</f>
        <v/>
      </c>
      <c r="J141" t="str">
        <f>使用レシピ!N141</f>
        <v/>
      </c>
      <c r="K141" t="str">
        <f>使用レシピ!O141</f>
        <v/>
      </c>
      <c r="L141">
        <f>使用レシピ!P141</f>
        <v>2</v>
      </c>
      <c r="M141">
        <f>使用レシピ!Q141</f>
        <v>40</v>
      </c>
    </row>
    <row r="142" spans="1:13" x14ac:dyDescent="0.4">
      <c r="A142">
        <f>使用レシピ!C142</f>
        <v>141</v>
      </c>
      <c r="B142">
        <f>IF(使用レシピ!F142="","",MATCH(使用レシピ!F142,使用レシピ!$E:$E,0)-1)</f>
        <v>46</v>
      </c>
      <c r="C142">
        <f>IF(使用レシピ!G142="","",MATCH(使用レシピ!G142,使用レシピ!$E:$E,0)-1)</f>
        <v>21</v>
      </c>
      <c r="D142">
        <f>IF(使用レシピ!H142="","",MATCH(使用レシピ!H142,使用レシピ!$E:$E,0)-1)</f>
        <v>129</v>
      </c>
      <c r="E142">
        <f>IF(使用レシピ!I142="","",MATCH(使用レシピ!I142,使用レシピ!$E:$E,0)-1)</f>
        <v>126</v>
      </c>
      <c r="F142">
        <f>IF(使用レシピ!J142="","",MATCH(使用レシピ!J142,使用レシピ!$E:$E,0)-1)</f>
        <v>127</v>
      </c>
      <c r="G142">
        <f>使用レシピ!K142</f>
        <v>5</v>
      </c>
      <c r="H142">
        <f>使用レシピ!L142</f>
        <v>3</v>
      </c>
      <c r="I142">
        <f>使用レシピ!M142</f>
        <v>3</v>
      </c>
      <c r="J142">
        <f>使用レシピ!N142</f>
        <v>24</v>
      </c>
      <c r="K142">
        <f>使用レシピ!O142</f>
        <v>24</v>
      </c>
      <c r="L142">
        <f>使用レシピ!P142</f>
        <v>1</v>
      </c>
      <c r="M142">
        <f>使用レシピ!Q142</f>
        <v>2.5</v>
      </c>
    </row>
    <row r="143" spans="1:13" x14ac:dyDescent="0.4">
      <c r="A143">
        <f>使用レシピ!C143</f>
        <v>142</v>
      </c>
      <c r="B143">
        <f>IF(使用レシピ!F143="","",MATCH(使用レシピ!F143,使用レシピ!$E:$E,0)-1)</f>
        <v>89</v>
      </c>
      <c r="C143">
        <f>IF(使用レシピ!G143="","",MATCH(使用レシピ!G143,使用レシピ!$E:$E,0)-1)</f>
        <v>35</v>
      </c>
      <c r="D143" t="str">
        <f>IF(使用レシピ!H143="","",MATCH(使用レシピ!H143,使用レシピ!$E:$E,0)-1)</f>
        <v/>
      </c>
      <c r="E143" t="str">
        <f>IF(使用レシピ!I143="","",MATCH(使用レシピ!I143,使用レシピ!$E:$E,0)-1)</f>
        <v/>
      </c>
      <c r="F143" t="str">
        <f>IF(使用レシピ!J143="","",MATCH(使用レシピ!J143,使用レシピ!$E:$E,0)-1)</f>
        <v/>
      </c>
      <c r="G143">
        <f>使用レシピ!K143</f>
        <v>1</v>
      </c>
      <c r="H143">
        <f>使用レシピ!L143</f>
        <v>5</v>
      </c>
      <c r="I143" t="str">
        <f>使用レシピ!M143</f>
        <v/>
      </c>
      <c r="J143" t="str">
        <f>使用レシピ!N143</f>
        <v/>
      </c>
      <c r="K143" t="str">
        <f>使用レシピ!O143</f>
        <v/>
      </c>
      <c r="L143">
        <f>使用レシピ!P143</f>
        <v>1</v>
      </c>
      <c r="M143">
        <f>使用レシピ!Q143</f>
        <v>10</v>
      </c>
    </row>
    <row r="144" spans="1:13" x14ac:dyDescent="0.4">
      <c r="A144">
        <f>使用レシピ!C144</f>
        <v>143</v>
      </c>
      <c r="B144">
        <f>IF(使用レシピ!F144="","",MATCH(使用レシピ!F144,使用レシピ!$E:$E,0)-1)</f>
        <v>49</v>
      </c>
      <c r="C144">
        <f>IF(使用レシピ!G144="","",MATCH(使用レシピ!G144,使用レシピ!$E:$E,0)-1)</f>
        <v>13</v>
      </c>
      <c r="D144" t="str">
        <f>IF(使用レシピ!H144="","",MATCH(使用レシピ!H144,使用レシピ!$E:$E,0)-1)</f>
        <v/>
      </c>
      <c r="E144" t="str">
        <f>IF(使用レシピ!I144="","",MATCH(使用レシピ!I144,使用レシピ!$E:$E,0)-1)</f>
        <v/>
      </c>
      <c r="F144" t="str">
        <f>IF(使用レシピ!J144="","",MATCH(使用レシピ!J144,使用レシピ!$E:$E,0)-1)</f>
        <v/>
      </c>
      <c r="G144">
        <f>使用レシピ!K144</f>
        <v>1</v>
      </c>
      <c r="H144">
        <f>使用レシピ!L144</f>
        <v>10</v>
      </c>
      <c r="I144" t="str">
        <f>使用レシピ!M144</f>
        <v/>
      </c>
      <c r="J144" t="str">
        <f>使用レシピ!N144</f>
        <v/>
      </c>
      <c r="K144" t="str">
        <f>使用レシピ!O144</f>
        <v/>
      </c>
      <c r="L144">
        <f>使用レシピ!P144</f>
        <v>1</v>
      </c>
      <c r="M144">
        <f>使用レシピ!Q144</f>
        <v>5</v>
      </c>
    </row>
    <row r="145" spans="1:13" x14ac:dyDescent="0.4">
      <c r="A145">
        <f>使用レシピ!C145</f>
        <v>144</v>
      </c>
      <c r="B145">
        <f>IF(使用レシピ!F145="","",MATCH(使用レシピ!F145,使用レシピ!$E:$E,0)-1)</f>
        <v>49</v>
      </c>
      <c r="C145">
        <f>IF(使用レシピ!G145="","",MATCH(使用レシピ!G145,使用レシピ!$E:$E,0)-1)</f>
        <v>61</v>
      </c>
      <c r="D145" t="str">
        <f>IF(使用レシピ!H145="","",MATCH(使用レシピ!H145,使用レシピ!$E:$E,0)-1)</f>
        <v/>
      </c>
      <c r="E145" t="str">
        <f>IF(使用レシピ!I145="","",MATCH(使用レシピ!I145,使用レシピ!$E:$E,0)-1)</f>
        <v/>
      </c>
      <c r="F145" t="str">
        <f>IF(使用レシピ!J145="","",MATCH(使用レシピ!J145,使用レシピ!$E:$E,0)-1)</f>
        <v/>
      </c>
      <c r="G145">
        <f>使用レシピ!K145</f>
        <v>5</v>
      </c>
      <c r="H145">
        <f>使用レシピ!L145</f>
        <v>1</v>
      </c>
      <c r="I145" t="str">
        <f>使用レシピ!M145</f>
        <v/>
      </c>
      <c r="J145" t="str">
        <f>使用レシピ!N145</f>
        <v/>
      </c>
      <c r="K145" t="str">
        <f>使用レシピ!O145</f>
        <v/>
      </c>
      <c r="L145">
        <f>使用レシピ!P145</f>
        <v>5</v>
      </c>
      <c r="M145">
        <f>使用レシピ!Q145</f>
        <v>5</v>
      </c>
    </row>
    <row r="146" spans="1:13" x14ac:dyDescent="0.4">
      <c r="A146">
        <f>使用レシピ!C146</f>
        <v>145</v>
      </c>
      <c r="B146">
        <f>IF(使用レシピ!F146="","",MATCH(使用レシピ!F146,使用レシピ!$E:$E,0)-1)</f>
        <v>89</v>
      </c>
      <c r="C146">
        <f>IF(使用レシピ!G146="","",MATCH(使用レシピ!G146,使用レシピ!$E:$E,0)-1)</f>
        <v>47</v>
      </c>
      <c r="D146" t="str">
        <f>IF(使用レシピ!H146="","",MATCH(使用レシピ!H146,使用レシピ!$E:$E,0)-1)</f>
        <v/>
      </c>
      <c r="E146" t="str">
        <f>IF(使用レシピ!I146="","",MATCH(使用レシピ!I146,使用レシピ!$E:$E,0)-1)</f>
        <v/>
      </c>
      <c r="F146" t="str">
        <f>IF(使用レシピ!J146="","",MATCH(使用レシピ!J146,使用レシピ!$E:$E,0)-1)</f>
        <v/>
      </c>
      <c r="G146">
        <f>使用レシピ!K146</f>
        <v>2</v>
      </c>
      <c r="H146">
        <f>使用レシピ!L146</f>
        <v>3</v>
      </c>
      <c r="I146" t="str">
        <f>使用レシピ!M146</f>
        <v/>
      </c>
      <c r="J146" t="str">
        <f>使用レシピ!N146</f>
        <v/>
      </c>
      <c r="K146" t="str">
        <f>使用レシピ!O146</f>
        <v/>
      </c>
      <c r="L146">
        <f>使用レシピ!P146</f>
        <v>1</v>
      </c>
      <c r="M146">
        <f>使用レシピ!Q146</f>
        <v>5</v>
      </c>
    </row>
    <row r="147" spans="1:13" x14ac:dyDescent="0.4">
      <c r="A147">
        <f>使用レシピ!C147</f>
        <v>146</v>
      </c>
      <c r="B147">
        <f>IF(使用レシピ!F147="","",MATCH(使用レシピ!F147,使用レシピ!$E:$E,0)-1)</f>
        <v>49</v>
      </c>
      <c r="C147">
        <f>IF(使用レシピ!G147="","",MATCH(使用レシピ!G147,使用レシピ!$E:$E,0)-1)</f>
        <v>79</v>
      </c>
      <c r="D147" t="str">
        <f>IF(使用レシピ!H147="","",MATCH(使用レシピ!H147,使用レシピ!$E:$E,0)-1)</f>
        <v/>
      </c>
      <c r="E147" t="str">
        <f>IF(使用レシピ!I147="","",MATCH(使用レシピ!I147,使用レシピ!$E:$E,0)-1)</f>
        <v/>
      </c>
      <c r="F147" t="str">
        <f>IF(使用レシピ!J147="","",MATCH(使用レシピ!J147,使用レシピ!$E:$E,0)-1)</f>
        <v/>
      </c>
      <c r="G147">
        <f>使用レシピ!K147</f>
        <v>3</v>
      </c>
      <c r="H147">
        <f>使用レシピ!L147</f>
        <v>4</v>
      </c>
      <c r="I147" t="str">
        <f>使用レシピ!M147</f>
        <v/>
      </c>
      <c r="J147" t="str">
        <f>使用レシピ!N147</f>
        <v/>
      </c>
      <c r="K147" t="str">
        <f>使用レシピ!O147</f>
        <v/>
      </c>
      <c r="L147">
        <f>使用レシピ!P147</f>
        <v>1</v>
      </c>
      <c r="M147">
        <f>使用レシピ!Q147</f>
        <v>2.5</v>
      </c>
    </row>
    <row r="148" spans="1:13" x14ac:dyDescent="0.4">
      <c r="A148">
        <f>使用レシピ!C148</f>
        <v>147</v>
      </c>
      <c r="B148">
        <f>IF(使用レシピ!F148="","",MATCH(使用レシピ!F148,使用レシピ!$E:$E,0)-1)</f>
        <v>89</v>
      </c>
      <c r="C148">
        <f>IF(使用レシピ!G148="","",MATCH(使用レシピ!G148,使用レシピ!$E:$E,0)-1)</f>
        <v>79</v>
      </c>
      <c r="D148">
        <f>IF(使用レシピ!H148="","",MATCH(使用レシピ!H148,使用レシピ!$E:$E,0)-1)</f>
        <v>38</v>
      </c>
      <c r="E148" t="str">
        <f>IF(使用レシピ!I148="","",MATCH(使用レシピ!I148,使用レシピ!$E:$E,0)-1)</f>
        <v/>
      </c>
      <c r="F148" t="str">
        <f>IF(使用レシピ!J148="","",MATCH(使用レシピ!J148,使用レシピ!$E:$E,0)-1)</f>
        <v/>
      </c>
      <c r="G148">
        <f>使用レシピ!K148</f>
        <v>2</v>
      </c>
      <c r="H148">
        <f>使用レシピ!L148</f>
        <v>2</v>
      </c>
      <c r="I148">
        <f>使用レシピ!M148</f>
        <v>2</v>
      </c>
      <c r="J148" t="str">
        <f>使用レシピ!N148</f>
        <v/>
      </c>
      <c r="K148" t="str">
        <f>使用レシピ!O148</f>
        <v/>
      </c>
      <c r="L148">
        <f>使用レシピ!P148</f>
        <v>1</v>
      </c>
      <c r="M148">
        <f>使用レシピ!Q148</f>
        <v>5</v>
      </c>
    </row>
    <row r="149" spans="1:13" x14ac:dyDescent="0.4">
      <c r="A149">
        <f>使用レシピ!C149</f>
        <v>148</v>
      </c>
      <c r="B149">
        <f>IF(使用レシピ!F149="","",MATCH(使用レシピ!F149,使用レシピ!$E:$E,0)-1)</f>
        <v>27</v>
      </c>
      <c r="C149">
        <f>IF(使用レシピ!G149="","",MATCH(使用レシピ!G149,使用レシピ!$E:$E,0)-1)</f>
        <v>79</v>
      </c>
      <c r="D149" t="str">
        <f>IF(使用レシピ!H149="","",MATCH(使用レシピ!H149,使用レシピ!$E:$E,0)-1)</f>
        <v/>
      </c>
      <c r="E149" t="str">
        <f>IF(使用レシピ!I149="","",MATCH(使用レシピ!I149,使用レシピ!$E:$E,0)-1)</f>
        <v/>
      </c>
      <c r="F149" t="str">
        <f>IF(使用レシピ!J149="","",MATCH(使用レシピ!J149,使用レシピ!$E:$E,0)-1)</f>
        <v/>
      </c>
      <c r="G149">
        <f>使用レシピ!K149</f>
        <v>3</v>
      </c>
      <c r="H149">
        <f>使用レシピ!L149</f>
        <v>2</v>
      </c>
      <c r="I149" t="str">
        <f>使用レシピ!M149</f>
        <v/>
      </c>
      <c r="J149" t="str">
        <f>使用レシピ!N149</f>
        <v/>
      </c>
      <c r="K149" t="str">
        <f>使用レシピ!O149</f>
        <v/>
      </c>
      <c r="L149">
        <f>使用レシピ!P149</f>
        <v>15</v>
      </c>
      <c r="M149">
        <f>使用レシピ!Q149</f>
        <v>75</v>
      </c>
    </row>
    <row r="150" spans="1:13" x14ac:dyDescent="0.4">
      <c r="A150">
        <f>使用レシピ!C150</f>
        <v>149</v>
      </c>
      <c r="B150">
        <f>IF(使用レシピ!F150="","",MATCH(使用レシピ!F150,使用レシピ!$E:$E,0)-1)</f>
        <v>148</v>
      </c>
      <c r="C150">
        <f>IF(使用レシピ!G150="","",MATCH(使用レシピ!G150,使用レシピ!$E:$E,0)-1)</f>
        <v>86</v>
      </c>
      <c r="D150">
        <f>IF(使用レシピ!H150="","",MATCH(使用レシピ!H150,使用レシピ!$E:$E,0)-1)</f>
        <v>87</v>
      </c>
      <c r="E150" t="str">
        <f>IF(使用レシピ!I150="","",MATCH(使用レシピ!I150,使用レシピ!$E:$E,0)-1)</f>
        <v/>
      </c>
      <c r="F150" t="str">
        <f>IF(使用レシピ!J150="","",MATCH(使用レシピ!J150,使用レシピ!$E:$E,0)-1)</f>
        <v/>
      </c>
      <c r="G150">
        <f>使用レシピ!K150</f>
        <v>25</v>
      </c>
      <c r="H150">
        <f>使用レシピ!L150</f>
        <v>3</v>
      </c>
      <c r="I150">
        <f>使用レシピ!M150</f>
        <v>3</v>
      </c>
      <c r="J150" t="str">
        <f>使用レシピ!N150</f>
        <v/>
      </c>
      <c r="K150" t="str">
        <f>使用レシピ!O150</f>
        <v/>
      </c>
      <c r="L150">
        <f>使用レシピ!P150</f>
        <v>50</v>
      </c>
      <c r="M150">
        <f>使用レシピ!Q150</f>
        <v>250</v>
      </c>
    </row>
    <row r="151" spans="1:13" x14ac:dyDescent="0.4">
      <c r="A151">
        <f>使用レシピ!C151</f>
        <v>150</v>
      </c>
      <c r="B151">
        <f>IF(使用レシピ!F151="","",MATCH(使用レシピ!F151,使用レシピ!$E:$E,0)-1)</f>
        <v>148</v>
      </c>
      <c r="C151">
        <f>IF(使用レシピ!G151="","",MATCH(使用レシピ!G151,使用レシピ!$E:$E,0)-1)</f>
        <v>78</v>
      </c>
      <c r="D151" t="str">
        <f>IF(使用レシピ!H151="","",MATCH(使用レシピ!H151,使用レシピ!$E:$E,0)-1)</f>
        <v/>
      </c>
      <c r="E151" t="str">
        <f>IF(使用レシピ!I151="","",MATCH(使用レシピ!I151,使用レシピ!$E:$E,0)-1)</f>
        <v/>
      </c>
      <c r="F151" t="str">
        <f>IF(使用レシピ!J151="","",MATCH(使用レシピ!J151,使用レシピ!$E:$E,0)-1)</f>
        <v/>
      </c>
      <c r="G151">
        <f>使用レシピ!K151</f>
        <v>20</v>
      </c>
      <c r="H151">
        <f>使用レシピ!L151</f>
        <v>1</v>
      </c>
      <c r="I151" t="str">
        <f>使用レシピ!M151</f>
        <v/>
      </c>
      <c r="J151" t="str">
        <f>使用レシピ!N151</f>
        <v/>
      </c>
      <c r="K151" t="str">
        <f>使用レシピ!O151</f>
        <v/>
      </c>
      <c r="L151">
        <f>使用レシピ!P151</f>
        <v>10</v>
      </c>
      <c r="M151">
        <f>使用レシピ!Q151</f>
        <v>25</v>
      </c>
    </row>
    <row r="152" spans="1:13" x14ac:dyDescent="0.4">
      <c r="A152">
        <f>使用レシピ!C152</f>
        <v>151</v>
      </c>
      <c r="B152">
        <f>IF(使用レシピ!F152="","",MATCH(使用レシピ!F152,使用レシピ!$E:$E,0)-1)</f>
        <v>49</v>
      </c>
      <c r="C152">
        <f>IF(使用レシピ!G152="","",MATCH(使用レシピ!G152,使用レシピ!$E:$E,0)-1)</f>
        <v>107</v>
      </c>
      <c r="D152">
        <f>IF(使用レシピ!H152="","",MATCH(使用レシピ!H152,使用レシピ!$E:$E,0)-1)</f>
        <v>79</v>
      </c>
      <c r="E152">
        <f>IF(使用レシピ!I152="","",MATCH(使用レシピ!I152,使用レシピ!$E:$E,0)-1)</f>
        <v>50</v>
      </c>
      <c r="F152" t="str">
        <f>IF(使用レシピ!J152="","",MATCH(使用レシピ!J152,使用レシピ!$E:$E,0)-1)</f>
        <v/>
      </c>
      <c r="G152">
        <f>使用レシピ!K152</f>
        <v>5</v>
      </c>
      <c r="H152">
        <f>使用レシピ!L152</f>
        <v>20</v>
      </c>
      <c r="I152">
        <f>使用レシピ!M152</f>
        <v>10</v>
      </c>
      <c r="J152">
        <f>使用レシピ!N152</f>
        <v>6</v>
      </c>
      <c r="K152" t="str">
        <f>使用レシピ!O152</f>
        <v/>
      </c>
      <c r="L152">
        <f>使用レシピ!P152</f>
        <v>1</v>
      </c>
      <c r="M152">
        <f>使用レシピ!Q152</f>
        <v>0.5</v>
      </c>
    </row>
    <row r="153" spans="1:13" x14ac:dyDescent="0.4">
      <c r="A153" t="str">
        <f>使用レシピ!C153</f>
        <v/>
      </c>
      <c r="B153" t="str">
        <f>IF(使用レシピ!F153="","",MATCH(使用レシピ!F153,使用レシピ!$E:$E,0)-1)</f>
        <v/>
      </c>
      <c r="C153" t="str">
        <f>IF(使用レシピ!G153="","",MATCH(使用レシピ!G153,使用レシピ!$E:$E,0)-1)</f>
        <v/>
      </c>
      <c r="D153" t="str">
        <f>IF(使用レシピ!H153="","",MATCH(使用レシピ!H153,使用レシピ!$E:$E,0)-1)</f>
        <v/>
      </c>
      <c r="E153" t="str">
        <f>IF(使用レシピ!I153="","",MATCH(使用レシピ!I153,使用レシピ!$E:$E,0)-1)</f>
        <v/>
      </c>
      <c r="F153" t="str">
        <f>IF(使用レシピ!J153="","",MATCH(使用レシピ!J153,使用レシピ!$E:$E,0)-1)</f>
        <v/>
      </c>
      <c r="G153" t="str">
        <f>使用レシピ!K153</f>
        <v/>
      </c>
      <c r="H153" t="str">
        <f>使用レシピ!L153</f>
        <v/>
      </c>
      <c r="I153" t="str">
        <f>使用レシピ!M153</f>
        <v/>
      </c>
      <c r="J153" t="str">
        <f>使用レシピ!N153</f>
        <v/>
      </c>
      <c r="K153" t="str">
        <f>使用レシピ!O153</f>
        <v/>
      </c>
      <c r="L153" t="str">
        <f>使用レシピ!P153</f>
        <v/>
      </c>
      <c r="M153" t="str">
        <f>使用レシピ!Q153</f>
        <v/>
      </c>
    </row>
    <row r="154" spans="1:13" x14ac:dyDescent="0.4">
      <c r="A154" t="str">
        <f>使用レシピ!C154</f>
        <v/>
      </c>
      <c r="B154" t="str">
        <f>IF(使用レシピ!F154="","",MATCH(使用レシピ!F154,使用レシピ!$E:$E,0)-1)</f>
        <v/>
      </c>
      <c r="C154" t="str">
        <f>IF(使用レシピ!G154="","",MATCH(使用レシピ!G154,使用レシピ!$E:$E,0)-1)</f>
        <v/>
      </c>
      <c r="D154" t="str">
        <f>IF(使用レシピ!H154="","",MATCH(使用レシピ!H154,使用レシピ!$E:$E,0)-1)</f>
        <v/>
      </c>
      <c r="E154" t="str">
        <f>IF(使用レシピ!I154="","",MATCH(使用レシピ!I154,使用レシピ!$E:$E,0)-1)</f>
        <v/>
      </c>
      <c r="F154" t="str">
        <f>IF(使用レシピ!J154="","",MATCH(使用レシピ!J154,使用レシピ!$E:$E,0)-1)</f>
        <v/>
      </c>
      <c r="G154" t="str">
        <f>使用レシピ!K154</f>
        <v/>
      </c>
      <c r="H154" t="str">
        <f>使用レシピ!L154</f>
        <v/>
      </c>
      <c r="I154" t="str">
        <f>使用レシピ!M154</f>
        <v/>
      </c>
      <c r="J154" t="str">
        <f>使用レシピ!N154</f>
        <v/>
      </c>
      <c r="K154" t="str">
        <f>使用レシピ!O154</f>
        <v/>
      </c>
      <c r="L154" t="str">
        <f>使用レシピ!P154</f>
        <v/>
      </c>
      <c r="M154" t="str">
        <f>使用レシピ!Q154</f>
        <v/>
      </c>
    </row>
    <row r="155" spans="1:13" x14ac:dyDescent="0.4">
      <c r="A155" t="str">
        <f>使用レシピ!C155</f>
        <v/>
      </c>
      <c r="B155" t="str">
        <f>IF(使用レシピ!F155="","",MATCH(使用レシピ!F155,使用レシピ!$E:$E,0)-1)</f>
        <v/>
      </c>
      <c r="C155" t="str">
        <f>IF(使用レシピ!G155="","",MATCH(使用レシピ!G155,使用レシピ!$E:$E,0)-1)</f>
        <v/>
      </c>
      <c r="D155" t="str">
        <f>IF(使用レシピ!H155="","",MATCH(使用レシピ!H155,使用レシピ!$E:$E,0)-1)</f>
        <v/>
      </c>
      <c r="E155" t="str">
        <f>IF(使用レシピ!I155="","",MATCH(使用レシピ!I155,使用レシピ!$E:$E,0)-1)</f>
        <v/>
      </c>
      <c r="F155" t="str">
        <f>IF(使用レシピ!J155="","",MATCH(使用レシピ!J155,使用レシピ!$E:$E,0)-1)</f>
        <v/>
      </c>
      <c r="G155" t="str">
        <f>使用レシピ!K155</f>
        <v/>
      </c>
      <c r="H155" t="str">
        <f>使用レシピ!L155</f>
        <v/>
      </c>
      <c r="I155" t="str">
        <f>使用レシピ!M155</f>
        <v/>
      </c>
      <c r="J155" t="str">
        <f>使用レシピ!N155</f>
        <v/>
      </c>
      <c r="K155" t="str">
        <f>使用レシピ!O155</f>
        <v/>
      </c>
      <c r="L155" t="str">
        <f>使用レシピ!P155</f>
        <v/>
      </c>
      <c r="M155" t="str">
        <f>使用レシピ!Q155</f>
        <v/>
      </c>
    </row>
    <row r="156" spans="1:13" x14ac:dyDescent="0.4">
      <c r="A156" t="str">
        <f>使用レシピ!C156</f>
        <v/>
      </c>
      <c r="B156" t="str">
        <f>IF(使用レシピ!F156="","",MATCH(使用レシピ!F156,使用レシピ!$E:$E,0)-1)</f>
        <v/>
      </c>
      <c r="C156" t="str">
        <f>IF(使用レシピ!G156="","",MATCH(使用レシピ!G156,使用レシピ!$E:$E,0)-1)</f>
        <v/>
      </c>
      <c r="D156" t="str">
        <f>IF(使用レシピ!H156="","",MATCH(使用レシピ!H156,使用レシピ!$E:$E,0)-1)</f>
        <v/>
      </c>
      <c r="E156" t="str">
        <f>IF(使用レシピ!I156="","",MATCH(使用レシピ!I156,使用レシピ!$E:$E,0)-1)</f>
        <v/>
      </c>
      <c r="F156" t="str">
        <f>IF(使用レシピ!J156="","",MATCH(使用レシピ!J156,使用レシピ!$E:$E,0)-1)</f>
        <v/>
      </c>
      <c r="G156" t="str">
        <f>使用レシピ!K156</f>
        <v/>
      </c>
      <c r="H156" t="str">
        <f>使用レシピ!L156</f>
        <v/>
      </c>
      <c r="I156" t="str">
        <f>使用レシピ!M156</f>
        <v/>
      </c>
      <c r="J156" t="str">
        <f>使用レシピ!N156</f>
        <v/>
      </c>
      <c r="K156" t="str">
        <f>使用レシピ!O156</f>
        <v/>
      </c>
      <c r="L156" t="str">
        <f>使用レシピ!P156</f>
        <v/>
      </c>
      <c r="M156" t="str">
        <f>使用レシピ!Q156</f>
        <v/>
      </c>
    </row>
    <row r="157" spans="1:13" x14ac:dyDescent="0.4">
      <c r="A157" t="str">
        <f>使用レシピ!C157</f>
        <v/>
      </c>
      <c r="B157" t="str">
        <f>IF(使用レシピ!F157="","",MATCH(使用レシピ!F157,使用レシピ!$E:$E,0)-1)</f>
        <v/>
      </c>
      <c r="C157" t="str">
        <f>IF(使用レシピ!G157="","",MATCH(使用レシピ!G157,使用レシピ!$E:$E,0)-1)</f>
        <v/>
      </c>
      <c r="D157" t="str">
        <f>IF(使用レシピ!H157="","",MATCH(使用レシピ!H157,使用レシピ!$E:$E,0)-1)</f>
        <v/>
      </c>
      <c r="E157" t="str">
        <f>IF(使用レシピ!I157="","",MATCH(使用レシピ!I157,使用レシピ!$E:$E,0)-1)</f>
        <v/>
      </c>
      <c r="F157" t="str">
        <f>IF(使用レシピ!J157="","",MATCH(使用レシピ!J157,使用レシピ!$E:$E,0)-1)</f>
        <v/>
      </c>
      <c r="G157" t="str">
        <f>使用レシピ!K157</f>
        <v/>
      </c>
      <c r="H157" t="str">
        <f>使用レシピ!L157</f>
        <v/>
      </c>
      <c r="I157" t="str">
        <f>使用レシピ!M157</f>
        <v/>
      </c>
      <c r="J157" t="str">
        <f>使用レシピ!N157</f>
        <v/>
      </c>
      <c r="K157" t="str">
        <f>使用レシピ!O157</f>
        <v/>
      </c>
      <c r="L157" t="str">
        <f>使用レシピ!P157</f>
        <v/>
      </c>
      <c r="M157" t="str">
        <f>使用レシピ!Q157</f>
        <v/>
      </c>
    </row>
    <row r="158" spans="1:13" x14ac:dyDescent="0.4">
      <c r="A158" t="str">
        <f>使用レシピ!C158</f>
        <v/>
      </c>
      <c r="B158" t="str">
        <f>IF(使用レシピ!F158="","",MATCH(使用レシピ!F158,使用レシピ!$E:$E,0)-1)</f>
        <v/>
      </c>
      <c r="C158" t="str">
        <f>IF(使用レシピ!G158="","",MATCH(使用レシピ!G158,使用レシピ!$E:$E,0)-1)</f>
        <v/>
      </c>
      <c r="D158" t="str">
        <f>IF(使用レシピ!H158="","",MATCH(使用レシピ!H158,使用レシピ!$E:$E,0)-1)</f>
        <v/>
      </c>
      <c r="E158" t="str">
        <f>IF(使用レシピ!I158="","",MATCH(使用レシピ!I158,使用レシピ!$E:$E,0)-1)</f>
        <v/>
      </c>
      <c r="F158" t="str">
        <f>IF(使用レシピ!J158="","",MATCH(使用レシピ!J158,使用レシピ!$E:$E,0)-1)</f>
        <v/>
      </c>
      <c r="G158" t="str">
        <f>使用レシピ!K158</f>
        <v/>
      </c>
      <c r="H158" t="str">
        <f>使用レシピ!L158</f>
        <v/>
      </c>
      <c r="I158" t="str">
        <f>使用レシピ!M158</f>
        <v/>
      </c>
      <c r="J158" t="str">
        <f>使用レシピ!N158</f>
        <v/>
      </c>
      <c r="K158" t="str">
        <f>使用レシピ!O158</f>
        <v/>
      </c>
      <c r="L158" t="str">
        <f>使用レシピ!P158</f>
        <v/>
      </c>
      <c r="M158" t="str">
        <f>使用レシピ!Q158</f>
        <v/>
      </c>
    </row>
    <row r="159" spans="1:13" x14ac:dyDescent="0.4">
      <c r="A159" t="str">
        <f>使用レシピ!C159</f>
        <v/>
      </c>
      <c r="B159" t="str">
        <f>IF(使用レシピ!F159="","",MATCH(使用レシピ!F159,使用レシピ!$E:$E,0)-1)</f>
        <v/>
      </c>
      <c r="C159" t="str">
        <f>IF(使用レシピ!G159="","",MATCH(使用レシピ!G159,使用レシピ!$E:$E,0)-1)</f>
        <v/>
      </c>
      <c r="D159" t="str">
        <f>IF(使用レシピ!H159="","",MATCH(使用レシピ!H159,使用レシピ!$E:$E,0)-1)</f>
        <v/>
      </c>
      <c r="E159" t="str">
        <f>IF(使用レシピ!I159="","",MATCH(使用レシピ!I159,使用レシピ!$E:$E,0)-1)</f>
        <v/>
      </c>
      <c r="F159" t="str">
        <f>IF(使用レシピ!J159="","",MATCH(使用レシピ!J159,使用レシピ!$E:$E,0)-1)</f>
        <v/>
      </c>
      <c r="G159" t="str">
        <f>使用レシピ!K159</f>
        <v/>
      </c>
      <c r="H159" t="str">
        <f>使用レシピ!L159</f>
        <v/>
      </c>
      <c r="I159" t="str">
        <f>使用レシピ!M159</f>
        <v/>
      </c>
      <c r="J159" t="str">
        <f>使用レシピ!N159</f>
        <v/>
      </c>
      <c r="K159" t="str">
        <f>使用レシピ!O159</f>
        <v/>
      </c>
      <c r="L159" t="str">
        <f>使用レシピ!P159</f>
        <v/>
      </c>
      <c r="M159" t="str">
        <f>使用レシピ!Q159</f>
        <v/>
      </c>
    </row>
    <row r="160" spans="1:13" x14ac:dyDescent="0.4">
      <c r="A160" t="str">
        <f>使用レシピ!C160</f>
        <v/>
      </c>
      <c r="B160" t="str">
        <f>IF(使用レシピ!F160="","",MATCH(使用レシピ!F160,使用レシピ!$E:$E,0)-1)</f>
        <v/>
      </c>
      <c r="C160" t="str">
        <f>IF(使用レシピ!G160="","",MATCH(使用レシピ!G160,使用レシピ!$E:$E,0)-1)</f>
        <v/>
      </c>
      <c r="D160" t="str">
        <f>IF(使用レシピ!H160="","",MATCH(使用レシピ!H160,使用レシピ!$E:$E,0)-1)</f>
        <v/>
      </c>
      <c r="E160" t="str">
        <f>IF(使用レシピ!I160="","",MATCH(使用レシピ!I160,使用レシピ!$E:$E,0)-1)</f>
        <v/>
      </c>
      <c r="F160" t="str">
        <f>IF(使用レシピ!J160="","",MATCH(使用レシピ!J160,使用レシピ!$E:$E,0)-1)</f>
        <v/>
      </c>
      <c r="G160" t="str">
        <f>使用レシピ!K160</f>
        <v/>
      </c>
      <c r="H160" t="str">
        <f>使用レシピ!L160</f>
        <v/>
      </c>
      <c r="I160" t="str">
        <f>使用レシピ!M160</f>
        <v/>
      </c>
      <c r="J160" t="str">
        <f>使用レシピ!N160</f>
        <v/>
      </c>
      <c r="K160" t="str">
        <f>使用レシピ!O160</f>
        <v/>
      </c>
      <c r="L160" t="str">
        <f>使用レシピ!P160</f>
        <v/>
      </c>
      <c r="M160" t="str">
        <f>使用レシピ!Q160</f>
        <v/>
      </c>
    </row>
    <row r="161" spans="1:13" x14ac:dyDescent="0.4">
      <c r="A161" t="str">
        <f>使用レシピ!C161</f>
        <v/>
      </c>
      <c r="B161" t="str">
        <f>IF(使用レシピ!F161="","",MATCH(使用レシピ!F161,使用レシピ!$E:$E,0)-1)</f>
        <v/>
      </c>
      <c r="C161" t="str">
        <f>IF(使用レシピ!G161="","",MATCH(使用レシピ!G161,使用レシピ!$E:$E,0)-1)</f>
        <v/>
      </c>
      <c r="D161" t="str">
        <f>IF(使用レシピ!H161="","",MATCH(使用レシピ!H161,使用レシピ!$E:$E,0)-1)</f>
        <v/>
      </c>
      <c r="E161" t="str">
        <f>IF(使用レシピ!I161="","",MATCH(使用レシピ!I161,使用レシピ!$E:$E,0)-1)</f>
        <v/>
      </c>
      <c r="F161" t="str">
        <f>IF(使用レシピ!J161="","",MATCH(使用レシピ!J161,使用レシピ!$E:$E,0)-1)</f>
        <v/>
      </c>
      <c r="G161" t="str">
        <f>使用レシピ!K161</f>
        <v/>
      </c>
      <c r="H161" t="str">
        <f>使用レシピ!L161</f>
        <v/>
      </c>
      <c r="I161" t="str">
        <f>使用レシピ!M161</f>
        <v/>
      </c>
      <c r="J161" t="str">
        <f>使用レシピ!N161</f>
        <v/>
      </c>
      <c r="K161" t="str">
        <f>使用レシピ!O161</f>
        <v/>
      </c>
      <c r="L161" t="str">
        <f>使用レシピ!P161</f>
        <v/>
      </c>
      <c r="M161" t="str">
        <f>使用レシピ!Q161</f>
        <v/>
      </c>
    </row>
    <row r="162" spans="1:13" x14ac:dyDescent="0.4">
      <c r="A162" t="str">
        <f>使用レシピ!C162</f>
        <v/>
      </c>
      <c r="B162" t="str">
        <f>IF(使用レシピ!F162="","",MATCH(使用レシピ!F162,使用レシピ!$E:$E,0)-1)</f>
        <v/>
      </c>
      <c r="C162" t="str">
        <f>IF(使用レシピ!G162="","",MATCH(使用レシピ!G162,使用レシピ!$E:$E,0)-1)</f>
        <v/>
      </c>
      <c r="D162" t="str">
        <f>IF(使用レシピ!H162="","",MATCH(使用レシピ!H162,使用レシピ!$E:$E,0)-1)</f>
        <v/>
      </c>
      <c r="E162" t="str">
        <f>IF(使用レシピ!I162="","",MATCH(使用レシピ!I162,使用レシピ!$E:$E,0)-1)</f>
        <v/>
      </c>
      <c r="F162" t="str">
        <f>IF(使用レシピ!J162="","",MATCH(使用レシピ!J162,使用レシピ!$E:$E,0)-1)</f>
        <v/>
      </c>
      <c r="G162" t="str">
        <f>使用レシピ!K162</f>
        <v/>
      </c>
      <c r="H162" t="str">
        <f>使用レシピ!L162</f>
        <v/>
      </c>
      <c r="I162" t="str">
        <f>使用レシピ!M162</f>
        <v/>
      </c>
      <c r="J162" t="str">
        <f>使用レシピ!N162</f>
        <v/>
      </c>
      <c r="K162" t="str">
        <f>使用レシピ!O162</f>
        <v/>
      </c>
      <c r="L162" t="str">
        <f>使用レシピ!P162</f>
        <v/>
      </c>
      <c r="M162" t="str">
        <f>使用レシピ!Q162</f>
        <v/>
      </c>
    </row>
    <row r="163" spans="1:13" x14ac:dyDescent="0.4">
      <c r="A163" t="str">
        <f>使用レシピ!C163</f>
        <v/>
      </c>
      <c r="B163" t="str">
        <f>IF(使用レシピ!F163="","",MATCH(使用レシピ!F163,使用レシピ!$E:$E,0)-1)</f>
        <v/>
      </c>
      <c r="C163" t="str">
        <f>IF(使用レシピ!G163="","",MATCH(使用レシピ!G163,使用レシピ!$E:$E,0)-1)</f>
        <v/>
      </c>
      <c r="D163" t="str">
        <f>IF(使用レシピ!H163="","",MATCH(使用レシピ!H163,使用レシピ!$E:$E,0)-1)</f>
        <v/>
      </c>
      <c r="E163" t="str">
        <f>IF(使用レシピ!I163="","",MATCH(使用レシピ!I163,使用レシピ!$E:$E,0)-1)</f>
        <v/>
      </c>
      <c r="F163" t="str">
        <f>IF(使用レシピ!J163="","",MATCH(使用レシピ!J163,使用レシピ!$E:$E,0)-1)</f>
        <v/>
      </c>
      <c r="G163" t="str">
        <f>使用レシピ!K163</f>
        <v/>
      </c>
      <c r="H163" t="str">
        <f>使用レシピ!L163</f>
        <v/>
      </c>
      <c r="I163" t="str">
        <f>使用レシピ!M163</f>
        <v/>
      </c>
      <c r="J163" t="str">
        <f>使用レシピ!N163</f>
        <v/>
      </c>
      <c r="K163" t="str">
        <f>使用レシピ!O163</f>
        <v/>
      </c>
      <c r="L163" t="str">
        <f>使用レシピ!P163</f>
        <v/>
      </c>
      <c r="M163" t="str">
        <f>使用レシピ!Q163</f>
        <v/>
      </c>
    </row>
    <row r="164" spans="1:13" x14ac:dyDescent="0.4">
      <c r="A164" t="str">
        <f>使用レシピ!C164</f>
        <v/>
      </c>
      <c r="B164" t="str">
        <f>IF(使用レシピ!F164="","",MATCH(使用レシピ!F164,使用レシピ!$E:$E,0)-1)</f>
        <v/>
      </c>
      <c r="C164" t="str">
        <f>IF(使用レシピ!G164="","",MATCH(使用レシピ!G164,使用レシピ!$E:$E,0)-1)</f>
        <v/>
      </c>
      <c r="D164" t="str">
        <f>IF(使用レシピ!H164="","",MATCH(使用レシピ!H164,使用レシピ!$E:$E,0)-1)</f>
        <v/>
      </c>
      <c r="E164" t="str">
        <f>IF(使用レシピ!I164="","",MATCH(使用レシピ!I164,使用レシピ!$E:$E,0)-1)</f>
        <v/>
      </c>
      <c r="F164" t="str">
        <f>IF(使用レシピ!J164="","",MATCH(使用レシピ!J164,使用レシピ!$E:$E,0)-1)</f>
        <v/>
      </c>
      <c r="G164" t="str">
        <f>使用レシピ!K164</f>
        <v/>
      </c>
      <c r="H164" t="str">
        <f>使用レシピ!L164</f>
        <v/>
      </c>
      <c r="I164" t="str">
        <f>使用レシピ!M164</f>
        <v/>
      </c>
      <c r="J164" t="str">
        <f>使用レシピ!N164</f>
        <v/>
      </c>
      <c r="K164" t="str">
        <f>使用レシピ!O164</f>
        <v/>
      </c>
      <c r="L164" t="str">
        <f>使用レシピ!P164</f>
        <v/>
      </c>
      <c r="M164" t="str">
        <f>使用レシピ!Q164</f>
        <v/>
      </c>
    </row>
    <row r="165" spans="1:13" x14ac:dyDescent="0.4">
      <c r="A165" t="str">
        <f>使用レシピ!C165</f>
        <v/>
      </c>
      <c r="B165" t="str">
        <f>IF(使用レシピ!F165="","",MATCH(使用レシピ!F165,使用レシピ!$E:$E,0)-1)</f>
        <v/>
      </c>
      <c r="C165" t="str">
        <f>IF(使用レシピ!G165="","",MATCH(使用レシピ!G165,使用レシピ!$E:$E,0)-1)</f>
        <v/>
      </c>
      <c r="D165" t="str">
        <f>IF(使用レシピ!H165="","",MATCH(使用レシピ!H165,使用レシピ!$E:$E,0)-1)</f>
        <v/>
      </c>
      <c r="E165" t="str">
        <f>IF(使用レシピ!I165="","",MATCH(使用レシピ!I165,使用レシピ!$E:$E,0)-1)</f>
        <v/>
      </c>
      <c r="F165" t="str">
        <f>IF(使用レシピ!J165="","",MATCH(使用レシピ!J165,使用レシピ!$E:$E,0)-1)</f>
        <v/>
      </c>
      <c r="G165" t="str">
        <f>使用レシピ!K165</f>
        <v/>
      </c>
      <c r="H165" t="str">
        <f>使用レシピ!L165</f>
        <v/>
      </c>
      <c r="I165" t="str">
        <f>使用レシピ!M165</f>
        <v/>
      </c>
      <c r="J165" t="str">
        <f>使用レシピ!N165</f>
        <v/>
      </c>
      <c r="K165" t="str">
        <f>使用レシピ!O165</f>
        <v/>
      </c>
      <c r="L165" t="str">
        <f>使用レシピ!P165</f>
        <v/>
      </c>
      <c r="M165" t="str">
        <f>使用レシピ!Q165</f>
        <v/>
      </c>
    </row>
    <row r="166" spans="1:13" x14ac:dyDescent="0.4">
      <c r="A166" t="str">
        <f>使用レシピ!C166</f>
        <v/>
      </c>
      <c r="B166" t="str">
        <f>IF(使用レシピ!F166="","",MATCH(使用レシピ!F166,使用レシピ!$E:$E,0)-1)</f>
        <v/>
      </c>
      <c r="C166" t="str">
        <f>IF(使用レシピ!G166="","",MATCH(使用レシピ!G166,使用レシピ!$E:$E,0)-1)</f>
        <v/>
      </c>
      <c r="D166" t="str">
        <f>IF(使用レシピ!H166="","",MATCH(使用レシピ!H166,使用レシピ!$E:$E,0)-1)</f>
        <v/>
      </c>
      <c r="E166" t="str">
        <f>IF(使用レシピ!I166="","",MATCH(使用レシピ!I166,使用レシピ!$E:$E,0)-1)</f>
        <v/>
      </c>
      <c r="F166" t="str">
        <f>IF(使用レシピ!J166="","",MATCH(使用レシピ!J166,使用レシピ!$E:$E,0)-1)</f>
        <v/>
      </c>
      <c r="G166" t="str">
        <f>使用レシピ!K166</f>
        <v/>
      </c>
      <c r="H166" t="str">
        <f>使用レシピ!L166</f>
        <v/>
      </c>
      <c r="I166" t="str">
        <f>使用レシピ!M166</f>
        <v/>
      </c>
      <c r="J166" t="str">
        <f>使用レシピ!N166</f>
        <v/>
      </c>
      <c r="K166" t="str">
        <f>使用レシピ!O166</f>
        <v/>
      </c>
      <c r="L166" t="str">
        <f>使用レシピ!P166</f>
        <v/>
      </c>
      <c r="M166" t="str">
        <f>使用レシピ!Q166</f>
        <v/>
      </c>
    </row>
    <row r="167" spans="1:13" x14ac:dyDescent="0.4">
      <c r="A167" t="str">
        <f>使用レシピ!C167</f>
        <v/>
      </c>
      <c r="B167" t="str">
        <f>IF(使用レシピ!F167="","",MATCH(使用レシピ!F167,使用レシピ!$E:$E,0)-1)</f>
        <v/>
      </c>
      <c r="C167" t="str">
        <f>IF(使用レシピ!G167="","",MATCH(使用レシピ!G167,使用レシピ!$E:$E,0)-1)</f>
        <v/>
      </c>
      <c r="D167" t="str">
        <f>IF(使用レシピ!H167="","",MATCH(使用レシピ!H167,使用レシピ!$E:$E,0)-1)</f>
        <v/>
      </c>
      <c r="E167" t="str">
        <f>IF(使用レシピ!I167="","",MATCH(使用レシピ!I167,使用レシピ!$E:$E,0)-1)</f>
        <v/>
      </c>
      <c r="F167" t="str">
        <f>IF(使用レシピ!J167="","",MATCH(使用レシピ!J167,使用レシピ!$E:$E,0)-1)</f>
        <v/>
      </c>
      <c r="G167" t="str">
        <f>使用レシピ!K167</f>
        <v/>
      </c>
      <c r="H167" t="str">
        <f>使用レシピ!L167</f>
        <v/>
      </c>
      <c r="I167" t="str">
        <f>使用レシピ!M167</f>
        <v/>
      </c>
      <c r="J167" t="str">
        <f>使用レシピ!N167</f>
        <v/>
      </c>
      <c r="K167" t="str">
        <f>使用レシピ!O167</f>
        <v/>
      </c>
      <c r="L167" t="str">
        <f>使用レシピ!P167</f>
        <v/>
      </c>
      <c r="M167" t="str">
        <f>使用レシピ!Q167</f>
        <v/>
      </c>
    </row>
    <row r="168" spans="1:13" x14ac:dyDescent="0.4">
      <c r="A168" t="str">
        <f>使用レシピ!C168</f>
        <v/>
      </c>
      <c r="B168" t="str">
        <f>IF(使用レシピ!F168="","",MATCH(使用レシピ!F168,使用レシピ!$E:$E,0)-1)</f>
        <v/>
      </c>
      <c r="C168" t="str">
        <f>IF(使用レシピ!G168="","",MATCH(使用レシピ!G168,使用レシピ!$E:$E,0)-1)</f>
        <v/>
      </c>
      <c r="D168" t="str">
        <f>IF(使用レシピ!H168="","",MATCH(使用レシピ!H168,使用レシピ!$E:$E,0)-1)</f>
        <v/>
      </c>
      <c r="E168" t="str">
        <f>IF(使用レシピ!I168="","",MATCH(使用レシピ!I168,使用レシピ!$E:$E,0)-1)</f>
        <v/>
      </c>
      <c r="F168" t="str">
        <f>IF(使用レシピ!J168="","",MATCH(使用レシピ!J168,使用レシピ!$E:$E,0)-1)</f>
        <v/>
      </c>
      <c r="G168" t="str">
        <f>使用レシピ!K168</f>
        <v/>
      </c>
      <c r="H168" t="str">
        <f>使用レシピ!L168</f>
        <v/>
      </c>
      <c r="I168" t="str">
        <f>使用レシピ!M168</f>
        <v/>
      </c>
      <c r="J168" t="str">
        <f>使用レシピ!N168</f>
        <v/>
      </c>
      <c r="K168" t="str">
        <f>使用レシピ!O168</f>
        <v/>
      </c>
      <c r="L168" t="str">
        <f>使用レシピ!P168</f>
        <v/>
      </c>
      <c r="M168" t="str">
        <f>使用レシピ!Q168</f>
        <v/>
      </c>
    </row>
    <row r="169" spans="1:13" x14ac:dyDescent="0.4">
      <c r="A169" t="str">
        <f>使用レシピ!C169</f>
        <v/>
      </c>
      <c r="B169" t="str">
        <f>IF(使用レシピ!F169="","",MATCH(使用レシピ!F169,使用レシピ!$E:$E,0)-1)</f>
        <v/>
      </c>
      <c r="C169" t="str">
        <f>IF(使用レシピ!G169="","",MATCH(使用レシピ!G169,使用レシピ!$E:$E,0)-1)</f>
        <v/>
      </c>
      <c r="D169" t="str">
        <f>IF(使用レシピ!H169="","",MATCH(使用レシピ!H169,使用レシピ!$E:$E,0)-1)</f>
        <v/>
      </c>
      <c r="E169" t="str">
        <f>IF(使用レシピ!I169="","",MATCH(使用レシピ!I169,使用レシピ!$E:$E,0)-1)</f>
        <v/>
      </c>
      <c r="F169" t="str">
        <f>IF(使用レシピ!J169="","",MATCH(使用レシピ!J169,使用レシピ!$E:$E,0)-1)</f>
        <v/>
      </c>
      <c r="G169" t="str">
        <f>使用レシピ!K169</f>
        <v/>
      </c>
      <c r="H169" t="str">
        <f>使用レシピ!L169</f>
        <v/>
      </c>
      <c r="I169" t="str">
        <f>使用レシピ!M169</f>
        <v/>
      </c>
      <c r="J169" t="str">
        <f>使用レシピ!N169</f>
        <v/>
      </c>
      <c r="K169" t="str">
        <f>使用レシピ!O169</f>
        <v/>
      </c>
      <c r="L169" t="str">
        <f>使用レシピ!P169</f>
        <v/>
      </c>
      <c r="M169" t="str">
        <f>使用レシピ!Q169</f>
        <v/>
      </c>
    </row>
    <row r="170" spans="1:13" x14ac:dyDescent="0.4">
      <c r="A170" t="str">
        <f>使用レシピ!C170</f>
        <v/>
      </c>
      <c r="B170" t="str">
        <f>IF(使用レシピ!F170="","",MATCH(使用レシピ!F170,使用レシピ!$E:$E,0)-1)</f>
        <v/>
      </c>
      <c r="C170" t="str">
        <f>IF(使用レシピ!G170="","",MATCH(使用レシピ!G170,使用レシピ!$E:$E,0)-1)</f>
        <v/>
      </c>
      <c r="D170" t="str">
        <f>IF(使用レシピ!H170="","",MATCH(使用レシピ!H170,使用レシピ!$E:$E,0)-1)</f>
        <v/>
      </c>
      <c r="E170" t="str">
        <f>IF(使用レシピ!I170="","",MATCH(使用レシピ!I170,使用レシピ!$E:$E,0)-1)</f>
        <v/>
      </c>
      <c r="F170" t="str">
        <f>IF(使用レシピ!J170="","",MATCH(使用レシピ!J170,使用レシピ!$E:$E,0)-1)</f>
        <v/>
      </c>
      <c r="G170" t="str">
        <f>使用レシピ!K170</f>
        <v/>
      </c>
      <c r="H170" t="str">
        <f>使用レシピ!L170</f>
        <v/>
      </c>
      <c r="I170" t="str">
        <f>使用レシピ!M170</f>
        <v/>
      </c>
      <c r="J170" t="str">
        <f>使用レシピ!N170</f>
        <v/>
      </c>
      <c r="K170" t="str">
        <f>使用レシピ!O170</f>
        <v/>
      </c>
      <c r="L170" t="str">
        <f>使用レシピ!P170</f>
        <v/>
      </c>
      <c r="M170" t="str">
        <f>使用レシピ!Q170</f>
        <v/>
      </c>
    </row>
    <row r="171" spans="1:13" x14ac:dyDescent="0.4">
      <c r="A171" t="str">
        <f>使用レシピ!C171</f>
        <v/>
      </c>
      <c r="B171" t="str">
        <f>IF(使用レシピ!F171="","",MATCH(使用レシピ!F171,使用レシピ!$E:$E,0)-1)</f>
        <v/>
      </c>
      <c r="C171" t="str">
        <f>IF(使用レシピ!G171="","",MATCH(使用レシピ!G171,使用レシピ!$E:$E,0)-1)</f>
        <v/>
      </c>
      <c r="D171" t="str">
        <f>IF(使用レシピ!H171="","",MATCH(使用レシピ!H171,使用レシピ!$E:$E,0)-1)</f>
        <v/>
      </c>
      <c r="E171" t="str">
        <f>IF(使用レシピ!I171="","",MATCH(使用レシピ!I171,使用レシピ!$E:$E,0)-1)</f>
        <v/>
      </c>
      <c r="F171" t="str">
        <f>IF(使用レシピ!J171="","",MATCH(使用レシピ!J171,使用レシピ!$E:$E,0)-1)</f>
        <v/>
      </c>
      <c r="G171" t="str">
        <f>使用レシピ!K171</f>
        <v/>
      </c>
      <c r="H171" t="str">
        <f>使用レシピ!L171</f>
        <v/>
      </c>
      <c r="I171" t="str">
        <f>使用レシピ!M171</f>
        <v/>
      </c>
      <c r="J171" t="str">
        <f>使用レシピ!N171</f>
        <v/>
      </c>
      <c r="K171" t="str">
        <f>使用レシピ!O171</f>
        <v/>
      </c>
      <c r="L171" t="str">
        <f>使用レシピ!P171</f>
        <v/>
      </c>
      <c r="M171" t="str">
        <f>使用レシピ!Q171</f>
        <v/>
      </c>
    </row>
    <row r="172" spans="1:13" x14ac:dyDescent="0.4">
      <c r="A172" t="str">
        <f>使用レシピ!C172</f>
        <v/>
      </c>
      <c r="B172" t="str">
        <f>IF(使用レシピ!F172="","",MATCH(使用レシピ!F172,使用レシピ!$E:$E,0)-1)</f>
        <v/>
      </c>
      <c r="C172" t="str">
        <f>IF(使用レシピ!G172="","",MATCH(使用レシピ!G172,使用レシピ!$E:$E,0)-1)</f>
        <v/>
      </c>
      <c r="D172" t="str">
        <f>IF(使用レシピ!H172="","",MATCH(使用レシピ!H172,使用レシピ!$E:$E,0)-1)</f>
        <v/>
      </c>
      <c r="E172" t="str">
        <f>IF(使用レシピ!I172="","",MATCH(使用レシピ!I172,使用レシピ!$E:$E,0)-1)</f>
        <v/>
      </c>
      <c r="F172" t="str">
        <f>IF(使用レシピ!J172="","",MATCH(使用レシピ!J172,使用レシピ!$E:$E,0)-1)</f>
        <v/>
      </c>
      <c r="G172" t="str">
        <f>使用レシピ!K172</f>
        <v/>
      </c>
      <c r="H172" t="str">
        <f>使用レシピ!L172</f>
        <v/>
      </c>
      <c r="I172" t="str">
        <f>使用レシピ!M172</f>
        <v/>
      </c>
      <c r="J172" t="str">
        <f>使用レシピ!N172</f>
        <v/>
      </c>
      <c r="K172" t="str">
        <f>使用レシピ!O172</f>
        <v/>
      </c>
      <c r="L172" t="str">
        <f>使用レシピ!P172</f>
        <v/>
      </c>
      <c r="M172" t="str">
        <f>使用レシピ!Q172</f>
        <v/>
      </c>
    </row>
    <row r="173" spans="1:13" x14ac:dyDescent="0.4">
      <c r="A173" t="str">
        <f>使用レシピ!C173</f>
        <v/>
      </c>
      <c r="B173" t="str">
        <f>IF(使用レシピ!F173="","",MATCH(使用レシピ!F173,使用レシピ!$E:$E,0)-1)</f>
        <v/>
      </c>
      <c r="C173" t="str">
        <f>IF(使用レシピ!G173="","",MATCH(使用レシピ!G173,使用レシピ!$E:$E,0)-1)</f>
        <v/>
      </c>
      <c r="D173" t="str">
        <f>IF(使用レシピ!H173="","",MATCH(使用レシピ!H173,使用レシピ!$E:$E,0)-1)</f>
        <v/>
      </c>
      <c r="E173" t="str">
        <f>IF(使用レシピ!I173="","",MATCH(使用レシピ!I173,使用レシピ!$E:$E,0)-1)</f>
        <v/>
      </c>
      <c r="F173" t="str">
        <f>IF(使用レシピ!J173="","",MATCH(使用レシピ!J173,使用レシピ!$E:$E,0)-1)</f>
        <v/>
      </c>
      <c r="G173" t="str">
        <f>使用レシピ!K173</f>
        <v/>
      </c>
      <c r="H173" t="str">
        <f>使用レシピ!L173</f>
        <v/>
      </c>
      <c r="I173" t="str">
        <f>使用レシピ!M173</f>
        <v/>
      </c>
      <c r="J173" t="str">
        <f>使用レシピ!N173</f>
        <v/>
      </c>
      <c r="K173" t="str">
        <f>使用レシピ!O173</f>
        <v/>
      </c>
      <c r="L173" t="str">
        <f>使用レシピ!P173</f>
        <v/>
      </c>
      <c r="M173" t="str">
        <f>使用レシピ!Q173</f>
        <v/>
      </c>
    </row>
    <row r="174" spans="1:13" x14ac:dyDescent="0.4">
      <c r="A174" t="str">
        <f>使用レシピ!C174</f>
        <v/>
      </c>
      <c r="B174" t="str">
        <f>IF(使用レシピ!F174="","",MATCH(使用レシピ!F174,使用レシピ!$E:$E,0)-1)</f>
        <v/>
      </c>
      <c r="C174" t="str">
        <f>IF(使用レシピ!G174="","",MATCH(使用レシピ!G174,使用レシピ!$E:$E,0)-1)</f>
        <v/>
      </c>
      <c r="D174" t="str">
        <f>IF(使用レシピ!H174="","",MATCH(使用レシピ!H174,使用レシピ!$E:$E,0)-1)</f>
        <v/>
      </c>
      <c r="E174" t="str">
        <f>IF(使用レシピ!I174="","",MATCH(使用レシピ!I174,使用レシピ!$E:$E,0)-1)</f>
        <v/>
      </c>
      <c r="F174" t="str">
        <f>IF(使用レシピ!J174="","",MATCH(使用レシピ!J174,使用レシピ!$E:$E,0)-1)</f>
        <v/>
      </c>
      <c r="G174" t="str">
        <f>使用レシピ!K174</f>
        <v/>
      </c>
      <c r="H174" t="str">
        <f>使用レシピ!L174</f>
        <v/>
      </c>
      <c r="I174" t="str">
        <f>使用レシピ!M174</f>
        <v/>
      </c>
      <c r="J174" t="str">
        <f>使用レシピ!N174</f>
        <v/>
      </c>
      <c r="K174" t="str">
        <f>使用レシピ!O174</f>
        <v/>
      </c>
      <c r="L174" t="str">
        <f>使用レシピ!P174</f>
        <v/>
      </c>
      <c r="M174" t="str">
        <f>使用レシピ!Q174</f>
        <v/>
      </c>
    </row>
    <row r="175" spans="1:13" x14ac:dyDescent="0.4">
      <c r="A175" t="str">
        <f>使用レシピ!C175</f>
        <v/>
      </c>
      <c r="B175" t="str">
        <f>IF(使用レシピ!F175="","",MATCH(使用レシピ!F175,使用レシピ!$E:$E,0)-1)</f>
        <v/>
      </c>
      <c r="C175" t="str">
        <f>IF(使用レシピ!G175="","",MATCH(使用レシピ!G175,使用レシピ!$E:$E,0)-1)</f>
        <v/>
      </c>
      <c r="D175" t="str">
        <f>IF(使用レシピ!H175="","",MATCH(使用レシピ!H175,使用レシピ!$E:$E,0)-1)</f>
        <v/>
      </c>
      <c r="E175" t="str">
        <f>IF(使用レシピ!I175="","",MATCH(使用レシピ!I175,使用レシピ!$E:$E,0)-1)</f>
        <v/>
      </c>
      <c r="F175" t="str">
        <f>IF(使用レシピ!J175="","",MATCH(使用レシピ!J175,使用レシピ!$E:$E,0)-1)</f>
        <v/>
      </c>
      <c r="G175" t="str">
        <f>使用レシピ!K175</f>
        <v/>
      </c>
      <c r="H175" t="str">
        <f>使用レシピ!L175</f>
        <v/>
      </c>
      <c r="I175" t="str">
        <f>使用レシピ!M175</f>
        <v/>
      </c>
      <c r="J175" t="str">
        <f>使用レシピ!N175</f>
        <v/>
      </c>
      <c r="K175" t="str">
        <f>使用レシピ!O175</f>
        <v/>
      </c>
      <c r="L175" t="str">
        <f>使用レシピ!P175</f>
        <v/>
      </c>
      <c r="M175" t="str">
        <f>使用レシピ!Q175</f>
        <v/>
      </c>
    </row>
    <row r="176" spans="1:13" x14ac:dyDescent="0.4">
      <c r="A176" t="str">
        <f>使用レシピ!C176</f>
        <v/>
      </c>
      <c r="B176" t="str">
        <f>IF(使用レシピ!F176="","",MATCH(使用レシピ!F176,使用レシピ!$E:$E,0)-1)</f>
        <v/>
      </c>
      <c r="C176" t="str">
        <f>IF(使用レシピ!G176="","",MATCH(使用レシピ!G176,使用レシピ!$E:$E,0)-1)</f>
        <v/>
      </c>
      <c r="D176" t="str">
        <f>IF(使用レシピ!H176="","",MATCH(使用レシピ!H176,使用レシピ!$E:$E,0)-1)</f>
        <v/>
      </c>
      <c r="E176" t="str">
        <f>IF(使用レシピ!I176="","",MATCH(使用レシピ!I176,使用レシピ!$E:$E,0)-1)</f>
        <v/>
      </c>
      <c r="F176" t="str">
        <f>IF(使用レシピ!J176="","",MATCH(使用レシピ!J176,使用レシピ!$E:$E,0)-1)</f>
        <v/>
      </c>
      <c r="G176" t="str">
        <f>使用レシピ!K176</f>
        <v/>
      </c>
      <c r="H176" t="str">
        <f>使用レシピ!L176</f>
        <v/>
      </c>
      <c r="I176" t="str">
        <f>使用レシピ!M176</f>
        <v/>
      </c>
      <c r="J176" t="str">
        <f>使用レシピ!N176</f>
        <v/>
      </c>
      <c r="K176" t="str">
        <f>使用レシピ!O176</f>
        <v/>
      </c>
      <c r="L176" t="str">
        <f>使用レシピ!P176</f>
        <v/>
      </c>
      <c r="M176" t="str">
        <f>使用レシピ!Q176</f>
        <v/>
      </c>
    </row>
    <row r="177" spans="1:13" x14ac:dyDescent="0.4">
      <c r="A177" t="str">
        <f>使用レシピ!C177</f>
        <v/>
      </c>
      <c r="B177" t="str">
        <f>IF(使用レシピ!F177="","",MATCH(使用レシピ!F177,使用レシピ!$E:$E,0)-1)</f>
        <v/>
      </c>
      <c r="C177" t="str">
        <f>IF(使用レシピ!G177="","",MATCH(使用レシピ!G177,使用レシピ!$E:$E,0)-1)</f>
        <v/>
      </c>
      <c r="D177" t="str">
        <f>IF(使用レシピ!H177="","",MATCH(使用レシピ!H177,使用レシピ!$E:$E,0)-1)</f>
        <v/>
      </c>
      <c r="E177" t="str">
        <f>IF(使用レシピ!I177="","",MATCH(使用レシピ!I177,使用レシピ!$E:$E,0)-1)</f>
        <v/>
      </c>
      <c r="F177" t="str">
        <f>IF(使用レシピ!J177="","",MATCH(使用レシピ!J177,使用レシピ!$E:$E,0)-1)</f>
        <v/>
      </c>
      <c r="G177" t="str">
        <f>使用レシピ!K177</f>
        <v/>
      </c>
      <c r="H177" t="str">
        <f>使用レシピ!L177</f>
        <v/>
      </c>
      <c r="I177" t="str">
        <f>使用レシピ!M177</f>
        <v/>
      </c>
      <c r="J177" t="str">
        <f>使用レシピ!N177</f>
        <v/>
      </c>
      <c r="K177" t="str">
        <f>使用レシピ!O177</f>
        <v/>
      </c>
      <c r="L177" t="str">
        <f>使用レシピ!P177</f>
        <v/>
      </c>
      <c r="M177" t="str">
        <f>使用レシピ!Q177</f>
        <v/>
      </c>
    </row>
    <row r="178" spans="1:13" x14ac:dyDescent="0.4">
      <c r="A178" t="str">
        <f>使用レシピ!C178</f>
        <v/>
      </c>
      <c r="B178" t="str">
        <f>IF(使用レシピ!F178="","",MATCH(使用レシピ!F178,使用レシピ!$E:$E,0)-1)</f>
        <v/>
      </c>
      <c r="C178" t="str">
        <f>IF(使用レシピ!G178="","",MATCH(使用レシピ!G178,使用レシピ!$E:$E,0)-1)</f>
        <v/>
      </c>
      <c r="D178" t="str">
        <f>IF(使用レシピ!H178="","",MATCH(使用レシピ!H178,使用レシピ!$E:$E,0)-1)</f>
        <v/>
      </c>
      <c r="E178" t="str">
        <f>IF(使用レシピ!I178="","",MATCH(使用レシピ!I178,使用レシピ!$E:$E,0)-1)</f>
        <v/>
      </c>
      <c r="F178" t="str">
        <f>IF(使用レシピ!J178="","",MATCH(使用レシピ!J178,使用レシピ!$E:$E,0)-1)</f>
        <v/>
      </c>
      <c r="G178" t="str">
        <f>使用レシピ!K178</f>
        <v/>
      </c>
      <c r="H178" t="str">
        <f>使用レシピ!L178</f>
        <v/>
      </c>
      <c r="I178" t="str">
        <f>使用レシピ!M178</f>
        <v/>
      </c>
      <c r="J178" t="str">
        <f>使用レシピ!N178</f>
        <v/>
      </c>
      <c r="K178" t="str">
        <f>使用レシピ!O178</f>
        <v/>
      </c>
      <c r="L178" t="str">
        <f>使用レシピ!P178</f>
        <v/>
      </c>
      <c r="M178" t="str">
        <f>使用レシピ!Q178</f>
        <v/>
      </c>
    </row>
    <row r="179" spans="1:13" x14ac:dyDescent="0.4">
      <c r="A179" t="str">
        <f>使用レシピ!C179</f>
        <v/>
      </c>
      <c r="B179" t="str">
        <f>IF(使用レシピ!F179="","",MATCH(使用レシピ!F179,使用レシピ!$E:$E,0)-1)</f>
        <v/>
      </c>
      <c r="C179" t="str">
        <f>IF(使用レシピ!G179="","",MATCH(使用レシピ!G179,使用レシピ!$E:$E,0)-1)</f>
        <v/>
      </c>
      <c r="D179" t="str">
        <f>IF(使用レシピ!H179="","",MATCH(使用レシピ!H179,使用レシピ!$E:$E,0)-1)</f>
        <v/>
      </c>
      <c r="E179" t="str">
        <f>IF(使用レシピ!I179="","",MATCH(使用レシピ!I179,使用レシピ!$E:$E,0)-1)</f>
        <v/>
      </c>
      <c r="F179" t="str">
        <f>IF(使用レシピ!J179="","",MATCH(使用レシピ!J179,使用レシピ!$E:$E,0)-1)</f>
        <v/>
      </c>
      <c r="G179" t="str">
        <f>使用レシピ!K179</f>
        <v/>
      </c>
      <c r="H179" t="str">
        <f>使用レシピ!L179</f>
        <v/>
      </c>
      <c r="I179" t="str">
        <f>使用レシピ!M179</f>
        <v/>
      </c>
      <c r="J179" t="str">
        <f>使用レシピ!N179</f>
        <v/>
      </c>
      <c r="K179" t="str">
        <f>使用レシピ!O179</f>
        <v/>
      </c>
      <c r="L179" t="str">
        <f>使用レシピ!P179</f>
        <v/>
      </c>
      <c r="M179" t="str">
        <f>使用レシピ!Q179</f>
        <v/>
      </c>
    </row>
    <row r="180" spans="1:13" x14ac:dyDescent="0.4">
      <c r="A180" t="str">
        <f>使用レシピ!C180</f>
        <v/>
      </c>
      <c r="B180" t="str">
        <f>IF(使用レシピ!F180="","",MATCH(使用レシピ!F180,使用レシピ!$E:$E,0)-1)</f>
        <v/>
      </c>
      <c r="C180" t="str">
        <f>IF(使用レシピ!G180="","",MATCH(使用レシピ!G180,使用レシピ!$E:$E,0)-1)</f>
        <v/>
      </c>
      <c r="D180" t="str">
        <f>IF(使用レシピ!H180="","",MATCH(使用レシピ!H180,使用レシピ!$E:$E,0)-1)</f>
        <v/>
      </c>
      <c r="E180" t="str">
        <f>IF(使用レシピ!I180="","",MATCH(使用レシピ!I180,使用レシピ!$E:$E,0)-1)</f>
        <v/>
      </c>
      <c r="F180" t="str">
        <f>IF(使用レシピ!J180="","",MATCH(使用レシピ!J180,使用レシピ!$E:$E,0)-1)</f>
        <v/>
      </c>
      <c r="G180" t="str">
        <f>使用レシピ!K180</f>
        <v/>
      </c>
      <c r="H180" t="str">
        <f>使用レシピ!L180</f>
        <v/>
      </c>
      <c r="I180" t="str">
        <f>使用レシピ!M180</f>
        <v/>
      </c>
      <c r="J180" t="str">
        <f>使用レシピ!N180</f>
        <v/>
      </c>
      <c r="K180" t="str">
        <f>使用レシピ!O180</f>
        <v/>
      </c>
      <c r="L180" t="str">
        <f>使用レシピ!P180</f>
        <v/>
      </c>
      <c r="M180" t="str">
        <f>使用レシピ!Q180</f>
        <v/>
      </c>
    </row>
    <row r="181" spans="1:13" x14ac:dyDescent="0.4">
      <c r="A181" t="str">
        <f>使用レシピ!C181</f>
        <v/>
      </c>
      <c r="B181" t="str">
        <f>IF(使用レシピ!F181="","",MATCH(使用レシピ!F181,使用レシピ!$E:$E,0)-1)</f>
        <v/>
      </c>
      <c r="C181" t="str">
        <f>IF(使用レシピ!G181="","",MATCH(使用レシピ!G181,使用レシピ!$E:$E,0)-1)</f>
        <v/>
      </c>
      <c r="D181" t="str">
        <f>IF(使用レシピ!H181="","",MATCH(使用レシピ!H181,使用レシピ!$E:$E,0)-1)</f>
        <v/>
      </c>
      <c r="E181" t="str">
        <f>IF(使用レシピ!I181="","",MATCH(使用レシピ!I181,使用レシピ!$E:$E,0)-1)</f>
        <v/>
      </c>
      <c r="F181" t="str">
        <f>IF(使用レシピ!J181="","",MATCH(使用レシピ!J181,使用レシピ!$E:$E,0)-1)</f>
        <v/>
      </c>
      <c r="G181" t="str">
        <f>使用レシピ!K181</f>
        <v/>
      </c>
      <c r="H181" t="str">
        <f>使用レシピ!L181</f>
        <v/>
      </c>
      <c r="I181" t="str">
        <f>使用レシピ!M181</f>
        <v/>
      </c>
      <c r="J181" t="str">
        <f>使用レシピ!N181</f>
        <v/>
      </c>
      <c r="K181" t="str">
        <f>使用レシピ!O181</f>
        <v/>
      </c>
      <c r="L181" t="str">
        <f>使用レシピ!P181</f>
        <v/>
      </c>
      <c r="M181" t="str">
        <f>使用レシピ!Q181</f>
        <v/>
      </c>
    </row>
    <row r="182" spans="1:13" x14ac:dyDescent="0.4">
      <c r="A182" t="str">
        <f>使用レシピ!C182</f>
        <v/>
      </c>
      <c r="B182" t="str">
        <f>IF(使用レシピ!F182="","",MATCH(使用レシピ!F182,使用レシピ!$E:$E,0)-1)</f>
        <v/>
      </c>
      <c r="C182" t="str">
        <f>IF(使用レシピ!G182="","",MATCH(使用レシピ!G182,使用レシピ!$E:$E,0)-1)</f>
        <v/>
      </c>
      <c r="D182" t="str">
        <f>IF(使用レシピ!H182="","",MATCH(使用レシピ!H182,使用レシピ!$E:$E,0)-1)</f>
        <v/>
      </c>
      <c r="E182" t="str">
        <f>IF(使用レシピ!I182="","",MATCH(使用レシピ!I182,使用レシピ!$E:$E,0)-1)</f>
        <v/>
      </c>
      <c r="F182" t="str">
        <f>IF(使用レシピ!J182="","",MATCH(使用レシピ!J182,使用レシピ!$E:$E,0)-1)</f>
        <v/>
      </c>
      <c r="G182" t="str">
        <f>使用レシピ!K182</f>
        <v/>
      </c>
      <c r="H182" t="str">
        <f>使用レシピ!L182</f>
        <v/>
      </c>
      <c r="I182" t="str">
        <f>使用レシピ!M182</f>
        <v/>
      </c>
      <c r="J182" t="str">
        <f>使用レシピ!N182</f>
        <v/>
      </c>
      <c r="K182" t="str">
        <f>使用レシピ!O182</f>
        <v/>
      </c>
      <c r="L182" t="str">
        <f>使用レシピ!P182</f>
        <v/>
      </c>
      <c r="M182" t="str">
        <f>使用レシピ!Q182</f>
        <v/>
      </c>
    </row>
    <row r="183" spans="1:13" x14ac:dyDescent="0.4">
      <c r="A183" t="str">
        <f>使用レシピ!C183</f>
        <v/>
      </c>
      <c r="B183" t="str">
        <f>IF(使用レシピ!F183="","",MATCH(使用レシピ!F183,使用レシピ!$E:$E,0)-1)</f>
        <v/>
      </c>
      <c r="C183" t="str">
        <f>IF(使用レシピ!G183="","",MATCH(使用レシピ!G183,使用レシピ!$E:$E,0)-1)</f>
        <v/>
      </c>
      <c r="D183" t="str">
        <f>IF(使用レシピ!H183="","",MATCH(使用レシピ!H183,使用レシピ!$E:$E,0)-1)</f>
        <v/>
      </c>
      <c r="E183" t="str">
        <f>IF(使用レシピ!I183="","",MATCH(使用レシピ!I183,使用レシピ!$E:$E,0)-1)</f>
        <v/>
      </c>
      <c r="F183" t="str">
        <f>IF(使用レシピ!J183="","",MATCH(使用レシピ!J183,使用レシピ!$E:$E,0)-1)</f>
        <v/>
      </c>
      <c r="G183" t="str">
        <f>使用レシピ!K183</f>
        <v/>
      </c>
      <c r="H183" t="str">
        <f>使用レシピ!L183</f>
        <v/>
      </c>
      <c r="I183" t="str">
        <f>使用レシピ!M183</f>
        <v/>
      </c>
      <c r="J183" t="str">
        <f>使用レシピ!N183</f>
        <v/>
      </c>
      <c r="K183" t="str">
        <f>使用レシピ!O183</f>
        <v/>
      </c>
      <c r="L183" t="str">
        <f>使用レシピ!P183</f>
        <v/>
      </c>
      <c r="M183" t="str">
        <f>使用レシピ!Q183</f>
        <v/>
      </c>
    </row>
    <row r="184" spans="1:13" x14ac:dyDescent="0.4">
      <c r="A184" t="str">
        <f>使用レシピ!C184</f>
        <v/>
      </c>
      <c r="B184" t="str">
        <f>IF(使用レシピ!F184="","",MATCH(使用レシピ!F184,使用レシピ!$E:$E,0)-1)</f>
        <v/>
      </c>
      <c r="C184" t="str">
        <f>IF(使用レシピ!G184="","",MATCH(使用レシピ!G184,使用レシピ!$E:$E,0)-1)</f>
        <v/>
      </c>
      <c r="D184" t="str">
        <f>IF(使用レシピ!H184="","",MATCH(使用レシピ!H184,使用レシピ!$E:$E,0)-1)</f>
        <v/>
      </c>
      <c r="E184" t="str">
        <f>IF(使用レシピ!I184="","",MATCH(使用レシピ!I184,使用レシピ!$E:$E,0)-1)</f>
        <v/>
      </c>
      <c r="F184" t="str">
        <f>IF(使用レシピ!J184="","",MATCH(使用レシピ!J184,使用レシピ!$E:$E,0)-1)</f>
        <v/>
      </c>
      <c r="G184" t="str">
        <f>使用レシピ!K184</f>
        <v/>
      </c>
      <c r="H184" t="str">
        <f>使用レシピ!L184</f>
        <v/>
      </c>
      <c r="I184" t="str">
        <f>使用レシピ!M184</f>
        <v/>
      </c>
      <c r="J184" t="str">
        <f>使用レシピ!N184</f>
        <v/>
      </c>
      <c r="K184" t="str">
        <f>使用レシピ!O184</f>
        <v/>
      </c>
      <c r="L184" t="str">
        <f>使用レシピ!P184</f>
        <v/>
      </c>
      <c r="M184" t="str">
        <f>使用レシピ!Q184</f>
        <v/>
      </c>
    </row>
    <row r="185" spans="1:13" x14ac:dyDescent="0.4">
      <c r="A185" t="str">
        <f>使用レシピ!C185</f>
        <v/>
      </c>
      <c r="B185" t="str">
        <f>IF(使用レシピ!F185="","",MATCH(使用レシピ!F185,使用レシピ!$E:$E,0)-1)</f>
        <v/>
      </c>
      <c r="C185" t="str">
        <f>IF(使用レシピ!G185="","",MATCH(使用レシピ!G185,使用レシピ!$E:$E,0)-1)</f>
        <v/>
      </c>
      <c r="D185" t="str">
        <f>IF(使用レシピ!H185="","",MATCH(使用レシピ!H185,使用レシピ!$E:$E,0)-1)</f>
        <v/>
      </c>
      <c r="E185" t="str">
        <f>IF(使用レシピ!I185="","",MATCH(使用レシピ!I185,使用レシピ!$E:$E,0)-1)</f>
        <v/>
      </c>
      <c r="F185" t="str">
        <f>IF(使用レシピ!J185="","",MATCH(使用レシピ!J185,使用レシピ!$E:$E,0)-1)</f>
        <v/>
      </c>
      <c r="G185" t="str">
        <f>使用レシピ!K185</f>
        <v/>
      </c>
      <c r="H185" t="str">
        <f>使用レシピ!L185</f>
        <v/>
      </c>
      <c r="I185" t="str">
        <f>使用レシピ!M185</f>
        <v/>
      </c>
      <c r="J185" t="str">
        <f>使用レシピ!N185</f>
        <v/>
      </c>
      <c r="K185" t="str">
        <f>使用レシピ!O185</f>
        <v/>
      </c>
      <c r="L185" t="str">
        <f>使用レシピ!P185</f>
        <v/>
      </c>
      <c r="M185" t="str">
        <f>使用レシピ!Q185</f>
        <v/>
      </c>
    </row>
    <row r="186" spans="1:13" x14ac:dyDescent="0.4">
      <c r="A186" t="str">
        <f>使用レシピ!C186</f>
        <v/>
      </c>
      <c r="B186" t="str">
        <f>IF(使用レシピ!F186="","",MATCH(使用レシピ!F186,使用レシピ!$E:$E,0)-1)</f>
        <v/>
      </c>
      <c r="C186" t="str">
        <f>IF(使用レシピ!G186="","",MATCH(使用レシピ!G186,使用レシピ!$E:$E,0)-1)</f>
        <v/>
      </c>
      <c r="D186" t="str">
        <f>IF(使用レシピ!H186="","",MATCH(使用レシピ!H186,使用レシピ!$E:$E,0)-1)</f>
        <v/>
      </c>
      <c r="E186" t="str">
        <f>IF(使用レシピ!I186="","",MATCH(使用レシピ!I186,使用レシピ!$E:$E,0)-1)</f>
        <v/>
      </c>
      <c r="F186" t="str">
        <f>IF(使用レシピ!J186="","",MATCH(使用レシピ!J186,使用レシピ!$E:$E,0)-1)</f>
        <v/>
      </c>
      <c r="G186" t="str">
        <f>使用レシピ!K186</f>
        <v/>
      </c>
      <c r="H186" t="str">
        <f>使用レシピ!L186</f>
        <v/>
      </c>
      <c r="I186" t="str">
        <f>使用レシピ!M186</f>
        <v/>
      </c>
      <c r="J186" t="str">
        <f>使用レシピ!N186</f>
        <v/>
      </c>
      <c r="K186" t="str">
        <f>使用レシピ!O186</f>
        <v/>
      </c>
      <c r="L186" t="str">
        <f>使用レシピ!P186</f>
        <v/>
      </c>
      <c r="M186" t="str">
        <f>使用レシピ!Q186</f>
        <v/>
      </c>
    </row>
    <row r="187" spans="1:13" x14ac:dyDescent="0.4">
      <c r="A187" t="str">
        <f>使用レシピ!C187</f>
        <v/>
      </c>
      <c r="B187" t="str">
        <f>IF(使用レシピ!F187="","",MATCH(使用レシピ!F187,使用レシピ!$E:$E,0)-1)</f>
        <v/>
      </c>
      <c r="C187" t="str">
        <f>IF(使用レシピ!G187="","",MATCH(使用レシピ!G187,使用レシピ!$E:$E,0)-1)</f>
        <v/>
      </c>
      <c r="D187" t="str">
        <f>IF(使用レシピ!H187="","",MATCH(使用レシピ!H187,使用レシピ!$E:$E,0)-1)</f>
        <v/>
      </c>
      <c r="E187" t="str">
        <f>IF(使用レシピ!I187="","",MATCH(使用レシピ!I187,使用レシピ!$E:$E,0)-1)</f>
        <v/>
      </c>
      <c r="F187" t="str">
        <f>IF(使用レシピ!J187="","",MATCH(使用レシピ!J187,使用レシピ!$E:$E,0)-1)</f>
        <v/>
      </c>
      <c r="G187" t="str">
        <f>使用レシピ!K187</f>
        <v/>
      </c>
      <c r="H187" t="str">
        <f>使用レシピ!L187</f>
        <v/>
      </c>
      <c r="I187" t="str">
        <f>使用レシピ!M187</f>
        <v/>
      </c>
      <c r="J187" t="str">
        <f>使用レシピ!N187</f>
        <v/>
      </c>
      <c r="K187" t="str">
        <f>使用レシピ!O187</f>
        <v/>
      </c>
      <c r="L187" t="str">
        <f>使用レシピ!P187</f>
        <v/>
      </c>
      <c r="M187" t="str">
        <f>使用レシピ!Q187</f>
        <v/>
      </c>
    </row>
    <row r="188" spans="1:13" x14ac:dyDescent="0.4">
      <c r="A188" t="str">
        <f>使用レシピ!C188</f>
        <v/>
      </c>
      <c r="B188" t="str">
        <f>IF(使用レシピ!F188="","",MATCH(使用レシピ!F188,使用レシピ!$E:$E,0)-1)</f>
        <v/>
      </c>
      <c r="C188" t="str">
        <f>IF(使用レシピ!G188="","",MATCH(使用レシピ!G188,使用レシピ!$E:$E,0)-1)</f>
        <v/>
      </c>
      <c r="D188" t="str">
        <f>IF(使用レシピ!H188="","",MATCH(使用レシピ!H188,使用レシピ!$E:$E,0)-1)</f>
        <v/>
      </c>
      <c r="E188" t="str">
        <f>IF(使用レシピ!I188="","",MATCH(使用レシピ!I188,使用レシピ!$E:$E,0)-1)</f>
        <v/>
      </c>
      <c r="F188" t="str">
        <f>IF(使用レシピ!J188="","",MATCH(使用レシピ!J188,使用レシピ!$E:$E,0)-1)</f>
        <v/>
      </c>
      <c r="G188" t="str">
        <f>使用レシピ!K188</f>
        <v/>
      </c>
      <c r="H188" t="str">
        <f>使用レシピ!L188</f>
        <v/>
      </c>
      <c r="I188" t="str">
        <f>使用レシピ!M188</f>
        <v/>
      </c>
      <c r="J188" t="str">
        <f>使用レシピ!N188</f>
        <v/>
      </c>
      <c r="K188" t="str">
        <f>使用レシピ!O188</f>
        <v/>
      </c>
      <c r="L188" t="str">
        <f>使用レシピ!P188</f>
        <v/>
      </c>
      <c r="M188" t="str">
        <f>使用レシピ!Q188</f>
        <v/>
      </c>
    </row>
    <row r="189" spans="1:13" x14ac:dyDescent="0.4">
      <c r="A189" t="str">
        <f>使用レシピ!C189</f>
        <v/>
      </c>
      <c r="B189" t="str">
        <f>IF(使用レシピ!F189="","",MATCH(使用レシピ!F189,使用レシピ!$E:$E,0)-1)</f>
        <v/>
      </c>
      <c r="C189" t="str">
        <f>IF(使用レシピ!G189="","",MATCH(使用レシピ!G189,使用レシピ!$E:$E,0)-1)</f>
        <v/>
      </c>
      <c r="D189" t="str">
        <f>IF(使用レシピ!H189="","",MATCH(使用レシピ!H189,使用レシピ!$E:$E,0)-1)</f>
        <v/>
      </c>
      <c r="E189" t="str">
        <f>IF(使用レシピ!I189="","",MATCH(使用レシピ!I189,使用レシピ!$E:$E,0)-1)</f>
        <v/>
      </c>
      <c r="F189" t="str">
        <f>IF(使用レシピ!J189="","",MATCH(使用レシピ!J189,使用レシピ!$E:$E,0)-1)</f>
        <v/>
      </c>
      <c r="G189" t="str">
        <f>使用レシピ!K189</f>
        <v/>
      </c>
      <c r="H189" t="str">
        <f>使用レシピ!L189</f>
        <v/>
      </c>
      <c r="I189" t="str">
        <f>使用レシピ!M189</f>
        <v/>
      </c>
      <c r="J189" t="str">
        <f>使用レシピ!N189</f>
        <v/>
      </c>
      <c r="K189" t="str">
        <f>使用レシピ!O189</f>
        <v/>
      </c>
      <c r="L189" t="str">
        <f>使用レシピ!P189</f>
        <v/>
      </c>
      <c r="M189" t="str">
        <f>使用レシピ!Q189</f>
        <v/>
      </c>
    </row>
    <row r="190" spans="1:13" x14ac:dyDescent="0.4">
      <c r="A190" t="str">
        <f>使用レシピ!C190</f>
        <v/>
      </c>
      <c r="B190" t="str">
        <f>IF(使用レシピ!F190="","",MATCH(使用レシピ!F190,使用レシピ!$E:$E,0)-1)</f>
        <v/>
      </c>
      <c r="C190" t="str">
        <f>IF(使用レシピ!G190="","",MATCH(使用レシピ!G190,使用レシピ!$E:$E,0)-1)</f>
        <v/>
      </c>
      <c r="D190" t="str">
        <f>IF(使用レシピ!H190="","",MATCH(使用レシピ!H190,使用レシピ!$E:$E,0)-1)</f>
        <v/>
      </c>
      <c r="E190" t="str">
        <f>IF(使用レシピ!I190="","",MATCH(使用レシピ!I190,使用レシピ!$E:$E,0)-1)</f>
        <v/>
      </c>
      <c r="F190" t="str">
        <f>IF(使用レシピ!J190="","",MATCH(使用レシピ!J190,使用レシピ!$E:$E,0)-1)</f>
        <v/>
      </c>
      <c r="G190" t="str">
        <f>使用レシピ!K190</f>
        <v/>
      </c>
      <c r="H190" t="str">
        <f>使用レシピ!L190</f>
        <v/>
      </c>
      <c r="I190" t="str">
        <f>使用レシピ!M190</f>
        <v/>
      </c>
      <c r="J190" t="str">
        <f>使用レシピ!N190</f>
        <v/>
      </c>
      <c r="K190" t="str">
        <f>使用レシピ!O190</f>
        <v/>
      </c>
      <c r="L190" t="str">
        <f>使用レシピ!P190</f>
        <v/>
      </c>
      <c r="M190" t="str">
        <f>使用レシピ!Q190</f>
        <v/>
      </c>
    </row>
    <row r="191" spans="1:13" x14ac:dyDescent="0.4">
      <c r="A191" t="str">
        <f>使用レシピ!C191</f>
        <v/>
      </c>
      <c r="B191" t="str">
        <f>IF(使用レシピ!F191="","",MATCH(使用レシピ!F191,使用レシピ!$E:$E,0)-1)</f>
        <v/>
      </c>
      <c r="C191" t="str">
        <f>IF(使用レシピ!G191="","",MATCH(使用レシピ!G191,使用レシピ!$E:$E,0)-1)</f>
        <v/>
      </c>
      <c r="D191" t="str">
        <f>IF(使用レシピ!H191="","",MATCH(使用レシピ!H191,使用レシピ!$E:$E,0)-1)</f>
        <v/>
      </c>
      <c r="E191" t="str">
        <f>IF(使用レシピ!I191="","",MATCH(使用レシピ!I191,使用レシピ!$E:$E,0)-1)</f>
        <v/>
      </c>
      <c r="F191" t="str">
        <f>IF(使用レシピ!J191="","",MATCH(使用レシピ!J191,使用レシピ!$E:$E,0)-1)</f>
        <v/>
      </c>
      <c r="G191" t="str">
        <f>使用レシピ!K191</f>
        <v/>
      </c>
      <c r="H191" t="str">
        <f>使用レシピ!L191</f>
        <v/>
      </c>
      <c r="I191" t="str">
        <f>使用レシピ!M191</f>
        <v/>
      </c>
      <c r="J191" t="str">
        <f>使用レシピ!N191</f>
        <v/>
      </c>
      <c r="K191" t="str">
        <f>使用レシピ!O191</f>
        <v/>
      </c>
      <c r="L191" t="str">
        <f>使用レシピ!P191</f>
        <v/>
      </c>
      <c r="M191" t="str">
        <f>使用レシピ!Q191</f>
        <v/>
      </c>
    </row>
    <row r="192" spans="1:13" x14ac:dyDescent="0.4">
      <c r="A192" t="str">
        <f>使用レシピ!C192</f>
        <v/>
      </c>
      <c r="B192" t="str">
        <f>IF(使用レシピ!F192="","",MATCH(使用レシピ!F192,使用レシピ!$E:$E,0)-1)</f>
        <v/>
      </c>
      <c r="C192" t="str">
        <f>IF(使用レシピ!G192="","",MATCH(使用レシピ!G192,使用レシピ!$E:$E,0)-1)</f>
        <v/>
      </c>
      <c r="D192" t="str">
        <f>IF(使用レシピ!H192="","",MATCH(使用レシピ!H192,使用レシピ!$E:$E,0)-1)</f>
        <v/>
      </c>
      <c r="E192" t="str">
        <f>IF(使用レシピ!I192="","",MATCH(使用レシピ!I192,使用レシピ!$E:$E,0)-1)</f>
        <v/>
      </c>
      <c r="F192" t="str">
        <f>IF(使用レシピ!J192="","",MATCH(使用レシピ!J192,使用レシピ!$E:$E,0)-1)</f>
        <v/>
      </c>
      <c r="G192" t="str">
        <f>使用レシピ!K192</f>
        <v/>
      </c>
      <c r="H192" t="str">
        <f>使用レシピ!L192</f>
        <v/>
      </c>
      <c r="I192" t="str">
        <f>使用レシピ!M192</f>
        <v/>
      </c>
      <c r="J192" t="str">
        <f>使用レシピ!N192</f>
        <v/>
      </c>
      <c r="K192" t="str">
        <f>使用レシピ!O192</f>
        <v/>
      </c>
      <c r="L192" t="str">
        <f>使用レシピ!P192</f>
        <v/>
      </c>
      <c r="M192" t="str">
        <f>使用レシピ!Q192</f>
        <v/>
      </c>
    </row>
    <row r="193" spans="1:13" x14ac:dyDescent="0.4">
      <c r="A193" t="str">
        <f>使用レシピ!C193</f>
        <v/>
      </c>
      <c r="B193" t="str">
        <f>IF(使用レシピ!F193="","",MATCH(使用レシピ!F193,使用レシピ!$E:$E,0)-1)</f>
        <v/>
      </c>
      <c r="C193" t="str">
        <f>IF(使用レシピ!G193="","",MATCH(使用レシピ!G193,使用レシピ!$E:$E,0)-1)</f>
        <v/>
      </c>
      <c r="D193" t="str">
        <f>IF(使用レシピ!H193="","",MATCH(使用レシピ!H193,使用レシピ!$E:$E,0)-1)</f>
        <v/>
      </c>
      <c r="E193" t="str">
        <f>IF(使用レシピ!I193="","",MATCH(使用レシピ!I193,使用レシピ!$E:$E,0)-1)</f>
        <v/>
      </c>
      <c r="F193" t="str">
        <f>IF(使用レシピ!J193="","",MATCH(使用レシピ!J193,使用レシピ!$E:$E,0)-1)</f>
        <v/>
      </c>
      <c r="G193" t="str">
        <f>使用レシピ!K193</f>
        <v/>
      </c>
      <c r="H193" t="str">
        <f>使用レシピ!L193</f>
        <v/>
      </c>
      <c r="I193" t="str">
        <f>使用レシピ!M193</f>
        <v/>
      </c>
      <c r="J193" t="str">
        <f>使用レシピ!N193</f>
        <v/>
      </c>
      <c r="K193" t="str">
        <f>使用レシピ!O193</f>
        <v/>
      </c>
      <c r="L193" t="str">
        <f>使用レシピ!P193</f>
        <v/>
      </c>
      <c r="M193" t="str">
        <f>使用レシピ!Q193</f>
        <v/>
      </c>
    </row>
    <row r="194" spans="1:13" x14ac:dyDescent="0.4">
      <c r="A194" t="str">
        <f>使用レシピ!C194</f>
        <v/>
      </c>
      <c r="B194" t="str">
        <f>IF(使用レシピ!F194="","",MATCH(使用レシピ!F194,使用レシピ!$E:$E,0)-1)</f>
        <v/>
      </c>
      <c r="C194" t="str">
        <f>IF(使用レシピ!G194="","",MATCH(使用レシピ!G194,使用レシピ!$E:$E,0)-1)</f>
        <v/>
      </c>
      <c r="D194" t="str">
        <f>IF(使用レシピ!H194="","",MATCH(使用レシピ!H194,使用レシピ!$E:$E,0)-1)</f>
        <v/>
      </c>
      <c r="E194" t="str">
        <f>IF(使用レシピ!I194="","",MATCH(使用レシピ!I194,使用レシピ!$E:$E,0)-1)</f>
        <v/>
      </c>
      <c r="F194" t="str">
        <f>IF(使用レシピ!J194="","",MATCH(使用レシピ!J194,使用レシピ!$E:$E,0)-1)</f>
        <v/>
      </c>
      <c r="G194" t="str">
        <f>使用レシピ!K194</f>
        <v/>
      </c>
      <c r="H194" t="str">
        <f>使用レシピ!L194</f>
        <v/>
      </c>
      <c r="I194" t="str">
        <f>使用レシピ!M194</f>
        <v/>
      </c>
      <c r="J194" t="str">
        <f>使用レシピ!N194</f>
        <v/>
      </c>
      <c r="K194" t="str">
        <f>使用レシピ!O194</f>
        <v/>
      </c>
      <c r="L194" t="str">
        <f>使用レシピ!P194</f>
        <v/>
      </c>
      <c r="M194" t="str">
        <f>使用レシピ!Q194</f>
        <v/>
      </c>
    </row>
    <row r="195" spans="1:13" x14ac:dyDescent="0.4">
      <c r="A195" t="str">
        <f>使用レシピ!C195</f>
        <v/>
      </c>
      <c r="B195" t="str">
        <f>IF(使用レシピ!F195="","",MATCH(使用レシピ!F195,使用レシピ!$E:$E,0)-1)</f>
        <v/>
      </c>
      <c r="C195" t="str">
        <f>IF(使用レシピ!G195="","",MATCH(使用レシピ!G195,使用レシピ!$E:$E,0)-1)</f>
        <v/>
      </c>
      <c r="D195" t="str">
        <f>IF(使用レシピ!H195="","",MATCH(使用レシピ!H195,使用レシピ!$E:$E,0)-1)</f>
        <v/>
      </c>
      <c r="E195" t="str">
        <f>IF(使用レシピ!I195="","",MATCH(使用レシピ!I195,使用レシピ!$E:$E,0)-1)</f>
        <v/>
      </c>
      <c r="F195" t="str">
        <f>IF(使用レシピ!J195="","",MATCH(使用レシピ!J195,使用レシピ!$E:$E,0)-1)</f>
        <v/>
      </c>
      <c r="G195" t="str">
        <f>使用レシピ!K195</f>
        <v/>
      </c>
      <c r="H195" t="str">
        <f>使用レシピ!L195</f>
        <v/>
      </c>
      <c r="I195" t="str">
        <f>使用レシピ!M195</f>
        <v/>
      </c>
      <c r="J195" t="str">
        <f>使用レシピ!N195</f>
        <v/>
      </c>
      <c r="K195" t="str">
        <f>使用レシピ!O195</f>
        <v/>
      </c>
      <c r="L195" t="str">
        <f>使用レシピ!P195</f>
        <v/>
      </c>
      <c r="M195" t="str">
        <f>使用レシピ!Q195</f>
        <v/>
      </c>
    </row>
    <row r="196" spans="1:13" x14ac:dyDescent="0.4">
      <c r="A196" t="str">
        <f>使用レシピ!C196</f>
        <v/>
      </c>
      <c r="B196" t="str">
        <f>IF(使用レシピ!F196="","",MATCH(使用レシピ!F196,使用レシピ!$E:$E,0)-1)</f>
        <v/>
      </c>
      <c r="C196" t="str">
        <f>IF(使用レシピ!G196="","",MATCH(使用レシピ!G196,使用レシピ!$E:$E,0)-1)</f>
        <v/>
      </c>
      <c r="D196" t="str">
        <f>IF(使用レシピ!H196="","",MATCH(使用レシピ!H196,使用レシピ!$E:$E,0)-1)</f>
        <v/>
      </c>
      <c r="E196" t="str">
        <f>IF(使用レシピ!I196="","",MATCH(使用レシピ!I196,使用レシピ!$E:$E,0)-1)</f>
        <v/>
      </c>
      <c r="F196" t="str">
        <f>IF(使用レシピ!J196="","",MATCH(使用レシピ!J196,使用レシピ!$E:$E,0)-1)</f>
        <v/>
      </c>
      <c r="G196" t="str">
        <f>使用レシピ!K196</f>
        <v/>
      </c>
      <c r="H196" t="str">
        <f>使用レシピ!L196</f>
        <v/>
      </c>
      <c r="I196" t="str">
        <f>使用レシピ!M196</f>
        <v/>
      </c>
      <c r="J196" t="str">
        <f>使用レシピ!N196</f>
        <v/>
      </c>
      <c r="K196" t="str">
        <f>使用レシピ!O196</f>
        <v/>
      </c>
      <c r="L196" t="str">
        <f>使用レシピ!P196</f>
        <v/>
      </c>
      <c r="M196" t="str">
        <f>使用レシピ!Q196</f>
        <v/>
      </c>
    </row>
    <row r="197" spans="1:13" x14ac:dyDescent="0.4">
      <c r="A197" t="str">
        <f>使用レシピ!C197</f>
        <v/>
      </c>
      <c r="B197" t="str">
        <f>IF(使用レシピ!F197="","",MATCH(使用レシピ!F197,使用レシピ!$E:$E,0)-1)</f>
        <v/>
      </c>
      <c r="C197" t="str">
        <f>IF(使用レシピ!G197="","",MATCH(使用レシピ!G197,使用レシピ!$E:$E,0)-1)</f>
        <v/>
      </c>
      <c r="D197" t="str">
        <f>IF(使用レシピ!H197="","",MATCH(使用レシピ!H197,使用レシピ!$E:$E,0)-1)</f>
        <v/>
      </c>
      <c r="E197" t="str">
        <f>IF(使用レシピ!I197="","",MATCH(使用レシピ!I197,使用レシピ!$E:$E,0)-1)</f>
        <v/>
      </c>
      <c r="F197" t="str">
        <f>IF(使用レシピ!J197="","",MATCH(使用レシピ!J197,使用レシピ!$E:$E,0)-1)</f>
        <v/>
      </c>
      <c r="G197" t="str">
        <f>使用レシピ!K197</f>
        <v/>
      </c>
      <c r="H197" t="str">
        <f>使用レシピ!L197</f>
        <v/>
      </c>
      <c r="I197" t="str">
        <f>使用レシピ!M197</f>
        <v/>
      </c>
      <c r="J197" t="str">
        <f>使用レシピ!N197</f>
        <v/>
      </c>
      <c r="K197" t="str">
        <f>使用レシピ!O197</f>
        <v/>
      </c>
      <c r="L197" t="str">
        <f>使用レシピ!P197</f>
        <v/>
      </c>
      <c r="M197" t="str">
        <f>使用レシピ!Q197</f>
        <v/>
      </c>
    </row>
    <row r="198" spans="1:13" x14ac:dyDescent="0.4">
      <c r="A198" t="str">
        <f>使用レシピ!C198</f>
        <v/>
      </c>
      <c r="B198" t="str">
        <f>IF(使用レシピ!F198="","",MATCH(使用レシピ!F198,使用レシピ!$E:$E,0)-1)</f>
        <v/>
      </c>
      <c r="C198" t="str">
        <f>IF(使用レシピ!G198="","",MATCH(使用レシピ!G198,使用レシピ!$E:$E,0)-1)</f>
        <v/>
      </c>
      <c r="D198" t="str">
        <f>IF(使用レシピ!H198="","",MATCH(使用レシピ!H198,使用レシピ!$E:$E,0)-1)</f>
        <v/>
      </c>
      <c r="E198" t="str">
        <f>IF(使用レシピ!I198="","",MATCH(使用レシピ!I198,使用レシピ!$E:$E,0)-1)</f>
        <v/>
      </c>
      <c r="F198" t="str">
        <f>IF(使用レシピ!J198="","",MATCH(使用レシピ!J198,使用レシピ!$E:$E,0)-1)</f>
        <v/>
      </c>
      <c r="G198" t="str">
        <f>使用レシピ!K198</f>
        <v/>
      </c>
      <c r="H198" t="str">
        <f>使用レシピ!L198</f>
        <v/>
      </c>
      <c r="I198" t="str">
        <f>使用レシピ!M198</f>
        <v/>
      </c>
      <c r="J198" t="str">
        <f>使用レシピ!N198</f>
        <v/>
      </c>
      <c r="K198" t="str">
        <f>使用レシピ!O198</f>
        <v/>
      </c>
      <c r="L198" t="str">
        <f>使用レシピ!P198</f>
        <v/>
      </c>
      <c r="M198" t="str">
        <f>使用レシピ!Q198</f>
        <v/>
      </c>
    </row>
    <row r="199" spans="1:13" x14ac:dyDescent="0.4">
      <c r="A199" t="str">
        <f>使用レシピ!C199</f>
        <v/>
      </c>
      <c r="B199" t="str">
        <f>IF(使用レシピ!F199="","",MATCH(使用レシピ!F199,使用レシピ!$E:$E,0)-1)</f>
        <v/>
      </c>
      <c r="C199" t="str">
        <f>IF(使用レシピ!G199="","",MATCH(使用レシピ!G199,使用レシピ!$E:$E,0)-1)</f>
        <v/>
      </c>
      <c r="D199" t="str">
        <f>IF(使用レシピ!H199="","",MATCH(使用レシピ!H199,使用レシピ!$E:$E,0)-1)</f>
        <v/>
      </c>
      <c r="E199" t="str">
        <f>IF(使用レシピ!I199="","",MATCH(使用レシピ!I199,使用レシピ!$E:$E,0)-1)</f>
        <v/>
      </c>
      <c r="F199" t="str">
        <f>IF(使用レシピ!J199="","",MATCH(使用レシピ!J199,使用レシピ!$E:$E,0)-1)</f>
        <v/>
      </c>
      <c r="G199" t="str">
        <f>使用レシピ!K199</f>
        <v/>
      </c>
      <c r="H199" t="str">
        <f>使用レシピ!L199</f>
        <v/>
      </c>
      <c r="I199" t="str">
        <f>使用レシピ!M199</f>
        <v/>
      </c>
      <c r="J199" t="str">
        <f>使用レシピ!N199</f>
        <v/>
      </c>
      <c r="K199" t="str">
        <f>使用レシピ!O199</f>
        <v/>
      </c>
      <c r="L199" t="str">
        <f>使用レシピ!P199</f>
        <v/>
      </c>
      <c r="M199" t="str">
        <f>使用レシピ!Q199</f>
        <v/>
      </c>
    </row>
    <row r="200" spans="1:13" x14ac:dyDescent="0.4">
      <c r="A200" t="str">
        <f>使用レシピ!C200</f>
        <v/>
      </c>
      <c r="B200" t="str">
        <f>IF(使用レシピ!F200="","",MATCH(使用レシピ!F200,使用レシピ!$E:$E,0)-1)</f>
        <v/>
      </c>
      <c r="C200" t="str">
        <f>IF(使用レシピ!G200="","",MATCH(使用レシピ!G200,使用レシピ!$E:$E,0)-1)</f>
        <v/>
      </c>
      <c r="D200" t="str">
        <f>IF(使用レシピ!H200="","",MATCH(使用レシピ!H200,使用レシピ!$E:$E,0)-1)</f>
        <v/>
      </c>
      <c r="E200" t="str">
        <f>IF(使用レシピ!I200="","",MATCH(使用レシピ!I200,使用レシピ!$E:$E,0)-1)</f>
        <v/>
      </c>
      <c r="F200" t="str">
        <f>IF(使用レシピ!J200="","",MATCH(使用レシピ!J200,使用レシピ!$E:$E,0)-1)</f>
        <v/>
      </c>
      <c r="G200" t="str">
        <f>使用レシピ!K200</f>
        <v/>
      </c>
      <c r="H200" t="str">
        <f>使用レシピ!L200</f>
        <v/>
      </c>
      <c r="I200" t="str">
        <f>使用レシピ!M200</f>
        <v/>
      </c>
      <c r="J200" t="str">
        <f>使用レシピ!N200</f>
        <v/>
      </c>
      <c r="K200" t="str">
        <f>使用レシピ!O200</f>
        <v/>
      </c>
      <c r="L200" t="str">
        <f>使用レシピ!P200</f>
        <v/>
      </c>
      <c r="M200" t="str">
        <f>使用レシピ!Q200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400"/>
  <sheetViews>
    <sheetView workbookViewId="0">
      <pane ySplit="1" topLeftCell="A39" activePane="bottomLeft" state="frozen"/>
      <selection pane="bottomLeft" activeCell="H46" sqref="H46"/>
    </sheetView>
  </sheetViews>
  <sheetFormatPr defaultRowHeight="18.75" x14ac:dyDescent="0.4"/>
  <cols>
    <col min="1" max="1" width="7.375" style="21" bestFit="1" customWidth="1"/>
    <col min="2" max="2" width="4.875" style="21" customWidth="1"/>
    <col min="3" max="3" width="5" style="21" customWidth="1"/>
    <col min="4" max="4" width="30.125" style="15" customWidth="1"/>
    <col min="5" max="8" width="16.125" customWidth="1"/>
    <col min="9" max="9" width="16.125" style="14" customWidth="1"/>
    <col min="10" max="13" width="5.875" customWidth="1"/>
    <col min="14" max="14" width="6.375" style="14" customWidth="1"/>
    <col min="15" max="15" width="5.25" bestFit="1" customWidth="1"/>
    <col min="16" max="16" width="7.125" style="14" bestFit="1" customWidth="1"/>
  </cols>
  <sheetData>
    <row r="1" spans="1:16" s="1" customFormat="1" ht="27" customHeight="1" x14ac:dyDescent="0.4">
      <c r="A1" s="17" t="s">
        <v>21</v>
      </c>
      <c r="B1" s="17" t="s">
        <v>303</v>
      </c>
      <c r="C1" s="17" t="s">
        <v>20</v>
      </c>
      <c r="D1" s="18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7" t="s">
        <v>27</v>
      </c>
      <c r="J1" s="19" t="s">
        <v>86</v>
      </c>
      <c r="K1" s="19" t="s">
        <v>87</v>
      </c>
      <c r="L1" s="19" t="s">
        <v>88</v>
      </c>
      <c r="M1" s="19" t="s">
        <v>89</v>
      </c>
      <c r="N1" s="17" t="s">
        <v>90</v>
      </c>
      <c r="O1" s="19" t="s">
        <v>91</v>
      </c>
      <c r="P1" s="17" t="s">
        <v>69</v>
      </c>
    </row>
    <row r="2" spans="1:16" x14ac:dyDescent="0.4">
      <c r="A2" s="20" t="s">
        <v>292</v>
      </c>
      <c r="B2" s="22">
        <f>IFERROR(VALUE(LEFT(A2,LEN(A2)-2)),"")</f>
        <v>1</v>
      </c>
      <c r="C2" s="21">
        <f>IFERROR(VALUE( RIGHT(A2,2)),"")</f>
        <v>1</v>
      </c>
      <c r="D2" s="15" t="s">
        <v>28</v>
      </c>
      <c r="E2" t="s">
        <v>33</v>
      </c>
      <c r="J2">
        <v>1</v>
      </c>
      <c r="O2">
        <v>1</v>
      </c>
      <c r="P2" s="14">
        <v>30</v>
      </c>
    </row>
    <row r="3" spans="1:16" x14ac:dyDescent="0.4">
      <c r="A3" s="21" t="str">
        <f>IF(D3="","",IF(D3=D2,LEFT(A2,LEN(A2)-2) &amp; RIGHT("00"&amp;COUNTIF($D$2:D3,D3),2),LEFT(A2,LEN(A2)-2)+1 &amp; "01"))</f>
        <v>102</v>
      </c>
      <c r="B3" s="22">
        <f t="shared" ref="B3:B66" si="0">IFERROR(VALUE(LEFT(A3,LEN(A3)-2)),"")</f>
        <v>1</v>
      </c>
      <c r="C3" s="21">
        <f t="shared" ref="C3:C66" si="1">IFERROR(VALUE( RIGHT(A3,2)),"")</f>
        <v>2</v>
      </c>
      <c r="D3" s="15" t="s">
        <v>28</v>
      </c>
      <c r="E3" t="s">
        <v>34</v>
      </c>
      <c r="F3" t="s">
        <v>36</v>
      </c>
      <c r="J3">
        <v>7</v>
      </c>
      <c r="K3">
        <v>4</v>
      </c>
      <c r="O3">
        <v>13</v>
      </c>
      <c r="P3" s="14">
        <v>65</v>
      </c>
    </row>
    <row r="4" spans="1:16" x14ac:dyDescent="0.4">
      <c r="A4" s="21" t="str">
        <f>IF(D4="","",IF(D4=D3,LEFT(A3,LEN(A3)-2) &amp; RIGHT("00"&amp;COUNTIF($D$2:D4,D4),2),LEFT(A3,LEN(A3)-2)+1 &amp; "01"))</f>
        <v>103</v>
      </c>
      <c r="B4" s="22">
        <f t="shared" si="0"/>
        <v>1</v>
      </c>
      <c r="C4" s="21">
        <f t="shared" si="1"/>
        <v>3</v>
      </c>
      <c r="D4" s="15" t="s">
        <v>138</v>
      </c>
      <c r="E4" t="s">
        <v>139</v>
      </c>
      <c r="F4" t="s">
        <v>56</v>
      </c>
      <c r="J4">
        <v>5</v>
      </c>
      <c r="K4">
        <v>8</v>
      </c>
      <c r="O4">
        <v>10</v>
      </c>
      <c r="P4" s="14">
        <v>50</v>
      </c>
    </row>
    <row r="5" spans="1:16" x14ac:dyDescent="0.4">
      <c r="A5" s="21" t="str">
        <f>IF(D5="","",IF(D5=D4,LEFT(A4,LEN(A4)-2) &amp; RIGHT("00"&amp;COUNTIF($D$2:D5,D5),2),LEFT(A4,LEN(A4)-2)+1 &amp; "01"))</f>
        <v>104</v>
      </c>
      <c r="B5" s="22">
        <f t="shared" si="0"/>
        <v>1</v>
      </c>
      <c r="C5" s="21">
        <f t="shared" si="1"/>
        <v>4</v>
      </c>
      <c r="D5" s="15" t="s">
        <v>138</v>
      </c>
      <c r="E5" t="s">
        <v>140</v>
      </c>
      <c r="F5" t="s">
        <v>142</v>
      </c>
      <c r="J5">
        <v>8</v>
      </c>
      <c r="K5">
        <v>2</v>
      </c>
      <c r="O5">
        <v>15</v>
      </c>
      <c r="P5" s="14">
        <v>75</v>
      </c>
    </row>
    <row r="6" spans="1:16" x14ac:dyDescent="0.4">
      <c r="A6" s="21" t="str">
        <f>IF(D6="","",IF(D6=D5,LEFT(A5,LEN(A5)-2) &amp; RIGHT("00"&amp;COUNTIF($D$2:D6,D6),2),LEFT(A5,LEN(A5)-2)+1 &amp; "01"))</f>
        <v>105</v>
      </c>
      <c r="B6" s="22">
        <f t="shared" si="0"/>
        <v>1</v>
      </c>
      <c r="C6" s="21">
        <f t="shared" si="1"/>
        <v>5</v>
      </c>
      <c r="D6" s="15" t="s">
        <v>138</v>
      </c>
      <c r="E6" t="s">
        <v>140</v>
      </c>
      <c r="F6" t="s">
        <v>141</v>
      </c>
      <c r="J6">
        <v>5</v>
      </c>
      <c r="K6">
        <v>1</v>
      </c>
      <c r="O6">
        <v>10</v>
      </c>
      <c r="P6" s="14">
        <v>100</v>
      </c>
    </row>
    <row r="7" spans="1:16" x14ac:dyDescent="0.4">
      <c r="A7" s="21" t="str">
        <f>IF(D7="","",IF(D7=D6,LEFT(A6,LEN(A6)-2) &amp; RIGHT("00"&amp;COUNTIF($D$2:D7,D7),2),LEFT(A6,LEN(A6)-2)+1 &amp; "01"))</f>
        <v>201</v>
      </c>
      <c r="B7" s="22">
        <f t="shared" si="0"/>
        <v>2</v>
      </c>
      <c r="C7" s="21">
        <f t="shared" si="1"/>
        <v>1</v>
      </c>
      <c r="D7" s="15" t="s">
        <v>234</v>
      </c>
      <c r="O7">
        <v>1</v>
      </c>
      <c r="P7" s="14">
        <v>1200</v>
      </c>
    </row>
    <row r="8" spans="1:16" x14ac:dyDescent="0.4">
      <c r="A8" s="21" t="str">
        <f>IF(D8="","",IF(D8=D7,LEFT(A7,LEN(A7)-2) &amp; RIGHT("00"&amp;COUNTIF($D$2:D8,D8),2),LEFT(A7,LEN(A7)-2)+1 &amp; "01"))</f>
        <v>202</v>
      </c>
      <c r="B8" s="22">
        <f t="shared" si="0"/>
        <v>2</v>
      </c>
      <c r="C8" s="21">
        <f t="shared" si="1"/>
        <v>2</v>
      </c>
      <c r="D8" s="15" t="s">
        <v>234</v>
      </c>
      <c r="E8" t="s">
        <v>189</v>
      </c>
      <c r="F8" t="s">
        <v>235</v>
      </c>
      <c r="J8">
        <v>1</v>
      </c>
      <c r="K8">
        <v>24</v>
      </c>
      <c r="O8">
        <v>12</v>
      </c>
      <c r="P8" s="14">
        <v>120</v>
      </c>
    </row>
    <row r="9" spans="1:16" x14ac:dyDescent="0.4">
      <c r="A9" s="21" t="str">
        <f>IF(D9="","",IF(D9=D8,LEFT(A8,LEN(A8)-2) &amp; RIGHT("00"&amp;COUNTIF($D$2:D9,D9),2),LEFT(A8,LEN(A8)-2)+1 &amp; "01"))</f>
        <v>301</v>
      </c>
      <c r="B9" s="22">
        <f t="shared" si="0"/>
        <v>3</v>
      </c>
      <c r="C9" s="21">
        <f t="shared" si="1"/>
        <v>1</v>
      </c>
      <c r="D9" s="15" t="s">
        <v>47</v>
      </c>
      <c r="E9" t="s">
        <v>28</v>
      </c>
      <c r="J9">
        <v>3</v>
      </c>
      <c r="O9">
        <v>2</v>
      </c>
      <c r="P9" s="14">
        <v>20</v>
      </c>
    </row>
    <row r="10" spans="1:16" x14ac:dyDescent="0.4">
      <c r="A10" s="21" t="str">
        <f>IF(D10="","",IF(D10=D9,LEFT(A9,LEN(A9)-2) &amp; RIGHT("00"&amp;COUNTIF($D$2:D10,D10),2),LEFT(A9,LEN(A9)-2)+1 &amp; "01"))</f>
        <v>302</v>
      </c>
      <c r="B10" s="22">
        <f t="shared" si="0"/>
        <v>3</v>
      </c>
      <c r="C10" s="21">
        <f t="shared" si="1"/>
        <v>2</v>
      </c>
      <c r="D10" s="15" t="s">
        <v>47</v>
      </c>
      <c r="E10" t="s">
        <v>28</v>
      </c>
      <c r="F10" t="s">
        <v>48</v>
      </c>
      <c r="J10">
        <v>5</v>
      </c>
      <c r="K10">
        <v>1</v>
      </c>
      <c r="O10">
        <v>10</v>
      </c>
      <c r="P10" s="14">
        <v>75</v>
      </c>
    </row>
    <row r="11" spans="1:16" x14ac:dyDescent="0.4">
      <c r="A11" s="21" t="str">
        <f>IF(D11="","",IF(D11=D10,LEFT(A10,LEN(A10)-2) &amp; RIGHT("00"&amp;COUNTIF($D$2:D11,D11),2),LEFT(A10,LEN(A10)-2)+1 &amp; "01"))</f>
        <v>303</v>
      </c>
      <c r="B11" s="22">
        <f t="shared" si="0"/>
        <v>3</v>
      </c>
      <c r="C11" s="21">
        <f t="shared" si="1"/>
        <v>3</v>
      </c>
      <c r="D11" s="15" t="s">
        <v>47</v>
      </c>
      <c r="E11" t="s">
        <v>143</v>
      </c>
      <c r="F11" t="s">
        <v>30</v>
      </c>
      <c r="J11">
        <v>1</v>
      </c>
      <c r="K11">
        <v>1</v>
      </c>
      <c r="O11">
        <v>3</v>
      </c>
      <c r="P11" s="14">
        <v>45</v>
      </c>
    </row>
    <row r="12" spans="1:16" x14ac:dyDescent="0.4">
      <c r="A12" s="21" t="str">
        <f>IF(D12="","",IF(D12=D11,LEFT(A11,LEN(A11)-2) &amp; RIGHT("00"&amp;COUNTIF($D$2:D12,D12),2),LEFT(A11,LEN(A11)-2)+1 &amp; "01"))</f>
        <v>401</v>
      </c>
      <c r="B12" s="22">
        <f t="shared" si="0"/>
        <v>4</v>
      </c>
      <c r="C12" s="21">
        <f t="shared" si="1"/>
        <v>1</v>
      </c>
      <c r="D12" s="15" t="s">
        <v>49</v>
      </c>
      <c r="E12" s="16" t="s">
        <v>28</v>
      </c>
      <c r="J12">
        <v>1</v>
      </c>
      <c r="O12">
        <v>1</v>
      </c>
      <c r="P12" s="14">
        <v>15</v>
      </c>
    </row>
    <row r="13" spans="1:16" x14ac:dyDescent="0.4">
      <c r="A13" s="21" t="str">
        <f>IF(D13="","",IF(D13=D12,LEFT(A12,LEN(A12)-2) &amp; RIGHT("00"&amp;COUNTIF($D$2:D13,D13),2),LEFT(A12,LEN(A12)-2)+1 &amp; "01"))</f>
        <v>402</v>
      </c>
      <c r="B13" s="22">
        <f t="shared" si="0"/>
        <v>4</v>
      </c>
      <c r="C13" s="21">
        <f t="shared" si="1"/>
        <v>2</v>
      </c>
      <c r="D13" s="15" t="s">
        <v>49</v>
      </c>
      <c r="E13" s="16" t="s">
        <v>146</v>
      </c>
      <c r="J13">
        <v>1</v>
      </c>
      <c r="O13">
        <v>7</v>
      </c>
      <c r="P13" s="14">
        <v>52.5</v>
      </c>
    </row>
    <row r="14" spans="1:16" x14ac:dyDescent="0.4">
      <c r="A14" s="21" t="str">
        <f>IF(D14="","",IF(D14=D13,LEFT(A13,LEN(A13)-2) &amp; RIGHT("00"&amp;COUNTIF($D$2:D14,D14),2),LEFT(A13,LEN(A13)-2)+1 &amp; "01"))</f>
        <v>403</v>
      </c>
      <c r="B14" s="22">
        <f t="shared" si="0"/>
        <v>4</v>
      </c>
      <c r="C14" s="21">
        <f t="shared" si="1"/>
        <v>3</v>
      </c>
      <c r="D14" s="15" t="s">
        <v>144</v>
      </c>
      <c r="E14" t="s">
        <v>145</v>
      </c>
      <c r="J14">
        <v>1</v>
      </c>
      <c r="O14">
        <v>4</v>
      </c>
      <c r="P14" s="14">
        <v>48</v>
      </c>
    </row>
    <row r="15" spans="1:16" x14ac:dyDescent="0.4">
      <c r="A15" s="21" t="str">
        <f>IF(D15="","",IF(D15=D14,LEFT(A14,LEN(A14)-2) &amp; RIGHT("00"&amp;COUNTIF($D$2:D15,D15),2),LEFT(A14,LEN(A14)-2)+1 &amp; "01"))</f>
        <v>501</v>
      </c>
      <c r="B15" s="22">
        <f t="shared" si="0"/>
        <v>5</v>
      </c>
      <c r="C15" s="21">
        <f t="shared" si="1"/>
        <v>1</v>
      </c>
      <c r="D15" s="15" t="s">
        <v>55</v>
      </c>
      <c r="E15" t="s">
        <v>47</v>
      </c>
      <c r="F15" t="s">
        <v>54</v>
      </c>
      <c r="J15">
        <v>6</v>
      </c>
      <c r="K15">
        <v>12</v>
      </c>
      <c r="O15">
        <v>1</v>
      </c>
      <c r="P15" s="14">
        <v>5</v>
      </c>
    </row>
    <row r="16" spans="1:16" x14ac:dyDescent="0.4">
      <c r="A16" s="21" t="str">
        <f>IF(D16="","",IF(D16=D15,LEFT(A15,LEN(A15)-2) &amp; RIGHT("00"&amp;COUNTIF($D$2:D16,D16),2),LEFT(A15,LEN(A15)-2)+1 &amp; "01"))</f>
        <v>502</v>
      </c>
      <c r="B16" s="22">
        <f t="shared" si="0"/>
        <v>5</v>
      </c>
      <c r="C16" s="21">
        <f t="shared" si="1"/>
        <v>2</v>
      </c>
      <c r="D16" s="15" t="s">
        <v>55</v>
      </c>
      <c r="E16" t="s">
        <v>47</v>
      </c>
      <c r="F16" t="s">
        <v>54</v>
      </c>
      <c r="J16">
        <v>18</v>
      </c>
      <c r="K16">
        <v>50</v>
      </c>
      <c r="O16">
        <v>3</v>
      </c>
      <c r="P16" s="14">
        <v>15</v>
      </c>
    </row>
    <row r="17" spans="1:16" x14ac:dyDescent="0.4">
      <c r="A17" s="21" t="str">
        <f>IF(D17="","",IF(D17=D16,LEFT(A16,LEN(A16)-2) &amp; RIGHT("00"&amp;COUNTIF($D$2:D17,D17),2),LEFT(A16,LEN(A16)-2)+1 &amp; "01"))</f>
        <v>503</v>
      </c>
      <c r="B17" s="22">
        <f t="shared" si="0"/>
        <v>5</v>
      </c>
      <c r="C17" s="21">
        <f t="shared" si="1"/>
        <v>3</v>
      </c>
      <c r="D17" s="15" t="s">
        <v>55</v>
      </c>
      <c r="E17" t="s">
        <v>47</v>
      </c>
      <c r="F17" t="s">
        <v>52</v>
      </c>
      <c r="J17">
        <v>3</v>
      </c>
      <c r="K17">
        <v>1</v>
      </c>
      <c r="O17">
        <v>1</v>
      </c>
      <c r="P17" s="14">
        <v>3.75</v>
      </c>
    </row>
    <row r="18" spans="1:16" x14ac:dyDescent="0.4">
      <c r="A18" s="21" t="str">
        <f>IF(D18="","",IF(D18=D17,LEFT(A17,LEN(A17)-2) &amp; RIGHT("00"&amp;COUNTIF($D$2:D18,D18),2),LEFT(A17,LEN(A17)-2)+1 &amp; "01"))</f>
        <v>504</v>
      </c>
      <c r="B18" s="22">
        <f t="shared" si="0"/>
        <v>5</v>
      </c>
      <c r="C18" s="21">
        <f t="shared" si="1"/>
        <v>4</v>
      </c>
      <c r="D18" s="15" t="s">
        <v>55</v>
      </c>
      <c r="E18" t="s">
        <v>47</v>
      </c>
      <c r="F18" t="s">
        <v>50</v>
      </c>
      <c r="J18">
        <v>10</v>
      </c>
      <c r="K18">
        <v>20</v>
      </c>
      <c r="O18">
        <v>3</v>
      </c>
      <c r="P18" s="14">
        <v>5.625</v>
      </c>
    </row>
    <row r="19" spans="1:16" x14ac:dyDescent="0.4">
      <c r="A19" s="21" t="str">
        <f>IF(D19="","",IF(D19=D18,LEFT(A18,LEN(A18)-2) &amp; RIGHT("00"&amp;COUNTIF($D$2:D19,D19),2),LEFT(A18,LEN(A18)-2)+1 &amp; "01"))</f>
        <v>601</v>
      </c>
      <c r="B19" s="22">
        <f t="shared" si="0"/>
        <v>6</v>
      </c>
      <c r="C19" s="21">
        <f t="shared" si="1"/>
        <v>1</v>
      </c>
      <c r="D19" s="15" t="s">
        <v>51</v>
      </c>
      <c r="E19" t="s">
        <v>50</v>
      </c>
      <c r="J19">
        <v>2</v>
      </c>
      <c r="O19">
        <v>1</v>
      </c>
      <c r="P19" s="14">
        <v>30</v>
      </c>
    </row>
    <row r="20" spans="1:16" x14ac:dyDescent="0.4">
      <c r="A20" s="21" t="str">
        <f>IF(D20="","",IF(D20=D19,LEFT(A19,LEN(A19)-2) &amp; RIGHT("00"&amp;COUNTIF($D$2:D20,D20),2),LEFT(A19,LEN(A19)-2)+1 &amp; "01"))</f>
        <v>602</v>
      </c>
      <c r="B20" s="22">
        <f t="shared" si="0"/>
        <v>6</v>
      </c>
      <c r="C20" s="21">
        <f t="shared" si="1"/>
        <v>2</v>
      </c>
      <c r="D20" s="15" t="s">
        <v>51</v>
      </c>
      <c r="E20" t="s">
        <v>50</v>
      </c>
      <c r="F20" t="s">
        <v>52</v>
      </c>
      <c r="J20">
        <v>9</v>
      </c>
      <c r="K20">
        <v>6</v>
      </c>
      <c r="O20">
        <v>20</v>
      </c>
      <c r="P20" s="14">
        <v>100</v>
      </c>
    </row>
    <row r="21" spans="1:16" x14ac:dyDescent="0.4">
      <c r="A21" s="21" t="str">
        <f>IF(D21="","",IF(D21=D20,LEFT(A20,LEN(A20)-2) &amp; RIGHT("00"&amp;COUNTIF($D$2:D21,D21),2),LEFT(A20,LEN(A20)-2)+1 &amp; "01"))</f>
        <v>603</v>
      </c>
      <c r="B21" s="22">
        <f t="shared" si="0"/>
        <v>6</v>
      </c>
      <c r="C21" s="21">
        <f t="shared" si="1"/>
        <v>3</v>
      </c>
      <c r="D21" s="15" t="s">
        <v>51</v>
      </c>
      <c r="E21" t="s">
        <v>50</v>
      </c>
      <c r="F21" t="s">
        <v>76</v>
      </c>
      <c r="J21">
        <v>5</v>
      </c>
      <c r="K21">
        <v>2</v>
      </c>
      <c r="O21">
        <v>9</v>
      </c>
      <c r="P21" s="14">
        <v>67.5</v>
      </c>
    </row>
    <row r="22" spans="1:16" x14ac:dyDescent="0.4">
      <c r="A22" s="21" t="str">
        <f>IF(D22="","",IF(D22=D21,LEFT(A21,LEN(A21)-2) &amp; RIGHT("00"&amp;COUNTIF($D$2:D22,D22),2),LEFT(A21,LEN(A21)-2)+1 &amp; "01"))</f>
        <v>604</v>
      </c>
      <c r="B22" s="22">
        <f t="shared" si="0"/>
        <v>6</v>
      </c>
      <c r="C22" s="21">
        <f t="shared" si="1"/>
        <v>4</v>
      </c>
      <c r="D22" s="15" t="s">
        <v>51</v>
      </c>
      <c r="E22" t="s">
        <v>96</v>
      </c>
      <c r="F22" t="s">
        <v>52</v>
      </c>
      <c r="J22">
        <v>3</v>
      </c>
      <c r="K22">
        <v>2</v>
      </c>
      <c r="O22">
        <v>11</v>
      </c>
      <c r="P22" s="14">
        <v>27.5</v>
      </c>
    </row>
    <row r="23" spans="1:16" x14ac:dyDescent="0.4">
      <c r="A23" s="21" t="str">
        <f>IF(D23="","",IF(D23=D22,LEFT(A22,LEN(A22)-2) &amp; RIGHT("00"&amp;COUNTIF($D$2:D23,D23),2),LEFT(A22,LEN(A22)-2)+1 &amp; "01"))</f>
        <v>701</v>
      </c>
      <c r="B23" s="22">
        <f t="shared" si="0"/>
        <v>7</v>
      </c>
      <c r="C23" s="21">
        <f t="shared" si="1"/>
        <v>1</v>
      </c>
      <c r="D23" s="15" t="s">
        <v>50</v>
      </c>
      <c r="E23" t="s">
        <v>29</v>
      </c>
      <c r="J23">
        <v>1</v>
      </c>
      <c r="O23">
        <v>2</v>
      </c>
      <c r="P23" s="14">
        <v>30</v>
      </c>
    </row>
    <row r="24" spans="1:16" x14ac:dyDescent="0.4">
      <c r="A24" s="21" t="str">
        <f>IF(D24="","",IF(D24=D23,LEFT(A23,LEN(A23)-2) &amp; RIGHT("00"&amp;COUNTIF($D$2:D24,D24),2),LEFT(A23,LEN(A23)-2)+1 &amp; "01"))</f>
        <v>702</v>
      </c>
      <c r="B24" s="22">
        <f t="shared" si="0"/>
        <v>7</v>
      </c>
      <c r="C24" s="21">
        <f t="shared" si="1"/>
        <v>2</v>
      </c>
      <c r="D24" s="15" t="s">
        <v>50</v>
      </c>
      <c r="E24" t="s">
        <v>28</v>
      </c>
      <c r="J24">
        <v>5</v>
      </c>
      <c r="O24">
        <v>9</v>
      </c>
      <c r="P24" s="14">
        <v>22.5</v>
      </c>
    </row>
    <row r="25" spans="1:16" x14ac:dyDescent="0.4">
      <c r="A25" s="21" t="str">
        <f>IF(D25="","",IF(D25=D24,LEFT(A24,LEN(A24)-2) &amp; RIGHT("00"&amp;COUNTIF($D$2:D25,D25),2),LEFT(A24,LEN(A24)-2)+1 &amp; "01"))</f>
        <v>703</v>
      </c>
      <c r="B25" s="22">
        <f t="shared" si="0"/>
        <v>7</v>
      </c>
      <c r="C25" s="21">
        <f t="shared" si="1"/>
        <v>3</v>
      </c>
      <c r="D25" s="15" t="s">
        <v>50</v>
      </c>
      <c r="E25" t="s">
        <v>31</v>
      </c>
      <c r="J25">
        <v>1</v>
      </c>
      <c r="O25">
        <v>8</v>
      </c>
      <c r="P25" s="14">
        <v>120</v>
      </c>
    </row>
    <row r="26" spans="1:16" x14ac:dyDescent="0.4">
      <c r="A26" s="21" t="str">
        <f>IF(D26="","",IF(D26=D25,LEFT(A25,LEN(A25)-2) &amp; RIGHT("00"&amp;COUNTIF($D$2:D26,D26),2),LEFT(A25,LEN(A25)-2)+1 &amp; "01"))</f>
        <v>704</v>
      </c>
      <c r="B26" s="22">
        <f t="shared" si="0"/>
        <v>7</v>
      </c>
      <c r="C26" s="21">
        <f t="shared" si="1"/>
        <v>4</v>
      </c>
      <c r="D26" s="15" t="s">
        <v>50</v>
      </c>
      <c r="E26" t="s">
        <v>29</v>
      </c>
      <c r="F26" t="s">
        <v>31</v>
      </c>
      <c r="J26">
        <v>4</v>
      </c>
      <c r="K26">
        <v>1</v>
      </c>
      <c r="O26">
        <v>30</v>
      </c>
      <c r="P26" s="14">
        <v>90</v>
      </c>
    </row>
    <row r="27" spans="1:16" x14ac:dyDescent="0.4">
      <c r="A27" s="21" t="str">
        <f>IF(D27="","",IF(D27=D26,LEFT(A26,LEN(A26)-2) &amp; RIGHT("00"&amp;COUNTIF($D$2:D27,D27),2),LEFT(A26,LEN(A26)-2)+1 &amp; "01"))</f>
        <v>801</v>
      </c>
      <c r="B27" s="22">
        <f t="shared" si="0"/>
        <v>8</v>
      </c>
      <c r="C27" s="21">
        <f t="shared" si="1"/>
        <v>1</v>
      </c>
      <c r="D27" s="15" t="s">
        <v>29</v>
      </c>
      <c r="E27" t="s">
        <v>35</v>
      </c>
      <c r="J27">
        <v>1</v>
      </c>
      <c r="O27">
        <v>1</v>
      </c>
      <c r="P27" s="14">
        <v>30</v>
      </c>
    </row>
    <row r="28" spans="1:16" x14ac:dyDescent="0.4">
      <c r="A28" s="21" t="str">
        <f>IF(D28="","",IF(D28=D27,LEFT(A27,LEN(A27)-2) &amp; RIGHT("00"&amp;COUNTIF($D$2:D28,D28),2),LEFT(A27,LEN(A27)-2)+1 &amp; "01"))</f>
        <v>802</v>
      </c>
      <c r="B28" s="22">
        <f t="shared" si="0"/>
        <v>8</v>
      </c>
      <c r="C28" s="21">
        <f t="shared" si="1"/>
        <v>2</v>
      </c>
      <c r="D28" s="15" t="s">
        <v>29</v>
      </c>
      <c r="E28" t="s">
        <v>35</v>
      </c>
      <c r="F28" t="s">
        <v>33</v>
      </c>
      <c r="J28">
        <v>5</v>
      </c>
      <c r="K28">
        <v>5</v>
      </c>
      <c r="O28">
        <v>10</v>
      </c>
      <c r="P28" s="14">
        <v>100</v>
      </c>
    </row>
    <row r="29" spans="1:16" x14ac:dyDescent="0.4">
      <c r="A29" s="21" t="str">
        <f>IF(D29="","",IF(D29=D28,LEFT(A28,LEN(A28)-2) &amp; RIGHT("00"&amp;COUNTIF($D$2:D29,D29),2),LEFT(A28,LEN(A28)-2)+1 &amp; "01"))</f>
        <v>803</v>
      </c>
      <c r="B29" s="22">
        <f t="shared" si="0"/>
        <v>8</v>
      </c>
      <c r="C29" s="21">
        <f t="shared" si="1"/>
        <v>3</v>
      </c>
      <c r="D29" s="15" t="s">
        <v>29</v>
      </c>
      <c r="E29" t="s">
        <v>35</v>
      </c>
      <c r="F29" t="s">
        <v>46</v>
      </c>
      <c r="J29">
        <v>9</v>
      </c>
      <c r="K29">
        <v>5</v>
      </c>
      <c r="O29">
        <v>22</v>
      </c>
      <c r="P29" s="14">
        <v>110</v>
      </c>
    </row>
    <row r="30" spans="1:16" x14ac:dyDescent="0.4">
      <c r="A30" s="21" t="str">
        <f>IF(D30="","",IF(D30=D29,LEFT(A29,LEN(A29)-2) &amp; RIGHT("00"&amp;COUNTIF($D$2:D30,D30),2),LEFT(A29,LEN(A29)-2)+1 &amp; "01"))</f>
        <v>804</v>
      </c>
      <c r="B30" s="22">
        <f t="shared" si="0"/>
        <v>8</v>
      </c>
      <c r="C30" s="21">
        <f t="shared" si="1"/>
        <v>4</v>
      </c>
      <c r="D30" s="15" t="s">
        <v>29</v>
      </c>
      <c r="E30" t="s">
        <v>142</v>
      </c>
      <c r="F30" t="s">
        <v>148</v>
      </c>
      <c r="J30">
        <v>6</v>
      </c>
      <c r="K30">
        <v>4</v>
      </c>
      <c r="O30">
        <v>15</v>
      </c>
      <c r="P30" s="14">
        <v>37.5</v>
      </c>
    </row>
    <row r="31" spans="1:16" x14ac:dyDescent="0.4">
      <c r="A31" s="21" t="str">
        <f>IF(D31="","",IF(D31=D30,LEFT(A30,LEN(A30)-2) &amp; RIGHT("00"&amp;COUNTIF($D$2:D31,D31),2),LEFT(A30,LEN(A30)-2)+1 &amp; "01"))</f>
        <v>805</v>
      </c>
      <c r="B31" s="22">
        <f t="shared" si="0"/>
        <v>8</v>
      </c>
      <c r="C31" s="21">
        <f t="shared" si="1"/>
        <v>5</v>
      </c>
      <c r="D31" s="15" t="s">
        <v>29</v>
      </c>
      <c r="E31" t="s">
        <v>147</v>
      </c>
      <c r="F31" t="s">
        <v>162</v>
      </c>
      <c r="J31">
        <v>5</v>
      </c>
      <c r="K31">
        <v>8</v>
      </c>
      <c r="O31">
        <v>12</v>
      </c>
      <c r="P31" s="14">
        <v>60</v>
      </c>
    </row>
    <row r="32" spans="1:16" x14ac:dyDescent="0.4">
      <c r="A32" s="21" t="str">
        <f>IF(D32="","",IF(D32=D31,LEFT(A31,LEN(A31)-2) &amp; RIGHT("00"&amp;COUNTIF($D$2:D32,D32),2),LEFT(A31,LEN(A31)-2)+1 &amp; "01"))</f>
        <v>901</v>
      </c>
      <c r="B32" s="22">
        <f t="shared" si="0"/>
        <v>9</v>
      </c>
      <c r="C32" s="21">
        <f t="shared" si="1"/>
        <v>1</v>
      </c>
      <c r="D32" s="15" t="s">
        <v>236</v>
      </c>
      <c r="O32">
        <v>1</v>
      </c>
      <c r="P32" s="14">
        <v>1200</v>
      </c>
    </row>
    <row r="33" spans="1:16" x14ac:dyDescent="0.4">
      <c r="A33" s="21" t="str">
        <f>IF(D33="","",IF(D33=D32,LEFT(A32,LEN(A32)-2) &amp; RIGHT("00"&amp;COUNTIF($D$2:D33,D33),2),LEFT(A32,LEN(A32)-2)+1 &amp; "01"))</f>
        <v>902</v>
      </c>
      <c r="B33" s="22">
        <f t="shared" si="0"/>
        <v>9</v>
      </c>
      <c r="C33" s="21">
        <f t="shared" si="1"/>
        <v>2</v>
      </c>
      <c r="D33" s="15" t="s">
        <v>236</v>
      </c>
      <c r="E33" t="s">
        <v>189</v>
      </c>
      <c r="F33" t="s">
        <v>237</v>
      </c>
      <c r="J33">
        <v>1</v>
      </c>
      <c r="K33">
        <v>10</v>
      </c>
      <c r="O33">
        <v>12</v>
      </c>
      <c r="P33" s="14">
        <v>120</v>
      </c>
    </row>
    <row r="34" spans="1:16" x14ac:dyDescent="0.4">
      <c r="A34" s="21" t="str">
        <f>IF(D34="","",IF(D34=D33,LEFT(A33,LEN(A33)-2) &amp; RIGHT("00"&amp;COUNTIF($D$2:D34,D34),2),LEFT(A33,LEN(A33)-2)+1 &amp; "01"))</f>
        <v>903</v>
      </c>
      <c r="B34" s="22">
        <f t="shared" si="0"/>
        <v>9</v>
      </c>
      <c r="C34" s="21">
        <f t="shared" si="1"/>
        <v>3</v>
      </c>
      <c r="D34" s="15" t="s">
        <v>236</v>
      </c>
      <c r="E34" t="s">
        <v>189</v>
      </c>
      <c r="F34" t="s">
        <v>188</v>
      </c>
      <c r="J34">
        <v>1</v>
      </c>
      <c r="K34">
        <v>12</v>
      </c>
      <c r="O34">
        <v>12</v>
      </c>
      <c r="P34" s="14">
        <v>120</v>
      </c>
    </row>
    <row r="35" spans="1:16" x14ac:dyDescent="0.4">
      <c r="A35" s="21" t="str">
        <f>IF(D35="","",IF(D35=D34,LEFT(A34,LEN(A34)-2) &amp; RIGHT("00"&amp;COUNTIF($D$2:D35,D35),2),LEFT(A34,LEN(A34)-2)+1 &amp; "01"))</f>
        <v>1001</v>
      </c>
      <c r="B35" s="22">
        <f t="shared" si="0"/>
        <v>10</v>
      </c>
      <c r="C35" s="21">
        <f t="shared" si="1"/>
        <v>1</v>
      </c>
      <c r="D35" s="15" t="s">
        <v>53</v>
      </c>
      <c r="E35" t="s">
        <v>56</v>
      </c>
      <c r="J35">
        <v>3</v>
      </c>
      <c r="O35">
        <v>1</v>
      </c>
      <c r="P35" s="14">
        <v>15</v>
      </c>
    </row>
    <row r="36" spans="1:16" x14ac:dyDescent="0.4">
      <c r="A36" s="21" t="str">
        <f>IF(D36="","",IF(D36=D35,LEFT(A35,LEN(A35)-2) &amp; RIGHT("00"&amp;COUNTIF($D$2:D36,D36),2),LEFT(A35,LEN(A35)-2)+1 &amp; "01"))</f>
        <v>1002</v>
      </c>
      <c r="B36" s="22">
        <f t="shared" si="0"/>
        <v>10</v>
      </c>
      <c r="C36" s="21">
        <f t="shared" si="1"/>
        <v>2</v>
      </c>
      <c r="D36" s="15" t="s">
        <v>53</v>
      </c>
      <c r="E36" t="s">
        <v>42</v>
      </c>
      <c r="F36" t="s">
        <v>56</v>
      </c>
      <c r="J36">
        <v>3</v>
      </c>
      <c r="K36">
        <v>12</v>
      </c>
      <c r="O36">
        <v>10</v>
      </c>
      <c r="P36" s="14">
        <v>50</v>
      </c>
    </row>
    <row r="37" spans="1:16" x14ac:dyDescent="0.4">
      <c r="A37" s="21" t="str">
        <f>IF(D37="","",IF(D37=D36,LEFT(A36,LEN(A36)-2) &amp; RIGHT("00"&amp;COUNTIF($D$2:D37,D37),2),LEFT(A36,LEN(A36)-2)+1 &amp; "01"))</f>
        <v>1003</v>
      </c>
      <c r="B37" s="22">
        <f t="shared" si="0"/>
        <v>10</v>
      </c>
      <c r="C37" s="21">
        <f t="shared" si="1"/>
        <v>3</v>
      </c>
      <c r="D37" s="15" t="s">
        <v>53</v>
      </c>
      <c r="E37" t="s">
        <v>56</v>
      </c>
      <c r="F37" t="s">
        <v>36</v>
      </c>
      <c r="J37">
        <v>6</v>
      </c>
      <c r="K37">
        <v>5</v>
      </c>
      <c r="O37">
        <v>4</v>
      </c>
      <c r="P37" s="14">
        <v>80</v>
      </c>
    </row>
    <row r="38" spans="1:16" x14ac:dyDescent="0.4">
      <c r="A38" s="21" t="str">
        <f>IF(D38="","",IF(D38=D37,LEFT(A37,LEN(A37)-2) &amp; RIGHT("00"&amp;COUNTIF($D$2:D38,D38),2),LEFT(A37,LEN(A37)-2)+1 &amp; "01"))</f>
        <v>1004</v>
      </c>
      <c r="B38" s="22">
        <f t="shared" si="0"/>
        <v>10</v>
      </c>
      <c r="C38" s="21">
        <f t="shared" si="1"/>
        <v>4</v>
      </c>
      <c r="D38" s="15" t="s">
        <v>53</v>
      </c>
      <c r="E38" t="s">
        <v>56</v>
      </c>
      <c r="F38" t="s">
        <v>149</v>
      </c>
      <c r="J38">
        <v>10</v>
      </c>
      <c r="K38">
        <v>2</v>
      </c>
      <c r="O38">
        <v>9</v>
      </c>
      <c r="P38" s="14">
        <v>90</v>
      </c>
    </row>
    <row r="39" spans="1:16" x14ac:dyDescent="0.4">
      <c r="A39" s="21" t="str">
        <f>IF(D39="","",IF(D39=D38,LEFT(A38,LEN(A38)-2) &amp; RIGHT("00"&amp;COUNTIF($D$2:D39,D39),2),LEFT(A38,LEN(A38)-2)+1 &amp; "01"))</f>
        <v>1101</v>
      </c>
      <c r="B39" s="22">
        <f t="shared" si="0"/>
        <v>11</v>
      </c>
      <c r="C39" s="21">
        <f t="shared" si="1"/>
        <v>1</v>
      </c>
      <c r="D39" s="15" t="s">
        <v>238</v>
      </c>
      <c r="O39">
        <v>1</v>
      </c>
      <c r="P39" s="14">
        <v>1200</v>
      </c>
    </row>
    <row r="40" spans="1:16" x14ac:dyDescent="0.4">
      <c r="A40" s="21" t="str">
        <f>IF(D40="","",IF(D40=D39,LEFT(A39,LEN(A39)-2) &amp; RIGHT("00"&amp;COUNTIF($D$2:D40,D40),2),LEFT(A39,LEN(A39)-2)+1 &amp; "01"))</f>
        <v>1102</v>
      </c>
      <c r="B40" s="22">
        <f t="shared" si="0"/>
        <v>11</v>
      </c>
      <c r="C40" s="21">
        <f t="shared" si="1"/>
        <v>2</v>
      </c>
      <c r="D40" s="15" t="s">
        <v>238</v>
      </c>
      <c r="E40" t="s">
        <v>189</v>
      </c>
      <c r="F40" t="s">
        <v>188</v>
      </c>
      <c r="J40">
        <v>1</v>
      </c>
      <c r="K40">
        <v>2</v>
      </c>
      <c r="O40">
        <v>12</v>
      </c>
      <c r="P40" s="14">
        <v>120</v>
      </c>
    </row>
    <row r="41" spans="1:16" x14ac:dyDescent="0.4">
      <c r="A41" s="21" t="str">
        <f>IF(D41="","",IF(D41=D40,LEFT(A40,LEN(A40)-2) &amp; RIGHT("00"&amp;COUNTIF($D$2:D41,D41),2),LEFT(A40,LEN(A40)-2)+1 &amp; "01"))</f>
        <v>1201</v>
      </c>
      <c r="B41" s="22">
        <f t="shared" si="0"/>
        <v>12</v>
      </c>
      <c r="C41" s="21">
        <f t="shared" si="1"/>
        <v>1</v>
      </c>
      <c r="D41" s="15" t="s">
        <v>54</v>
      </c>
      <c r="E41" t="s">
        <v>49</v>
      </c>
      <c r="J41">
        <v>1</v>
      </c>
      <c r="O41">
        <v>4</v>
      </c>
      <c r="P41" s="14">
        <v>40</v>
      </c>
    </row>
    <row r="42" spans="1:16" x14ac:dyDescent="0.4">
      <c r="A42" s="21" t="str">
        <f>IF(D42="","",IF(D42=D41,LEFT(A41,LEN(A41)-2) &amp; RIGHT("00"&amp;COUNTIF($D$2:D42,D42),2),LEFT(A41,LEN(A41)-2)+1 &amp; "01"))</f>
        <v>1202</v>
      </c>
      <c r="B42" s="22">
        <f t="shared" si="0"/>
        <v>12</v>
      </c>
      <c r="C42" s="21">
        <f t="shared" si="1"/>
        <v>2</v>
      </c>
      <c r="D42" s="15" t="s">
        <v>54</v>
      </c>
      <c r="E42" t="s">
        <v>57</v>
      </c>
      <c r="J42">
        <v>1</v>
      </c>
      <c r="O42">
        <v>52</v>
      </c>
      <c r="P42" s="14">
        <v>260</v>
      </c>
    </row>
    <row r="43" spans="1:16" x14ac:dyDescent="0.4">
      <c r="A43" s="21" t="str">
        <f>IF(D43="","",IF(D43=D42,LEFT(A42,LEN(A42)-2) &amp; RIGHT("00"&amp;COUNTIF($D$2:D43,D43),2),LEFT(A42,LEN(A42)-2)+1 &amp; "01"))</f>
        <v>1203</v>
      </c>
      <c r="B43" s="22">
        <f t="shared" si="0"/>
        <v>12</v>
      </c>
      <c r="C43" s="21">
        <f t="shared" si="1"/>
        <v>3</v>
      </c>
      <c r="D43" s="15" t="s">
        <v>54</v>
      </c>
      <c r="E43" t="s">
        <v>28</v>
      </c>
      <c r="J43">
        <v>5</v>
      </c>
      <c r="O43">
        <v>20</v>
      </c>
      <c r="P43" s="14">
        <v>50</v>
      </c>
    </row>
    <row r="44" spans="1:16" x14ac:dyDescent="0.4">
      <c r="A44" s="21" t="str">
        <f>IF(D44="","",IF(D44=D43,LEFT(A43,LEN(A43)-2) &amp; RIGHT("00"&amp;COUNTIF($D$2:D44,D44),2),LEFT(A43,LEN(A43)-2)+1 &amp; "01"))</f>
        <v>1301</v>
      </c>
      <c r="B44" s="22">
        <f t="shared" si="0"/>
        <v>13</v>
      </c>
      <c r="C44" s="21">
        <f t="shared" si="1"/>
        <v>1</v>
      </c>
      <c r="D44" s="15" t="s">
        <v>163</v>
      </c>
      <c r="E44" t="s">
        <v>164</v>
      </c>
      <c r="J44">
        <v>4</v>
      </c>
      <c r="O44">
        <v>20</v>
      </c>
      <c r="P44" s="14">
        <v>300</v>
      </c>
    </row>
    <row r="45" spans="1:16" x14ac:dyDescent="0.4">
      <c r="A45" s="21" t="str">
        <f>IF(D45="","",IF(D45=D44,LEFT(A44,LEN(A44)-2) &amp; RIGHT("00"&amp;COUNTIF($D$2:D45,D45),2),LEFT(A44,LEN(A44)-2)+1 &amp; "01"))</f>
        <v>1302</v>
      </c>
      <c r="B45" s="22">
        <f t="shared" si="0"/>
        <v>13</v>
      </c>
      <c r="C45" s="21">
        <f t="shared" si="1"/>
        <v>2</v>
      </c>
      <c r="D45" s="15" t="s">
        <v>163</v>
      </c>
      <c r="E45" t="s">
        <v>165</v>
      </c>
      <c r="J45">
        <v>10</v>
      </c>
      <c r="O45">
        <v>5</v>
      </c>
      <c r="P45" s="14">
        <v>60</v>
      </c>
    </row>
    <row r="46" spans="1:16" x14ac:dyDescent="0.4">
      <c r="A46" s="21" t="str">
        <f>IF(D46="","",IF(D46=D45,LEFT(A45,LEN(A45)-2) &amp; RIGHT("00"&amp;COUNTIF($D$2:D46,D46),2),LEFT(A45,LEN(A45)-2)+1 &amp; "01"))</f>
        <v>1303</v>
      </c>
      <c r="B46" s="22">
        <f t="shared" si="0"/>
        <v>13</v>
      </c>
      <c r="C46" s="21">
        <f t="shared" si="1"/>
        <v>3</v>
      </c>
      <c r="D46" s="15" t="s">
        <v>163</v>
      </c>
      <c r="E46" t="s">
        <v>166</v>
      </c>
      <c r="J46">
        <v>1</v>
      </c>
      <c r="O46">
        <v>10</v>
      </c>
      <c r="P46" s="14">
        <v>150</v>
      </c>
    </row>
    <row r="47" spans="1:16" x14ac:dyDescent="0.4">
      <c r="A47" s="21" t="str">
        <f>IF(D47="","",IF(D47=D46,LEFT(A46,LEN(A46)-2) &amp; RIGHT("00"&amp;COUNTIF($D$2:D47,D47),2),LEFT(A46,LEN(A46)-2)+1 &amp; "01"))</f>
        <v>1304</v>
      </c>
      <c r="B47" s="22">
        <f t="shared" si="0"/>
        <v>13</v>
      </c>
      <c r="C47" s="21">
        <f t="shared" si="1"/>
        <v>4</v>
      </c>
      <c r="D47" s="15" t="s">
        <v>163</v>
      </c>
      <c r="E47" t="s">
        <v>167</v>
      </c>
      <c r="J47">
        <v>1</v>
      </c>
      <c r="O47">
        <v>100</v>
      </c>
      <c r="P47" s="14">
        <v>1500</v>
      </c>
    </row>
    <row r="48" spans="1:16" x14ac:dyDescent="0.4">
      <c r="A48" s="21" t="str">
        <f>IF(D48="","",IF(D48=D47,LEFT(A47,LEN(A47)-2) &amp; RIGHT("00"&amp;COUNTIF($D$2:D48,D48),2),LEFT(A47,LEN(A47)-2)+1 &amp; "01"))</f>
        <v>1401</v>
      </c>
      <c r="B48" s="22">
        <f t="shared" si="0"/>
        <v>14</v>
      </c>
      <c r="C48" s="21">
        <f t="shared" si="1"/>
        <v>1</v>
      </c>
      <c r="D48" s="15" t="s">
        <v>164</v>
      </c>
      <c r="O48">
        <v>1</v>
      </c>
      <c r="P48" s="14">
        <v>1</v>
      </c>
    </row>
    <row r="49" spans="1:16" x14ac:dyDescent="0.4">
      <c r="A49" s="21" t="str">
        <f>IF(D49="","",IF(D49=D48,LEFT(A48,LEN(A48)-2) &amp; RIGHT("00"&amp;COUNTIF($D$2:D49,D49),2),LEFT(A48,LEN(A48)-2)+1 &amp; "01"))</f>
        <v>1501</v>
      </c>
      <c r="B49" s="22">
        <f t="shared" si="0"/>
        <v>15</v>
      </c>
      <c r="C49" s="21">
        <f t="shared" si="1"/>
        <v>1</v>
      </c>
      <c r="D49" s="15" t="s">
        <v>165</v>
      </c>
      <c r="O49">
        <v>1</v>
      </c>
      <c r="P49" s="14">
        <v>1</v>
      </c>
    </row>
    <row r="50" spans="1:16" x14ac:dyDescent="0.4">
      <c r="A50" s="21" t="str">
        <f>IF(D50="","",IF(D50=D49,LEFT(A49,LEN(A49)-2) &amp; RIGHT("00"&amp;COUNTIF($D$2:D50,D50),2),LEFT(A49,LEN(A49)-2)+1 &amp; "01"))</f>
        <v>1601</v>
      </c>
      <c r="B50" s="22">
        <f t="shared" si="0"/>
        <v>16</v>
      </c>
      <c r="C50" s="21">
        <f t="shared" si="1"/>
        <v>1</v>
      </c>
      <c r="D50" s="15" t="s">
        <v>167</v>
      </c>
      <c r="E50" t="s">
        <v>175</v>
      </c>
      <c r="J50">
        <v>1</v>
      </c>
      <c r="O50">
        <v>1</v>
      </c>
      <c r="P50" s="14">
        <v>20</v>
      </c>
    </row>
    <row r="51" spans="1:16" x14ac:dyDescent="0.4">
      <c r="A51" s="21" t="str">
        <f>IF(D51="","",IF(D51=D50,LEFT(A50,LEN(A50)-2) &amp; RIGHT("00"&amp;COUNTIF($D$2:D51,D51),2),LEFT(A50,LEN(A50)-2)+1 &amp; "01"))</f>
        <v>1602</v>
      </c>
      <c r="B51" s="22">
        <f t="shared" si="0"/>
        <v>16</v>
      </c>
      <c r="C51" s="21">
        <f t="shared" si="1"/>
        <v>2</v>
      </c>
      <c r="D51" s="15" t="s">
        <v>167</v>
      </c>
      <c r="E51" t="s">
        <v>173</v>
      </c>
      <c r="J51">
        <v>1</v>
      </c>
      <c r="O51">
        <v>1</v>
      </c>
      <c r="P51" s="14">
        <v>20</v>
      </c>
    </row>
    <row r="52" spans="1:16" x14ac:dyDescent="0.4">
      <c r="A52" s="21" t="str">
        <f>IF(D52="","",IF(D52=D51,LEFT(A51,LEN(A51)-2) &amp; RIGHT("00"&amp;COUNTIF($D$2:D52,D52),2),LEFT(A51,LEN(A51)-2)+1 &amp; "01"))</f>
        <v>1603</v>
      </c>
      <c r="B52" s="22">
        <f t="shared" si="0"/>
        <v>16</v>
      </c>
      <c r="C52" s="21">
        <f t="shared" si="1"/>
        <v>3</v>
      </c>
      <c r="D52" s="15" t="s">
        <v>167</v>
      </c>
      <c r="E52" t="s">
        <v>171</v>
      </c>
      <c r="J52">
        <v>1</v>
      </c>
      <c r="O52">
        <v>1</v>
      </c>
      <c r="P52" s="14">
        <v>20</v>
      </c>
    </row>
    <row r="53" spans="1:16" x14ac:dyDescent="0.4">
      <c r="A53" s="21" t="str">
        <f>IF(D53="","",IF(D53=D52,LEFT(A52,LEN(A52)-2) &amp; RIGHT("00"&amp;COUNTIF($D$2:D53,D53),2),LEFT(A52,LEN(A52)-2)+1 &amp; "01"))</f>
        <v>1604</v>
      </c>
      <c r="B53" s="22">
        <f t="shared" si="0"/>
        <v>16</v>
      </c>
      <c r="C53" s="21">
        <f t="shared" si="1"/>
        <v>4</v>
      </c>
      <c r="D53" s="15" t="s">
        <v>167</v>
      </c>
      <c r="E53" t="s">
        <v>169</v>
      </c>
      <c r="J53">
        <v>1</v>
      </c>
      <c r="O53">
        <v>1</v>
      </c>
      <c r="P53" s="14">
        <v>20</v>
      </c>
    </row>
    <row r="54" spans="1:16" x14ac:dyDescent="0.4">
      <c r="A54" s="21" t="str">
        <f>IF(D54="","",IF(D54=D53,LEFT(A53,LEN(A53)-2) &amp; RIGHT("00"&amp;COUNTIF($D$2:D54,D54),2),LEFT(A53,LEN(A53)-2)+1 &amp; "01"))</f>
        <v>1701</v>
      </c>
      <c r="B54" s="22">
        <f t="shared" si="0"/>
        <v>17</v>
      </c>
      <c r="C54" s="21">
        <f t="shared" si="1"/>
        <v>1</v>
      </c>
      <c r="D54" s="15" t="s">
        <v>174</v>
      </c>
      <c r="O54">
        <v>1</v>
      </c>
      <c r="P54" s="14">
        <v>1</v>
      </c>
    </row>
    <row r="55" spans="1:16" x14ac:dyDescent="0.4">
      <c r="A55" s="21" t="str">
        <f>IF(D55="","",IF(D55=D54,LEFT(A54,LEN(A54)-2) &amp; RIGHT("00"&amp;COUNTIF($D$2:D55,D55),2),LEFT(A54,LEN(A54)-2)+1 &amp; "01"))</f>
        <v>1801</v>
      </c>
      <c r="B55" s="22">
        <f t="shared" si="0"/>
        <v>18</v>
      </c>
      <c r="C55" s="21">
        <f t="shared" si="1"/>
        <v>1</v>
      </c>
      <c r="D55" s="15" t="s">
        <v>172</v>
      </c>
      <c r="O55">
        <v>1</v>
      </c>
      <c r="P55" s="14">
        <v>1</v>
      </c>
    </row>
    <row r="56" spans="1:16" x14ac:dyDescent="0.4">
      <c r="A56" s="21" t="str">
        <f>IF(D56="","",IF(D56=D55,LEFT(A55,LEN(A55)-2) &amp; RIGHT("00"&amp;COUNTIF($D$2:D56,D56),2),LEFT(A55,LEN(A55)-2)+1 &amp; "01"))</f>
        <v>1901</v>
      </c>
      <c r="B56" s="22">
        <f t="shared" si="0"/>
        <v>19</v>
      </c>
      <c r="C56" s="21">
        <f t="shared" si="1"/>
        <v>1</v>
      </c>
      <c r="D56" s="15" t="s">
        <v>170</v>
      </c>
      <c r="O56">
        <v>1</v>
      </c>
      <c r="P56" s="14">
        <v>1</v>
      </c>
    </row>
    <row r="57" spans="1:16" x14ac:dyDescent="0.4">
      <c r="A57" s="21" t="str">
        <f>IF(D57="","",IF(D57=D56,LEFT(A56,LEN(A56)-2) &amp; RIGHT("00"&amp;COUNTIF($D$2:D57,D57),2),LEFT(A56,LEN(A56)-2)+1 &amp; "01"))</f>
        <v>2001</v>
      </c>
      <c r="B57" s="22">
        <f t="shared" si="0"/>
        <v>20</v>
      </c>
      <c r="C57" s="21">
        <f t="shared" si="1"/>
        <v>1</v>
      </c>
      <c r="D57" s="15" t="s">
        <v>168</v>
      </c>
      <c r="O57">
        <v>1</v>
      </c>
      <c r="P57" s="14">
        <v>1</v>
      </c>
    </row>
    <row r="58" spans="1:16" x14ac:dyDescent="0.4">
      <c r="A58" s="21" t="str">
        <f>IF(D58="","",IF(D58=D57,LEFT(A57,LEN(A57)-2) &amp; RIGHT("00"&amp;COUNTIF($D$2:D58,D58),2),LEFT(A57,LEN(A57)-2)+1 &amp; "01"))</f>
        <v>2101</v>
      </c>
      <c r="B58" s="22">
        <f t="shared" si="0"/>
        <v>21</v>
      </c>
      <c r="C58" s="21">
        <f t="shared" si="1"/>
        <v>1</v>
      </c>
      <c r="D58" s="15" t="s">
        <v>176</v>
      </c>
      <c r="E58" t="s">
        <v>178</v>
      </c>
      <c r="J58">
        <v>1</v>
      </c>
      <c r="O58">
        <v>1</v>
      </c>
      <c r="P58" s="14">
        <v>7.5</v>
      </c>
    </row>
    <row r="59" spans="1:16" x14ac:dyDescent="0.4">
      <c r="A59" s="21" t="str">
        <f>IF(D59="","",IF(D59=D58,LEFT(A58,LEN(A58)-2) &amp; RIGHT("00"&amp;COUNTIF($D$2:D59,D59),2),LEFT(A58,LEN(A58)-2)+1 &amp; "01"))</f>
        <v>2102</v>
      </c>
      <c r="B59" s="22">
        <f t="shared" si="0"/>
        <v>21</v>
      </c>
      <c r="C59" s="21">
        <f t="shared" si="1"/>
        <v>2</v>
      </c>
      <c r="D59" s="15" t="s">
        <v>176</v>
      </c>
      <c r="E59" t="s">
        <v>180</v>
      </c>
      <c r="J59">
        <v>1</v>
      </c>
      <c r="O59">
        <v>2</v>
      </c>
      <c r="P59" s="14">
        <v>10</v>
      </c>
    </row>
    <row r="60" spans="1:16" x14ac:dyDescent="0.4">
      <c r="A60" s="21" t="str">
        <f>IF(D60="","",IF(D60=D59,LEFT(A59,LEN(A59)-2) &amp; RIGHT("00"&amp;COUNTIF($D$2:D60,D60),2),LEFT(A59,LEN(A59)-2)+1 &amp; "01"))</f>
        <v>2103</v>
      </c>
      <c r="B60" s="22">
        <f t="shared" si="0"/>
        <v>21</v>
      </c>
      <c r="C60" s="21">
        <f t="shared" si="1"/>
        <v>3</v>
      </c>
      <c r="D60" s="15" t="s">
        <v>176</v>
      </c>
      <c r="E60" t="s">
        <v>182</v>
      </c>
      <c r="J60">
        <v>1</v>
      </c>
      <c r="O60">
        <v>5</v>
      </c>
      <c r="P60" s="14">
        <v>12.5</v>
      </c>
    </row>
    <row r="61" spans="1:16" x14ac:dyDescent="0.4">
      <c r="A61" s="21" t="str">
        <f>IF(D61="","",IF(D61=D60,LEFT(A60,LEN(A60)-2) &amp; RIGHT("00"&amp;COUNTIF($D$2:D61,D61),2),LEFT(A60,LEN(A60)-2)+1 &amp; "01"))</f>
        <v>2104</v>
      </c>
      <c r="B61" s="22">
        <f t="shared" si="0"/>
        <v>21</v>
      </c>
      <c r="C61" s="21">
        <f t="shared" si="1"/>
        <v>4</v>
      </c>
      <c r="D61" s="15" t="s">
        <v>176</v>
      </c>
      <c r="E61" t="s">
        <v>183</v>
      </c>
      <c r="F61" t="s">
        <v>184</v>
      </c>
      <c r="G61" t="s">
        <v>101</v>
      </c>
      <c r="H61" t="s">
        <v>185</v>
      </c>
      <c r="I61" s="14" t="s">
        <v>186</v>
      </c>
      <c r="J61">
        <v>2</v>
      </c>
      <c r="K61">
        <v>2</v>
      </c>
      <c r="L61">
        <v>12</v>
      </c>
      <c r="M61">
        <v>12</v>
      </c>
      <c r="N61" s="14">
        <v>12</v>
      </c>
      <c r="O61">
        <v>1</v>
      </c>
      <c r="P61" s="14">
        <v>5</v>
      </c>
    </row>
    <row r="62" spans="1:16" x14ac:dyDescent="0.4">
      <c r="A62" s="21" t="str">
        <f>IF(D62="","",IF(D62=D61,LEFT(A61,LEN(A61)-2) &amp; RIGHT("00"&amp;COUNTIF($D$2:D62,D62),2),LEFT(A61,LEN(A61)-2)+1 &amp; "01"))</f>
        <v>2201</v>
      </c>
      <c r="B62" s="22">
        <f t="shared" si="0"/>
        <v>22</v>
      </c>
      <c r="C62" s="21">
        <f t="shared" si="1"/>
        <v>1</v>
      </c>
      <c r="D62" s="15" t="s">
        <v>177</v>
      </c>
      <c r="O62">
        <v>1</v>
      </c>
      <c r="P62" s="14">
        <v>1</v>
      </c>
    </row>
    <row r="63" spans="1:16" x14ac:dyDescent="0.4">
      <c r="A63" s="21" t="str">
        <f>IF(D63="","",IF(D63=D62,LEFT(A62,LEN(A62)-2) &amp; RIGHT("00"&amp;COUNTIF($D$2:D63,D63),2),LEFT(A62,LEN(A62)-2)+1 &amp; "01"))</f>
        <v>2301</v>
      </c>
      <c r="B63" s="22">
        <f t="shared" si="0"/>
        <v>23</v>
      </c>
      <c r="C63" s="21">
        <f t="shared" si="1"/>
        <v>1</v>
      </c>
      <c r="D63" s="15" t="s">
        <v>179</v>
      </c>
      <c r="O63">
        <v>1</v>
      </c>
      <c r="P63" s="14">
        <v>1</v>
      </c>
    </row>
    <row r="64" spans="1:16" x14ac:dyDescent="0.4">
      <c r="A64" s="21" t="str">
        <f>IF(D64="","",IF(D64=D63,LEFT(A63,LEN(A63)-2) &amp; RIGHT("00"&amp;COUNTIF($D$2:D64,D64),2),LEFT(A63,LEN(A63)-2)+1 &amp; "01"))</f>
        <v>2401</v>
      </c>
      <c r="B64" s="22">
        <f t="shared" si="0"/>
        <v>24</v>
      </c>
      <c r="C64" s="21">
        <f t="shared" si="1"/>
        <v>1</v>
      </c>
      <c r="D64" s="15" t="s">
        <v>181</v>
      </c>
      <c r="O64">
        <v>1</v>
      </c>
      <c r="P64" s="14">
        <v>1</v>
      </c>
    </row>
    <row r="65" spans="1:16" x14ac:dyDescent="0.4">
      <c r="A65" s="21" t="str">
        <f>IF(D65="","",IF(D65=D64,LEFT(A64,LEN(A64)-2) &amp; RIGHT("00"&amp;COUNTIF($D$2:D65,D65),2),LEFT(A64,LEN(A64)-2)+1 &amp; "01"))</f>
        <v>2501</v>
      </c>
      <c r="B65" s="22">
        <f t="shared" si="0"/>
        <v>25</v>
      </c>
      <c r="C65" s="21">
        <f t="shared" si="1"/>
        <v>1</v>
      </c>
      <c r="D65" s="15" t="s">
        <v>187</v>
      </c>
      <c r="E65" t="s">
        <v>163</v>
      </c>
      <c r="J65">
        <v>8</v>
      </c>
      <c r="O65">
        <v>4</v>
      </c>
      <c r="P65" s="14">
        <v>60</v>
      </c>
    </row>
    <row r="66" spans="1:16" x14ac:dyDescent="0.4">
      <c r="A66" s="21" t="str">
        <f>IF(D66="","",IF(D66=D65,LEFT(A65,LEN(A65)-2) &amp; RIGHT("00"&amp;COUNTIF($D$2:D66,D66),2),LEFT(A65,LEN(A65)-2)+1 &amp; "01"))</f>
        <v>2601</v>
      </c>
      <c r="B66" s="22">
        <f t="shared" si="0"/>
        <v>26</v>
      </c>
      <c r="C66" s="21">
        <f t="shared" si="1"/>
        <v>1</v>
      </c>
      <c r="D66" s="15" t="s">
        <v>60</v>
      </c>
      <c r="E66" t="s">
        <v>49</v>
      </c>
      <c r="F66" t="s">
        <v>54</v>
      </c>
      <c r="J66">
        <v>5</v>
      </c>
      <c r="K66">
        <v>25</v>
      </c>
      <c r="O66">
        <v>1</v>
      </c>
      <c r="P66" s="14">
        <v>4</v>
      </c>
    </row>
    <row r="67" spans="1:16" x14ac:dyDescent="0.4">
      <c r="A67" s="21" t="str">
        <f>IF(D67="","",IF(D67=D66,LEFT(A66,LEN(A66)-2) &amp; RIGHT("00"&amp;COUNTIF($D$2:D67,D67),2),LEFT(A66,LEN(A66)-2)+1 &amp; "01"))</f>
        <v>2602</v>
      </c>
      <c r="B67" s="22">
        <f t="shared" ref="B67:B130" si="2">IFERROR(VALUE(LEFT(A67,LEN(A67)-2)),"")</f>
        <v>26</v>
      </c>
      <c r="C67" s="21">
        <f t="shared" ref="C67:C130" si="3">IFERROR(VALUE( RIGHT(A67,2)),"")</f>
        <v>2</v>
      </c>
      <c r="D67" s="15" t="s">
        <v>60</v>
      </c>
      <c r="E67" t="s">
        <v>59</v>
      </c>
      <c r="F67" t="s">
        <v>54</v>
      </c>
      <c r="J67">
        <v>6</v>
      </c>
      <c r="K67">
        <v>52</v>
      </c>
      <c r="O67">
        <v>3</v>
      </c>
      <c r="P67" s="14">
        <v>11.25</v>
      </c>
    </row>
    <row r="68" spans="1:16" x14ac:dyDescent="0.4">
      <c r="A68" s="21" t="str">
        <f>IF(D68="","",IF(D68=D67,LEFT(A67,LEN(A67)-2) &amp; RIGHT("00"&amp;COUNTIF($D$2:D68,D68),2),LEFT(A67,LEN(A67)-2)+1 &amp; "01"))</f>
        <v>2603</v>
      </c>
      <c r="B68" s="22">
        <f t="shared" si="2"/>
        <v>26</v>
      </c>
      <c r="C68" s="21">
        <f t="shared" si="3"/>
        <v>3</v>
      </c>
      <c r="D68" s="15" t="s">
        <v>60</v>
      </c>
      <c r="E68" t="s">
        <v>67</v>
      </c>
      <c r="F68" t="s">
        <v>50</v>
      </c>
      <c r="J68">
        <v>2</v>
      </c>
      <c r="K68">
        <v>6</v>
      </c>
      <c r="O68">
        <v>1</v>
      </c>
      <c r="P68" s="14">
        <v>5</v>
      </c>
    </row>
    <row r="69" spans="1:16" x14ac:dyDescent="0.4">
      <c r="A69" s="21" t="str">
        <f>IF(D69="","",IF(D69=D68,LEFT(A68,LEN(A68)-2) &amp; RIGHT("00"&amp;COUNTIF($D$2:D69,D69),2),LEFT(A68,LEN(A68)-2)+1 &amp; "01"))</f>
        <v>2701</v>
      </c>
      <c r="B69" s="22">
        <f t="shared" si="2"/>
        <v>27</v>
      </c>
      <c r="C69" s="21">
        <f t="shared" si="3"/>
        <v>1</v>
      </c>
      <c r="D69" s="15" t="s">
        <v>59</v>
      </c>
      <c r="E69" t="s">
        <v>29</v>
      </c>
      <c r="J69">
        <v>2</v>
      </c>
      <c r="O69">
        <v>1</v>
      </c>
      <c r="P69" s="14">
        <v>10</v>
      </c>
    </row>
    <row r="70" spans="1:16" x14ac:dyDescent="0.4">
      <c r="A70" s="21" t="str">
        <f>IF(D70="","",IF(D70=D69,LEFT(A69,LEN(A69)-2) &amp; RIGHT("00"&amp;COUNTIF($D$2:D70,D70),2),LEFT(A69,LEN(A69)-2)+1 &amp; "01"))</f>
        <v>2702</v>
      </c>
      <c r="B70" s="22">
        <f t="shared" si="2"/>
        <v>27</v>
      </c>
      <c r="C70" s="21">
        <f t="shared" si="3"/>
        <v>2</v>
      </c>
      <c r="D70" s="15" t="s">
        <v>59</v>
      </c>
      <c r="E70" t="s">
        <v>29</v>
      </c>
      <c r="F70" t="s">
        <v>36</v>
      </c>
      <c r="J70">
        <v>3</v>
      </c>
      <c r="K70">
        <v>3</v>
      </c>
      <c r="O70">
        <v>3</v>
      </c>
      <c r="P70" s="14">
        <v>22.5</v>
      </c>
    </row>
    <row r="71" spans="1:16" x14ac:dyDescent="0.4">
      <c r="A71" s="21" t="str">
        <f>IF(D71="","",IF(D71=D70,LEFT(A70,LEN(A70)-2) &amp; RIGHT("00"&amp;COUNTIF($D$2:D71,D71),2),LEFT(A70,LEN(A70)-2)+1 &amp; "01"))</f>
        <v>2801</v>
      </c>
      <c r="B71" s="22">
        <f t="shared" si="2"/>
        <v>28</v>
      </c>
      <c r="C71" s="21">
        <f t="shared" si="3"/>
        <v>1</v>
      </c>
      <c r="D71" s="15" t="s">
        <v>10</v>
      </c>
      <c r="E71" t="s">
        <v>55</v>
      </c>
      <c r="F71" t="s">
        <v>49</v>
      </c>
      <c r="J71">
        <v>3</v>
      </c>
      <c r="K71">
        <v>12</v>
      </c>
      <c r="O71">
        <v>2</v>
      </c>
      <c r="P71" s="14">
        <v>2</v>
      </c>
    </row>
    <row r="72" spans="1:16" x14ac:dyDescent="0.4">
      <c r="A72" s="21" t="str">
        <f>IF(D72="","",IF(D72=D71,LEFT(A71,LEN(A71)-2) &amp; RIGHT("00"&amp;COUNTIF($D$2:D72,D72),2),LEFT(A71,LEN(A71)-2)+1 &amp; "01"))</f>
        <v>2802</v>
      </c>
      <c r="B72" s="22">
        <f t="shared" si="2"/>
        <v>28</v>
      </c>
      <c r="C72" s="21">
        <f t="shared" si="3"/>
        <v>2</v>
      </c>
      <c r="D72" s="15" t="s">
        <v>10</v>
      </c>
      <c r="E72" t="s">
        <v>55</v>
      </c>
      <c r="F72" t="s">
        <v>54</v>
      </c>
      <c r="J72">
        <v>3</v>
      </c>
      <c r="K72">
        <v>56</v>
      </c>
      <c r="O72">
        <v>2</v>
      </c>
      <c r="P72" s="14">
        <v>5</v>
      </c>
    </row>
    <row r="73" spans="1:16" x14ac:dyDescent="0.4">
      <c r="A73" s="21" t="str">
        <f>IF(D73="","",IF(D73=D72,LEFT(A72,LEN(A72)-2) &amp; RIGHT("00"&amp;COUNTIF($D$2:D73,D73),2),LEFT(A72,LEN(A72)-2)+1 &amp; "01"))</f>
        <v>2803</v>
      </c>
      <c r="B73" s="22">
        <f t="shared" si="2"/>
        <v>28</v>
      </c>
      <c r="C73" s="21">
        <f t="shared" si="3"/>
        <v>3</v>
      </c>
      <c r="D73" s="15" t="s">
        <v>10</v>
      </c>
      <c r="E73" t="s">
        <v>55</v>
      </c>
      <c r="F73" t="s">
        <v>67</v>
      </c>
      <c r="J73">
        <v>2</v>
      </c>
      <c r="K73">
        <v>10</v>
      </c>
      <c r="O73">
        <v>3</v>
      </c>
      <c r="P73" s="14">
        <v>3</v>
      </c>
    </row>
    <row r="74" spans="1:16" x14ac:dyDescent="0.4">
      <c r="A74" s="21" t="str">
        <f>IF(D74="","",IF(D74=D73,LEFT(A73,LEN(A73)-2) &amp; RIGHT("00"&amp;COUNTIF($D$2:D74,D74),2),LEFT(A73,LEN(A73)-2)+1 &amp; "01"))</f>
        <v>2901</v>
      </c>
      <c r="B74" s="22">
        <f t="shared" si="2"/>
        <v>29</v>
      </c>
      <c r="C74" s="21">
        <f t="shared" si="3"/>
        <v>1</v>
      </c>
      <c r="D74" s="15" t="s">
        <v>68</v>
      </c>
      <c r="E74" t="s">
        <v>55</v>
      </c>
      <c r="F74" t="s">
        <v>60</v>
      </c>
      <c r="J74">
        <v>1</v>
      </c>
      <c r="K74">
        <v>1</v>
      </c>
      <c r="O74">
        <v>1</v>
      </c>
      <c r="P74" s="14">
        <v>2</v>
      </c>
    </row>
    <row r="75" spans="1:16" x14ac:dyDescent="0.4">
      <c r="A75" s="21" t="str">
        <f>IF(D75="","",IF(D75=D74,LEFT(A74,LEN(A74)-2) &amp; RIGHT("00"&amp;COUNTIF($D$2:D75,D75),2),LEFT(A74,LEN(A74)-2)+1 &amp; "01"))</f>
        <v>2902</v>
      </c>
      <c r="B75" s="22">
        <f t="shared" si="2"/>
        <v>29</v>
      </c>
      <c r="C75" s="21">
        <f t="shared" si="3"/>
        <v>2</v>
      </c>
      <c r="D75" s="15" t="s">
        <v>68</v>
      </c>
      <c r="E75" t="s">
        <v>55</v>
      </c>
      <c r="F75" t="s">
        <v>60</v>
      </c>
      <c r="G75" t="s">
        <v>48</v>
      </c>
      <c r="J75">
        <v>1</v>
      </c>
      <c r="K75">
        <v>1</v>
      </c>
      <c r="L75">
        <v>3</v>
      </c>
      <c r="O75">
        <v>2</v>
      </c>
      <c r="P75" s="14">
        <v>5</v>
      </c>
    </row>
    <row r="76" spans="1:16" x14ac:dyDescent="0.4">
      <c r="A76" s="21" t="str">
        <f>IF(D76="","",IF(D76=D75,LEFT(A75,LEN(A75)-2) &amp; RIGHT("00"&amp;COUNTIF($D$2:D76,D76),2),LEFT(A75,LEN(A75)-2)+1 &amp; "01"))</f>
        <v>3001</v>
      </c>
      <c r="B76" s="22">
        <f t="shared" si="2"/>
        <v>30</v>
      </c>
      <c r="C76" s="21">
        <f t="shared" si="3"/>
        <v>1</v>
      </c>
      <c r="D76" s="15" t="s">
        <v>104</v>
      </c>
      <c r="E76" t="s">
        <v>37</v>
      </c>
      <c r="F76" t="s">
        <v>70</v>
      </c>
      <c r="J76">
        <v>1</v>
      </c>
      <c r="K76">
        <v>1</v>
      </c>
      <c r="O76">
        <v>2</v>
      </c>
      <c r="P76" s="14">
        <v>30</v>
      </c>
    </row>
    <row r="77" spans="1:16" x14ac:dyDescent="0.4">
      <c r="A77" s="21" t="str">
        <f>IF(D77="","",IF(D77=D76,LEFT(A76,LEN(A76)-2) &amp; RIGHT("00"&amp;COUNTIF($D$2:D77,D77),2),LEFT(A76,LEN(A76)-2)+1 &amp; "01"))</f>
        <v>3002</v>
      </c>
      <c r="B77" s="22">
        <f t="shared" si="2"/>
        <v>30</v>
      </c>
      <c r="C77" s="21">
        <f t="shared" si="3"/>
        <v>2</v>
      </c>
      <c r="D77" s="15" t="s">
        <v>104</v>
      </c>
      <c r="E77" t="s">
        <v>188</v>
      </c>
      <c r="F77" t="s">
        <v>38</v>
      </c>
      <c r="J77">
        <v>1</v>
      </c>
      <c r="K77">
        <v>2</v>
      </c>
      <c r="O77">
        <v>6</v>
      </c>
      <c r="P77" s="14">
        <v>45</v>
      </c>
    </row>
    <row r="78" spans="1:16" x14ac:dyDescent="0.4">
      <c r="A78" s="21" t="str">
        <f>IF(D78="","",IF(D78=D77,LEFT(A77,LEN(A77)-2) &amp; RIGHT("00"&amp;COUNTIF($D$2:D78,D78),2),LEFT(A77,LEN(A77)-2)+1 &amp; "01"))</f>
        <v>3101</v>
      </c>
      <c r="B78" s="22">
        <f t="shared" si="2"/>
        <v>31</v>
      </c>
      <c r="C78" s="21">
        <f t="shared" si="3"/>
        <v>1</v>
      </c>
      <c r="D78" s="15" t="s">
        <v>210</v>
      </c>
      <c r="O78">
        <v>1</v>
      </c>
      <c r="P78" s="14">
        <v>1200</v>
      </c>
    </row>
    <row r="79" spans="1:16" x14ac:dyDescent="0.4">
      <c r="A79" s="21" t="str">
        <f>IF(D79="","",IF(D79=D78,LEFT(A78,LEN(A78)-2) &amp; RIGHT("00"&amp;COUNTIF($D$2:D79,D79),2),LEFT(A78,LEN(A78)-2)+1 &amp; "01"))</f>
        <v>3102</v>
      </c>
      <c r="B79" s="22">
        <f t="shared" si="2"/>
        <v>31</v>
      </c>
      <c r="C79" s="21">
        <f t="shared" si="3"/>
        <v>2</v>
      </c>
      <c r="D79" s="15" t="s">
        <v>210</v>
      </c>
      <c r="E79" t="s">
        <v>189</v>
      </c>
      <c r="F79" t="s">
        <v>234</v>
      </c>
      <c r="J79">
        <v>1</v>
      </c>
      <c r="K79">
        <v>18</v>
      </c>
      <c r="O79">
        <v>12</v>
      </c>
      <c r="P79" s="14">
        <v>120</v>
      </c>
    </row>
    <row r="80" spans="1:16" x14ac:dyDescent="0.4">
      <c r="A80" s="21" t="str">
        <f>IF(D80="","",IF(D80=D79,LEFT(A79,LEN(A79)-2) &amp; RIGHT("00"&amp;COUNTIF($D$2:D80,D80),2),LEFT(A79,LEN(A79)-2)+1 &amp; "01"))</f>
        <v>3103</v>
      </c>
      <c r="B80" s="22">
        <f t="shared" si="2"/>
        <v>31</v>
      </c>
      <c r="C80" s="21">
        <f t="shared" si="3"/>
        <v>3</v>
      </c>
      <c r="D80" s="15" t="s">
        <v>210</v>
      </c>
      <c r="E80" t="s">
        <v>189</v>
      </c>
      <c r="F80" t="s">
        <v>238</v>
      </c>
      <c r="J80">
        <v>1</v>
      </c>
      <c r="K80">
        <v>36</v>
      </c>
      <c r="O80">
        <v>12</v>
      </c>
      <c r="P80" s="14">
        <v>120</v>
      </c>
    </row>
    <row r="81" spans="1:16" x14ac:dyDescent="0.4">
      <c r="A81" s="21" t="str">
        <f>IF(D81="","",IF(D81=D80,LEFT(A80,LEN(A80)-2) &amp; RIGHT("00"&amp;COUNTIF($D$2:D81,D81),2),LEFT(A80,LEN(A80)-2)+1 &amp; "01"))</f>
        <v>3104</v>
      </c>
      <c r="B81" s="22">
        <f t="shared" si="2"/>
        <v>31</v>
      </c>
      <c r="C81" s="21">
        <f t="shared" si="3"/>
        <v>4</v>
      </c>
      <c r="D81" s="15" t="s">
        <v>210</v>
      </c>
      <c r="E81" t="s">
        <v>164</v>
      </c>
      <c r="J81">
        <v>1</v>
      </c>
      <c r="O81">
        <v>10</v>
      </c>
      <c r="P81" s="14">
        <v>150</v>
      </c>
    </row>
    <row r="82" spans="1:16" x14ac:dyDescent="0.4">
      <c r="A82" s="21" t="str">
        <f>IF(D82="","",IF(D82=D81,LEFT(A81,LEN(A81)-2) &amp; RIGHT("00"&amp;COUNTIF($D$2:D82,D82),2),LEFT(A81,LEN(A81)-2)+1 &amp; "01"))</f>
        <v>3105</v>
      </c>
      <c r="B82" s="22">
        <f t="shared" si="2"/>
        <v>31</v>
      </c>
      <c r="C82" s="21">
        <f t="shared" si="3"/>
        <v>5</v>
      </c>
      <c r="D82" s="15" t="s">
        <v>210</v>
      </c>
      <c r="E82" t="s">
        <v>163</v>
      </c>
      <c r="J82">
        <v>5</v>
      </c>
      <c r="O82">
        <v>6</v>
      </c>
      <c r="P82" s="14">
        <v>45</v>
      </c>
    </row>
    <row r="83" spans="1:16" x14ac:dyDescent="0.4">
      <c r="A83" s="21" t="str">
        <f>IF(D83="","",IF(D83=D82,LEFT(A82,LEN(A82)-2) &amp; RIGHT("00"&amp;COUNTIF($D$2:D83,D83),2),LEFT(A82,LEN(A82)-2)+1 &amp; "01"))</f>
        <v>3201</v>
      </c>
      <c r="B83" s="22">
        <f t="shared" si="2"/>
        <v>32</v>
      </c>
      <c r="C83" s="21">
        <f t="shared" si="3"/>
        <v>1</v>
      </c>
      <c r="D83" s="15" t="s">
        <v>188</v>
      </c>
      <c r="O83">
        <v>1</v>
      </c>
      <c r="P83" s="14">
        <v>1200</v>
      </c>
    </row>
    <row r="84" spans="1:16" x14ac:dyDescent="0.4">
      <c r="A84" s="21" t="str">
        <f>IF(D84="","",IF(D84=D83,LEFT(A83,LEN(A83)-2) &amp; RIGHT("00"&amp;COUNTIF($D$2:D84,D84),2),LEFT(A83,LEN(A83)-2)+1 &amp; "01"))</f>
        <v>3202</v>
      </c>
      <c r="B84" s="22">
        <f t="shared" si="2"/>
        <v>32</v>
      </c>
      <c r="C84" s="21">
        <f t="shared" si="3"/>
        <v>2</v>
      </c>
      <c r="D84" s="15" t="s">
        <v>188</v>
      </c>
      <c r="E84" t="s">
        <v>189</v>
      </c>
      <c r="F84" t="s">
        <v>210</v>
      </c>
      <c r="J84">
        <v>1</v>
      </c>
      <c r="K84">
        <v>20</v>
      </c>
      <c r="O84">
        <v>12</v>
      </c>
      <c r="P84" s="14">
        <v>120</v>
      </c>
    </row>
    <row r="85" spans="1:16" x14ac:dyDescent="0.4">
      <c r="A85" s="21" t="str">
        <f>IF(D85="","",IF(D85=D84,LEFT(A84,LEN(A84)-2) &amp; RIGHT("00"&amp;COUNTIF($D$2:D85,D85),2),LEFT(A84,LEN(A84)-2)+1 &amp; "01"))</f>
        <v>3203</v>
      </c>
      <c r="B85" s="22">
        <f t="shared" si="2"/>
        <v>32</v>
      </c>
      <c r="C85" s="21">
        <f t="shared" si="3"/>
        <v>3</v>
      </c>
      <c r="D85" s="15" t="s">
        <v>188</v>
      </c>
      <c r="E85" t="s">
        <v>189</v>
      </c>
      <c r="F85" t="s">
        <v>234</v>
      </c>
      <c r="J85">
        <v>1</v>
      </c>
      <c r="K85">
        <v>30</v>
      </c>
      <c r="O85">
        <v>12</v>
      </c>
      <c r="P85" s="14">
        <v>120</v>
      </c>
    </row>
    <row r="86" spans="1:16" x14ac:dyDescent="0.4">
      <c r="A86" s="21" t="str">
        <f>IF(D86="","",IF(D86=D85,LEFT(A85,LEN(A85)-2) &amp; RIGHT("00"&amp;COUNTIF($D$2:D86,D86),2),LEFT(A85,LEN(A85)-2)+1 &amp; "01"))</f>
        <v>3301</v>
      </c>
      <c r="B86" s="22">
        <f t="shared" si="2"/>
        <v>33</v>
      </c>
      <c r="C86" s="21">
        <f t="shared" si="3"/>
        <v>1</v>
      </c>
      <c r="D86" s="15" t="s">
        <v>31</v>
      </c>
      <c r="E86" t="s">
        <v>40</v>
      </c>
      <c r="J86">
        <v>3</v>
      </c>
      <c r="O86">
        <v>1</v>
      </c>
      <c r="P86" s="14">
        <v>15</v>
      </c>
    </row>
    <row r="87" spans="1:16" x14ac:dyDescent="0.4">
      <c r="A87" s="21" t="str">
        <f>IF(D87="","",IF(D87=D86,LEFT(A86,LEN(A86)-2) &amp; RIGHT("00"&amp;COUNTIF($D$2:D87,D87),2),LEFT(A86,LEN(A86)-2)+1 &amp; "01"))</f>
        <v>3302</v>
      </c>
      <c r="B87" s="22">
        <f t="shared" si="2"/>
        <v>33</v>
      </c>
      <c r="C87" s="21">
        <f t="shared" si="3"/>
        <v>2</v>
      </c>
      <c r="D87" s="15" t="s">
        <v>31</v>
      </c>
      <c r="E87" t="s">
        <v>40</v>
      </c>
      <c r="F87" t="s">
        <v>36</v>
      </c>
      <c r="J87">
        <v>2</v>
      </c>
      <c r="K87">
        <v>2</v>
      </c>
      <c r="O87">
        <v>1</v>
      </c>
      <c r="P87" s="14">
        <v>12</v>
      </c>
    </row>
    <row r="88" spans="1:16" x14ac:dyDescent="0.4">
      <c r="A88" s="21" t="str">
        <f>IF(D88="","",IF(D88=D87,LEFT(A87,LEN(A87)-2) &amp; RIGHT("00"&amp;COUNTIF($D$2:D88,D88),2),LEFT(A87,LEN(A87)-2)+1 &amp; "01"))</f>
        <v>3303</v>
      </c>
      <c r="B88" s="22">
        <f t="shared" si="2"/>
        <v>33</v>
      </c>
      <c r="C88" s="21">
        <f t="shared" si="3"/>
        <v>3</v>
      </c>
      <c r="D88" s="15" t="s">
        <v>31</v>
      </c>
      <c r="E88" t="s">
        <v>40</v>
      </c>
      <c r="F88" t="s">
        <v>157</v>
      </c>
      <c r="J88">
        <v>6</v>
      </c>
      <c r="K88">
        <v>2</v>
      </c>
      <c r="O88">
        <v>3</v>
      </c>
      <c r="P88" s="14">
        <v>22.5</v>
      </c>
    </row>
    <row r="89" spans="1:16" x14ac:dyDescent="0.4">
      <c r="A89" s="21" t="str">
        <f>IF(D89="","",IF(D89=D88,LEFT(A88,LEN(A88)-2) &amp; RIGHT("00"&amp;COUNTIF($D$2:D89,D89),2),LEFT(A88,LEN(A88)-2)+1 &amp; "01"))</f>
        <v>3304</v>
      </c>
      <c r="B89" s="22">
        <f t="shared" si="2"/>
        <v>33</v>
      </c>
      <c r="C89" s="21">
        <f t="shared" si="3"/>
        <v>4</v>
      </c>
      <c r="D89" s="15" t="s">
        <v>31</v>
      </c>
      <c r="E89" t="s">
        <v>40</v>
      </c>
      <c r="F89" t="s">
        <v>141</v>
      </c>
      <c r="J89">
        <v>9</v>
      </c>
      <c r="K89">
        <v>5</v>
      </c>
      <c r="O89">
        <v>6</v>
      </c>
      <c r="P89" s="14">
        <v>36</v>
      </c>
    </row>
    <row r="90" spans="1:16" x14ac:dyDescent="0.4">
      <c r="A90" s="21" t="str">
        <f>IF(D90="","",IF(D90=D89,LEFT(A89,LEN(A89)-2) &amp; RIGHT("00"&amp;COUNTIF($D$2:D90,D90),2),LEFT(A89,LEN(A89)-2)+1 &amp; "01"))</f>
        <v>3401</v>
      </c>
      <c r="B90" s="22">
        <f t="shared" si="2"/>
        <v>34</v>
      </c>
      <c r="C90" s="21">
        <f t="shared" si="3"/>
        <v>1</v>
      </c>
      <c r="D90" s="15" t="s">
        <v>40</v>
      </c>
      <c r="O90">
        <v>1</v>
      </c>
      <c r="P90" s="14">
        <v>1200</v>
      </c>
    </row>
    <row r="91" spans="1:16" x14ac:dyDescent="0.4">
      <c r="A91" s="21" t="str">
        <f>IF(D91="","",IF(D91=D90,LEFT(A90,LEN(A90)-2) &amp; RIGHT("00"&amp;COUNTIF($D$2:D91,D91),2),LEFT(A90,LEN(A90)-2)+1 &amp; "01"))</f>
        <v>3402</v>
      </c>
      <c r="B91" s="22">
        <f t="shared" si="2"/>
        <v>34</v>
      </c>
      <c r="C91" s="21">
        <f t="shared" si="3"/>
        <v>2</v>
      </c>
      <c r="D91" s="15" t="s">
        <v>40</v>
      </c>
      <c r="E91" t="s">
        <v>189</v>
      </c>
      <c r="F91" t="s">
        <v>239</v>
      </c>
      <c r="J91">
        <v>1</v>
      </c>
      <c r="K91">
        <v>15</v>
      </c>
      <c r="O91">
        <v>12</v>
      </c>
      <c r="P91" s="14">
        <v>120</v>
      </c>
    </row>
    <row r="92" spans="1:16" x14ac:dyDescent="0.4">
      <c r="A92" s="21" t="str">
        <f>IF(D92="","",IF(D92=D91,LEFT(A91,LEN(A91)-2) &amp; RIGHT("00"&amp;COUNTIF($D$2:D92,D92),2),LEFT(A91,LEN(A91)-2)+1 &amp; "01"))</f>
        <v>3403</v>
      </c>
      <c r="B92" s="22">
        <f t="shared" si="2"/>
        <v>34</v>
      </c>
      <c r="C92" s="21">
        <f t="shared" si="3"/>
        <v>3</v>
      </c>
      <c r="D92" s="15" t="s">
        <v>40</v>
      </c>
      <c r="E92" t="s">
        <v>189</v>
      </c>
      <c r="F92" t="s">
        <v>237</v>
      </c>
      <c r="J92">
        <v>1</v>
      </c>
      <c r="K92">
        <v>12</v>
      </c>
      <c r="O92">
        <v>12</v>
      </c>
      <c r="P92" s="14">
        <v>120</v>
      </c>
    </row>
    <row r="93" spans="1:16" x14ac:dyDescent="0.4">
      <c r="A93" s="21" t="str">
        <f>IF(D93="","",IF(D93=D92,LEFT(A92,LEN(A92)-2) &amp; RIGHT("00"&amp;COUNTIF($D$2:D93,D93),2),LEFT(A92,LEN(A92)-2)+1 &amp; "01"))</f>
        <v>3501</v>
      </c>
      <c r="B93" s="22">
        <f t="shared" si="2"/>
        <v>35</v>
      </c>
      <c r="C93" s="21">
        <f t="shared" si="3"/>
        <v>1</v>
      </c>
      <c r="D93" s="15" t="s">
        <v>96</v>
      </c>
      <c r="E93" t="s">
        <v>31</v>
      </c>
      <c r="J93">
        <v>1</v>
      </c>
      <c r="O93">
        <v>5</v>
      </c>
      <c r="P93" s="14">
        <v>60</v>
      </c>
    </row>
    <row r="94" spans="1:16" x14ac:dyDescent="0.4">
      <c r="A94" s="21" t="str">
        <f>IF(D94="","",IF(D94=D93,LEFT(A93,LEN(A93)-2) &amp; RIGHT("00"&amp;COUNTIF($D$2:D94,D94),2),LEFT(A93,LEN(A93)-2)+1 &amp; "01"))</f>
        <v>3502</v>
      </c>
      <c r="B94" s="22">
        <f t="shared" si="2"/>
        <v>35</v>
      </c>
      <c r="C94" s="21">
        <f t="shared" si="3"/>
        <v>2</v>
      </c>
      <c r="D94" s="15" t="s">
        <v>96</v>
      </c>
      <c r="E94" t="s">
        <v>31</v>
      </c>
      <c r="F94" t="s">
        <v>29</v>
      </c>
      <c r="J94">
        <v>1</v>
      </c>
      <c r="K94">
        <v>5</v>
      </c>
      <c r="O94">
        <v>12</v>
      </c>
      <c r="P94" s="14">
        <v>90</v>
      </c>
    </row>
    <row r="95" spans="1:16" x14ac:dyDescent="0.4">
      <c r="A95" s="21" t="str">
        <f>IF(D95="","",IF(D95=D94,LEFT(A94,LEN(A94)-2) &amp; RIGHT("00"&amp;COUNTIF($D$2:D95,D95),2),LEFT(A94,LEN(A94)-2)+1 &amp; "01"))</f>
        <v>3601</v>
      </c>
      <c r="B95" s="22">
        <f t="shared" si="2"/>
        <v>36</v>
      </c>
      <c r="C95" s="21">
        <f t="shared" si="3"/>
        <v>1</v>
      </c>
      <c r="D95" s="15" t="s">
        <v>30</v>
      </c>
      <c r="E95" t="s">
        <v>33</v>
      </c>
      <c r="F95" t="s">
        <v>37</v>
      </c>
      <c r="J95">
        <v>3</v>
      </c>
      <c r="K95">
        <v>3</v>
      </c>
      <c r="O95">
        <v>3</v>
      </c>
      <c r="P95" s="14">
        <v>45</v>
      </c>
    </row>
    <row r="96" spans="1:16" x14ac:dyDescent="0.4">
      <c r="A96" s="21" t="str">
        <f>IF(D96="","",IF(D96=D95,LEFT(A95,LEN(A95)-2) &amp; RIGHT("00"&amp;COUNTIF($D$2:D96,D96),2),LEFT(A95,LEN(A95)-2)+1 &amp; "01"))</f>
        <v>3602</v>
      </c>
      <c r="B96" s="22">
        <f t="shared" si="2"/>
        <v>36</v>
      </c>
      <c r="C96" s="21">
        <f t="shared" si="3"/>
        <v>2</v>
      </c>
      <c r="D96" s="15" t="s">
        <v>30</v>
      </c>
      <c r="E96" t="s">
        <v>33</v>
      </c>
      <c r="F96" t="s">
        <v>38</v>
      </c>
      <c r="J96">
        <v>2</v>
      </c>
      <c r="K96">
        <v>1</v>
      </c>
      <c r="O96">
        <v>4</v>
      </c>
      <c r="P96" s="14">
        <v>10</v>
      </c>
    </row>
    <row r="97" spans="1:16" x14ac:dyDescent="0.4">
      <c r="A97" s="21" t="str">
        <f>IF(D97="","",IF(D97=D96,LEFT(A96,LEN(A96)-2) &amp; RIGHT("00"&amp;COUNTIF($D$2:D97,D97),2),LEFT(A96,LEN(A96)-2)+1 &amp; "01"))</f>
        <v>3603</v>
      </c>
      <c r="B97" s="22">
        <f t="shared" si="2"/>
        <v>36</v>
      </c>
      <c r="C97" s="21">
        <f t="shared" si="3"/>
        <v>3</v>
      </c>
      <c r="D97" s="15" t="s">
        <v>30</v>
      </c>
      <c r="E97" t="s">
        <v>33</v>
      </c>
      <c r="F97" t="s">
        <v>39</v>
      </c>
      <c r="J97">
        <v>15</v>
      </c>
      <c r="K97">
        <v>15</v>
      </c>
      <c r="O97">
        <v>20</v>
      </c>
      <c r="P97" s="14">
        <v>100</v>
      </c>
    </row>
    <row r="98" spans="1:16" x14ac:dyDescent="0.4">
      <c r="A98" s="21" t="str">
        <f>IF(D98="","",IF(D98=D97,LEFT(A97,LEN(A97)-2) &amp; RIGHT("00"&amp;COUNTIF($D$2:D98,D98),2),LEFT(A97,LEN(A97)-2)+1 &amp; "01"))</f>
        <v>3604</v>
      </c>
      <c r="B98" s="22">
        <f t="shared" si="2"/>
        <v>36</v>
      </c>
      <c r="C98" s="21">
        <f t="shared" si="3"/>
        <v>4</v>
      </c>
      <c r="D98" s="15" t="s">
        <v>30</v>
      </c>
      <c r="E98" t="s">
        <v>28</v>
      </c>
      <c r="F98" t="s">
        <v>37</v>
      </c>
      <c r="J98">
        <v>2</v>
      </c>
      <c r="K98">
        <v>2</v>
      </c>
      <c r="O98">
        <v>3</v>
      </c>
      <c r="P98" s="14">
        <v>60</v>
      </c>
    </row>
    <row r="99" spans="1:16" x14ac:dyDescent="0.4">
      <c r="A99" s="21" t="str">
        <f>IF(D99="","",IF(D99=D98,LEFT(A98,LEN(A98)-2) &amp; RIGHT("00"&amp;COUNTIF($D$2:D99,D99),2),LEFT(A98,LEN(A98)-2)+1 &amp; "01"))</f>
        <v>3701</v>
      </c>
      <c r="B99" s="22">
        <f t="shared" si="2"/>
        <v>37</v>
      </c>
      <c r="C99" s="21">
        <f t="shared" si="3"/>
        <v>1</v>
      </c>
      <c r="D99" s="15" t="s">
        <v>57</v>
      </c>
      <c r="E99" t="s">
        <v>30</v>
      </c>
      <c r="J99">
        <v>4</v>
      </c>
      <c r="O99">
        <v>1</v>
      </c>
      <c r="P99" s="14">
        <v>15</v>
      </c>
    </row>
    <row r="100" spans="1:16" x14ac:dyDescent="0.4">
      <c r="A100" s="21" t="str">
        <f>IF(D100="","",IF(D100=D99,LEFT(A99,LEN(A99)-2) &amp; RIGHT("00"&amp;COUNTIF($D$2:D100,D100),2),LEFT(A99,LEN(A99)-2)+1 &amp; "01"))</f>
        <v>3702</v>
      </c>
      <c r="B100" s="22">
        <f t="shared" si="2"/>
        <v>37</v>
      </c>
      <c r="C100" s="21">
        <f t="shared" si="3"/>
        <v>2</v>
      </c>
      <c r="D100" s="15" t="s">
        <v>57</v>
      </c>
      <c r="E100" t="s">
        <v>30</v>
      </c>
      <c r="F100" t="s">
        <v>150</v>
      </c>
      <c r="J100">
        <v>24</v>
      </c>
      <c r="K100">
        <v>16</v>
      </c>
      <c r="O100">
        <v>9</v>
      </c>
      <c r="P100" s="14">
        <v>45</v>
      </c>
    </row>
    <row r="101" spans="1:16" x14ac:dyDescent="0.4">
      <c r="A101" s="21" t="str">
        <f>IF(D101="","",IF(D101=D100,LEFT(A100,LEN(A100)-2) &amp; RIGHT("00"&amp;COUNTIF($D$2:D101,D101),2),LEFT(A100,LEN(A100)-2)+1 &amp; "01"))</f>
        <v>3703</v>
      </c>
      <c r="B101" s="22">
        <f t="shared" si="2"/>
        <v>37</v>
      </c>
      <c r="C101" s="21">
        <f t="shared" si="3"/>
        <v>3</v>
      </c>
      <c r="D101" s="15" t="s">
        <v>57</v>
      </c>
      <c r="E101" t="s">
        <v>146</v>
      </c>
      <c r="J101">
        <v>3</v>
      </c>
      <c r="O101">
        <v>3</v>
      </c>
      <c r="P101" s="14">
        <v>22.5</v>
      </c>
    </row>
    <row r="102" spans="1:16" x14ac:dyDescent="0.4">
      <c r="A102" s="21" t="str">
        <f>IF(D102="","",IF(D102=D101,LEFT(A101,LEN(A101)-2) &amp; RIGHT("00"&amp;COUNTIF($D$2:D102,D102),2),LEFT(A101,LEN(A101)-2)+1 &amp; "01"))</f>
        <v>3801</v>
      </c>
      <c r="B102" s="22">
        <f t="shared" si="2"/>
        <v>38</v>
      </c>
      <c r="C102" s="21">
        <f t="shared" si="3"/>
        <v>1</v>
      </c>
      <c r="D102" s="15" t="s">
        <v>67</v>
      </c>
      <c r="E102" t="s">
        <v>30</v>
      </c>
      <c r="J102">
        <v>3</v>
      </c>
      <c r="O102">
        <v>2</v>
      </c>
      <c r="P102" s="14">
        <v>20</v>
      </c>
    </row>
    <row r="103" spans="1:16" x14ac:dyDescent="0.4">
      <c r="A103" s="21" t="str">
        <f>IF(D103="","",IF(D103=D102,LEFT(A102,LEN(A102)-2) &amp; RIGHT("00"&amp;COUNTIF($D$2:D103,D103),2),LEFT(A102,LEN(A102)-2)+1 &amp; "01"))</f>
        <v>3802</v>
      </c>
      <c r="B103" s="22">
        <f t="shared" si="2"/>
        <v>38</v>
      </c>
      <c r="C103" s="21">
        <f t="shared" si="3"/>
        <v>2</v>
      </c>
      <c r="D103" s="15" t="s">
        <v>67</v>
      </c>
      <c r="E103" t="s">
        <v>143</v>
      </c>
      <c r="J103">
        <v>20</v>
      </c>
      <c r="O103">
        <v>5</v>
      </c>
      <c r="P103" s="14">
        <v>25</v>
      </c>
    </row>
    <row r="104" spans="1:16" x14ac:dyDescent="0.4">
      <c r="A104" s="21" t="str">
        <f>IF(D104="","",IF(D104=D103,LEFT(A103,LEN(A103)-2) &amp; RIGHT("00"&amp;COUNTIF($D$2:D104,D104),2),LEFT(A103,LEN(A103)-2)+1 &amp; "01"))</f>
        <v>3803</v>
      </c>
      <c r="B104" s="22">
        <f t="shared" si="2"/>
        <v>38</v>
      </c>
      <c r="C104" s="21">
        <f t="shared" si="3"/>
        <v>3</v>
      </c>
      <c r="D104" s="15" t="s">
        <v>67</v>
      </c>
      <c r="E104" t="s">
        <v>30</v>
      </c>
      <c r="F104" t="s">
        <v>150</v>
      </c>
      <c r="J104">
        <v>5</v>
      </c>
      <c r="K104">
        <v>3</v>
      </c>
      <c r="O104">
        <v>5</v>
      </c>
      <c r="P104" s="14">
        <v>50</v>
      </c>
    </row>
    <row r="105" spans="1:16" x14ac:dyDescent="0.4">
      <c r="A105" s="21" t="str">
        <f>IF(D105="","",IF(D105=D104,LEFT(A104,LEN(A104)-2) &amp; RIGHT("00"&amp;COUNTIF($D$2:D105,D105),2),LEFT(A104,LEN(A104)-2)+1 &amp; "01"))</f>
        <v>3901</v>
      </c>
      <c r="B105" s="22">
        <f t="shared" si="2"/>
        <v>39</v>
      </c>
      <c r="C105" s="21">
        <f t="shared" si="3"/>
        <v>1</v>
      </c>
      <c r="D105" s="15" t="s">
        <v>8</v>
      </c>
      <c r="E105" t="s">
        <v>10</v>
      </c>
      <c r="F105" t="s">
        <v>57</v>
      </c>
      <c r="J105">
        <v>1</v>
      </c>
      <c r="K105">
        <v>12</v>
      </c>
      <c r="O105">
        <v>2</v>
      </c>
      <c r="P105" s="14">
        <v>5</v>
      </c>
    </row>
    <row r="106" spans="1:16" x14ac:dyDescent="0.4">
      <c r="A106" s="21" t="str">
        <f>IF(D106="","",IF(D106=D105,LEFT(A105,LEN(A105)-2) &amp; RIGHT("00"&amp;COUNTIF($D$2:D106,D106),2),LEFT(A105,LEN(A105)-2)+1 &amp; "01"))</f>
        <v>3902</v>
      </c>
      <c r="B106" s="22">
        <f t="shared" si="2"/>
        <v>39</v>
      </c>
      <c r="C106" s="21">
        <f t="shared" si="3"/>
        <v>2</v>
      </c>
      <c r="D106" s="15" t="s">
        <v>8</v>
      </c>
      <c r="E106" t="s">
        <v>151</v>
      </c>
      <c r="F106" t="s">
        <v>152</v>
      </c>
      <c r="G106" t="s">
        <v>52</v>
      </c>
      <c r="J106">
        <v>1</v>
      </c>
      <c r="K106">
        <v>6</v>
      </c>
      <c r="L106">
        <v>8</v>
      </c>
      <c r="O106">
        <v>2</v>
      </c>
      <c r="P106" s="14">
        <v>7.5</v>
      </c>
    </row>
    <row r="107" spans="1:16" x14ac:dyDescent="0.4">
      <c r="A107" s="21" t="str">
        <f>IF(D107="","",IF(D107=D106,LEFT(A106,LEN(A106)-2) &amp; RIGHT("00"&amp;COUNTIF($D$2:D107,D107),2),LEFT(A106,LEN(A106)-2)+1 &amp; "01"))</f>
        <v>4001</v>
      </c>
      <c r="B107" s="22">
        <f t="shared" si="2"/>
        <v>40</v>
      </c>
      <c r="C107" s="21">
        <f t="shared" si="3"/>
        <v>1</v>
      </c>
      <c r="D107" s="15" t="s">
        <v>189</v>
      </c>
      <c r="E107" t="s">
        <v>190</v>
      </c>
      <c r="J107">
        <v>4</v>
      </c>
      <c r="O107">
        <v>1</v>
      </c>
      <c r="P107" s="14">
        <v>30</v>
      </c>
    </row>
    <row r="108" spans="1:16" x14ac:dyDescent="0.4">
      <c r="A108" s="21" t="str">
        <f>IF(D108="","",IF(D108=D107,LEFT(A107,LEN(A107)-2) &amp; RIGHT("00"&amp;COUNTIF($D$2:D108,D108),2),LEFT(A107,LEN(A107)-2)+1 &amp; "01"))</f>
        <v>4101</v>
      </c>
      <c r="B108" s="22">
        <f t="shared" si="2"/>
        <v>41</v>
      </c>
      <c r="C108" s="21">
        <f t="shared" si="3"/>
        <v>1</v>
      </c>
      <c r="D108" s="15" t="s">
        <v>190</v>
      </c>
      <c r="O108">
        <v>1</v>
      </c>
      <c r="P108" s="14">
        <v>1200</v>
      </c>
    </row>
    <row r="109" spans="1:16" x14ac:dyDescent="0.4">
      <c r="A109" s="21" t="str">
        <f>IF(D109="","",IF(D109=D108,LEFT(A108,LEN(A108)-2) &amp; RIGHT("00"&amp;COUNTIF($D$2:D109,D109),2),LEFT(A108,LEN(A108)-2)+1 &amp; "01"))</f>
        <v>4201</v>
      </c>
      <c r="B109" s="22">
        <f t="shared" si="2"/>
        <v>42</v>
      </c>
      <c r="C109" s="21">
        <f t="shared" si="3"/>
        <v>1</v>
      </c>
      <c r="D109" s="15" t="s">
        <v>79</v>
      </c>
      <c r="E109" t="s">
        <v>57</v>
      </c>
      <c r="F109" t="s">
        <v>53</v>
      </c>
      <c r="J109">
        <v>3</v>
      </c>
      <c r="K109">
        <v>6</v>
      </c>
      <c r="O109">
        <v>1</v>
      </c>
      <c r="P109" s="14">
        <v>6</v>
      </c>
    </row>
    <row r="110" spans="1:16" x14ac:dyDescent="0.4">
      <c r="A110" s="21" t="str">
        <f>IF(D110="","",IF(D110=D109,LEFT(A109,LEN(A109)-2) &amp; RIGHT("00"&amp;COUNTIF($D$2:D110,D110),2),LEFT(A109,LEN(A109)-2)+1 &amp; "01"))</f>
        <v>4202</v>
      </c>
      <c r="B110" s="22">
        <f t="shared" si="2"/>
        <v>42</v>
      </c>
      <c r="C110" s="21">
        <f t="shared" si="3"/>
        <v>2</v>
      </c>
      <c r="D110" s="15" t="s">
        <v>79</v>
      </c>
      <c r="E110" t="s">
        <v>67</v>
      </c>
      <c r="F110" t="s">
        <v>53</v>
      </c>
      <c r="J110">
        <v>6</v>
      </c>
      <c r="K110">
        <v>5</v>
      </c>
      <c r="O110">
        <v>1</v>
      </c>
      <c r="P110" s="14">
        <v>4</v>
      </c>
    </row>
    <row r="111" spans="1:16" x14ac:dyDescent="0.4">
      <c r="A111" s="21" t="str">
        <f>IF(D111="","",IF(D111=D110,LEFT(A110,LEN(A110)-2) &amp; RIGHT("00"&amp;COUNTIF($D$2:D111,D111),2),LEFT(A110,LEN(A110)-2)+1 &amp; "01"))</f>
        <v>4301</v>
      </c>
      <c r="B111" s="22">
        <f t="shared" si="2"/>
        <v>43</v>
      </c>
      <c r="C111" s="21">
        <f t="shared" si="3"/>
        <v>1</v>
      </c>
      <c r="D111" s="15" t="s">
        <v>80</v>
      </c>
      <c r="E111" t="s">
        <v>67</v>
      </c>
      <c r="F111" t="s">
        <v>50</v>
      </c>
      <c r="J111">
        <v>3</v>
      </c>
      <c r="K111">
        <v>8</v>
      </c>
      <c r="O111">
        <v>1</v>
      </c>
      <c r="P111" s="14">
        <v>5</v>
      </c>
    </row>
    <row r="112" spans="1:16" x14ac:dyDescent="0.4">
      <c r="A112" s="21" t="str">
        <f>IF(D112="","",IF(D112=D111,LEFT(A111,LEN(A111)-2) &amp; RIGHT("00"&amp;COUNTIF($D$2:D112,D112),2),LEFT(A111,LEN(A111)-2)+1 &amp; "01"))</f>
        <v>4302</v>
      </c>
      <c r="B112" s="22">
        <f t="shared" si="2"/>
        <v>43</v>
      </c>
      <c r="C112" s="21">
        <f t="shared" si="3"/>
        <v>2</v>
      </c>
      <c r="D112" s="15" t="s">
        <v>80</v>
      </c>
      <c r="E112" t="s">
        <v>155</v>
      </c>
      <c r="F112" t="s">
        <v>96</v>
      </c>
      <c r="J112">
        <v>4</v>
      </c>
      <c r="K112">
        <v>15</v>
      </c>
      <c r="O112">
        <v>2</v>
      </c>
      <c r="P112" s="14">
        <v>8</v>
      </c>
    </row>
    <row r="113" spans="1:16" x14ac:dyDescent="0.4">
      <c r="A113" s="21" t="str">
        <f>IF(D113="","",IF(D113=D112,LEFT(A112,LEN(A112)-2) &amp; RIGHT("00"&amp;COUNTIF($D$2:D113,D113),2),LEFT(A112,LEN(A112)-2)+1 &amp; "01"))</f>
        <v>4401</v>
      </c>
      <c r="B113" s="22">
        <f t="shared" si="2"/>
        <v>44</v>
      </c>
      <c r="C113" s="21">
        <f t="shared" si="3"/>
        <v>1</v>
      </c>
      <c r="D113" s="15" t="s">
        <v>82</v>
      </c>
      <c r="E113" t="s">
        <v>60</v>
      </c>
      <c r="F113" t="s">
        <v>80</v>
      </c>
      <c r="J113">
        <v>2</v>
      </c>
      <c r="K113">
        <v>2</v>
      </c>
      <c r="O113">
        <v>1</v>
      </c>
      <c r="P113" s="14">
        <v>5</v>
      </c>
    </row>
    <row r="114" spans="1:16" x14ac:dyDescent="0.4">
      <c r="A114" s="21" t="str">
        <f>IF(D114="","",IF(D114=D113,LEFT(A113,LEN(A113)-2) &amp; RIGHT("00"&amp;COUNTIF($D$2:D114,D114),2),LEFT(A113,LEN(A113)-2)+1 &amp; "01"))</f>
        <v>4402</v>
      </c>
      <c r="B114" s="22">
        <f t="shared" si="2"/>
        <v>44</v>
      </c>
      <c r="C114" s="21">
        <f t="shared" si="3"/>
        <v>2</v>
      </c>
      <c r="D114" s="15" t="s">
        <v>82</v>
      </c>
      <c r="E114" t="s">
        <v>191</v>
      </c>
      <c r="F114" t="s">
        <v>60</v>
      </c>
      <c r="J114">
        <v>1</v>
      </c>
      <c r="K114">
        <v>2</v>
      </c>
      <c r="O114">
        <v>2</v>
      </c>
      <c r="P114" s="14">
        <v>7.5</v>
      </c>
    </row>
    <row r="115" spans="1:16" x14ac:dyDescent="0.4">
      <c r="A115" s="21" t="str">
        <f>IF(D115="","",IF(D115=D114,LEFT(A114,LEN(A114)-2) &amp; RIGHT("00"&amp;COUNTIF($D$2:D115,D115),2),LEFT(A114,LEN(A114)-2)+1 &amp; "01"))</f>
        <v>4403</v>
      </c>
      <c r="B115" s="22">
        <f t="shared" si="2"/>
        <v>44</v>
      </c>
      <c r="C115" s="21">
        <f t="shared" si="3"/>
        <v>3</v>
      </c>
      <c r="D115" s="15" t="s">
        <v>82</v>
      </c>
      <c r="E115" t="s">
        <v>60</v>
      </c>
      <c r="F115" t="s">
        <v>80</v>
      </c>
      <c r="G115" t="s">
        <v>135</v>
      </c>
      <c r="J115">
        <v>3</v>
      </c>
      <c r="K115">
        <v>3</v>
      </c>
      <c r="L115">
        <v>1</v>
      </c>
      <c r="O115">
        <v>6</v>
      </c>
      <c r="P115" s="14">
        <v>7.5</v>
      </c>
    </row>
    <row r="116" spans="1:16" x14ac:dyDescent="0.4">
      <c r="A116" s="21" t="str">
        <f>IF(D116="","",IF(D116=D115,LEFT(A115,LEN(A115)-2) &amp; RIGHT("00"&amp;COUNTIF($D$2:D116,D116),2),LEFT(A115,LEN(A115)-2)+1 &amp; "01"))</f>
        <v>4501</v>
      </c>
      <c r="B116" s="22">
        <f t="shared" si="2"/>
        <v>45</v>
      </c>
      <c r="C116" s="21">
        <f t="shared" si="3"/>
        <v>1</v>
      </c>
      <c r="D116" s="15" t="s">
        <v>83</v>
      </c>
      <c r="E116" t="s">
        <v>80</v>
      </c>
      <c r="F116" t="s">
        <v>51</v>
      </c>
      <c r="J116">
        <v>1</v>
      </c>
      <c r="K116">
        <v>20</v>
      </c>
      <c r="O116">
        <v>1</v>
      </c>
      <c r="P116" s="14">
        <v>2.5</v>
      </c>
    </row>
    <row r="117" spans="1:16" x14ac:dyDescent="0.4">
      <c r="A117" s="21" t="str">
        <f>IF(D117="","",IF(D117=D116,LEFT(A116,LEN(A116)-2) &amp; RIGHT("00"&amp;COUNTIF($D$2:D117,D117),2),LEFT(A116,LEN(A116)-2)+1 &amp; "01"))</f>
        <v>4502</v>
      </c>
      <c r="B117" s="22">
        <f t="shared" si="2"/>
        <v>45</v>
      </c>
      <c r="C117" s="21">
        <f t="shared" si="3"/>
        <v>2</v>
      </c>
      <c r="D117" s="15" t="s">
        <v>83</v>
      </c>
      <c r="E117" t="s">
        <v>80</v>
      </c>
      <c r="F117" t="s">
        <v>50</v>
      </c>
      <c r="G117" t="s">
        <v>64</v>
      </c>
      <c r="J117">
        <v>2</v>
      </c>
      <c r="K117">
        <v>40</v>
      </c>
      <c r="L117">
        <v>1</v>
      </c>
      <c r="O117">
        <v>4</v>
      </c>
      <c r="P117" s="14">
        <v>7.5</v>
      </c>
    </row>
    <row r="118" spans="1:16" x14ac:dyDescent="0.4">
      <c r="A118" s="21" t="str">
        <f>IF(D118="","",IF(D118=D117,LEFT(A117,LEN(A117)-2) &amp; RIGHT("00"&amp;COUNTIF($D$2:D118,D118),2),LEFT(A117,LEN(A117)-2)+1 &amp; "01"))</f>
        <v>4601</v>
      </c>
      <c r="B118" s="22">
        <f t="shared" si="2"/>
        <v>46</v>
      </c>
      <c r="C118" s="21">
        <f t="shared" si="3"/>
        <v>1</v>
      </c>
      <c r="D118" s="15" t="s">
        <v>192</v>
      </c>
      <c r="E118" t="s">
        <v>189</v>
      </c>
      <c r="F118" t="s">
        <v>50</v>
      </c>
      <c r="G118" t="s">
        <v>67</v>
      </c>
      <c r="J118">
        <v>6</v>
      </c>
      <c r="K118">
        <v>5</v>
      </c>
      <c r="L118">
        <v>3</v>
      </c>
      <c r="O118">
        <v>1</v>
      </c>
      <c r="P118" s="14">
        <v>10</v>
      </c>
    </row>
    <row r="119" spans="1:16" x14ac:dyDescent="0.4">
      <c r="A119" s="21" t="str">
        <f>IF(D119="","",IF(D119=D118,LEFT(A118,LEN(A118)-2) &amp; RIGHT("00"&amp;COUNTIF($D$2:D119,D119),2),LEFT(A118,LEN(A118)-2)+1 &amp; "01"))</f>
        <v>4701</v>
      </c>
      <c r="B119" s="22">
        <f t="shared" si="2"/>
        <v>47</v>
      </c>
      <c r="C119" s="21">
        <f t="shared" si="3"/>
        <v>1</v>
      </c>
      <c r="D119" s="15" t="s">
        <v>101</v>
      </c>
      <c r="E119" t="s">
        <v>81</v>
      </c>
      <c r="J119">
        <v>5</v>
      </c>
      <c r="O119">
        <v>3</v>
      </c>
      <c r="P119" s="14">
        <v>22.5</v>
      </c>
    </row>
    <row r="120" spans="1:16" x14ac:dyDescent="0.4">
      <c r="A120" s="21" t="str">
        <f>IF(D120="","",IF(D120=D119,LEFT(A119,LEN(A119)-2) &amp; RIGHT("00"&amp;COUNTIF($D$2:D120,D120),2),LEFT(A119,LEN(A119)-2)+1 &amp; "01"))</f>
        <v>4702</v>
      </c>
      <c r="B120" s="22">
        <f t="shared" si="2"/>
        <v>47</v>
      </c>
      <c r="C120" s="21">
        <f t="shared" si="3"/>
        <v>2</v>
      </c>
      <c r="D120" s="15" t="s">
        <v>101</v>
      </c>
      <c r="E120" t="s">
        <v>81</v>
      </c>
      <c r="F120" t="s">
        <v>36</v>
      </c>
      <c r="J120">
        <v>9</v>
      </c>
      <c r="K120">
        <v>5</v>
      </c>
      <c r="O120">
        <v>7</v>
      </c>
      <c r="P120" s="14">
        <v>52.5</v>
      </c>
    </row>
    <row r="121" spans="1:16" x14ac:dyDescent="0.4">
      <c r="A121" s="21" t="str">
        <f>IF(D121="","",IF(D121=D120,LEFT(A120,LEN(A120)-2) &amp; RIGHT("00"&amp;COUNTIF($D$2:D121,D121),2),LEFT(A120,LEN(A120)-2)+1 &amp; "01"))</f>
        <v>4703</v>
      </c>
      <c r="B121" s="22">
        <f t="shared" si="2"/>
        <v>47</v>
      </c>
      <c r="C121" s="21">
        <f t="shared" si="3"/>
        <v>3</v>
      </c>
      <c r="D121" s="15" t="s">
        <v>101</v>
      </c>
      <c r="E121" t="s">
        <v>158</v>
      </c>
      <c r="F121" t="s">
        <v>160</v>
      </c>
      <c r="I121" s="14" t="s">
        <v>153</v>
      </c>
      <c r="J121">
        <v>24</v>
      </c>
      <c r="K121">
        <v>2</v>
      </c>
      <c r="N121" s="14">
        <v>12</v>
      </c>
      <c r="O121">
        <v>15</v>
      </c>
      <c r="P121" s="14">
        <v>75</v>
      </c>
    </row>
    <row r="122" spans="1:16" x14ac:dyDescent="0.4">
      <c r="A122" s="21" t="str">
        <f>IF(D122="","",IF(D122=D121,LEFT(A121,LEN(A121)-2) &amp; RIGHT("00"&amp;COUNTIF($D$2:D122,D122),2),LEFT(A121,LEN(A121)-2)+1 &amp; "01"))</f>
        <v>4704</v>
      </c>
      <c r="B122" s="22">
        <f t="shared" si="2"/>
        <v>47</v>
      </c>
      <c r="C122" s="21">
        <f t="shared" si="3"/>
        <v>4</v>
      </c>
      <c r="D122" s="15" t="s">
        <v>101</v>
      </c>
      <c r="E122" t="s">
        <v>158</v>
      </c>
      <c r="F122" t="s">
        <v>159</v>
      </c>
      <c r="J122">
        <v>25</v>
      </c>
      <c r="K122">
        <v>12</v>
      </c>
      <c r="O122">
        <v>18</v>
      </c>
      <c r="P122" s="14">
        <v>54</v>
      </c>
    </row>
    <row r="123" spans="1:16" x14ac:dyDescent="0.4">
      <c r="A123" s="21" t="str">
        <f>IF(D123="","",IF(D123=D122,LEFT(A122,LEN(A122)-2) &amp; RIGHT("00"&amp;COUNTIF($D$2:D123,D123),2),LEFT(A122,LEN(A122)-2)+1 &amp; "01"))</f>
        <v>4801</v>
      </c>
      <c r="B123" s="22">
        <f t="shared" si="2"/>
        <v>48</v>
      </c>
      <c r="C123" s="21">
        <f t="shared" si="3"/>
        <v>1</v>
      </c>
      <c r="D123" s="15" t="s">
        <v>237</v>
      </c>
      <c r="O123">
        <v>1</v>
      </c>
      <c r="P123" s="14">
        <v>1200</v>
      </c>
    </row>
    <row r="124" spans="1:16" x14ac:dyDescent="0.4">
      <c r="A124" s="21" t="str">
        <f>IF(D124="","",IF(D124=D123,LEFT(A123,LEN(A123)-2) &amp; RIGHT("00"&amp;COUNTIF($D$2:D124,D124),2),LEFT(A123,LEN(A123)-2)+1 &amp; "01"))</f>
        <v>4802</v>
      </c>
      <c r="B124" s="22">
        <f t="shared" si="2"/>
        <v>48</v>
      </c>
      <c r="C124" s="21">
        <f t="shared" si="3"/>
        <v>2</v>
      </c>
      <c r="D124" s="15" t="s">
        <v>237</v>
      </c>
      <c r="E124" t="s">
        <v>189</v>
      </c>
      <c r="F124" t="s">
        <v>240</v>
      </c>
      <c r="J124">
        <v>1</v>
      </c>
      <c r="K124">
        <v>10</v>
      </c>
      <c r="O124">
        <v>12</v>
      </c>
      <c r="P124" s="14">
        <v>120</v>
      </c>
    </row>
    <row r="125" spans="1:16" x14ac:dyDescent="0.4">
      <c r="A125" s="21" t="str">
        <f>IF(D125="","",IF(D125=D124,LEFT(A124,LEN(A124)-2) &amp; RIGHT("00"&amp;COUNTIF($D$2:D125,D125),2),LEFT(A124,LEN(A124)-2)+1 &amp; "01"))</f>
        <v>4803</v>
      </c>
      <c r="B125" s="22">
        <f t="shared" si="2"/>
        <v>48</v>
      </c>
      <c r="C125" s="21">
        <f t="shared" si="3"/>
        <v>3</v>
      </c>
      <c r="D125" s="15" t="s">
        <v>237</v>
      </c>
      <c r="E125" t="s">
        <v>189</v>
      </c>
      <c r="F125" t="s">
        <v>210</v>
      </c>
      <c r="J125">
        <v>1</v>
      </c>
      <c r="K125">
        <v>24</v>
      </c>
      <c r="O125">
        <v>12</v>
      </c>
      <c r="P125" s="14">
        <v>120</v>
      </c>
    </row>
    <row r="126" spans="1:16" x14ac:dyDescent="0.4">
      <c r="A126" s="21" t="str">
        <f>IF(D126="","",IF(D126=D125,LEFT(A125,LEN(A125)-2) &amp; RIGHT("00"&amp;COUNTIF($D$2:D126,D126),2),LEFT(A125,LEN(A125)-2)+1 &amp; "01"))</f>
        <v>4901</v>
      </c>
      <c r="B126" s="22">
        <f t="shared" si="2"/>
        <v>49</v>
      </c>
      <c r="C126" s="21">
        <f t="shared" si="3"/>
        <v>1</v>
      </c>
      <c r="D126" s="15" t="s">
        <v>279</v>
      </c>
      <c r="E126" t="s">
        <v>104</v>
      </c>
      <c r="F126" t="s">
        <v>67</v>
      </c>
      <c r="J126">
        <v>2</v>
      </c>
      <c r="K126">
        <v>2</v>
      </c>
      <c r="O126">
        <v>1</v>
      </c>
      <c r="P126" s="14">
        <v>10</v>
      </c>
    </row>
    <row r="127" spans="1:16" x14ac:dyDescent="0.4">
      <c r="A127" s="21" t="str">
        <f>IF(D127="","",IF(D127=D126,LEFT(A126,LEN(A126)-2) &amp; RIGHT("00"&amp;COUNTIF($D$2:D127,D127),2),LEFT(A126,LEN(A126)-2)+1 &amp; "01"))</f>
        <v>5001</v>
      </c>
      <c r="B127" s="22">
        <f t="shared" si="2"/>
        <v>50</v>
      </c>
      <c r="C127" s="21">
        <f t="shared" si="3"/>
        <v>1</v>
      </c>
      <c r="D127" s="15" t="s">
        <v>63</v>
      </c>
      <c r="E127" t="s">
        <v>59</v>
      </c>
      <c r="F127" t="s">
        <v>96</v>
      </c>
      <c r="J127">
        <v>5</v>
      </c>
      <c r="K127">
        <v>20</v>
      </c>
      <c r="O127">
        <v>1</v>
      </c>
      <c r="P127" s="14">
        <v>5</v>
      </c>
    </row>
    <row r="128" spans="1:16" x14ac:dyDescent="0.4">
      <c r="A128" s="21" t="str">
        <f>IF(D128="","",IF(D128=D127,LEFT(A127,LEN(A127)-2) &amp; RIGHT("00"&amp;COUNTIF($D$2:D128,D128),2),LEFT(A127,LEN(A127)-2)+1 &amp; "01"))</f>
        <v>5002</v>
      </c>
      <c r="B128" s="22">
        <f t="shared" si="2"/>
        <v>50</v>
      </c>
      <c r="C128" s="21">
        <f t="shared" si="3"/>
        <v>2</v>
      </c>
      <c r="D128" s="15" t="s">
        <v>63</v>
      </c>
      <c r="E128" t="s">
        <v>96</v>
      </c>
      <c r="F128" t="s">
        <v>48</v>
      </c>
      <c r="J128">
        <v>30</v>
      </c>
      <c r="K128">
        <v>7</v>
      </c>
      <c r="O128">
        <v>2</v>
      </c>
      <c r="P128" s="14">
        <v>8</v>
      </c>
    </row>
    <row r="129" spans="1:16" x14ac:dyDescent="0.4">
      <c r="A129" s="21" t="str">
        <f>IF(D129="","",IF(D129=D128,LEFT(A128,LEN(A128)-2) &amp; RIGHT("00"&amp;COUNTIF($D$2:D129,D129),2),LEFT(A128,LEN(A128)-2)+1 &amp; "01"))</f>
        <v>5101</v>
      </c>
      <c r="B129" s="22">
        <f t="shared" si="2"/>
        <v>51</v>
      </c>
      <c r="C129" s="21">
        <f t="shared" si="3"/>
        <v>1</v>
      </c>
      <c r="D129" s="15" t="s">
        <v>39</v>
      </c>
      <c r="E129" t="s">
        <v>76</v>
      </c>
      <c r="J129">
        <v>4</v>
      </c>
      <c r="O129">
        <v>12</v>
      </c>
      <c r="P129" s="14">
        <v>120</v>
      </c>
    </row>
    <row r="130" spans="1:16" x14ac:dyDescent="0.4">
      <c r="A130" s="21" t="str">
        <f>IF(D130="","",IF(D130=D129,LEFT(A129,LEN(A129)-2) &amp; RIGHT("00"&amp;COUNTIF($D$2:D130,D130),2),LEFT(A129,LEN(A129)-2)+1 &amp; "01"))</f>
        <v>5201</v>
      </c>
      <c r="B130" s="22">
        <f t="shared" si="2"/>
        <v>52</v>
      </c>
      <c r="C130" s="21">
        <f t="shared" si="3"/>
        <v>1</v>
      </c>
      <c r="D130" s="15" t="s">
        <v>76</v>
      </c>
      <c r="E130" t="s">
        <v>74</v>
      </c>
      <c r="I130" s="14" t="s">
        <v>92</v>
      </c>
      <c r="J130">
        <v>3</v>
      </c>
      <c r="N130" s="14">
        <v>2</v>
      </c>
      <c r="O130">
        <v>4</v>
      </c>
      <c r="P130" s="14">
        <v>40</v>
      </c>
    </row>
    <row r="131" spans="1:16" x14ac:dyDescent="0.4">
      <c r="A131" s="21" t="str">
        <f>IF(D131="","",IF(D131=D130,LEFT(A130,LEN(A130)-2) &amp; RIGHT("00"&amp;COUNTIF($D$2:D131,D131),2),LEFT(A130,LEN(A130)-2)+1 &amp; "01"))</f>
        <v>5202</v>
      </c>
      <c r="B131" s="22">
        <f t="shared" ref="B131:B194" si="4">IFERROR(VALUE(LEFT(A131,LEN(A131)-2)),"")</f>
        <v>52</v>
      </c>
      <c r="C131" s="21">
        <f t="shared" ref="C131:C194" si="5">IFERROR(VALUE( RIGHT(A131,2)),"")</f>
        <v>2</v>
      </c>
      <c r="D131" s="15" t="s">
        <v>76</v>
      </c>
      <c r="E131" t="s">
        <v>74</v>
      </c>
      <c r="I131" s="14" t="s">
        <v>48</v>
      </c>
      <c r="J131">
        <v>3</v>
      </c>
      <c r="N131" s="14">
        <v>2</v>
      </c>
      <c r="O131">
        <v>1</v>
      </c>
      <c r="P131" s="14">
        <v>10</v>
      </c>
    </row>
    <row r="132" spans="1:16" x14ac:dyDescent="0.4">
      <c r="A132" s="21" t="str">
        <f>IF(D132="","",IF(D132=D131,LEFT(A131,LEN(A131)-2) &amp; RIGHT("00"&amp;COUNTIF($D$2:D132,D132),2),LEFT(A131,LEN(A131)-2)+1 &amp; "01"))</f>
        <v>5203</v>
      </c>
      <c r="B132" s="22">
        <f t="shared" si="4"/>
        <v>52</v>
      </c>
      <c r="C132" s="21">
        <f t="shared" si="5"/>
        <v>3</v>
      </c>
      <c r="D132" s="15" t="s">
        <v>76</v>
      </c>
      <c r="E132" t="s">
        <v>74</v>
      </c>
      <c r="I132" s="14" t="s">
        <v>52</v>
      </c>
      <c r="J132">
        <v>3</v>
      </c>
      <c r="N132" s="14">
        <v>2</v>
      </c>
      <c r="O132">
        <v>2</v>
      </c>
      <c r="P132" s="14">
        <v>20</v>
      </c>
    </row>
    <row r="133" spans="1:16" x14ac:dyDescent="0.4">
      <c r="A133" s="21" t="str">
        <f>IF(D133="","",IF(D133=D132,LEFT(A132,LEN(A132)-2) &amp; RIGHT("00"&amp;COUNTIF($D$2:D133,D133),2),LEFT(A132,LEN(A132)-2)+1 &amp; "01"))</f>
        <v>5204</v>
      </c>
      <c r="B133" s="22">
        <f t="shared" si="4"/>
        <v>52</v>
      </c>
      <c r="C133" s="21">
        <f t="shared" si="5"/>
        <v>4</v>
      </c>
      <c r="D133" s="15" t="s">
        <v>76</v>
      </c>
      <c r="E133" t="s">
        <v>74</v>
      </c>
      <c r="I133" s="14" t="s">
        <v>92</v>
      </c>
      <c r="J133">
        <v>6</v>
      </c>
      <c r="N133" s="14">
        <v>13</v>
      </c>
      <c r="O133">
        <v>2</v>
      </c>
      <c r="P133" s="14">
        <v>20</v>
      </c>
    </row>
    <row r="134" spans="1:16" x14ac:dyDescent="0.4">
      <c r="A134" s="21" t="str">
        <f>IF(D134="","",IF(D134=D133,LEFT(A133,LEN(A133)-2) &amp; RIGHT("00"&amp;COUNTIF($D$2:D134,D134),2),LEFT(A133,LEN(A133)-2)+1 &amp; "01"))</f>
        <v>5205</v>
      </c>
      <c r="B134" s="22">
        <f t="shared" si="4"/>
        <v>52</v>
      </c>
      <c r="C134" s="21">
        <f t="shared" si="5"/>
        <v>5</v>
      </c>
      <c r="D134" s="15" t="s">
        <v>76</v>
      </c>
      <c r="E134" t="s">
        <v>196</v>
      </c>
      <c r="I134" s="14" t="s">
        <v>45</v>
      </c>
      <c r="J134">
        <v>2</v>
      </c>
      <c r="N134" s="14">
        <v>2</v>
      </c>
      <c r="O134">
        <v>2</v>
      </c>
      <c r="P134" s="14">
        <v>20</v>
      </c>
    </row>
    <row r="135" spans="1:16" x14ac:dyDescent="0.4">
      <c r="A135" s="21" t="str">
        <f>IF(D135="","",IF(D135=D134,LEFT(A134,LEN(A134)-2) &amp; RIGHT("00"&amp;COUNTIF($D$2:D135,D135),2),LEFT(A134,LEN(A134)-2)+1 &amp; "01"))</f>
        <v>5301</v>
      </c>
      <c r="B135" s="22">
        <f t="shared" si="4"/>
        <v>53</v>
      </c>
      <c r="C135" s="21">
        <f t="shared" si="5"/>
        <v>1</v>
      </c>
      <c r="D135" s="15" t="s">
        <v>93</v>
      </c>
      <c r="E135" t="s">
        <v>59</v>
      </c>
      <c r="F135" t="s">
        <v>48</v>
      </c>
      <c r="J135">
        <v>2</v>
      </c>
      <c r="K135">
        <v>4</v>
      </c>
      <c r="O135">
        <v>1</v>
      </c>
      <c r="P135" s="14">
        <v>7.5</v>
      </c>
    </row>
    <row r="136" spans="1:16" x14ac:dyDescent="0.4">
      <c r="A136" s="21" t="str">
        <f>IF(D136="","",IF(D136=D135,LEFT(A135,LEN(A135)-2) &amp; RIGHT("00"&amp;COUNTIF($D$2:D136,D136),2),LEFT(A135,LEN(A135)-2)+1 &amp; "01"))</f>
        <v>5302</v>
      </c>
      <c r="B136" s="22">
        <f t="shared" si="4"/>
        <v>53</v>
      </c>
      <c r="C136" s="21">
        <f t="shared" si="5"/>
        <v>2</v>
      </c>
      <c r="D136" s="15" t="s">
        <v>93</v>
      </c>
      <c r="E136" t="s">
        <v>52</v>
      </c>
      <c r="F136" t="s">
        <v>39</v>
      </c>
      <c r="J136">
        <v>4</v>
      </c>
      <c r="K136">
        <v>8</v>
      </c>
      <c r="O136">
        <v>1</v>
      </c>
      <c r="P136" s="14">
        <v>5</v>
      </c>
    </row>
    <row r="137" spans="1:16" x14ac:dyDescent="0.4">
      <c r="A137" s="21" t="str">
        <f>IF(D137="","",IF(D137=D136,LEFT(A136,LEN(A136)-2) &amp; RIGHT("00"&amp;COUNTIF($D$2:D137,D137),2),LEFT(A136,LEN(A136)-2)+1 &amp; "01"))</f>
        <v>5303</v>
      </c>
      <c r="B137" s="22">
        <f t="shared" si="4"/>
        <v>53</v>
      </c>
      <c r="C137" s="21">
        <f t="shared" si="5"/>
        <v>3</v>
      </c>
      <c r="D137" s="15" t="s">
        <v>93</v>
      </c>
      <c r="E137" t="s">
        <v>59</v>
      </c>
      <c r="F137" t="s">
        <v>42</v>
      </c>
      <c r="J137">
        <v>11</v>
      </c>
      <c r="K137">
        <v>11</v>
      </c>
      <c r="O137">
        <v>5</v>
      </c>
      <c r="P137" s="14">
        <v>12.5</v>
      </c>
    </row>
    <row r="138" spans="1:16" x14ac:dyDescent="0.4">
      <c r="A138" s="21" t="str">
        <f>IF(D138="","",IF(D138=D137,LEFT(A137,LEN(A137)-2) &amp; RIGHT("00"&amp;COUNTIF($D$2:D138,D138),2),LEFT(A137,LEN(A137)-2)+1 &amp; "01"))</f>
        <v>5304</v>
      </c>
      <c r="B138" s="22">
        <f t="shared" si="4"/>
        <v>53</v>
      </c>
      <c r="C138" s="21">
        <f t="shared" si="5"/>
        <v>4</v>
      </c>
      <c r="D138" s="15" t="s">
        <v>93</v>
      </c>
      <c r="E138" t="s">
        <v>48</v>
      </c>
      <c r="F138" t="s">
        <v>96</v>
      </c>
      <c r="J138">
        <v>10</v>
      </c>
      <c r="K138">
        <v>30</v>
      </c>
      <c r="O138">
        <v>7</v>
      </c>
      <c r="P138" s="14">
        <v>8.75</v>
      </c>
    </row>
    <row r="139" spans="1:16" x14ac:dyDescent="0.4">
      <c r="A139" s="21" t="str">
        <f>IF(D139="","",IF(D139=D138,LEFT(A138,LEN(A138)-2) &amp; RIGHT("00"&amp;COUNTIF($D$2:D139,D139),2),LEFT(A138,LEN(A138)-2)+1 &amp; "01"))</f>
        <v>5401</v>
      </c>
      <c r="B139" s="22">
        <f t="shared" si="4"/>
        <v>54</v>
      </c>
      <c r="C139" s="21">
        <f t="shared" si="5"/>
        <v>1</v>
      </c>
      <c r="D139" s="15" t="s">
        <v>48</v>
      </c>
      <c r="E139" t="s">
        <v>74</v>
      </c>
      <c r="I139" s="14" t="s">
        <v>76</v>
      </c>
      <c r="J139">
        <v>3</v>
      </c>
      <c r="N139" s="14">
        <v>1</v>
      </c>
      <c r="O139">
        <v>2</v>
      </c>
      <c r="P139" s="14">
        <v>20</v>
      </c>
    </row>
    <row r="140" spans="1:16" x14ac:dyDescent="0.4">
      <c r="A140" s="21" t="str">
        <f>IF(D140="","",IF(D140=D139,LEFT(A139,LEN(A139)-2) &amp; RIGHT("00"&amp;COUNTIF($D$2:D140,D140),2),LEFT(A139,LEN(A139)-2)+1 &amp; "01"))</f>
        <v>5402</v>
      </c>
      <c r="B140" s="22">
        <f t="shared" si="4"/>
        <v>54</v>
      </c>
      <c r="C140" s="21">
        <f t="shared" si="5"/>
        <v>2</v>
      </c>
      <c r="D140" s="15" t="s">
        <v>48</v>
      </c>
      <c r="E140" t="s">
        <v>92</v>
      </c>
      <c r="F140" t="s">
        <v>36</v>
      </c>
      <c r="J140">
        <v>6</v>
      </c>
      <c r="K140">
        <v>2</v>
      </c>
      <c r="O140">
        <v>2</v>
      </c>
      <c r="P140" s="14">
        <v>20</v>
      </c>
    </row>
    <row r="141" spans="1:16" x14ac:dyDescent="0.4">
      <c r="A141" s="21" t="str">
        <f>IF(D141="","",IF(D141=D140,LEFT(A140,LEN(A140)-2) &amp; RIGHT("00"&amp;COUNTIF($D$2:D141,D141),2),LEFT(A140,LEN(A140)-2)+1 &amp; "01"))</f>
        <v>5403</v>
      </c>
      <c r="B141" s="22">
        <f t="shared" si="4"/>
        <v>54</v>
      </c>
      <c r="C141" s="21">
        <f t="shared" si="5"/>
        <v>3</v>
      </c>
      <c r="D141" s="15" t="s">
        <v>48</v>
      </c>
      <c r="E141" t="s">
        <v>52</v>
      </c>
      <c r="F141" t="s">
        <v>156</v>
      </c>
      <c r="J141">
        <v>6</v>
      </c>
      <c r="K141">
        <v>6</v>
      </c>
      <c r="O141">
        <v>12</v>
      </c>
      <c r="P141" s="14">
        <v>60</v>
      </c>
    </row>
    <row r="142" spans="1:16" x14ac:dyDescent="0.4">
      <c r="A142" s="21" t="str">
        <f>IF(D142="","",IF(D142=D141,LEFT(A141,LEN(A141)-2) &amp; RIGHT("00"&amp;COUNTIF($D$2:D142,D142),2),LEFT(A141,LEN(A141)-2)+1 &amp; "01"))</f>
        <v>5501</v>
      </c>
      <c r="B142" s="22">
        <f t="shared" si="4"/>
        <v>55</v>
      </c>
      <c r="C142" s="21">
        <f t="shared" si="5"/>
        <v>1</v>
      </c>
      <c r="D142" s="15" t="s">
        <v>92</v>
      </c>
      <c r="E142" t="s">
        <v>74</v>
      </c>
      <c r="I142" s="14" t="s">
        <v>75</v>
      </c>
      <c r="J142">
        <v>6</v>
      </c>
      <c r="N142" s="14">
        <v>4</v>
      </c>
      <c r="O142">
        <v>3</v>
      </c>
      <c r="P142" s="14">
        <v>30</v>
      </c>
    </row>
    <row r="143" spans="1:16" x14ac:dyDescent="0.4">
      <c r="A143" s="21" t="str">
        <f>IF(D143="","",IF(D143=D142,LEFT(A142,LEN(A142)-2) &amp; RIGHT("00"&amp;COUNTIF($D$2:D143,D143),2),LEFT(A142,LEN(A142)-2)+1 &amp; "01"))</f>
        <v>5502</v>
      </c>
      <c r="B143" s="22">
        <f t="shared" si="4"/>
        <v>55</v>
      </c>
      <c r="C143" s="21">
        <f t="shared" si="5"/>
        <v>2</v>
      </c>
      <c r="D143" s="15" t="s">
        <v>92</v>
      </c>
      <c r="E143" t="s">
        <v>74</v>
      </c>
      <c r="I143" s="14" t="s">
        <v>76</v>
      </c>
      <c r="J143">
        <v>3</v>
      </c>
      <c r="N143" s="14">
        <v>4</v>
      </c>
      <c r="O143">
        <v>2</v>
      </c>
      <c r="P143" s="14">
        <v>20</v>
      </c>
    </row>
    <row r="144" spans="1:16" x14ac:dyDescent="0.4">
      <c r="A144" s="21" t="str">
        <f>IF(D144="","",IF(D144=D143,LEFT(A143,LEN(A143)-2) &amp; RIGHT("00"&amp;COUNTIF($D$2:D144,D144),2),LEFT(A143,LEN(A143)-2)+1 &amp; "01"))</f>
        <v>5503</v>
      </c>
      <c r="B144" s="22">
        <f t="shared" si="4"/>
        <v>55</v>
      </c>
      <c r="C144" s="21">
        <f t="shared" si="5"/>
        <v>3</v>
      </c>
      <c r="D144" s="15" t="s">
        <v>92</v>
      </c>
      <c r="E144" t="s">
        <v>74</v>
      </c>
      <c r="I144" s="14" t="s">
        <v>76</v>
      </c>
      <c r="J144">
        <v>6</v>
      </c>
      <c r="N144" s="14">
        <v>2</v>
      </c>
      <c r="O144">
        <v>13</v>
      </c>
      <c r="P144" s="14">
        <v>130</v>
      </c>
    </row>
    <row r="145" spans="1:16" x14ac:dyDescent="0.4">
      <c r="A145" s="21" t="str">
        <f>IF(D145="","",IF(D145=D144,LEFT(A144,LEN(A144)-2) &amp; RIGHT("00"&amp;COUNTIF($D$2:D145,D145),2),LEFT(A144,LEN(A144)-2)+1 &amp; "01"))</f>
        <v>5601</v>
      </c>
      <c r="B145" s="22">
        <f t="shared" si="4"/>
        <v>56</v>
      </c>
      <c r="C145" s="21">
        <f t="shared" si="5"/>
        <v>1</v>
      </c>
      <c r="D145" s="15" t="s">
        <v>203</v>
      </c>
      <c r="O145">
        <v>1</v>
      </c>
      <c r="P145" s="14">
        <v>120</v>
      </c>
    </row>
    <row r="146" spans="1:16" x14ac:dyDescent="0.4">
      <c r="A146" s="21" t="str">
        <f>IF(D146="","",IF(D146=D145,LEFT(A145,LEN(A145)-2) &amp; RIGHT("00"&amp;COUNTIF($D$2:D146,D146),2),LEFT(A145,LEN(A145)-2)+1 &amp; "01"))</f>
        <v>5602</v>
      </c>
      <c r="B146" s="22">
        <f t="shared" si="4"/>
        <v>56</v>
      </c>
      <c r="C146" s="21">
        <f t="shared" si="5"/>
        <v>2</v>
      </c>
      <c r="D146" s="15" t="s">
        <v>203</v>
      </c>
      <c r="E146" t="s">
        <v>241</v>
      </c>
      <c r="I146" s="14" t="s">
        <v>205</v>
      </c>
      <c r="J146">
        <v>2</v>
      </c>
      <c r="N146" s="14">
        <v>2</v>
      </c>
      <c r="O146">
        <v>2</v>
      </c>
      <c r="P146" s="14">
        <v>120</v>
      </c>
    </row>
    <row r="147" spans="1:16" x14ac:dyDescent="0.4">
      <c r="A147" s="21" t="str">
        <f>IF(D147="","",IF(D147=D146,LEFT(A146,LEN(A146)-2) &amp; RIGHT("00"&amp;COUNTIF($D$2:D147,D147),2),LEFT(A146,LEN(A146)-2)+1 &amp; "01"))</f>
        <v>5603</v>
      </c>
      <c r="B147" s="22">
        <f t="shared" si="4"/>
        <v>56</v>
      </c>
      <c r="C147" s="21">
        <f t="shared" si="5"/>
        <v>3</v>
      </c>
      <c r="D147" s="15" t="s">
        <v>203</v>
      </c>
      <c r="E147" t="s">
        <v>242</v>
      </c>
      <c r="F147" t="s">
        <v>210</v>
      </c>
      <c r="I147" s="14" t="s">
        <v>243</v>
      </c>
      <c r="J147">
        <v>4</v>
      </c>
      <c r="K147">
        <v>2</v>
      </c>
      <c r="N147" s="14">
        <v>6</v>
      </c>
      <c r="O147">
        <v>2</v>
      </c>
      <c r="P147" s="14">
        <v>120</v>
      </c>
    </row>
    <row r="148" spans="1:16" x14ac:dyDescent="0.4">
      <c r="A148" s="21" t="str">
        <f>IF(D148="","",IF(D148=D147,LEFT(A147,LEN(A147)-2) &amp; RIGHT("00"&amp;COUNTIF($D$2:D148,D148),2),LEFT(A147,LEN(A147)-2)+1 &amp; "01"))</f>
        <v>5604</v>
      </c>
      <c r="B148" s="22">
        <f t="shared" si="4"/>
        <v>56</v>
      </c>
      <c r="C148" s="21">
        <f t="shared" si="5"/>
        <v>4</v>
      </c>
      <c r="D148" s="15" t="s">
        <v>203</v>
      </c>
      <c r="E148" t="s">
        <v>244</v>
      </c>
      <c r="F148" t="s">
        <v>242</v>
      </c>
      <c r="G148" t="s">
        <v>245</v>
      </c>
      <c r="I148" s="14" t="s">
        <v>246</v>
      </c>
      <c r="J148">
        <v>2.5</v>
      </c>
      <c r="K148">
        <v>2</v>
      </c>
      <c r="L148">
        <v>1</v>
      </c>
      <c r="N148" s="14">
        <v>1</v>
      </c>
      <c r="O148">
        <v>1.5</v>
      </c>
      <c r="P148" s="14">
        <v>30</v>
      </c>
    </row>
    <row r="149" spans="1:16" x14ac:dyDescent="0.4">
      <c r="A149" s="21" t="str">
        <f>IF(D149="","",IF(D149=D148,LEFT(A148,LEN(A148)-2) &amp; RIGHT("00"&amp;COUNTIF($D$2:D149,D149),2),LEFT(A148,LEN(A148)-2)+1 &amp; "01"))</f>
        <v>5605</v>
      </c>
      <c r="B149" s="22">
        <f t="shared" si="4"/>
        <v>56</v>
      </c>
      <c r="C149" s="21">
        <f t="shared" si="5"/>
        <v>5</v>
      </c>
      <c r="D149" s="15" t="s">
        <v>203</v>
      </c>
      <c r="E149" t="s">
        <v>240</v>
      </c>
      <c r="F149" t="s">
        <v>210</v>
      </c>
      <c r="G149" t="s">
        <v>244</v>
      </c>
      <c r="H149" t="s">
        <v>203</v>
      </c>
      <c r="I149" s="14" t="s">
        <v>243</v>
      </c>
      <c r="J149">
        <v>15</v>
      </c>
      <c r="K149">
        <v>10</v>
      </c>
      <c r="L149">
        <v>5</v>
      </c>
      <c r="M149">
        <v>6</v>
      </c>
      <c r="N149" s="14">
        <v>30</v>
      </c>
      <c r="O149">
        <v>5</v>
      </c>
      <c r="P149" s="14">
        <v>50</v>
      </c>
    </row>
    <row r="150" spans="1:16" x14ac:dyDescent="0.4">
      <c r="A150" s="21" t="str">
        <f>IF(D150="","",IF(D150=D149,LEFT(A149,LEN(A149)-2) &amp; RIGHT("00"&amp;COUNTIF($D$2:D150,D150),2),LEFT(A149,LEN(A149)-2)+1 &amp; "01"))</f>
        <v>5606</v>
      </c>
      <c r="B150" s="22">
        <f t="shared" si="4"/>
        <v>56</v>
      </c>
      <c r="C150" s="21">
        <f t="shared" si="5"/>
        <v>6</v>
      </c>
      <c r="D150" s="15" t="s">
        <v>203</v>
      </c>
      <c r="E150" t="s">
        <v>222</v>
      </c>
      <c r="F150" t="s">
        <v>238</v>
      </c>
      <c r="G150" t="s">
        <v>203</v>
      </c>
      <c r="I150" s="14" t="s">
        <v>247</v>
      </c>
      <c r="J150">
        <v>12</v>
      </c>
      <c r="K150">
        <v>5</v>
      </c>
      <c r="L150">
        <v>10</v>
      </c>
      <c r="N150" s="14">
        <v>27</v>
      </c>
      <c r="O150">
        <v>8</v>
      </c>
      <c r="P150" s="14">
        <v>80</v>
      </c>
    </row>
    <row r="151" spans="1:16" x14ac:dyDescent="0.4">
      <c r="A151" s="21" t="str">
        <f>IF(D151="","",IF(D151=D150,LEFT(A150,LEN(A150)-2) &amp; RIGHT("00"&amp;COUNTIF($D$2:D151,D151),2),LEFT(A150,LEN(A150)-2)+1 &amp; "01"))</f>
        <v>5607</v>
      </c>
      <c r="B151" s="22">
        <f t="shared" si="4"/>
        <v>56</v>
      </c>
      <c r="C151" s="21">
        <f t="shared" si="5"/>
        <v>7</v>
      </c>
      <c r="D151" s="15" t="s">
        <v>203</v>
      </c>
      <c r="E151" t="s">
        <v>248</v>
      </c>
      <c r="F151" t="s">
        <v>42</v>
      </c>
      <c r="G151" t="s">
        <v>249</v>
      </c>
      <c r="H151" t="s">
        <v>244</v>
      </c>
      <c r="I151" s="14" t="s">
        <v>251</v>
      </c>
      <c r="J151">
        <v>15</v>
      </c>
      <c r="K151">
        <v>10</v>
      </c>
      <c r="L151">
        <v>6</v>
      </c>
      <c r="M151">
        <v>6</v>
      </c>
      <c r="N151" s="14">
        <v>20</v>
      </c>
      <c r="O151">
        <v>6</v>
      </c>
      <c r="P151" s="14">
        <v>15</v>
      </c>
    </row>
    <row r="152" spans="1:16" x14ac:dyDescent="0.4">
      <c r="A152" s="21" t="str">
        <f>IF(D152="","",IF(D152=D151,LEFT(A151,LEN(A151)-2) &amp; RIGHT("00"&amp;COUNTIF($D$2:D152,D152),2),LEFT(A151,LEN(A151)-2)+1 &amp; "01"))</f>
        <v>5608</v>
      </c>
      <c r="B152" s="22">
        <f t="shared" si="4"/>
        <v>56</v>
      </c>
      <c r="C152" s="21">
        <f t="shared" si="5"/>
        <v>8</v>
      </c>
      <c r="D152" s="15" t="s">
        <v>203</v>
      </c>
      <c r="E152" t="s">
        <v>242</v>
      </c>
      <c r="F152" t="s">
        <v>162</v>
      </c>
      <c r="I152" s="14" t="s">
        <v>243</v>
      </c>
      <c r="J152">
        <v>12</v>
      </c>
      <c r="K152">
        <v>4</v>
      </c>
      <c r="N152" s="14">
        <v>20</v>
      </c>
      <c r="O152">
        <v>7</v>
      </c>
      <c r="P152" s="14">
        <v>105</v>
      </c>
    </row>
    <row r="153" spans="1:16" x14ac:dyDescent="0.4">
      <c r="A153" s="21" t="str">
        <f>IF(D153="","",IF(D153=D152,LEFT(A152,LEN(A152)-2) &amp; RIGHT("00"&amp;COUNTIF($D$2:D153,D153),2),LEFT(A152,LEN(A152)-2)+1 &amp; "01"))</f>
        <v>5609</v>
      </c>
      <c r="B153" s="22">
        <f t="shared" si="4"/>
        <v>56</v>
      </c>
      <c r="C153" s="21">
        <f t="shared" si="5"/>
        <v>9</v>
      </c>
      <c r="D153" s="15" t="s">
        <v>203</v>
      </c>
      <c r="E153" t="s">
        <v>252</v>
      </c>
      <c r="F153" t="s">
        <v>248</v>
      </c>
      <c r="G153" t="s">
        <v>249</v>
      </c>
      <c r="H153" t="s">
        <v>244</v>
      </c>
      <c r="I153" s="14" t="s">
        <v>251</v>
      </c>
      <c r="J153">
        <v>5</v>
      </c>
      <c r="K153">
        <v>5</v>
      </c>
      <c r="L153">
        <v>3</v>
      </c>
      <c r="M153">
        <v>5</v>
      </c>
      <c r="N153" s="14">
        <v>20</v>
      </c>
      <c r="O153">
        <v>8</v>
      </c>
      <c r="P153" s="14">
        <v>40</v>
      </c>
    </row>
    <row r="154" spans="1:16" x14ac:dyDescent="0.4">
      <c r="A154" s="21" t="str">
        <f>IF(D154="","",IF(D154=D153,LEFT(A153,LEN(A153)-2) &amp; RIGHT("00"&amp;COUNTIF($D$2:D154,D154),2),LEFT(A153,LEN(A153)-2)+1 &amp; "01"))</f>
        <v>5701</v>
      </c>
      <c r="B154" s="22">
        <f t="shared" si="4"/>
        <v>57</v>
      </c>
      <c r="C154" s="21">
        <f t="shared" si="5"/>
        <v>1</v>
      </c>
      <c r="D154" s="15" t="s">
        <v>52</v>
      </c>
      <c r="E154" t="s">
        <v>74</v>
      </c>
      <c r="I154" s="14" t="s">
        <v>76</v>
      </c>
      <c r="J154">
        <v>3</v>
      </c>
      <c r="N154" s="14">
        <v>2</v>
      </c>
      <c r="O154">
        <v>2</v>
      </c>
      <c r="P154" s="14">
        <v>20</v>
      </c>
    </row>
    <row r="155" spans="1:16" x14ac:dyDescent="0.4">
      <c r="A155" s="21" t="str">
        <f>IF(D155="","",IF(D155=D154,LEFT(A154,LEN(A154)-2) &amp; RIGHT("00"&amp;COUNTIF($D$2:D155,D155),2),LEFT(A154,LEN(A154)-2)+1 &amp; "01"))</f>
        <v>5702</v>
      </c>
      <c r="B155" s="22">
        <f t="shared" si="4"/>
        <v>57</v>
      </c>
      <c r="C155" s="21">
        <f t="shared" si="5"/>
        <v>2</v>
      </c>
      <c r="D155" s="15" t="s">
        <v>52</v>
      </c>
      <c r="E155" t="s">
        <v>92</v>
      </c>
      <c r="F155" t="s">
        <v>36</v>
      </c>
      <c r="J155">
        <v>4</v>
      </c>
      <c r="K155">
        <v>4</v>
      </c>
      <c r="O155">
        <v>2</v>
      </c>
      <c r="P155" s="14">
        <v>20</v>
      </c>
    </row>
    <row r="156" spans="1:16" x14ac:dyDescent="0.4">
      <c r="A156" s="21" t="str">
        <f>IF(D156="","",IF(D156=D155,LEFT(A155,LEN(A155)-2) &amp; RIGHT("00"&amp;COUNTIF($D$2:D156,D156),2),LEFT(A155,LEN(A155)-2)+1 &amp; "01"))</f>
        <v>5703</v>
      </c>
      <c r="B156" s="22">
        <f t="shared" si="4"/>
        <v>57</v>
      </c>
      <c r="C156" s="21">
        <f t="shared" si="5"/>
        <v>3</v>
      </c>
      <c r="D156" s="15" t="s">
        <v>52</v>
      </c>
      <c r="E156" t="s">
        <v>48</v>
      </c>
      <c r="F156" t="s">
        <v>75</v>
      </c>
      <c r="J156">
        <v>6</v>
      </c>
      <c r="K156">
        <v>6</v>
      </c>
      <c r="O156">
        <v>12</v>
      </c>
      <c r="P156" s="14">
        <v>60</v>
      </c>
    </row>
    <row r="157" spans="1:16" x14ac:dyDescent="0.4">
      <c r="A157" s="21" t="str">
        <f>IF(D157="","",IF(D157=D156,LEFT(A156,LEN(A156)-2) &amp; RIGHT("00"&amp;COUNTIF($D$2:D157,D157),2),LEFT(A156,LEN(A156)-2)+1 &amp; "01"))</f>
        <v>5801</v>
      </c>
      <c r="B157" s="22">
        <f t="shared" si="4"/>
        <v>58</v>
      </c>
      <c r="C157" s="21">
        <f t="shared" si="5"/>
        <v>1</v>
      </c>
      <c r="D157" s="15" t="s">
        <v>75</v>
      </c>
      <c r="E157" t="s">
        <v>74</v>
      </c>
      <c r="I157" s="14" t="s">
        <v>92</v>
      </c>
      <c r="J157">
        <v>6</v>
      </c>
      <c r="N157" s="14">
        <v>3</v>
      </c>
      <c r="O157">
        <v>4</v>
      </c>
      <c r="P157" s="14">
        <v>40</v>
      </c>
    </row>
    <row r="158" spans="1:16" x14ac:dyDescent="0.4">
      <c r="A158" s="21" t="str">
        <f>IF(D158="","",IF(D158=D157,LEFT(A157,LEN(A157)-2) &amp; RIGHT("00"&amp;COUNTIF($D$2:D158,D158),2),LEFT(A157,LEN(A157)-2)+1 &amp; "01"))</f>
        <v>5802</v>
      </c>
      <c r="B158" s="22">
        <f t="shared" si="4"/>
        <v>58</v>
      </c>
      <c r="C158" s="21">
        <f t="shared" si="5"/>
        <v>2</v>
      </c>
      <c r="D158" s="15" t="s">
        <v>75</v>
      </c>
      <c r="E158" t="s">
        <v>76</v>
      </c>
      <c r="J158">
        <v>6</v>
      </c>
      <c r="O158">
        <v>4</v>
      </c>
      <c r="P158" s="14">
        <v>40</v>
      </c>
    </row>
    <row r="159" spans="1:16" x14ac:dyDescent="0.4">
      <c r="A159" s="21" t="str">
        <f>IF(D159="","",IF(D159=D158,LEFT(A158,LEN(A158)-2) &amp; RIGHT("00"&amp;COUNTIF($D$2:D159,D159),2),LEFT(A158,LEN(A158)-2)+1 &amp; "01"))</f>
        <v>5803</v>
      </c>
      <c r="B159" s="22">
        <f t="shared" si="4"/>
        <v>58</v>
      </c>
      <c r="C159" s="21">
        <f t="shared" si="5"/>
        <v>3</v>
      </c>
      <c r="D159" s="15" t="s">
        <v>75</v>
      </c>
      <c r="E159" t="s">
        <v>76</v>
      </c>
      <c r="F159" t="s">
        <v>36</v>
      </c>
      <c r="J159">
        <v>5</v>
      </c>
      <c r="K159">
        <v>10</v>
      </c>
      <c r="O159">
        <v>10</v>
      </c>
      <c r="P159" s="14">
        <v>100</v>
      </c>
    </row>
    <row r="160" spans="1:16" x14ac:dyDescent="0.4">
      <c r="A160" s="21" t="str">
        <f>IF(D160="","",IF(D160=D159,LEFT(A159,LEN(A159)-2) &amp; RIGHT("00"&amp;COUNTIF($D$2:D160,D160),2),LEFT(A159,LEN(A159)-2)+1 &amp; "01"))</f>
        <v>5804</v>
      </c>
      <c r="B160" s="22">
        <f t="shared" si="4"/>
        <v>58</v>
      </c>
      <c r="C160" s="21">
        <f t="shared" si="5"/>
        <v>4</v>
      </c>
      <c r="D160" s="15" t="s">
        <v>75</v>
      </c>
      <c r="E160" t="s">
        <v>195</v>
      </c>
      <c r="I160" s="14" t="s">
        <v>45</v>
      </c>
      <c r="J160">
        <v>2</v>
      </c>
      <c r="N160" s="14">
        <v>2</v>
      </c>
      <c r="O160">
        <v>2</v>
      </c>
      <c r="P160" s="14">
        <v>60</v>
      </c>
    </row>
    <row r="161" spans="1:16" x14ac:dyDescent="0.4">
      <c r="A161" s="21" t="str">
        <f>IF(D161="","",IF(D161=D160,LEFT(A160,LEN(A160)-2) &amp; RIGHT("00"&amp;COUNTIF($D$2:D161,D161),2),LEFT(A160,LEN(A160)-2)+1 &amp; "01"))</f>
        <v>5901</v>
      </c>
      <c r="B161" s="22">
        <f t="shared" si="4"/>
        <v>59</v>
      </c>
      <c r="C161" s="21">
        <f t="shared" si="5"/>
        <v>1</v>
      </c>
      <c r="D161" s="15" t="s">
        <v>229</v>
      </c>
      <c r="O161">
        <v>1</v>
      </c>
      <c r="P161" s="14">
        <v>600</v>
      </c>
    </row>
    <row r="162" spans="1:16" x14ac:dyDescent="0.4">
      <c r="A162" s="21" t="str">
        <f>IF(D162="","",IF(D162=D161,LEFT(A161,LEN(A161)-2) &amp; RIGHT("00"&amp;COUNTIF($D$2:D162,D162),2),LEFT(A161,LEN(A161)-2)+1 &amp; "01"))</f>
        <v>5902</v>
      </c>
      <c r="B162" s="22">
        <f t="shared" si="4"/>
        <v>59</v>
      </c>
      <c r="C162" s="21">
        <f t="shared" si="5"/>
        <v>2</v>
      </c>
      <c r="D162" s="15" t="s">
        <v>229</v>
      </c>
      <c r="E162" t="s">
        <v>254</v>
      </c>
      <c r="I162" s="14" t="s">
        <v>205</v>
      </c>
      <c r="J162">
        <v>2</v>
      </c>
      <c r="N162" s="14">
        <v>2</v>
      </c>
      <c r="O162">
        <v>2</v>
      </c>
      <c r="P162" s="14">
        <v>60</v>
      </c>
    </row>
    <row r="163" spans="1:16" x14ac:dyDescent="0.4">
      <c r="A163" s="21" t="str">
        <f>IF(D163="","",IF(D163=D162,LEFT(A162,LEN(A162)-2) &amp; RIGHT("00"&amp;COUNTIF($D$2:D163,D163),2),LEFT(A162,LEN(A162)-2)+1 &amp; "01"))</f>
        <v>6001</v>
      </c>
      <c r="B163" s="22">
        <f t="shared" si="4"/>
        <v>60</v>
      </c>
      <c r="C163" s="21">
        <f t="shared" si="5"/>
        <v>1</v>
      </c>
      <c r="D163" s="15" t="s">
        <v>42</v>
      </c>
      <c r="E163" t="s">
        <v>253</v>
      </c>
      <c r="J163">
        <v>3</v>
      </c>
      <c r="O163">
        <v>5</v>
      </c>
      <c r="P163" s="14">
        <v>37.5</v>
      </c>
    </row>
    <row r="164" spans="1:16" x14ac:dyDescent="0.4">
      <c r="A164" s="21" t="str">
        <f>IF(D164="","",IF(D164=D163,LEFT(A163,LEN(A163)-2) &amp; RIGHT("00"&amp;COUNTIF($D$2:D164,D164),2),LEFT(A163,LEN(A163)-2)+1 &amp; "01"))</f>
        <v>6002</v>
      </c>
      <c r="B164" s="22">
        <f t="shared" si="4"/>
        <v>60</v>
      </c>
      <c r="C164" s="21">
        <f t="shared" si="5"/>
        <v>2</v>
      </c>
      <c r="D164" s="15" t="s">
        <v>42</v>
      </c>
      <c r="E164" t="s">
        <v>44</v>
      </c>
      <c r="F164" t="s">
        <v>36</v>
      </c>
      <c r="I164" s="14" t="s">
        <v>43</v>
      </c>
      <c r="J164">
        <v>12</v>
      </c>
      <c r="K164">
        <v>18</v>
      </c>
      <c r="N164" s="14">
        <v>12</v>
      </c>
      <c r="O164">
        <v>5</v>
      </c>
      <c r="P164" s="14">
        <v>50</v>
      </c>
    </row>
    <row r="165" spans="1:16" x14ac:dyDescent="0.4">
      <c r="A165" s="21" t="str">
        <f>IF(D165="","",IF(D165=D164,LEFT(A164,LEN(A164)-2) &amp; RIGHT("00"&amp;COUNTIF($D$2:D165,D165),2),LEFT(A164,LEN(A164)-2)+1 &amp; "01"))</f>
        <v>6003</v>
      </c>
      <c r="B165" s="22">
        <f t="shared" si="4"/>
        <v>60</v>
      </c>
      <c r="C165" s="21">
        <f t="shared" si="5"/>
        <v>3</v>
      </c>
      <c r="D165" s="15" t="s">
        <v>42</v>
      </c>
      <c r="E165" t="s">
        <v>81</v>
      </c>
      <c r="F165" t="s">
        <v>56</v>
      </c>
      <c r="J165">
        <v>3</v>
      </c>
      <c r="K165">
        <v>5</v>
      </c>
      <c r="O165">
        <v>7</v>
      </c>
      <c r="P165" s="14">
        <v>52.5</v>
      </c>
    </row>
    <row r="166" spans="1:16" x14ac:dyDescent="0.4">
      <c r="A166" s="21" t="str">
        <f>IF(D166="","",IF(D166=D165,LEFT(A165,LEN(A165)-2) &amp; RIGHT("00"&amp;COUNTIF($D$2:D166,D166),2),LEFT(A165,LEN(A165)-2)+1 &amp; "01"))</f>
        <v>6004</v>
      </c>
      <c r="B166" s="22">
        <f t="shared" si="4"/>
        <v>60</v>
      </c>
      <c r="C166" s="21">
        <f t="shared" si="5"/>
        <v>4</v>
      </c>
      <c r="D166" s="15" t="s">
        <v>42</v>
      </c>
      <c r="E166" t="s">
        <v>153</v>
      </c>
      <c r="F166" t="s">
        <v>154</v>
      </c>
      <c r="G166" t="s">
        <v>148</v>
      </c>
      <c r="I166" s="14" t="s">
        <v>148</v>
      </c>
      <c r="J166">
        <v>12</v>
      </c>
      <c r="K166">
        <v>5</v>
      </c>
      <c r="L166">
        <v>10</v>
      </c>
      <c r="N166" s="14">
        <v>8</v>
      </c>
      <c r="O166">
        <v>27</v>
      </c>
      <c r="P166" s="14">
        <v>270</v>
      </c>
    </row>
    <row r="167" spans="1:16" x14ac:dyDescent="0.4">
      <c r="A167" s="21" t="str">
        <f>IF(D167="","",IF(D167=D166,LEFT(A166,LEN(A166)-2) &amp; RIGHT("00"&amp;COUNTIF($D$2:D167,D167),2),LEFT(A166,LEN(A166)-2)+1 &amp; "01"))</f>
        <v>6101</v>
      </c>
      <c r="B167" s="22">
        <f t="shared" si="4"/>
        <v>61</v>
      </c>
      <c r="C167" s="21">
        <f t="shared" si="5"/>
        <v>1</v>
      </c>
      <c r="D167" s="15" t="s">
        <v>99</v>
      </c>
      <c r="E167" t="s">
        <v>101</v>
      </c>
      <c r="F167" t="s">
        <v>51</v>
      </c>
      <c r="G167" t="s">
        <v>55</v>
      </c>
      <c r="J167">
        <v>36</v>
      </c>
      <c r="K167">
        <v>28</v>
      </c>
      <c r="L167">
        <v>5</v>
      </c>
      <c r="O167">
        <v>2</v>
      </c>
      <c r="P167" s="14">
        <v>1</v>
      </c>
    </row>
    <row r="168" spans="1:16" x14ac:dyDescent="0.4">
      <c r="A168" s="21" t="str">
        <f>IF(D168="","",IF(D168=D167,LEFT(A167,LEN(A167)-2) &amp; RIGHT("00"&amp;COUNTIF($D$2:D168,D168),2),LEFT(A167,LEN(A167)-2)+1 &amp; "01"))</f>
        <v>6102</v>
      </c>
      <c r="B168" s="22">
        <f t="shared" si="4"/>
        <v>61</v>
      </c>
      <c r="C168" s="21">
        <f t="shared" si="5"/>
        <v>2</v>
      </c>
      <c r="D168" s="15" t="s">
        <v>99</v>
      </c>
      <c r="E168" t="s">
        <v>101</v>
      </c>
      <c r="F168" t="s">
        <v>52</v>
      </c>
      <c r="G168" t="s">
        <v>63</v>
      </c>
      <c r="J168">
        <v>10</v>
      </c>
      <c r="K168">
        <v>7</v>
      </c>
      <c r="L168">
        <v>1</v>
      </c>
      <c r="O168">
        <v>1</v>
      </c>
      <c r="P168" s="14">
        <v>1.875</v>
      </c>
    </row>
    <row r="169" spans="1:16" x14ac:dyDescent="0.4">
      <c r="A169" s="21" t="str">
        <f>IF(D169="","",IF(D169=D168,LEFT(A168,LEN(A168)-2) &amp; RIGHT("00"&amp;COUNTIF($D$2:D169,D169),2),LEFT(A168,LEN(A168)-2)+1 &amp; "01"))</f>
        <v>6201</v>
      </c>
      <c r="B169" s="22">
        <f t="shared" si="4"/>
        <v>62</v>
      </c>
      <c r="C169" s="21">
        <f t="shared" si="5"/>
        <v>1</v>
      </c>
      <c r="D169" s="15" t="s">
        <v>45</v>
      </c>
      <c r="E169" t="s">
        <v>48</v>
      </c>
      <c r="J169">
        <v>2</v>
      </c>
      <c r="O169">
        <v>4</v>
      </c>
      <c r="P169" s="14">
        <v>60</v>
      </c>
    </row>
    <row r="170" spans="1:16" x14ac:dyDescent="0.4">
      <c r="A170" s="21" t="str">
        <f>IF(D170="","",IF(D170=D169,LEFT(A169,LEN(A169)-2) &amp; RIGHT("00"&amp;COUNTIF($D$2:D170,D170),2),LEFT(A169,LEN(A169)-2)+1 &amp; "01"))</f>
        <v>6202</v>
      </c>
      <c r="B170" s="22">
        <f t="shared" si="4"/>
        <v>62</v>
      </c>
      <c r="C170" s="21">
        <f t="shared" si="5"/>
        <v>2</v>
      </c>
      <c r="D170" s="15" t="s">
        <v>45</v>
      </c>
      <c r="E170" t="s">
        <v>30</v>
      </c>
      <c r="J170">
        <v>4</v>
      </c>
      <c r="O170">
        <v>4</v>
      </c>
      <c r="P170" s="14">
        <v>40</v>
      </c>
    </row>
    <row r="171" spans="1:16" x14ac:dyDescent="0.4">
      <c r="A171" s="21" t="str">
        <f>IF(D171="","",IF(D171=D170,LEFT(A170,LEN(A170)-2) &amp; RIGHT("00"&amp;COUNTIF($D$2:D171,D171),2),LEFT(A170,LEN(A170)-2)+1 &amp; "01"))</f>
        <v>6203</v>
      </c>
      <c r="B171" s="22">
        <f t="shared" si="4"/>
        <v>62</v>
      </c>
      <c r="C171" s="21">
        <f t="shared" si="5"/>
        <v>3</v>
      </c>
      <c r="D171" s="15" t="s">
        <v>45</v>
      </c>
      <c r="E171" t="s">
        <v>47</v>
      </c>
      <c r="F171" t="s">
        <v>59</v>
      </c>
      <c r="J171">
        <v>2</v>
      </c>
      <c r="K171">
        <v>1</v>
      </c>
      <c r="O171">
        <v>4</v>
      </c>
      <c r="P171" s="14">
        <v>60</v>
      </c>
    </row>
    <row r="172" spans="1:16" x14ac:dyDescent="0.4">
      <c r="A172" s="21" t="str">
        <f>IF(D172="","",IF(D172=D171,LEFT(A171,LEN(A171)-2) &amp; RIGHT("00"&amp;COUNTIF($D$2:D172,D172),2),LEFT(A171,LEN(A171)-2)+1 &amp; "01"))</f>
        <v>6204</v>
      </c>
      <c r="B172" s="22">
        <f t="shared" si="4"/>
        <v>62</v>
      </c>
      <c r="C172" s="21">
        <f t="shared" si="5"/>
        <v>4</v>
      </c>
      <c r="D172" s="15" t="s">
        <v>45</v>
      </c>
      <c r="E172" t="s">
        <v>193</v>
      </c>
      <c r="I172" s="14" t="s">
        <v>36</v>
      </c>
      <c r="J172">
        <v>2</v>
      </c>
      <c r="N172" s="14">
        <v>2</v>
      </c>
      <c r="O172">
        <v>2</v>
      </c>
      <c r="P172" s="14">
        <v>120</v>
      </c>
    </row>
    <row r="173" spans="1:16" x14ac:dyDescent="0.4">
      <c r="A173" s="21" t="str">
        <f>IF(D173="","",IF(D173=D172,LEFT(A172,LEN(A172)-2) &amp; RIGHT("00"&amp;COUNTIF($D$2:D173,D173),2),LEFT(A172,LEN(A172)-2)+1 &amp; "01"))</f>
        <v>6205</v>
      </c>
      <c r="B173" s="22">
        <f t="shared" si="4"/>
        <v>62</v>
      </c>
      <c r="C173" s="21">
        <f t="shared" si="5"/>
        <v>5</v>
      </c>
      <c r="D173" s="15" t="s">
        <v>45</v>
      </c>
      <c r="E173" t="s">
        <v>194</v>
      </c>
      <c r="I173" s="14" t="s">
        <v>74</v>
      </c>
      <c r="J173">
        <v>2</v>
      </c>
      <c r="N173" s="14">
        <v>2</v>
      </c>
      <c r="O173">
        <v>2</v>
      </c>
      <c r="P173" s="14">
        <v>60</v>
      </c>
    </row>
    <row r="174" spans="1:16" x14ac:dyDescent="0.4">
      <c r="A174" s="21" t="str">
        <f>IF(D174="","",IF(D174=D173,LEFT(A173,LEN(A173)-2) &amp; RIGHT("00"&amp;COUNTIF($D$2:D174,D174),2),LEFT(A173,LEN(A173)-2)+1 &amp; "01"))</f>
        <v>6206</v>
      </c>
      <c r="B174" s="22">
        <f t="shared" si="4"/>
        <v>62</v>
      </c>
      <c r="C174" s="21">
        <f t="shared" si="5"/>
        <v>6</v>
      </c>
      <c r="D174" s="15" t="s">
        <v>45</v>
      </c>
      <c r="E174" t="s">
        <v>195</v>
      </c>
      <c r="I174" s="14" t="s">
        <v>75</v>
      </c>
      <c r="J174">
        <v>2</v>
      </c>
      <c r="N174" s="14">
        <v>2</v>
      </c>
      <c r="O174">
        <v>2</v>
      </c>
      <c r="P174" s="14">
        <v>60</v>
      </c>
    </row>
    <row r="175" spans="1:16" x14ac:dyDescent="0.4">
      <c r="A175" s="21" t="str">
        <f>IF(D175="","",IF(D175=D174,LEFT(A174,LEN(A174)-2) &amp; RIGHT("00"&amp;COUNTIF($D$2:D175,D175),2),LEFT(A174,LEN(A174)-2)+1 &amp; "01"))</f>
        <v>6207</v>
      </c>
      <c r="B175" s="22">
        <f t="shared" si="4"/>
        <v>62</v>
      </c>
      <c r="C175" s="21">
        <f t="shared" si="5"/>
        <v>7</v>
      </c>
      <c r="D175" s="15" t="s">
        <v>45</v>
      </c>
      <c r="E175" t="s">
        <v>196</v>
      </c>
      <c r="I175" s="14" t="s">
        <v>76</v>
      </c>
      <c r="J175">
        <v>2</v>
      </c>
      <c r="N175" s="14">
        <v>2</v>
      </c>
      <c r="O175">
        <v>2</v>
      </c>
      <c r="P175" s="14">
        <v>20</v>
      </c>
    </row>
    <row r="176" spans="1:16" x14ac:dyDescent="0.4">
      <c r="A176" s="21" t="str">
        <f>IF(D176="","",IF(D176=D175,LEFT(A175,LEN(A175)-2) &amp; RIGHT("00"&amp;COUNTIF($D$2:D176,D176),2),LEFT(A175,LEN(A175)-2)+1 &amp; "01"))</f>
        <v>6208</v>
      </c>
      <c r="B176" s="22">
        <f t="shared" si="4"/>
        <v>62</v>
      </c>
      <c r="C176" s="21">
        <f t="shared" si="5"/>
        <v>8</v>
      </c>
      <c r="D176" s="15" t="s">
        <v>45</v>
      </c>
      <c r="E176" t="s">
        <v>197</v>
      </c>
      <c r="I176" s="14" t="s">
        <v>46</v>
      </c>
      <c r="J176">
        <v>1</v>
      </c>
      <c r="N176" s="14">
        <v>1</v>
      </c>
      <c r="O176">
        <v>1</v>
      </c>
      <c r="P176" s="14">
        <v>60</v>
      </c>
    </row>
    <row r="177" spans="1:16" x14ac:dyDescent="0.4">
      <c r="A177" s="21" t="str">
        <f>IF(D177="","",IF(D177=D176,LEFT(A176,LEN(A176)-2) &amp; RIGHT("00"&amp;COUNTIF($D$2:D177,D177),2),LEFT(A176,LEN(A176)-2)+1 &amp; "01"))</f>
        <v>6209</v>
      </c>
      <c r="B177" s="22">
        <f t="shared" si="4"/>
        <v>62</v>
      </c>
      <c r="C177" s="21">
        <f t="shared" si="5"/>
        <v>9</v>
      </c>
      <c r="D177" s="15" t="s">
        <v>45</v>
      </c>
      <c r="E177" t="s">
        <v>198</v>
      </c>
      <c r="I177" s="14" t="s">
        <v>43</v>
      </c>
      <c r="J177">
        <v>2</v>
      </c>
      <c r="N177" s="14">
        <v>2</v>
      </c>
      <c r="O177">
        <v>2</v>
      </c>
      <c r="P177" s="14">
        <v>120</v>
      </c>
    </row>
    <row r="178" spans="1:16" x14ac:dyDescent="0.4">
      <c r="A178" s="21" t="str">
        <f>IF(D178="","",IF(D178=D177,LEFT(A177,LEN(A177)-2) &amp; RIGHT("00"&amp;COUNTIF($D$2:D178,D178),2),LEFT(A177,LEN(A177)-2)+1 &amp; "01"))</f>
        <v>6210</v>
      </c>
      <c r="B178" s="22">
        <f t="shared" si="4"/>
        <v>62</v>
      </c>
      <c r="C178" s="21">
        <f t="shared" si="5"/>
        <v>10</v>
      </c>
      <c r="D178" s="15" t="s">
        <v>45</v>
      </c>
      <c r="E178" t="s">
        <v>199</v>
      </c>
      <c r="I178" s="14" t="s">
        <v>200</v>
      </c>
      <c r="J178">
        <v>2</v>
      </c>
      <c r="N178" s="14">
        <v>2</v>
      </c>
      <c r="O178">
        <v>2</v>
      </c>
      <c r="P178" s="14">
        <v>60</v>
      </c>
    </row>
    <row r="179" spans="1:16" x14ac:dyDescent="0.4">
      <c r="A179" s="21" t="str">
        <f>IF(D179="","",IF(D179=D178,LEFT(A178,LEN(A178)-2) &amp; RIGHT("00"&amp;COUNTIF($D$2:D179,D179),2),LEFT(A178,LEN(A178)-2)+1 &amp; "01"))</f>
        <v>6211</v>
      </c>
      <c r="B179" s="22">
        <f t="shared" si="4"/>
        <v>62</v>
      </c>
      <c r="C179" s="21">
        <f t="shared" si="5"/>
        <v>11</v>
      </c>
      <c r="D179" s="15" t="s">
        <v>45</v>
      </c>
      <c r="E179" t="s">
        <v>73</v>
      </c>
      <c r="I179" s="14" t="s">
        <v>77</v>
      </c>
      <c r="J179">
        <v>2</v>
      </c>
      <c r="N179" s="14">
        <v>2</v>
      </c>
      <c r="O179">
        <v>2</v>
      </c>
      <c r="P179" s="14">
        <v>20</v>
      </c>
    </row>
    <row r="180" spans="1:16" x14ac:dyDescent="0.4">
      <c r="A180" s="21" t="str">
        <f>IF(D180="","",IF(D180=D179,LEFT(A179,LEN(A179)-2) &amp; RIGHT("00"&amp;COUNTIF($D$2:D180,D180),2),LEFT(A179,LEN(A179)-2)+1 &amp; "01"))</f>
        <v>6301</v>
      </c>
      <c r="B180" s="22">
        <f t="shared" si="4"/>
        <v>63</v>
      </c>
      <c r="C180" s="21">
        <f t="shared" si="5"/>
        <v>1</v>
      </c>
      <c r="D180" s="15" t="s">
        <v>201</v>
      </c>
      <c r="E180" t="s">
        <v>45</v>
      </c>
      <c r="F180" t="s">
        <v>36</v>
      </c>
      <c r="J180">
        <v>2</v>
      </c>
      <c r="K180">
        <v>2</v>
      </c>
      <c r="O180">
        <v>2</v>
      </c>
      <c r="P180" s="14">
        <v>60</v>
      </c>
    </row>
    <row r="181" spans="1:16" x14ac:dyDescent="0.4">
      <c r="A181" s="21" t="str">
        <f>IF(D181="","",IF(D181=D180,LEFT(A180,LEN(A180)-2) &amp; RIGHT("00"&amp;COUNTIF($D$2:D181,D181),2),LEFT(A180,LEN(A180)-2)+1 &amp; "01"))</f>
        <v>6401</v>
      </c>
      <c r="B181" s="22">
        <f t="shared" si="4"/>
        <v>64</v>
      </c>
      <c r="C181" s="21">
        <f t="shared" si="5"/>
        <v>1</v>
      </c>
      <c r="D181" s="15" t="s">
        <v>194</v>
      </c>
      <c r="E181" t="s">
        <v>45</v>
      </c>
      <c r="F181" t="s">
        <v>74</v>
      </c>
      <c r="J181">
        <v>2</v>
      </c>
      <c r="K181">
        <v>2</v>
      </c>
      <c r="O181">
        <v>2</v>
      </c>
      <c r="P181" s="14">
        <v>30</v>
      </c>
    </row>
    <row r="182" spans="1:16" x14ac:dyDescent="0.4">
      <c r="A182" s="21" t="str">
        <f>IF(D182="","",IF(D182=D181,LEFT(A181,LEN(A181)-2) &amp; RIGHT("00"&amp;COUNTIF($D$2:D182,D182),2),LEFT(A181,LEN(A181)-2)+1 &amp; "01"))</f>
        <v>6501</v>
      </c>
      <c r="B182" s="22">
        <f t="shared" si="4"/>
        <v>65</v>
      </c>
      <c r="C182" s="21">
        <f t="shared" si="5"/>
        <v>1</v>
      </c>
      <c r="D182" s="15" t="s">
        <v>195</v>
      </c>
      <c r="E182" t="s">
        <v>45</v>
      </c>
      <c r="F182" t="s">
        <v>75</v>
      </c>
      <c r="J182">
        <v>2</v>
      </c>
      <c r="K182">
        <v>2</v>
      </c>
      <c r="O182">
        <v>2</v>
      </c>
      <c r="P182" s="14">
        <v>40</v>
      </c>
    </row>
    <row r="183" spans="1:16" x14ac:dyDescent="0.4">
      <c r="A183" s="21" t="str">
        <f>IF(D183="","",IF(D183=D182,LEFT(A182,LEN(A182)-2) &amp; RIGHT("00"&amp;COUNTIF($D$2:D183,D183),2),LEFT(A182,LEN(A182)-2)+1 &amp; "01"))</f>
        <v>6502</v>
      </c>
      <c r="B183" s="22">
        <f t="shared" si="4"/>
        <v>65</v>
      </c>
      <c r="C183" s="21">
        <f t="shared" si="5"/>
        <v>2</v>
      </c>
      <c r="D183" s="15" t="s">
        <v>195</v>
      </c>
      <c r="E183" t="s">
        <v>76</v>
      </c>
      <c r="F183" t="s">
        <v>202</v>
      </c>
      <c r="J183">
        <v>1</v>
      </c>
      <c r="K183">
        <v>2</v>
      </c>
      <c r="O183">
        <v>2</v>
      </c>
      <c r="P183" s="14">
        <v>60</v>
      </c>
    </row>
    <row r="184" spans="1:16" x14ac:dyDescent="0.4">
      <c r="A184" s="21" t="str">
        <f>IF(D184="","",IF(D184=D183,LEFT(A183,LEN(A183)-2) &amp; RIGHT("00"&amp;COUNTIF($D$2:D184,D184),2),LEFT(A183,LEN(A183)-2)+1 &amp; "01"))</f>
        <v>6601</v>
      </c>
      <c r="B184" s="22">
        <f t="shared" si="4"/>
        <v>66</v>
      </c>
      <c r="C184" s="21">
        <f t="shared" si="5"/>
        <v>1</v>
      </c>
      <c r="D184" s="15" t="s">
        <v>196</v>
      </c>
      <c r="E184" t="s">
        <v>45</v>
      </c>
      <c r="F184" t="s">
        <v>76</v>
      </c>
      <c r="J184">
        <v>2</v>
      </c>
      <c r="K184">
        <v>2</v>
      </c>
      <c r="O184">
        <v>2</v>
      </c>
      <c r="P184" s="14">
        <v>30</v>
      </c>
    </row>
    <row r="185" spans="1:16" x14ac:dyDescent="0.4">
      <c r="A185" s="21" t="str">
        <f>IF(D185="","",IF(D185=D184,LEFT(A184,LEN(A184)-2) &amp; RIGHT("00"&amp;COUNTIF($D$2:D185,D185),2),LEFT(A184,LEN(A184)-2)+1 &amp; "01"))</f>
        <v>6701</v>
      </c>
      <c r="B185" s="22">
        <f t="shared" si="4"/>
        <v>67</v>
      </c>
      <c r="C185" s="21">
        <f t="shared" si="5"/>
        <v>1</v>
      </c>
      <c r="D185" s="15" t="s">
        <v>199</v>
      </c>
      <c r="E185" t="s">
        <v>45</v>
      </c>
      <c r="F185" t="s">
        <v>200</v>
      </c>
      <c r="J185">
        <v>2</v>
      </c>
      <c r="K185">
        <v>2</v>
      </c>
      <c r="O185">
        <v>2</v>
      </c>
      <c r="P185" s="14">
        <v>40</v>
      </c>
    </row>
    <row r="186" spans="1:16" x14ac:dyDescent="0.4">
      <c r="A186" s="21" t="str">
        <f>IF(D186="","",IF(D186=D185,LEFT(A185,LEN(A185)-2) &amp; RIGHT("00"&amp;COUNTIF($D$2:D186,D186),2),LEFT(A185,LEN(A185)-2)+1 &amp; "01"))</f>
        <v>6801</v>
      </c>
      <c r="B186" s="22">
        <f t="shared" si="4"/>
        <v>68</v>
      </c>
      <c r="C186" s="21">
        <f t="shared" si="5"/>
        <v>1</v>
      </c>
      <c r="D186" s="15" t="s">
        <v>200</v>
      </c>
      <c r="E186" t="s">
        <v>187</v>
      </c>
      <c r="F186" t="s">
        <v>203</v>
      </c>
      <c r="J186">
        <v>6</v>
      </c>
      <c r="K186">
        <v>3</v>
      </c>
      <c r="O186">
        <v>4</v>
      </c>
      <c r="P186" s="14">
        <v>60</v>
      </c>
    </row>
    <row r="187" spans="1:16" x14ac:dyDescent="0.4">
      <c r="A187" s="21" t="str">
        <f>IF(D187="","",IF(D187=D186,LEFT(A186,LEN(A186)-2) &amp; RIGHT("00"&amp;COUNTIF($D$2:D187,D187),2),LEFT(A186,LEN(A186)-2)+1 &amp; "01"))</f>
        <v>6802</v>
      </c>
      <c r="B187" s="22">
        <f t="shared" si="4"/>
        <v>68</v>
      </c>
      <c r="C187" s="21">
        <f t="shared" si="5"/>
        <v>2</v>
      </c>
      <c r="D187" s="15" t="s">
        <v>200</v>
      </c>
      <c r="E187" t="s">
        <v>204</v>
      </c>
      <c r="I187" s="14" t="s">
        <v>205</v>
      </c>
      <c r="J187">
        <v>2</v>
      </c>
      <c r="N187" s="14">
        <v>2</v>
      </c>
      <c r="O187">
        <v>2</v>
      </c>
      <c r="P187" s="14">
        <v>60</v>
      </c>
    </row>
    <row r="188" spans="1:16" x14ac:dyDescent="0.4">
      <c r="A188" s="21" t="str">
        <f>IF(D188="","",IF(D188=D187,LEFT(A187,LEN(A187)-2) &amp; RIGHT("00"&amp;COUNTIF($D$2:D188,D188),2),LEFT(A187,LEN(A187)-2)+1 &amp; "01"))</f>
        <v>6901</v>
      </c>
      <c r="B188" s="22">
        <f t="shared" si="4"/>
        <v>69</v>
      </c>
      <c r="C188" s="21">
        <f t="shared" si="5"/>
        <v>1</v>
      </c>
      <c r="D188" s="15" t="s">
        <v>78</v>
      </c>
      <c r="E188" t="s">
        <v>37</v>
      </c>
      <c r="F188" t="s">
        <v>70</v>
      </c>
      <c r="J188">
        <v>5</v>
      </c>
      <c r="K188">
        <v>5</v>
      </c>
      <c r="O188">
        <v>5</v>
      </c>
      <c r="P188" s="14">
        <v>25</v>
      </c>
    </row>
    <row r="189" spans="1:16" x14ac:dyDescent="0.4">
      <c r="A189" s="21" t="str">
        <f>IF(D189="","",IF(D189=D188,LEFT(A188,LEN(A188)-2) &amp; RIGHT("00"&amp;COUNTIF($D$2:D189,D189),2),LEFT(A188,LEN(A188)-2)+1 &amp; "01"))</f>
        <v>6902</v>
      </c>
      <c r="B189" s="22">
        <f t="shared" si="4"/>
        <v>69</v>
      </c>
      <c r="C189" s="21">
        <f t="shared" si="5"/>
        <v>2</v>
      </c>
      <c r="D189" s="15" t="s">
        <v>78</v>
      </c>
      <c r="E189" t="s">
        <v>206</v>
      </c>
      <c r="F189" t="s">
        <v>109</v>
      </c>
      <c r="I189" s="14" t="s">
        <v>207</v>
      </c>
      <c r="J189">
        <v>6</v>
      </c>
      <c r="K189">
        <v>1</v>
      </c>
      <c r="N189" s="14">
        <v>10</v>
      </c>
      <c r="O189">
        <v>1</v>
      </c>
      <c r="P189" s="14">
        <v>10</v>
      </c>
    </row>
    <row r="190" spans="1:16" x14ac:dyDescent="0.4">
      <c r="A190" s="21" t="str">
        <f>IF(D190="","",IF(D190=D189,LEFT(A189,LEN(A189)-2) &amp; RIGHT("00"&amp;COUNTIF($D$2:D190,D190),2),LEFT(A189,LEN(A189)-2)+1 &amp; "01"))</f>
        <v>6903</v>
      </c>
      <c r="B190" s="22">
        <f t="shared" si="4"/>
        <v>69</v>
      </c>
      <c r="C190" s="21">
        <f t="shared" si="5"/>
        <v>3</v>
      </c>
      <c r="D190" s="15" t="s">
        <v>78</v>
      </c>
      <c r="E190" t="s">
        <v>208</v>
      </c>
      <c r="F190" t="s">
        <v>209</v>
      </c>
      <c r="G190" t="s">
        <v>70</v>
      </c>
      <c r="H190" t="s">
        <v>210</v>
      </c>
      <c r="I190" s="14" t="s">
        <v>207</v>
      </c>
      <c r="J190">
        <v>4</v>
      </c>
      <c r="K190">
        <v>3</v>
      </c>
      <c r="L190">
        <v>4</v>
      </c>
      <c r="M190">
        <v>2</v>
      </c>
      <c r="N190" s="14">
        <v>6</v>
      </c>
      <c r="O190">
        <v>1</v>
      </c>
      <c r="P190" s="14">
        <v>25</v>
      </c>
    </row>
    <row r="191" spans="1:16" x14ac:dyDescent="0.4">
      <c r="A191" s="21" t="str">
        <f>IF(D191="","",IF(D191=D190,LEFT(A190,LEN(A190)-2) &amp; RIGHT("00"&amp;COUNTIF($D$2:D191,D191),2),LEFT(A190,LEN(A190)-2)+1 &amp; "01"))</f>
        <v>6904</v>
      </c>
      <c r="B191" s="22">
        <f t="shared" si="4"/>
        <v>69</v>
      </c>
      <c r="C191" s="21">
        <f t="shared" si="5"/>
        <v>4</v>
      </c>
      <c r="D191" s="15" t="s">
        <v>78</v>
      </c>
      <c r="E191" t="s">
        <v>207</v>
      </c>
      <c r="F191" t="s">
        <v>176</v>
      </c>
      <c r="I191" s="14" t="s">
        <v>211</v>
      </c>
      <c r="J191">
        <v>16</v>
      </c>
      <c r="K191">
        <v>1</v>
      </c>
      <c r="N191" s="14">
        <v>16</v>
      </c>
      <c r="O191">
        <v>2</v>
      </c>
      <c r="P191" s="14">
        <v>5</v>
      </c>
    </row>
    <row r="192" spans="1:16" x14ac:dyDescent="0.4">
      <c r="A192" s="21" t="str">
        <f>IF(D192="","",IF(D192=D191,LEFT(A191,LEN(A191)-2) &amp; RIGHT("00"&amp;COUNTIF($D$2:D192,D192),2),LEFT(A191,LEN(A191)-2)+1 &amp; "01"))</f>
        <v>6905</v>
      </c>
      <c r="B192" s="22">
        <f t="shared" si="4"/>
        <v>69</v>
      </c>
      <c r="C192" s="21">
        <f t="shared" si="5"/>
        <v>5</v>
      </c>
      <c r="D192" s="15" t="s">
        <v>78</v>
      </c>
      <c r="E192" t="s">
        <v>212</v>
      </c>
      <c r="F192" t="s">
        <v>184</v>
      </c>
      <c r="I192" s="14" t="s">
        <v>211</v>
      </c>
      <c r="J192">
        <v>12</v>
      </c>
      <c r="K192">
        <v>4</v>
      </c>
      <c r="N192" s="14">
        <v>10</v>
      </c>
      <c r="O192">
        <v>2</v>
      </c>
      <c r="P192" s="14">
        <v>40</v>
      </c>
    </row>
    <row r="193" spans="1:16" x14ac:dyDescent="0.4">
      <c r="A193" s="21" t="str">
        <f>IF(D193="","",IF(D193=D192,LEFT(A192,LEN(A192)-2) &amp; RIGHT("00"&amp;COUNTIF($D$2:D193,D193),2),LEFT(A192,LEN(A192)-2)+1 &amp; "01"))</f>
        <v>7001</v>
      </c>
      <c r="B193" s="22">
        <f t="shared" si="4"/>
        <v>70</v>
      </c>
      <c r="C193" s="21">
        <f t="shared" si="5"/>
        <v>1</v>
      </c>
      <c r="D193" s="15" t="s">
        <v>61</v>
      </c>
      <c r="E193" t="s">
        <v>93</v>
      </c>
      <c r="F193" t="s">
        <v>51</v>
      </c>
      <c r="G193" t="s">
        <v>48</v>
      </c>
      <c r="J193">
        <v>4</v>
      </c>
      <c r="K193">
        <v>8</v>
      </c>
      <c r="L193">
        <v>16</v>
      </c>
      <c r="O193">
        <v>1</v>
      </c>
      <c r="P193" s="14">
        <v>2.5</v>
      </c>
    </row>
    <row r="194" spans="1:16" x14ac:dyDescent="0.4">
      <c r="A194" s="21" t="str">
        <f>IF(D194="","",IF(D194=D193,LEFT(A193,LEN(A193)-2) &amp; RIGHT("00"&amp;COUNTIF($D$2:D194,D194),2),LEFT(A193,LEN(A193)-2)+1 &amp; "01"))</f>
        <v>7002</v>
      </c>
      <c r="B194" s="22">
        <f t="shared" si="4"/>
        <v>70</v>
      </c>
      <c r="C194" s="21">
        <f t="shared" si="5"/>
        <v>2</v>
      </c>
      <c r="D194" s="15" t="s">
        <v>61</v>
      </c>
      <c r="E194" t="s">
        <v>93</v>
      </c>
      <c r="F194" t="s">
        <v>96</v>
      </c>
      <c r="G194" t="s">
        <v>52</v>
      </c>
      <c r="J194">
        <v>4</v>
      </c>
      <c r="K194">
        <v>14</v>
      </c>
      <c r="L194">
        <v>6</v>
      </c>
      <c r="O194">
        <v>1</v>
      </c>
      <c r="P194" s="14">
        <v>3.75</v>
      </c>
    </row>
    <row r="195" spans="1:16" x14ac:dyDescent="0.4">
      <c r="A195" s="21" t="str">
        <f>IF(D195="","",IF(D195=D194,LEFT(A194,LEN(A194)-2) &amp; RIGHT("00"&amp;COUNTIF($D$2:D195,D195),2),LEFT(A194,LEN(A194)-2)+1 &amp; "01"))</f>
        <v>7003</v>
      </c>
      <c r="B195" s="22">
        <f t="shared" ref="B195:B258" si="6">IFERROR(VALUE(LEFT(A195,LEN(A195)-2)),"")</f>
        <v>70</v>
      </c>
      <c r="C195" s="21">
        <f t="shared" ref="C195:C258" si="7">IFERROR(VALUE( RIGHT(A195,2)),"")</f>
        <v>3</v>
      </c>
      <c r="D195" s="15" t="s">
        <v>61</v>
      </c>
      <c r="E195" t="s">
        <v>93</v>
      </c>
      <c r="F195" t="s">
        <v>99</v>
      </c>
      <c r="J195">
        <v>3</v>
      </c>
      <c r="K195">
        <v>1</v>
      </c>
      <c r="O195">
        <v>2</v>
      </c>
      <c r="P195" s="14">
        <v>3.3330000000000002</v>
      </c>
    </row>
    <row r="196" spans="1:16" x14ac:dyDescent="0.4">
      <c r="A196" s="21" t="str">
        <f>IF(D196="","",IF(D196=D195,LEFT(A195,LEN(A195)-2) &amp; RIGHT("00"&amp;COUNTIF($D$2:D196,D196),2),LEFT(A195,LEN(A195)-2)+1 &amp; "01"))</f>
        <v>7101</v>
      </c>
      <c r="B196" s="22">
        <f t="shared" si="6"/>
        <v>71</v>
      </c>
      <c r="C196" s="21">
        <f t="shared" si="7"/>
        <v>1</v>
      </c>
      <c r="D196" s="15" t="s">
        <v>84</v>
      </c>
      <c r="E196" t="s">
        <v>10</v>
      </c>
      <c r="F196" t="s">
        <v>67</v>
      </c>
      <c r="G196" t="s">
        <v>79</v>
      </c>
      <c r="H196" t="s">
        <v>54</v>
      </c>
      <c r="J196">
        <v>5</v>
      </c>
      <c r="K196">
        <v>20</v>
      </c>
      <c r="L196">
        <v>5</v>
      </c>
      <c r="M196">
        <v>120</v>
      </c>
      <c r="O196">
        <v>1</v>
      </c>
      <c r="P196" s="14">
        <v>2</v>
      </c>
    </row>
    <row r="197" spans="1:16" x14ac:dyDescent="0.4">
      <c r="A197" s="21" t="str">
        <f>IF(D197="","",IF(D197=D196,LEFT(A196,LEN(A196)-2) &amp; RIGHT("00"&amp;COUNTIF($D$2:D197,D197),2),LEFT(A196,LEN(A196)-2)+1 &amp; "01"))</f>
        <v>7102</v>
      </c>
      <c r="B197" s="22">
        <f t="shared" si="6"/>
        <v>71</v>
      </c>
      <c r="C197" s="21">
        <f t="shared" si="7"/>
        <v>2</v>
      </c>
      <c r="D197" s="15" t="s">
        <v>84</v>
      </c>
      <c r="E197" t="s">
        <v>10</v>
      </c>
      <c r="F197" t="s">
        <v>79</v>
      </c>
      <c r="G197" t="s">
        <v>67</v>
      </c>
      <c r="H197" t="s">
        <v>53</v>
      </c>
      <c r="J197">
        <v>8</v>
      </c>
      <c r="K197">
        <v>10</v>
      </c>
      <c r="L197">
        <v>36</v>
      </c>
      <c r="M197">
        <v>22</v>
      </c>
      <c r="O197">
        <v>3</v>
      </c>
      <c r="P197" s="14">
        <v>2.8119999999999998</v>
      </c>
    </row>
    <row r="198" spans="1:16" x14ac:dyDescent="0.4">
      <c r="A198" s="21" t="str">
        <f>IF(D198="","",IF(D198=D197,LEFT(A197,LEN(A197)-2) &amp; RIGHT("00"&amp;COUNTIF($D$2:D198,D198),2),LEFT(A197,LEN(A197)-2)+1 &amp; "01"))</f>
        <v>7103</v>
      </c>
      <c r="B198" s="22">
        <f t="shared" si="6"/>
        <v>71</v>
      </c>
      <c r="C198" s="21">
        <f t="shared" si="7"/>
        <v>3</v>
      </c>
      <c r="D198" s="15" t="s">
        <v>84</v>
      </c>
      <c r="E198" t="s">
        <v>10</v>
      </c>
      <c r="F198" t="s">
        <v>79</v>
      </c>
      <c r="G198" t="s">
        <v>52</v>
      </c>
      <c r="H198" t="s">
        <v>54</v>
      </c>
      <c r="J198">
        <v>5</v>
      </c>
      <c r="K198">
        <v>3</v>
      </c>
      <c r="L198">
        <v>20</v>
      </c>
      <c r="M198">
        <v>104</v>
      </c>
      <c r="O198">
        <v>1</v>
      </c>
      <c r="P198" s="14">
        <v>3.75</v>
      </c>
    </row>
    <row r="199" spans="1:16" x14ac:dyDescent="0.4">
      <c r="A199" s="21" t="str">
        <f>IF(D199="","",IF(D199=D198,LEFT(A198,LEN(A198)-2) &amp; RIGHT("00"&amp;COUNTIF($D$2:D199,D199),2),LEFT(A198,LEN(A198)-2)+1 &amp; "01"))</f>
        <v>7201</v>
      </c>
      <c r="B199" s="22">
        <f t="shared" si="6"/>
        <v>72</v>
      </c>
      <c r="C199" s="21">
        <f t="shared" si="7"/>
        <v>1</v>
      </c>
      <c r="D199" s="15" t="s">
        <v>94</v>
      </c>
      <c r="E199" t="s">
        <v>82</v>
      </c>
      <c r="F199" t="s">
        <v>52</v>
      </c>
      <c r="G199" t="s">
        <v>68</v>
      </c>
      <c r="J199">
        <v>2</v>
      </c>
      <c r="K199">
        <v>15</v>
      </c>
      <c r="L199">
        <v>2</v>
      </c>
      <c r="O199">
        <v>1</v>
      </c>
      <c r="P199" s="14">
        <v>1</v>
      </c>
    </row>
    <row r="200" spans="1:16" x14ac:dyDescent="0.4">
      <c r="A200" s="21" t="str">
        <f>IF(D200="","",IF(D200=D199,LEFT(A199,LEN(A199)-2) &amp; RIGHT("00"&amp;COUNTIF($D$2:D200,D200),2),LEFT(A199,LEN(A199)-2)+1 &amp; "01"))</f>
        <v>7301</v>
      </c>
      <c r="B200" s="22">
        <f t="shared" si="6"/>
        <v>73</v>
      </c>
      <c r="C200" s="21">
        <f t="shared" si="7"/>
        <v>1</v>
      </c>
      <c r="D200" s="15" t="s">
        <v>95</v>
      </c>
      <c r="E200" t="s">
        <v>83</v>
      </c>
      <c r="F200" t="s">
        <v>93</v>
      </c>
      <c r="G200" t="s">
        <v>84</v>
      </c>
      <c r="H200" t="s">
        <v>61</v>
      </c>
      <c r="J200">
        <v>5</v>
      </c>
      <c r="K200">
        <v>5</v>
      </c>
      <c r="L200">
        <v>1</v>
      </c>
      <c r="M200">
        <v>2</v>
      </c>
      <c r="O200">
        <v>1</v>
      </c>
      <c r="P200" s="14">
        <v>1</v>
      </c>
    </row>
    <row r="201" spans="1:16" x14ac:dyDescent="0.4">
      <c r="A201" s="21" t="str">
        <f>IF(D201="","",IF(D201=D200,LEFT(A200,LEN(A200)-2) &amp; RIGHT("00"&amp;COUNTIF($D$2:D201,D201),2),LEFT(A200,LEN(A200)-2)+1 &amp; "01"))</f>
        <v>7401</v>
      </c>
      <c r="B201" s="22">
        <f t="shared" si="6"/>
        <v>74</v>
      </c>
      <c r="C201" s="21">
        <f t="shared" si="7"/>
        <v>1</v>
      </c>
      <c r="D201" s="15" t="s">
        <v>255</v>
      </c>
      <c r="O201">
        <v>1</v>
      </c>
      <c r="P201" s="14">
        <v>1</v>
      </c>
    </row>
    <row r="202" spans="1:16" x14ac:dyDescent="0.4">
      <c r="A202" s="21" t="str">
        <f>IF(D202="","",IF(D202=D201,LEFT(A201,LEN(A201)-2) &amp; RIGHT("00"&amp;COUNTIF($D$2:D202,D202),2),LEFT(A201,LEN(A201)-2)+1 &amp; "01"))</f>
        <v>7501</v>
      </c>
      <c r="B202" s="22">
        <f t="shared" si="6"/>
        <v>75</v>
      </c>
      <c r="C202" s="21">
        <f t="shared" si="7"/>
        <v>1</v>
      </c>
      <c r="D202" s="15" t="s">
        <v>213</v>
      </c>
      <c r="E202" t="s">
        <v>166</v>
      </c>
      <c r="F202" t="s">
        <v>163</v>
      </c>
      <c r="J202">
        <v>1</v>
      </c>
      <c r="K202">
        <v>5</v>
      </c>
      <c r="O202">
        <v>1</v>
      </c>
      <c r="P202" s="14">
        <v>15</v>
      </c>
    </row>
    <row r="203" spans="1:16" x14ac:dyDescent="0.4">
      <c r="A203" s="21" t="str">
        <f>IF(D203="","",IF(D203=D202,LEFT(A202,LEN(A202)-2) &amp; RIGHT("00"&amp;COUNTIF($D$2:D203,D203),2),LEFT(A202,LEN(A202)-2)+1 &amp; "01"))</f>
        <v>7502</v>
      </c>
      <c r="B203" s="22">
        <f t="shared" si="6"/>
        <v>75</v>
      </c>
      <c r="C203" s="21">
        <f t="shared" si="7"/>
        <v>2</v>
      </c>
      <c r="D203" s="15" t="s">
        <v>213</v>
      </c>
      <c r="E203" t="s">
        <v>92</v>
      </c>
      <c r="F203" t="s">
        <v>203</v>
      </c>
      <c r="J203">
        <v>1</v>
      </c>
      <c r="K203">
        <v>1</v>
      </c>
      <c r="O203">
        <v>1</v>
      </c>
      <c r="P203" s="14">
        <v>30</v>
      </c>
    </row>
    <row r="204" spans="1:16" x14ac:dyDescent="0.4">
      <c r="A204" s="21" t="str">
        <f>IF(D204="","",IF(D204=D203,LEFT(A203,LEN(A203)-2) &amp; RIGHT("00"&amp;COUNTIF($D$2:D204,D204),2),LEFT(A203,LEN(A203)-2)+1 &amp; "01"))</f>
        <v>7601</v>
      </c>
      <c r="B204" s="22">
        <f t="shared" si="6"/>
        <v>76</v>
      </c>
      <c r="C204" s="21">
        <f t="shared" si="7"/>
        <v>1</v>
      </c>
      <c r="D204" s="15" t="s">
        <v>214</v>
      </c>
      <c r="E204" t="s">
        <v>213</v>
      </c>
      <c r="F204" t="s">
        <v>210</v>
      </c>
      <c r="G204" t="s">
        <v>47</v>
      </c>
      <c r="J204">
        <v>2</v>
      </c>
      <c r="K204">
        <v>4</v>
      </c>
      <c r="L204">
        <v>2</v>
      </c>
      <c r="O204">
        <v>1</v>
      </c>
      <c r="P204" s="14">
        <v>7.5</v>
      </c>
    </row>
    <row r="205" spans="1:16" x14ac:dyDescent="0.4">
      <c r="A205" s="21" t="str">
        <f>IF(D205="","",IF(D205=D204,LEFT(A204,LEN(A204)-2) &amp; RIGHT("00"&amp;COUNTIF($D$2:D205,D205),2),LEFT(A204,LEN(A204)-2)+1 &amp; "01"))</f>
        <v>7701</v>
      </c>
      <c r="B205" s="22">
        <f t="shared" si="6"/>
        <v>77</v>
      </c>
      <c r="C205" s="21">
        <f t="shared" si="7"/>
        <v>1</v>
      </c>
      <c r="D205" s="15" t="s">
        <v>215</v>
      </c>
      <c r="E205" t="s">
        <v>167</v>
      </c>
      <c r="J205">
        <v>1</v>
      </c>
      <c r="O205">
        <v>1</v>
      </c>
      <c r="P205" s="14">
        <v>10</v>
      </c>
    </row>
    <row r="206" spans="1:16" x14ac:dyDescent="0.4">
      <c r="A206" s="21" t="str">
        <f>IF(D206="","",IF(D206=D205,LEFT(A205,LEN(A205)-2) &amp; RIGHT("00"&amp;COUNTIF($D$2:D206,D206),2),LEFT(A205,LEN(A205)-2)+1 &amp; "01"))</f>
        <v>7801</v>
      </c>
      <c r="B206" s="22">
        <f t="shared" si="6"/>
        <v>78</v>
      </c>
      <c r="C206" s="21">
        <f t="shared" si="7"/>
        <v>1</v>
      </c>
      <c r="D206" s="15" t="s">
        <v>64</v>
      </c>
      <c r="E206" t="s">
        <v>96</v>
      </c>
      <c r="F206" t="s">
        <v>51</v>
      </c>
      <c r="G206" t="s">
        <v>93</v>
      </c>
      <c r="J206">
        <v>56</v>
      </c>
      <c r="K206">
        <v>10</v>
      </c>
      <c r="L206">
        <v>1</v>
      </c>
      <c r="O206">
        <v>1</v>
      </c>
      <c r="P206" s="14">
        <v>3.75</v>
      </c>
    </row>
    <row r="207" spans="1:16" x14ac:dyDescent="0.4">
      <c r="A207" s="21" t="str">
        <f>IF(D207="","",IF(D207=D206,LEFT(A206,LEN(A206)-2) &amp; RIGHT("00"&amp;COUNTIF($D$2:D207,D207),2),LEFT(A206,LEN(A206)-2)+1 &amp; "01"))</f>
        <v>7802</v>
      </c>
      <c r="B207" s="22">
        <f t="shared" si="6"/>
        <v>78</v>
      </c>
      <c r="C207" s="21">
        <f t="shared" si="7"/>
        <v>2</v>
      </c>
      <c r="D207" s="15" t="s">
        <v>64</v>
      </c>
      <c r="E207" t="s">
        <v>96</v>
      </c>
      <c r="F207" t="s">
        <v>42</v>
      </c>
      <c r="G207" t="s">
        <v>93</v>
      </c>
      <c r="J207">
        <v>60</v>
      </c>
      <c r="K207">
        <v>25</v>
      </c>
      <c r="L207">
        <v>2</v>
      </c>
      <c r="O207">
        <v>2</v>
      </c>
      <c r="P207" s="14">
        <v>3</v>
      </c>
    </row>
    <row r="208" spans="1:16" x14ac:dyDescent="0.4">
      <c r="A208" s="21" t="str">
        <f>IF(D208="","",IF(D208=D207,LEFT(A207,LEN(A207)-2) &amp; RIGHT("00"&amp;COUNTIF($D$2:D208,D208),2),LEFT(A207,LEN(A207)-2)+1 &amp; "01"))</f>
        <v>7901</v>
      </c>
      <c r="B208" s="22">
        <f t="shared" si="6"/>
        <v>79</v>
      </c>
      <c r="C208" s="21">
        <f t="shared" si="7"/>
        <v>1</v>
      </c>
      <c r="D208" s="15" t="s">
        <v>106</v>
      </c>
      <c r="E208" t="s">
        <v>104</v>
      </c>
      <c r="F208" t="s">
        <v>76</v>
      </c>
      <c r="J208">
        <v>2</v>
      </c>
      <c r="K208">
        <v>1</v>
      </c>
      <c r="O208">
        <v>2</v>
      </c>
      <c r="P208" s="14">
        <v>20</v>
      </c>
    </row>
    <row r="209" spans="1:16" x14ac:dyDescent="0.4">
      <c r="A209" s="21" t="str">
        <f>IF(D209="","",IF(D209=D208,LEFT(A208,LEN(A208)-2) &amp; RIGHT("00"&amp;COUNTIF($D$2:D209,D209),2),LEFT(A208,LEN(A208)-2)+1 &amp; "01"))</f>
        <v>8001</v>
      </c>
      <c r="B209" s="22">
        <f t="shared" si="6"/>
        <v>80</v>
      </c>
      <c r="C209" s="21">
        <f t="shared" si="7"/>
        <v>1</v>
      </c>
      <c r="D209" s="15" t="s">
        <v>43</v>
      </c>
      <c r="E209" t="s">
        <v>44</v>
      </c>
      <c r="F209" t="s">
        <v>36</v>
      </c>
      <c r="I209" s="14" t="s">
        <v>42</v>
      </c>
      <c r="J209">
        <v>12</v>
      </c>
      <c r="K209">
        <v>18</v>
      </c>
      <c r="N209" s="14">
        <v>5</v>
      </c>
      <c r="O209">
        <v>12</v>
      </c>
      <c r="P209" s="14">
        <v>120</v>
      </c>
    </row>
    <row r="210" spans="1:16" x14ac:dyDescent="0.4">
      <c r="A210" s="21" t="str">
        <f>IF(D210="","",IF(D210=D209,LEFT(A209,LEN(A209)-2) &amp; RIGHT("00"&amp;COUNTIF($D$2:D210,D210),2),LEFT(A209,LEN(A209)-2)+1 &amp; "01"))</f>
        <v>8002</v>
      </c>
      <c r="B210" s="22">
        <f t="shared" si="6"/>
        <v>80</v>
      </c>
      <c r="C210" s="21">
        <f t="shared" si="7"/>
        <v>2</v>
      </c>
      <c r="D210" s="15" t="s">
        <v>43</v>
      </c>
      <c r="E210" t="s">
        <v>44</v>
      </c>
      <c r="F210" t="s">
        <v>36</v>
      </c>
      <c r="J210">
        <v>10</v>
      </c>
      <c r="K210">
        <v>10</v>
      </c>
      <c r="O210">
        <v>12</v>
      </c>
      <c r="P210" s="14">
        <v>240</v>
      </c>
    </row>
    <row r="211" spans="1:16" x14ac:dyDescent="0.4">
      <c r="A211" s="21" t="str">
        <f>IF(D211="","",IF(D211=D210,LEFT(A210,LEN(A210)-2) &amp; RIGHT("00"&amp;COUNTIF($D$2:D211,D211),2),LEFT(A210,LEN(A210)-2)+1 &amp; "01"))</f>
        <v>8003</v>
      </c>
      <c r="B211" s="22">
        <f t="shared" si="6"/>
        <v>80</v>
      </c>
      <c r="C211" s="21">
        <f t="shared" si="7"/>
        <v>3</v>
      </c>
      <c r="D211" s="15" t="s">
        <v>43</v>
      </c>
      <c r="E211" t="s">
        <v>216</v>
      </c>
      <c r="I211" s="14" t="s">
        <v>45</v>
      </c>
      <c r="J211">
        <v>2</v>
      </c>
      <c r="N211" s="14">
        <v>2</v>
      </c>
      <c r="O211">
        <v>2</v>
      </c>
      <c r="P211" s="14">
        <v>120</v>
      </c>
    </row>
    <row r="212" spans="1:16" x14ac:dyDescent="0.4">
      <c r="A212" s="21" t="str">
        <f>IF(D212="","",IF(D212=D211,LEFT(A211,LEN(A211)-2) &amp; RIGHT("00"&amp;COUNTIF($D$2:D212,D212),2),LEFT(A211,LEN(A211)-2)+1 &amp; "01"))</f>
        <v>8101</v>
      </c>
      <c r="B212" s="22">
        <f t="shared" si="6"/>
        <v>81</v>
      </c>
      <c r="C212" s="21">
        <f t="shared" si="7"/>
        <v>1</v>
      </c>
      <c r="D212" s="15" t="s">
        <v>240</v>
      </c>
      <c r="O212">
        <v>1</v>
      </c>
      <c r="P212" s="14">
        <v>1200</v>
      </c>
    </row>
    <row r="213" spans="1:16" x14ac:dyDescent="0.4">
      <c r="A213" s="21" t="str">
        <f>IF(D213="","",IF(D213=D212,LEFT(A212,LEN(A212)-2) &amp; RIGHT("00"&amp;COUNTIF($D$2:D213,D213),2),LEFT(A212,LEN(A212)-2)+1 &amp; "01"))</f>
        <v>8102</v>
      </c>
      <c r="B213" s="22">
        <f t="shared" si="6"/>
        <v>81</v>
      </c>
      <c r="C213" s="21">
        <f t="shared" si="7"/>
        <v>2</v>
      </c>
      <c r="D213" s="15" t="s">
        <v>240</v>
      </c>
      <c r="E213" t="s">
        <v>189</v>
      </c>
      <c r="F213" t="s">
        <v>40</v>
      </c>
      <c r="J213">
        <v>1</v>
      </c>
      <c r="K213">
        <v>15</v>
      </c>
      <c r="O213">
        <v>12</v>
      </c>
      <c r="P213" s="14">
        <v>120</v>
      </c>
    </row>
    <row r="214" spans="1:16" x14ac:dyDescent="0.4">
      <c r="A214" s="21" t="str">
        <f>IF(D214="","",IF(D214=D213,LEFT(A213,LEN(A213)-2) &amp; RIGHT("00"&amp;COUNTIF($D$2:D214,D214),2),LEFT(A213,LEN(A213)-2)+1 &amp; "01"))</f>
        <v>8103</v>
      </c>
      <c r="B214" s="22">
        <f t="shared" si="6"/>
        <v>81</v>
      </c>
      <c r="C214" s="21">
        <f t="shared" si="7"/>
        <v>3</v>
      </c>
      <c r="D214" s="15" t="s">
        <v>240</v>
      </c>
      <c r="E214" t="s">
        <v>189</v>
      </c>
      <c r="F214" t="s">
        <v>239</v>
      </c>
      <c r="J214">
        <v>1</v>
      </c>
      <c r="K214">
        <v>18</v>
      </c>
      <c r="O214">
        <v>12</v>
      </c>
      <c r="P214" s="14">
        <v>120</v>
      </c>
    </row>
    <row r="215" spans="1:16" x14ac:dyDescent="0.4">
      <c r="A215" s="21" t="str">
        <f>IF(D215="","",IF(D215=D214,LEFT(A214,LEN(A214)-2) &amp; RIGHT("00"&amp;COUNTIF($D$2:D215,D215),2),LEFT(A214,LEN(A214)-2)+1 &amp; "01"))</f>
        <v>8201</v>
      </c>
      <c r="B215" s="22">
        <f t="shared" si="6"/>
        <v>82</v>
      </c>
      <c r="C215" s="21">
        <f t="shared" si="7"/>
        <v>1</v>
      </c>
      <c r="D215" s="15" t="s">
        <v>216</v>
      </c>
      <c r="E215" t="s">
        <v>45</v>
      </c>
      <c r="F215" t="s">
        <v>43</v>
      </c>
      <c r="J215">
        <v>2</v>
      </c>
      <c r="K215">
        <v>2</v>
      </c>
      <c r="O215">
        <v>2</v>
      </c>
      <c r="P215" s="14">
        <v>120</v>
      </c>
    </row>
    <row r="216" spans="1:16" x14ac:dyDescent="0.4">
      <c r="A216" s="21" t="str">
        <f>IF(D216="","",IF(D216=D215,LEFT(A215,LEN(A215)-2) &amp; RIGHT("00"&amp;COUNTIF($D$2:D216,D216),2),LEFT(A215,LEN(A215)-2)+1 &amp; "01"))</f>
        <v>8301</v>
      </c>
      <c r="B216" s="22">
        <f t="shared" si="6"/>
        <v>83</v>
      </c>
      <c r="C216" s="21">
        <f t="shared" si="7"/>
        <v>1</v>
      </c>
      <c r="D216" s="15" t="s">
        <v>41</v>
      </c>
      <c r="E216" t="s">
        <v>43</v>
      </c>
      <c r="F216" t="s">
        <v>37</v>
      </c>
      <c r="I216" s="14" t="s">
        <v>36</v>
      </c>
      <c r="J216">
        <v>4</v>
      </c>
      <c r="K216">
        <v>2</v>
      </c>
      <c r="N216" s="14">
        <v>2</v>
      </c>
      <c r="O216">
        <v>6</v>
      </c>
      <c r="P216" s="14">
        <v>360</v>
      </c>
    </row>
    <row r="217" spans="1:16" x14ac:dyDescent="0.4">
      <c r="A217" s="21" t="str">
        <f>IF(D217="","",IF(D217=D216,LEFT(A216,LEN(A216)-2) &amp; RIGHT("00"&amp;COUNTIF($D$2:D217,D217),2),LEFT(A216,LEN(A216)-2)+1 &amp; "01"))</f>
        <v>8302</v>
      </c>
      <c r="B217" s="22">
        <f t="shared" si="6"/>
        <v>83</v>
      </c>
      <c r="C217" s="21">
        <f t="shared" si="7"/>
        <v>2</v>
      </c>
      <c r="D217" s="15" t="s">
        <v>41</v>
      </c>
      <c r="E217" t="s">
        <v>44</v>
      </c>
      <c r="F217" t="s">
        <v>37</v>
      </c>
      <c r="G217" t="s">
        <v>46</v>
      </c>
      <c r="H217" t="s">
        <v>36</v>
      </c>
      <c r="I217" s="14" t="s">
        <v>36</v>
      </c>
      <c r="J217">
        <v>15</v>
      </c>
      <c r="K217">
        <v>10</v>
      </c>
      <c r="L217">
        <v>5</v>
      </c>
      <c r="M217">
        <v>6</v>
      </c>
      <c r="N217" s="14">
        <v>5</v>
      </c>
      <c r="O217">
        <v>30</v>
      </c>
      <c r="P217" s="14">
        <v>300</v>
      </c>
    </row>
    <row r="218" spans="1:16" x14ac:dyDescent="0.4">
      <c r="A218" s="21" t="str">
        <f>IF(D218="","",IF(D218=D217,LEFT(A217,LEN(A217)-2) &amp; RIGHT("00"&amp;COUNTIF($D$2:D218,D218),2),LEFT(A217,LEN(A217)-2)+1 &amp; "01"))</f>
        <v>8303</v>
      </c>
      <c r="B218" s="22">
        <f t="shared" si="6"/>
        <v>83</v>
      </c>
      <c r="C218" s="21">
        <f t="shared" si="7"/>
        <v>3</v>
      </c>
      <c r="D218" s="15" t="s">
        <v>41</v>
      </c>
      <c r="E218" t="s">
        <v>43</v>
      </c>
      <c r="F218" t="s">
        <v>39</v>
      </c>
      <c r="I218" s="14" t="s">
        <v>36</v>
      </c>
      <c r="J218">
        <v>12</v>
      </c>
      <c r="K218">
        <v>4</v>
      </c>
      <c r="N218" s="14">
        <v>7</v>
      </c>
      <c r="O218">
        <v>20</v>
      </c>
      <c r="P218" s="14">
        <v>300</v>
      </c>
    </row>
    <row r="219" spans="1:16" x14ac:dyDescent="0.4">
      <c r="A219" s="21" t="str">
        <f>IF(D219="","",IF(D219=D218,LEFT(A218,LEN(A218)-2) &amp; RIGHT("00"&amp;COUNTIF($D$2:D219,D219),2),LEFT(A218,LEN(A218)-2)+1 &amp; "01"))</f>
        <v>8401</v>
      </c>
      <c r="B219" s="22">
        <f t="shared" si="6"/>
        <v>84</v>
      </c>
      <c r="C219" s="21">
        <f t="shared" si="7"/>
        <v>1</v>
      </c>
      <c r="D219" s="15" t="s">
        <v>32</v>
      </c>
      <c r="E219" t="s">
        <v>41</v>
      </c>
      <c r="F219" t="s">
        <v>42</v>
      </c>
      <c r="J219">
        <v>6</v>
      </c>
      <c r="K219">
        <v>5</v>
      </c>
      <c r="O219">
        <v>4</v>
      </c>
      <c r="P219" s="14">
        <v>60</v>
      </c>
    </row>
    <row r="220" spans="1:16" x14ac:dyDescent="0.4">
      <c r="A220" s="21" t="str">
        <f>IF(D220="","",IF(D220=D219,LEFT(A219,LEN(A219)-2) &amp; RIGHT("00"&amp;COUNTIF($D$2:D220,D220),2),LEFT(A219,LEN(A219)-2)+1 &amp; "01"))</f>
        <v>8402</v>
      </c>
      <c r="B220" s="22">
        <f t="shared" si="6"/>
        <v>84</v>
      </c>
      <c r="C220" s="21">
        <f t="shared" si="7"/>
        <v>2</v>
      </c>
      <c r="D220" s="15" t="s">
        <v>32</v>
      </c>
      <c r="E220" t="s">
        <v>41</v>
      </c>
      <c r="J220">
        <v>2</v>
      </c>
      <c r="O220">
        <v>1</v>
      </c>
      <c r="P220" s="14">
        <v>30</v>
      </c>
    </row>
    <row r="221" spans="1:16" x14ac:dyDescent="0.4">
      <c r="A221" s="21" t="str">
        <f>IF(D221="","",IF(D221=D220,LEFT(A220,LEN(A220)-2) &amp; RIGHT("00"&amp;COUNTIF($D$2:D221,D221),2),LEFT(A220,LEN(A220)-2)+1 &amp; "01"))</f>
        <v>8501</v>
      </c>
      <c r="B221" s="22">
        <f t="shared" si="6"/>
        <v>85</v>
      </c>
      <c r="C221" s="21">
        <f t="shared" si="7"/>
        <v>1</v>
      </c>
      <c r="D221" s="15" t="s">
        <v>97</v>
      </c>
      <c r="E221" t="s">
        <v>32</v>
      </c>
      <c r="F221" t="s">
        <v>29</v>
      </c>
      <c r="J221">
        <v>3</v>
      </c>
      <c r="K221">
        <v>1</v>
      </c>
      <c r="O221">
        <v>3</v>
      </c>
      <c r="P221" s="14">
        <v>30</v>
      </c>
    </row>
    <row r="222" spans="1:16" x14ac:dyDescent="0.4">
      <c r="A222" s="21" t="str">
        <f>IF(D222="","",IF(D222=D221,LEFT(A221,LEN(A221)-2) &amp; RIGHT("00"&amp;COUNTIF($D$2:D222,D222),2),LEFT(A221,LEN(A221)-2)+1 &amp; "01"))</f>
        <v>8601</v>
      </c>
      <c r="B222" s="22">
        <f t="shared" si="6"/>
        <v>86</v>
      </c>
      <c r="C222" s="21">
        <f t="shared" si="7"/>
        <v>1</v>
      </c>
      <c r="D222" s="15" t="s">
        <v>98</v>
      </c>
      <c r="E222" t="s">
        <v>32</v>
      </c>
      <c r="J222">
        <v>3</v>
      </c>
      <c r="O222">
        <v>2</v>
      </c>
      <c r="P222" s="14">
        <v>60</v>
      </c>
    </row>
    <row r="223" spans="1:16" x14ac:dyDescent="0.4">
      <c r="A223" s="21" t="str">
        <f>IF(D223="","",IF(D223=D222,LEFT(A222,LEN(A222)-2) &amp; RIGHT("00"&amp;COUNTIF($D$2:D223,D223),2),LEFT(A222,LEN(A222)-2)+1 &amp; "01"))</f>
        <v>8602</v>
      </c>
      <c r="B223" s="22">
        <f t="shared" si="6"/>
        <v>86</v>
      </c>
      <c r="C223" s="21">
        <f t="shared" si="7"/>
        <v>2</v>
      </c>
      <c r="D223" s="15" t="s">
        <v>98</v>
      </c>
      <c r="E223" t="s">
        <v>32</v>
      </c>
      <c r="F223" t="s">
        <v>29</v>
      </c>
      <c r="J223">
        <v>20</v>
      </c>
      <c r="K223">
        <v>10</v>
      </c>
      <c r="O223">
        <v>15</v>
      </c>
      <c r="P223" s="14">
        <v>112.5</v>
      </c>
    </row>
    <row r="224" spans="1:16" x14ac:dyDescent="0.4">
      <c r="A224" s="21" t="str">
        <f>IF(D224="","",IF(D224=D223,LEFT(A223,LEN(A223)-2) &amp; RIGHT("00"&amp;COUNTIF($D$2:D224,D224),2),LEFT(A223,LEN(A223)-2)+1 &amp; "01"))</f>
        <v>8701</v>
      </c>
      <c r="B224" s="22">
        <f t="shared" si="6"/>
        <v>87</v>
      </c>
      <c r="C224" s="21">
        <f t="shared" si="7"/>
        <v>1</v>
      </c>
      <c r="D224" s="15" t="s">
        <v>77</v>
      </c>
      <c r="E224" t="s">
        <v>75</v>
      </c>
      <c r="F224" t="s">
        <v>78</v>
      </c>
      <c r="J224">
        <v>6</v>
      </c>
      <c r="K224">
        <v>4</v>
      </c>
      <c r="O224">
        <v>5</v>
      </c>
      <c r="P224" s="14">
        <v>18.75</v>
      </c>
    </row>
    <row r="225" spans="1:16" x14ac:dyDescent="0.4">
      <c r="A225" s="21" t="str">
        <f>IF(D225="","",IF(D225=D224,LEFT(A224,LEN(A224)-2) &amp; RIGHT("00"&amp;COUNTIF($D$2:D225,D225),2),LEFT(A224,LEN(A224)-2)+1 &amp; "01"))</f>
        <v>8702</v>
      </c>
      <c r="B225" s="22">
        <f t="shared" si="6"/>
        <v>87</v>
      </c>
      <c r="C225" s="21">
        <f t="shared" si="7"/>
        <v>2</v>
      </c>
      <c r="D225" s="15" t="s">
        <v>77</v>
      </c>
      <c r="E225" t="s">
        <v>76</v>
      </c>
      <c r="F225" t="s">
        <v>78</v>
      </c>
      <c r="J225">
        <v>5</v>
      </c>
      <c r="K225">
        <v>4</v>
      </c>
      <c r="O225">
        <v>4</v>
      </c>
      <c r="P225" s="14">
        <v>30</v>
      </c>
    </row>
    <row r="226" spans="1:16" x14ac:dyDescent="0.4">
      <c r="A226" s="21" t="str">
        <f>IF(D226="","",IF(D226=D225,LEFT(A225,LEN(A225)-2) &amp; RIGHT("00"&amp;COUNTIF($D$2:D226,D226),2),LEFT(A225,LEN(A225)-2)+1 &amp; "01"))</f>
        <v>8703</v>
      </c>
      <c r="B226" s="22">
        <f t="shared" si="6"/>
        <v>87</v>
      </c>
      <c r="C226" s="21">
        <f t="shared" si="7"/>
        <v>3</v>
      </c>
      <c r="D226" s="15" t="s">
        <v>77</v>
      </c>
      <c r="E226" t="s">
        <v>75</v>
      </c>
      <c r="F226" t="s">
        <v>76</v>
      </c>
      <c r="G226" t="s">
        <v>70</v>
      </c>
      <c r="H226" t="s">
        <v>39</v>
      </c>
      <c r="J226">
        <v>2</v>
      </c>
      <c r="K226">
        <v>4</v>
      </c>
      <c r="L226">
        <v>3</v>
      </c>
      <c r="M226">
        <v>3</v>
      </c>
      <c r="O226">
        <v>6</v>
      </c>
      <c r="P226" s="14">
        <v>45</v>
      </c>
    </row>
    <row r="227" spans="1:16" x14ac:dyDescent="0.4">
      <c r="A227" s="21" t="str">
        <f>IF(D227="","",IF(D227=D226,LEFT(A226,LEN(A226)-2) &amp; RIGHT("00"&amp;COUNTIF($D$2:D227,D227),2),LEFT(A226,LEN(A226)-2)+1 &amp; "01"))</f>
        <v>8704</v>
      </c>
      <c r="B227" s="22">
        <f t="shared" si="6"/>
        <v>87</v>
      </c>
      <c r="C227" s="21">
        <f t="shared" si="7"/>
        <v>4</v>
      </c>
      <c r="D227" s="15" t="s">
        <v>77</v>
      </c>
      <c r="E227" t="s">
        <v>102</v>
      </c>
      <c r="I227" s="14" t="s">
        <v>45</v>
      </c>
      <c r="J227">
        <v>2</v>
      </c>
      <c r="N227" s="14">
        <v>2</v>
      </c>
      <c r="O227">
        <v>2</v>
      </c>
      <c r="P227" s="14">
        <v>20</v>
      </c>
    </row>
    <row r="228" spans="1:16" x14ac:dyDescent="0.4">
      <c r="A228" s="21" t="str">
        <f>IF(D228="","",IF(D228=D227,LEFT(A227,LEN(A227)-2) &amp; RIGHT("00"&amp;COUNTIF($D$2:D228,D228),2),LEFT(A227,LEN(A227)-2)+1 &amp; "01"))</f>
        <v>8801</v>
      </c>
      <c r="B228" s="22">
        <f t="shared" si="6"/>
        <v>88</v>
      </c>
      <c r="C228" s="21">
        <f t="shared" si="7"/>
        <v>1</v>
      </c>
      <c r="D228" s="15" t="s">
        <v>102</v>
      </c>
      <c r="E228" t="s">
        <v>45</v>
      </c>
      <c r="F228" t="s">
        <v>76</v>
      </c>
      <c r="J228">
        <v>2</v>
      </c>
      <c r="K228">
        <v>2</v>
      </c>
      <c r="O228">
        <v>2</v>
      </c>
      <c r="P228" s="14">
        <v>20</v>
      </c>
    </row>
    <row r="229" spans="1:16" x14ac:dyDescent="0.4">
      <c r="A229" s="21" t="str">
        <f>IF(D229="","",IF(D229=D228,LEFT(A228,LEN(A228)-2) &amp; RIGHT("00"&amp;COUNTIF($D$2:D229,D229),2),LEFT(A228,LEN(A228)-2)+1 &amp; "01"))</f>
        <v>8901</v>
      </c>
      <c r="B229" s="22">
        <f t="shared" si="6"/>
        <v>89</v>
      </c>
      <c r="C229" s="21">
        <f t="shared" si="7"/>
        <v>1</v>
      </c>
      <c r="D229" s="15" t="s">
        <v>85</v>
      </c>
      <c r="E229" t="s">
        <v>49</v>
      </c>
      <c r="J229">
        <v>1</v>
      </c>
      <c r="O229">
        <v>1</v>
      </c>
      <c r="P229" s="14">
        <v>15</v>
      </c>
    </row>
    <row r="230" spans="1:16" x14ac:dyDescent="0.4">
      <c r="A230" s="21" t="str">
        <f>IF(D230="","",IF(D230=D229,LEFT(A229,LEN(A229)-2) &amp; RIGHT("00"&amp;COUNTIF($D$2:D230,D230),2),LEFT(A229,LEN(A229)-2)+1 &amp; "01"))</f>
        <v>9001</v>
      </c>
      <c r="B230" s="22">
        <f t="shared" si="6"/>
        <v>90</v>
      </c>
      <c r="C230" s="21">
        <f t="shared" si="7"/>
        <v>1</v>
      </c>
      <c r="D230" s="15" t="s">
        <v>46</v>
      </c>
      <c r="E230" t="s">
        <v>70</v>
      </c>
      <c r="F230" t="s">
        <v>36</v>
      </c>
      <c r="J230">
        <v>5</v>
      </c>
      <c r="K230">
        <v>5</v>
      </c>
      <c r="O230">
        <v>5</v>
      </c>
      <c r="P230" s="14">
        <v>50</v>
      </c>
    </row>
    <row r="231" spans="1:16" x14ac:dyDescent="0.4">
      <c r="A231" s="21" t="str">
        <f>IF(D231="","",IF(D231=D230,LEFT(A230,LEN(A230)-2) &amp; RIGHT("00"&amp;COUNTIF($D$2:D231,D231),2),LEFT(A230,LEN(A230)-2)+1 &amp; "01"))</f>
        <v>9002</v>
      </c>
      <c r="B231" s="22">
        <f t="shared" si="6"/>
        <v>90</v>
      </c>
      <c r="C231" s="21">
        <f t="shared" si="7"/>
        <v>2</v>
      </c>
      <c r="D231" s="15" t="s">
        <v>46</v>
      </c>
      <c r="E231" t="s">
        <v>71</v>
      </c>
      <c r="F231" t="s">
        <v>53</v>
      </c>
      <c r="G231" t="s">
        <v>46</v>
      </c>
      <c r="I231" s="14" t="s">
        <v>72</v>
      </c>
      <c r="J231">
        <v>10</v>
      </c>
      <c r="K231">
        <v>3</v>
      </c>
      <c r="L231">
        <v>8</v>
      </c>
      <c r="N231" s="14">
        <v>5</v>
      </c>
      <c r="O231">
        <v>2</v>
      </c>
      <c r="P231" s="14">
        <v>10</v>
      </c>
    </row>
    <row r="232" spans="1:16" x14ac:dyDescent="0.4">
      <c r="A232" s="21" t="str">
        <f>IF(D232="","",IF(D232=D231,LEFT(A231,LEN(A231)-2) &amp; RIGHT("00"&amp;COUNTIF($D$2:D232,D232),2),LEFT(A231,LEN(A231)-2)+1 &amp; "01"))</f>
        <v>9003</v>
      </c>
      <c r="B232" s="22">
        <f t="shared" si="6"/>
        <v>90</v>
      </c>
      <c r="C232" s="21">
        <f t="shared" si="7"/>
        <v>3</v>
      </c>
      <c r="D232" s="15" t="s">
        <v>46</v>
      </c>
      <c r="E232" t="s">
        <v>217</v>
      </c>
      <c r="I232" s="14" t="s">
        <v>45</v>
      </c>
      <c r="J232">
        <v>1</v>
      </c>
      <c r="N232" s="14">
        <v>1</v>
      </c>
      <c r="O232">
        <v>1</v>
      </c>
      <c r="P232" s="14">
        <v>60</v>
      </c>
    </row>
    <row r="233" spans="1:16" x14ac:dyDescent="0.4">
      <c r="A233" s="21" t="str">
        <f>IF(D233="","",IF(D233=D232,LEFT(A232,LEN(A232)-2) &amp; RIGHT("00"&amp;COUNTIF($D$2:D233,D233),2),LEFT(A232,LEN(A232)-2)+1 &amp; "01"))</f>
        <v>9101</v>
      </c>
      <c r="B233" s="22">
        <f t="shared" si="6"/>
        <v>91</v>
      </c>
      <c r="C233" s="21">
        <f t="shared" si="7"/>
        <v>1</v>
      </c>
      <c r="D233" s="15" t="s">
        <v>217</v>
      </c>
      <c r="E233" t="s">
        <v>45</v>
      </c>
      <c r="F233" t="s">
        <v>46</v>
      </c>
      <c r="J233">
        <v>2</v>
      </c>
      <c r="K233">
        <v>2</v>
      </c>
      <c r="O233">
        <v>2</v>
      </c>
      <c r="P233" s="14">
        <v>40</v>
      </c>
    </row>
    <row r="234" spans="1:16" x14ac:dyDescent="0.4">
      <c r="A234" s="21" t="str">
        <f>IF(D234="","",IF(D234=D233,LEFT(A233,LEN(A233)-2) &amp; RIGHT("00"&amp;COUNTIF($D$2:D234,D234),2),LEFT(A233,LEN(A233)-2)+1 &amp; "01"))</f>
        <v>9201</v>
      </c>
      <c r="B234" s="22">
        <f t="shared" si="6"/>
        <v>92</v>
      </c>
      <c r="C234" s="21">
        <f t="shared" si="7"/>
        <v>1</v>
      </c>
      <c r="D234" s="15" t="s">
        <v>9</v>
      </c>
      <c r="E234" t="s">
        <v>46</v>
      </c>
      <c r="F234" t="s">
        <v>43</v>
      </c>
      <c r="G234" t="s">
        <v>98</v>
      </c>
      <c r="I234" s="14" t="s">
        <v>36</v>
      </c>
      <c r="J234">
        <v>2.5</v>
      </c>
      <c r="K234">
        <v>2</v>
      </c>
      <c r="L234">
        <v>1</v>
      </c>
      <c r="N234" s="14">
        <v>1.5</v>
      </c>
      <c r="O234">
        <v>1</v>
      </c>
      <c r="P234" s="14">
        <v>20</v>
      </c>
    </row>
    <row r="235" spans="1:16" x14ac:dyDescent="0.4">
      <c r="A235" s="21" t="str">
        <f>IF(D235="","",IF(D235=D234,LEFT(A234,LEN(A234)-2) &amp; RIGHT("00"&amp;COUNTIF($D$2:D235,D235),2),LEFT(A234,LEN(A234)-2)+1 &amp; "01"))</f>
        <v>9202</v>
      </c>
      <c r="B235" s="22">
        <f t="shared" si="6"/>
        <v>92</v>
      </c>
      <c r="C235" s="21">
        <f t="shared" si="7"/>
        <v>2</v>
      </c>
      <c r="D235" s="15" t="s">
        <v>9</v>
      </c>
      <c r="E235" t="s">
        <v>70</v>
      </c>
      <c r="F235" t="s">
        <v>97</v>
      </c>
      <c r="G235" t="s">
        <v>48</v>
      </c>
      <c r="H235" t="s">
        <v>50</v>
      </c>
      <c r="J235">
        <v>6</v>
      </c>
      <c r="K235">
        <v>7</v>
      </c>
      <c r="L235">
        <v>8</v>
      </c>
      <c r="M235">
        <v>12</v>
      </c>
      <c r="O235">
        <v>4</v>
      </c>
      <c r="P235" s="14">
        <v>30</v>
      </c>
    </row>
    <row r="236" spans="1:16" x14ac:dyDescent="0.4">
      <c r="A236" s="21" t="str">
        <f>IF(D236="","",IF(D236=D235,LEFT(A235,LEN(A235)-2) &amp; RIGHT("00"&amp;COUNTIF($D$2:D236,D236),2),LEFT(A235,LEN(A235)-2)+1 &amp; "01"))</f>
        <v>9301</v>
      </c>
      <c r="B236" s="22">
        <f t="shared" si="6"/>
        <v>93</v>
      </c>
      <c r="C236" s="21">
        <f t="shared" si="7"/>
        <v>1</v>
      </c>
      <c r="D236" s="15" t="s">
        <v>65</v>
      </c>
      <c r="E236" t="s">
        <v>98</v>
      </c>
      <c r="F236" t="s">
        <v>99</v>
      </c>
      <c r="G236" t="s">
        <v>61</v>
      </c>
      <c r="J236">
        <v>32</v>
      </c>
      <c r="K236">
        <v>1</v>
      </c>
      <c r="L236">
        <v>2</v>
      </c>
      <c r="O236">
        <v>2</v>
      </c>
      <c r="P236" s="14">
        <v>2.5</v>
      </c>
    </row>
    <row r="237" spans="1:16" x14ac:dyDescent="0.4">
      <c r="A237" s="21" t="str">
        <f>IF(D237="","",IF(D237=D236,LEFT(A236,LEN(A236)-2) &amp; RIGHT("00"&amp;COUNTIF($D$2:D237,D237),2),LEFT(A236,LEN(A236)-2)+1 &amp; "01"))</f>
        <v>9302</v>
      </c>
      <c r="B237" s="22">
        <f t="shared" si="6"/>
        <v>93</v>
      </c>
      <c r="C237" s="21">
        <f t="shared" si="7"/>
        <v>2</v>
      </c>
      <c r="D237" s="15" t="s">
        <v>65</v>
      </c>
      <c r="E237" t="s">
        <v>100</v>
      </c>
      <c r="F237" t="s">
        <v>64</v>
      </c>
      <c r="G237" t="s">
        <v>101</v>
      </c>
      <c r="J237">
        <v>4</v>
      </c>
      <c r="K237">
        <v>2</v>
      </c>
      <c r="L237">
        <v>12</v>
      </c>
      <c r="O237">
        <v>1</v>
      </c>
      <c r="P237" s="14">
        <v>3.75</v>
      </c>
    </row>
    <row r="238" spans="1:16" x14ac:dyDescent="0.4">
      <c r="A238" s="21" t="str">
        <f>IF(D238="","",IF(D238=D237,LEFT(A237,LEN(A237)-2) &amp; RIGHT("00"&amp;COUNTIF($D$2:D238,D238),2),LEFT(A237,LEN(A237)-2)+1 &amp; "01"))</f>
        <v>9303</v>
      </c>
      <c r="B238" s="22">
        <f t="shared" si="6"/>
        <v>93</v>
      </c>
      <c r="C238" s="21">
        <f t="shared" si="7"/>
        <v>3</v>
      </c>
      <c r="D238" s="15" t="s">
        <v>65</v>
      </c>
      <c r="E238" t="s">
        <v>218</v>
      </c>
      <c r="F238" t="s">
        <v>93</v>
      </c>
      <c r="G238" t="s">
        <v>98</v>
      </c>
      <c r="H238" t="s">
        <v>52</v>
      </c>
      <c r="J238">
        <v>1</v>
      </c>
      <c r="K238">
        <v>10</v>
      </c>
      <c r="L238">
        <v>60</v>
      </c>
      <c r="M238">
        <v>30</v>
      </c>
      <c r="O238">
        <v>3</v>
      </c>
      <c r="P238" s="14">
        <v>4.5</v>
      </c>
    </row>
    <row r="239" spans="1:16" x14ac:dyDescent="0.4">
      <c r="A239" s="21" t="str">
        <f>IF(D239="","",IF(D239=D238,LEFT(A238,LEN(A238)-2) &amp; RIGHT("00"&amp;COUNTIF($D$2:D239,D239),2),LEFT(A238,LEN(A238)-2)+1 &amp; "01"))</f>
        <v>9401</v>
      </c>
      <c r="B239" s="22">
        <f t="shared" si="6"/>
        <v>94</v>
      </c>
      <c r="C239" s="21">
        <f t="shared" si="7"/>
        <v>1</v>
      </c>
      <c r="D239" s="15" t="s">
        <v>58</v>
      </c>
      <c r="E239" t="s">
        <v>61</v>
      </c>
      <c r="F239" t="s">
        <v>62</v>
      </c>
      <c r="G239" t="s">
        <v>9</v>
      </c>
      <c r="H239" t="s">
        <v>50</v>
      </c>
      <c r="J239">
        <v>3</v>
      </c>
      <c r="K239">
        <v>1</v>
      </c>
      <c r="L239">
        <v>10</v>
      </c>
      <c r="M239">
        <v>25</v>
      </c>
      <c r="O239">
        <v>1</v>
      </c>
      <c r="P239" s="14">
        <v>2.4</v>
      </c>
    </row>
    <row r="240" spans="1:16" x14ac:dyDescent="0.4">
      <c r="A240" s="21" t="str">
        <f>IF(D240="","",IF(D240=D239,LEFT(A239,LEN(A239)-2) &amp; RIGHT("00"&amp;COUNTIF($D$2:D240,D240),2),LEFT(A239,LEN(A239)-2)+1 &amp; "01"))</f>
        <v>9402</v>
      </c>
      <c r="B240" s="22">
        <f t="shared" si="6"/>
        <v>94</v>
      </c>
      <c r="C240" s="21">
        <f t="shared" si="7"/>
        <v>2</v>
      </c>
      <c r="D240" s="15" t="s">
        <v>58</v>
      </c>
      <c r="E240" t="s">
        <v>61</v>
      </c>
      <c r="F240" t="s">
        <v>63</v>
      </c>
      <c r="G240" t="s">
        <v>64</v>
      </c>
      <c r="H240" t="s">
        <v>48</v>
      </c>
      <c r="J240">
        <v>4</v>
      </c>
      <c r="K240">
        <v>2</v>
      </c>
      <c r="L240">
        <v>3</v>
      </c>
      <c r="M240">
        <v>28</v>
      </c>
      <c r="O240">
        <v>1</v>
      </c>
      <c r="P240" s="14">
        <v>1.875</v>
      </c>
    </row>
    <row r="241" spans="1:16" x14ac:dyDescent="0.4">
      <c r="A241" s="21" t="str">
        <f>IF(D241="","",IF(D241=D240,LEFT(A240,LEN(A240)-2) &amp; RIGHT("00"&amp;COUNTIF($D$2:D241,D241),2),LEFT(A240,LEN(A240)-2)+1 &amp; "01"))</f>
        <v>9403</v>
      </c>
      <c r="B241" s="22">
        <f t="shared" si="6"/>
        <v>94</v>
      </c>
      <c r="C241" s="21">
        <f t="shared" si="7"/>
        <v>3</v>
      </c>
      <c r="D241" s="15" t="s">
        <v>58</v>
      </c>
      <c r="E241" t="s">
        <v>65</v>
      </c>
      <c r="F241" t="s">
        <v>66</v>
      </c>
      <c r="J241">
        <v>2</v>
      </c>
      <c r="K241">
        <v>2</v>
      </c>
      <c r="O241">
        <v>1</v>
      </c>
      <c r="P241" s="14">
        <v>3</v>
      </c>
    </row>
    <row r="242" spans="1:16" x14ac:dyDescent="0.4">
      <c r="A242" s="21" t="str">
        <f>IF(D242="","",IF(D242=D241,LEFT(A241,LEN(A241)-2) &amp; RIGHT("00"&amp;COUNTIF($D$2:D242,D242),2),LEFT(A241,LEN(A241)-2)+1 &amp; "01"))</f>
        <v>9501</v>
      </c>
      <c r="B242" s="22">
        <f t="shared" si="6"/>
        <v>95</v>
      </c>
      <c r="C242" s="21">
        <f t="shared" si="7"/>
        <v>1</v>
      </c>
      <c r="D242" s="15" t="s">
        <v>18</v>
      </c>
      <c r="E242" t="s">
        <v>95</v>
      </c>
      <c r="F242" t="s">
        <v>58</v>
      </c>
      <c r="J242">
        <v>2</v>
      </c>
      <c r="K242">
        <v>1</v>
      </c>
      <c r="O242">
        <v>1</v>
      </c>
      <c r="P242" s="14">
        <v>0.75</v>
      </c>
    </row>
    <row r="243" spans="1:16" x14ac:dyDescent="0.4">
      <c r="A243" s="21" t="str">
        <f>IF(D243="","",IF(D243=D242,LEFT(A242,LEN(A242)-2) &amp; RIGHT("00"&amp;COUNTIF($D$2:D243,D243),2),LEFT(A242,LEN(A242)-2)+1 &amp; "01"))</f>
        <v>9601</v>
      </c>
      <c r="B243" s="22">
        <f t="shared" si="6"/>
        <v>96</v>
      </c>
      <c r="C243" s="21">
        <f t="shared" si="7"/>
        <v>1</v>
      </c>
      <c r="D243" s="15" t="s">
        <v>219</v>
      </c>
      <c r="E243" t="s">
        <v>214</v>
      </c>
      <c r="F243" t="s">
        <v>96</v>
      </c>
      <c r="G243" t="s">
        <v>98</v>
      </c>
      <c r="J243">
        <v>1</v>
      </c>
      <c r="K243">
        <v>8</v>
      </c>
      <c r="L243">
        <v>1</v>
      </c>
      <c r="O243">
        <v>1</v>
      </c>
      <c r="P243" s="14">
        <v>3.75</v>
      </c>
    </row>
    <row r="244" spans="1:16" x14ac:dyDescent="0.4">
      <c r="A244" s="21" t="str">
        <f>IF(D244="","",IF(D244=D243,LEFT(A243,LEN(A243)-2) &amp; RIGHT("00"&amp;COUNTIF($D$2:D244,D244),2),LEFT(A243,LEN(A243)-2)+1 &amp; "01"))</f>
        <v>9701</v>
      </c>
      <c r="B244" s="22">
        <f t="shared" si="6"/>
        <v>97</v>
      </c>
      <c r="C244" s="21">
        <f t="shared" si="7"/>
        <v>1</v>
      </c>
      <c r="D244" s="15" t="s">
        <v>107</v>
      </c>
      <c r="E244" t="s">
        <v>32</v>
      </c>
      <c r="J244">
        <v>1</v>
      </c>
      <c r="O244">
        <v>1</v>
      </c>
      <c r="P244" s="14">
        <v>60</v>
      </c>
    </row>
    <row r="245" spans="1:16" x14ac:dyDescent="0.4">
      <c r="A245" s="21" t="str">
        <f>IF(D245="","",IF(D245=D244,LEFT(A244,LEN(A244)-2) &amp; RIGHT("00"&amp;COUNTIF($D$2:D245,D245),2),LEFT(A244,LEN(A244)-2)+1 &amp; "01"))</f>
        <v>9702</v>
      </c>
      <c r="B245" s="22">
        <f t="shared" si="6"/>
        <v>97</v>
      </c>
      <c r="C245" s="21">
        <f t="shared" si="7"/>
        <v>2</v>
      </c>
      <c r="D245" s="15" t="s">
        <v>107</v>
      </c>
      <c r="E245" t="s">
        <v>220</v>
      </c>
      <c r="I245" s="14" t="s">
        <v>110</v>
      </c>
      <c r="J245">
        <v>1</v>
      </c>
      <c r="N245" s="14">
        <v>4</v>
      </c>
      <c r="O245">
        <v>1</v>
      </c>
      <c r="P245" s="14">
        <v>60</v>
      </c>
    </row>
    <row r="246" spans="1:16" x14ac:dyDescent="0.4">
      <c r="A246" s="21" t="str">
        <f>IF(D246="","",IF(D246=D245,LEFT(A245,LEN(A245)-2) &amp; RIGHT("00"&amp;COUNTIF($D$2:D246,D246),2),LEFT(A245,LEN(A245)-2)+1 &amp; "01"))</f>
        <v>9703</v>
      </c>
      <c r="B246" s="22">
        <f t="shared" si="6"/>
        <v>97</v>
      </c>
      <c r="C246" s="21">
        <f t="shared" si="7"/>
        <v>3</v>
      </c>
      <c r="D246" s="15" t="s">
        <v>107</v>
      </c>
      <c r="E246" t="s">
        <v>108</v>
      </c>
      <c r="I246" s="14" t="s">
        <v>109</v>
      </c>
      <c r="J246">
        <v>1</v>
      </c>
      <c r="N246" s="14">
        <v>1</v>
      </c>
      <c r="O246">
        <v>1</v>
      </c>
      <c r="P246" s="14">
        <v>20</v>
      </c>
    </row>
    <row r="247" spans="1:16" x14ac:dyDescent="0.4">
      <c r="A247" s="21" t="str">
        <f>IF(D247="","",IF(D247=D246,LEFT(A246,LEN(A246)-2) &amp; RIGHT("00"&amp;COUNTIF($D$2:D247,D247),2),LEFT(A246,LEN(A246)-2)+1 &amp; "01"))</f>
        <v>9704</v>
      </c>
      <c r="B247" s="22">
        <f t="shared" si="6"/>
        <v>97</v>
      </c>
      <c r="C247" s="21">
        <f t="shared" si="7"/>
        <v>4</v>
      </c>
      <c r="D247" s="15" t="s">
        <v>107</v>
      </c>
      <c r="E247" t="s">
        <v>212</v>
      </c>
      <c r="I247" s="14" t="s">
        <v>207</v>
      </c>
      <c r="J247">
        <v>1</v>
      </c>
      <c r="N247" s="14">
        <v>2</v>
      </c>
      <c r="O247">
        <v>1</v>
      </c>
      <c r="P247" s="14">
        <v>60</v>
      </c>
    </row>
    <row r="248" spans="1:16" x14ac:dyDescent="0.4">
      <c r="A248" s="21" t="str">
        <f>IF(D248="","",IF(D248=D247,LEFT(A247,LEN(A247)-2) &amp; RIGHT("00"&amp;COUNTIF($D$2:D248,D248),2),LEFT(A247,LEN(A247)-2)+1 &amp; "01"))</f>
        <v>9705</v>
      </c>
      <c r="B248" s="22">
        <f t="shared" si="6"/>
        <v>97</v>
      </c>
      <c r="C248" s="21">
        <f t="shared" si="7"/>
        <v>5</v>
      </c>
      <c r="D248" s="15" t="s">
        <v>107</v>
      </c>
      <c r="E248" t="s">
        <v>221</v>
      </c>
      <c r="I248" s="14" t="s">
        <v>211</v>
      </c>
      <c r="J248">
        <v>2</v>
      </c>
      <c r="N248" s="14">
        <v>4</v>
      </c>
      <c r="O248">
        <v>2</v>
      </c>
      <c r="P248" s="14">
        <v>40</v>
      </c>
    </row>
    <row r="249" spans="1:16" x14ac:dyDescent="0.4">
      <c r="A249" s="21" t="str">
        <f>IF(D249="","",IF(D249=D248,LEFT(A248,LEN(A248)-2) &amp; RIGHT("00"&amp;COUNTIF($D$2:D249,D249),2),LEFT(A248,LEN(A248)-2)+1 &amp; "01"))</f>
        <v>9801</v>
      </c>
      <c r="B249" s="22">
        <f t="shared" si="6"/>
        <v>98</v>
      </c>
      <c r="C249" s="21">
        <f t="shared" si="7"/>
        <v>1</v>
      </c>
      <c r="D249" s="15" t="s">
        <v>220</v>
      </c>
      <c r="E249" t="s">
        <v>110</v>
      </c>
      <c r="F249" t="s">
        <v>107</v>
      </c>
      <c r="J249">
        <v>4</v>
      </c>
      <c r="K249">
        <v>1</v>
      </c>
      <c r="O249">
        <v>1</v>
      </c>
      <c r="P249" s="14">
        <v>60</v>
      </c>
    </row>
    <row r="250" spans="1:16" x14ac:dyDescent="0.4">
      <c r="A250" s="21" t="str">
        <f>IF(D250="","",IF(D250=D249,LEFT(A249,LEN(A249)-2) &amp; RIGHT("00"&amp;COUNTIF($D$2:D250,D250),2),LEFT(A249,LEN(A249)-2)+1 &amp; "01"))</f>
        <v>9901</v>
      </c>
      <c r="B250" s="22">
        <f t="shared" si="6"/>
        <v>99</v>
      </c>
      <c r="C250" s="21">
        <f t="shared" si="7"/>
        <v>1</v>
      </c>
      <c r="D250" s="15" t="s">
        <v>209</v>
      </c>
      <c r="O250">
        <v>1</v>
      </c>
      <c r="P250" s="14">
        <v>600</v>
      </c>
    </row>
    <row r="251" spans="1:16" x14ac:dyDescent="0.4">
      <c r="A251" s="21" t="str">
        <f>IF(D251="","",IF(D251=D250,LEFT(A250,LEN(A250)-2) &amp; RIGHT("00"&amp;COUNTIF($D$2:D251,D251),2),LEFT(A250,LEN(A250)-2)+1 &amp; "01"))</f>
        <v>9902</v>
      </c>
      <c r="B251" s="22">
        <f t="shared" si="6"/>
        <v>99</v>
      </c>
      <c r="C251" s="21">
        <f t="shared" si="7"/>
        <v>2</v>
      </c>
      <c r="D251" s="15" t="s">
        <v>209</v>
      </c>
      <c r="E251" t="s">
        <v>189</v>
      </c>
      <c r="F251" t="s">
        <v>240</v>
      </c>
      <c r="J251">
        <v>1</v>
      </c>
      <c r="K251">
        <v>10</v>
      </c>
      <c r="O251">
        <v>12</v>
      </c>
      <c r="P251" s="14">
        <v>120</v>
      </c>
    </row>
    <row r="252" spans="1:16" x14ac:dyDescent="0.4">
      <c r="A252" s="21" t="str">
        <f>IF(D252="","",IF(D252=D251,LEFT(A251,LEN(A251)-2) &amp; RIGHT("00"&amp;COUNTIF($D$2:D252,D252),2),LEFT(A251,LEN(A251)-2)+1 &amp; "01"))</f>
        <v>9903</v>
      </c>
      <c r="B252" s="22">
        <f t="shared" si="6"/>
        <v>99</v>
      </c>
      <c r="C252" s="21">
        <f t="shared" si="7"/>
        <v>3</v>
      </c>
      <c r="D252" s="15" t="s">
        <v>209</v>
      </c>
      <c r="E252" t="s">
        <v>189</v>
      </c>
      <c r="F252" t="s">
        <v>256</v>
      </c>
      <c r="J252">
        <v>1</v>
      </c>
      <c r="K252">
        <v>12</v>
      </c>
      <c r="O252">
        <v>12</v>
      </c>
      <c r="P252" s="14">
        <v>120</v>
      </c>
    </row>
    <row r="253" spans="1:16" x14ac:dyDescent="0.4">
      <c r="A253" s="21" t="str">
        <f>IF(D253="","",IF(D253=D252,LEFT(A252,LEN(A252)-2) &amp; RIGHT("00"&amp;COUNTIF($D$2:D253,D253),2),LEFT(A252,LEN(A252)-2)+1 &amp; "01"))</f>
        <v>10001</v>
      </c>
      <c r="B253" s="22">
        <f t="shared" si="6"/>
        <v>100</v>
      </c>
      <c r="C253" s="21">
        <f t="shared" si="7"/>
        <v>1</v>
      </c>
      <c r="D253" s="15" t="s">
        <v>100</v>
      </c>
      <c r="E253" t="s">
        <v>97</v>
      </c>
      <c r="F253" t="s">
        <v>59</v>
      </c>
      <c r="J253">
        <v>5</v>
      </c>
      <c r="K253">
        <v>3</v>
      </c>
      <c r="O253">
        <v>1</v>
      </c>
      <c r="P253" s="14">
        <v>7.5</v>
      </c>
    </row>
    <row r="254" spans="1:16" x14ac:dyDescent="0.4">
      <c r="A254" s="21" t="str">
        <f>IF(D254="","",IF(D254=D253,LEFT(A253,LEN(A253)-2) &amp; RIGHT("00"&amp;COUNTIF($D$2:D254,D254),2),LEFT(A253,LEN(A253)-2)+1 &amp; "01"))</f>
        <v>10002</v>
      </c>
      <c r="B254" s="22">
        <f t="shared" si="6"/>
        <v>100</v>
      </c>
      <c r="C254" s="21">
        <f t="shared" si="7"/>
        <v>2</v>
      </c>
      <c r="D254" s="15" t="s">
        <v>100</v>
      </c>
      <c r="E254" t="s">
        <v>98</v>
      </c>
      <c r="F254" t="s">
        <v>52</v>
      </c>
      <c r="J254">
        <v>3</v>
      </c>
      <c r="K254">
        <v>3</v>
      </c>
      <c r="O254">
        <v>1</v>
      </c>
      <c r="P254" s="14">
        <v>10</v>
      </c>
    </row>
    <row r="255" spans="1:16" x14ac:dyDescent="0.4">
      <c r="A255" s="21" t="str">
        <f>IF(D255="","",IF(D255=D254,LEFT(A254,LEN(A254)-2) &amp; RIGHT("00"&amp;COUNTIF($D$2:D255,D255),2),LEFT(A254,LEN(A254)-2)+1 &amp; "01"))</f>
        <v>10101</v>
      </c>
      <c r="B255" s="22">
        <f t="shared" si="6"/>
        <v>101</v>
      </c>
      <c r="C255" s="21">
        <f t="shared" si="7"/>
        <v>1</v>
      </c>
      <c r="D255" s="15" t="s">
        <v>66</v>
      </c>
      <c r="E255" t="s">
        <v>100</v>
      </c>
      <c r="F255" t="s">
        <v>52</v>
      </c>
      <c r="G255" t="s">
        <v>36</v>
      </c>
      <c r="H255" t="s">
        <v>110</v>
      </c>
      <c r="J255">
        <v>2</v>
      </c>
      <c r="K255">
        <v>2</v>
      </c>
      <c r="L255">
        <v>5</v>
      </c>
      <c r="M255">
        <v>25</v>
      </c>
      <c r="O255">
        <v>1</v>
      </c>
      <c r="P255" s="14">
        <v>6</v>
      </c>
    </row>
    <row r="256" spans="1:16" x14ac:dyDescent="0.4">
      <c r="A256" s="21" t="str">
        <f>IF(D256="","",IF(D256=D255,LEFT(A255,LEN(A255)-2) &amp; RIGHT("00"&amp;COUNTIF($D$2:D256,D256),2),LEFT(A255,LEN(A255)-2)+1 &amp; "01"))</f>
        <v>10102</v>
      </c>
      <c r="B256" s="22">
        <f t="shared" si="6"/>
        <v>101</v>
      </c>
      <c r="C256" s="21">
        <f t="shared" si="7"/>
        <v>2</v>
      </c>
      <c r="D256" s="15" t="s">
        <v>66</v>
      </c>
      <c r="E256" t="s">
        <v>100</v>
      </c>
      <c r="F256" t="s">
        <v>82</v>
      </c>
      <c r="G256" t="s">
        <v>110</v>
      </c>
      <c r="J256">
        <v>4</v>
      </c>
      <c r="K256">
        <v>1</v>
      </c>
      <c r="L256">
        <v>24</v>
      </c>
      <c r="O256">
        <v>2</v>
      </c>
      <c r="P256" s="14">
        <v>5</v>
      </c>
    </row>
    <row r="257" spans="1:16" x14ac:dyDescent="0.4">
      <c r="A257" s="21" t="str">
        <f>IF(D257="","",IF(D257=D256,LEFT(A256,LEN(A256)-2) &amp; RIGHT("00"&amp;COUNTIF($D$2:D257,D257),2),LEFT(A256,LEN(A256)-2)+1 &amp; "01"))</f>
        <v>10201</v>
      </c>
      <c r="B257" s="22">
        <f t="shared" si="6"/>
        <v>102</v>
      </c>
      <c r="C257" s="21">
        <f t="shared" si="7"/>
        <v>1</v>
      </c>
      <c r="D257" s="15" t="s">
        <v>111</v>
      </c>
      <c r="E257" t="s">
        <v>84</v>
      </c>
      <c r="F257" t="s">
        <v>98</v>
      </c>
      <c r="G257" t="s">
        <v>110</v>
      </c>
      <c r="J257">
        <v>1</v>
      </c>
      <c r="K257">
        <v>50</v>
      </c>
      <c r="L257">
        <v>25</v>
      </c>
      <c r="O257">
        <v>1</v>
      </c>
      <c r="P257" s="14">
        <v>1.5</v>
      </c>
    </row>
    <row r="258" spans="1:16" x14ac:dyDescent="0.4">
      <c r="A258" s="21" t="str">
        <f>IF(D258="","",IF(D258=D257,LEFT(A257,LEN(A257)-2) &amp; RIGHT("00"&amp;COUNTIF($D$2:D258,D258),2),LEFT(A257,LEN(A257)-2)+1 &amp; "01"))</f>
        <v>10202</v>
      </c>
      <c r="B258" s="22">
        <f t="shared" si="6"/>
        <v>102</v>
      </c>
      <c r="C258" s="21">
        <f t="shared" si="7"/>
        <v>2</v>
      </c>
      <c r="D258" s="15" t="s">
        <v>111</v>
      </c>
      <c r="E258" t="s">
        <v>84</v>
      </c>
      <c r="F258" t="s">
        <v>32</v>
      </c>
      <c r="G258" t="s">
        <v>109</v>
      </c>
      <c r="H258" t="s">
        <v>75</v>
      </c>
      <c r="J258">
        <v>1</v>
      </c>
      <c r="K258">
        <v>50</v>
      </c>
      <c r="L258">
        <v>8</v>
      </c>
      <c r="M258">
        <v>10</v>
      </c>
      <c r="O258">
        <v>1</v>
      </c>
      <c r="P258" s="14">
        <v>3</v>
      </c>
    </row>
    <row r="259" spans="1:16" x14ac:dyDescent="0.4">
      <c r="A259" s="21" t="str">
        <f>IF(D259="","",IF(D259=D258,LEFT(A258,LEN(A258)-2) &amp; RIGHT("00"&amp;COUNTIF($D$2:D259,D259),2),LEFT(A258,LEN(A258)-2)+1 &amp; "01"))</f>
        <v>10301</v>
      </c>
      <c r="B259" s="22">
        <f t="shared" ref="B259:B322" si="8">IFERROR(VALUE(LEFT(A259,LEN(A259)-2)),"")</f>
        <v>103</v>
      </c>
      <c r="C259" s="21">
        <f t="shared" ref="C259:C322" si="9">IFERROR(VALUE( RIGHT(A259,2)),"")</f>
        <v>1</v>
      </c>
      <c r="D259" s="15" t="s">
        <v>222</v>
      </c>
      <c r="E259" t="s">
        <v>81</v>
      </c>
      <c r="F259" t="s">
        <v>109</v>
      </c>
      <c r="I259" s="14" t="s">
        <v>223</v>
      </c>
      <c r="J259">
        <v>24</v>
      </c>
      <c r="K259">
        <v>2</v>
      </c>
      <c r="N259" s="14">
        <v>15</v>
      </c>
      <c r="O259">
        <v>12</v>
      </c>
      <c r="P259" s="14">
        <v>60</v>
      </c>
    </row>
    <row r="260" spans="1:16" x14ac:dyDescent="0.4">
      <c r="A260" s="21" t="str">
        <f>IF(D260="","",IF(D260=D259,LEFT(A259,LEN(A259)-2) &amp; RIGHT("00"&amp;COUNTIF($D$2:D260,D260),2),LEFT(A259,LEN(A259)-2)+1 &amp; "01"))</f>
        <v>10401</v>
      </c>
      <c r="B260" s="22">
        <f t="shared" si="8"/>
        <v>104</v>
      </c>
      <c r="C260" s="21">
        <f t="shared" si="9"/>
        <v>1</v>
      </c>
      <c r="D260" s="15" t="s">
        <v>109</v>
      </c>
      <c r="E260" t="s">
        <v>110</v>
      </c>
      <c r="F260" t="s">
        <v>36</v>
      </c>
      <c r="G260" t="s">
        <v>47</v>
      </c>
      <c r="J260">
        <v>12</v>
      </c>
      <c r="K260">
        <v>3</v>
      </c>
      <c r="L260">
        <v>1</v>
      </c>
      <c r="O260">
        <v>3</v>
      </c>
      <c r="P260" s="14">
        <v>30</v>
      </c>
    </row>
    <row r="261" spans="1:16" x14ac:dyDescent="0.4">
      <c r="A261" s="21" t="str">
        <f>IF(D261="","",IF(D261=D260,LEFT(A260,LEN(A260)-2) &amp; RIGHT("00"&amp;COUNTIF($D$2:D261,D261),2),LEFT(A260,LEN(A260)-2)+1 &amp; "01"))</f>
        <v>10402</v>
      </c>
      <c r="B261" s="22">
        <f t="shared" si="8"/>
        <v>104</v>
      </c>
      <c r="C261" s="21">
        <f t="shared" si="9"/>
        <v>2</v>
      </c>
      <c r="D261" s="15" t="s">
        <v>109</v>
      </c>
      <c r="E261" t="s">
        <v>116</v>
      </c>
      <c r="I261" s="14" t="s">
        <v>107</v>
      </c>
      <c r="J261">
        <v>1</v>
      </c>
      <c r="N261" s="14">
        <v>1</v>
      </c>
      <c r="O261">
        <v>1</v>
      </c>
      <c r="P261" s="14">
        <v>20</v>
      </c>
    </row>
    <row r="262" spans="1:16" x14ac:dyDescent="0.4">
      <c r="A262" s="21" t="str">
        <f>IF(D262="","",IF(D262=D261,LEFT(A261,LEN(A261)-2) &amp; RIGHT("00"&amp;COUNTIF($D$2:D262,D262),2),LEFT(A261,LEN(A261)-2)+1 &amp; "01"))</f>
        <v>10501</v>
      </c>
      <c r="B262" s="22">
        <f t="shared" si="8"/>
        <v>105</v>
      </c>
      <c r="C262" s="21">
        <f t="shared" si="9"/>
        <v>1</v>
      </c>
      <c r="D262" s="15" t="s">
        <v>113</v>
      </c>
      <c r="E262" t="s">
        <v>66</v>
      </c>
      <c r="F262" t="s">
        <v>65</v>
      </c>
      <c r="G262" t="s">
        <v>82</v>
      </c>
      <c r="H262" t="s">
        <v>52</v>
      </c>
      <c r="J262">
        <v>4</v>
      </c>
      <c r="K262">
        <v>2</v>
      </c>
      <c r="L262">
        <v>4</v>
      </c>
      <c r="M262">
        <v>24</v>
      </c>
      <c r="O262">
        <v>1</v>
      </c>
      <c r="P262" s="14">
        <v>1.875</v>
      </c>
    </row>
    <row r="263" spans="1:16" x14ac:dyDescent="0.4">
      <c r="A263" s="21" t="str">
        <f>IF(D263="","",IF(D263=D262,LEFT(A262,LEN(A262)-2) &amp; RIGHT("00"&amp;COUNTIF($D$2:D263,D263),2),LEFT(A262,LEN(A262)-2)+1 &amp; "01"))</f>
        <v>10502</v>
      </c>
      <c r="B263" s="22">
        <f t="shared" si="8"/>
        <v>105</v>
      </c>
      <c r="C263" s="21">
        <f t="shared" si="9"/>
        <v>2</v>
      </c>
      <c r="D263" s="15" t="s">
        <v>113</v>
      </c>
      <c r="E263" t="s">
        <v>82</v>
      </c>
      <c r="F263" t="s">
        <v>65</v>
      </c>
      <c r="G263" t="s">
        <v>62</v>
      </c>
      <c r="H263" t="s">
        <v>60</v>
      </c>
      <c r="J263">
        <v>7</v>
      </c>
      <c r="K263">
        <v>9</v>
      </c>
      <c r="L263">
        <v>5</v>
      </c>
      <c r="M263">
        <v>7</v>
      </c>
      <c r="O263">
        <v>3</v>
      </c>
      <c r="P263" s="14">
        <v>2.8119999999999998</v>
      </c>
    </row>
    <row r="264" spans="1:16" x14ac:dyDescent="0.4">
      <c r="A264" s="21" t="str">
        <f>IF(D264="","",IF(D264=D263,LEFT(A263,LEN(A263)-2) &amp; RIGHT("00"&amp;COUNTIF($D$2:D264,D264),2),LEFT(A263,LEN(A263)-2)+1 &amp; "01"))</f>
        <v>10503</v>
      </c>
      <c r="B264" s="22">
        <f t="shared" si="8"/>
        <v>105</v>
      </c>
      <c r="C264" s="21">
        <f t="shared" si="9"/>
        <v>3</v>
      </c>
      <c r="D264" s="15" t="s">
        <v>113</v>
      </c>
      <c r="E264" t="s">
        <v>82</v>
      </c>
      <c r="F264" t="s">
        <v>114</v>
      </c>
      <c r="G264" t="s">
        <v>220</v>
      </c>
      <c r="H264" t="s">
        <v>80</v>
      </c>
      <c r="J264">
        <v>4</v>
      </c>
      <c r="K264">
        <v>1</v>
      </c>
      <c r="L264">
        <v>24</v>
      </c>
      <c r="M264">
        <v>8</v>
      </c>
      <c r="O264">
        <v>2</v>
      </c>
      <c r="P264" s="14">
        <v>3.75</v>
      </c>
    </row>
    <row r="265" spans="1:16" x14ac:dyDescent="0.4">
      <c r="A265" s="21" t="str">
        <f>IF(D265="","",IF(D265=D264,LEFT(A264,LEN(A264)-2) &amp; RIGHT("00"&amp;COUNTIF($D$2:D265,D265),2),LEFT(A264,LEN(A264)-2)+1 &amp; "01"))</f>
        <v>10601</v>
      </c>
      <c r="B265" s="22">
        <f t="shared" si="8"/>
        <v>106</v>
      </c>
      <c r="C265" s="21">
        <f t="shared" si="9"/>
        <v>1</v>
      </c>
      <c r="D265" s="15" t="s">
        <v>115</v>
      </c>
      <c r="E265" t="s">
        <v>94</v>
      </c>
      <c r="F265" t="s">
        <v>113</v>
      </c>
      <c r="G265" t="s">
        <v>66</v>
      </c>
      <c r="H265" t="s">
        <v>111</v>
      </c>
      <c r="J265">
        <v>5</v>
      </c>
      <c r="K265">
        <v>2</v>
      </c>
      <c r="L265">
        <v>6</v>
      </c>
      <c r="M265">
        <v>2</v>
      </c>
      <c r="O265">
        <v>2</v>
      </c>
      <c r="P265" s="14">
        <v>1</v>
      </c>
    </row>
    <row r="266" spans="1:16" x14ac:dyDescent="0.4">
      <c r="A266" s="21" t="str">
        <f>IF(D266="","",IF(D266=D265,LEFT(A265,LEN(A265)-2) &amp; RIGHT("00"&amp;COUNTIF($D$2:D266,D266),2),LEFT(A265,LEN(A265)-2)+1 &amp; "01"))</f>
        <v>10701</v>
      </c>
      <c r="B266" s="22">
        <f t="shared" si="8"/>
        <v>107</v>
      </c>
      <c r="C266" s="21">
        <f t="shared" si="9"/>
        <v>1</v>
      </c>
      <c r="D266" s="15" t="s">
        <v>72</v>
      </c>
      <c r="E266" t="s">
        <v>71</v>
      </c>
      <c r="F266" t="s">
        <v>53</v>
      </c>
      <c r="G266" t="s">
        <v>46</v>
      </c>
      <c r="I266" s="14" t="s">
        <v>46</v>
      </c>
      <c r="J266">
        <v>10</v>
      </c>
      <c r="K266">
        <v>3</v>
      </c>
      <c r="L266">
        <v>8</v>
      </c>
      <c r="N266" s="14">
        <v>2</v>
      </c>
      <c r="O266">
        <v>5</v>
      </c>
      <c r="P266" s="14">
        <v>25</v>
      </c>
    </row>
    <row r="267" spans="1:16" x14ac:dyDescent="0.4">
      <c r="A267" s="21" t="str">
        <f>IF(D267="","",IF(D267=D266,LEFT(A266,LEN(A266)-2) &amp; RIGHT("00"&amp;COUNTIF($D$2:D267,D267),2),LEFT(A266,LEN(A266)-2)+1 &amp; "01"))</f>
        <v>10702</v>
      </c>
      <c r="B267" s="22">
        <f t="shared" si="8"/>
        <v>107</v>
      </c>
      <c r="C267" s="21">
        <f t="shared" si="9"/>
        <v>2</v>
      </c>
      <c r="D267" s="15" t="s">
        <v>72</v>
      </c>
      <c r="E267" t="s">
        <v>129</v>
      </c>
      <c r="F267" t="s">
        <v>130</v>
      </c>
      <c r="G267" t="s">
        <v>131</v>
      </c>
      <c r="H267" t="s">
        <v>132</v>
      </c>
      <c r="J267">
        <v>5</v>
      </c>
      <c r="K267">
        <v>3</v>
      </c>
      <c r="L267">
        <v>5</v>
      </c>
      <c r="M267">
        <v>15</v>
      </c>
      <c r="O267">
        <v>4</v>
      </c>
      <c r="P267" s="14">
        <v>20</v>
      </c>
    </row>
    <row r="268" spans="1:16" x14ac:dyDescent="0.4">
      <c r="A268" s="21" t="str">
        <f>IF(D268="","",IF(D268=D267,LEFT(A267,LEN(A267)-2) &amp; RIGHT("00"&amp;COUNTIF($D$2:D268,D268),2),LEFT(A267,LEN(A267)-2)+1 &amp; "01"))</f>
        <v>10801</v>
      </c>
      <c r="B268" s="22">
        <f t="shared" si="8"/>
        <v>108</v>
      </c>
      <c r="C268" s="21">
        <f t="shared" si="9"/>
        <v>1</v>
      </c>
      <c r="D268" s="15" t="s">
        <v>252</v>
      </c>
      <c r="O268">
        <v>1</v>
      </c>
      <c r="P268" s="14">
        <v>1200</v>
      </c>
    </row>
    <row r="269" spans="1:16" x14ac:dyDescent="0.4">
      <c r="A269" s="21" t="str">
        <f>IF(D269="","",IF(D269=D268,LEFT(A268,LEN(A268)-2) &amp; RIGHT("00"&amp;COUNTIF($D$2:D269,D269),2),LEFT(A268,LEN(A268)-2)+1 &amp; "01"))</f>
        <v>10802</v>
      </c>
      <c r="B269" s="22">
        <f t="shared" si="8"/>
        <v>108</v>
      </c>
      <c r="C269" s="21">
        <f t="shared" si="9"/>
        <v>2</v>
      </c>
      <c r="D269" s="15" t="s">
        <v>252</v>
      </c>
      <c r="E269" t="s">
        <v>189</v>
      </c>
      <c r="F269" t="s">
        <v>240</v>
      </c>
      <c r="J269">
        <v>1</v>
      </c>
      <c r="K269">
        <v>48</v>
      </c>
      <c r="O269">
        <v>12</v>
      </c>
      <c r="P269" s="14">
        <v>120</v>
      </c>
    </row>
    <row r="270" spans="1:16" x14ac:dyDescent="0.4">
      <c r="A270" s="21" t="str">
        <f>IF(D270="","",IF(D270=D269,LEFT(A269,LEN(A269)-2) &amp; RIGHT("00"&amp;COUNTIF($D$2:D270,D270),2),LEFT(A269,LEN(A269)-2)+1 &amp; "01"))</f>
        <v>10901</v>
      </c>
      <c r="B270" s="22">
        <f t="shared" si="8"/>
        <v>109</v>
      </c>
      <c r="C270" s="21">
        <f t="shared" si="9"/>
        <v>1</v>
      </c>
      <c r="D270" s="15" t="s">
        <v>62</v>
      </c>
      <c r="E270" t="s">
        <v>80</v>
      </c>
      <c r="F270" t="s">
        <v>63</v>
      </c>
      <c r="J270">
        <v>3</v>
      </c>
      <c r="K270">
        <v>2</v>
      </c>
      <c r="O270">
        <v>2</v>
      </c>
      <c r="P270" s="14">
        <v>4</v>
      </c>
    </row>
    <row r="271" spans="1:16" x14ac:dyDescent="0.4">
      <c r="A271" s="21" t="str">
        <f>IF(D271="","",IF(D271=D270,LEFT(A270,LEN(A270)-2) &amp; RIGHT("00"&amp;COUNTIF($D$2:D271,D271),2),LEFT(A270,LEN(A270)-2)+1 &amp; "01"))</f>
        <v>10902</v>
      </c>
      <c r="B271" s="22">
        <f t="shared" si="8"/>
        <v>109</v>
      </c>
      <c r="C271" s="21">
        <f t="shared" si="9"/>
        <v>2</v>
      </c>
      <c r="D271" s="15" t="s">
        <v>62</v>
      </c>
      <c r="E271" t="s">
        <v>80</v>
      </c>
      <c r="F271" t="s">
        <v>64</v>
      </c>
      <c r="J271">
        <v>2</v>
      </c>
      <c r="K271">
        <v>1</v>
      </c>
      <c r="O271">
        <v>2</v>
      </c>
      <c r="P271" s="14">
        <v>8</v>
      </c>
    </row>
    <row r="272" spans="1:16" x14ac:dyDescent="0.4">
      <c r="A272" s="21" t="str">
        <f>IF(D272="","",IF(D272=D271,LEFT(A271,LEN(A271)-2) &amp; RIGHT("00"&amp;COUNTIF($D$2:D272,D272),2),LEFT(A271,LEN(A271)-2)+1 &amp; "01"))</f>
        <v>11001</v>
      </c>
      <c r="B272" s="22">
        <f t="shared" si="8"/>
        <v>110</v>
      </c>
      <c r="C272" s="21">
        <f t="shared" si="9"/>
        <v>1</v>
      </c>
      <c r="D272" s="15" t="s">
        <v>103</v>
      </c>
      <c r="E272" t="s">
        <v>72</v>
      </c>
      <c r="F272" t="s">
        <v>79</v>
      </c>
      <c r="G272" t="s">
        <v>62</v>
      </c>
      <c r="J272">
        <v>50</v>
      </c>
      <c r="K272">
        <v>3</v>
      </c>
      <c r="L272">
        <v>5</v>
      </c>
      <c r="O272">
        <v>1</v>
      </c>
      <c r="P272" s="14">
        <v>0.4</v>
      </c>
    </row>
    <row r="273" spans="1:16" x14ac:dyDescent="0.4">
      <c r="A273" s="21" t="str">
        <f>IF(D273="","",IF(D273=D272,LEFT(A272,LEN(A272)-2) &amp; RIGHT("00"&amp;COUNTIF($D$2:D273,D273),2),LEFT(A272,LEN(A272)-2)+1 &amp; "01"))</f>
        <v>11002</v>
      </c>
      <c r="B273" s="22">
        <f t="shared" si="8"/>
        <v>110</v>
      </c>
      <c r="C273" s="21">
        <f t="shared" si="9"/>
        <v>2</v>
      </c>
      <c r="D273" s="15" t="s">
        <v>133</v>
      </c>
      <c r="E273" t="s">
        <v>161</v>
      </c>
      <c r="F273" t="s">
        <v>134</v>
      </c>
      <c r="G273" t="s">
        <v>135</v>
      </c>
      <c r="H273" t="s">
        <v>60</v>
      </c>
      <c r="J273">
        <v>100</v>
      </c>
      <c r="K273">
        <v>10</v>
      </c>
      <c r="L273">
        <v>3</v>
      </c>
      <c r="M273">
        <v>10</v>
      </c>
      <c r="O273">
        <v>3</v>
      </c>
      <c r="P273" s="14">
        <v>0.6</v>
      </c>
    </row>
    <row r="274" spans="1:16" x14ac:dyDescent="0.4">
      <c r="A274" s="21" t="str">
        <f>IF(D274="","",IF(D274=D273,LEFT(A273,LEN(A273)-2) &amp; RIGHT("00"&amp;COUNTIF($D$2:D274,D274),2),LEFT(A273,LEN(A273)-2)+1 &amp; "01"))</f>
        <v>11101</v>
      </c>
      <c r="B274" s="22">
        <f t="shared" si="8"/>
        <v>111</v>
      </c>
      <c r="C274" s="21">
        <f t="shared" si="9"/>
        <v>1</v>
      </c>
      <c r="D274" s="15" t="s">
        <v>7</v>
      </c>
      <c r="E274" t="s">
        <v>8</v>
      </c>
      <c r="F274" t="s">
        <v>62</v>
      </c>
      <c r="J274">
        <v>5</v>
      </c>
      <c r="K274">
        <v>2</v>
      </c>
      <c r="O274">
        <v>2</v>
      </c>
      <c r="P274" s="14">
        <v>1</v>
      </c>
    </row>
    <row r="275" spans="1:16" x14ac:dyDescent="0.4">
      <c r="A275" s="21" t="str">
        <f>IF(D275="","",IF(D275=D274,LEFT(A274,LEN(A274)-2) &amp; RIGHT("00"&amp;COUNTIF($D$2:D275,D275),2),LEFT(A274,LEN(A274)-2)+1 &amp; "01"))</f>
        <v>11201</v>
      </c>
      <c r="B275" s="22">
        <f t="shared" si="8"/>
        <v>112</v>
      </c>
      <c r="C275" s="21">
        <f t="shared" si="9"/>
        <v>1</v>
      </c>
      <c r="D275" s="15" t="s">
        <v>108</v>
      </c>
      <c r="E275" t="s">
        <v>109</v>
      </c>
      <c r="F275" t="s">
        <v>107</v>
      </c>
      <c r="J275">
        <v>1</v>
      </c>
      <c r="K275">
        <v>1</v>
      </c>
      <c r="O275">
        <v>1</v>
      </c>
      <c r="P275" s="14">
        <v>30</v>
      </c>
    </row>
    <row r="276" spans="1:16" x14ac:dyDescent="0.4">
      <c r="A276" s="21" t="str">
        <f>IF(D276="","",IF(D276=D275,LEFT(A275,LEN(A275)-2) &amp; RIGHT("00"&amp;COUNTIF($D$2:D276,D276),2),LEFT(A275,LEN(A275)-2)+1 &amp; "01"))</f>
        <v>11301</v>
      </c>
      <c r="B276" s="22">
        <f t="shared" si="8"/>
        <v>113</v>
      </c>
      <c r="C276" s="21">
        <f t="shared" si="9"/>
        <v>1</v>
      </c>
      <c r="D276" s="15" t="s">
        <v>269</v>
      </c>
      <c r="E276" t="s">
        <v>117</v>
      </c>
      <c r="F276" t="s">
        <v>42</v>
      </c>
      <c r="G276" t="s">
        <v>109</v>
      </c>
      <c r="H276" t="s">
        <v>46</v>
      </c>
      <c r="I276" s="14" t="s">
        <v>36</v>
      </c>
      <c r="J276">
        <v>15</v>
      </c>
      <c r="K276">
        <v>10</v>
      </c>
      <c r="L276">
        <v>6</v>
      </c>
      <c r="M276">
        <v>6</v>
      </c>
      <c r="N276" s="14">
        <v>6</v>
      </c>
      <c r="O276">
        <v>20</v>
      </c>
      <c r="P276" s="14">
        <v>50</v>
      </c>
    </row>
    <row r="277" spans="1:16" x14ac:dyDescent="0.4">
      <c r="A277" s="21" t="str">
        <f>IF(D277="","",IF(D277=D276,LEFT(A276,LEN(A276)-2) &amp; RIGHT("00"&amp;COUNTIF($D$2:D277,D277),2),LEFT(A276,LEN(A276)-2)+1 &amp; "01"))</f>
        <v>11302</v>
      </c>
      <c r="B277" s="22">
        <f t="shared" si="8"/>
        <v>113</v>
      </c>
      <c r="C277" s="21">
        <f t="shared" si="9"/>
        <v>2</v>
      </c>
      <c r="D277" s="15" t="s">
        <v>269</v>
      </c>
      <c r="E277" t="s">
        <v>129</v>
      </c>
      <c r="F277" t="s">
        <v>117</v>
      </c>
      <c r="G277" t="s">
        <v>160</v>
      </c>
      <c r="H277" t="s">
        <v>141</v>
      </c>
      <c r="I277" s="14" t="s">
        <v>148</v>
      </c>
      <c r="J277">
        <v>5</v>
      </c>
      <c r="K277">
        <v>5</v>
      </c>
      <c r="L277">
        <v>3</v>
      </c>
      <c r="M277">
        <v>5</v>
      </c>
      <c r="N277" s="14">
        <v>8</v>
      </c>
      <c r="O277">
        <v>20</v>
      </c>
      <c r="P277" s="14">
        <v>100</v>
      </c>
    </row>
    <row r="278" spans="1:16" x14ac:dyDescent="0.4">
      <c r="A278" s="21" t="str">
        <f>IF(D278="","",IF(D278=D277,LEFT(A277,LEN(A277)-2) &amp; RIGHT("00"&amp;COUNTIF($D$2:D278,D278),2),LEFT(A277,LEN(A277)-2)+1 &amp; "01"))</f>
        <v>11401</v>
      </c>
      <c r="B278" s="22">
        <f t="shared" si="8"/>
        <v>114</v>
      </c>
      <c r="C278" s="21">
        <f t="shared" si="9"/>
        <v>1</v>
      </c>
      <c r="D278" s="15" t="s">
        <v>117</v>
      </c>
      <c r="E278" t="s">
        <v>123</v>
      </c>
      <c r="F278" t="s">
        <v>36</v>
      </c>
      <c r="J278">
        <v>1</v>
      </c>
      <c r="K278">
        <v>1200</v>
      </c>
      <c r="O278">
        <v>50</v>
      </c>
      <c r="P278" s="14">
        <v>10</v>
      </c>
    </row>
    <row r="279" spans="1:16" x14ac:dyDescent="0.4">
      <c r="A279" s="21" t="str">
        <f>IF(D279="","",IF(D279=D278,LEFT(A278,LEN(A278)-2) &amp; RIGHT("00"&amp;COUNTIF($D$2:D279,D279),2),LEFT(A278,LEN(A278)-2)+1 &amp; "01"))</f>
        <v>11501</v>
      </c>
      <c r="B279" s="22">
        <f t="shared" si="8"/>
        <v>115</v>
      </c>
      <c r="C279" s="21">
        <f t="shared" si="9"/>
        <v>1</v>
      </c>
      <c r="D279" s="15" t="s">
        <v>118</v>
      </c>
      <c r="E279" t="s">
        <v>250</v>
      </c>
      <c r="F279" t="s">
        <v>117</v>
      </c>
      <c r="J279">
        <v>100</v>
      </c>
      <c r="K279">
        <v>25</v>
      </c>
      <c r="O279">
        <v>30</v>
      </c>
      <c r="P279" s="14">
        <v>30</v>
      </c>
    </row>
    <row r="280" spans="1:16" x14ac:dyDescent="0.4">
      <c r="A280" s="21" t="str">
        <f>IF(D280="","",IF(D280=D279,LEFT(A279,LEN(A279)-2) &amp; RIGHT("00"&amp;COUNTIF($D$2:D280,D280),2),LEFT(A279,LEN(A279)-2)+1 &amp; "01"))</f>
        <v>11601</v>
      </c>
      <c r="B280" s="22">
        <f t="shared" si="8"/>
        <v>116</v>
      </c>
      <c r="C280" s="21">
        <f t="shared" si="9"/>
        <v>1</v>
      </c>
      <c r="D280" s="15" t="s">
        <v>119</v>
      </c>
      <c r="E280" t="s">
        <v>118</v>
      </c>
      <c r="F280" t="s">
        <v>53</v>
      </c>
      <c r="J280">
        <v>2</v>
      </c>
      <c r="K280">
        <v>4</v>
      </c>
      <c r="O280">
        <v>1</v>
      </c>
      <c r="P280" s="14">
        <v>5</v>
      </c>
    </row>
    <row r="281" spans="1:16" x14ac:dyDescent="0.4">
      <c r="A281" s="21" t="str">
        <f>IF(D281="","",IF(D281=D280,LEFT(A280,LEN(A280)-2) &amp; RIGHT("00"&amp;COUNTIF($D$2:D281,D281),2),LEFT(A280,LEN(A280)-2)+1 &amp; "01"))</f>
        <v>11602</v>
      </c>
      <c r="B281" s="22">
        <f t="shared" si="8"/>
        <v>116</v>
      </c>
      <c r="C281" s="21">
        <f t="shared" si="9"/>
        <v>2</v>
      </c>
      <c r="D281" s="15" t="s">
        <v>119</v>
      </c>
      <c r="E281" t="s">
        <v>250</v>
      </c>
      <c r="F281" t="s">
        <v>98</v>
      </c>
      <c r="J281">
        <v>150</v>
      </c>
      <c r="K281">
        <v>20</v>
      </c>
      <c r="O281">
        <v>20</v>
      </c>
      <c r="P281" s="14">
        <v>10</v>
      </c>
    </row>
    <row r="282" spans="1:16" x14ac:dyDescent="0.4">
      <c r="A282" s="21" t="str">
        <f>IF(D282="","",IF(D282=D281,LEFT(A281,LEN(A281)-2) &amp; RIGHT("00"&amp;COUNTIF($D$2:D282,D282),2),LEFT(A281,LEN(A281)-2)+1 &amp; "01"))</f>
        <v>11701</v>
      </c>
      <c r="B282" s="22">
        <f t="shared" si="8"/>
        <v>117</v>
      </c>
      <c r="C282" s="21">
        <f t="shared" si="9"/>
        <v>1</v>
      </c>
      <c r="D282" s="15" t="s">
        <v>120</v>
      </c>
      <c r="E282" t="s">
        <v>119</v>
      </c>
      <c r="F282" t="s">
        <v>57</v>
      </c>
      <c r="G282" t="s">
        <v>62</v>
      </c>
      <c r="H282" t="s">
        <v>100</v>
      </c>
      <c r="J282">
        <v>30</v>
      </c>
      <c r="K282">
        <v>18</v>
      </c>
      <c r="L282">
        <v>6</v>
      </c>
      <c r="M282">
        <v>10</v>
      </c>
      <c r="O282">
        <v>1</v>
      </c>
      <c r="P282" s="14">
        <v>0.25</v>
      </c>
    </row>
    <row r="283" spans="1:16" x14ac:dyDescent="0.4">
      <c r="A283" s="21" t="str">
        <f>IF(D283="","",IF(D283=D282,LEFT(A282,LEN(A282)-2) &amp; RIGHT("00"&amp;COUNTIF($D$2:D283,D283),2),LEFT(A282,LEN(A282)-2)+1 &amp; "01"))</f>
        <v>11702</v>
      </c>
      <c r="B283" s="22">
        <f t="shared" si="8"/>
        <v>117</v>
      </c>
      <c r="C283" s="21">
        <f t="shared" si="9"/>
        <v>2</v>
      </c>
      <c r="D283" s="15" t="s">
        <v>120</v>
      </c>
      <c r="E283" t="s">
        <v>136</v>
      </c>
      <c r="F283" t="s">
        <v>137</v>
      </c>
      <c r="J283">
        <v>20</v>
      </c>
      <c r="K283">
        <v>1</v>
      </c>
      <c r="O283">
        <v>1</v>
      </c>
      <c r="P283" s="14">
        <v>0.5</v>
      </c>
    </row>
    <row r="284" spans="1:16" x14ac:dyDescent="0.4">
      <c r="A284" s="21" t="str">
        <f>IF(D284="","",IF(D284=D283,LEFT(A283,LEN(A283)-2) &amp; RIGHT("00"&amp;COUNTIF($D$2:D284,D284),2),LEFT(A283,LEN(A283)-2)+1 &amp; "01"))</f>
        <v>11801</v>
      </c>
      <c r="B284" s="22">
        <f t="shared" si="8"/>
        <v>118</v>
      </c>
      <c r="C284" s="21">
        <f t="shared" si="9"/>
        <v>1</v>
      </c>
      <c r="D284" s="15" t="s">
        <v>121</v>
      </c>
      <c r="E284" t="s">
        <v>29</v>
      </c>
      <c r="J284">
        <v>30</v>
      </c>
      <c r="O284">
        <v>5</v>
      </c>
      <c r="P284" s="14">
        <v>50</v>
      </c>
    </row>
    <row r="285" spans="1:16" x14ac:dyDescent="0.4">
      <c r="A285" s="21" t="str">
        <f>IF(D285="","",IF(D285=D284,LEFT(A284,LEN(A284)-2) &amp; RIGHT("00"&amp;COUNTIF($D$2:D285,D285),2),LEFT(A284,LEN(A284)-2)+1 &amp; "01"))</f>
        <v>11901</v>
      </c>
      <c r="B285" s="22">
        <f t="shared" si="8"/>
        <v>119</v>
      </c>
      <c r="C285" s="21">
        <f t="shared" si="9"/>
        <v>1</v>
      </c>
      <c r="D285" s="15" t="s">
        <v>122</v>
      </c>
      <c r="E285" t="s">
        <v>111</v>
      </c>
      <c r="F285" t="s">
        <v>65</v>
      </c>
      <c r="J285">
        <v>1</v>
      </c>
      <c r="K285">
        <v>2</v>
      </c>
      <c r="O285">
        <v>1</v>
      </c>
      <c r="P285" s="14">
        <v>1</v>
      </c>
    </row>
    <row r="286" spans="1:16" x14ac:dyDescent="0.4">
      <c r="A286" s="21" t="str">
        <f>IF(D286="","",IF(D286=D285,LEFT(A285,LEN(A285)-2) &amp; RIGHT("00"&amp;COUNTIF($D$2:D286,D286),2),LEFT(A285,LEN(A285)-2)+1 &amp; "01"))</f>
        <v>12001</v>
      </c>
      <c r="B286" s="22">
        <f t="shared" si="8"/>
        <v>120</v>
      </c>
      <c r="C286" s="21">
        <f t="shared" si="9"/>
        <v>1</v>
      </c>
      <c r="D286" s="15" t="s">
        <v>17</v>
      </c>
      <c r="E286" t="s">
        <v>121</v>
      </c>
      <c r="F286" t="s">
        <v>114</v>
      </c>
      <c r="J286">
        <v>200</v>
      </c>
      <c r="K286">
        <v>1</v>
      </c>
      <c r="O286">
        <v>1</v>
      </c>
      <c r="P286" s="14">
        <v>0.5</v>
      </c>
    </row>
    <row r="287" spans="1:16" x14ac:dyDescent="0.4">
      <c r="A287" s="21" t="str">
        <f>IF(D287="","",IF(D287=D286,LEFT(A286,LEN(A286)-2) &amp; RIGHT("00"&amp;COUNTIF($D$2:D287,D287),2),LEFT(A286,LEN(A286)-2)+1 &amp; "01"))</f>
        <v>12101</v>
      </c>
      <c r="B287" s="22">
        <f t="shared" si="8"/>
        <v>121</v>
      </c>
      <c r="C287" s="21">
        <f t="shared" si="9"/>
        <v>1</v>
      </c>
      <c r="D287" s="15" t="s">
        <v>224</v>
      </c>
      <c r="E287" t="s">
        <v>189</v>
      </c>
      <c r="F287" t="s">
        <v>225</v>
      </c>
      <c r="J287">
        <v>4</v>
      </c>
      <c r="K287">
        <v>24</v>
      </c>
      <c r="O287">
        <v>1</v>
      </c>
      <c r="P287" s="14">
        <v>10</v>
      </c>
    </row>
    <row r="288" spans="1:16" x14ac:dyDescent="0.4">
      <c r="A288" s="21" t="str">
        <f>IF(D288="","",IF(D288=D287,LEFT(A287,LEN(A287)-2) &amp; RIGHT("00"&amp;COUNTIF($D$2:D288,D288),2),LEFT(A287,LEN(A287)-2)+1 &amp; "01"))</f>
        <v>12102</v>
      </c>
      <c r="B288" s="22">
        <f t="shared" si="8"/>
        <v>121</v>
      </c>
      <c r="C288" s="21">
        <f t="shared" si="9"/>
        <v>2</v>
      </c>
      <c r="D288" s="15" t="s">
        <v>224</v>
      </c>
      <c r="E288" t="s">
        <v>189</v>
      </c>
      <c r="F288" t="s">
        <v>32</v>
      </c>
      <c r="J288">
        <v>2</v>
      </c>
      <c r="K288">
        <v>4</v>
      </c>
      <c r="O288">
        <v>1</v>
      </c>
      <c r="P288" s="14">
        <v>30</v>
      </c>
    </row>
    <row r="289" spans="1:16" x14ac:dyDescent="0.4">
      <c r="A289" s="21" t="str">
        <f>IF(D289="","",IF(D289=D288,LEFT(A288,LEN(A288)-2) &amp; RIGHT("00"&amp;COUNTIF($D$2:D289,D289),2),LEFT(A288,LEN(A288)-2)+1 &amp; "01"))</f>
        <v>12103</v>
      </c>
      <c r="B289" s="22">
        <f t="shared" si="8"/>
        <v>121</v>
      </c>
      <c r="C289" s="21">
        <f t="shared" si="9"/>
        <v>3</v>
      </c>
      <c r="D289" s="15" t="s">
        <v>224</v>
      </c>
      <c r="E289" t="s">
        <v>189</v>
      </c>
      <c r="F289" t="s">
        <v>31</v>
      </c>
      <c r="J289">
        <v>3</v>
      </c>
      <c r="K289">
        <v>4</v>
      </c>
      <c r="O289">
        <v>1</v>
      </c>
      <c r="P289" s="14">
        <v>15</v>
      </c>
    </row>
    <row r="290" spans="1:16" x14ac:dyDescent="0.4">
      <c r="A290" s="21" t="str">
        <f>IF(D290="","",IF(D290=D289,LEFT(A289,LEN(A289)-2) &amp; RIGHT("00"&amp;COUNTIF($D$2:D290,D290),2),LEFT(A289,LEN(A289)-2)+1 &amp; "01"))</f>
        <v>12201</v>
      </c>
      <c r="B290" s="22">
        <f t="shared" si="8"/>
        <v>122</v>
      </c>
      <c r="C290" s="21">
        <f t="shared" si="9"/>
        <v>1</v>
      </c>
      <c r="D290" s="15" t="s">
        <v>226</v>
      </c>
      <c r="E290" t="s">
        <v>224</v>
      </c>
      <c r="J290">
        <v>1</v>
      </c>
      <c r="O290">
        <v>3</v>
      </c>
      <c r="P290" s="14">
        <v>30</v>
      </c>
    </row>
    <row r="291" spans="1:16" x14ac:dyDescent="0.4">
      <c r="A291" s="21" t="str">
        <f>IF(D291="","",IF(D291=D290,LEFT(A290,LEN(A290)-2) &amp; RIGHT("00"&amp;COUNTIF($D$2:D291,D291),2),LEFT(A290,LEN(A290)-2)+1 &amp; "01"))</f>
        <v>12301</v>
      </c>
      <c r="B291" s="22">
        <f t="shared" si="8"/>
        <v>123</v>
      </c>
      <c r="C291" s="21">
        <f t="shared" si="9"/>
        <v>1</v>
      </c>
      <c r="D291" s="15" t="s">
        <v>227</v>
      </c>
      <c r="E291" t="s">
        <v>210</v>
      </c>
      <c r="J291">
        <v>20</v>
      </c>
      <c r="O291">
        <v>1</v>
      </c>
      <c r="P291" s="14">
        <v>30</v>
      </c>
    </row>
    <row r="292" spans="1:16" x14ac:dyDescent="0.4">
      <c r="A292" s="21" t="str">
        <f>IF(D292="","",IF(D292=D291,LEFT(A291,LEN(A291)-2) &amp; RIGHT("00"&amp;COUNTIF($D$2:D292,D292),2),LEFT(A291,LEN(A291)-2)+1 &amp; "01"))</f>
        <v>12302</v>
      </c>
      <c r="B292" s="22">
        <f t="shared" si="8"/>
        <v>123</v>
      </c>
      <c r="C292" s="21">
        <f t="shared" si="9"/>
        <v>2</v>
      </c>
      <c r="D292" s="15" t="s">
        <v>227</v>
      </c>
      <c r="E292" t="s">
        <v>210</v>
      </c>
      <c r="F292" t="s">
        <v>56</v>
      </c>
      <c r="J292">
        <v>12</v>
      </c>
      <c r="K292">
        <v>24</v>
      </c>
      <c r="O292">
        <v>1</v>
      </c>
      <c r="P292" s="14">
        <v>20</v>
      </c>
    </row>
    <row r="293" spans="1:16" x14ac:dyDescent="0.4">
      <c r="A293" s="21" t="str">
        <f>IF(D293="","",IF(D293=D292,LEFT(A292,LEN(A292)-2) &amp; RIGHT("00"&amp;COUNTIF($D$2:D293,D293),2),LEFT(A292,LEN(A292)-2)+1 &amp; "01"))</f>
        <v>12303</v>
      </c>
      <c r="B293" s="22">
        <f t="shared" si="8"/>
        <v>123</v>
      </c>
      <c r="C293" s="21">
        <f t="shared" si="9"/>
        <v>3</v>
      </c>
      <c r="D293" s="15" t="s">
        <v>227</v>
      </c>
      <c r="E293" t="s">
        <v>210</v>
      </c>
      <c r="F293" t="s">
        <v>223</v>
      </c>
      <c r="J293">
        <v>8</v>
      </c>
      <c r="K293">
        <v>3</v>
      </c>
      <c r="O293">
        <v>1</v>
      </c>
      <c r="P293" s="14">
        <v>15</v>
      </c>
    </row>
    <row r="294" spans="1:16" x14ac:dyDescent="0.4">
      <c r="A294" s="21" t="str">
        <f>IF(D294="","",IF(D294=D293,LEFT(A293,LEN(A293)-2) &amp; RIGHT("00"&amp;COUNTIF($D$2:D294,D294),2),LEFT(A293,LEN(A293)-2)+1 &amp; "01"))</f>
        <v>12304</v>
      </c>
      <c r="B294" s="22">
        <f t="shared" si="8"/>
        <v>123</v>
      </c>
      <c r="C294" s="21">
        <f t="shared" si="9"/>
        <v>4</v>
      </c>
      <c r="D294" s="15" t="s">
        <v>227</v>
      </c>
      <c r="E294" t="s">
        <v>74</v>
      </c>
      <c r="J294">
        <v>10</v>
      </c>
      <c r="O294">
        <v>2</v>
      </c>
      <c r="P294" s="14">
        <v>40</v>
      </c>
    </row>
    <row r="295" spans="1:16" x14ac:dyDescent="0.4">
      <c r="A295" s="21" t="str">
        <f>IF(D295="","",IF(D295=D294,LEFT(A294,LEN(A294)-2) &amp; RIGHT("00"&amp;COUNTIF($D$2:D295,D295),2),LEFT(A294,LEN(A294)-2)+1 &amp; "01"))</f>
        <v>12305</v>
      </c>
      <c r="B295" s="22">
        <f t="shared" si="8"/>
        <v>123</v>
      </c>
      <c r="C295" s="21">
        <f t="shared" si="9"/>
        <v>5</v>
      </c>
      <c r="D295" s="15" t="s">
        <v>227</v>
      </c>
      <c r="E295" t="s">
        <v>162</v>
      </c>
      <c r="J295">
        <v>24</v>
      </c>
      <c r="O295">
        <v>1</v>
      </c>
      <c r="P295" s="14">
        <v>30</v>
      </c>
    </row>
    <row r="296" spans="1:16" x14ac:dyDescent="0.4">
      <c r="A296" s="21" t="str">
        <f>IF(D296="","",IF(D296=D295,LEFT(A295,LEN(A295)-2) &amp; RIGHT("00"&amp;COUNTIF($D$2:D296,D296),2),LEFT(A295,LEN(A295)-2)+1 &amp; "01"))</f>
        <v>12306</v>
      </c>
      <c r="B296" s="22">
        <f t="shared" si="8"/>
        <v>123</v>
      </c>
      <c r="C296" s="21">
        <f t="shared" si="9"/>
        <v>6</v>
      </c>
      <c r="D296" s="15" t="s">
        <v>227</v>
      </c>
      <c r="E296" t="s">
        <v>210</v>
      </c>
      <c r="F296" t="s">
        <v>228</v>
      </c>
      <c r="J296">
        <v>30</v>
      </c>
      <c r="K296">
        <v>2</v>
      </c>
      <c r="O296">
        <v>3</v>
      </c>
      <c r="P296" s="14">
        <v>60</v>
      </c>
    </row>
    <row r="297" spans="1:16" x14ac:dyDescent="0.4">
      <c r="A297" s="21" t="str">
        <f>IF(D297="","",IF(D297=D296,LEFT(A296,LEN(A296)-2) &amp; RIGHT("00"&amp;COUNTIF($D$2:D297,D297),2),LEFT(A296,LEN(A296)-2)+1 &amp; "01"))</f>
        <v>12401</v>
      </c>
      <c r="B297" s="22">
        <f t="shared" si="8"/>
        <v>124</v>
      </c>
      <c r="C297" s="21">
        <f t="shared" si="9"/>
        <v>1</v>
      </c>
      <c r="D297" s="15" t="s">
        <v>183</v>
      </c>
      <c r="E297" t="s">
        <v>227</v>
      </c>
      <c r="J297">
        <v>2</v>
      </c>
      <c r="O297">
        <v>1</v>
      </c>
      <c r="P297" s="14">
        <v>6</v>
      </c>
    </row>
    <row r="298" spans="1:16" x14ac:dyDescent="0.4">
      <c r="A298" s="21" t="str">
        <f>IF(D298="","",IF(D298=D297,LEFT(A297,LEN(A297)-2) &amp; RIGHT("00"&amp;COUNTIF($D$2:D298,D298),2),LEFT(A297,LEN(A297)-2)+1 &amp; "01"))</f>
        <v>12501</v>
      </c>
      <c r="B298" s="22">
        <f t="shared" si="8"/>
        <v>125</v>
      </c>
      <c r="C298" s="21">
        <f t="shared" si="9"/>
        <v>1</v>
      </c>
      <c r="D298" s="15" t="s">
        <v>230</v>
      </c>
      <c r="E298" t="s">
        <v>231</v>
      </c>
      <c r="F298" t="s">
        <v>232</v>
      </c>
      <c r="G298" t="s">
        <v>233</v>
      </c>
      <c r="J298">
        <v>1</v>
      </c>
      <c r="K298">
        <v>80</v>
      </c>
      <c r="L298">
        <v>20</v>
      </c>
      <c r="O298">
        <v>4</v>
      </c>
      <c r="P298" s="14">
        <v>2</v>
      </c>
    </row>
    <row r="299" spans="1:16" x14ac:dyDescent="0.4">
      <c r="A299" s="21" t="str">
        <f>IF(D299="","",IF(D299=D298,LEFT(A298,LEN(A298)-2) &amp; RIGHT("00"&amp;COUNTIF($D$2:D299,D299),2),LEFT(A298,LEN(A298)-2)+1 &amp; "01"))</f>
        <v>12601</v>
      </c>
      <c r="B299" s="22">
        <f t="shared" si="8"/>
        <v>126</v>
      </c>
      <c r="C299" s="21">
        <f t="shared" si="9"/>
        <v>1</v>
      </c>
      <c r="D299" s="15" t="s">
        <v>185</v>
      </c>
      <c r="O299">
        <v>10</v>
      </c>
      <c r="P299" s="14">
        <v>200</v>
      </c>
    </row>
    <row r="300" spans="1:16" x14ac:dyDescent="0.4">
      <c r="A300" s="21" t="str">
        <f>IF(D300="","",IF(D300=D299,LEFT(A299,LEN(A299)-2) &amp; RIGHT("00"&amp;COUNTIF($D$2:D300,D300),2),LEFT(A299,LEN(A299)-2)+1 &amp; "01"))</f>
        <v>12701</v>
      </c>
      <c r="B300" s="22">
        <f t="shared" si="8"/>
        <v>127</v>
      </c>
      <c r="C300" s="21">
        <f t="shared" si="9"/>
        <v>1</v>
      </c>
      <c r="D300" s="15" t="s">
        <v>186</v>
      </c>
      <c r="E300" t="s">
        <v>189</v>
      </c>
      <c r="J300">
        <v>5</v>
      </c>
      <c r="O300">
        <v>10</v>
      </c>
      <c r="P300" s="14">
        <v>100</v>
      </c>
    </row>
    <row r="301" spans="1:16" x14ac:dyDescent="0.4">
      <c r="A301" s="21" t="str">
        <f>IF(D301="","",IF(D301=D300,LEFT(A300,LEN(A300)-2) &amp; RIGHT("00"&amp;COUNTIF($D$2:D301,D301),2),LEFT(A300,LEN(A300)-2)+1 &amp; "01"))</f>
        <v>12702</v>
      </c>
      <c r="B301" s="22">
        <f t="shared" si="8"/>
        <v>127</v>
      </c>
      <c r="C301" s="21">
        <f t="shared" si="9"/>
        <v>2</v>
      </c>
      <c r="D301" s="15" t="s">
        <v>186</v>
      </c>
      <c r="E301" t="s">
        <v>184</v>
      </c>
      <c r="F301" t="s">
        <v>99</v>
      </c>
      <c r="G301" t="s">
        <v>257</v>
      </c>
      <c r="H301" t="s">
        <v>185</v>
      </c>
      <c r="I301" s="14" t="s">
        <v>258</v>
      </c>
      <c r="J301">
        <v>6</v>
      </c>
      <c r="K301">
        <v>1</v>
      </c>
      <c r="L301">
        <v>9</v>
      </c>
      <c r="M301">
        <v>25</v>
      </c>
      <c r="N301" s="14">
        <v>1</v>
      </c>
      <c r="O301">
        <v>25</v>
      </c>
      <c r="P301" s="14">
        <v>125</v>
      </c>
    </row>
    <row r="302" spans="1:16" x14ac:dyDescent="0.4">
      <c r="A302" s="21" t="str">
        <f>IF(D302="","",IF(D302=D301,LEFT(A301,LEN(A301)-2) &amp; RIGHT("00"&amp;COUNTIF($D$2:D302,D302),2),LEFT(A301,LEN(A301)-2)+1 &amp; "01"))</f>
        <v>12703</v>
      </c>
      <c r="B302" s="22">
        <f t="shared" si="8"/>
        <v>127</v>
      </c>
      <c r="C302" s="21">
        <f t="shared" si="9"/>
        <v>3</v>
      </c>
      <c r="D302" s="15" t="s">
        <v>186</v>
      </c>
      <c r="E302" t="s">
        <v>183</v>
      </c>
      <c r="F302" t="s">
        <v>58</v>
      </c>
      <c r="G302" t="s">
        <v>259</v>
      </c>
      <c r="H302" t="s">
        <v>185</v>
      </c>
      <c r="I302" s="14" t="s">
        <v>260</v>
      </c>
      <c r="J302">
        <v>5</v>
      </c>
      <c r="K302">
        <v>1</v>
      </c>
      <c r="L302">
        <v>15</v>
      </c>
      <c r="M302">
        <v>25</v>
      </c>
      <c r="N302" s="14">
        <v>1</v>
      </c>
      <c r="O302">
        <v>25</v>
      </c>
      <c r="P302" s="14">
        <v>75</v>
      </c>
    </row>
    <row r="303" spans="1:16" x14ac:dyDescent="0.4">
      <c r="A303" s="21" t="str">
        <f>IF(D303="","",IF(D303=D302,LEFT(A302,LEN(A302)-2) &amp; RIGHT("00"&amp;COUNTIF($D$2:D303,D303),2),LEFT(A302,LEN(A302)-2)+1 &amp; "01"))</f>
        <v>12704</v>
      </c>
      <c r="B303" s="22">
        <f t="shared" si="8"/>
        <v>127</v>
      </c>
      <c r="C303" s="21">
        <f t="shared" si="9"/>
        <v>4</v>
      </c>
      <c r="D303" s="15" t="s">
        <v>186</v>
      </c>
      <c r="E303" t="s">
        <v>261</v>
      </c>
      <c r="F303" t="s">
        <v>260</v>
      </c>
      <c r="G303" t="s">
        <v>258</v>
      </c>
      <c r="H303" t="s">
        <v>185</v>
      </c>
      <c r="I303" s="14" t="s">
        <v>262</v>
      </c>
      <c r="J303">
        <v>1</v>
      </c>
      <c r="K303">
        <v>1</v>
      </c>
      <c r="L303">
        <v>1</v>
      </c>
      <c r="M303">
        <v>25</v>
      </c>
      <c r="N303" s="14">
        <v>1</v>
      </c>
      <c r="O303">
        <v>25</v>
      </c>
      <c r="P303" s="14">
        <v>100</v>
      </c>
    </row>
    <row r="304" spans="1:16" x14ac:dyDescent="0.4">
      <c r="A304" s="21" t="str">
        <f>IF(D304="","",IF(D304=D303,LEFT(A303,LEN(A303)-2) &amp; RIGHT("00"&amp;COUNTIF($D$2:D304,D304),2),LEFT(A303,LEN(A303)-2)+1 &amp; "01"))</f>
        <v>12705</v>
      </c>
      <c r="B304" s="22">
        <f t="shared" si="8"/>
        <v>127</v>
      </c>
      <c r="C304" s="21">
        <f t="shared" si="9"/>
        <v>5</v>
      </c>
      <c r="D304" s="15" t="s">
        <v>186</v>
      </c>
      <c r="E304" t="s">
        <v>263</v>
      </c>
      <c r="F304" t="s">
        <v>191</v>
      </c>
      <c r="G304" t="s">
        <v>259</v>
      </c>
      <c r="H304" t="s">
        <v>185</v>
      </c>
      <c r="I304" s="14" t="s">
        <v>264</v>
      </c>
      <c r="J304">
        <v>2</v>
      </c>
      <c r="K304">
        <v>2</v>
      </c>
      <c r="L304">
        <v>40</v>
      </c>
      <c r="M304">
        <v>20</v>
      </c>
      <c r="N304" s="14">
        <v>1</v>
      </c>
      <c r="O304">
        <v>20</v>
      </c>
      <c r="P304" s="14">
        <v>50</v>
      </c>
    </row>
    <row r="305" spans="1:16" x14ac:dyDescent="0.4">
      <c r="A305" s="21" t="str">
        <f>IF(D305="","",IF(D305=D304,LEFT(A304,LEN(A304)-2) &amp; RIGHT("00"&amp;COUNTIF($D$2:D305,D305),2),LEFT(A304,LEN(A304)-2)+1 &amp; "01"))</f>
        <v>12706</v>
      </c>
      <c r="B305" s="22">
        <f t="shared" si="8"/>
        <v>127</v>
      </c>
      <c r="C305" s="21">
        <f t="shared" si="9"/>
        <v>6</v>
      </c>
      <c r="D305" s="15" t="s">
        <v>186</v>
      </c>
      <c r="E305" t="s">
        <v>183</v>
      </c>
      <c r="F305" t="s">
        <v>184</v>
      </c>
      <c r="G305" t="s">
        <v>101</v>
      </c>
      <c r="H305" t="s">
        <v>185</v>
      </c>
      <c r="I305" s="14" t="s">
        <v>176</v>
      </c>
      <c r="J305">
        <v>2</v>
      </c>
      <c r="K305">
        <v>2</v>
      </c>
      <c r="L305">
        <v>12</v>
      </c>
      <c r="M305">
        <v>12</v>
      </c>
      <c r="N305" s="14">
        <v>1</v>
      </c>
      <c r="O305">
        <v>12</v>
      </c>
      <c r="P305" s="14">
        <v>60</v>
      </c>
    </row>
    <row r="306" spans="1:16" x14ac:dyDescent="0.4">
      <c r="A306" s="21" t="str">
        <f>IF(D306="","",IF(D306=D305,LEFT(A305,LEN(A305)-2) &amp; RIGHT("00"&amp;COUNTIF($D$2:D306,D306),2),LEFT(A305,LEN(A305)-2)+1 &amp; "01"))</f>
        <v>12707</v>
      </c>
      <c r="B306" s="22">
        <f t="shared" si="8"/>
        <v>127</v>
      </c>
      <c r="C306" s="21">
        <f t="shared" si="9"/>
        <v>7</v>
      </c>
      <c r="D306" s="15" t="s">
        <v>186</v>
      </c>
      <c r="E306" t="s">
        <v>192</v>
      </c>
      <c r="F306" t="s">
        <v>176</v>
      </c>
      <c r="G306" t="s">
        <v>258</v>
      </c>
      <c r="H306" t="s">
        <v>185</v>
      </c>
      <c r="I306" s="14" t="s">
        <v>265</v>
      </c>
      <c r="J306">
        <v>5</v>
      </c>
      <c r="K306">
        <v>3</v>
      </c>
      <c r="L306">
        <v>3</v>
      </c>
      <c r="M306">
        <v>24</v>
      </c>
      <c r="N306" s="14">
        <v>1</v>
      </c>
      <c r="O306">
        <v>24</v>
      </c>
      <c r="P306" s="14">
        <v>60</v>
      </c>
    </row>
    <row r="307" spans="1:16" x14ac:dyDescent="0.4">
      <c r="A307" s="21" t="str">
        <f>IF(D307="","",IF(D307=D306,LEFT(A306,LEN(A306)-2) &amp; RIGHT("00"&amp;COUNTIF($D$2:D307,D307),2),LEFT(A306,LEN(A306)-2)+1 &amp; "01"))</f>
        <v>12801</v>
      </c>
      <c r="B307" s="22">
        <f t="shared" si="8"/>
        <v>128</v>
      </c>
      <c r="C307" s="21">
        <f t="shared" si="9"/>
        <v>1</v>
      </c>
      <c r="D307" s="15" t="s">
        <v>184</v>
      </c>
      <c r="E307" t="s">
        <v>227</v>
      </c>
      <c r="F307" t="s">
        <v>186</v>
      </c>
      <c r="J307">
        <v>1</v>
      </c>
      <c r="K307">
        <v>5</v>
      </c>
      <c r="O307">
        <v>1</v>
      </c>
      <c r="P307" s="14">
        <v>30</v>
      </c>
    </row>
    <row r="308" spans="1:16" x14ac:dyDescent="0.4">
      <c r="A308" s="21" t="str">
        <f>IF(D308="","",IF(D308=D307,LEFT(A307,LEN(A307)-2) &amp; RIGHT("00"&amp;COUNTIF($D$2:D308,D308),2),LEFT(A307,LEN(A307)-2)+1 &amp; "01"))</f>
        <v>12802</v>
      </c>
      <c r="B308" s="22">
        <f t="shared" si="8"/>
        <v>128</v>
      </c>
      <c r="C308" s="21">
        <f t="shared" si="9"/>
        <v>2</v>
      </c>
      <c r="D308" s="15" t="s">
        <v>184</v>
      </c>
      <c r="E308" t="s">
        <v>183</v>
      </c>
      <c r="F308" t="s">
        <v>186</v>
      </c>
      <c r="J308">
        <v>1</v>
      </c>
      <c r="K308">
        <v>5</v>
      </c>
      <c r="O308">
        <v>2</v>
      </c>
      <c r="P308" s="14">
        <v>60</v>
      </c>
    </row>
    <row r="309" spans="1:16" x14ac:dyDescent="0.4">
      <c r="A309" s="21" t="str">
        <f>IF(D309="","",IF(D309=D308,LEFT(A308,LEN(A308)-2) &amp; RIGHT("00"&amp;COUNTIF($D$2:D309,D309),2),LEFT(A308,LEN(A308)-2)+1 &amp; "01"))</f>
        <v>12803</v>
      </c>
      <c r="B309" s="22">
        <f t="shared" si="8"/>
        <v>128</v>
      </c>
      <c r="C309" s="21">
        <f t="shared" si="9"/>
        <v>3</v>
      </c>
      <c r="D309" s="15" t="s">
        <v>184</v>
      </c>
      <c r="E309" t="s">
        <v>186</v>
      </c>
      <c r="J309">
        <v>10</v>
      </c>
      <c r="O309">
        <v>1</v>
      </c>
      <c r="P309" s="14">
        <v>20</v>
      </c>
    </row>
    <row r="310" spans="1:16" x14ac:dyDescent="0.4">
      <c r="A310" s="21" t="str">
        <f>IF(D310="","",IF(D310=D309,LEFT(A309,LEN(A309)-2) &amp; RIGHT("00"&amp;COUNTIF($D$2:D310,D310),2),LEFT(A309,LEN(A309)-2)+1 &amp; "01"))</f>
        <v>12901</v>
      </c>
      <c r="B310" s="22">
        <f t="shared" si="8"/>
        <v>129</v>
      </c>
      <c r="C310" s="21">
        <f t="shared" si="9"/>
        <v>1</v>
      </c>
      <c r="D310" s="15" t="s">
        <v>258</v>
      </c>
      <c r="E310" t="s">
        <v>184</v>
      </c>
      <c r="F310" t="s">
        <v>99</v>
      </c>
      <c r="G310" t="s">
        <v>257</v>
      </c>
      <c r="H310" t="s">
        <v>185</v>
      </c>
      <c r="I310" s="14" t="s">
        <v>186</v>
      </c>
      <c r="J310">
        <v>6</v>
      </c>
      <c r="K310">
        <v>1</v>
      </c>
      <c r="L310">
        <v>9</v>
      </c>
      <c r="M310">
        <v>25</v>
      </c>
      <c r="N310" s="14">
        <v>25</v>
      </c>
      <c r="O310">
        <v>1</v>
      </c>
      <c r="P310" s="14">
        <v>5</v>
      </c>
    </row>
    <row r="311" spans="1:16" x14ac:dyDescent="0.4">
      <c r="A311" s="21" t="str">
        <f>IF(D311="","",IF(D311=D310,LEFT(A310,LEN(A310)-2) &amp; RIGHT("00"&amp;COUNTIF($D$2:D311,D311),2),LEFT(A310,LEN(A310)-2)+1 &amp; "01"))</f>
        <v>13001</v>
      </c>
      <c r="B311" s="22">
        <f t="shared" si="8"/>
        <v>130</v>
      </c>
      <c r="C311" s="21">
        <f t="shared" si="9"/>
        <v>1</v>
      </c>
      <c r="D311" s="15" t="s">
        <v>260</v>
      </c>
      <c r="E311" t="s">
        <v>183</v>
      </c>
      <c r="F311" t="s">
        <v>58</v>
      </c>
      <c r="G311" t="s">
        <v>259</v>
      </c>
      <c r="H311" t="s">
        <v>185</v>
      </c>
      <c r="I311" s="14" t="s">
        <v>186</v>
      </c>
      <c r="J311">
        <v>5</v>
      </c>
      <c r="K311">
        <v>1</v>
      </c>
      <c r="L311">
        <v>15</v>
      </c>
      <c r="M311">
        <v>25</v>
      </c>
      <c r="N311" s="14">
        <v>25</v>
      </c>
      <c r="O311">
        <v>1</v>
      </c>
      <c r="P311" s="14">
        <v>3</v>
      </c>
    </row>
    <row r="312" spans="1:16" x14ac:dyDescent="0.4">
      <c r="A312" s="21" t="str">
        <f>IF(D312="","",IF(D312=D311,LEFT(A311,LEN(A311)-2) &amp; RIGHT("00"&amp;COUNTIF($D$2:D312,D312),2),LEFT(A311,LEN(A311)-2)+1 &amp; "01"))</f>
        <v>13101</v>
      </c>
      <c r="B312" s="22">
        <f t="shared" si="8"/>
        <v>131</v>
      </c>
      <c r="C312" s="21">
        <f t="shared" si="9"/>
        <v>1</v>
      </c>
      <c r="D312" s="15" t="s">
        <v>266</v>
      </c>
      <c r="E312" t="s">
        <v>261</v>
      </c>
      <c r="F312" t="s">
        <v>260</v>
      </c>
      <c r="G312" t="s">
        <v>258</v>
      </c>
      <c r="H312" t="s">
        <v>185</v>
      </c>
      <c r="I312" s="14" t="s">
        <v>186</v>
      </c>
      <c r="J312">
        <v>1</v>
      </c>
      <c r="K312">
        <v>1</v>
      </c>
      <c r="L312">
        <v>1</v>
      </c>
      <c r="M312">
        <v>25</v>
      </c>
      <c r="N312" s="14">
        <v>25</v>
      </c>
      <c r="O312">
        <v>1</v>
      </c>
      <c r="P312" s="14">
        <v>4</v>
      </c>
    </row>
    <row r="313" spans="1:16" x14ac:dyDescent="0.4">
      <c r="A313" s="21" t="str">
        <f>IF(D313="","",IF(D313=D312,LEFT(A312,LEN(A312)-2) &amp; RIGHT("00"&amp;COUNTIF($D$2:D313,D313),2),LEFT(A312,LEN(A312)-2)+1 &amp; "01"))</f>
        <v>13201</v>
      </c>
      <c r="B313" s="22">
        <f t="shared" si="8"/>
        <v>132</v>
      </c>
      <c r="C313" s="21">
        <f t="shared" si="9"/>
        <v>1</v>
      </c>
      <c r="D313" s="15" t="s">
        <v>263</v>
      </c>
      <c r="E313" t="s">
        <v>267</v>
      </c>
      <c r="F313" t="s">
        <v>268</v>
      </c>
      <c r="G313" t="s">
        <v>186</v>
      </c>
      <c r="J313">
        <v>1</v>
      </c>
      <c r="K313">
        <v>1</v>
      </c>
      <c r="L313">
        <v>20</v>
      </c>
      <c r="O313">
        <v>1</v>
      </c>
      <c r="P313" s="14">
        <v>10</v>
      </c>
    </row>
    <row r="314" spans="1:16" x14ac:dyDescent="0.4">
      <c r="A314" s="21" t="str">
        <f>IF(D314="","",IF(D314=D313,LEFT(A313,LEN(A313)-2) &amp; RIGHT("00"&amp;COUNTIF($D$2:D314,D314),2),LEFT(A313,LEN(A313)-2)+1 &amp; "01"))</f>
        <v>13301</v>
      </c>
      <c r="B314" s="22">
        <f t="shared" si="8"/>
        <v>133</v>
      </c>
      <c r="C314" s="21">
        <f t="shared" si="9"/>
        <v>1</v>
      </c>
      <c r="D314" s="15" t="s">
        <v>270</v>
      </c>
      <c r="E314" t="s">
        <v>271</v>
      </c>
      <c r="F314" t="s">
        <v>36</v>
      </c>
      <c r="J314">
        <v>1</v>
      </c>
      <c r="K314">
        <v>2400</v>
      </c>
      <c r="O314">
        <v>10</v>
      </c>
      <c r="P314" s="14">
        <v>1</v>
      </c>
    </row>
    <row r="315" spans="1:16" x14ac:dyDescent="0.4">
      <c r="A315" s="21" t="str">
        <f>IF(D315="","",IF(D315=D314,LEFT(A314,LEN(A314)-2) &amp; RIGHT("00"&amp;COUNTIF($D$2:D315,D315),2),LEFT(A314,LEN(A314)-2)+1 &amp; "01"))</f>
        <v>13401</v>
      </c>
      <c r="B315" s="22">
        <f t="shared" si="8"/>
        <v>134</v>
      </c>
      <c r="C315" s="21">
        <f t="shared" si="9"/>
        <v>1</v>
      </c>
      <c r="D315" s="15" t="s">
        <v>268</v>
      </c>
      <c r="E315" t="s">
        <v>272</v>
      </c>
      <c r="F315" t="s">
        <v>184</v>
      </c>
      <c r="G315" t="s">
        <v>273</v>
      </c>
      <c r="H315" t="s">
        <v>53</v>
      </c>
      <c r="J315">
        <v>1</v>
      </c>
      <c r="K315">
        <v>20</v>
      </c>
      <c r="L315">
        <v>100</v>
      </c>
      <c r="M315">
        <v>200</v>
      </c>
      <c r="O315">
        <v>10</v>
      </c>
      <c r="P315" s="14">
        <v>10</v>
      </c>
    </row>
    <row r="316" spans="1:16" x14ac:dyDescent="0.4">
      <c r="A316" s="21" t="str">
        <f>IF(D316="","",IF(D316=D315,LEFT(A315,LEN(A315)-2) &amp; RIGHT("00"&amp;COUNTIF($D$2:D316,D316),2),LEFT(A315,LEN(A315)-2)+1 &amp; "01"))</f>
        <v>13501</v>
      </c>
      <c r="B316" s="22">
        <f t="shared" si="8"/>
        <v>135</v>
      </c>
      <c r="C316" s="21">
        <f t="shared" si="9"/>
        <v>1</v>
      </c>
      <c r="D316" s="15" t="s">
        <v>264</v>
      </c>
      <c r="E316" t="s">
        <v>263</v>
      </c>
      <c r="F316" t="s">
        <v>191</v>
      </c>
      <c r="G316" t="s">
        <v>259</v>
      </c>
      <c r="H316" t="s">
        <v>185</v>
      </c>
      <c r="I316" s="14" t="s">
        <v>186</v>
      </c>
      <c r="J316">
        <v>2</v>
      </c>
      <c r="K316">
        <v>2</v>
      </c>
      <c r="L316">
        <v>40</v>
      </c>
      <c r="M316">
        <v>20</v>
      </c>
      <c r="N316" s="14">
        <v>20</v>
      </c>
      <c r="O316">
        <v>1</v>
      </c>
      <c r="P316" s="14">
        <v>2.5</v>
      </c>
    </row>
    <row r="317" spans="1:16" x14ac:dyDescent="0.4">
      <c r="A317" s="21" t="str">
        <f>IF(D317="","",IF(D317=D316,LEFT(A316,LEN(A316)-2) &amp; RIGHT("00"&amp;COUNTIF($D$2:D317,D317),2),LEFT(A316,LEN(A316)-2)+1 &amp; "01"))</f>
        <v>13601</v>
      </c>
      <c r="B317" s="22">
        <f t="shared" si="8"/>
        <v>136</v>
      </c>
      <c r="C317" s="21">
        <f t="shared" si="9"/>
        <v>1</v>
      </c>
      <c r="D317" s="15" t="s">
        <v>274</v>
      </c>
      <c r="E317" t="s">
        <v>275</v>
      </c>
      <c r="F317" t="s">
        <v>268</v>
      </c>
      <c r="G317" t="s">
        <v>258</v>
      </c>
      <c r="H317" t="s">
        <v>184</v>
      </c>
      <c r="J317">
        <v>1</v>
      </c>
      <c r="K317">
        <v>5</v>
      </c>
      <c r="L317">
        <v>2</v>
      </c>
      <c r="M317">
        <v>40</v>
      </c>
      <c r="O317">
        <v>1</v>
      </c>
      <c r="P317" s="14">
        <v>1</v>
      </c>
    </row>
    <row r="318" spans="1:16" x14ac:dyDescent="0.4">
      <c r="A318" s="21" t="str">
        <f>IF(D318="","",IF(D318=D317,LEFT(A317,LEN(A317)-2) &amp; RIGHT("00"&amp;COUNTIF($D$2:D318,D318),2),LEFT(A317,LEN(A317)-2)+1 &amp; "01"))</f>
        <v>13701</v>
      </c>
      <c r="B318" s="22">
        <f t="shared" si="8"/>
        <v>137</v>
      </c>
      <c r="C318" s="21">
        <f t="shared" si="9"/>
        <v>1</v>
      </c>
      <c r="D318" s="15" t="s">
        <v>207</v>
      </c>
      <c r="E318" t="s">
        <v>206</v>
      </c>
      <c r="F318" t="s">
        <v>109</v>
      </c>
      <c r="I318" s="14" t="s">
        <v>276</v>
      </c>
      <c r="J318">
        <v>6</v>
      </c>
      <c r="K318">
        <v>1</v>
      </c>
      <c r="N318" s="14">
        <v>1</v>
      </c>
      <c r="O318">
        <v>10</v>
      </c>
      <c r="P318" s="14">
        <v>100</v>
      </c>
    </row>
    <row r="319" spans="1:16" x14ac:dyDescent="0.4">
      <c r="A319" s="21" t="str">
        <f>IF(D319="","",IF(D319=D318,LEFT(A318,LEN(A318)-2) &amp; RIGHT("00"&amp;COUNTIF($D$2:D319,D319),2),LEFT(A318,LEN(A318)-2)+1 &amp; "01"))</f>
        <v>13702</v>
      </c>
      <c r="B319" s="22">
        <f t="shared" si="8"/>
        <v>137</v>
      </c>
      <c r="C319" s="21">
        <f t="shared" si="9"/>
        <v>2</v>
      </c>
      <c r="D319" s="15" t="s">
        <v>207</v>
      </c>
      <c r="E319" t="s">
        <v>212</v>
      </c>
      <c r="I319" s="14" t="s">
        <v>277</v>
      </c>
      <c r="J319">
        <v>1</v>
      </c>
      <c r="N319" s="14">
        <v>1</v>
      </c>
      <c r="O319">
        <v>2</v>
      </c>
      <c r="P319" s="14">
        <v>120</v>
      </c>
    </row>
    <row r="320" spans="1:16" x14ac:dyDescent="0.4">
      <c r="A320" s="21" t="str">
        <f>IF(D320="","",IF(D320=D319,LEFT(A319,LEN(A319)-2) &amp; RIGHT("00"&amp;COUNTIF($D$2:D320,D320),2),LEFT(A319,LEN(A319)-2)+1 &amp; "01"))</f>
        <v>13703</v>
      </c>
      <c r="B320" s="22">
        <f t="shared" si="8"/>
        <v>137</v>
      </c>
      <c r="C320" s="21">
        <f t="shared" si="9"/>
        <v>3</v>
      </c>
      <c r="D320" s="15" t="s">
        <v>207</v>
      </c>
      <c r="E320" t="s">
        <v>208</v>
      </c>
      <c r="F320" t="s">
        <v>209</v>
      </c>
      <c r="G320" t="s">
        <v>70</v>
      </c>
      <c r="H320" t="s">
        <v>210</v>
      </c>
      <c r="I320" s="14" t="s">
        <v>276</v>
      </c>
      <c r="J320">
        <v>4</v>
      </c>
      <c r="K320">
        <v>3</v>
      </c>
      <c r="L320">
        <v>4</v>
      </c>
      <c r="M320">
        <v>2</v>
      </c>
      <c r="N320" s="14">
        <v>1</v>
      </c>
      <c r="O320">
        <v>6</v>
      </c>
      <c r="P320" s="14">
        <v>150</v>
      </c>
    </row>
    <row r="321" spans="1:16" x14ac:dyDescent="0.4">
      <c r="A321" s="21" t="str">
        <f>IF(D321="","",IF(D321=D320,LEFT(A320,LEN(A320)-2) &amp; RIGHT("00"&amp;COUNTIF($D$2:D321,D321),2),LEFT(A320,LEN(A320)-2)+1 &amp; "01"))</f>
        <v>13801</v>
      </c>
      <c r="B321" s="22">
        <f t="shared" si="8"/>
        <v>138</v>
      </c>
      <c r="C321" s="21">
        <f t="shared" si="9"/>
        <v>1</v>
      </c>
      <c r="D321" s="15" t="s">
        <v>212</v>
      </c>
      <c r="E321" t="s">
        <v>207</v>
      </c>
      <c r="F321" t="s">
        <v>107</v>
      </c>
      <c r="J321">
        <v>2</v>
      </c>
      <c r="K321">
        <v>1</v>
      </c>
      <c r="O321">
        <v>1</v>
      </c>
      <c r="P321" s="14">
        <v>60</v>
      </c>
    </row>
    <row r="322" spans="1:16" x14ac:dyDescent="0.4">
      <c r="A322" s="21" t="str">
        <f>IF(D322="","",IF(D322=D321,LEFT(A321,LEN(A321)-2) &amp; RIGHT("00"&amp;COUNTIF($D$2:D322,D322),2),LEFT(A321,LEN(A321)-2)+1 &amp; "01"))</f>
        <v>13901</v>
      </c>
      <c r="B322" s="22">
        <f t="shared" si="8"/>
        <v>139</v>
      </c>
      <c r="C322" s="21">
        <f t="shared" si="9"/>
        <v>1</v>
      </c>
      <c r="D322" s="15" t="s">
        <v>211</v>
      </c>
      <c r="E322" t="s">
        <v>207</v>
      </c>
      <c r="F322" t="s">
        <v>176</v>
      </c>
      <c r="I322" s="14" t="s">
        <v>276</v>
      </c>
      <c r="J322">
        <v>16</v>
      </c>
      <c r="K322">
        <v>1</v>
      </c>
      <c r="N322" s="14">
        <v>2</v>
      </c>
      <c r="O322">
        <v>16</v>
      </c>
      <c r="P322" s="14">
        <v>40</v>
      </c>
    </row>
    <row r="323" spans="1:16" x14ac:dyDescent="0.4">
      <c r="A323" s="21" t="str">
        <f>IF(D323="","",IF(D323=D322,LEFT(A322,LEN(A322)-2) &amp; RIGHT("00"&amp;COUNTIF($D$2:D323,D323),2),LEFT(A322,LEN(A322)-2)+1 &amp; "01"))</f>
        <v>13902</v>
      </c>
      <c r="B323" s="22">
        <f t="shared" ref="B323:B386" si="10">IFERROR(VALUE(LEFT(A323,LEN(A323)-2)),"")</f>
        <v>139</v>
      </c>
      <c r="C323" s="21">
        <f t="shared" ref="C323:C346" si="11">IFERROR(VALUE( RIGHT(A323,2)),"")</f>
        <v>2</v>
      </c>
      <c r="D323" s="15" t="s">
        <v>211</v>
      </c>
      <c r="E323" t="s">
        <v>221</v>
      </c>
      <c r="I323" s="14" t="s">
        <v>277</v>
      </c>
      <c r="J323">
        <v>2</v>
      </c>
      <c r="N323" s="14">
        <v>2</v>
      </c>
      <c r="O323">
        <v>4</v>
      </c>
      <c r="P323" s="14">
        <v>80</v>
      </c>
    </row>
    <row r="324" spans="1:16" x14ac:dyDescent="0.4">
      <c r="A324" s="21" t="str">
        <f>IF(D324="","",IF(D324=D323,LEFT(A323,LEN(A323)-2) &amp; RIGHT("00"&amp;COUNTIF($D$2:D324,D324),2),LEFT(A323,LEN(A323)-2)+1 &amp; "01"))</f>
        <v>13903</v>
      </c>
      <c r="B324" s="22">
        <f t="shared" si="10"/>
        <v>139</v>
      </c>
      <c r="C324" s="21">
        <f t="shared" si="11"/>
        <v>3</v>
      </c>
      <c r="D324" s="15" t="s">
        <v>211</v>
      </c>
      <c r="E324" t="s">
        <v>212</v>
      </c>
      <c r="F324" t="s">
        <v>184</v>
      </c>
      <c r="I324" s="14" t="s">
        <v>276</v>
      </c>
      <c r="J324">
        <v>12</v>
      </c>
      <c r="K324">
        <v>4</v>
      </c>
      <c r="N324" s="14">
        <v>2</v>
      </c>
      <c r="O324">
        <v>10</v>
      </c>
      <c r="P324" s="14">
        <v>200</v>
      </c>
    </row>
    <row r="325" spans="1:16" x14ac:dyDescent="0.4">
      <c r="A325" s="21" t="str">
        <f>IF(D325="","",IF(D325=D324,LEFT(A324,LEN(A324)-2) &amp; RIGHT("00"&amp;COUNTIF($D$2:D325,D325),2),LEFT(A324,LEN(A324)-2)+1 &amp; "01"))</f>
        <v>14001</v>
      </c>
      <c r="B325" s="22">
        <f t="shared" si="10"/>
        <v>140</v>
      </c>
      <c r="C325" s="21">
        <f t="shared" si="11"/>
        <v>1</v>
      </c>
      <c r="D325" s="15" t="s">
        <v>221</v>
      </c>
      <c r="E325" t="s">
        <v>211</v>
      </c>
      <c r="F325" t="s">
        <v>107</v>
      </c>
      <c r="J325">
        <v>4</v>
      </c>
      <c r="K325">
        <v>2</v>
      </c>
      <c r="O325">
        <v>2</v>
      </c>
      <c r="P325" s="14">
        <v>40</v>
      </c>
    </row>
    <row r="326" spans="1:16" x14ac:dyDescent="0.4">
      <c r="A326" s="21" t="str">
        <f>IF(D326="","",IF(D326=D325,LEFT(A325,LEN(A325)-2) &amp; RIGHT("00"&amp;COUNTIF($D$2:D326,D326),2),LEFT(A325,LEN(A325)-2)+1 &amp; "01"))</f>
        <v>14101</v>
      </c>
      <c r="B326" s="22">
        <f t="shared" si="10"/>
        <v>141</v>
      </c>
      <c r="C326" s="21">
        <f t="shared" si="11"/>
        <v>1</v>
      </c>
      <c r="D326" s="15" t="s">
        <v>265</v>
      </c>
      <c r="E326" t="s">
        <v>192</v>
      </c>
      <c r="F326" t="s">
        <v>176</v>
      </c>
      <c r="G326" t="s">
        <v>258</v>
      </c>
      <c r="H326" t="s">
        <v>185</v>
      </c>
      <c r="I326" s="14" t="s">
        <v>186</v>
      </c>
      <c r="J326">
        <v>5</v>
      </c>
      <c r="K326">
        <v>3</v>
      </c>
      <c r="L326">
        <v>3</v>
      </c>
      <c r="M326">
        <v>24</v>
      </c>
      <c r="N326" s="14">
        <v>24</v>
      </c>
      <c r="O326">
        <v>1</v>
      </c>
      <c r="P326" s="14">
        <v>2.5</v>
      </c>
    </row>
    <row r="327" spans="1:16" x14ac:dyDescent="0.4">
      <c r="A327" s="21" t="str">
        <f>IF(D327="","",IF(D327=D326,LEFT(A326,LEN(A326)-2) &amp; RIGHT("00"&amp;COUNTIF($D$2:D327,D327),2),LEFT(A326,LEN(A326)-2)+1 &amp; "01"))</f>
        <v>14201</v>
      </c>
      <c r="B327" s="22">
        <f t="shared" si="10"/>
        <v>142</v>
      </c>
      <c r="C327" s="21">
        <f t="shared" si="11"/>
        <v>1</v>
      </c>
      <c r="D327" s="15" t="s">
        <v>112</v>
      </c>
      <c r="E327" t="s">
        <v>85</v>
      </c>
      <c r="F327" t="s">
        <v>96</v>
      </c>
      <c r="J327">
        <v>1</v>
      </c>
      <c r="K327">
        <v>5</v>
      </c>
      <c r="O327">
        <v>1</v>
      </c>
      <c r="P327" s="14">
        <v>10</v>
      </c>
    </row>
    <row r="328" spans="1:16" x14ac:dyDescent="0.4">
      <c r="A328" s="21" t="str">
        <f>IF(D328="","",IF(D328=D327,LEFT(A327,LEN(A327)-2) &amp; RIGHT("00"&amp;COUNTIF($D$2:D328,D328),2),LEFT(A327,LEN(A327)-2)+1 &amp; "01"))</f>
        <v>14301</v>
      </c>
      <c r="B328" s="22">
        <f t="shared" si="10"/>
        <v>143</v>
      </c>
      <c r="C328" s="21">
        <f t="shared" si="11"/>
        <v>1</v>
      </c>
      <c r="D328" s="15" t="s">
        <v>278</v>
      </c>
      <c r="E328" s="15" t="s">
        <v>279</v>
      </c>
      <c r="F328" t="s">
        <v>163</v>
      </c>
      <c r="J328">
        <v>1</v>
      </c>
      <c r="K328">
        <v>10</v>
      </c>
      <c r="O328">
        <v>1</v>
      </c>
      <c r="P328" s="14">
        <v>5</v>
      </c>
    </row>
    <row r="329" spans="1:16" x14ac:dyDescent="0.4">
      <c r="A329" s="21" t="str">
        <f>IF(D329="","",IF(D329=D328,LEFT(A328,LEN(A328)-2) &amp; RIGHT("00"&amp;COUNTIF($D$2:D329,D329),2),LEFT(A328,LEN(A328)-2)+1 &amp; "01"))</f>
        <v>14401</v>
      </c>
      <c r="B329" s="22">
        <f t="shared" si="10"/>
        <v>144</v>
      </c>
      <c r="C329" s="21">
        <f t="shared" si="11"/>
        <v>1</v>
      </c>
      <c r="D329" s="15" t="s">
        <v>280</v>
      </c>
      <c r="E329" s="15" t="s">
        <v>279</v>
      </c>
      <c r="F329" t="s">
        <v>99</v>
      </c>
      <c r="J329">
        <v>5</v>
      </c>
      <c r="K329">
        <v>1</v>
      </c>
      <c r="O329">
        <v>5</v>
      </c>
      <c r="P329" s="14">
        <v>5</v>
      </c>
    </row>
    <row r="330" spans="1:16" x14ac:dyDescent="0.4">
      <c r="A330" s="21" t="str">
        <f>IF(D330="","",IF(D330=D329,LEFT(A329,LEN(A329)-2) &amp; RIGHT("00"&amp;COUNTIF($D$2:D330,D330),2),LEFT(A329,LEN(A329)-2)+1 &amp; "01"))</f>
        <v>14501</v>
      </c>
      <c r="B330" s="22">
        <f t="shared" si="10"/>
        <v>145</v>
      </c>
      <c r="C330" s="21">
        <f t="shared" si="11"/>
        <v>1</v>
      </c>
      <c r="D330" s="15" t="s">
        <v>281</v>
      </c>
      <c r="E330" t="s">
        <v>282</v>
      </c>
      <c r="F330" t="s">
        <v>223</v>
      </c>
      <c r="J330">
        <v>2</v>
      </c>
      <c r="K330">
        <v>3</v>
      </c>
      <c r="O330">
        <v>1</v>
      </c>
      <c r="P330" s="14">
        <v>5</v>
      </c>
    </row>
    <row r="331" spans="1:16" x14ac:dyDescent="0.4">
      <c r="A331" s="21" t="str">
        <f>IF(D331="","",IF(D331=D330,LEFT(A330,LEN(A330)-2) &amp; RIGHT("00"&amp;COUNTIF($D$2:D331,D331),2),LEFT(A330,LEN(A330)-2)+1 &amp; "01"))</f>
        <v>14601</v>
      </c>
      <c r="B331" s="22">
        <f t="shared" si="10"/>
        <v>146</v>
      </c>
      <c r="C331" s="21">
        <f t="shared" si="11"/>
        <v>1</v>
      </c>
      <c r="D331" s="15" t="s">
        <v>283</v>
      </c>
      <c r="E331" s="15" t="s">
        <v>279</v>
      </c>
      <c r="F331" t="s">
        <v>284</v>
      </c>
      <c r="J331">
        <v>3</v>
      </c>
      <c r="K331">
        <v>4</v>
      </c>
      <c r="O331">
        <v>1</v>
      </c>
      <c r="P331" s="14">
        <v>2.5</v>
      </c>
    </row>
    <row r="332" spans="1:16" x14ac:dyDescent="0.4">
      <c r="A332" s="21" t="str">
        <f>IF(D332="","",IF(D332=D331,LEFT(A331,LEN(A331)-2) &amp; RIGHT("00"&amp;COUNTIF($D$2:D332,D332),2),LEFT(A331,LEN(A331)-2)+1 &amp; "01"))</f>
        <v>14701</v>
      </c>
      <c r="B332" s="22">
        <f t="shared" si="10"/>
        <v>147</v>
      </c>
      <c r="C332" s="21">
        <f t="shared" si="11"/>
        <v>1</v>
      </c>
      <c r="D332" s="15" t="s">
        <v>285</v>
      </c>
      <c r="E332" t="s">
        <v>282</v>
      </c>
      <c r="F332" t="s">
        <v>284</v>
      </c>
      <c r="G332" t="s">
        <v>67</v>
      </c>
      <c r="J332">
        <v>2</v>
      </c>
      <c r="K332">
        <v>2</v>
      </c>
      <c r="L332">
        <v>2</v>
      </c>
      <c r="O332">
        <v>1</v>
      </c>
      <c r="P332" s="14">
        <v>5</v>
      </c>
    </row>
    <row r="333" spans="1:16" x14ac:dyDescent="0.4">
      <c r="A333" s="21" t="str">
        <f>IF(D333="","",IF(D333=D332,LEFT(A332,LEN(A332)-2) &amp; RIGHT("00"&amp;COUNTIF($D$2:D333,D333),2),LEFT(A332,LEN(A332)-2)+1 &amp; "01"))</f>
        <v>14801</v>
      </c>
      <c r="B333" s="22">
        <f t="shared" si="10"/>
        <v>148</v>
      </c>
      <c r="C333" s="21">
        <f t="shared" si="11"/>
        <v>1</v>
      </c>
      <c r="D333" s="15" t="s">
        <v>105</v>
      </c>
      <c r="E333" t="s">
        <v>59</v>
      </c>
      <c r="F333" t="s">
        <v>106</v>
      </c>
      <c r="J333">
        <v>3</v>
      </c>
      <c r="K333">
        <v>2</v>
      </c>
      <c r="O333">
        <v>15</v>
      </c>
      <c r="P333" s="14">
        <v>75</v>
      </c>
    </row>
    <row r="334" spans="1:16" x14ac:dyDescent="0.4">
      <c r="A334" s="21" t="str">
        <f>IF(D334="","",IF(D334=D333,LEFT(A333,LEN(A333)-2) &amp; RIGHT("00"&amp;COUNTIF($D$2:D334,D334),2),LEFT(A333,LEN(A333)-2)+1 &amp; "01"))</f>
        <v>14901</v>
      </c>
      <c r="B334" s="22">
        <f t="shared" si="10"/>
        <v>149</v>
      </c>
      <c r="C334" s="21">
        <f t="shared" si="11"/>
        <v>1</v>
      </c>
      <c r="D334" s="15" t="s">
        <v>286</v>
      </c>
      <c r="E334" t="s">
        <v>287</v>
      </c>
      <c r="F334" t="s">
        <v>98</v>
      </c>
      <c r="G334" t="s">
        <v>206</v>
      </c>
      <c r="J334">
        <v>25</v>
      </c>
      <c r="K334">
        <v>3</v>
      </c>
      <c r="L334">
        <v>3</v>
      </c>
      <c r="O334">
        <v>50</v>
      </c>
      <c r="P334" s="14">
        <v>250</v>
      </c>
    </row>
    <row r="335" spans="1:16" x14ac:dyDescent="0.4">
      <c r="A335" s="21" t="str">
        <f>IF(D335="","",IF(D335=D334,LEFT(A334,LEN(A334)-2) &amp; RIGHT("00"&amp;COUNTIF($D$2:D335,D335),2),LEFT(A334,LEN(A334)-2)+1 &amp; "01"))</f>
        <v>14902</v>
      </c>
      <c r="B335" s="22">
        <f t="shared" si="10"/>
        <v>149</v>
      </c>
      <c r="C335" s="21">
        <f t="shared" si="11"/>
        <v>2</v>
      </c>
      <c r="D335" s="15" t="s">
        <v>286</v>
      </c>
      <c r="E335" t="s">
        <v>287</v>
      </c>
      <c r="F335" t="s">
        <v>98</v>
      </c>
      <c r="G335" t="s">
        <v>228</v>
      </c>
      <c r="J335">
        <v>25</v>
      </c>
      <c r="K335">
        <v>3</v>
      </c>
      <c r="L335">
        <v>3</v>
      </c>
      <c r="O335">
        <v>50</v>
      </c>
      <c r="P335" s="14">
        <v>250</v>
      </c>
    </row>
    <row r="336" spans="1:16" x14ac:dyDescent="0.4">
      <c r="A336" s="21" t="str">
        <f>IF(D336="","",IF(D336=D335,LEFT(A335,LEN(A335)-2) &amp; RIGHT("00"&amp;COUNTIF($D$2:D336,D336),2),LEFT(A335,LEN(A335)-2)+1 &amp; "01"))</f>
        <v>15001</v>
      </c>
      <c r="B336" s="22">
        <f t="shared" si="10"/>
        <v>150</v>
      </c>
      <c r="C336" s="21">
        <f t="shared" si="11"/>
        <v>1</v>
      </c>
      <c r="D336" s="15" t="s">
        <v>288</v>
      </c>
      <c r="E336" t="s">
        <v>287</v>
      </c>
      <c r="F336" t="s">
        <v>64</v>
      </c>
      <c r="J336">
        <v>20</v>
      </c>
      <c r="K336">
        <v>1</v>
      </c>
      <c r="O336">
        <v>10</v>
      </c>
      <c r="P336" s="14">
        <v>25</v>
      </c>
    </row>
    <row r="337" spans="1:16" x14ac:dyDescent="0.4">
      <c r="A337" s="21" t="str">
        <f>IF(D337="","",IF(D337=D336,LEFT(A336,LEN(A336)-2) &amp; RIGHT("00"&amp;COUNTIF($D$2:D337,D337),2),LEFT(A336,LEN(A336)-2)+1 &amp; "01"))</f>
        <v>15101</v>
      </c>
      <c r="B337" s="22">
        <f t="shared" si="10"/>
        <v>151</v>
      </c>
      <c r="C337" s="21">
        <f t="shared" si="11"/>
        <v>1</v>
      </c>
      <c r="D337" s="15" t="s">
        <v>289</v>
      </c>
      <c r="E337" s="15" t="s">
        <v>279</v>
      </c>
      <c r="F337" t="s">
        <v>290</v>
      </c>
      <c r="G337" t="s">
        <v>284</v>
      </c>
      <c r="H337" t="s">
        <v>291</v>
      </c>
      <c r="J337">
        <v>5</v>
      </c>
      <c r="K337">
        <v>20</v>
      </c>
      <c r="L337">
        <v>10</v>
      </c>
      <c r="M337">
        <v>6</v>
      </c>
      <c r="O337">
        <v>1</v>
      </c>
      <c r="P337" s="14">
        <v>0.5</v>
      </c>
    </row>
    <row r="338" spans="1:16" x14ac:dyDescent="0.4">
      <c r="A338" s="21" t="str">
        <f>IF(D338="","",IF(D338=D337,LEFT(A337,LEN(A337)-2) &amp; RIGHT("00"&amp;COUNTIF($D$2:D338,D338),2),LEFT(A337,LEN(A337)-2)+1 &amp; "01"))</f>
        <v/>
      </c>
      <c r="B338" s="22" t="str">
        <f t="shared" si="10"/>
        <v/>
      </c>
      <c r="C338" s="21" t="str">
        <f t="shared" si="11"/>
        <v/>
      </c>
    </row>
    <row r="339" spans="1:16" x14ac:dyDescent="0.4">
      <c r="A339" s="21" t="str">
        <f>IF(D339="","",IF(D339=D338,LEFT(A338,LEN(A338)-2) &amp; RIGHT("00"&amp;COUNTIF($D$2:D339,D339),2),LEFT(A338,LEN(A338)-2)+1 &amp; "01"))</f>
        <v/>
      </c>
      <c r="B339" s="22" t="str">
        <f t="shared" si="10"/>
        <v/>
      </c>
      <c r="C339" s="21" t="str">
        <f t="shared" si="11"/>
        <v/>
      </c>
    </row>
    <row r="340" spans="1:16" x14ac:dyDescent="0.4">
      <c r="A340" s="21" t="str">
        <f>IF(D340="","",IF(D340=D339,LEFT(A339,LEN(A339)-2) &amp; RIGHT("00"&amp;COUNTIF($D$2:D340,D340),2),LEFT(A339,LEN(A339)-2)+1 &amp; "01"))</f>
        <v/>
      </c>
      <c r="B340" s="22" t="str">
        <f t="shared" si="10"/>
        <v/>
      </c>
      <c r="C340" s="21" t="str">
        <f t="shared" si="11"/>
        <v/>
      </c>
    </row>
    <row r="341" spans="1:16" x14ac:dyDescent="0.4">
      <c r="A341" s="21" t="str">
        <f>IF(D341="","",IF(D341=D340,LEFT(A340,LEN(A340)-2) &amp; RIGHT("00"&amp;COUNTIF($D$2:D341,D341),2),LEFT(A340,LEN(A340)-2)+1 &amp; "01"))</f>
        <v/>
      </c>
      <c r="B341" s="22" t="str">
        <f t="shared" si="10"/>
        <v/>
      </c>
      <c r="C341" s="21" t="str">
        <f t="shared" si="11"/>
        <v/>
      </c>
    </row>
    <row r="342" spans="1:16" x14ac:dyDescent="0.4">
      <c r="A342" s="21" t="str">
        <f>IF(D342="","",IF(D342=D341,LEFT(A341,LEN(A341)-2) &amp; RIGHT("00"&amp;COUNTIF($D$2:D342,D342),2),LEFT(A341,LEN(A341)-2)+1 &amp; "01"))</f>
        <v/>
      </c>
      <c r="B342" s="22" t="str">
        <f t="shared" si="10"/>
        <v/>
      </c>
      <c r="C342" s="21" t="str">
        <f t="shared" si="11"/>
        <v/>
      </c>
    </row>
    <row r="343" spans="1:16" x14ac:dyDescent="0.4">
      <c r="A343" s="21" t="str">
        <f>IF(D343="","",IF(D343=D342,LEFT(A342,LEN(A342)-2) &amp; RIGHT("00"&amp;COUNTIF($D$2:D343,D343),2),LEFT(A342,LEN(A342)-2)+1 &amp; "01"))</f>
        <v/>
      </c>
      <c r="B343" s="22" t="str">
        <f t="shared" si="10"/>
        <v/>
      </c>
      <c r="C343" s="21" t="str">
        <f t="shared" si="11"/>
        <v/>
      </c>
    </row>
    <row r="344" spans="1:16" x14ac:dyDescent="0.4">
      <c r="A344" s="21" t="str">
        <f>IF(D344="","",IF(D344=D343,LEFT(A343,LEN(A343)-2) &amp; RIGHT("00"&amp;COUNTIF($D$2:D344,D344),2),LEFT(A343,LEN(A343)-2)+1 &amp; "01"))</f>
        <v/>
      </c>
      <c r="B344" s="22" t="str">
        <f t="shared" si="10"/>
        <v/>
      </c>
      <c r="C344" s="21" t="str">
        <f t="shared" ref="C344:C400" si="12">IFERROR(VALUE( RIGHT(A344,2)),"")</f>
        <v/>
      </c>
    </row>
    <row r="345" spans="1:16" x14ac:dyDescent="0.4">
      <c r="A345" s="21" t="str">
        <f>IF(D345="","",IF(D345=D344,LEFT(A344,LEN(A344)-2) &amp; RIGHT("00"&amp;COUNTIF($D$2:D345,D345),2),LEFT(A344,LEN(A344)-2)+1 &amp; "01"))</f>
        <v/>
      </c>
      <c r="B345" s="22" t="str">
        <f t="shared" si="10"/>
        <v/>
      </c>
      <c r="C345" s="21" t="str">
        <f t="shared" si="12"/>
        <v/>
      </c>
    </row>
    <row r="346" spans="1:16" x14ac:dyDescent="0.4">
      <c r="A346" s="21" t="str">
        <f>IF(D346="","",IF(D346=D345,LEFT(A345,LEN(A345)-2) &amp; RIGHT("00"&amp;COUNTIF($D$2:D346,D346),2),LEFT(A345,LEN(A345)-2)+1 &amp; "01"))</f>
        <v/>
      </c>
      <c r="B346" s="22" t="str">
        <f t="shared" si="10"/>
        <v/>
      </c>
      <c r="C346" s="21" t="str">
        <f t="shared" si="12"/>
        <v/>
      </c>
    </row>
    <row r="347" spans="1:16" x14ac:dyDescent="0.4">
      <c r="A347" s="21" t="str">
        <f>IF(D347="","",IF(D347=D346,LEFT(A346,LEN(A346)-2) &amp; RIGHT("00"&amp;COUNTIF($D$2:D347,D347),2),LEFT(A346,LEN(A346)-2)+1 &amp; "01"))</f>
        <v/>
      </c>
      <c r="B347" s="22" t="str">
        <f t="shared" si="10"/>
        <v/>
      </c>
      <c r="C347" s="21" t="str">
        <f t="shared" si="12"/>
        <v/>
      </c>
    </row>
    <row r="348" spans="1:16" x14ac:dyDescent="0.4">
      <c r="A348" s="21" t="str">
        <f>IF(D348="","",IF(D348=D347,LEFT(A347,LEN(A347)-2) &amp; RIGHT("00"&amp;COUNTIF($D$2:D348,D348),2),LEFT(A347,LEN(A347)-2)+1 &amp; "01"))</f>
        <v/>
      </c>
      <c r="B348" s="22" t="str">
        <f t="shared" si="10"/>
        <v/>
      </c>
      <c r="C348" s="21" t="str">
        <f t="shared" si="12"/>
        <v/>
      </c>
    </row>
    <row r="349" spans="1:16" x14ac:dyDescent="0.4">
      <c r="A349" s="21" t="str">
        <f>IF(D349="","",IF(D349=D348,LEFT(A348,LEN(A348)-2) &amp; RIGHT("00"&amp;COUNTIF($D$2:D349,D349),2),LEFT(A348,LEN(A348)-2)+1 &amp; "01"))</f>
        <v/>
      </c>
      <c r="B349" s="22" t="str">
        <f t="shared" si="10"/>
        <v/>
      </c>
      <c r="C349" s="21" t="str">
        <f t="shared" si="12"/>
        <v/>
      </c>
    </row>
    <row r="350" spans="1:16" x14ac:dyDescent="0.4">
      <c r="A350" s="21" t="str">
        <f>IF(D350="","",IF(D350=D349,LEFT(A349,LEN(A349)-2) &amp; RIGHT("00"&amp;COUNTIF($D$2:D350,D350),2),LEFT(A349,LEN(A349)-2)+1 &amp; "01"))</f>
        <v/>
      </c>
      <c r="B350" s="22" t="str">
        <f t="shared" si="10"/>
        <v/>
      </c>
      <c r="C350" s="21" t="str">
        <f t="shared" si="12"/>
        <v/>
      </c>
    </row>
    <row r="351" spans="1:16" x14ac:dyDescent="0.4">
      <c r="A351" s="21" t="str">
        <f>IF(D351="","",IF(D351=D350,LEFT(A350,LEN(A350)-2) &amp; RIGHT("00"&amp;COUNTIF($D$2:D351,D351),2),LEFT(A350,LEN(A350)-2)+1 &amp; "01"))</f>
        <v/>
      </c>
      <c r="B351" s="22" t="str">
        <f t="shared" si="10"/>
        <v/>
      </c>
      <c r="C351" s="21" t="str">
        <f t="shared" si="12"/>
        <v/>
      </c>
    </row>
    <row r="352" spans="1:16" x14ac:dyDescent="0.4">
      <c r="A352" s="21" t="str">
        <f>IF(D352="","",IF(D352=D351,LEFT(A351,LEN(A351)-2) &amp; RIGHT("00"&amp;COUNTIF($D$2:D352,D352),2),LEFT(A351,LEN(A351)-2)+1 &amp; "01"))</f>
        <v/>
      </c>
      <c r="B352" s="22" t="str">
        <f t="shared" si="10"/>
        <v/>
      </c>
      <c r="C352" s="21" t="str">
        <f t="shared" si="12"/>
        <v/>
      </c>
    </row>
    <row r="353" spans="1:3" x14ac:dyDescent="0.4">
      <c r="A353" s="21" t="str">
        <f>IF(D353="","",IF(D353=D352,LEFT(A352,LEN(A352)-2) &amp; RIGHT("00"&amp;COUNTIF($D$2:D353,D353),2),LEFT(A352,LEN(A352)-2)+1 &amp; "01"))</f>
        <v/>
      </c>
      <c r="B353" s="22" t="str">
        <f t="shared" si="10"/>
        <v/>
      </c>
      <c r="C353" s="21" t="str">
        <f t="shared" si="12"/>
        <v/>
      </c>
    </row>
    <row r="354" spans="1:3" x14ac:dyDescent="0.4">
      <c r="A354" s="21" t="str">
        <f>IF(D354="","",IF(D354=D353,LEFT(A353,LEN(A353)-2) &amp; RIGHT("00"&amp;COUNTIF($D$2:D354,D354),2),LEFT(A353,LEN(A353)-2)+1 &amp; "01"))</f>
        <v/>
      </c>
      <c r="B354" s="22" t="str">
        <f t="shared" si="10"/>
        <v/>
      </c>
      <c r="C354" s="21" t="str">
        <f t="shared" si="12"/>
        <v/>
      </c>
    </row>
    <row r="355" spans="1:3" x14ac:dyDescent="0.4">
      <c r="A355" s="21" t="str">
        <f>IF(D355="","",IF(D355=D354,LEFT(A354,LEN(A354)-2) &amp; RIGHT("00"&amp;COUNTIF($D$2:D355,D355),2),LEFT(A354,LEN(A354)-2)+1 &amp; "01"))</f>
        <v/>
      </c>
      <c r="B355" s="22" t="str">
        <f t="shared" si="10"/>
        <v/>
      </c>
      <c r="C355" s="21" t="str">
        <f t="shared" si="12"/>
        <v/>
      </c>
    </row>
    <row r="356" spans="1:3" x14ac:dyDescent="0.4">
      <c r="A356" s="21" t="str">
        <f>IF(D356="","",IF(D356=D355,LEFT(A355,LEN(A355)-2) &amp; RIGHT("00"&amp;COUNTIF($D$2:D356,D356),2),LEFT(A355,LEN(A355)-2)+1 &amp; "01"))</f>
        <v/>
      </c>
      <c r="B356" s="22" t="str">
        <f t="shared" si="10"/>
        <v/>
      </c>
      <c r="C356" s="21" t="str">
        <f t="shared" si="12"/>
        <v/>
      </c>
    </row>
    <row r="357" spans="1:3" x14ac:dyDescent="0.4">
      <c r="A357" s="21" t="str">
        <f>IF(D357="","",IF(D357=D356,LEFT(A356,LEN(A356)-2) &amp; RIGHT("00"&amp;COUNTIF($D$2:D357,D357),2),LEFT(A356,LEN(A356)-2)+1 &amp; "01"))</f>
        <v/>
      </c>
      <c r="B357" s="22" t="str">
        <f t="shared" si="10"/>
        <v/>
      </c>
      <c r="C357" s="21" t="str">
        <f t="shared" si="12"/>
        <v/>
      </c>
    </row>
    <row r="358" spans="1:3" x14ac:dyDescent="0.4">
      <c r="A358" s="21" t="str">
        <f>IF(D358="","",IF(D358=D357,LEFT(A357,LEN(A357)-2) &amp; RIGHT("00"&amp;COUNTIF($D$2:D358,D358),2),LEFT(A357,LEN(A357)-2)+1 &amp; "01"))</f>
        <v/>
      </c>
      <c r="B358" s="22" t="str">
        <f t="shared" si="10"/>
        <v/>
      </c>
      <c r="C358" s="21" t="str">
        <f t="shared" si="12"/>
        <v/>
      </c>
    </row>
    <row r="359" spans="1:3" x14ac:dyDescent="0.4">
      <c r="A359" s="21" t="str">
        <f>IF(D359="","",IF(D359=D358,LEFT(A358,LEN(A358)-2) &amp; RIGHT("00"&amp;COUNTIF($D$2:D359,D359),2),LEFT(A358,LEN(A358)-2)+1 &amp; "01"))</f>
        <v/>
      </c>
      <c r="B359" s="22" t="str">
        <f t="shared" si="10"/>
        <v/>
      </c>
      <c r="C359" s="21" t="str">
        <f t="shared" si="12"/>
        <v/>
      </c>
    </row>
    <row r="360" spans="1:3" x14ac:dyDescent="0.4">
      <c r="A360" s="21" t="str">
        <f>IF(D360="","",IF(D360=D359,LEFT(A359,LEN(A359)-2) &amp; RIGHT("00"&amp;COUNTIF($D$2:D360,D360),2),LEFT(A359,LEN(A359)-2)+1 &amp; "01"))</f>
        <v/>
      </c>
      <c r="B360" s="22" t="str">
        <f t="shared" si="10"/>
        <v/>
      </c>
      <c r="C360" s="21" t="str">
        <f t="shared" si="12"/>
        <v/>
      </c>
    </row>
    <row r="361" spans="1:3" x14ac:dyDescent="0.4">
      <c r="A361" s="21" t="str">
        <f>IF(D361="","",IF(D361=D360,LEFT(A360,LEN(A360)-2) &amp; RIGHT("00"&amp;COUNTIF($D$2:D361,D361),2),LEFT(A360,LEN(A360)-2)+1 &amp; "01"))</f>
        <v/>
      </c>
      <c r="B361" s="22" t="str">
        <f t="shared" si="10"/>
        <v/>
      </c>
      <c r="C361" s="21" t="str">
        <f t="shared" si="12"/>
        <v/>
      </c>
    </row>
    <row r="362" spans="1:3" x14ac:dyDescent="0.4">
      <c r="A362" s="21" t="str">
        <f>IF(D362="","",IF(D362=D361,LEFT(A361,LEN(A361)-2) &amp; RIGHT("00"&amp;COUNTIF($D$2:D362,D362),2),LEFT(A361,LEN(A361)-2)+1 &amp; "01"))</f>
        <v/>
      </c>
      <c r="B362" s="22" t="str">
        <f t="shared" si="10"/>
        <v/>
      </c>
      <c r="C362" s="21" t="str">
        <f t="shared" si="12"/>
        <v/>
      </c>
    </row>
    <row r="363" spans="1:3" x14ac:dyDescent="0.4">
      <c r="A363" s="21" t="str">
        <f>IF(D363="","",IF(D363=D362,LEFT(A362,LEN(A362)-2) &amp; RIGHT("00"&amp;COUNTIF($D$2:D363,D363),2),LEFT(A362,LEN(A362)-2)+1 &amp; "01"))</f>
        <v/>
      </c>
      <c r="B363" s="22" t="str">
        <f t="shared" si="10"/>
        <v/>
      </c>
      <c r="C363" s="21" t="str">
        <f t="shared" si="12"/>
        <v/>
      </c>
    </row>
    <row r="364" spans="1:3" x14ac:dyDescent="0.4">
      <c r="A364" s="21" t="str">
        <f>IF(D364="","",IF(D364=D363,LEFT(A363,LEN(A363)-2) &amp; RIGHT("00"&amp;COUNTIF($D$2:D364,D364),2),LEFT(A363,LEN(A363)-2)+1 &amp; "01"))</f>
        <v/>
      </c>
      <c r="B364" s="22" t="str">
        <f t="shared" si="10"/>
        <v/>
      </c>
      <c r="C364" s="21" t="str">
        <f t="shared" si="12"/>
        <v/>
      </c>
    </row>
    <row r="365" spans="1:3" x14ac:dyDescent="0.4">
      <c r="A365" s="21" t="str">
        <f>IF(D365="","",IF(D365=D364,LEFT(A364,LEN(A364)-2) &amp; RIGHT("00"&amp;COUNTIF($D$2:D365,D365),2),LEFT(A364,LEN(A364)-2)+1 &amp; "01"))</f>
        <v/>
      </c>
      <c r="B365" s="22" t="str">
        <f t="shared" si="10"/>
        <v/>
      </c>
      <c r="C365" s="21" t="str">
        <f t="shared" si="12"/>
        <v/>
      </c>
    </row>
    <row r="366" spans="1:3" x14ac:dyDescent="0.4">
      <c r="A366" s="21" t="str">
        <f>IF(D366="","",IF(D366=D365,LEFT(A365,LEN(A365)-2) &amp; RIGHT("00"&amp;COUNTIF($D$2:D366,D366),2),LEFT(A365,LEN(A365)-2)+1 &amp; "01"))</f>
        <v/>
      </c>
      <c r="B366" s="22" t="str">
        <f t="shared" si="10"/>
        <v/>
      </c>
      <c r="C366" s="21" t="str">
        <f t="shared" si="12"/>
        <v/>
      </c>
    </row>
    <row r="367" spans="1:3" x14ac:dyDescent="0.4">
      <c r="A367" s="21" t="str">
        <f>IF(D367="","",IF(D367=D366,LEFT(A366,LEN(A366)-2) &amp; RIGHT("00"&amp;COUNTIF($D$2:D367,D367),2),LEFT(A366,LEN(A366)-2)+1 &amp; "01"))</f>
        <v/>
      </c>
      <c r="B367" s="22" t="str">
        <f t="shared" si="10"/>
        <v/>
      </c>
      <c r="C367" s="21" t="str">
        <f t="shared" si="12"/>
        <v/>
      </c>
    </row>
    <row r="368" spans="1:3" x14ac:dyDescent="0.4">
      <c r="A368" s="21" t="str">
        <f>IF(D368="","",IF(D368=D367,LEFT(A367,LEN(A367)-2) &amp; RIGHT("00"&amp;COUNTIF($D$2:D368,D368),2),LEFT(A367,LEN(A367)-2)+1 &amp; "01"))</f>
        <v/>
      </c>
      <c r="B368" s="22" t="str">
        <f t="shared" si="10"/>
        <v/>
      </c>
      <c r="C368" s="21" t="str">
        <f t="shared" si="12"/>
        <v/>
      </c>
    </row>
    <row r="369" spans="1:3" x14ac:dyDescent="0.4">
      <c r="A369" s="21" t="str">
        <f>IF(D369="","",IF(D369=D368,LEFT(A368,LEN(A368)-2) &amp; RIGHT("00"&amp;COUNTIF($D$2:D369,D369),2),LEFT(A368,LEN(A368)-2)+1 &amp; "01"))</f>
        <v/>
      </c>
      <c r="B369" s="22" t="str">
        <f t="shared" si="10"/>
        <v/>
      </c>
      <c r="C369" s="21" t="str">
        <f t="shared" si="12"/>
        <v/>
      </c>
    </row>
    <row r="370" spans="1:3" x14ac:dyDescent="0.4">
      <c r="A370" s="21" t="str">
        <f>IF(D370="","",IF(D370=D369,LEFT(A369,LEN(A369)-2) &amp; RIGHT("00"&amp;COUNTIF($D$2:D370,D370),2),LEFT(A369,LEN(A369)-2)+1 &amp; "01"))</f>
        <v/>
      </c>
      <c r="B370" s="22" t="str">
        <f t="shared" si="10"/>
        <v/>
      </c>
      <c r="C370" s="21" t="str">
        <f t="shared" si="12"/>
        <v/>
      </c>
    </row>
    <row r="371" spans="1:3" x14ac:dyDescent="0.4">
      <c r="A371" s="21" t="str">
        <f>IF(D371="","",IF(D371=D370,LEFT(A370,LEN(A370)-2) &amp; RIGHT("00"&amp;COUNTIF($D$2:D371,D371),2),LEFT(A370,LEN(A370)-2)+1 &amp; "01"))</f>
        <v/>
      </c>
      <c r="B371" s="22" t="str">
        <f t="shared" si="10"/>
        <v/>
      </c>
      <c r="C371" s="21" t="str">
        <f t="shared" si="12"/>
        <v/>
      </c>
    </row>
    <row r="372" spans="1:3" x14ac:dyDescent="0.4">
      <c r="A372" s="21" t="str">
        <f>IF(D372="","",IF(D372=D371,LEFT(A371,LEN(A371)-2) &amp; RIGHT("00"&amp;COUNTIF($D$2:D372,D372),2),LEFT(A371,LEN(A371)-2)+1 &amp; "01"))</f>
        <v/>
      </c>
      <c r="B372" s="22" t="str">
        <f t="shared" si="10"/>
        <v/>
      </c>
      <c r="C372" s="21" t="str">
        <f t="shared" si="12"/>
        <v/>
      </c>
    </row>
    <row r="373" spans="1:3" x14ac:dyDescent="0.4">
      <c r="A373" s="21" t="str">
        <f>IF(D373="","",IF(D373=D372,LEFT(A372,LEN(A372)-2) &amp; RIGHT("00"&amp;COUNTIF($D$2:D373,D373),2),LEFT(A372,LEN(A372)-2)+1 &amp; "01"))</f>
        <v/>
      </c>
      <c r="B373" s="22" t="str">
        <f t="shared" si="10"/>
        <v/>
      </c>
      <c r="C373" s="21" t="str">
        <f t="shared" si="12"/>
        <v/>
      </c>
    </row>
    <row r="374" spans="1:3" x14ac:dyDescent="0.4">
      <c r="A374" s="21" t="str">
        <f>IF(D374="","",IF(D374=D373,LEFT(A373,LEN(A373)-2) &amp; RIGHT("00"&amp;COUNTIF($D$2:D374,D374),2),LEFT(A373,LEN(A373)-2)+1 &amp; "01"))</f>
        <v/>
      </c>
      <c r="B374" s="22" t="str">
        <f t="shared" si="10"/>
        <v/>
      </c>
      <c r="C374" s="21" t="str">
        <f t="shared" si="12"/>
        <v/>
      </c>
    </row>
    <row r="375" spans="1:3" x14ac:dyDescent="0.4">
      <c r="A375" s="21" t="str">
        <f>IF(D375="","",IF(D375=D374,LEFT(A374,LEN(A374)-2) &amp; RIGHT("00"&amp;COUNTIF($D$2:D375,D375),2),LEFT(A374,LEN(A374)-2)+1 &amp; "01"))</f>
        <v/>
      </c>
      <c r="B375" s="22" t="str">
        <f t="shared" si="10"/>
        <v/>
      </c>
      <c r="C375" s="21" t="str">
        <f t="shared" si="12"/>
        <v/>
      </c>
    </row>
    <row r="376" spans="1:3" x14ac:dyDescent="0.4">
      <c r="A376" s="21" t="str">
        <f>IF(D376="","",IF(D376=D375,LEFT(A375,LEN(A375)-2) &amp; RIGHT("00"&amp;COUNTIF($D$2:D376,D376),2),LEFT(A375,LEN(A375)-2)+1 &amp; "01"))</f>
        <v/>
      </c>
      <c r="B376" s="22" t="str">
        <f t="shared" si="10"/>
        <v/>
      </c>
      <c r="C376" s="21" t="str">
        <f t="shared" si="12"/>
        <v/>
      </c>
    </row>
    <row r="377" spans="1:3" x14ac:dyDescent="0.4">
      <c r="A377" s="21" t="str">
        <f>IF(D377="","",IF(D377=D376,LEFT(A376,LEN(A376)-2) &amp; RIGHT("00"&amp;COUNTIF($D$2:D377,D377),2),LEFT(A376,LEN(A376)-2)+1 &amp; "01"))</f>
        <v/>
      </c>
      <c r="B377" s="22" t="str">
        <f t="shared" si="10"/>
        <v/>
      </c>
      <c r="C377" s="21" t="str">
        <f t="shared" si="12"/>
        <v/>
      </c>
    </row>
    <row r="378" spans="1:3" x14ac:dyDescent="0.4">
      <c r="A378" s="21" t="str">
        <f>IF(D378="","",IF(D378=D377,LEFT(A377,LEN(A377)-2) &amp; RIGHT("00"&amp;COUNTIF($D$2:D378,D378),2),LEFT(A377,LEN(A377)-2)+1 &amp; "01"))</f>
        <v/>
      </c>
      <c r="B378" s="22" t="str">
        <f t="shared" si="10"/>
        <v/>
      </c>
      <c r="C378" s="21" t="str">
        <f t="shared" si="12"/>
        <v/>
      </c>
    </row>
    <row r="379" spans="1:3" x14ac:dyDescent="0.4">
      <c r="A379" s="21" t="str">
        <f>IF(D379="","",IF(D379=D378,LEFT(A378,LEN(A378)-2) &amp; RIGHT("00"&amp;COUNTIF($D$2:D379,D379),2),LEFT(A378,LEN(A378)-2)+1 &amp; "01"))</f>
        <v/>
      </c>
      <c r="B379" s="22" t="str">
        <f t="shared" si="10"/>
        <v/>
      </c>
      <c r="C379" s="21" t="str">
        <f t="shared" si="12"/>
        <v/>
      </c>
    </row>
    <row r="380" spans="1:3" x14ac:dyDescent="0.4">
      <c r="A380" s="21" t="str">
        <f>IF(D380="","",IF(D380=D379,LEFT(A379,LEN(A379)-2) &amp; RIGHT("00"&amp;COUNTIF($D$2:D380,D380),2),LEFT(A379,LEN(A379)-2)+1 &amp; "01"))</f>
        <v/>
      </c>
      <c r="B380" s="22" t="str">
        <f t="shared" si="10"/>
        <v/>
      </c>
      <c r="C380" s="21" t="str">
        <f t="shared" si="12"/>
        <v/>
      </c>
    </row>
    <row r="381" spans="1:3" x14ac:dyDescent="0.4">
      <c r="A381" s="21" t="str">
        <f>IF(D381="","",IF(D381=D380,LEFT(A380,LEN(A380)-2) &amp; RIGHT("00"&amp;COUNTIF($D$2:D381,D381),2),LEFT(A380,LEN(A380)-2)+1 &amp; "01"))</f>
        <v/>
      </c>
      <c r="B381" s="22" t="str">
        <f t="shared" si="10"/>
        <v/>
      </c>
      <c r="C381" s="21" t="str">
        <f t="shared" si="12"/>
        <v/>
      </c>
    </row>
    <row r="382" spans="1:3" x14ac:dyDescent="0.4">
      <c r="A382" s="21" t="str">
        <f>IF(D382="","",IF(D382=D381,LEFT(A381,LEN(A381)-2) &amp; RIGHT("00"&amp;COUNTIF($D$2:D382,D382),2),LEFT(A381,LEN(A381)-2)+1 &amp; "01"))</f>
        <v/>
      </c>
      <c r="B382" s="22" t="str">
        <f t="shared" si="10"/>
        <v/>
      </c>
      <c r="C382" s="21" t="str">
        <f t="shared" si="12"/>
        <v/>
      </c>
    </row>
    <row r="383" spans="1:3" x14ac:dyDescent="0.4">
      <c r="A383" s="21" t="str">
        <f>IF(D383="","",IF(D383=D382,LEFT(A382,LEN(A382)-2) &amp; RIGHT("00"&amp;COUNTIF($D$2:D383,D383),2),LEFT(A382,LEN(A382)-2)+1 &amp; "01"))</f>
        <v/>
      </c>
      <c r="B383" s="22" t="str">
        <f t="shared" si="10"/>
        <v/>
      </c>
      <c r="C383" s="21" t="str">
        <f t="shared" si="12"/>
        <v/>
      </c>
    </row>
    <row r="384" spans="1:3" x14ac:dyDescent="0.4">
      <c r="A384" s="21" t="str">
        <f>IF(D384="","",IF(D384=D383,LEFT(A383,LEN(A383)-2) &amp; RIGHT("00"&amp;COUNTIF($D$2:D384,D384),2),LEFT(A383,LEN(A383)-2)+1 &amp; "01"))</f>
        <v/>
      </c>
      <c r="B384" s="22" t="str">
        <f t="shared" si="10"/>
        <v/>
      </c>
      <c r="C384" s="21" t="str">
        <f t="shared" si="12"/>
        <v/>
      </c>
    </row>
    <row r="385" spans="1:3" x14ac:dyDescent="0.4">
      <c r="A385" s="21" t="str">
        <f>IF(D385="","",IF(D385=D384,LEFT(A384,LEN(A384)-2) &amp; RIGHT("00"&amp;COUNTIF($D$2:D385,D385),2),LEFT(A384,LEN(A384)-2)+1 &amp; "01"))</f>
        <v/>
      </c>
      <c r="B385" s="22" t="str">
        <f t="shared" si="10"/>
        <v/>
      </c>
      <c r="C385" s="21" t="str">
        <f t="shared" si="12"/>
        <v/>
      </c>
    </row>
    <row r="386" spans="1:3" x14ac:dyDescent="0.4">
      <c r="A386" s="21" t="str">
        <f>IF(D386="","",IF(D386=D385,LEFT(A385,LEN(A385)-2) &amp; RIGHT("00"&amp;COUNTIF($D$2:D386,D386),2),LEFT(A385,LEN(A385)-2)+1 &amp; "01"))</f>
        <v/>
      </c>
      <c r="B386" s="22" t="str">
        <f t="shared" si="10"/>
        <v/>
      </c>
      <c r="C386" s="21" t="str">
        <f t="shared" si="12"/>
        <v/>
      </c>
    </row>
    <row r="387" spans="1:3" x14ac:dyDescent="0.4">
      <c r="A387" s="21" t="str">
        <f>IF(D387="","",IF(D387=D386,LEFT(A386,LEN(A386)-2) &amp; RIGHT("00"&amp;COUNTIF($D$2:D387,D387),2),LEFT(A386,LEN(A386)-2)+1 &amp; "01"))</f>
        <v/>
      </c>
      <c r="B387" s="22" t="str">
        <f t="shared" ref="B387:B400" si="13">IFERROR(VALUE(LEFT(A387,LEN(A387)-2)),"")</f>
        <v/>
      </c>
      <c r="C387" s="21" t="str">
        <f t="shared" si="12"/>
        <v/>
      </c>
    </row>
    <row r="388" spans="1:3" x14ac:dyDescent="0.4">
      <c r="A388" s="21" t="str">
        <f>IF(D388="","",IF(D388=D387,LEFT(A387,LEN(A387)-2) &amp; RIGHT("00"&amp;COUNTIF($D$2:D388,D388),2),LEFT(A387,LEN(A387)-2)+1 &amp; "01"))</f>
        <v/>
      </c>
      <c r="B388" s="22" t="str">
        <f t="shared" si="13"/>
        <v/>
      </c>
      <c r="C388" s="21" t="str">
        <f t="shared" si="12"/>
        <v/>
      </c>
    </row>
    <row r="389" spans="1:3" x14ac:dyDescent="0.4">
      <c r="A389" s="21" t="str">
        <f>IF(D389="","",IF(D389=D388,LEFT(A388,LEN(A388)-2) &amp; RIGHT("00"&amp;COUNTIF($D$2:D389,D389),2),LEFT(A388,LEN(A388)-2)+1 &amp; "01"))</f>
        <v/>
      </c>
      <c r="B389" s="22" t="str">
        <f t="shared" si="13"/>
        <v/>
      </c>
      <c r="C389" s="21" t="str">
        <f t="shared" si="12"/>
        <v/>
      </c>
    </row>
    <row r="390" spans="1:3" x14ac:dyDescent="0.4">
      <c r="A390" s="21" t="str">
        <f>IF(D390="","",IF(D390=D389,LEFT(A389,LEN(A389)-2) &amp; RIGHT("00"&amp;COUNTIF($D$2:D390,D390),2),LEFT(A389,LEN(A389)-2)+1 &amp; "01"))</f>
        <v/>
      </c>
      <c r="B390" s="22" t="str">
        <f t="shared" si="13"/>
        <v/>
      </c>
      <c r="C390" s="21" t="str">
        <f t="shared" si="12"/>
        <v/>
      </c>
    </row>
    <row r="391" spans="1:3" x14ac:dyDescent="0.4">
      <c r="A391" s="21" t="str">
        <f>IF(D391="","",IF(D391=D390,LEFT(A390,LEN(A390)-2) &amp; RIGHT("00"&amp;COUNTIF($D$2:D391,D391),2),LEFT(A390,LEN(A390)-2)+1 &amp; "01"))</f>
        <v/>
      </c>
      <c r="B391" s="22" t="str">
        <f t="shared" si="13"/>
        <v/>
      </c>
      <c r="C391" s="21" t="str">
        <f t="shared" si="12"/>
        <v/>
      </c>
    </row>
    <row r="392" spans="1:3" x14ac:dyDescent="0.4">
      <c r="A392" s="21" t="str">
        <f>IF(D392="","",IF(D392=D391,LEFT(A391,LEN(A391)-2) &amp; RIGHT("00"&amp;COUNTIF($D$2:D392,D392),2),LEFT(A391,LEN(A391)-2)+1 &amp; "01"))</f>
        <v/>
      </c>
      <c r="B392" s="22" t="str">
        <f t="shared" si="13"/>
        <v/>
      </c>
      <c r="C392" s="21" t="str">
        <f t="shared" si="12"/>
        <v/>
      </c>
    </row>
    <row r="393" spans="1:3" x14ac:dyDescent="0.4">
      <c r="A393" s="21" t="str">
        <f>IF(D393="","",IF(D393=D392,LEFT(A392,LEN(A392)-2) &amp; RIGHT("00"&amp;COUNTIF($D$2:D393,D393),2),LEFT(A392,LEN(A392)-2)+1 &amp; "01"))</f>
        <v/>
      </c>
      <c r="B393" s="22" t="str">
        <f t="shared" si="13"/>
        <v/>
      </c>
      <c r="C393" s="21" t="str">
        <f t="shared" si="12"/>
        <v/>
      </c>
    </row>
    <row r="394" spans="1:3" x14ac:dyDescent="0.4">
      <c r="A394" s="21" t="str">
        <f>IF(D394="","",IF(D394=D393,LEFT(A393,LEN(A393)-2) &amp; RIGHT("00"&amp;COUNTIF($D$2:D394,D394),2),LEFT(A393,LEN(A393)-2)+1 &amp; "01"))</f>
        <v/>
      </c>
      <c r="B394" s="22" t="str">
        <f t="shared" si="13"/>
        <v/>
      </c>
      <c r="C394" s="21" t="str">
        <f t="shared" si="12"/>
        <v/>
      </c>
    </row>
    <row r="395" spans="1:3" x14ac:dyDescent="0.4">
      <c r="A395" s="21" t="str">
        <f>IF(D395="","",IF(D395=D394,LEFT(A394,LEN(A394)-2) &amp; RIGHT("00"&amp;COUNTIF($D$2:D395,D395),2),LEFT(A394,LEN(A394)-2)+1 &amp; "01"))</f>
        <v/>
      </c>
      <c r="B395" s="22" t="str">
        <f t="shared" si="13"/>
        <v/>
      </c>
      <c r="C395" s="21" t="str">
        <f t="shared" si="12"/>
        <v/>
      </c>
    </row>
    <row r="396" spans="1:3" x14ac:dyDescent="0.4">
      <c r="A396" s="21" t="str">
        <f>IF(D396="","",IF(D396=D395,LEFT(A395,LEN(A395)-2) &amp; RIGHT("00"&amp;COUNTIF($D$2:D396,D396),2),LEFT(A395,LEN(A395)-2)+1 &amp; "01"))</f>
        <v/>
      </c>
      <c r="B396" s="22" t="str">
        <f t="shared" si="13"/>
        <v/>
      </c>
      <c r="C396" s="21" t="str">
        <f t="shared" si="12"/>
        <v/>
      </c>
    </row>
    <row r="397" spans="1:3" x14ac:dyDescent="0.4">
      <c r="A397" s="21" t="str">
        <f>IF(D397="","",IF(D397=D396,LEFT(A396,LEN(A396)-2) &amp; RIGHT("00"&amp;COUNTIF($D$2:D397,D397),2),LEFT(A396,LEN(A396)-2)+1 &amp; "01"))</f>
        <v/>
      </c>
      <c r="B397" s="22" t="str">
        <f t="shared" si="13"/>
        <v/>
      </c>
      <c r="C397" s="21" t="str">
        <f t="shared" si="12"/>
        <v/>
      </c>
    </row>
    <row r="398" spans="1:3" x14ac:dyDescent="0.4">
      <c r="A398" s="21" t="str">
        <f>IF(D398="","",IF(D398=D397,LEFT(A397,LEN(A397)-2) &amp; RIGHT("00"&amp;COUNTIF($D$2:D398,D398),2),LEFT(A397,LEN(A397)-2)+1 &amp; "01"))</f>
        <v/>
      </c>
      <c r="B398" s="22" t="str">
        <f t="shared" si="13"/>
        <v/>
      </c>
      <c r="C398" s="21" t="str">
        <f t="shared" si="12"/>
        <v/>
      </c>
    </row>
    <row r="399" spans="1:3" x14ac:dyDescent="0.4">
      <c r="A399" s="21" t="str">
        <f>IF(D399="","",IF(D399=D398,LEFT(A398,LEN(A398)-2) &amp; RIGHT("00"&amp;COUNTIF($D$2:D399,D399),2),LEFT(A398,LEN(A398)-2)+1 &amp; "01"))</f>
        <v/>
      </c>
      <c r="B399" s="22" t="str">
        <f t="shared" si="13"/>
        <v/>
      </c>
      <c r="C399" s="21" t="str">
        <f t="shared" si="12"/>
        <v/>
      </c>
    </row>
    <row r="400" spans="1:3" x14ac:dyDescent="0.4">
      <c r="A400" s="21" t="str">
        <f>IF(D400="","",IF(D400=D399,LEFT(A399,LEN(A399)-2) &amp; RIGHT("00"&amp;COUNTIF($D$2:D400,D400),2),LEFT(A399,LEN(A399)-2)+1 &amp; "01"))</f>
        <v/>
      </c>
      <c r="B400" s="22" t="str">
        <f t="shared" si="13"/>
        <v/>
      </c>
      <c r="C400" s="21" t="str">
        <f t="shared" si="12"/>
        <v/>
      </c>
    </row>
  </sheetData>
  <autoFilter ref="A1:P400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合計必要素材</vt:lpstr>
      <vt:lpstr>製造アイテム数</vt:lpstr>
      <vt:lpstr>テンプレート</vt:lpstr>
      <vt:lpstr>使用レシピ</vt:lpstr>
      <vt:lpstr>使用レシピ(ID)</vt:lpstr>
      <vt:lpstr>レシピ一覧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2025-11-14T17:00:15Z</dcterms:modified>
</cp:coreProperties>
</file>